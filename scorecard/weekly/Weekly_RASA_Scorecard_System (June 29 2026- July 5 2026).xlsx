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tc={3e31d7a6-5470-4e04-a5da-ad06879a1a7a}</author>
    <author>tc={6c13d4af-df15-4f06-a625-be1a8625c3ff}</author>
  </authors>
  <commentList>
    <comment authorId="0" xr:uid="{3e31d7a6-5470-4e04-a5da-ad06879a1a7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6c13d4af-df15-4f06-a625-be1a8625c3f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tc={55199e74-1fca-4250-8b9c-547d65564011}</author>
  </authors>
  <commentList>
    <comment authorId="0" xr:uid="{55199e74-1fca-4250-8b9c-547d6556401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tc={22205d46-7abf-48db-a440-a413eb9522d1}</author>
    <author>tc={35d65016-0e80-438d-a0e8-22e1ee6583e0}</author>
    <author>tc={594ece30-b60c-4314-b4bc-438487b2f739}</author>
    <author>tc={71dff4f5-1015-4e5b-8300-42f54b5079f7}</author>
    <author>tc={7b0ad6e0-ffad-4ab6-8ce3-d1d13277e6cc}</author>
    <author>tc={96807102-8c16-4cce-bf5b-6526b2167904}</author>
    <author>tc={9af5f5bb-e099-4d98-9304-edf331d3bec6}</author>
    <author>tc={a509d4a2-bd5a-43b5-9b14-4c316ba90847}</author>
    <author>tc={a9df44c4-e2fa-49d7-b980-aaa843cd0d51}</author>
  </authors>
  <commentList>
    <comment authorId="0" xr:uid="{22205d46-7abf-48db-a440-a413eb9522d1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1" xr:uid="{35d65016-0e80-438d-a0e8-22e1ee6583e0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2" xr:uid="{594ece30-b60c-4314-b4bc-438487b2f739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71dff4f5-1015-4e5b-8300-42f54b5079f7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7b0ad6e0-ffad-4ab6-8ce3-d1d13277e6cc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96807102-8c16-4cce-bf5b-6526b216790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6" xr:uid="{9af5f5bb-e099-4d98-9304-edf331d3bec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7" xr:uid="{a509d4a2-bd5a-43b5-9b14-4c316ba90847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8" xr:uid="{a9df44c4-e2fa-49d7-b980-aaa843cd0d51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<sst xmlns="http://schemas.openxmlformats.org/spreadsheetml/2006/main" count="1111" uniqueCount="219">
  <si>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</si>
  <si>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</si>
  <si>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</si>
  <si>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</si>
  <si>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</si>
  <si>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</si>
  <si>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</si>
  <si>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</si>
  <si>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</si>
  <si>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</si>
  <si>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</si>
  <si>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</si>
  <si>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</si>
  <si>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</si>
  <si>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</si>
  <si>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</si>
  <si>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</si>
  <si>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</si>
  <si>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</si>
  <si>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</si>
  <si>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</si>
  <si>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</si>
  <si>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</si>
  <si>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</si>
  <si>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</si>
  <si>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</si>
  <si>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</si>
  <si>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</si>
  <si>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</si>
  <si>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</si>
  <si>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</si>
  <si>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</si>
  <si>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</si>
  <si>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</si>
  <si>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</si>
  <si>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</si>
  <si>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</si>
  <si>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</si>
  <si>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</si>
  <si>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</si>
  <si>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</si>
  <si>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</si>
  <si>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</si>
  <si>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</si>
  <si>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</si>
  <si>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</si>
  <si>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</si>
  <si>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</si>
  <si>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</si>
  <si>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</si>
  <si>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</si>
  <si>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</si>
  <si>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</si>
  <si>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</si>
  <si>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</si>
  <si>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</si>
  <si>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</si>
  <si>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</si>
  <si>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</si>
  <si>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</si>
  <si>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</si>
  <si>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</si>
  <si>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</si>
  <si>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</si>
  <si>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</si>
  <si>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</si>
  <si>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</si>
  <si>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</si>
  <si>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</si>
  <si>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</si>
  <si>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</si>
  <si>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</si>
  <si>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</si>
  <si>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</si>
  <si>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</si>
  <si>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</si>
  <si>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</si>
  <si>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</si>
  <si>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</si>
  <si>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</si>
  <si>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</si>
  <si>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</si>
  <si>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</si>
  <si>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</si>
  <si>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</si>
  <si>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</si>
  <si>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</si>
  <si>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</si>
  <si>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</si>
  <si>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</si>
  <si>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</si>
  <si>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</si>
  <si>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</si>
  <si>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</si>
  <si>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</si>
  <si>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</si>
  <si>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</si>
  <si>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</si>
  <si>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</si>
  <si>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</si>
  <si>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</si>
  <si>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</si>
  <si>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</si>
  <si>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</si>
  <si>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</si>
  <si>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</si>
  <si>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</si>
  <si>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</si>
  <si>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</si>
  <si>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</si>
  <si>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</si>
  <si>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</si>
  <si>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</si>
  <si>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</si>
  <si>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</si>
  <si>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</si>
  <si>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</si>
  <si>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</si>
  <si>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</si>
  <si>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</si>
  <si>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</si>
  <si>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</si>
  <si>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</si>
  <si>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</si>
  <si>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</si>
  <si>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</si>
  <si>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</si>
  <si>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</si>
  <si>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</si>
  <si>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</si>
  <si>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</si>
  <si>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</si>
  <si>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</si>
  <si>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</si>
  <si>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</si>
  <si>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</si>
  <si>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</si>
  <si>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</si>
  <si>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</si>
  <si>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</si>
  <si>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</si>
  <si>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</si>
  <si>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</si>
  <si>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</si>
  <si>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</si>
  <si>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</si>
  <si>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</si>
  <si>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Ballpark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</si>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</sst>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4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7" fillId="22" fontId="18" numFmtId="168" xfId="0" applyAlignment="1" applyBorder="1" applyFont="1" applyNumberFormat="1">
      <alignment horizontal="center" vertical="bottom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34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4" fontId="18" numFmtId="169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6" fontId="18" numFmtId="168" xfId="0" applyAlignment="1" applyBorder="1" applyFont="1" applyNumberFormat="1">
      <alignment horizontal="center" vertical="bottom"/>
    </xf>
    <xf borderId="17" fillId="23" fontId="18" numFmtId="169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4" fillId="28" fontId="16" numFmtId="0" xfId="0" applyAlignment="1" applyBorder="1" applyFont="1">
      <alignment horizontal="left" readingOrder="0" shrinkToFit="0" vertical="center" wrapText="0"/>
    </xf>
    <xf borderId="4" fillId="26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3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0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6" fontId="18" numFmtId="169" xfId="0" applyAlignment="1" applyBorder="1" applyFont="1" applyNumberFormat="1">
      <alignment horizontal="center" vertical="bottom"/>
    </xf>
    <xf borderId="4" fillId="24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Alignment="1" applyBorder="1" applyFont="1">
      <alignment readingOrder="0"/>
    </xf>
    <xf borderId="8" fillId="34" fontId="3" numFmtId="169" xfId="0" applyAlignment="1" applyBorder="1" applyFont="1" applyNumberFormat="1">
      <alignment horizontal="center" vertical="center"/>
    </xf>
    <xf borderId="8" fillId="34" fontId="2" numFmtId="168" xfId="0" applyAlignment="1" applyBorder="1" applyFont="1" applyNumberFormat="1">
      <alignment horizontal="center" vertical="center"/>
    </xf>
    <xf borderId="8" fillId="34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34" fontId="2" numFmtId="166" xfId="0" applyAlignment="1" applyBorder="1" applyFont="1" applyNumberFormat="1">
      <alignment horizontal="center" vertical="center"/>
    </xf>
    <xf borderId="8" fillId="34" fontId="2" numFmtId="164" xfId="0" applyAlignment="1" applyBorder="1" applyFont="1" applyNumberFormat="1">
      <alignment horizontal="center" vertical="center"/>
    </xf>
    <xf borderId="8" fillId="34" fontId="2" numFmtId="4" xfId="0" applyAlignment="1" applyBorder="1" applyFont="1" applyNumberFormat="1">
      <alignment horizontal="center" vertical="center"/>
    </xf>
    <xf borderId="8" fillId="34" fontId="21" numFmtId="0" xfId="0" applyBorder="1" applyFont="1"/>
    <xf borderId="8" fillId="9" fontId="1" numFmtId="0" xfId="0" applyAlignment="1" applyBorder="1" applyFont="1">
      <alignment readingOrder="0"/>
    </xf>
    <xf borderId="8" fillId="34" fontId="22" numFmtId="169" xfId="0" applyAlignment="1" applyBorder="1" applyFont="1" applyNumberFormat="1">
      <alignment horizontal="center" vertical="center"/>
    </xf>
    <xf borderId="8" fillId="34" fontId="23" numFmtId="168" xfId="0" applyAlignment="1" applyBorder="1" applyFont="1" applyNumberFormat="1">
      <alignment horizontal="center" vertical="center"/>
    </xf>
    <xf borderId="8" fillId="34" fontId="23" numFmtId="165" xfId="0" applyAlignment="1" applyBorder="1" applyFont="1" applyNumberFormat="1">
      <alignment horizontal="center" vertical="center"/>
    </xf>
    <xf borderId="8" fillId="34" fontId="23" numFmtId="169" xfId="0" applyAlignment="1" applyBorder="1" applyFont="1" applyNumberFormat="1">
      <alignment horizontal="center" vertical="center"/>
    </xf>
    <xf borderId="8" fillId="34" fontId="23" numFmtId="166" xfId="0" applyAlignment="1" applyBorder="1" applyFont="1" applyNumberFormat="1">
      <alignment horizontal="center" vertical="center"/>
    </xf>
    <xf borderId="8" fillId="34" fontId="23" numFmtId="164" xfId="0" applyAlignment="1" applyBorder="1" applyFont="1" applyNumberFormat="1">
      <alignment horizontal="center" vertical="center"/>
    </xf>
    <xf borderId="8" fillId="34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34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0" xfId="0" applyAlignment="1" applyBorder="1" applyFon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0" fontId="20" numFmtId="171" xfId="0" applyFont="1" applyNumberFormat="1"/>
    <xf borderId="0" fillId="0" fontId="20" numFmtId="10" xfId="0" applyFont="1" applyNumberFormat="1"/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166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0ba754a3-99c8-4386-bf0f-fc9efbfee8c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0ba754a3-99c8-4386-bf0f-fc9efbfee8c6}" id="{6c13d4af-df15-4f06-a625-be1a8625c3ff}" done="0">
    <x18tc:text xml:space="preserve">Contributor band restrains in weekly store scorecard sheet need to be updated</x18tc:text>
  </x18tc:threadedComment>
  <x18tc:threadedComment ref="C1" dT="2026-03-18T14:35:44.00" personId="{0ba754a3-99c8-4386-bf0f-fc9efbfee8c6}" id="{3e31d7a6-5470-4e04-a5da-ad06879a1a7a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0ba754a3-99c8-4386-bf0f-fc9efbfee8c6}" id="{55199e74-1fca-4250-8b9c-547d65564011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0ba754a3-99c8-4386-bf0f-fc9efbfee8c6}" id="{71dff4f5-1015-4e5b-8300-42f54b5079f7}" done="0">
    <x18tc:text xml:space="preserve">Dummy Data, Auto engine will be set up once we have the actual source sorted</x18tc:text>
  </x18tc:threadedComment>
  <x18tc:threadedComment ref="AA1" dT="2026-03-12T12:45:35.00" personId="{0ba754a3-99c8-4386-bf0f-fc9efbfee8c6}" id="{7b0ad6e0-ffad-4ab6-8ce3-d1d13277e6cc}" done="0">
    <x18tc:text xml:space="preserve">added value to the formula to take actual numeric values</x18tc:text>
  </x18tc:threadedComment>
  <x18tc:threadedComment ref="U1" dT="2026-03-12T12:24:21.00" personId="{0ba754a3-99c8-4386-bf0f-fc9efbfee8c6}" id="{35d65016-0e80-438d-a0e8-22e1ee6583e0}" done="0">
    <x18tc:text xml:space="preserve">Added NA to formula</x18tc:text>
  </x18tc:threadedComment>
  <x18tc:threadedComment ref="E1" dT="2026-03-12T11:47:10.00" personId="{0ba754a3-99c8-4386-bf0f-fc9efbfee8c6}" id="{22205d46-7abf-48db-a440-a413eb9522d1}" done="0">
    <x18tc:text xml:space="preserve">100% + Var%LY</x18tc:text>
  </x18tc:threadedComment>
  <x18tc:threadedComment ref="X1" dT="2026-03-12T12:24:36.00" personId="{0ba754a3-99c8-4386-bf0f-fc9efbfee8c6}" id="{a9df44c4-e2fa-49d7-b980-aaa843cd0d51}" done="0">
    <x18tc:text xml:space="preserve">Added %s</x18tc:text>
  </x18tc:threadedComment>
  <x18tc:threadedComment ref="F1" dT="2026-03-12T11:47:34.00" personId="{0ba754a3-99c8-4386-bf0f-fc9efbfee8c6}" id="{594ece30-b60c-4314-b4bc-438487b2f739}" done="0">
    <x18tc:text xml:space="preserve">Added %s</x18tc:text>
  </x18tc:threadedComment>
  <x18tc:threadedComment ref="B1" dT="2026-03-12T11:46:07.00" personId="{0ba754a3-99c8-4386-bf0f-fc9efbfee8c6}" id="{9af5f5bb-e099-4d98-9304-edf331d3bec6}" done="0">
    <x18tc:text xml:space="preserve">100%+var%bud</x18tc:text>
  </x18tc:threadedComment>
  <x18tc:threadedComment ref="AQ1" dT="2026-03-18T10:16:38.00" personId="{0ba754a3-99c8-4386-bf0f-fc9efbfee8c6}" id="{a509d4a2-bd5a-43b5-9b14-4c316ba90847}" done="0">
    <x18tc:text xml:space="preserve">Removed Columns post AQ as per Trey's request</x18tc:text>
  </x18tc:threadedComment>
  <x18tc:threadedComment ref="C1" dT="2026-03-12T11:46:33.00" personId="{0ba754a3-99c8-4386-bf0f-fc9efbfee8c6}" id="{96807102-8c16-4cce-bf5b-6526b2167904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0.9467067078</v>
      </c>
      <c r="C3" s="106">
        <f t="shared" ref="C3:C7" si="1">IFERROR(ROUND(ifs(B3="","",B3&gt;=1.05,5,B3&gt;=1.02,4+(B3-1.02)/0.03,B3&gt;=0.99,3+(B3-0.99)/0.03,B3&gt;=0.95,2+(B3-0.95)/0.04,B3&gt;=0.9,1+(B3-0.9)/0.05,TRUE(),0),1),"")</f>
        <v>1.9</v>
      </c>
      <c r="D3" s="107">
        <f t="shared" ref="D3:D7" si="2">IF(C3="","",C3*C$8)</f>
        <v>0.114</v>
      </c>
      <c r="E3" s="108">
        <f>100%+'Weekly Tables'!F3</f>
        <v>1.096515182</v>
      </c>
      <c r="F3" s="106">
        <f t="shared" ref="F3:F7" si="3">IFERROR(ROUND(ifs(E3="","",E3&gt;=1.15,5,E3&gt;=1.075,4+(E3-1.075)/0.075,E3&gt;=1.05,3+(E3-1.05)/0.025,E3&gt;=1,2+(E3-1)/0.05,E3&gt;=0.95,1+(E3-0.95)/0.05,TRUE(),0),1),"")</f>
        <v>4.3</v>
      </c>
      <c r="G3" s="109">
        <f t="shared" ref="G3:G7" si="4">IF(F3="","",F3*F$8)</f>
        <v>0.258</v>
      </c>
      <c r="H3" s="110"/>
      <c r="I3" s="110"/>
      <c r="J3" s="110"/>
      <c r="K3" s="111">
        <f>'Weekly Tables'!L3*100</f>
        <v>-2.7</v>
      </c>
      <c r="L3" s="106">
        <f t="shared" ref="L3:L7" si="5">IFERROR(ROUND(IFS(K3="","",K3&gt;=3,0,K3&gt;=2,1+(3-K3)/1,K3&gt;=1,2+(2-K3)/1,K3&gt;0,3+(1-K3)/1,K3&gt;=-1,4+(0-K3)/1,TRUE,5),1),"")</f>
        <v>5</v>
      </c>
      <c r="M3" s="107">
        <f t="shared" ref="M3:M7" si="6">IF(L3="","",L3*L$8)</f>
        <v>0.725</v>
      </c>
      <c r="N3" s="111">
        <f>'Weekly Tables'!O3*100</f>
        <v>-3.4</v>
      </c>
      <c r="O3" s="106">
        <f t="shared" ref="O3:O7" si="7">IFERROR(ROUND(IFS(N3="","",N3&gt;=3,0,N3&gt;=2,1+(3-N3)/1,N3&gt;=1,2+(2-N3)/1,N3&gt;0,3+(1-N3)/1,N3&gt;=-1,4+(0-N3)/1,TRUE,5),1),"")</f>
        <v>5</v>
      </c>
      <c r="P3" s="107">
        <f t="shared" ref="P3:P7" si="8">IF(O3="","",O3*O$8)</f>
        <v>0.725</v>
      </c>
      <c r="Q3" s="112">
        <f>'Weekly Tables'!E14</f>
        <v>3.33</v>
      </c>
      <c r="R3" s="106">
        <f t="shared" ref="R3:R7" si="9">IFERROR(ROUND(ifs(Q3="","",Value(Q3)="NA","" ,Q3&gt;=4.7,5,Q3&gt;=4.5,4+(Q3-4.5)/0.2,Q3&gt;=4.3,3+(Q3-4.3)/0.2,Q3&gt;=4,2+(Q3-4)/0.3,Q3&gt;=3.8,1+(Q3-3.8)/0.2,TRUE(),0),1),"")</f>
        <v>0</v>
      </c>
      <c r="S3" s="107">
        <f t="shared" ref="S3:S7" si="10">IF(R3="","",R3*R$8)</f>
        <v>0</v>
      </c>
      <c r="T3" s="113">
        <f>'Weekly Tables'!N21</f>
        <v>0.0372</v>
      </c>
      <c r="U3" s="106">
        <f t="shared" ref="U3:U7" si="11">IFERROR(ROUND(ifs(T3="","",T3&lt;=0.01,5,T3&lt;=0.015,4+(0.015-T3)/0.005,T3&lt;=0.02,3+(0.02-T3)/0.005,T3&lt;=0.04,2+(0.04-T3)/0.02,T3&lt;=0.06,1+(0.06-T3)/0.02,TRUE(),0),1),"")</f>
        <v>2.1</v>
      </c>
      <c r="V3" s="107">
        <f t="shared" ref="V3:V7" si="12">IF(U3="","",U3*U$8)</f>
        <v>0.252</v>
      </c>
      <c r="W3" s="114">
        <f t="array" ref="W3">XLOOKUP(A3,'Weekly Tables'!$B$30:$B$34,'Weekly Tables'!$H$30:$H$34)</f>
        <v>1.6</v>
      </c>
      <c r="X3" s="106">
        <f t="shared" ref="X3:X5" si="13">IFERROR(ROUND(ifs(W3="","",W3&lt;=1,5,W3&lt;=1.5,4+(1.5-W3)/0.5,W3&lt;=2,3+(2-W3)/0.5,W3&lt;=5,2+(5-W3)/3,W3&lt;=8,1+(8-W3)/3,TRUE(),0),1),"")</f>
        <v>3.8</v>
      </c>
      <c r="Y3" s="107">
        <f t="shared" ref="Y3:Y7" si="14">IF(X3="","",X3*X$8)</f>
        <v>0.342</v>
      </c>
      <c r="Z3" s="115">
        <f>'Weekly Tables'!E21</f>
        <v>4.3</v>
      </c>
      <c r="AA3" s="106">
        <f t="shared" ref="AA3:AA7" si="15">IFERROR(ROUND(ifs(Z3="","",Z3&gt;=4.7,5,Z3&gt;=4.5,4+(Z3-4.5)/0.2,Z3&gt;=4.3,3+(Z3-4.3)/0.2,Z3&gt;=4,2+(Z3-4)/0.3,Z3&gt;=3.8,1+(Z3-3.8)/0.2,TRUE(),0),1),"")</f>
        <v>3</v>
      </c>
      <c r="AB3" s="107">
        <f t="shared" ref="AB3:AB7" si="16">IF(AA3="","",AA3*AA$8)</f>
        <v>0.27</v>
      </c>
      <c r="AC3" s="106">
        <f t="shared" ref="AC3:AC7" si="17">SUM(D3,G3,J3,M3,P3,S3,V3,Y3,AB3)</f>
        <v>2.686</v>
      </c>
    </row>
    <row r="4" ht="21.75" customHeight="1">
      <c r="A4" s="104" t="s">
        <v>132</v>
      </c>
      <c r="B4" s="108">
        <f>100%+'Weekly Tables'!I4</f>
        <v>1.019066238</v>
      </c>
      <c r="C4" s="106">
        <f t="shared" si="1"/>
        <v>4</v>
      </c>
      <c r="D4" s="107">
        <f t="shared" si="2"/>
        <v>0.24</v>
      </c>
      <c r="E4" s="116">
        <f>100%+'Weekly Tables'!F4</f>
        <v>1.376106051</v>
      </c>
      <c r="F4" s="106">
        <f t="shared" si="3"/>
        <v>5</v>
      </c>
      <c r="G4" s="109">
        <f t="shared" si="4"/>
        <v>0.3</v>
      </c>
      <c r="H4" s="110"/>
      <c r="I4" s="110"/>
      <c r="J4" s="110"/>
      <c r="K4" s="117">
        <f>'Weekly Tables'!L4*100</f>
        <v>2.4</v>
      </c>
      <c r="L4" s="106">
        <f t="shared" si="5"/>
        <v>1.6</v>
      </c>
      <c r="M4" s="107">
        <f t="shared" si="6"/>
        <v>0.232</v>
      </c>
      <c r="N4" s="118">
        <f>'Weekly Tables'!O4*100</f>
        <v>1.1</v>
      </c>
      <c r="O4" s="106">
        <f t="shared" si="7"/>
        <v>2.9</v>
      </c>
      <c r="P4" s="107">
        <f t="shared" si="8"/>
        <v>0.4205</v>
      </c>
      <c r="Q4" s="119" t="str">
        <f>'Weekly Tables'!E12</f>
        <v>NA</v>
      </c>
      <c r="R4" s="106" t="str">
        <f t="shared" si="9"/>
        <v/>
      </c>
      <c r="S4" s="107" t="str">
        <f t="shared" si="10"/>
        <v/>
      </c>
      <c r="T4" s="120">
        <f>'Weekly Tables'!N19</f>
        <v>0.0209</v>
      </c>
      <c r="U4" s="106">
        <f t="shared" si="11"/>
        <v>3</v>
      </c>
      <c r="V4" s="107">
        <f t="shared" si="12"/>
        <v>0.36</v>
      </c>
      <c r="W4" s="121">
        <f t="array" ref="W4">XLOOKUP(A4,'Weekly Tables'!$B$30:$B$34,'Weekly Tables'!$H$30:$H$34)</f>
        <v>1.02</v>
      </c>
      <c r="X4" s="106">
        <f t="shared" si="13"/>
        <v>5</v>
      </c>
      <c r="Y4" s="107">
        <f t="shared" si="14"/>
        <v>0.45</v>
      </c>
      <c r="Z4" s="122">
        <f>'Weekly Tables'!E19</f>
        <v>4.5</v>
      </c>
      <c r="AA4" s="106">
        <f t="shared" si="15"/>
        <v>4</v>
      </c>
      <c r="AB4" s="107">
        <f t="shared" si="16"/>
        <v>0.36</v>
      </c>
      <c r="AC4" s="106">
        <f t="shared" si="17"/>
        <v>2.3625</v>
      </c>
    </row>
    <row r="5" ht="21.75" customHeight="1">
      <c r="A5" s="104" t="s">
        <v>133</v>
      </c>
      <c r="B5" s="116">
        <f>100%+'Weekly Tables'!I5</f>
        <v>1.217244909</v>
      </c>
      <c r="C5" s="106">
        <f t="shared" si="1"/>
        <v>5</v>
      </c>
      <c r="D5" s="107">
        <f t="shared" si="2"/>
        <v>0.3</v>
      </c>
      <c r="E5" s="116">
        <f>100%+'Weekly Tables'!F5</f>
        <v>1.428578772</v>
      </c>
      <c r="F5" s="106">
        <f t="shared" si="3"/>
        <v>5</v>
      </c>
      <c r="G5" s="109">
        <f t="shared" si="4"/>
        <v>0.3</v>
      </c>
      <c r="H5" s="110"/>
      <c r="I5" s="110"/>
      <c r="J5" s="110"/>
      <c r="K5" s="111">
        <f>'Weekly Tables'!L5*100</f>
        <v>-4.1</v>
      </c>
      <c r="L5" s="106">
        <f t="shared" si="5"/>
        <v>5</v>
      </c>
      <c r="M5" s="107">
        <f t="shared" si="6"/>
        <v>0.725</v>
      </c>
      <c r="N5" s="123">
        <f>'Weekly Tables'!O5*100</f>
        <v>0.2</v>
      </c>
      <c r="O5" s="106">
        <f t="shared" si="7"/>
        <v>3.8</v>
      </c>
      <c r="P5" s="107">
        <f t="shared" si="8"/>
        <v>0.551</v>
      </c>
      <c r="Q5" s="124">
        <f>'Weekly Tables'!E13</f>
        <v>4</v>
      </c>
      <c r="R5" s="106">
        <f t="shared" si="9"/>
        <v>2</v>
      </c>
      <c r="S5" s="107">
        <f t="shared" si="10"/>
        <v>0.58</v>
      </c>
      <c r="T5" s="113">
        <f>'Weekly Tables'!N20</f>
        <v>0.0408</v>
      </c>
      <c r="U5" s="106">
        <f t="shared" si="11"/>
        <v>2</v>
      </c>
      <c r="V5" s="107">
        <f t="shared" si="12"/>
        <v>0.24</v>
      </c>
      <c r="W5" s="121">
        <f t="array" ref="W5">XLOOKUP(A5,'Weekly Tables'!$B$30:$B$34,'Weekly Tables'!$H$30:$H$34)</f>
        <v>1.05</v>
      </c>
      <c r="X5" s="106">
        <f t="shared" si="13"/>
        <v>4.9</v>
      </c>
      <c r="Y5" s="107">
        <f t="shared" si="14"/>
        <v>0.441</v>
      </c>
      <c r="Z5" s="122">
        <f>'Weekly Tables'!E20</f>
        <v>4.5</v>
      </c>
      <c r="AA5" s="106">
        <f t="shared" si="15"/>
        <v>4</v>
      </c>
      <c r="AB5" s="107">
        <f t="shared" si="16"/>
        <v>0.36</v>
      </c>
      <c r="AC5" s="106">
        <f t="shared" si="17"/>
        <v>3.497</v>
      </c>
    </row>
    <row r="6" ht="21.75" customHeight="1">
      <c r="A6" s="125" t="s">
        <v>134</v>
      </c>
      <c r="B6" s="126">
        <f>100%+'Weekly Tables'!I6</f>
        <v>0.8707731308</v>
      </c>
      <c r="C6" s="106">
        <f t="shared" si="1"/>
        <v>0</v>
      </c>
      <c r="D6" s="107">
        <f t="shared" si="2"/>
        <v>0</v>
      </c>
      <c r="E6" s="108">
        <f>100%+'Weekly Tables'!F6</f>
        <v>1.089097662</v>
      </c>
      <c r="F6" s="106">
        <f t="shared" si="3"/>
        <v>4.2</v>
      </c>
      <c r="G6" s="109">
        <f t="shared" si="4"/>
        <v>0.252</v>
      </c>
      <c r="H6" s="110"/>
      <c r="I6" s="110"/>
      <c r="J6" s="110"/>
      <c r="K6" s="111">
        <f>'Weekly Tables'!L6*100</f>
        <v>-0.7</v>
      </c>
      <c r="L6" s="106">
        <f t="shared" si="5"/>
        <v>4.7</v>
      </c>
      <c r="M6" s="107">
        <f t="shared" si="6"/>
        <v>0.6815</v>
      </c>
      <c r="N6" s="117">
        <f>'Weekly Tables'!O6*100</f>
        <v>3.3</v>
      </c>
      <c r="O6" s="106">
        <f t="shared" si="7"/>
        <v>0</v>
      </c>
      <c r="P6" s="107">
        <f t="shared" si="8"/>
        <v>0</v>
      </c>
      <c r="Q6" s="127">
        <f>'Weekly Tables'!E15</f>
        <v>4.25</v>
      </c>
      <c r="R6" s="106">
        <f t="shared" si="9"/>
        <v>2.8</v>
      </c>
      <c r="S6" s="107">
        <f t="shared" si="10"/>
        <v>0.812</v>
      </c>
      <c r="T6" s="113">
        <f>'Weekly Tables'!N22</f>
        <v>0.0294</v>
      </c>
      <c r="U6" s="106">
        <f t="shared" si="11"/>
        <v>2.5</v>
      </c>
      <c r="V6" s="107">
        <f t="shared" si="12"/>
        <v>0.3</v>
      </c>
      <c r="W6" s="114">
        <f t="array" ref="W6">XLOOKUP(A6,'Weekly Tables'!$B$30:$B$34,'Weekly Tables'!$H$30:$H$34)</f>
        <v>1.43</v>
      </c>
      <c r="X6" s="128">
        <f>IFERROR(ROUND(ifs(W6="","",W6&lt;=1,5,W6&lt;=1.5,4+(1.5-W6)/0.5,W6&lt;=2,3+(2-W6)/0.5,W6&lt;=5,2+(5-W6)/3,W6&lt;=8,1+(8-W6)/3,TRUE(),0),1),"")</f>
        <v>4.1</v>
      </c>
      <c r="Y6" s="107">
        <f t="shared" si="14"/>
        <v>0.369</v>
      </c>
      <c r="Z6" s="115">
        <f>'Weekly Tables'!E22</f>
        <v>4.2</v>
      </c>
      <c r="AA6" s="106">
        <f t="shared" si="15"/>
        <v>2.7</v>
      </c>
      <c r="AB6" s="107">
        <f t="shared" si="16"/>
        <v>0.243</v>
      </c>
      <c r="AC6" s="106">
        <f t="shared" si="17"/>
        <v>2.6575</v>
      </c>
    </row>
    <row r="7" ht="21.75" customHeight="1">
      <c r="A7" s="129" t="s">
        <v>135</v>
      </c>
      <c r="B7" s="130">
        <f>100%+'Weekly Tables'!I7</f>
        <v>0.8524253197</v>
      </c>
      <c r="C7" s="131">
        <f t="shared" si="1"/>
        <v>0</v>
      </c>
      <c r="D7" s="132">
        <f t="shared" si="2"/>
        <v>0</v>
      </c>
      <c r="E7" s="133">
        <f>100%+'Weekly Tables'!F7</f>
        <v>1.064243935</v>
      </c>
      <c r="F7" s="131">
        <f t="shared" si="3"/>
        <v>3.6</v>
      </c>
      <c r="G7" s="134">
        <f t="shared" si="4"/>
        <v>0.216</v>
      </c>
      <c r="H7" s="135"/>
      <c r="I7" s="135"/>
      <c r="J7" s="135"/>
      <c r="K7" s="136">
        <f>'Weekly Tables'!L7*100</f>
        <v>-1.9</v>
      </c>
      <c r="L7" s="131">
        <f t="shared" si="5"/>
        <v>5</v>
      </c>
      <c r="M7" s="132">
        <f t="shared" si="6"/>
        <v>0.725</v>
      </c>
      <c r="N7" s="137">
        <f>'Weekly Tables'!O7*100</f>
        <v>-0.1</v>
      </c>
      <c r="O7" s="131">
        <f t="shared" si="7"/>
        <v>4.1</v>
      </c>
      <c r="P7" s="132">
        <f t="shared" si="8"/>
        <v>0.5945</v>
      </c>
      <c r="Q7" s="138">
        <f>'Weekly Tables'!E16</f>
        <v>3.88</v>
      </c>
      <c r="R7" s="131">
        <f t="shared" si="9"/>
        <v>1.4</v>
      </c>
      <c r="S7" s="132">
        <f t="shared" si="10"/>
        <v>0.406</v>
      </c>
      <c r="T7" s="139">
        <f>'Weekly Tables'!N23</f>
        <v>0.032075</v>
      </c>
      <c r="U7" s="131">
        <f t="shared" si="11"/>
        <v>2.4</v>
      </c>
      <c r="V7" s="132">
        <f t="shared" si="12"/>
        <v>0.288</v>
      </c>
      <c r="W7" s="140">
        <f t="array" ref="W7">XLOOKUP(A7,'Weekly Tables'!$B$30:$B$35,'Weekly Tables'!$H$30:$H$35)</f>
        <v>1.2</v>
      </c>
      <c r="X7" s="131">
        <f>IFERROR(ROUND(ifs(W7="","",W7&lt;=1,5,W7&lt;=1.5,4+(1.5-W7)/0.5,W7&lt;=2,3+(2-W7)/0.5,W7&lt;=5,2+(5-W7)/3,W7&lt;=8,1+(8-W7)/3,TRUE(),0),1),"")</f>
        <v>4.6</v>
      </c>
      <c r="Y7" s="132">
        <f t="shared" si="14"/>
        <v>0.414</v>
      </c>
      <c r="Z7" s="141">
        <f>'Weekly Tables'!E23</f>
        <v>4.375</v>
      </c>
      <c r="AA7" s="131">
        <f t="shared" si="15"/>
        <v>3.4</v>
      </c>
      <c r="AB7" s="132">
        <f t="shared" si="16"/>
        <v>0.306</v>
      </c>
      <c r="AC7" s="131">
        <f t="shared" si="17"/>
        <v>2.9495</v>
      </c>
    </row>
    <row r="8" ht="19.5" customHeight="1">
      <c r="A8" s="142" t="s">
        <v>136</v>
      </c>
      <c r="B8" s="143"/>
      <c r="C8" s="144">
        <f>'Scoring Matrix'!C20</f>
        <v>0.06</v>
      </c>
      <c r="D8" s="145"/>
      <c r="E8" s="143"/>
      <c r="F8" s="144">
        <f>'Scoring Matrix'!C22</f>
        <v>0.06</v>
      </c>
      <c r="G8" s="146"/>
      <c r="H8" s="147"/>
      <c r="I8" s="148"/>
      <c r="J8" s="149"/>
      <c r="K8" s="143"/>
      <c r="L8" s="144">
        <f>'Scoring Matrix'!C24</f>
        <v>0.145</v>
      </c>
      <c r="M8" s="145"/>
      <c r="N8" s="143"/>
      <c r="O8" s="144">
        <f>'Scoring Matrix'!C26</f>
        <v>0.145</v>
      </c>
      <c r="P8" s="145"/>
      <c r="Q8" s="143"/>
      <c r="R8" s="144">
        <f>'Scoring Matrix'!C28</f>
        <v>0.29</v>
      </c>
      <c r="S8" s="145"/>
      <c r="T8" s="143"/>
      <c r="U8" s="150">
        <f>'Scoring Matrix'!C30</f>
        <v>0.12</v>
      </c>
      <c r="V8" s="145"/>
      <c r="W8" s="143"/>
      <c r="X8" s="150">
        <f>'Scoring Matrix'!C32</f>
        <v>0.09</v>
      </c>
      <c r="Y8" s="145"/>
      <c r="Z8" s="143"/>
      <c r="AA8" s="150">
        <f>'Scoring Matrix'!C34</f>
        <v>0.09</v>
      </c>
      <c r="AB8" s="145"/>
      <c r="AC8" s="151"/>
    </row>
    <row r="9" ht="21.75" customHeight="1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 ht="24.0" customHeight="1">
      <c r="A11" s="153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</row>
    <row r="12">
      <c r="A12" s="152"/>
      <c r="B12" s="152"/>
      <c r="C12" s="155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</row>
    <row r="13">
      <c r="A13" s="152"/>
      <c r="B13" s="152"/>
      <c r="C13" s="155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>
      <c r="A14" s="152"/>
      <c r="B14" s="152"/>
      <c r="C14" s="155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>
      <c r="A15" s="152"/>
      <c r="B15" s="152"/>
      <c r="C15" s="155"/>
      <c r="D15" s="152"/>
      <c r="E15" s="152"/>
      <c r="F15" s="152"/>
      <c r="G15" s="152"/>
      <c r="H15" s="152"/>
      <c r="I15" s="152"/>
      <c r="J15" s="156" t="s">
        <v>137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>
      <c r="A16" s="152"/>
      <c r="B16" s="152"/>
      <c r="C16" s="155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>
      <c r="A17" s="152"/>
      <c r="B17" s="152"/>
      <c r="C17" s="155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 ht="15.75" customHeight="1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 ht="15.75" customHeight="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 ht="15.75" customHeight="1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 ht="15.75" customHeight="1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ht="15.7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 ht="15.7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 ht="15.7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 ht="15.75" customHeight="1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 ht="15.7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ht="15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 ht="15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 ht="15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 ht="15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 ht="15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 ht="15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 ht="15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 ht="15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 ht="15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 ht="15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 ht="15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 ht="15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 ht="15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 ht="15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 ht="15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 ht="15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 ht="15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 ht="15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 ht="15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 ht="15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 ht="15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 ht="15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 ht="15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 ht="15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 ht="15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 ht="15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 ht="15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 ht="15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 ht="15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 ht="15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 ht="15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 ht="15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 ht="15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 ht="15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 ht="15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 ht="15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 ht="15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 ht="15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 ht="15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 ht="15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 ht="15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 ht="15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 ht="15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 ht="15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 ht="15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 ht="15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 ht="15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 ht="15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 ht="15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 ht="15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 ht="15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 ht="15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 ht="15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 ht="15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 ht="15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 ht="15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 ht="15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 ht="15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 ht="15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 ht="15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 ht="15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 ht="15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 ht="15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 ht="15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 ht="15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ht="15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ht="15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 ht="15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 ht="15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 ht="15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 ht="15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 ht="15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 ht="15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 ht="15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 ht="15.7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 ht="15.7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 ht="15.7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 ht="15.7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 ht="15.7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 ht="15.7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 ht="15.7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 ht="15.7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 ht="15.7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 ht="15.7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 ht="15.7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 ht="15.7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 ht="15.7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 ht="15.7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 ht="15.7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 ht="15.7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 ht="15.7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 ht="15.7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 ht="15.7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 ht="15.7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 ht="15.7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 ht="15.7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 ht="15.7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 ht="15.7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 ht="15.7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 ht="15.7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 ht="15.7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 ht="15.7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 ht="15.7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 ht="15.7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 ht="15.7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 ht="15.7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 ht="15.7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 ht="15.7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 ht="15.7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 ht="15.7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7" t="s">
        <v>138</v>
      </c>
      <c r="B1" s="157" t="s">
        <v>139</v>
      </c>
      <c r="C1" s="158" t="s">
        <v>140</v>
      </c>
      <c r="D1" s="158" t="s">
        <v>10</v>
      </c>
      <c r="E1" s="158" t="s">
        <v>17</v>
      </c>
      <c r="F1" s="158" t="s">
        <v>33</v>
      </c>
      <c r="G1" s="158" t="s">
        <v>41</v>
      </c>
      <c r="H1" s="158" t="s">
        <v>127</v>
      </c>
      <c r="I1" s="158" t="s">
        <v>66</v>
      </c>
      <c r="J1" s="157" t="s">
        <v>141</v>
      </c>
      <c r="K1" s="157" t="s">
        <v>59</v>
      </c>
    </row>
    <row r="2">
      <c r="A2" s="159" t="s">
        <v>131</v>
      </c>
      <c r="B2" s="106">
        <f>'Weekly Store Scorecards '!AC3</f>
        <v>2.686</v>
      </c>
      <c r="C2" s="160" t="str">
        <f t="shared" ref="C2:C5" si="1">IFS(B2&lt;1.7,"Non", B2&lt;2.7,"Low", B2&lt;3.7,"Contributor", B2&lt;4.7,"High", TRUE,"STAR")</f>
        <v>Low</v>
      </c>
      <c r="D2" s="161">
        <f>'Weekly Store Scorecards '!B3</f>
        <v>0.9467067078</v>
      </c>
      <c r="E2" s="161">
        <f>'Weekly Store Scorecards '!E3</f>
        <v>1.096515182</v>
      </c>
      <c r="F2" s="162">
        <f>'Weekly Store Scorecards '!K3</f>
        <v>-2.7</v>
      </c>
      <c r="G2" s="162">
        <f>'Weekly Store Scorecards '!N3</f>
        <v>-3.4</v>
      </c>
      <c r="H2" s="163">
        <f>'Weekly Store Scorecards '!Q3</f>
        <v>3.33</v>
      </c>
      <c r="I2" s="164">
        <f>'Weekly Store Scorecards '!Z3</f>
        <v>4.3</v>
      </c>
      <c r="J2" s="165">
        <f>'Weekly Store Scorecards '!T3</f>
        <v>0.0372</v>
      </c>
      <c r="K2" s="166">
        <f>'Weekly Store Scorecards '!W3</f>
        <v>1.6</v>
      </c>
    </row>
    <row r="3">
      <c r="A3" s="159" t="s">
        <v>132</v>
      </c>
      <c r="B3" s="106">
        <f>'Weekly Store Scorecards '!AC4</f>
        <v>2.3625</v>
      </c>
      <c r="C3" s="160" t="str">
        <f t="shared" si="1"/>
        <v>Low</v>
      </c>
      <c r="D3" s="161">
        <f>'Weekly Store Scorecards '!B4</f>
        <v>1.019066238</v>
      </c>
      <c r="E3" s="161">
        <f>'Weekly Store Scorecards '!E4</f>
        <v>1.376106051</v>
      </c>
      <c r="F3" s="162">
        <f>'Weekly Store Scorecards '!K4</f>
        <v>2.4</v>
      </c>
      <c r="G3" s="162">
        <f>'Weekly Store Scorecards '!N4</f>
        <v>1.1</v>
      </c>
      <c r="H3" s="163" t="str">
        <f>'Weekly Store Scorecards '!Q4</f>
        <v>NA</v>
      </c>
      <c r="I3" s="164">
        <f>'Weekly Store Scorecards '!Z4</f>
        <v>4.5</v>
      </c>
      <c r="J3" s="165">
        <f>'Weekly Store Scorecards '!T4</f>
        <v>0.0209</v>
      </c>
      <c r="K3" s="166">
        <f>'Weekly Store Scorecards '!W4</f>
        <v>1.02</v>
      </c>
    </row>
    <row r="4">
      <c r="A4" s="159" t="s">
        <v>133</v>
      </c>
      <c r="B4" s="106">
        <f>'Weekly Store Scorecards '!AC5</f>
        <v>3.497</v>
      </c>
      <c r="C4" s="160" t="str">
        <f t="shared" si="1"/>
        <v>Contributor</v>
      </c>
      <c r="D4" s="161">
        <f>'Weekly Store Scorecards '!B5</f>
        <v>1.217244909</v>
      </c>
      <c r="E4" s="161">
        <f>'Weekly Store Scorecards '!E5</f>
        <v>1.428578772</v>
      </c>
      <c r="F4" s="162">
        <f>'Weekly Store Scorecards '!K5</f>
        <v>-4.1</v>
      </c>
      <c r="G4" s="162">
        <f>'Weekly Store Scorecards '!N5</f>
        <v>0.2</v>
      </c>
      <c r="H4" s="163">
        <f>'Weekly Store Scorecards '!Q5</f>
        <v>4</v>
      </c>
      <c r="I4" s="164">
        <f>'Weekly Store Scorecards '!Z5</f>
        <v>4.5</v>
      </c>
      <c r="J4" s="165">
        <f>'Weekly Store Scorecards '!T5</f>
        <v>0.0408</v>
      </c>
      <c r="K4" s="166">
        <f>'Weekly Store Scorecards '!W5</f>
        <v>1.05</v>
      </c>
    </row>
    <row r="5">
      <c r="A5" s="167" t="s">
        <v>134</v>
      </c>
      <c r="B5" s="106">
        <f>'Weekly Store Scorecards '!AC6</f>
        <v>2.6575</v>
      </c>
      <c r="C5" s="160" t="str">
        <f t="shared" si="1"/>
        <v>Low</v>
      </c>
      <c r="D5" s="161">
        <f>'Weekly Store Scorecards '!B6</f>
        <v>0.8707731308</v>
      </c>
      <c r="E5" s="161">
        <f>'Weekly Store Scorecards '!E6</f>
        <v>1.089097662</v>
      </c>
      <c r="F5" s="162">
        <f>'Weekly Store Scorecards '!K6</f>
        <v>-0.7</v>
      </c>
      <c r="G5" s="162">
        <f>'Weekly Store Scorecards '!N6</f>
        <v>3.3</v>
      </c>
      <c r="H5" s="163">
        <f>'Weekly Store Scorecards '!Q6</f>
        <v>4.25</v>
      </c>
      <c r="I5" s="164">
        <f>'Weekly Store Scorecards '!Z6</f>
        <v>4.2</v>
      </c>
      <c r="J5" s="165">
        <f>'Weekly Store Scorecards '!T6</f>
        <v>0.0294</v>
      </c>
      <c r="K5" s="166">
        <f>'Weekly Store Scorecards '!W6</f>
        <v>1.43</v>
      </c>
    </row>
    <row r="6">
      <c r="A6" s="168" t="s">
        <v>135</v>
      </c>
      <c r="B6" s="131">
        <f>'Weekly Store Scorecards '!AC7</f>
        <v>2.9495</v>
      </c>
      <c r="C6" s="169"/>
      <c r="D6" s="170">
        <f>'Weekly Store Scorecards '!B7</f>
        <v>0.8524253197</v>
      </c>
      <c r="E6" s="170">
        <f>'Weekly Store Scorecards '!E7</f>
        <v>1.064243935</v>
      </c>
      <c r="F6" s="171">
        <f>'Weekly Store Scorecards '!K7</f>
        <v>-1.9</v>
      </c>
      <c r="G6" s="171">
        <f>'Weekly Store Scorecards '!N7</f>
        <v>-0.1</v>
      </c>
      <c r="H6" s="172">
        <f>'Weekly Store Scorecards '!Q7</f>
        <v>3.88</v>
      </c>
      <c r="I6" s="173">
        <f>'Weekly Store Scorecards '!Z7</f>
        <v>4.375</v>
      </c>
      <c r="J6" s="174">
        <f>'Weekly Store Scorecards '!T7</f>
        <v>0.032075</v>
      </c>
      <c r="K6" s="175">
        <f>'Weekly Store Scorecards '!W7</f>
        <v>1.2</v>
      </c>
    </row>
    <row r="7">
      <c r="A7" s="176"/>
      <c r="B7" s="177"/>
      <c r="C7" s="177"/>
      <c r="D7" s="178"/>
      <c r="E7" s="178"/>
      <c r="F7" s="178"/>
      <c r="G7" s="178"/>
      <c r="H7" s="178"/>
      <c r="I7" s="178"/>
      <c r="J7" s="178"/>
      <c r="K7" s="178"/>
    </row>
    <row r="8">
      <c r="A8" s="179"/>
      <c r="B8" s="180"/>
      <c r="C8" s="177"/>
      <c r="D8" s="177"/>
      <c r="E8" s="177"/>
      <c r="F8" s="177"/>
      <c r="G8" s="177"/>
      <c r="H8" s="177"/>
      <c r="I8" s="177"/>
      <c r="J8" s="177"/>
      <c r="K8" s="177"/>
    </row>
    <row r="9">
      <c r="A9" s="181"/>
      <c r="B9" s="182"/>
      <c r="C9" s="183"/>
      <c r="D9" s="182"/>
      <c r="E9" s="182"/>
      <c r="F9" s="182"/>
      <c r="G9" s="182"/>
      <c r="H9" s="182"/>
      <c r="I9" s="182"/>
      <c r="J9" s="182"/>
      <c r="K9" s="183"/>
    </row>
    <row r="10">
      <c r="A10" s="184"/>
      <c r="B10" s="185"/>
      <c r="C10" s="185"/>
      <c r="D10" s="182"/>
      <c r="E10" s="182"/>
      <c r="F10" s="182"/>
      <c r="G10" s="182"/>
      <c r="H10" s="182"/>
      <c r="I10" s="182"/>
      <c r="J10" s="185"/>
      <c r="K10" s="185"/>
    </row>
    <row r="11">
      <c r="A11" s="184"/>
      <c r="B11" s="185"/>
      <c r="C11" s="185"/>
      <c r="D11" s="182"/>
      <c r="E11" s="182"/>
      <c r="F11" s="182"/>
      <c r="G11" s="182"/>
      <c r="H11" s="182"/>
      <c r="I11" s="182"/>
      <c r="J11" s="185"/>
      <c r="K11" s="185"/>
    </row>
    <row r="12">
      <c r="A12" s="184"/>
      <c r="B12" s="185"/>
      <c r="C12" s="185"/>
      <c r="D12" s="182"/>
      <c r="E12" s="182"/>
      <c r="F12" s="182"/>
      <c r="G12" s="182"/>
      <c r="H12" s="182"/>
      <c r="I12" s="182"/>
      <c r="J12" s="185"/>
      <c r="K12" s="185"/>
    </row>
    <row r="13">
      <c r="A13" s="184"/>
      <c r="B13" s="185"/>
      <c r="C13" s="185"/>
      <c r="D13" s="182"/>
      <c r="E13" s="182"/>
      <c r="F13" s="182"/>
      <c r="G13" s="182"/>
      <c r="H13" s="182"/>
      <c r="I13" s="182"/>
      <c r="J13" s="185"/>
      <c r="K13" s="185"/>
    </row>
    <row r="14">
      <c r="A14" s="184"/>
      <c r="B14" s="185"/>
      <c r="C14" s="185"/>
      <c r="D14" s="182"/>
      <c r="E14" s="182"/>
      <c r="F14" s="182"/>
      <c r="G14" s="182"/>
      <c r="H14" s="182"/>
      <c r="I14" s="182"/>
      <c r="J14" s="185"/>
      <c r="K14" s="185"/>
    </row>
    <row r="15">
      <c r="A15" s="184"/>
      <c r="B15" s="185"/>
      <c r="C15" s="185"/>
      <c r="D15" s="182"/>
      <c r="E15" s="182"/>
      <c r="F15" s="182"/>
      <c r="G15" s="182"/>
      <c r="H15" s="182"/>
      <c r="I15" s="182"/>
      <c r="J15" s="185"/>
      <c r="K15" s="185"/>
    </row>
    <row r="16">
      <c r="A16" s="184"/>
      <c r="B16" s="185"/>
      <c r="C16" s="185"/>
      <c r="D16" s="182"/>
      <c r="E16" s="182"/>
      <c r="F16" s="182"/>
      <c r="G16" s="182"/>
      <c r="H16" s="182"/>
      <c r="I16" s="182"/>
      <c r="J16" s="185"/>
      <c r="K16" s="185"/>
    </row>
    <row r="17">
      <c r="A17" s="184"/>
      <c r="B17" s="185"/>
      <c r="C17" s="185"/>
      <c r="D17" s="182"/>
      <c r="E17" s="182"/>
      <c r="F17" s="182"/>
      <c r="G17" s="182"/>
      <c r="H17" s="182"/>
      <c r="I17" s="182"/>
      <c r="J17" s="185"/>
      <c r="K17" s="185"/>
    </row>
    <row r="18">
      <c r="A18" s="184"/>
      <c r="B18" s="185"/>
      <c r="C18" s="185"/>
      <c r="D18" s="182"/>
      <c r="E18" s="182"/>
      <c r="F18" s="182"/>
      <c r="G18" s="182"/>
      <c r="H18" s="182"/>
      <c r="I18" s="182"/>
      <c r="J18" s="185"/>
      <c r="K18" s="183"/>
    </row>
    <row r="19">
      <c r="A19" s="184"/>
      <c r="B19" s="185"/>
      <c r="C19" s="185"/>
      <c r="D19" s="182"/>
      <c r="E19" s="182"/>
      <c r="F19" s="182"/>
      <c r="G19" s="182"/>
      <c r="H19" s="182"/>
      <c r="I19" s="182"/>
      <c r="J19" s="185"/>
      <c r="K19" s="183"/>
    </row>
    <row r="20" ht="15.75" customHeight="1">
      <c r="A20" s="184"/>
    </row>
    <row r="21" ht="15.75" customHeight="1">
      <c r="A21" s="184"/>
    </row>
    <row r="22" ht="15.75" customHeight="1">
      <c r="A22" s="184"/>
    </row>
    <row r="23" ht="15.75" customHeight="1">
      <c r="A23" s="184"/>
    </row>
    <row r="24" ht="15.75" customHeight="1">
      <c r="A24" s="184"/>
    </row>
    <row r="25" ht="15.75" customHeight="1">
      <c r="A25" s="184"/>
    </row>
    <row r="26" ht="15.75" customHeight="1">
      <c r="A26" s="184"/>
    </row>
    <row r="27" ht="15.75" customHeight="1">
      <c r="A27" s="184"/>
    </row>
    <row r="28" ht="15.75" customHeight="1">
      <c r="A28" s="184"/>
    </row>
    <row r="29" ht="15.75" customHeight="1">
      <c r="A29" s="184"/>
    </row>
    <row r="30" ht="15.75" customHeight="1">
      <c r="A30" s="184"/>
    </row>
    <row r="31" ht="15.75" customHeight="1">
      <c r="A31" s="184"/>
    </row>
    <row r="32" ht="15.75" customHeight="1">
      <c r="A32" s="184"/>
    </row>
    <row r="33" ht="15.75" customHeight="1">
      <c r="A33" s="184"/>
    </row>
    <row r="34" ht="15.75" customHeight="1">
      <c r="A34" s="184"/>
    </row>
    <row r="35" ht="15.75" customHeight="1">
      <c r="A35" s="184"/>
    </row>
    <row r="36" ht="15.75" customHeight="1">
      <c r="A36" s="184"/>
    </row>
    <row r="37" ht="15.75" customHeight="1">
      <c r="A37" s="184"/>
    </row>
    <row r="38" ht="15.75" customHeight="1">
      <c r="A38" s="184"/>
    </row>
    <row r="39" ht="15.75" customHeight="1">
      <c r="A39" s="184"/>
    </row>
    <row r="40" ht="15.75" customHeight="1">
      <c r="A40" s="184"/>
    </row>
    <row r="41" ht="15.75" customHeight="1">
      <c r="A41" s="184"/>
    </row>
    <row r="42" ht="15.75" customHeight="1">
      <c r="A42" s="184"/>
    </row>
    <row r="43" ht="15.75" customHeight="1">
      <c r="A43" s="184"/>
    </row>
    <row r="44" ht="15.75" customHeight="1">
      <c r="A44" s="184"/>
    </row>
    <row r="45" ht="15.75" customHeight="1">
      <c r="A45" s="184"/>
    </row>
    <row r="46" ht="15.75" customHeight="1">
      <c r="A46" s="184"/>
    </row>
    <row r="47" ht="15.75" customHeight="1">
      <c r="A47" s="184"/>
    </row>
    <row r="48" ht="15.75" customHeight="1">
      <c r="A48" s="184"/>
    </row>
    <row r="49" ht="15.75" customHeight="1">
      <c r="A49" s="184"/>
    </row>
    <row r="50" ht="15.75" customHeight="1">
      <c r="A50" s="184"/>
    </row>
    <row r="51" ht="15.75" customHeight="1">
      <c r="A51" s="184"/>
    </row>
    <row r="52" ht="15.75" customHeight="1">
      <c r="A52" s="184"/>
    </row>
    <row r="53" ht="15.75" customHeight="1">
      <c r="A53" s="184"/>
    </row>
    <row r="54" ht="15.75" customHeight="1">
      <c r="A54" s="184"/>
    </row>
    <row r="55" ht="15.75" customHeight="1">
      <c r="A55" s="184"/>
    </row>
    <row r="56" ht="15.75" customHeight="1">
      <c r="A56" s="184"/>
    </row>
    <row r="57" ht="15.75" customHeight="1">
      <c r="A57" s="184"/>
    </row>
    <row r="58" ht="15.75" customHeight="1">
      <c r="A58" s="184"/>
    </row>
    <row r="59" ht="15.75" customHeight="1">
      <c r="A59" s="184"/>
    </row>
    <row r="60" ht="15.75" customHeight="1">
      <c r="A60" s="184"/>
    </row>
    <row r="61" ht="15.75" customHeight="1">
      <c r="A61" s="184"/>
    </row>
    <row r="62" ht="15.75" customHeight="1">
      <c r="A62" s="184"/>
    </row>
    <row r="63" ht="15.75" customHeight="1">
      <c r="A63" s="184"/>
    </row>
    <row r="64" ht="15.75" customHeight="1">
      <c r="A64" s="184"/>
    </row>
    <row r="65" ht="15.75" customHeight="1">
      <c r="A65" s="184"/>
    </row>
    <row r="66" ht="15.75" customHeight="1">
      <c r="A66" s="184"/>
    </row>
    <row r="67" ht="15.75" customHeight="1">
      <c r="A67" s="184"/>
    </row>
    <row r="68" ht="15.75" customHeight="1">
      <c r="A68" s="184"/>
    </row>
    <row r="69" ht="15.75" customHeight="1">
      <c r="A69" s="184"/>
    </row>
    <row r="70" ht="15.75" customHeight="1">
      <c r="A70" s="184"/>
    </row>
    <row r="71" ht="15.75" customHeight="1">
      <c r="A71" s="184"/>
    </row>
    <row r="72" ht="15.75" customHeight="1">
      <c r="A72" s="184"/>
    </row>
    <row r="73" ht="15.75" customHeight="1">
      <c r="A73" s="184"/>
    </row>
    <row r="74" ht="15.75" customHeight="1">
      <c r="A74" s="184"/>
    </row>
    <row r="75" ht="15.75" customHeight="1">
      <c r="A75" s="184"/>
    </row>
    <row r="76" ht="15.75" customHeight="1">
      <c r="A76" s="184"/>
    </row>
    <row r="77" ht="15.75" customHeight="1">
      <c r="A77" s="184"/>
    </row>
    <row r="78" ht="15.75" customHeight="1">
      <c r="A78" s="184"/>
    </row>
    <row r="79" ht="15.75" customHeight="1">
      <c r="A79" s="184"/>
    </row>
    <row r="80" ht="15.75" customHeight="1">
      <c r="A80" s="184"/>
    </row>
    <row r="81" ht="15.75" customHeight="1">
      <c r="A81" s="184"/>
    </row>
    <row r="82" ht="15.75" customHeight="1">
      <c r="A82" s="184"/>
    </row>
    <row r="83" ht="15.75" customHeight="1">
      <c r="A83" s="184"/>
    </row>
    <row r="84" ht="15.75" customHeight="1">
      <c r="A84" s="184"/>
    </row>
    <row r="85" ht="15.75" customHeight="1">
      <c r="A85" s="184"/>
    </row>
    <row r="86" ht="15.75" customHeight="1">
      <c r="A86" s="184"/>
    </row>
    <row r="87" ht="15.75" customHeight="1">
      <c r="A87" s="184"/>
    </row>
    <row r="88" ht="15.75" customHeight="1">
      <c r="A88" s="184"/>
    </row>
    <row r="89" ht="15.75" customHeight="1">
      <c r="A89" s="184"/>
    </row>
    <row r="90" ht="15.75" customHeight="1">
      <c r="A90" s="184"/>
    </row>
    <row r="91" ht="15.75" customHeight="1">
      <c r="A91" s="184"/>
    </row>
    <row r="92" ht="15.75" customHeight="1">
      <c r="A92" s="184"/>
    </row>
    <row r="93" ht="15.75" customHeight="1">
      <c r="A93" s="184"/>
    </row>
    <row r="94" ht="15.75" customHeight="1">
      <c r="A94" s="184"/>
    </row>
    <row r="95" ht="15.75" customHeight="1">
      <c r="A95" s="184"/>
    </row>
    <row r="96" ht="15.75" customHeight="1">
      <c r="A96" s="184"/>
    </row>
    <row r="97" ht="15.75" customHeight="1">
      <c r="A97" s="184"/>
    </row>
    <row r="98" ht="15.75" customHeight="1">
      <c r="A98" s="184"/>
    </row>
    <row r="99" ht="15.75" customHeight="1">
      <c r="A99" s="184"/>
    </row>
    <row r="100" ht="15.75" customHeight="1">
      <c r="A100" s="184"/>
    </row>
    <row r="101" ht="15.75" customHeight="1">
      <c r="A101" s="184"/>
    </row>
    <row r="102" ht="15.75" customHeight="1">
      <c r="A102" s="184"/>
    </row>
    <row r="103" ht="15.75" customHeight="1">
      <c r="A103" s="184"/>
    </row>
    <row r="104" ht="15.75" customHeight="1">
      <c r="A104" s="184"/>
    </row>
    <row r="105" ht="15.75" customHeight="1">
      <c r="A105" s="184"/>
    </row>
    <row r="106" ht="15.75" customHeight="1">
      <c r="A106" s="184"/>
    </row>
    <row r="107" ht="15.75" customHeight="1">
      <c r="A107" s="184"/>
    </row>
    <row r="108" ht="15.75" customHeight="1">
      <c r="A108" s="184"/>
    </row>
    <row r="109" ht="15.75" customHeight="1">
      <c r="A109" s="184"/>
    </row>
    <row r="110" ht="15.75" customHeight="1">
      <c r="A110" s="184"/>
    </row>
    <row r="111" ht="15.75" customHeight="1">
      <c r="A111" s="184"/>
    </row>
    <row r="112" ht="15.75" customHeight="1">
      <c r="A112" s="184"/>
    </row>
    <row r="113" ht="15.75" customHeight="1">
      <c r="A113" s="184"/>
    </row>
    <row r="114" ht="15.75" customHeight="1">
      <c r="A114" s="184"/>
    </row>
    <row r="115" ht="15.75" customHeight="1">
      <c r="A115" s="184"/>
    </row>
    <row r="116" ht="15.75" customHeight="1">
      <c r="A116" s="184"/>
    </row>
    <row r="117" ht="15.75" customHeight="1">
      <c r="A117" s="184"/>
    </row>
    <row r="118" ht="15.75" customHeight="1">
      <c r="A118" s="184"/>
    </row>
    <row r="119" ht="15.75" customHeight="1">
      <c r="A119" s="184"/>
    </row>
    <row r="120" ht="15.75" customHeight="1">
      <c r="A120" s="184"/>
    </row>
    <row r="121" ht="15.75" customHeight="1">
      <c r="A121" s="184"/>
    </row>
    <row r="122" ht="15.75" customHeight="1">
      <c r="A122" s="184"/>
    </row>
    <row r="123" ht="15.75" customHeight="1">
      <c r="A123" s="184"/>
    </row>
    <row r="124" ht="15.75" customHeight="1">
      <c r="A124" s="184"/>
    </row>
    <row r="125" ht="15.75" customHeight="1">
      <c r="A125" s="184"/>
    </row>
    <row r="126" ht="15.75" customHeight="1">
      <c r="A126" s="184"/>
    </row>
    <row r="127" ht="15.75" customHeight="1">
      <c r="A127" s="184"/>
    </row>
    <row r="128" ht="15.75" customHeight="1">
      <c r="A128" s="184"/>
    </row>
    <row r="129" ht="15.75" customHeight="1">
      <c r="A129" s="184"/>
    </row>
    <row r="130" ht="15.75" customHeight="1">
      <c r="A130" s="184"/>
    </row>
    <row r="131" ht="15.75" customHeight="1">
      <c r="A131" s="184"/>
    </row>
    <row r="132" ht="15.75" customHeight="1">
      <c r="A132" s="184"/>
    </row>
    <row r="133" ht="15.75" customHeight="1">
      <c r="A133" s="184"/>
    </row>
    <row r="134" ht="15.75" customHeight="1">
      <c r="A134" s="184"/>
    </row>
    <row r="135" ht="15.75" customHeight="1">
      <c r="A135" s="184"/>
    </row>
    <row r="136" ht="15.75" customHeight="1">
      <c r="A136" s="184"/>
    </row>
    <row r="137" ht="15.75" customHeight="1">
      <c r="A137" s="184"/>
    </row>
    <row r="138" ht="15.75" customHeight="1">
      <c r="A138" s="184"/>
    </row>
    <row r="139" ht="15.75" customHeight="1">
      <c r="A139" s="184"/>
    </row>
    <row r="140" ht="15.75" customHeight="1">
      <c r="A140" s="184"/>
    </row>
    <row r="141" ht="15.75" customHeight="1">
      <c r="A141" s="184"/>
    </row>
    <row r="142" ht="15.75" customHeight="1">
      <c r="A142" s="184"/>
    </row>
    <row r="143" ht="15.75" customHeight="1">
      <c r="A143" s="184"/>
    </row>
    <row r="144" ht="15.75" customHeight="1">
      <c r="A144" s="184"/>
    </row>
    <row r="145" ht="15.75" customHeight="1">
      <c r="A145" s="184"/>
    </row>
    <row r="146" ht="15.75" customHeight="1">
      <c r="A146" s="184"/>
    </row>
    <row r="147" ht="15.75" customHeight="1">
      <c r="A147" s="184"/>
    </row>
    <row r="148" ht="15.75" customHeight="1">
      <c r="A148" s="184"/>
    </row>
    <row r="149" ht="15.75" customHeight="1">
      <c r="A149" s="184"/>
    </row>
    <row r="150" ht="15.75" customHeight="1">
      <c r="A150" s="184"/>
    </row>
    <row r="151" ht="15.75" customHeight="1">
      <c r="A151" s="184"/>
    </row>
    <row r="152" ht="15.75" customHeight="1">
      <c r="A152" s="184"/>
    </row>
    <row r="153" ht="15.75" customHeight="1">
      <c r="A153" s="184"/>
    </row>
    <row r="154" ht="15.75" customHeight="1">
      <c r="A154" s="184"/>
    </row>
    <row r="155" ht="15.75" customHeight="1">
      <c r="A155" s="184"/>
    </row>
    <row r="156" ht="15.75" customHeight="1">
      <c r="A156" s="184"/>
    </row>
    <row r="157" ht="15.75" customHeight="1">
      <c r="A157" s="184"/>
    </row>
    <row r="158" ht="15.75" customHeight="1">
      <c r="A158" s="184"/>
    </row>
    <row r="159" ht="15.75" customHeight="1">
      <c r="A159" s="184"/>
    </row>
    <row r="160" ht="15.75" customHeight="1">
      <c r="A160" s="184"/>
    </row>
    <row r="161" ht="15.75" customHeight="1">
      <c r="A161" s="184"/>
    </row>
    <row r="162" ht="15.75" customHeight="1">
      <c r="A162" s="184"/>
    </row>
    <row r="163" ht="15.75" customHeight="1">
      <c r="A163" s="184"/>
    </row>
    <row r="164" ht="15.75" customHeight="1">
      <c r="A164" s="184"/>
    </row>
    <row r="165" ht="15.75" customHeight="1">
      <c r="A165" s="184"/>
    </row>
    <row r="166" ht="15.75" customHeight="1">
      <c r="A166" s="184"/>
    </row>
    <row r="167" ht="15.75" customHeight="1">
      <c r="A167" s="184"/>
    </row>
    <row r="168" ht="15.75" customHeight="1">
      <c r="A168" s="184"/>
    </row>
    <row r="169" ht="15.75" customHeight="1">
      <c r="A169" s="184"/>
    </row>
    <row r="170" ht="15.75" customHeight="1">
      <c r="A170" s="184"/>
    </row>
    <row r="171" ht="15.75" customHeight="1">
      <c r="A171" s="184"/>
    </row>
    <row r="172" ht="15.75" customHeight="1">
      <c r="A172" s="184"/>
    </row>
    <row r="173" ht="15.75" customHeight="1">
      <c r="A173" s="184"/>
    </row>
    <row r="174" ht="15.75" customHeight="1">
      <c r="A174" s="184"/>
    </row>
    <row r="175" ht="15.75" customHeight="1">
      <c r="A175" s="184"/>
    </row>
    <row r="176" ht="15.75" customHeight="1">
      <c r="A176" s="184"/>
    </row>
    <row r="177" ht="15.75" customHeight="1">
      <c r="A177" s="184"/>
    </row>
    <row r="178" ht="15.75" customHeight="1">
      <c r="A178" s="184"/>
    </row>
    <row r="179" ht="15.75" customHeight="1">
      <c r="A179" s="184"/>
    </row>
    <row r="180" ht="15.75" customHeight="1">
      <c r="A180" s="184"/>
    </row>
    <row r="181" ht="15.75" customHeight="1">
      <c r="A181" s="184"/>
    </row>
    <row r="182" ht="15.75" customHeight="1">
      <c r="A182" s="184"/>
    </row>
    <row r="183" ht="15.75" customHeight="1">
      <c r="A183" s="184"/>
    </row>
    <row r="184" ht="15.75" customHeight="1">
      <c r="A184" s="184"/>
    </row>
    <row r="185" ht="15.75" customHeight="1">
      <c r="A185" s="184"/>
    </row>
    <row r="186" ht="15.75" customHeight="1">
      <c r="A186" s="184"/>
    </row>
    <row r="187" ht="15.75" customHeight="1">
      <c r="A187" s="184"/>
    </row>
    <row r="188" ht="15.75" customHeight="1">
      <c r="A188" s="184"/>
    </row>
    <row r="189" ht="15.75" customHeight="1">
      <c r="A189" s="184"/>
    </row>
    <row r="190" ht="15.75" customHeight="1">
      <c r="A190" s="184"/>
    </row>
    <row r="191" ht="15.75" customHeight="1">
      <c r="A191" s="184"/>
    </row>
    <row r="192" ht="15.75" customHeight="1">
      <c r="A192" s="184"/>
    </row>
    <row r="193" ht="15.75" customHeight="1">
      <c r="A193" s="184"/>
    </row>
    <row r="194" ht="15.75" customHeight="1">
      <c r="A194" s="184"/>
    </row>
    <row r="195" ht="15.75" customHeight="1">
      <c r="A195" s="184"/>
    </row>
    <row r="196" ht="15.75" customHeight="1">
      <c r="A196" s="184"/>
    </row>
    <row r="197" ht="15.75" customHeight="1">
      <c r="A197" s="184"/>
    </row>
    <row r="198" ht="15.75" customHeight="1">
      <c r="A198" s="184"/>
    </row>
    <row r="199" ht="15.75" customHeight="1">
      <c r="A199" s="184"/>
    </row>
    <row r="200" ht="15.75" customHeight="1">
      <c r="A200" s="184"/>
    </row>
    <row r="201" ht="15.75" customHeight="1">
      <c r="A201" s="184"/>
    </row>
    <row r="202" ht="15.75" customHeight="1">
      <c r="A202" s="184"/>
    </row>
    <row r="203" ht="15.75" customHeight="1">
      <c r="A203" s="184"/>
    </row>
    <row r="204" ht="15.75" customHeight="1">
      <c r="A204" s="184"/>
    </row>
    <row r="205" ht="15.75" customHeight="1">
      <c r="A205" s="184"/>
    </row>
    <row r="206" ht="15.75" customHeight="1">
      <c r="A206" s="184"/>
    </row>
    <row r="207" ht="15.75" customHeight="1">
      <c r="A207" s="184"/>
    </row>
    <row r="208" ht="15.75" customHeight="1">
      <c r="A208" s="184"/>
    </row>
    <row r="209" ht="15.75" customHeight="1">
      <c r="A209" s="184"/>
    </row>
    <row r="210" ht="15.75" customHeight="1">
      <c r="A210" s="184"/>
    </row>
    <row r="211" ht="15.75" customHeight="1">
      <c r="A211" s="184"/>
    </row>
    <row r="212" ht="15.75" customHeight="1">
      <c r="A212" s="184"/>
    </row>
    <row r="213" ht="15.75" customHeight="1">
      <c r="A213" s="184"/>
    </row>
    <row r="214" ht="15.75" customHeight="1">
      <c r="A214" s="184"/>
    </row>
    <row r="215" ht="15.75" customHeight="1">
      <c r="A215" s="184"/>
    </row>
    <row r="216" ht="15.75" customHeight="1">
      <c r="A216" s="184"/>
    </row>
    <row r="217" ht="15.75" customHeight="1">
      <c r="A217" s="184"/>
    </row>
    <row r="218" ht="15.75" customHeight="1">
      <c r="A218" s="184"/>
    </row>
    <row r="219" ht="15.75" customHeight="1">
      <c r="A219" s="184"/>
    </row>
    <row r="220" ht="15.75" customHeight="1">
      <c r="A220" s="184"/>
    </row>
    <row r="221" ht="15.75" customHeight="1">
      <c r="A221" s="184"/>
    </row>
    <row r="222" ht="15.75" customHeight="1">
      <c r="A222" s="184"/>
    </row>
    <row r="223" ht="15.75" customHeight="1">
      <c r="A223" s="184"/>
    </row>
    <row r="224" ht="15.75" customHeight="1">
      <c r="A224" s="184"/>
    </row>
    <row r="225" ht="15.75" customHeight="1">
      <c r="A225" s="184"/>
    </row>
    <row r="226" ht="15.75" customHeight="1">
      <c r="A226" s="184"/>
    </row>
    <row r="227" ht="15.75" customHeight="1">
      <c r="A227" s="184"/>
    </row>
    <row r="228" ht="15.75" customHeight="1">
      <c r="A228" s="184"/>
    </row>
    <row r="229" ht="15.75" customHeight="1">
      <c r="A229" s="184"/>
    </row>
    <row r="230" ht="15.75" customHeight="1">
      <c r="A230" s="184"/>
    </row>
    <row r="231" ht="15.75" customHeight="1">
      <c r="A231" s="184"/>
    </row>
    <row r="232" ht="15.75" customHeight="1">
      <c r="A232" s="184"/>
    </row>
    <row r="233" ht="15.75" customHeight="1">
      <c r="A233" s="184"/>
    </row>
    <row r="234" ht="15.75" customHeight="1">
      <c r="A234" s="184"/>
    </row>
    <row r="235" ht="15.75" customHeight="1">
      <c r="A235" s="184"/>
    </row>
    <row r="236" ht="15.75" customHeight="1">
      <c r="A236" s="184"/>
    </row>
    <row r="237" ht="15.75" customHeight="1">
      <c r="A237" s="184"/>
    </row>
    <row r="238" ht="15.75" customHeight="1">
      <c r="A238" s="184"/>
    </row>
    <row r="239" ht="15.75" customHeight="1">
      <c r="A239" s="184"/>
    </row>
    <row r="240" ht="15.75" customHeight="1">
      <c r="A240" s="184"/>
    </row>
    <row r="241" ht="15.75" customHeight="1">
      <c r="A241" s="184"/>
    </row>
    <row r="242" ht="15.75" customHeight="1">
      <c r="A242" s="184"/>
    </row>
    <row r="243" ht="15.75" customHeight="1">
      <c r="A243" s="184"/>
    </row>
    <row r="244" ht="15.75" customHeight="1">
      <c r="A244" s="184"/>
    </row>
    <row r="245" ht="15.75" customHeight="1">
      <c r="A245" s="184"/>
    </row>
    <row r="246" ht="15.75" customHeight="1">
      <c r="A246" s="184"/>
    </row>
    <row r="247" ht="15.75" customHeight="1">
      <c r="A247" s="184"/>
    </row>
    <row r="248" ht="15.75" customHeight="1">
      <c r="A248" s="184"/>
    </row>
    <row r="249" ht="15.75" customHeight="1">
      <c r="A249" s="184"/>
    </row>
    <row r="250" ht="15.75" customHeight="1">
      <c r="A250" s="184"/>
    </row>
    <row r="251" ht="15.75" customHeight="1">
      <c r="A251" s="184"/>
    </row>
    <row r="252" ht="15.75" customHeight="1">
      <c r="A252" s="184"/>
    </row>
    <row r="253" ht="15.75" customHeight="1">
      <c r="A253" s="184"/>
    </row>
    <row r="254" ht="15.75" customHeight="1">
      <c r="A254" s="184"/>
    </row>
    <row r="255" ht="15.75" customHeight="1">
      <c r="A255" s="184"/>
    </row>
    <row r="256" ht="15.75" customHeight="1">
      <c r="A256" s="184"/>
    </row>
    <row r="257" ht="15.75" customHeight="1">
      <c r="A257" s="184"/>
    </row>
    <row r="258" ht="15.75" customHeight="1">
      <c r="A258" s="184"/>
    </row>
    <row r="259" ht="15.75" customHeight="1">
      <c r="A259" s="184"/>
    </row>
    <row r="260" ht="15.75" customHeight="1">
      <c r="A260" s="184"/>
    </row>
    <row r="261" ht="15.75" customHeight="1">
      <c r="A261" s="184"/>
    </row>
    <row r="262" ht="15.75" customHeight="1">
      <c r="A262" s="184"/>
    </row>
    <row r="263" ht="15.75" customHeight="1">
      <c r="A263" s="184"/>
    </row>
    <row r="264" ht="15.75" customHeight="1">
      <c r="A264" s="184"/>
    </row>
    <row r="265" ht="15.75" customHeight="1">
      <c r="A265" s="184"/>
    </row>
    <row r="266" ht="15.75" customHeight="1">
      <c r="A266" s="184"/>
    </row>
    <row r="267" ht="15.75" customHeight="1">
      <c r="A267" s="184"/>
    </row>
    <row r="268" ht="15.75" customHeight="1">
      <c r="A268" s="184"/>
    </row>
    <row r="269" ht="15.75" customHeight="1">
      <c r="A269" s="184"/>
    </row>
    <row r="270" ht="15.75" customHeight="1">
      <c r="A270" s="184"/>
    </row>
    <row r="271" ht="15.75" customHeight="1">
      <c r="A271" s="184"/>
    </row>
    <row r="272" ht="15.75" customHeight="1">
      <c r="A272" s="184"/>
    </row>
    <row r="273" ht="15.75" customHeight="1">
      <c r="A273" s="184"/>
    </row>
    <row r="274" ht="15.75" customHeight="1">
      <c r="A274" s="184"/>
    </row>
    <row r="275" ht="15.75" customHeight="1">
      <c r="A275" s="184"/>
    </row>
    <row r="276" ht="15.75" customHeight="1">
      <c r="A276" s="184"/>
    </row>
    <row r="277" ht="15.75" customHeight="1">
      <c r="A277" s="184"/>
    </row>
    <row r="278" ht="15.75" customHeight="1">
      <c r="A278" s="184"/>
    </row>
    <row r="279" ht="15.75" customHeight="1">
      <c r="A279" s="184"/>
    </row>
    <row r="280" ht="15.75" customHeight="1">
      <c r="A280" s="184"/>
    </row>
    <row r="281" ht="15.75" customHeight="1">
      <c r="A281" s="184"/>
    </row>
    <row r="282" ht="15.75" customHeight="1">
      <c r="A282" s="184"/>
    </row>
    <row r="283" ht="15.75" customHeight="1">
      <c r="A283" s="184"/>
    </row>
    <row r="284" ht="15.75" customHeight="1">
      <c r="A284" s="184"/>
    </row>
    <row r="285" ht="15.75" customHeight="1">
      <c r="A285" s="184"/>
    </row>
    <row r="286" ht="15.75" customHeight="1">
      <c r="A286" s="184"/>
    </row>
    <row r="287" ht="15.75" customHeight="1">
      <c r="A287" s="184"/>
    </row>
    <row r="288" ht="15.75" customHeight="1">
      <c r="A288" s="184"/>
    </row>
    <row r="289" ht="15.75" customHeight="1">
      <c r="A289" s="184"/>
    </row>
    <row r="290" ht="15.75" customHeight="1">
      <c r="A290" s="184"/>
    </row>
    <row r="291" ht="15.75" customHeight="1">
      <c r="A291" s="184"/>
    </row>
    <row r="292" ht="15.75" customHeight="1">
      <c r="A292" s="184"/>
    </row>
    <row r="293" ht="15.75" customHeight="1">
      <c r="A293" s="184"/>
    </row>
    <row r="294" ht="15.75" customHeight="1">
      <c r="A294" s="184"/>
    </row>
    <row r="295" ht="15.75" customHeight="1">
      <c r="A295" s="184"/>
    </row>
    <row r="296" ht="15.75" customHeight="1">
      <c r="A296" s="184"/>
    </row>
    <row r="297" ht="15.75" customHeight="1">
      <c r="A297" s="184"/>
    </row>
    <row r="298" ht="15.75" customHeight="1">
      <c r="A298" s="184"/>
    </row>
    <row r="299" ht="15.75" customHeight="1">
      <c r="A299" s="184"/>
    </row>
    <row r="300" ht="15.75" customHeight="1">
      <c r="A300" s="184"/>
    </row>
    <row r="301" ht="15.75" customHeight="1">
      <c r="A301" s="184"/>
    </row>
    <row r="302" ht="15.75" customHeight="1">
      <c r="A302" s="184"/>
    </row>
    <row r="303" ht="15.75" customHeight="1">
      <c r="A303" s="184"/>
    </row>
    <row r="304" ht="15.75" customHeight="1">
      <c r="A304" s="184"/>
    </row>
    <row r="305" ht="15.75" customHeight="1">
      <c r="A305" s="184"/>
    </row>
    <row r="306" ht="15.75" customHeight="1">
      <c r="A306" s="184"/>
    </row>
    <row r="307" ht="15.75" customHeight="1">
      <c r="A307" s="184"/>
    </row>
    <row r="308" ht="15.75" customHeight="1">
      <c r="A308" s="184"/>
    </row>
    <row r="309" ht="15.75" customHeight="1">
      <c r="A309" s="184"/>
    </row>
    <row r="310" ht="15.75" customHeight="1">
      <c r="A310" s="184"/>
    </row>
    <row r="311" ht="15.75" customHeight="1">
      <c r="A311" s="184"/>
    </row>
    <row r="312" ht="15.75" customHeight="1">
      <c r="A312" s="184"/>
    </row>
    <row r="313" ht="15.75" customHeight="1">
      <c r="A313" s="184"/>
    </row>
    <row r="314" ht="15.75" customHeight="1">
      <c r="A314" s="184"/>
    </row>
    <row r="315" ht="15.75" customHeight="1">
      <c r="A315" s="184"/>
    </row>
    <row r="316" ht="15.75" customHeight="1">
      <c r="A316" s="184"/>
    </row>
    <row r="317" ht="15.75" customHeight="1">
      <c r="A317" s="184"/>
    </row>
    <row r="318" ht="15.75" customHeight="1">
      <c r="A318" s="184"/>
    </row>
    <row r="319" ht="15.75" customHeight="1">
      <c r="A319" s="184"/>
    </row>
    <row r="320" ht="15.75" customHeight="1">
      <c r="A320" s="184"/>
    </row>
    <row r="321" ht="15.75" customHeight="1">
      <c r="A321" s="184"/>
    </row>
    <row r="322" ht="15.75" customHeight="1">
      <c r="A322" s="184"/>
    </row>
    <row r="323" ht="15.75" customHeight="1">
      <c r="A323" s="184"/>
    </row>
    <row r="324" ht="15.75" customHeight="1">
      <c r="A324" s="184"/>
    </row>
    <row r="325" ht="15.75" customHeight="1">
      <c r="A325" s="184"/>
    </row>
    <row r="326" ht="15.75" customHeight="1">
      <c r="A326" s="184"/>
    </row>
    <row r="327" ht="15.75" customHeight="1">
      <c r="A327" s="184"/>
    </row>
    <row r="328" ht="15.75" customHeight="1">
      <c r="A328" s="184"/>
    </row>
    <row r="329" ht="15.75" customHeight="1">
      <c r="A329" s="184"/>
    </row>
    <row r="330" ht="15.75" customHeight="1">
      <c r="A330" s="184"/>
    </row>
    <row r="331" ht="15.75" customHeight="1">
      <c r="A331" s="184"/>
    </row>
    <row r="332" ht="15.75" customHeight="1">
      <c r="A332" s="184"/>
    </row>
    <row r="333" ht="15.75" customHeight="1">
      <c r="A333" s="184"/>
    </row>
    <row r="334" ht="15.75" customHeight="1">
      <c r="A334" s="184"/>
    </row>
    <row r="335" ht="15.75" customHeight="1">
      <c r="A335" s="184"/>
    </row>
    <row r="336" ht="15.75" customHeight="1">
      <c r="A336" s="184"/>
    </row>
    <row r="337" ht="15.75" customHeight="1">
      <c r="A337" s="184"/>
    </row>
    <row r="338" ht="15.75" customHeight="1">
      <c r="A338" s="184"/>
    </row>
    <row r="339" ht="15.75" customHeight="1">
      <c r="A339" s="184"/>
    </row>
    <row r="340" ht="15.75" customHeight="1">
      <c r="A340" s="184"/>
    </row>
    <row r="341" ht="15.75" customHeight="1">
      <c r="A341" s="184"/>
    </row>
    <row r="342" ht="15.75" customHeight="1">
      <c r="A342" s="184"/>
    </row>
    <row r="343" ht="15.75" customHeight="1">
      <c r="A343" s="184"/>
    </row>
    <row r="344" ht="15.75" customHeight="1">
      <c r="A344" s="184"/>
    </row>
    <row r="345" ht="15.75" customHeight="1">
      <c r="A345" s="184"/>
    </row>
    <row r="346" ht="15.75" customHeight="1">
      <c r="A346" s="184"/>
    </row>
    <row r="347" ht="15.75" customHeight="1">
      <c r="A347" s="184"/>
    </row>
    <row r="348" ht="15.75" customHeight="1">
      <c r="A348" s="184"/>
    </row>
    <row r="349" ht="15.75" customHeight="1">
      <c r="A349" s="184"/>
    </row>
    <row r="350" ht="15.75" customHeight="1">
      <c r="A350" s="184"/>
    </row>
    <row r="351" ht="15.75" customHeight="1">
      <c r="A351" s="184"/>
    </row>
    <row r="352" ht="15.75" customHeight="1">
      <c r="A352" s="184"/>
    </row>
    <row r="353" ht="15.75" customHeight="1">
      <c r="A353" s="184"/>
    </row>
    <row r="354" ht="15.75" customHeight="1">
      <c r="A354" s="184"/>
    </row>
    <row r="355" ht="15.75" customHeight="1">
      <c r="A355" s="184"/>
    </row>
    <row r="356" ht="15.75" customHeight="1">
      <c r="A356" s="184"/>
    </row>
    <row r="357" ht="15.75" customHeight="1">
      <c r="A357" s="184"/>
    </row>
    <row r="358" ht="15.75" customHeight="1">
      <c r="A358" s="184"/>
    </row>
    <row r="359" ht="15.75" customHeight="1">
      <c r="A359" s="184"/>
    </row>
    <row r="360" ht="15.75" customHeight="1">
      <c r="A360" s="184"/>
    </row>
    <row r="361" ht="15.75" customHeight="1">
      <c r="A361" s="184"/>
    </row>
    <row r="362" ht="15.75" customHeight="1">
      <c r="A362" s="184"/>
    </row>
    <row r="363" ht="15.75" customHeight="1">
      <c r="A363" s="184"/>
    </row>
    <row r="364" ht="15.75" customHeight="1">
      <c r="A364" s="184"/>
    </row>
    <row r="365" ht="15.75" customHeight="1">
      <c r="A365" s="184"/>
    </row>
    <row r="366" ht="15.75" customHeight="1">
      <c r="A366" s="184"/>
    </row>
    <row r="367" ht="15.75" customHeight="1">
      <c r="A367" s="184"/>
    </row>
    <row r="368" ht="15.75" customHeight="1">
      <c r="A368" s="184"/>
    </row>
    <row r="369" ht="15.75" customHeight="1">
      <c r="A369" s="184"/>
    </row>
    <row r="370" ht="15.75" customHeight="1">
      <c r="A370" s="184"/>
    </row>
    <row r="371" ht="15.75" customHeight="1">
      <c r="A371" s="184"/>
    </row>
    <row r="372" ht="15.75" customHeight="1">
      <c r="A372" s="184"/>
    </row>
    <row r="373" ht="15.75" customHeight="1">
      <c r="A373" s="184"/>
    </row>
    <row r="374" ht="15.75" customHeight="1">
      <c r="A374" s="184"/>
    </row>
    <row r="375" ht="15.75" customHeight="1">
      <c r="A375" s="184"/>
    </row>
    <row r="376" ht="15.75" customHeight="1">
      <c r="A376" s="184"/>
    </row>
    <row r="377" ht="15.75" customHeight="1">
      <c r="A377" s="184"/>
    </row>
    <row r="378" ht="15.75" customHeight="1">
      <c r="A378" s="184"/>
    </row>
    <row r="379" ht="15.75" customHeight="1">
      <c r="A379" s="184"/>
    </row>
    <row r="380" ht="15.75" customHeight="1">
      <c r="A380" s="184"/>
    </row>
    <row r="381" ht="15.75" customHeight="1">
      <c r="A381" s="184"/>
    </row>
    <row r="382" ht="15.75" customHeight="1">
      <c r="A382" s="184"/>
    </row>
    <row r="383" ht="15.75" customHeight="1">
      <c r="A383" s="184"/>
    </row>
    <row r="384" ht="15.75" customHeight="1">
      <c r="A384" s="184"/>
    </row>
    <row r="385" ht="15.75" customHeight="1">
      <c r="A385" s="184"/>
    </row>
    <row r="386" ht="15.75" customHeight="1">
      <c r="A386" s="184"/>
    </row>
    <row r="387" ht="15.75" customHeight="1">
      <c r="A387" s="184"/>
    </row>
    <row r="388" ht="15.75" customHeight="1">
      <c r="A388" s="184"/>
    </row>
    <row r="389" ht="15.75" customHeight="1">
      <c r="A389" s="184"/>
    </row>
    <row r="390" ht="15.75" customHeight="1">
      <c r="A390" s="184"/>
    </row>
    <row r="391" ht="15.75" customHeight="1">
      <c r="A391" s="184"/>
    </row>
    <row r="392" ht="15.75" customHeight="1">
      <c r="A392" s="184"/>
    </row>
    <row r="393" ht="15.75" customHeight="1">
      <c r="A393" s="184"/>
    </row>
    <row r="394" ht="15.75" customHeight="1">
      <c r="A394" s="184"/>
    </row>
    <row r="395" ht="15.75" customHeight="1">
      <c r="A395" s="184"/>
    </row>
    <row r="396" ht="15.75" customHeight="1">
      <c r="A396" s="184"/>
    </row>
    <row r="397" ht="15.75" customHeight="1">
      <c r="A397" s="184"/>
    </row>
    <row r="398" ht="15.75" customHeight="1">
      <c r="A398" s="184"/>
    </row>
    <row r="399" ht="15.75" customHeight="1">
      <c r="A399" s="184"/>
    </row>
    <row r="400" ht="15.75" customHeight="1">
      <c r="A400" s="184"/>
    </row>
    <row r="401" ht="15.75" customHeight="1">
      <c r="A401" s="184"/>
    </row>
    <row r="402" ht="15.75" customHeight="1">
      <c r="A402" s="184"/>
    </row>
    <row r="403" ht="15.75" customHeight="1">
      <c r="A403" s="184"/>
    </row>
    <row r="404" ht="15.75" customHeight="1">
      <c r="A404" s="184"/>
    </row>
    <row r="405" ht="15.75" customHeight="1">
      <c r="A405" s="184"/>
    </row>
    <row r="406" ht="15.75" customHeight="1">
      <c r="A406" s="184"/>
    </row>
    <row r="407" ht="15.75" customHeight="1">
      <c r="A407" s="184"/>
    </row>
    <row r="408" ht="15.75" customHeight="1">
      <c r="A408" s="184"/>
    </row>
    <row r="409" ht="15.75" customHeight="1">
      <c r="A409" s="184"/>
    </row>
    <row r="410" ht="15.75" customHeight="1">
      <c r="A410" s="184"/>
    </row>
    <row r="411" ht="15.75" customHeight="1">
      <c r="A411" s="184"/>
    </row>
    <row r="412" ht="15.75" customHeight="1">
      <c r="A412" s="184"/>
    </row>
    <row r="413" ht="15.75" customHeight="1">
      <c r="A413" s="184"/>
    </row>
    <row r="414" ht="15.75" customHeight="1">
      <c r="A414" s="184"/>
    </row>
    <row r="415" ht="15.75" customHeight="1">
      <c r="A415" s="184"/>
    </row>
    <row r="416" ht="15.75" customHeight="1">
      <c r="A416" s="184"/>
    </row>
    <row r="417" ht="15.75" customHeight="1">
      <c r="A417" s="184"/>
    </row>
    <row r="418" ht="15.75" customHeight="1">
      <c r="A418" s="184"/>
    </row>
    <row r="419" ht="15.75" customHeight="1">
      <c r="A419" s="184"/>
    </row>
    <row r="420" ht="15.75" customHeight="1">
      <c r="A420" s="184"/>
    </row>
    <row r="421" ht="15.75" customHeight="1">
      <c r="A421" s="184"/>
    </row>
    <row r="422" ht="15.75" customHeight="1">
      <c r="A422" s="184"/>
    </row>
    <row r="423" ht="15.75" customHeight="1">
      <c r="A423" s="184"/>
    </row>
    <row r="424" ht="15.75" customHeight="1">
      <c r="A424" s="184"/>
    </row>
    <row r="425" ht="15.75" customHeight="1">
      <c r="A425" s="184"/>
    </row>
    <row r="426" ht="15.75" customHeight="1">
      <c r="A426" s="184"/>
    </row>
    <row r="427" ht="15.75" customHeight="1">
      <c r="A427" s="184"/>
    </row>
    <row r="428" ht="15.75" customHeight="1">
      <c r="A428" s="184"/>
    </row>
    <row r="429" ht="15.75" customHeight="1">
      <c r="A429" s="184"/>
    </row>
    <row r="430" ht="15.75" customHeight="1">
      <c r="A430" s="184"/>
    </row>
    <row r="431" ht="15.75" customHeight="1">
      <c r="A431" s="184"/>
    </row>
    <row r="432" ht="15.75" customHeight="1">
      <c r="A432" s="184"/>
    </row>
    <row r="433" ht="15.75" customHeight="1">
      <c r="A433" s="184"/>
    </row>
    <row r="434" ht="15.75" customHeight="1">
      <c r="A434" s="184"/>
    </row>
    <row r="435" ht="15.75" customHeight="1">
      <c r="A435" s="184"/>
    </row>
    <row r="436" ht="15.75" customHeight="1">
      <c r="A436" s="184"/>
    </row>
    <row r="437" ht="15.75" customHeight="1">
      <c r="A437" s="184"/>
    </row>
    <row r="438" ht="15.75" customHeight="1">
      <c r="A438" s="184"/>
    </row>
    <row r="439" ht="15.75" customHeight="1">
      <c r="A439" s="184"/>
    </row>
    <row r="440" ht="15.75" customHeight="1">
      <c r="A440" s="184"/>
    </row>
    <row r="441" ht="15.75" customHeight="1">
      <c r="A441" s="184"/>
    </row>
    <row r="442" ht="15.75" customHeight="1">
      <c r="A442" s="184"/>
    </row>
    <row r="443" ht="15.75" customHeight="1">
      <c r="A443" s="184"/>
    </row>
    <row r="444" ht="15.75" customHeight="1">
      <c r="A444" s="184"/>
    </row>
    <row r="445" ht="15.75" customHeight="1">
      <c r="A445" s="184"/>
    </row>
    <row r="446" ht="15.75" customHeight="1">
      <c r="A446" s="184"/>
    </row>
    <row r="447" ht="15.75" customHeight="1">
      <c r="A447" s="184"/>
    </row>
    <row r="448" ht="15.75" customHeight="1">
      <c r="A448" s="184"/>
    </row>
    <row r="449" ht="15.75" customHeight="1">
      <c r="A449" s="184"/>
    </row>
    <row r="450" ht="15.75" customHeight="1">
      <c r="A450" s="184"/>
    </row>
    <row r="451" ht="15.75" customHeight="1">
      <c r="A451" s="184"/>
    </row>
    <row r="452" ht="15.75" customHeight="1">
      <c r="A452" s="184"/>
    </row>
    <row r="453" ht="15.75" customHeight="1">
      <c r="A453" s="184"/>
    </row>
    <row r="454" ht="15.75" customHeight="1">
      <c r="A454" s="184"/>
    </row>
    <row r="455" ht="15.75" customHeight="1">
      <c r="A455" s="184"/>
    </row>
    <row r="456" ht="15.75" customHeight="1">
      <c r="A456" s="184"/>
    </row>
    <row r="457" ht="15.75" customHeight="1">
      <c r="A457" s="184"/>
    </row>
    <row r="458" ht="15.75" customHeight="1">
      <c r="A458" s="184"/>
    </row>
    <row r="459" ht="15.75" customHeight="1">
      <c r="A459" s="184"/>
    </row>
    <row r="460" ht="15.75" customHeight="1">
      <c r="A460" s="184"/>
    </row>
    <row r="461" ht="15.75" customHeight="1">
      <c r="A461" s="184"/>
    </row>
    <row r="462" ht="15.75" customHeight="1">
      <c r="A462" s="184"/>
    </row>
    <row r="463" ht="15.75" customHeight="1">
      <c r="A463" s="184"/>
    </row>
    <row r="464" ht="15.75" customHeight="1">
      <c r="A464" s="184"/>
    </row>
    <row r="465" ht="15.75" customHeight="1">
      <c r="A465" s="184"/>
    </row>
    <row r="466" ht="15.75" customHeight="1">
      <c r="A466" s="184"/>
    </row>
    <row r="467" ht="15.75" customHeight="1">
      <c r="A467" s="184"/>
    </row>
    <row r="468" ht="15.75" customHeight="1">
      <c r="A468" s="184"/>
    </row>
    <row r="469" ht="15.75" customHeight="1">
      <c r="A469" s="184"/>
    </row>
    <row r="470" ht="15.75" customHeight="1">
      <c r="A470" s="184"/>
    </row>
    <row r="471" ht="15.75" customHeight="1">
      <c r="A471" s="184"/>
    </row>
    <row r="472" ht="15.75" customHeight="1">
      <c r="A472" s="184"/>
    </row>
    <row r="473" ht="15.75" customHeight="1">
      <c r="A473" s="184"/>
    </row>
    <row r="474" ht="15.75" customHeight="1">
      <c r="A474" s="184"/>
    </row>
    <row r="475" ht="15.75" customHeight="1">
      <c r="A475" s="184"/>
    </row>
    <row r="476" ht="15.75" customHeight="1">
      <c r="A476" s="184"/>
    </row>
    <row r="477" ht="15.75" customHeight="1">
      <c r="A477" s="184"/>
    </row>
    <row r="478" ht="15.75" customHeight="1">
      <c r="A478" s="184"/>
    </row>
    <row r="479" ht="15.75" customHeight="1">
      <c r="A479" s="184"/>
    </row>
    <row r="480" ht="15.75" customHeight="1">
      <c r="A480" s="184"/>
    </row>
    <row r="481" ht="15.75" customHeight="1">
      <c r="A481" s="184"/>
    </row>
    <row r="482" ht="15.75" customHeight="1">
      <c r="A482" s="184"/>
    </row>
    <row r="483" ht="15.75" customHeight="1">
      <c r="A483" s="184"/>
    </row>
    <row r="484" ht="15.75" customHeight="1">
      <c r="A484" s="184"/>
    </row>
    <row r="485" ht="15.75" customHeight="1">
      <c r="A485" s="184"/>
    </row>
    <row r="486" ht="15.75" customHeight="1">
      <c r="A486" s="184"/>
    </row>
    <row r="487" ht="15.75" customHeight="1">
      <c r="A487" s="184"/>
    </row>
    <row r="488" ht="15.75" customHeight="1">
      <c r="A488" s="184"/>
    </row>
    <row r="489" ht="15.75" customHeight="1">
      <c r="A489" s="184"/>
    </row>
    <row r="490" ht="15.75" customHeight="1">
      <c r="A490" s="184"/>
    </row>
    <row r="491" ht="15.75" customHeight="1">
      <c r="A491" s="184"/>
    </row>
    <row r="492" ht="15.75" customHeight="1">
      <c r="A492" s="184"/>
    </row>
    <row r="493" ht="15.75" customHeight="1">
      <c r="A493" s="184"/>
    </row>
    <row r="494" ht="15.75" customHeight="1">
      <c r="A494" s="184"/>
    </row>
    <row r="495" ht="15.75" customHeight="1">
      <c r="A495" s="184"/>
    </row>
    <row r="496" ht="15.75" customHeight="1">
      <c r="A496" s="184"/>
    </row>
    <row r="497" ht="15.75" customHeight="1">
      <c r="A497" s="184"/>
    </row>
    <row r="498" ht="15.75" customHeight="1">
      <c r="A498" s="184"/>
    </row>
    <row r="499" ht="15.75" customHeight="1">
      <c r="A499" s="184"/>
    </row>
    <row r="500" ht="15.75" customHeight="1">
      <c r="A500" s="184"/>
    </row>
    <row r="501" ht="15.75" customHeight="1">
      <c r="A501" s="184"/>
    </row>
    <row r="502" ht="15.75" customHeight="1">
      <c r="A502" s="184"/>
    </row>
    <row r="503" ht="15.75" customHeight="1">
      <c r="A503" s="184"/>
    </row>
    <row r="504" ht="15.75" customHeight="1">
      <c r="A504" s="184"/>
    </row>
    <row r="505" ht="15.75" customHeight="1">
      <c r="A505" s="184"/>
    </row>
    <row r="506" ht="15.75" customHeight="1">
      <c r="A506" s="184"/>
    </row>
    <row r="507" ht="15.75" customHeight="1">
      <c r="A507" s="184"/>
    </row>
    <row r="508" ht="15.75" customHeight="1">
      <c r="A508" s="184"/>
    </row>
    <row r="509" ht="15.75" customHeight="1">
      <c r="A509" s="184"/>
    </row>
    <row r="510" ht="15.75" customHeight="1">
      <c r="A510" s="184"/>
    </row>
    <row r="511" ht="15.75" customHeight="1">
      <c r="A511" s="184"/>
    </row>
    <row r="512" ht="15.75" customHeight="1">
      <c r="A512" s="184"/>
    </row>
    <row r="513" ht="15.75" customHeight="1">
      <c r="A513" s="184"/>
    </row>
    <row r="514" ht="15.75" customHeight="1">
      <c r="A514" s="184"/>
    </row>
    <row r="515" ht="15.75" customHeight="1">
      <c r="A515" s="184"/>
    </row>
    <row r="516" ht="15.75" customHeight="1">
      <c r="A516" s="184"/>
    </row>
    <row r="517" ht="15.75" customHeight="1">
      <c r="A517" s="184"/>
    </row>
    <row r="518" ht="15.75" customHeight="1">
      <c r="A518" s="184"/>
    </row>
    <row r="519" ht="15.75" customHeight="1">
      <c r="A519" s="184"/>
    </row>
    <row r="520" ht="15.75" customHeight="1">
      <c r="A520" s="184"/>
    </row>
    <row r="521" ht="15.75" customHeight="1">
      <c r="A521" s="184"/>
    </row>
    <row r="522" ht="15.75" customHeight="1">
      <c r="A522" s="184"/>
    </row>
    <row r="523" ht="15.75" customHeight="1">
      <c r="A523" s="184"/>
    </row>
    <row r="524" ht="15.75" customHeight="1">
      <c r="A524" s="184"/>
    </row>
    <row r="525" ht="15.75" customHeight="1">
      <c r="A525" s="184"/>
    </row>
    <row r="526" ht="15.75" customHeight="1">
      <c r="A526" s="184"/>
    </row>
    <row r="527" ht="15.75" customHeight="1">
      <c r="A527" s="184"/>
    </row>
    <row r="528" ht="15.75" customHeight="1">
      <c r="A528" s="184"/>
    </row>
    <row r="529" ht="15.75" customHeight="1">
      <c r="A529" s="184"/>
    </row>
    <row r="530" ht="15.75" customHeight="1">
      <c r="A530" s="184"/>
    </row>
    <row r="531" ht="15.75" customHeight="1">
      <c r="A531" s="184"/>
    </row>
    <row r="532" ht="15.75" customHeight="1">
      <c r="A532" s="184"/>
    </row>
    <row r="533" ht="15.75" customHeight="1">
      <c r="A533" s="184"/>
    </row>
    <row r="534" ht="15.75" customHeight="1">
      <c r="A534" s="184"/>
    </row>
    <row r="535" ht="15.75" customHeight="1">
      <c r="A535" s="184"/>
    </row>
    <row r="536" ht="15.75" customHeight="1">
      <c r="A536" s="184"/>
    </row>
    <row r="537" ht="15.75" customHeight="1">
      <c r="A537" s="184"/>
    </row>
    <row r="538" ht="15.75" customHeight="1">
      <c r="A538" s="184"/>
    </row>
    <row r="539" ht="15.75" customHeight="1">
      <c r="A539" s="184"/>
    </row>
    <row r="540" ht="15.75" customHeight="1">
      <c r="A540" s="184"/>
    </row>
    <row r="541" ht="15.75" customHeight="1">
      <c r="A541" s="184"/>
    </row>
    <row r="542" ht="15.75" customHeight="1">
      <c r="A542" s="184"/>
    </row>
    <row r="543" ht="15.75" customHeight="1">
      <c r="A543" s="184"/>
    </row>
    <row r="544" ht="15.75" customHeight="1">
      <c r="A544" s="184"/>
    </row>
    <row r="545" ht="15.75" customHeight="1">
      <c r="A545" s="184"/>
    </row>
    <row r="546" ht="15.75" customHeight="1">
      <c r="A546" s="184"/>
    </row>
    <row r="547" ht="15.75" customHeight="1">
      <c r="A547" s="184"/>
    </row>
    <row r="548" ht="15.75" customHeight="1">
      <c r="A548" s="184"/>
    </row>
    <row r="549" ht="15.75" customHeight="1">
      <c r="A549" s="184"/>
    </row>
    <row r="550" ht="15.75" customHeight="1">
      <c r="A550" s="184"/>
    </row>
    <row r="551" ht="15.75" customHeight="1">
      <c r="A551" s="184"/>
    </row>
    <row r="552" ht="15.75" customHeight="1">
      <c r="A552" s="184"/>
    </row>
    <row r="553" ht="15.75" customHeight="1">
      <c r="A553" s="184"/>
    </row>
    <row r="554" ht="15.75" customHeight="1">
      <c r="A554" s="184"/>
    </row>
    <row r="555" ht="15.75" customHeight="1">
      <c r="A555" s="184"/>
    </row>
    <row r="556" ht="15.75" customHeight="1">
      <c r="A556" s="184"/>
    </row>
    <row r="557" ht="15.75" customHeight="1">
      <c r="A557" s="184"/>
    </row>
    <row r="558" ht="15.75" customHeight="1">
      <c r="A558" s="184"/>
    </row>
    <row r="559" ht="15.75" customHeight="1">
      <c r="A559" s="184"/>
    </row>
    <row r="560" ht="15.75" customHeight="1">
      <c r="A560" s="184"/>
    </row>
    <row r="561" ht="15.75" customHeight="1">
      <c r="A561" s="184"/>
    </row>
    <row r="562" ht="15.75" customHeight="1">
      <c r="A562" s="184"/>
    </row>
    <row r="563" ht="15.75" customHeight="1">
      <c r="A563" s="184"/>
    </row>
    <row r="564" ht="15.75" customHeight="1">
      <c r="A564" s="184"/>
    </row>
    <row r="565" ht="15.75" customHeight="1">
      <c r="A565" s="184"/>
    </row>
    <row r="566" ht="15.75" customHeight="1">
      <c r="A566" s="184"/>
    </row>
    <row r="567" ht="15.75" customHeight="1">
      <c r="A567" s="184"/>
    </row>
    <row r="568" ht="15.75" customHeight="1">
      <c r="A568" s="184"/>
    </row>
    <row r="569" ht="15.75" customHeight="1">
      <c r="A569" s="184"/>
    </row>
    <row r="570" ht="15.75" customHeight="1">
      <c r="A570" s="184"/>
    </row>
    <row r="571" ht="15.75" customHeight="1">
      <c r="A571" s="184"/>
    </row>
    <row r="572" ht="15.75" customHeight="1">
      <c r="A572" s="184"/>
    </row>
    <row r="573" ht="15.75" customHeight="1">
      <c r="A573" s="184"/>
    </row>
    <row r="574" ht="15.75" customHeight="1">
      <c r="A574" s="184"/>
    </row>
    <row r="575" ht="15.75" customHeight="1">
      <c r="A575" s="184"/>
    </row>
    <row r="576" ht="15.75" customHeight="1">
      <c r="A576" s="184"/>
    </row>
    <row r="577" ht="15.75" customHeight="1">
      <c r="A577" s="184"/>
    </row>
    <row r="578" ht="15.75" customHeight="1">
      <c r="A578" s="184"/>
    </row>
    <row r="579" ht="15.75" customHeight="1">
      <c r="A579" s="184"/>
    </row>
    <row r="580" ht="15.75" customHeight="1">
      <c r="A580" s="184"/>
    </row>
    <row r="581" ht="15.75" customHeight="1">
      <c r="A581" s="184"/>
    </row>
    <row r="582" ht="15.75" customHeight="1">
      <c r="A582" s="184"/>
    </row>
    <row r="583" ht="15.75" customHeight="1">
      <c r="A583" s="184"/>
    </row>
    <row r="584" ht="15.75" customHeight="1">
      <c r="A584" s="184"/>
    </row>
    <row r="585" ht="15.75" customHeight="1">
      <c r="A585" s="184"/>
    </row>
    <row r="586" ht="15.75" customHeight="1">
      <c r="A586" s="184"/>
    </row>
    <row r="587" ht="15.75" customHeight="1">
      <c r="A587" s="184"/>
    </row>
    <row r="588" ht="15.75" customHeight="1">
      <c r="A588" s="184"/>
    </row>
    <row r="589" ht="15.75" customHeight="1">
      <c r="A589" s="184"/>
    </row>
    <row r="590" ht="15.75" customHeight="1">
      <c r="A590" s="184"/>
    </row>
    <row r="591" ht="15.75" customHeight="1">
      <c r="A591" s="184"/>
    </row>
    <row r="592" ht="15.75" customHeight="1">
      <c r="A592" s="184"/>
    </row>
    <row r="593" ht="15.75" customHeight="1">
      <c r="A593" s="184"/>
    </row>
    <row r="594" ht="15.75" customHeight="1">
      <c r="A594" s="184"/>
    </row>
    <row r="595" ht="15.75" customHeight="1">
      <c r="A595" s="184"/>
    </row>
    <row r="596" ht="15.75" customHeight="1">
      <c r="A596" s="184"/>
    </row>
    <row r="597" ht="15.75" customHeight="1">
      <c r="A597" s="184"/>
    </row>
    <row r="598" ht="15.75" customHeight="1">
      <c r="A598" s="184"/>
    </row>
    <row r="599" ht="15.75" customHeight="1">
      <c r="A599" s="184"/>
    </row>
    <row r="600" ht="15.75" customHeight="1">
      <c r="A600" s="184"/>
    </row>
    <row r="601" ht="15.75" customHeight="1">
      <c r="A601" s="184"/>
    </row>
    <row r="602" ht="15.75" customHeight="1">
      <c r="A602" s="184"/>
    </row>
    <row r="603" ht="15.75" customHeight="1">
      <c r="A603" s="184"/>
    </row>
    <row r="604" ht="15.75" customHeight="1">
      <c r="A604" s="184"/>
    </row>
    <row r="605" ht="15.75" customHeight="1">
      <c r="A605" s="184"/>
    </row>
    <row r="606" ht="15.75" customHeight="1">
      <c r="A606" s="184"/>
    </row>
    <row r="607" ht="15.75" customHeight="1">
      <c r="A607" s="184"/>
    </row>
    <row r="608" ht="15.75" customHeight="1">
      <c r="A608" s="184"/>
    </row>
    <row r="609" ht="15.75" customHeight="1">
      <c r="A609" s="184"/>
    </row>
    <row r="610" ht="15.75" customHeight="1">
      <c r="A610" s="184"/>
    </row>
    <row r="611" ht="15.75" customHeight="1">
      <c r="A611" s="184"/>
    </row>
    <row r="612" ht="15.75" customHeight="1">
      <c r="A612" s="184"/>
    </row>
    <row r="613" ht="15.75" customHeight="1">
      <c r="A613" s="184"/>
    </row>
    <row r="614" ht="15.75" customHeight="1">
      <c r="A614" s="184"/>
    </row>
    <row r="615" ht="15.75" customHeight="1">
      <c r="A615" s="184"/>
    </row>
    <row r="616" ht="15.75" customHeight="1">
      <c r="A616" s="184"/>
    </row>
    <row r="617" ht="15.75" customHeight="1">
      <c r="A617" s="184"/>
    </row>
    <row r="618" ht="15.75" customHeight="1">
      <c r="A618" s="184"/>
    </row>
    <row r="619" ht="15.75" customHeight="1">
      <c r="A619" s="184"/>
    </row>
    <row r="620" ht="15.75" customHeight="1">
      <c r="A620" s="184"/>
    </row>
    <row r="621" ht="15.75" customHeight="1">
      <c r="A621" s="184"/>
    </row>
    <row r="622" ht="15.75" customHeight="1">
      <c r="A622" s="184"/>
    </row>
    <row r="623" ht="15.75" customHeight="1">
      <c r="A623" s="184"/>
    </row>
    <row r="624" ht="15.75" customHeight="1">
      <c r="A624" s="184"/>
    </row>
    <row r="625" ht="15.75" customHeight="1">
      <c r="A625" s="184"/>
    </row>
    <row r="626" ht="15.75" customHeight="1">
      <c r="A626" s="184"/>
    </row>
    <row r="627" ht="15.75" customHeight="1">
      <c r="A627" s="184"/>
    </row>
    <row r="628" ht="15.75" customHeight="1">
      <c r="A628" s="184"/>
    </row>
    <row r="629" ht="15.75" customHeight="1">
      <c r="A629" s="184"/>
    </row>
    <row r="630" ht="15.75" customHeight="1">
      <c r="A630" s="184"/>
    </row>
    <row r="631" ht="15.75" customHeight="1">
      <c r="A631" s="184"/>
    </row>
    <row r="632" ht="15.75" customHeight="1">
      <c r="A632" s="184"/>
    </row>
    <row r="633" ht="15.75" customHeight="1">
      <c r="A633" s="184"/>
    </row>
    <row r="634" ht="15.75" customHeight="1">
      <c r="A634" s="184"/>
    </row>
    <row r="635" ht="15.75" customHeight="1">
      <c r="A635" s="184"/>
    </row>
    <row r="636" ht="15.75" customHeight="1">
      <c r="A636" s="184"/>
    </row>
    <row r="637" ht="15.75" customHeight="1">
      <c r="A637" s="184"/>
    </row>
    <row r="638" ht="15.75" customHeight="1">
      <c r="A638" s="184"/>
    </row>
    <row r="639" ht="15.75" customHeight="1">
      <c r="A639" s="184"/>
    </row>
    <row r="640" ht="15.75" customHeight="1">
      <c r="A640" s="184"/>
    </row>
    <row r="641" ht="15.75" customHeight="1">
      <c r="A641" s="184"/>
    </row>
    <row r="642" ht="15.75" customHeight="1">
      <c r="A642" s="184"/>
    </row>
    <row r="643" ht="15.75" customHeight="1">
      <c r="A643" s="184"/>
    </row>
    <row r="644" ht="15.75" customHeight="1">
      <c r="A644" s="184"/>
    </row>
    <row r="645" ht="15.75" customHeight="1">
      <c r="A645" s="184"/>
    </row>
    <row r="646" ht="15.75" customHeight="1">
      <c r="A646" s="184"/>
    </row>
    <row r="647" ht="15.75" customHeight="1">
      <c r="A647" s="184"/>
    </row>
    <row r="648" ht="15.75" customHeight="1">
      <c r="A648" s="184"/>
    </row>
    <row r="649" ht="15.75" customHeight="1">
      <c r="A649" s="184"/>
    </row>
    <row r="650" ht="15.75" customHeight="1">
      <c r="A650" s="184"/>
    </row>
    <row r="651" ht="15.75" customHeight="1">
      <c r="A651" s="184"/>
    </row>
    <row r="652" ht="15.75" customHeight="1">
      <c r="A652" s="184"/>
    </row>
    <row r="653" ht="15.75" customHeight="1">
      <c r="A653" s="184"/>
    </row>
    <row r="654" ht="15.75" customHeight="1">
      <c r="A654" s="184"/>
    </row>
    <row r="655" ht="15.75" customHeight="1">
      <c r="A655" s="184"/>
    </row>
    <row r="656" ht="15.75" customHeight="1">
      <c r="A656" s="184"/>
    </row>
    <row r="657" ht="15.75" customHeight="1">
      <c r="A657" s="184"/>
    </row>
    <row r="658" ht="15.75" customHeight="1">
      <c r="A658" s="184"/>
    </row>
    <row r="659" ht="15.75" customHeight="1">
      <c r="A659" s="184"/>
    </row>
    <row r="660" ht="15.75" customHeight="1">
      <c r="A660" s="184"/>
    </row>
    <row r="661" ht="15.75" customHeight="1">
      <c r="A661" s="184"/>
    </row>
    <row r="662" ht="15.75" customHeight="1">
      <c r="A662" s="184"/>
    </row>
    <row r="663" ht="15.75" customHeight="1">
      <c r="A663" s="184"/>
    </row>
    <row r="664" ht="15.75" customHeight="1">
      <c r="A664" s="184"/>
    </row>
    <row r="665" ht="15.75" customHeight="1">
      <c r="A665" s="184"/>
    </row>
    <row r="666" ht="15.75" customHeight="1">
      <c r="A666" s="184"/>
    </row>
    <row r="667" ht="15.75" customHeight="1">
      <c r="A667" s="184"/>
    </row>
    <row r="668" ht="15.75" customHeight="1">
      <c r="A668" s="184"/>
    </row>
    <row r="669" ht="15.75" customHeight="1">
      <c r="A669" s="184"/>
    </row>
    <row r="670" ht="15.75" customHeight="1">
      <c r="A670" s="184"/>
    </row>
    <row r="671" ht="15.75" customHeight="1">
      <c r="A671" s="184"/>
    </row>
    <row r="672" ht="15.75" customHeight="1">
      <c r="A672" s="184"/>
    </row>
    <row r="673" ht="15.75" customHeight="1">
      <c r="A673" s="184"/>
    </row>
    <row r="674" ht="15.75" customHeight="1">
      <c r="A674" s="184"/>
    </row>
    <row r="675" ht="15.75" customHeight="1">
      <c r="A675" s="184"/>
    </row>
    <row r="676" ht="15.75" customHeight="1">
      <c r="A676" s="184"/>
    </row>
    <row r="677" ht="15.75" customHeight="1">
      <c r="A677" s="184"/>
    </row>
    <row r="678" ht="15.75" customHeight="1">
      <c r="A678" s="184"/>
    </row>
    <row r="679" ht="15.75" customHeight="1">
      <c r="A679" s="184"/>
    </row>
    <row r="680" ht="15.75" customHeight="1">
      <c r="A680" s="184"/>
    </row>
    <row r="681" ht="15.75" customHeight="1">
      <c r="A681" s="184"/>
    </row>
    <row r="682" ht="15.75" customHeight="1">
      <c r="A682" s="184"/>
    </row>
    <row r="683" ht="15.75" customHeight="1">
      <c r="A683" s="184"/>
    </row>
    <row r="684" ht="15.75" customHeight="1">
      <c r="A684" s="184"/>
    </row>
    <row r="685" ht="15.75" customHeight="1">
      <c r="A685" s="184"/>
    </row>
    <row r="686" ht="15.75" customHeight="1">
      <c r="A686" s="184"/>
    </row>
    <row r="687" ht="15.75" customHeight="1">
      <c r="A687" s="184"/>
    </row>
    <row r="688" ht="15.75" customHeight="1">
      <c r="A688" s="184"/>
    </row>
    <row r="689" ht="15.75" customHeight="1">
      <c r="A689" s="184"/>
    </row>
    <row r="690" ht="15.75" customHeight="1">
      <c r="A690" s="184"/>
    </row>
    <row r="691" ht="15.75" customHeight="1">
      <c r="A691" s="184"/>
    </row>
    <row r="692" ht="15.75" customHeight="1">
      <c r="A692" s="184"/>
    </row>
    <row r="693" ht="15.75" customHeight="1">
      <c r="A693" s="184"/>
    </row>
    <row r="694" ht="15.75" customHeight="1">
      <c r="A694" s="184"/>
    </row>
    <row r="695" ht="15.75" customHeight="1">
      <c r="A695" s="184"/>
    </row>
    <row r="696" ht="15.75" customHeight="1">
      <c r="A696" s="184"/>
    </row>
    <row r="697" ht="15.75" customHeight="1">
      <c r="A697" s="184"/>
    </row>
    <row r="698" ht="15.75" customHeight="1">
      <c r="A698" s="184"/>
    </row>
    <row r="699" ht="15.75" customHeight="1">
      <c r="A699" s="184"/>
    </row>
    <row r="700" ht="15.75" customHeight="1">
      <c r="A700" s="184"/>
    </row>
    <row r="701" ht="15.75" customHeight="1">
      <c r="A701" s="184"/>
    </row>
    <row r="702" ht="15.75" customHeight="1">
      <c r="A702" s="184"/>
    </row>
    <row r="703" ht="15.75" customHeight="1">
      <c r="A703" s="184"/>
    </row>
    <row r="704" ht="15.75" customHeight="1">
      <c r="A704" s="184"/>
    </row>
    <row r="705" ht="15.75" customHeight="1">
      <c r="A705" s="184"/>
    </row>
    <row r="706" ht="15.75" customHeight="1">
      <c r="A706" s="184"/>
    </row>
    <row r="707" ht="15.75" customHeight="1">
      <c r="A707" s="184"/>
    </row>
    <row r="708" ht="15.75" customHeight="1">
      <c r="A708" s="184"/>
    </row>
    <row r="709" ht="15.75" customHeight="1">
      <c r="A709" s="184"/>
    </row>
    <row r="710" ht="15.75" customHeight="1">
      <c r="A710" s="184"/>
    </row>
    <row r="711" ht="15.75" customHeight="1">
      <c r="A711" s="184"/>
    </row>
    <row r="712" ht="15.75" customHeight="1">
      <c r="A712" s="184"/>
    </row>
    <row r="713" ht="15.75" customHeight="1">
      <c r="A713" s="184"/>
    </row>
    <row r="714" ht="15.75" customHeight="1">
      <c r="A714" s="184"/>
    </row>
    <row r="715" ht="15.75" customHeight="1">
      <c r="A715" s="184"/>
    </row>
    <row r="716" ht="15.75" customHeight="1">
      <c r="A716" s="184"/>
    </row>
    <row r="717" ht="15.75" customHeight="1">
      <c r="A717" s="184"/>
    </row>
    <row r="718" ht="15.75" customHeight="1">
      <c r="A718" s="184"/>
    </row>
    <row r="719" ht="15.75" customHeight="1">
      <c r="A719" s="184"/>
    </row>
    <row r="720" ht="15.75" customHeight="1">
      <c r="A720" s="184"/>
    </row>
    <row r="721" ht="15.75" customHeight="1">
      <c r="A721" s="184"/>
    </row>
    <row r="722" ht="15.75" customHeight="1">
      <c r="A722" s="184"/>
    </row>
    <row r="723" ht="15.75" customHeight="1">
      <c r="A723" s="184"/>
    </row>
    <row r="724" ht="15.75" customHeight="1">
      <c r="A724" s="184"/>
    </row>
    <row r="725" ht="15.75" customHeight="1">
      <c r="A725" s="184"/>
    </row>
    <row r="726" ht="15.75" customHeight="1">
      <c r="A726" s="184"/>
    </row>
    <row r="727" ht="15.75" customHeight="1">
      <c r="A727" s="184"/>
    </row>
    <row r="728" ht="15.75" customHeight="1">
      <c r="A728" s="184"/>
    </row>
    <row r="729" ht="15.75" customHeight="1">
      <c r="A729" s="184"/>
    </row>
    <row r="730" ht="15.75" customHeight="1">
      <c r="A730" s="184"/>
    </row>
    <row r="731" ht="15.75" customHeight="1">
      <c r="A731" s="184"/>
    </row>
    <row r="732" ht="15.75" customHeight="1">
      <c r="A732" s="184"/>
    </row>
    <row r="733" ht="15.75" customHeight="1">
      <c r="A733" s="184"/>
    </row>
    <row r="734" ht="15.75" customHeight="1">
      <c r="A734" s="184"/>
    </row>
    <row r="735" ht="15.75" customHeight="1">
      <c r="A735" s="184"/>
    </row>
    <row r="736" ht="15.75" customHeight="1">
      <c r="A736" s="184"/>
    </row>
    <row r="737" ht="15.75" customHeight="1">
      <c r="A737" s="184"/>
    </row>
    <row r="738" ht="15.75" customHeight="1">
      <c r="A738" s="184"/>
    </row>
    <row r="739" ht="15.75" customHeight="1">
      <c r="A739" s="184"/>
    </row>
    <row r="740" ht="15.75" customHeight="1">
      <c r="A740" s="184"/>
    </row>
    <row r="741" ht="15.75" customHeight="1">
      <c r="A741" s="184"/>
    </row>
    <row r="742" ht="15.75" customHeight="1">
      <c r="A742" s="184"/>
    </row>
    <row r="743" ht="15.75" customHeight="1">
      <c r="A743" s="184"/>
    </row>
    <row r="744" ht="15.75" customHeight="1">
      <c r="A744" s="184"/>
    </row>
    <row r="745" ht="15.75" customHeight="1">
      <c r="A745" s="184"/>
    </row>
    <row r="746" ht="15.75" customHeight="1">
      <c r="A746" s="184"/>
    </row>
    <row r="747" ht="15.75" customHeight="1">
      <c r="A747" s="184"/>
    </row>
    <row r="748" ht="15.75" customHeight="1">
      <c r="A748" s="184"/>
    </row>
    <row r="749" ht="15.75" customHeight="1">
      <c r="A749" s="184"/>
    </row>
    <row r="750" ht="15.75" customHeight="1">
      <c r="A750" s="184"/>
    </row>
    <row r="751" ht="15.75" customHeight="1">
      <c r="A751" s="184"/>
    </row>
    <row r="752" ht="15.75" customHeight="1">
      <c r="A752" s="184"/>
    </row>
    <row r="753" ht="15.75" customHeight="1">
      <c r="A753" s="184"/>
    </row>
    <row r="754" ht="15.75" customHeight="1">
      <c r="A754" s="184"/>
    </row>
    <row r="755" ht="15.75" customHeight="1">
      <c r="A755" s="184"/>
    </row>
    <row r="756" ht="15.75" customHeight="1">
      <c r="A756" s="184"/>
    </row>
    <row r="757" ht="15.75" customHeight="1">
      <c r="A757" s="184"/>
    </row>
    <row r="758" ht="15.75" customHeight="1">
      <c r="A758" s="184"/>
    </row>
    <row r="759" ht="15.75" customHeight="1">
      <c r="A759" s="184"/>
    </row>
    <row r="760" ht="15.75" customHeight="1">
      <c r="A760" s="184"/>
    </row>
    <row r="761" ht="15.75" customHeight="1">
      <c r="A761" s="184"/>
    </row>
    <row r="762" ht="15.75" customHeight="1">
      <c r="A762" s="184"/>
    </row>
    <row r="763" ht="15.75" customHeight="1">
      <c r="A763" s="184"/>
    </row>
    <row r="764" ht="15.75" customHeight="1">
      <c r="A764" s="184"/>
    </row>
    <row r="765" ht="15.75" customHeight="1">
      <c r="A765" s="184"/>
    </row>
    <row r="766" ht="15.75" customHeight="1">
      <c r="A766" s="184"/>
    </row>
    <row r="767" ht="15.75" customHeight="1">
      <c r="A767" s="184"/>
    </row>
    <row r="768" ht="15.75" customHeight="1">
      <c r="A768" s="184"/>
    </row>
    <row r="769" ht="15.75" customHeight="1">
      <c r="A769" s="184"/>
    </row>
    <row r="770" ht="15.75" customHeight="1">
      <c r="A770" s="184"/>
    </row>
    <row r="771" ht="15.75" customHeight="1">
      <c r="A771" s="184"/>
    </row>
    <row r="772" ht="15.75" customHeight="1">
      <c r="A772" s="184"/>
    </row>
    <row r="773" ht="15.75" customHeight="1">
      <c r="A773" s="184"/>
    </row>
    <row r="774" ht="15.75" customHeight="1">
      <c r="A774" s="184"/>
    </row>
    <row r="775" ht="15.75" customHeight="1">
      <c r="A775" s="184"/>
    </row>
    <row r="776" ht="15.75" customHeight="1">
      <c r="A776" s="184"/>
    </row>
    <row r="777" ht="15.75" customHeight="1">
      <c r="A777" s="184"/>
    </row>
    <row r="778" ht="15.75" customHeight="1">
      <c r="A778" s="184"/>
    </row>
    <row r="779" ht="15.75" customHeight="1">
      <c r="A779" s="184"/>
    </row>
    <row r="780" ht="15.75" customHeight="1">
      <c r="A780" s="184"/>
    </row>
    <row r="781" ht="15.75" customHeight="1">
      <c r="A781" s="184"/>
    </row>
    <row r="782" ht="15.75" customHeight="1">
      <c r="A782" s="184"/>
    </row>
    <row r="783" ht="15.75" customHeight="1">
      <c r="A783" s="184"/>
    </row>
    <row r="784" ht="15.75" customHeight="1">
      <c r="A784" s="184"/>
    </row>
    <row r="785" ht="15.75" customHeight="1">
      <c r="A785" s="184"/>
    </row>
    <row r="786" ht="15.75" customHeight="1">
      <c r="A786" s="184"/>
    </row>
    <row r="787" ht="15.75" customHeight="1">
      <c r="A787" s="184"/>
    </row>
    <row r="788" ht="15.75" customHeight="1">
      <c r="A788" s="184"/>
    </row>
    <row r="789" ht="15.75" customHeight="1">
      <c r="A789" s="184"/>
    </row>
    <row r="790" ht="15.75" customHeight="1">
      <c r="A790" s="184"/>
    </row>
    <row r="791" ht="15.75" customHeight="1">
      <c r="A791" s="184"/>
    </row>
    <row r="792" ht="15.75" customHeight="1">
      <c r="A792" s="184"/>
    </row>
    <row r="793" ht="15.75" customHeight="1">
      <c r="A793" s="184"/>
    </row>
    <row r="794" ht="15.75" customHeight="1">
      <c r="A794" s="184"/>
    </row>
    <row r="795" ht="15.75" customHeight="1">
      <c r="A795" s="184"/>
    </row>
    <row r="796" ht="15.75" customHeight="1">
      <c r="A796" s="184"/>
    </row>
    <row r="797" ht="15.75" customHeight="1">
      <c r="A797" s="184"/>
    </row>
    <row r="798" ht="15.75" customHeight="1">
      <c r="A798" s="184"/>
    </row>
    <row r="799" ht="15.75" customHeight="1">
      <c r="A799" s="184"/>
    </row>
    <row r="800" ht="15.75" customHeight="1">
      <c r="A800" s="184"/>
    </row>
    <row r="801" ht="15.75" customHeight="1">
      <c r="A801" s="184"/>
    </row>
    <row r="802" ht="15.75" customHeight="1">
      <c r="A802" s="184"/>
    </row>
    <row r="803" ht="15.75" customHeight="1">
      <c r="A803" s="184"/>
    </row>
    <row r="804" ht="15.75" customHeight="1">
      <c r="A804" s="184"/>
    </row>
    <row r="805" ht="15.75" customHeight="1">
      <c r="A805" s="184"/>
    </row>
    <row r="806" ht="15.75" customHeight="1">
      <c r="A806" s="184"/>
    </row>
    <row r="807" ht="15.75" customHeight="1">
      <c r="A807" s="184"/>
    </row>
    <row r="808" ht="15.75" customHeight="1">
      <c r="A808" s="184"/>
    </row>
    <row r="809" ht="15.75" customHeight="1">
      <c r="A809" s="184"/>
    </row>
    <row r="810" ht="15.75" customHeight="1">
      <c r="A810" s="184"/>
    </row>
    <row r="811" ht="15.75" customHeight="1">
      <c r="A811" s="184"/>
    </row>
    <row r="812" ht="15.75" customHeight="1">
      <c r="A812" s="184"/>
    </row>
    <row r="813" ht="15.75" customHeight="1">
      <c r="A813" s="184"/>
    </row>
    <row r="814" ht="15.75" customHeight="1">
      <c r="A814" s="184"/>
    </row>
    <row r="815" ht="15.75" customHeight="1">
      <c r="A815" s="184"/>
    </row>
    <row r="816" ht="15.75" customHeight="1">
      <c r="A816" s="184"/>
    </row>
    <row r="817" ht="15.75" customHeight="1">
      <c r="A817" s="184"/>
    </row>
    <row r="818" ht="15.75" customHeight="1">
      <c r="A818" s="184"/>
    </row>
    <row r="819" ht="15.75" customHeight="1">
      <c r="A819" s="184"/>
    </row>
    <row r="820" ht="15.75" customHeight="1">
      <c r="A820" s="184"/>
    </row>
    <row r="821" ht="15.75" customHeight="1">
      <c r="A821" s="184"/>
    </row>
    <row r="822" ht="15.75" customHeight="1">
      <c r="A822" s="184"/>
    </row>
    <row r="823" ht="15.75" customHeight="1">
      <c r="A823" s="184"/>
    </row>
    <row r="824" ht="15.75" customHeight="1">
      <c r="A824" s="184"/>
    </row>
    <row r="825" ht="15.75" customHeight="1">
      <c r="A825" s="184"/>
    </row>
    <row r="826" ht="15.75" customHeight="1">
      <c r="A826" s="184"/>
    </row>
    <row r="827" ht="15.75" customHeight="1">
      <c r="A827" s="184"/>
    </row>
    <row r="828" ht="15.75" customHeight="1">
      <c r="A828" s="184"/>
    </row>
    <row r="829" ht="15.75" customHeight="1">
      <c r="A829" s="184"/>
    </row>
    <row r="830" ht="15.75" customHeight="1">
      <c r="A830" s="184"/>
    </row>
    <row r="831" ht="15.75" customHeight="1">
      <c r="A831" s="184"/>
    </row>
    <row r="832" ht="15.75" customHeight="1">
      <c r="A832" s="184"/>
    </row>
    <row r="833" ht="15.75" customHeight="1">
      <c r="A833" s="184"/>
    </row>
    <row r="834" ht="15.75" customHeight="1">
      <c r="A834" s="184"/>
    </row>
    <row r="835" ht="15.75" customHeight="1">
      <c r="A835" s="184"/>
    </row>
    <row r="836" ht="15.75" customHeight="1">
      <c r="A836" s="184"/>
    </row>
    <row r="837" ht="15.75" customHeight="1">
      <c r="A837" s="184"/>
    </row>
    <row r="838" ht="15.75" customHeight="1">
      <c r="A838" s="184"/>
    </row>
    <row r="839" ht="15.75" customHeight="1">
      <c r="A839" s="184"/>
    </row>
    <row r="840" ht="15.75" customHeight="1">
      <c r="A840" s="184"/>
    </row>
    <row r="841" ht="15.75" customHeight="1">
      <c r="A841" s="184"/>
    </row>
    <row r="842" ht="15.75" customHeight="1">
      <c r="A842" s="184"/>
    </row>
    <row r="843" ht="15.75" customHeight="1">
      <c r="A843" s="184"/>
    </row>
    <row r="844" ht="15.75" customHeight="1">
      <c r="A844" s="184"/>
    </row>
    <row r="845" ht="15.75" customHeight="1">
      <c r="A845" s="184"/>
    </row>
    <row r="846" ht="15.75" customHeight="1">
      <c r="A846" s="184"/>
    </row>
    <row r="847" ht="15.75" customHeight="1">
      <c r="A847" s="184"/>
    </row>
    <row r="848" ht="15.75" customHeight="1">
      <c r="A848" s="184"/>
    </row>
    <row r="849" ht="15.75" customHeight="1">
      <c r="A849" s="184"/>
    </row>
    <row r="850" ht="15.75" customHeight="1">
      <c r="A850" s="184"/>
    </row>
    <row r="851" ht="15.75" customHeight="1">
      <c r="A851" s="184"/>
    </row>
    <row r="852" ht="15.75" customHeight="1">
      <c r="A852" s="184"/>
    </row>
    <row r="853" ht="15.75" customHeight="1">
      <c r="A853" s="184"/>
    </row>
    <row r="854" ht="15.75" customHeight="1">
      <c r="A854" s="184"/>
    </row>
    <row r="855" ht="15.75" customHeight="1">
      <c r="A855" s="184"/>
    </row>
    <row r="856" ht="15.75" customHeight="1">
      <c r="A856" s="184"/>
    </row>
    <row r="857" ht="15.75" customHeight="1">
      <c r="A857" s="184"/>
    </row>
    <row r="858" ht="15.75" customHeight="1">
      <c r="A858" s="184"/>
    </row>
    <row r="859" ht="15.75" customHeight="1">
      <c r="A859" s="184"/>
    </row>
    <row r="860" ht="15.75" customHeight="1">
      <c r="A860" s="184"/>
    </row>
    <row r="861" ht="15.75" customHeight="1">
      <c r="A861" s="184"/>
    </row>
    <row r="862" ht="15.75" customHeight="1">
      <c r="A862" s="184"/>
    </row>
    <row r="863" ht="15.75" customHeight="1">
      <c r="A863" s="184"/>
    </row>
    <row r="864" ht="15.75" customHeight="1">
      <c r="A864" s="184"/>
    </row>
    <row r="865" ht="15.75" customHeight="1">
      <c r="A865" s="184"/>
    </row>
    <row r="866" ht="15.75" customHeight="1">
      <c r="A866" s="184"/>
    </row>
    <row r="867" ht="15.75" customHeight="1">
      <c r="A867" s="184"/>
    </row>
    <row r="868" ht="15.75" customHeight="1">
      <c r="A868" s="184"/>
    </row>
    <row r="869" ht="15.75" customHeight="1">
      <c r="A869" s="184"/>
    </row>
    <row r="870" ht="15.75" customHeight="1">
      <c r="A870" s="184"/>
    </row>
    <row r="871" ht="15.75" customHeight="1">
      <c r="A871" s="184"/>
    </row>
    <row r="872" ht="15.75" customHeight="1">
      <c r="A872" s="184"/>
    </row>
    <row r="873" ht="15.75" customHeight="1">
      <c r="A873" s="184"/>
    </row>
    <row r="874" ht="15.75" customHeight="1">
      <c r="A874" s="184"/>
    </row>
    <row r="875" ht="15.75" customHeight="1">
      <c r="A875" s="184"/>
    </row>
    <row r="876" ht="15.75" customHeight="1">
      <c r="A876" s="184"/>
    </row>
    <row r="877" ht="15.75" customHeight="1">
      <c r="A877" s="184"/>
    </row>
    <row r="878" ht="15.75" customHeight="1">
      <c r="A878" s="184"/>
    </row>
    <row r="879" ht="15.75" customHeight="1">
      <c r="A879" s="184"/>
    </row>
    <row r="880" ht="15.75" customHeight="1">
      <c r="A880" s="184"/>
    </row>
    <row r="881" ht="15.75" customHeight="1">
      <c r="A881" s="184"/>
    </row>
    <row r="882" ht="15.75" customHeight="1">
      <c r="A882" s="184"/>
    </row>
    <row r="883" ht="15.75" customHeight="1">
      <c r="A883" s="184"/>
    </row>
    <row r="884" ht="15.75" customHeight="1">
      <c r="A884" s="184"/>
    </row>
    <row r="885" ht="15.75" customHeight="1">
      <c r="A885" s="184"/>
    </row>
    <row r="886" ht="15.75" customHeight="1">
      <c r="A886" s="184"/>
    </row>
    <row r="887" ht="15.75" customHeight="1">
      <c r="A887" s="184"/>
    </row>
    <row r="888" ht="15.75" customHeight="1">
      <c r="A888" s="184"/>
    </row>
    <row r="889" ht="15.75" customHeight="1">
      <c r="A889" s="184"/>
    </row>
    <row r="890" ht="15.75" customHeight="1">
      <c r="A890" s="184"/>
    </row>
    <row r="891" ht="15.75" customHeight="1">
      <c r="A891" s="184"/>
    </row>
    <row r="892" ht="15.75" customHeight="1">
      <c r="A892" s="184"/>
    </row>
    <row r="893" ht="15.75" customHeight="1">
      <c r="A893" s="184"/>
    </row>
    <row r="894" ht="15.75" customHeight="1">
      <c r="A894" s="184"/>
    </row>
    <row r="895" ht="15.75" customHeight="1">
      <c r="A895" s="184"/>
    </row>
    <row r="896" ht="15.75" customHeight="1">
      <c r="A896" s="184"/>
    </row>
    <row r="897" ht="15.75" customHeight="1">
      <c r="A897" s="184"/>
    </row>
    <row r="898" ht="15.75" customHeight="1">
      <c r="A898" s="184"/>
    </row>
    <row r="899" ht="15.75" customHeight="1">
      <c r="A899" s="184"/>
    </row>
    <row r="900" ht="15.75" customHeight="1">
      <c r="A900" s="184"/>
    </row>
    <row r="901" ht="15.75" customHeight="1">
      <c r="A901" s="184"/>
    </row>
    <row r="902" ht="15.75" customHeight="1">
      <c r="A902" s="184"/>
    </row>
    <row r="903" ht="15.75" customHeight="1">
      <c r="A903" s="184"/>
    </row>
    <row r="904" ht="15.75" customHeight="1">
      <c r="A904" s="184"/>
    </row>
    <row r="905" ht="15.75" customHeight="1">
      <c r="A905" s="184"/>
    </row>
    <row r="906" ht="15.75" customHeight="1">
      <c r="A906" s="184"/>
    </row>
    <row r="907" ht="15.75" customHeight="1">
      <c r="A907" s="184"/>
    </row>
    <row r="908" ht="15.75" customHeight="1">
      <c r="A908" s="184"/>
    </row>
    <row r="909" ht="15.75" customHeight="1">
      <c r="A909" s="184"/>
    </row>
    <row r="910" ht="15.75" customHeight="1">
      <c r="A910" s="184"/>
    </row>
    <row r="911" ht="15.75" customHeight="1">
      <c r="A911" s="184"/>
    </row>
    <row r="912" ht="15.75" customHeight="1">
      <c r="A912" s="184"/>
    </row>
    <row r="913" ht="15.75" customHeight="1">
      <c r="A913" s="184"/>
    </row>
    <row r="914" ht="15.75" customHeight="1">
      <c r="A914" s="184"/>
    </row>
    <row r="915" ht="15.75" customHeight="1">
      <c r="A915" s="184"/>
    </row>
    <row r="916" ht="15.75" customHeight="1">
      <c r="A916" s="184"/>
    </row>
    <row r="917" ht="15.75" customHeight="1">
      <c r="A917" s="184"/>
    </row>
    <row r="918" ht="15.75" customHeight="1">
      <c r="A918" s="184"/>
    </row>
    <row r="919" ht="15.75" customHeight="1">
      <c r="A919" s="184"/>
    </row>
    <row r="920" ht="15.75" customHeight="1">
      <c r="A920" s="184"/>
    </row>
    <row r="921" ht="15.75" customHeight="1">
      <c r="A921" s="184"/>
    </row>
    <row r="922" ht="15.75" customHeight="1">
      <c r="A922" s="184"/>
    </row>
    <row r="923" ht="15.75" customHeight="1">
      <c r="A923" s="184"/>
    </row>
    <row r="924" ht="15.75" customHeight="1">
      <c r="A924" s="184"/>
    </row>
    <row r="925" ht="15.75" customHeight="1">
      <c r="A925" s="184"/>
    </row>
    <row r="926" ht="15.75" customHeight="1">
      <c r="A926" s="184"/>
    </row>
    <row r="927" ht="15.75" customHeight="1">
      <c r="A927" s="184"/>
    </row>
    <row r="928" ht="15.75" customHeight="1">
      <c r="A928" s="184"/>
    </row>
    <row r="929" ht="15.75" customHeight="1">
      <c r="A929" s="184"/>
    </row>
    <row r="930" ht="15.75" customHeight="1">
      <c r="A930" s="184"/>
    </row>
    <row r="931" ht="15.75" customHeight="1">
      <c r="A931" s="184"/>
    </row>
    <row r="932" ht="15.75" customHeight="1">
      <c r="A932" s="184"/>
    </row>
    <row r="933" ht="15.75" customHeight="1">
      <c r="A933" s="184"/>
    </row>
    <row r="934" ht="15.75" customHeight="1">
      <c r="A934" s="184"/>
    </row>
    <row r="935" ht="15.75" customHeight="1">
      <c r="A935" s="184"/>
    </row>
    <row r="936" ht="15.75" customHeight="1">
      <c r="A936" s="184"/>
    </row>
    <row r="937" ht="15.75" customHeight="1">
      <c r="A937" s="184"/>
    </row>
    <row r="938" ht="15.75" customHeight="1">
      <c r="A938" s="184"/>
    </row>
    <row r="939" ht="15.75" customHeight="1">
      <c r="A939" s="184"/>
    </row>
    <row r="940" ht="15.75" customHeight="1">
      <c r="A940" s="184"/>
    </row>
    <row r="941" ht="15.75" customHeight="1">
      <c r="A941" s="184"/>
    </row>
    <row r="942" ht="15.75" customHeight="1">
      <c r="A942" s="184"/>
    </row>
    <row r="943" ht="15.75" customHeight="1">
      <c r="A943" s="184"/>
    </row>
    <row r="944" ht="15.75" customHeight="1">
      <c r="A944" s="184"/>
    </row>
    <row r="945" ht="15.75" customHeight="1">
      <c r="A945" s="184"/>
    </row>
    <row r="946" ht="15.75" customHeight="1">
      <c r="A946" s="184"/>
    </row>
    <row r="947" ht="15.75" customHeight="1">
      <c r="A947" s="184"/>
    </row>
    <row r="948" ht="15.75" customHeight="1">
      <c r="A948" s="184"/>
    </row>
    <row r="949" ht="15.75" customHeight="1">
      <c r="A949" s="184"/>
    </row>
    <row r="950" ht="15.75" customHeight="1">
      <c r="A950" s="184"/>
    </row>
    <row r="951" ht="15.75" customHeight="1">
      <c r="A951" s="184"/>
    </row>
    <row r="952" ht="15.75" customHeight="1">
      <c r="A952" s="184"/>
    </row>
    <row r="953" ht="15.75" customHeight="1">
      <c r="A953" s="184"/>
    </row>
    <row r="954" ht="15.75" customHeight="1">
      <c r="A954" s="184"/>
    </row>
    <row r="955" ht="15.75" customHeight="1">
      <c r="A955" s="184"/>
    </row>
    <row r="956" ht="15.75" customHeight="1">
      <c r="A956" s="184"/>
    </row>
    <row r="957" ht="15.75" customHeight="1">
      <c r="A957" s="184"/>
    </row>
    <row r="958" ht="15.75" customHeight="1">
      <c r="A958" s="184"/>
    </row>
    <row r="959" ht="15.75" customHeight="1">
      <c r="A959" s="184"/>
    </row>
    <row r="960" ht="15.75" customHeight="1">
      <c r="A960" s="184"/>
    </row>
    <row r="961" ht="15.75" customHeight="1">
      <c r="A961" s="184"/>
    </row>
    <row r="962" ht="15.75" customHeight="1">
      <c r="A962" s="184"/>
    </row>
    <row r="963" ht="15.75" customHeight="1">
      <c r="A963" s="184"/>
    </row>
    <row r="964" ht="15.75" customHeight="1">
      <c r="A964" s="184"/>
    </row>
    <row r="965" ht="15.75" customHeight="1">
      <c r="A965" s="184"/>
    </row>
    <row r="966" ht="15.75" customHeight="1">
      <c r="A966" s="184"/>
    </row>
    <row r="967" ht="15.75" customHeight="1">
      <c r="A967" s="184"/>
    </row>
    <row r="968" ht="15.75" customHeight="1">
      <c r="A968" s="184"/>
    </row>
    <row r="969" ht="15.75" customHeight="1">
      <c r="A969" s="184"/>
    </row>
    <row r="970" ht="15.75" customHeight="1">
      <c r="A970" s="184"/>
    </row>
    <row r="971" ht="15.75" customHeight="1">
      <c r="A971" s="184"/>
    </row>
    <row r="972" ht="15.75" customHeight="1">
      <c r="A972" s="184"/>
    </row>
    <row r="973" ht="15.75" customHeight="1">
      <c r="A973" s="184"/>
    </row>
    <row r="974" ht="15.75" customHeight="1">
      <c r="A974" s="184"/>
    </row>
    <row r="975" ht="15.75" customHeight="1">
      <c r="A975" s="184"/>
    </row>
    <row r="976" ht="15.75" customHeight="1">
      <c r="A976" s="184"/>
    </row>
    <row r="977" ht="15.75" customHeight="1">
      <c r="A977" s="184"/>
    </row>
    <row r="978" ht="15.75" customHeight="1">
      <c r="A978" s="184"/>
    </row>
    <row r="979" ht="15.75" customHeight="1">
      <c r="A979" s="184"/>
    </row>
    <row r="980" ht="15.75" customHeight="1">
      <c r="A980" s="184"/>
    </row>
    <row r="981" ht="15.75" customHeight="1">
      <c r="A981" s="184"/>
    </row>
    <row r="982" ht="15.75" customHeight="1">
      <c r="A982" s="184"/>
    </row>
    <row r="983" ht="15.75" customHeight="1">
      <c r="A983" s="184"/>
    </row>
    <row r="984" ht="15.75" customHeight="1">
      <c r="A984" s="184"/>
    </row>
    <row r="985" ht="15.75" customHeight="1">
      <c r="A985" s="184"/>
    </row>
    <row r="986" ht="15.75" customHeight="1">
      <c r="A986" s="184"/>
    </row>
    <row r="987" ht="15.75" customHeight="1">
      <c r="A987" s="184"/>
    </row>
    <row r="988" ht="15.75" customHeight="1">
      <c r="A988" s="184"/>
    </row>
    <row r="989" ht="15.75" customHeight="1">
      <c r="A989" s="184"/>
    </row>
    <row r="990" ht="15.75" customHeight="1">
      <c r="A990" s="184"/>
    </row>
    <row r="991" ht="15.75" customHeight="1">
      <c r="A991" s="184"/>
    </row>
    <row r="992" ht="15.75" customHeight="1">
      <c r="A992" s="184"/>
    </row>
    <row r="993" ht="15.75" customHeight="1">
      <c r="A993" s="184"/>
    </row>
    <row r="994" ht="15.75" customHeight="1">
      <c r="A994" s="184"/>
    </row>
    <row r="995" ht="15.75" customHeight="1">
      <c r="A995" s="184"/>
    </row>
    <row r="996" ht="15.75" customHeight="1">
      <c r="A996" s="184"/>
    </row>
    <row r="997" ht="15.75" customHeight="1">
      <c r="A997" s="184"/>
    </row>
    <row r="998" ht="15.75" customHeight="1">
      <c r="A998" s="184"/>
    </row>
    <row r="999" ht="15.75" customHeight="1">
      <c r="A999" s="184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7" t="s">
        <v>138</v>
      </c>
      <c r="B1" s="157" t="s">
        <v>10</v>
      </c>
      <c r="C1" s="157" t="s">
        <v>82</v>
      </c>
      <c r="D1" s="186" t="s">
        <v>130</v>
      </c>
      <c r="E1" s="157" t="s">
        <v>17</v>
      </c>
      <c r="F1" s="157" t="s">
        <v>82</v>
      </c>
      <c r="G1" s="186" t="s">
        <v>130</v>
      </c>
      <c r="H1" s="157" t="s">
        <v>25</v>
      </c>
      <c r="I1" s="157" t="s">
        <v>82</v>
      </c>
      <c r="J1" s="157" t="s">
        <v>130</v>
      </c>
      <c r="K1" s="187" t="s">
        <v>142</v>
      </c>
      <c r="L1" s="157" t="s">
        <v>82</v>
      </c>
      <c r="M1" s="157" t="s">
        <v>130</v>
      </c>
      <c r="N1" s="187" t="s">
        <v>143</v>
      </c>
      <c r="O1" s="157" t="s">
        <v>82</v>
      </c>
      <c r="P1" s="157" t="s">
        <v>130</v>
      </c>
      <c r="Q1" s="157" t="s">
        <v>44</v>
      </c>
      <c r="R1" s="188" t="s">
        <v>82</v>
      </c>
      <c r="S1" s="157" t="s">
        <v>130</v>
      </c>
      <c r="T1" s="157" t="s">
        <v>51</v>
      </c>
      <c r="U1" s="157" t="s">
        <v>82</v>
      </c>
      <c r="V1" s="157" t="s">
        <v>130</v>
      </c>
      <c r="W1" s="157" t="s">
        <v>52</v>
      </c>
      <c r="X1" s="157" t="s">
        <v>82</v>
      </c>
      <c r="Y1" s="157" t="s">
        <v>130</v>
      </c>
      <c r="Z1" s="189" t="s">
        <v>59</v>
      </c>
      <c r="AA1" s="157" t="s">
        <v>82</v>
      </c>
      <c r="AB1" s="157" t="s">
        <v>130</v>
      </c>
      <c r="AC1" s="157" t="s">
        <v>66</v>
      </c>
      <c r="AD1" s="157" t="s">
        <v>82</v>
      </c>
      <c r="AE1" s="157" t="s">
        <v>130</v>
      </c>
      <c r="AF1" s="157" t="s">
        <v>67</v>
      </c>
      <c r="AG1" s="157" t="s">
        <v>82</v>
      </c>
      <c r="AH1" s="157" t="s">
        <v>130</v>
      </c>
      <c r="AI1" s="157" t="s">
        <v>74</v>
      </c>
      <c r="AJ1" s="157" t="s">
        <v>82</v>
      </c>
      <c r="AK1" s="157" t="s">
        <v>130</v>
      </c>
      <c r="AL1" s="157" t="s">
        <v>144</v>
      </c>
      <c r="AM1" s="157" t="s">
        <v>82</v>
      </c>
      <c r="AN1" s="157" t="s">
        <v>130</v>
      </c>
      <c r="AO1" s="157" t="s">
        <v>145</v>
      </c>
      <c r="AP1" s="157" t="s">
        <v>146</v>
      </c>
      <c r="AQ1" s="190"/>
      <c r="AR1" s="190"/>
      <c r="AS1" s="190"/>
      <c r="AT1" s="190"/>
      <c r="AU1" s="190"/>
    </row>
    <row r="2">
      <c r="A2" s="191" t="s">
        <v>147</v>
      </c>
      <c r="B2" s="192">
        <f>100%+'Weekly Tables'!I3</f>
        <v>0.9467067078</v>
      </c>
      <c r="C2" s="193">
        <f t="shared" ref="C2:C6" si="1">IFS(B2="", "", B2&lt;90%,0, B2&lt;95%,1, B2&lt;=98%,2, B2&lt;=101%,3, B2&lt;=105%,4, TRUE,5)</f>
        <v>1</v>
      </c>
      <c r="D2" s="194">
        <f t="shared" ref="D2:D6" si="2">IF(C2="","",C2*5/100)</f>
        <v>0.05</v>
      </c>
      <c r="E2" s="195">
        <f>100%+'Weekly Tables'!F3</f>
        <v>1.096515182</v>
      </c>
      <c r="F2" s="196">
        <f t="shared" ref="F2:F6" si="3">IFS(E2="", "", E2&lt;90%,0, E2&lt;95%,1, E2&lt;=98%,2, E2&lt;=101%,3, E2&lt;=105%,4, TRUE,5)</f>
        <v>5</v>
      </c>
      <c r="G2" s="197">
        <f t="shared" ref="G2:G6" si="4">IF(F2="","",F2*5/100)</f>
        <v>0.25</v>
      </c>
      <c r="H2" s="198"/>
      <c r="I2" s="199" t="str">
        <f t="shared" ref="I2:I6" si="5">IFS(H2="", "", H2&lt;75,0, H2&lt;85,1, H2&lt;95,2, H2&lt;=100,3, H2&lt;=105,4, TRUE,5)</f>
        <v/>
      </c>
      <c r="J2" s="199" t="str">
        <f t="shared" ref="J2:J6" si="6">IF(I2="","",I2*15/100)</f>
        <v/>
      </c>
      <c r="K2" s="200">
        <f>'Weekly Tables'!L3*100</f>
        <v>-2.7</v>
      </c>
      <c r="L2" s="193">
        <f t="shared" ref="L2:L6" si="7">IFS(K2="", "", K2&gt;=3,0, K2&gt;=2,1, K2&gt;=1,2, K2&gt;=0,3, K2&lt;=-1,5, K2&lt;=-0.5,4, TRUE,3)</f>
        <v>5</v>
      </c>
      <c r="M2" s="201">
        <f t="shared" ref="M2:M6" si="8">IF(L2="","",L2*15/100)</f>
        <v>0.75</v>
      </c>
      <c r="N2" s="202">
        <f>'Weekly Tables'!O3*100</f>
        <v>-3.4</v>
      </c>
      <c r="O2" s="196">
        <f t="shared" ref="O2:O6" si="9">IFS(N2="", "", N2&gt;=3,0, N2&gt;=2,1, N2&gt;=1,2, N2&gt;=0,3, N2&lt;=-1,5, N2&lt;=-0.5,4, TRUE,3)</f>
        <v>5</v>
      </c>
      <c r="P2" s="203">
        <f t="shared" ref="P2:P6" si="10">IF(O2="","",O2*15/100)</f>
        <v>0.75</v>
      </c>
      <c r="Q2" s="204" t="str">
        <f>'Weekly Tables'!M12</f>
        <v>NA</v>
      </c>
      <c r="R2" s="193" t="str">
        <f t="shared" ref="R2:R6" si="11">IFS(Q2="", "", Q2="NA","" ,Q2&lt;3.8,0, Q2&lt;4,1, Q2&lt;4.3,2, Q2&lt;4.5,3, Q2&lt;4.7,4, TRUE,5)</f>
        <v/>
      </c>
      <c r="S2" s="201" t="str">
        <f t="shared" ref="S2:S6" si="12">IF(R2="","",R2*21/100)</f>
        <v/>
      </c>
      <c r="T2" s="205" t="str">
        <f>'Weekly Tables'!K12</f>
        <v>NA</v>
      </c>
      <c r="U2" s="196" t="str">
        <f t="shared" ref="U2:U6" si="13">IFS(T2="", "", T2="NA","" ,T2&lt;3.8,0, T2&lt;4,1, T2&lt;4.3,2, T2&lt;4.5,3, T2&lt;4.7,4, TRUE,5)</f>
        <v/>
      </c>
      <c r="V2" s="196" t="str">
        <f t="shared" ref="V2:V6" si="14">IF(U2="","",U2*7.5/100)</f>
        <v/>
      </c>
      <c r="W2" s="206">
        <f>'Weekly Tables'!N20</f>
        <v>0.0408</v>
      </c>
      <c r="X2" s="193">
        <f t="shared" ref="X2:X6" si="15">IFS(W2="", "", W2&gt;6%,0, W2&gt;4%,1, W2&gt;2%,2, W2&gt;1.5%,3, W2&gt;1%,4, TRUE,5)</f>
        <v>1</v>
      </c>
      <c r="Y2" s="201">
        <f t="shared" ref="Y2:Y6" si="16">IF(X2="","",X2*10/100)</f>
        <v>0.1</v>
      </c>
      <c r="Z2" s="207" t="str">
        <f t="array" ref="Z2">XLOOKUP(A2,'Weekly Tables'!$B$30:$B$34,'Weekly Tables'!$H$30:$H$34)</f>
        <v>#N/A</v>
      </c>
      <c r="AA2" s="207" t="str">
        <f t="shared" ref="AA2:AA6" si="17">IFS(Z2="","", VALUE(Z2)&gt;8,0, VALUE(Z2)&gt;5,1, VALUE(Z2)&gt;2,2, VALUE(Z2)&gt;1.5,3, VALUE(Z2)&gt;1,4, TRUE,5)</f>
        <v>#N/A</v>
      </c>
      <c r="AB2" s="207" t="str">
        <f t="shared" ref="AB2:AB6" si="18">IF(AA2="","",AA2*7.5/100)</f>
        <v>#N/A</v>
      </c>
      <c r="AC2" s="208">
        <f>'Weekly Tables'!E20</f>
        <v>4.5</v>
      </c>
      <c r="AD2" s="193">
        <f t="shared" ref="AD2:AD6" si="19">IFS(AC2="", "", AC2&lt;3.8,0, AC2&lt;4,1, AC2&lt;4.3,2, AC2&lt;4.5,3, AC2&lt;4.7,4, TRUE,5)</f>
        <v>4</v>
      </c>
      <c r="AE2" s="193">
        <f t="shared" ref="AE2:AE6" si="20">IF(AD2="","",AD2*7.5/100)</f>
        <v>0.3</v>
      </c>
      <c r="AF2" s="209">
        <v>86.0</v>
      </c>
      <c r="AG2" s="207">
        <f t="shared" ref="AG2:AG6" si="21">IFS(AF2="", "", AF2&lt;70,0, AF2&lt;75,1, AF2&lt;83,2, AF2&lt;89,3, AF2&lt;94,4, TRUE,5)</f>
        <v>3</v>
      </c>
      <c r="AH2" s="207">
        <f t="shared" ref="AH2:AH6" si="22">IF(AG2="","",AG2*12.5/100)</f>
        <v>0.375</v>
      </c>
      <c r="AI2" s="210">
        <v>90.0</v>
      </c>
      <c r="AJ2" s="193">
        <f t="shared" ref="AJ2:AJ6" si="23">IFS(AI2="", "", AI2&lt;70,0, AI2&lt;75,1, AI2&lt;83,2, AI2&lt;89,3, AI2&lt;94,4, TRUE,5)</f>
        <v>4</v>
      </c>
      <c r="AK2" s="201">
        <f t="shared" ref="AK2:AK6" si="24">IF(AJ2="","",AJ2*6.25/100)</f>
        <v>0.25</v>
      </c>
      <c r="AL2" s="211">
        <v>95.0</v>
      </c>
      <c r="AM2" s="196">
        <f t="shared" ref="AM2:AM6" si="25">IFS(AL2="", "", AL2&lt;70,0, AL2&lt;75,1, AL2&lt;83,2, AL2&lt;89,3, AL2&lt;94,4, TRUE,5)</f>
        <v>5</v>
      </c>
      <c r="AN2" s="203">
        <f t="shared" ref="AN2:AN6" si="26">IF(AM2="","",AM2*6.25/100)</f>
        <v>0.3125</v>
      </c>
      <c r="AO2" s="212">
        <v>85.0</v>
      </c>
      <c r="AP2" s="213" t="str">
        <f t="shared" ref="AP2:AP6" si="27">SUM(D2,G2,J2,M2,P2,S2,V2,Y2,AB2,AE2,AH2,AK2,AN2)</f>
        <v>#N/A</v>
      </c>
      <c r="AQ2" s="190"/>
      <c r="AR2" s="214"/>
      <c r="AS2" s="190"/>
      <c r="AT2" s="215"/>
      <c r="AU2" s="215"/>
    </row>
    <row r="3">
      <c r="A3" s="216" t="s">
        <v>131</v>
      </c>
      <c r="B3" s="217">
        <f>100%+'Weekly Tables'!I4</f>
        <v>1.019066238</v>
      </c>
      <c r="C3" s="218">
        <f t="shared" si="1"/>
        <v>4</v>
      </c>
      <c r="D3" s="219">
        <f t="shared" si="2"/>
        <v>0.2</v>
      </c>
      <c r="E3" s="220">
        <f>100%+'Weekly Tables'!F4</f>
        <v>1.376106051</v>
      </c>
      <c r="F3" s="221">
        <f t="shared" si="3"/>
        <v>5</v>
      </c>
      <c r="G3" s="222">
        <f t="shared" si="4"/>
        <v>0.25</v>
      </c>
      <c r="H3" s="198"/>
      <c r="I3" s="199" t="str">
        <f t="shared" si="5"/>
        <v/>
      </c>
      <c r="J3" s="199" t="str">
        <f t="shared" si="6"/>
        <v/>
      </c>
      <c r="K3" s="223">
        <f>'Weekly Tables'!L4*100</f>
        <v>2.4</v>
      </c>
      <c r="L3" s="218">
        <f t="shared" si="7"/>
        <v>1</v>
      </c>
      <c r="M3" s="201">
        <f t="shared" si="8"/>
        <v>0.15</v>
      </c>
      <c r="N3" s="224">
        <f>'Weekly Tables'!O4*100</f>
        <v>1.1</v>
      </c>
      <c r="O3" s="221">
        <f t="shared" si="9"/>
        <v>2</v>
      </c>
      <c r="P3" s="203">
        <f t="shared" si="10"/>
        <v>0.3</v>
      </c>
      <c r="Q3" s="225">
        <f>'Weekly Tables'!M15</f>
        <v>5</v>
      </c>
      <c r="R3" s="218">
        <f t="shared" si="11"/>
        <v>5</v>
      </c>
      <c r="S3" s="201">
        <f t="shared" si="12"/>
        <v>1.05</v>
      </c>
      <c r="T3" s="226">
        <f>'Weekly Tables'!K15</f>
        <v>2</v>
      </c>
      <c r="U3" s="221">
        <f t="shared" si="13"/>
        <v>0</v>
      </c>
      <c r="V3" s="221">
        <f t="shared" si="14"/>
        <v>0</v>
      </c>
      <c r="W3" s="227">
        <f>'Weekly Tables'!N23</f>
        <v>0.032075</v>
      </c>
      <c r="X3" s="218">
        <f t="shared" si="15"/>
        <v>2</v>
      </c>
      <c r="Y3" s="228">
        <f t="shared" si="16"/>
        <v>0.2</v>
      </c>
      <c r="Z3" s="229">
        <f t="array" ref="Z3">XLOOKUP(A3,'Weekly Tables'!$B$30:$B$34,'Weekly Tables'!$H$30:$H$34)</f>
        <v>1.6</v>
      </c>
      <c r="AA3" s="199">
        <f t="shared" si="17"/>
        <v>3</v>
      </c>
      <c r="AB3" s="199">
        <f t="shared" si="18"/>
        <v>0.225</v>
      </c>
      <c r="AC3" s="230">
        <f>'Weekly Tables'!E23</f>
        <v>4.375</v>
      </c>
      <c r="AD3" s="218">
        <f t="shared" si="19"/>
        <v>3</v>
      </c>
      <c r="AE3" s="218">
        <f t="shared" si="20"/>
        <v>0.225</v>
      </c>
      <c r="AF3" s="231">
        <v>67.0</v>
      </c>
      <c r="AG3" s="199">
        <f t="shared" si="21"/>
        <v>0</v>
      </c>
      <c r="AH3" s="199">
        <f t="shared" si="22"/>
        <v>0</v>
      </c>
      <c r="AI3" s="232">
        <v>70.0</v>
      </c>
      <c r="AJ3" s="218">
        <f t="shared" si="23"/>
        <v>1</v>
      </c>
      <c r="AK3" s="228">
        <f t="shared" si="24"/>
        <v>0.0625</v>
      </c>
      <c r="AL3" s="233">
        <v>76.0</v>
      </c>
      <c r="AM3" s="221">
        <f t="shared" si="25"/>
        <v>2</v>
      </c>
      <c r="AN3" s="234">
        <f t="shared" si="26"/>
        <v>0.125</v>
      </c>
      <c r="AO3" s="235">
        <v>87.0</v>
      </c>
      <c r="AP3" s="213">
        <f t="shared" si="27"/>
        <v>2.7875</v>
      </c>
      <c r="AQ3" s="190"/>
      <c r="AR3" s="214"/>
      <c r="AS3" s="190"/>
      <c r="AT3" s="215"/>
      <c r="AU3" s="215"/>
    </row>
    <row r="4">
      <c r="A4" s="216" t="s">
        <v>132</v>
      </c>
      <c r="B4" s="217">
        <f>100%+'Weekly Tables'!I5</f>
        <v>1.217244909</v>
      </c>
      <c r="C4" s="218">
        <f t="shared" si="1"/>
        <v>5</v>
      </c>
      <c r="D4" s="219">
        <f t="shared" si="2"/>
        <v>0.25</v>
      </c>
      <c r="E4" s="220">
        <f>100%+'Weekly Tables'!F5</f>
        <v>1.428578772</v>
      </c>
      <c r="F4" s="221">
        <f t="shared" si="3"/>
        <v>5</v>
      </c>
      <c r="G4" s="222">
        <f t="shared" si="4"/>
        <v>0.25</v>
      </c>
      <c r="H4" s="198"/>
      <c r="I4" s="199" t="str">
        <f t="shared" si="5"/>
        <v/>
      </c>
      <c r="J4" s="199" t="str">
        <f t="shared" si="6"/>
        <v/>
      </c>
      <c r="K4" s="223">
        <f>'Weekly Tables'!L5*100</f>
        <v>-4.1</v>
      </c>
      <c r="L4" s="218">
        <f t="shared" si="7"/>
        <v>5</v>
      </c>
      <c r="M4" s="201">
        <f t="shared" si="8"/>
        <v>0.75</v>
      </c>
      <c r="N4" s="224">
        <f>'Weekly Tables'!O5*100</f>
        <v>0.2</v>
      </c>
      <c r="O4" s="221">
        <f t="shared" si="9"/>
        <v>3</v>
      </c>
      <c r="P4" s="203">
        <f t="shared" si="10"/>
        <v>0.45</v>
      </c>
      <c r="Q4" s="225">
        <f>'Weekly Tables'!M13</f>
        <v>4</v>
      </c>
      <c r="R4" s="218">
        <f t="shared" si="11"/>
        <v>2</v>
      </c>
      <c r="S4" s="201">
        <f t="shared" si="12"/>
        <v>0.42</v>
      </c>
      <c r="T4" s="226" t="str">
        <f>'Weekly Tables'!K13</f>
        <v>NA</v>
      </c>
      <c r="U4" s="221" t="str">
        <f t="shared" si="13"/>
        <v/>
      </c>
      <c r="V4" s="221" t="str">
        <f t="shared" si="14"/>
        <v/>
      </c>
      <c r="W4" s="227">
        <f>'Weekly Tables'!N21</f>
        <v>0.0372</v>
      </c>
      <c r="X4" s="218">
        <f t="shared" si="15"/>
        <v>2</v>
      </c>
      <c r="Y4" s="228">
        <f t="shared" si="16"/>
        <v>0.2</v>
      </c>
      <c r="Z4" s="229">
        <f t="array" ref="Z4">XLOOKUP(A4,'Weekly Tables'!$B$30:$B$34,'Weekly Tables'!$H$30:$H$34)</f>
        <v>1.02</v>
      </c>
      <c r="AA4" s="199">
        <f t="shared" si="17"/>
        <v>4</v>
      </c>
      <c r="AB4" s="199">
        <f t="shared" si="18"/>
        <v>0.3</v>
      </c>
      <c r="AC4" s="230">
        <f>'Weekly Tables'!E21</f>
        <v>4.3</v>
      </c>
      <c r="AD4" s="218">
        <f t="shared" si="19"/>
        <v>3</v>
      </c>
      <c r="AE4" s="218">
        <f t="shared" si="20"/>
        <v>0.225</v>
      </c>
      <c r="AF4" s="231">
        <v>72.0</v>
      </c>
      <c r="AG4" s="199">
        <f t="shared" si="21"/>
        <v>1</v>
      </c>
      <c r="AH4" s="199">
        <f t="shared" si="22"/>
        <v>0.125</v>
      </c>
      <c r="AI4" s="232">
        <v>76.0</v>
      </c>
      <c r="AJ4" s="218">
        <f t="shared" si="23"/>
        <v>2</v>
      </c>
      <c r="AK4" s="228">
        <f t="shared" si="24"/>
        <v>0.125</v>
      </c>
      <c r="AL4" s="233">
        <v>78.0</v>
      </c>
      <c r="AM4" s="221">
        <f t="shared" si="25"/>
        <v>2</v>
      </c>
      <c r="AN4" s="234">
        <f t="shared" si="26"/>
        <v>0.125</v>
      </c>
      <c r="AO4" s="235">
        <v>93.0</v>
      </c>
      <c r="AP4" s="213">
        <f t="shared" si="27"/>
        <v>3.22</v>
      </c>
      <c r="AQ4" s="190"/>
      <c r="AR4" s="214"/>
      <c r="AS4" s="190"/>
      <c r="AT4" s="215"/>
      <c r="AU4" s="215"/>
    </row>
    <row r="5">
      <c r="A5" s="216" t="s">
        <v>133</v>
      </c>
      <c r="B5" s="217">
        <f>100%+'Weekly Tables'!I6</f>
        <v>0.8707731308</v>
      </c>
      <c r="C5" s="218">
        <f t="shared" si="1"/>
        <v>0</v>
      </c>
      <c r="D5" s="219">
        <f t="shared" si="2"/>
        <v>0</v>
      </c>
      <c r="E5" s="220">
        <f>100%+'Weekly Tables'!F6</f>
        <v>1.089097662</v>
      </c>
      <c r="F5" s="221">
        <f t="shared" si="3"/>
        <v>5</v>
      </c>
      <c r="G5" s="222">
        <f t="shared" si="4"/>
        <v>0.25</v>
      </c>
      <c r="H5" s="198"/>
      <c r="I5" s="199" t="str">
        <f t="shared" si="5"/>
        <v/>
      </c>
      <c r="J5" s="199" t="str">
        <f t="shared" si="6"/>
        <v/>
      </c>
      <c r="K5" s="223">
        <f>'Weekly Tables'!L6*100</f>
        <v>-0.7</v>
      </c>
      <c r="L5" s="218">
        <f t="shared" si="7"/>
        <v>4</v>
      </c>
      <c r="M5" s="201">
        <f t="shared" si="8"/>
        <v>0.6</v>
      </c>
      <c r="N5" s="224">
        <f>'Weekly Tables'!O6*100</f>
        <v>3.3</v>
      </c>
      <c r="O5" s="221">
        <f t="shared" si="9"/>
        <v>0</v>
      </c>
      <c r="P5" s="203">
        <f t="shared" si="10"/>
        <v>0</v>
      </c>
      <c r="Q5" s="225">
        <f>'Weekly Tables'!M14</f>
        <v>3.33</v>
      </c>
      <c r="R5" s="218">
        <f t="shared" si="11"/>
        <v>0</v>
      </c>
      <c r="S5" s="201">
        <f t="shared" si="12"/>
        <v>0</v>
      </c>
      <c r="T5" s="226" t="str">
        <f>'Weekly Tables'!K14</f>
        <v>NA</v>
      </c>
      <c r="U5" s="221" t="str">
        <f t="shared" si="13"/>
        <v/>
      </c>
      <c r="V5" s="221" t="str">
        <f t="shared" si="14"/>
        <v/>
      </c>
      <c r="W5" s="227">
        <f>'Weekly Tables'!N22</f>
        <v>0.0294</v>
      </c>
      <c r="X5" s="218">
        <f t="shared" si="15"/>
        <v>2</v>
      </c>
      <c r="Y5" s="228">
        <f t="shared" si="16"/>
        <v>0.2</v>
      </c>
      <c r="Z5" s="229">
        <f t="array" ref="Z5">XLOOKUP(A5,'Weekly Tables'!$B$30:$B$34,'Weekly Tables'!$H$30:$H$34)</f>
        <v>1.05</v>
      </c>
      <c r="AA5" s="199">
        <f t="shared" si="17"/>
        <v>4</v>
      </c>
      <c r="AB5" s="199">
        <f t="shared" si="18"/>
        <v>0.3</v>
      </c>
      <c r="AC5" s="230">
        <f>'Weekly Tables'!E22</f>
        <v>4.2</v>
      </c>
      <c r="AD5" s="218">
        <f t="shared" si="19"/>
        <v>2</v>
      </c>
      <c r="AE5" s="218">
        <f t="shared" si="20"/>
        <v>0.15</v>
      </c>
      <c r="AF5" s="231">
        <v>70.0</v>
      </c>
      <c r="AG5" s="199">
        <f t="shared" si="21"/>
        <v>1</v>
      </c>
      <c r="AH5" s="199">
        <f t="shared" si="22"/>
        <v>0.125</v>
      </c>
      <c r="AI5" s="232">
        <v>75.0</v>
      </c>
      <c r="AJ5" s="218">
        <f t="shared" si="23"/>
        <v>2</v>
      </c>
      <c r="AK5" s="228">
        <f t="shared" si="24"/>
        <v>0.125</v>
      </c>
      <c r="AL5" s="233">
        <v>71.0</v>
      </c>
      <c r="AM5" s="221">
        <f t="shared" si="25"/>
        <v>1</v>
      </c>
      <c r="AN5" s="234">
        <f t="shared" si="26"/>
        <v>0.0625</v>
      </c>
      <c r="AO5" s="235">
        <v>80.0</v>
      </c>
      <c r="AP5" s="213">
        <f t="shared" si="27"/>
        <v>1.8125</v>
      </c>
      <c r="AQ5" s="190"/>
      <c r="AR5" s="214"/>
      <c r="AS5" s="190"/>
      <c r="AT5" s="215"/>
      <c r="AU5" s="215"/>
    </row>
    <row r="6">
      <c r="A6" s="191" t="s">
        <v>134</v>
      </c>
      <c r="B6" s="236">
        <f>100%+'Weekly Tables'!I7</f>
        <v>0.8524253197</v>
      </c>
      <c r="C6" s="237">
        <f t="shared" si="1"/>
        <v>0</v>
      </c>
      <c r="D6" s="238">
        <f t="shared" si="2"/>
        <v>0</v>
      </c>
      <c r="E6" s="239">
        <f>100%+'Weekly Tables'!F7</f>
        <v>1.064243935</v>
      </c>
      <c r="F6" s="240">
        <f t="shared" si="3"/>
        <v>5</v>
      </c>
      <c r="G6" s="241">
        <f t="shared" si="4"/>
        <v>0.25</v>
      </c>
      <c r="H6" s="198"/>
      <c r="I6" s="199" t="str">
        <f t="shared" si="5"/>
        <v/>
      </c>
      <c r="J6" s="199" t="str">
        <f t="shared" si="6"/>
        <v/>
      </c>
      <c r="K6" s="242">
        <f>'Weekly Tables'!L7*100</f>
        <v>-1.9</v>
      </c>
      <c r="L6" s="237">
        <f t="shared" si="7"/>
        <v>5</v>
      </c>
      <c r="M6" s="201">
        <f t="shared" si="8"/>
        <v>0.75</v>
      </c>
      <c r="N6" s="243">
        <f>'Weekly Tables'!O7*100</f>
        <v>-0.1</v>
      </c>
      <c r="O6" s="240">
        <f t="shared" si="9"/>
        <v>3</v>
      </c>
      <c r="P6" s="203">
        <f t="shared" si="10"/>
        <v>0.45</v>
      </c>
      <c r="Q6" s="244">
        <f>'Weekly Tables'!M16</f>
        <v>4.14</v>
      </c>
      <c r="R6" s="237">
        <f t="shared" si="11"/>
        <v>2</v>
      </c>
      <c r="S6" s="201">
        <f t="shared" si="12"/>
        <v>0.42</v>
      </c>
      <c r="T6" s="245">
        <f>'Weekly Tables'!K16</f>
        <v>2</v>
      </c>
      <c r="U6" s="240">
        <f t="shared" si="13"/>
        <v>0</v>
      </c>
      <c r="V6" s="240">
        <f t="shared" si="14"/>
        <v>0</v>
      </c>
      <c r="W6" s="246" t="str">
        <f>'Weekly Tables'!N24</f>
        <v/>
      </c>
      <c r="X6" s="237" t="str">
        <f t="shared" si="15"/>
        <v/>
      </c>
      <c r="Y6" s="247" t="str">
        <f t="shared" si="16"/>
        <v/>
      </c>
      <c r="Z6" s="248">
        <f t="array" ref="Z6">XLOOKUP(A6,'Weekly Tables'!$B$30:$B$34,'Weekly Tables'!$H$30:$H$34)</f>
        <v>1.43</v>
      </c>
      <c r="AA6" s="249">
        <f t="shared" si="17"/>
        <v>4</v>
      </c>
      <c r="AB6" s="249">
        <f t="shared" si="18"/>
        <v>0.3</v>
      </c>
      <c r="AC6" s="246" t="str">
        <f>'Weekly Tables'!E24</f>
        <v/>
      </c>
      <c r="AD6" s="237" t="str">
        <f t="shared" si="19"/>
        <v/>
      </c>
      <c r="AE6" s="237" t="str">
        <f t="shared" si="20"/>
        <v/>
      </c>
      <c r="AF6" s="250">
        <v>56.0</v>
      </c>
      <c r="AG6" s="249">
        <f t="shared" si="21"/>
        <v>0</v>
      </c>
      <c r="AH6" s="249">
        <f t="shared" si="22"/>
        <v>0</v>
      </c>
      <c r="AI6" s="251">
        <v>60.0</v>
      </c>
      <c r="AJ6" s="237">
        <f t="shared" si="23"/>
        <v>0</v>
      </c>
      <c r="AK6" s="247">
        <f t="shared" si="24"/>
        <v>0</v>
      </c>
      <c r="AL6" s="252">
        <v>60.0</v>
      </c>
      <c r="AM6" s="240">
        <f t="shared" si="25"/>
        <v>0</v>
      </c>
      <c r="AN6" s="253">
        <f t="shared" si="26"/>
        <v>0</v>
      </c>
      <c r="AO6" s="254">
        <v>78.0</v>
      </c>
      <c r="AP6" s="213">
        <f t="shared" si="27"/>
        <v>2.17</v>
      </c>
      <c r="AQ6" s="190"/>
      <c r="AR6" s="214"/>
      <c r="AS6" s="190"/>
      <c r="AT6" s="215"/>
      <c r="AU6" s="215"/>
    </row>
    <row r="7">
      <c r="D7" s="155"/>
      <c r="G7" s="155"/>
      <c r="K7" s="255"/>
      <c r="N7" s="255"/>
      <c r="T7" s="256"/>
      <c r="Z7" s="257"/>
    </row>
    <row r="8">
      <c r="B8" s="258"/>
      <c r="C8" s="259">
        <f t="shared" ref="C8:C12" si="28">IF(B2="","",ROUND(IF(B2&gt;=105%,5,IF(B2&gt;=102%,4+(B2-102%)/(105%-102%),IF(B2&gt;=99%,3+(B2-99%)/(102%-99%),IF(B2&gt;=95%,2+(B2-95%)/(99%-95%),IF(B2&gt;=90%,1+(B2-90%)/(95%-90%),0))))),1))</f>
        <v>1.9</v>
      </c>
      <c r="D8" s="155"/>
      <c r="F8" s="259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5"/>
      <c r="K8" s="255"/>
      <c r="N8" s="255"/>
      <c r="T8" s="256"/>
      <c r="Z8" s="257"/>
    </row>
    <row r="9">
      <c r="C9" s="259">
        <f t="shared" si="28"/>
        <v>4</v>
      </c>
      <c r="D9" s="155"/>
      <c r="F9" s="259">
        <f t="shared" si="29"/>
        <v>5</v>
      </c>
      <c r="G9" s="155"/>
      <c r="K9" s="255"/>
      <c r="N9" s="255"/>
      <c r="T9" s="256"/>
      <c r="Z9" s="257"/>
    </row>
    <row r="10">
      <c r="C10" s="259">
        <f t="shared" si="28"/>
        <v>5</v>
      </c>
      <c r="D10" s="155"/>
      <c r="F10" s="259">
        <f t="shared" si="29"/>
        <v>5</v>
      </c>
      <c r="G10" s="155"/>
      <c r="K10" s="255"/>
      <c r="N10" s="255"/>
      <c r="T10" s="256"/>
      <c r="Z10" s="257"/>
    </row>
    <row r="11">
      <c r="C11" s="259">
        <f t="shared" si="28"/>
        <v>0</v>
      </c>
      <c r="D11" s="155"/>
      <c r="F11" s="259">
        <f t="shared" si="29"/>
        <v>5</v>
      </c>
      <c r="G11" s="155"/>
      <c r="K11" s="255"/>
      <c r="N11" s="255"/>
      <c r="T11" s="256"/>
      <c r="Z11" s="257"/>
    </row>
    <row r="12">
      <c r="C12" s="259">
        <f t="shared" si="28"/>
        <v>0</v>
      </c>
      <c r="D12" s="155"/>
      <c r="F12" s="259">
        <f t="shared" si="29"/>
        <v>5</v>
      </c>
      <c r="G12" s="155"/>
      <c r="K12" s="255"/>
      <c r="N12" s="255"/>
      <c r="T12" s="256"/>
      <c r="Z12" s="257"/>
    </row>
    <row r="13">
      <c r="D13" s="155"/>
      <c r="G13" s="155"/>
      <c r="K13" s="255"/>
      <c r="N13" s="255"/>
      <c r="T13" s="256"/>
      <c r="Z13" s="257"/>
    </row>
    <row r="14"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</row>
    <row r="15">
      <c r="A15" s="260"/>
      <c r="B15" s="260"/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</row>
    <row r="16">
      <c r="B16" s="260"/>
      <c r="C16" s="155"/>
      <c r="D16" s="260"/>
      <c r="E16" s="260"/>
      <c r="F16" s="155"/>
      <c r="G16" s="260"/>
      <c r="H16" s="260"/>
      <c r="I16" s="260"/>
      <c r="J16" s="255"/>
      <c r="K16" s="260"/>
      <c r="L16" s="260"/>
      <c r="M16" s="255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57"/>
      <c r="Z16" s="260"/>
      <c r="AA16" s="260"/>
      <c r="AB16" s="260"/>
      <c r="AC16" s="260"/>
      <c r="AD16" s="260"/>
      <c r="AE16" s="260"/>
    </row>
    <row r="17">
      <c r="A17" s="260"/>
      <c r="C17" s="155"/>
      <c r="F17" s="155"/>
      <c r="J17" s="255"/>
      <c r="M17" s="255"/>
      <c r="Y17" s="257"/>
      <c r="AE17" s="260"/>
      <c r="AF17" s="260"/>
    </row>
    <row r="18">
      <c r="A18" s="260"/>
      <c r="C18" s="155"/>
      <c r="F18" s="155"/>
      <c r="J18" s="255"/>
      <c r="M18" s="255"/>
      <c r="Y18" s="257"/>
      <c r="AE18" s="260"/>
      <c r="AF18" s="260"/>
    </row>
    <row r="19">
      <c r="A19" s="260"/>
      <c r="C19" s="155"/>
      <c r="F19" s="155"/>
      <c r="J19" s="255"/>
      <c r="M19" s="255"/>
      <c r="Y19" s="257"/>
      <c r="AE19" s="260"/>
      <c r="AF19" s="260"/>
    </row>
    <row r="20">
      <c r="A20" s="260"/>
      <c r="C20" s="155"/>
      <c r="F20" s="155"/>
      <c r="J20" s="255"/>
      <c r="M20" s="255"/>
      <c r="Y20" s="257"/>
      <c r="AE20" s="260"/>
      <c r="AF20" s="260"/>
    </row>
    <row r="21" ht="15.75" customHeight="1">
      <c r="A21" s="260"/>
      <c r="C21" s="155"/>
      <c r="F21" s="155"/>
      <c r="J21" s="255"/>
      <c r="M21" s="255"/>
      <c r="Y21" s="257"/>
      <c r="AE21" s="260"/>
      <c r="AF21" s="260"/>
    </row>
    <row r="22" ht="15.75" customHeight="1">
      <c r="A22" s="260"/>
      <c r="C22" s="214"/>
      <c r="F22" s="214"/>
      <c r="I22" s="214"/>
      <c r="J22" s="255"/>
      <c r="L22" s="214"/>
      <c r="M22" s="255"/>
      <c r="O22" s="214"/>
      <c r="R22" s="214"/>
      <c r="U22" s="214"/>
      <c r="X22" s="214"/>
      <c r="Y22" s="257"/>
      <c r="AA22" s="214"/>
      <c r="AD22" s="260"/>
      <c r="AF22" s="214"/>
    </row>
    <row r="23" ht="15.75" customHeight="1">
      <c r="B23" s="261"/>
      <c r="C23" s="261"/>
      <c r="D23" s="262"/>
      <c r="E23" s="261"/>
      <c r="F23" s="261"/>
      <c r="G23" s="262"/>
      <c r="H23" s="261"/>
      <c r="I23" s="261"/>
      <c r="J23" s="261"/>
      <c r="K23" s="263"/>
      <c r="L23" s="261"/>
      <c r="M23" s="261"/>
      <c r="N23" s="263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4"/>
      <c r="AA23" s="261"/>
      <c r="AB23" s="261"/>
      <c r="AC23" s="261"/>
      <c r="AD23" s="261"/>
      <c r="AE23" s="261"/>
      <c r="AF23" s="261"/>
      <c r="AG23" s="261"/>
    </row>
    <row r="24" ht="15.75" customHeight="1">
      <c r="D24" s="155"/>
      <c r="G24" s="155"/>
      <c r="K24" s="255"/>
      <c r="N24" s="255"/>
      <c r="T24" s="256"/>
      <c r="Z24" s="257"/>
    </row>
    <row r="25" ht="15.75" customHeight="1">
      <c r="D25" s="155"/>
      <c r="G25" s="155"/>
      <c r="K25" s="255"/>
      <c r="N25" s="255"/>
      <c r="T25" s="256"/>
      <c r="Z25" s="257"/>
    </row>
    <row r="26" ht="15.75" customHeight="1">
      <c r="D26" s="155"/>
      <c r="G26" s="155"/>
      <c r="K26" s="255"/>
      <c r="N26" s="255"/>
      <c r="T26" s="256"/>
      <c r="Z26" s="257"/>
    </row>
    <row r="27" ht="15.75" customHeight="1">
      <c r="D27" s="155"/>
      <c r="G27" s="155"/>
      <c r="K27" s="255"/>
      <c r="N27" s="255"/>
      <c r="T27" s="256"/>
      <c r="Z27" s="257"/>
    </row>
    <row r="28" ht="15.75" customHeight="1">
      <c r="D28" s="155"/>
      <c r="G28" s="155"/>
      <c r="K28" s="255"/>
      <c r="N28" s="255"/>
      <c r="T28" s="256"/>
      <c r="Z28" s="257"/>
    </row>
    <row r="29" ht="15.75" customHeight="1">
      <c r="D29" s="155"/>
      <c r="G29" s="155"/>
      <c r="K29" s="255"/>
      <c r="N29" s="255"/>
      <c r="T29" s="256"/>
      <c r="Z29" s="257"/>
    </row>
    <row r="30" ht="15.75" customHeight="1">
      <c r="D30" s="155"/>
      <c r="G30" s="155"/>
      <c r="K30" s="255"/>
      <c r="N30" s="255"/>
      <c r="T30" s="256"/>
      <c r="Z30" s="257"/>
    </row>
    <row r="31" ht="15.75" customHeight="1">
      <c r="D31" s="155"/>
      <c r="G31" s="155"/>
      <c r="K31" s="255"/>
      <c r="N31" s="255"/>
      <c r="T31" s="256"/>
      <c r="Z31" s="257"/>
    </row>
    <row r="32" ht="15.75" customHeight="1">
      <c r="D32" s="155"/>
      <c r="G32" s="155"/>
      <c r="K32" s="255"/>
      <c r="N32" s="255"/>
      <c r="T32" s="256"/>
      <c r="Z32" s="257"/>
    </row>
    <row r="33" ht="15.75" customHeight="1">
      <c r="D33" s="155"/>
      <c r="G33" s="155"/>
      <c r="K33" s="255"/>
      <c r="N33" s="255"/>
      <c r="T33" s="256"/>
      <c r="Z33" s="257"/>
    </row>
    <row r="34" ht="15.75" customHeight="1">
      <c r="D34" s="155"/>
      <c r="G34" s="155"/>
      <c r="K34" s="255"/>
      <c r="N34" s="255"/>
      <c r="T34" s="256"/>
      <c r="Z34" s="257"/>
    </row>
    <row r="35" ht="15.75" customHeight="1">
      <c r="D35" s="155"/>
      <c r="G35" s="155"/>
      <c r="K35" s="255"/>
      <c r="N35" s="255"/>
      <c r="T35" s="256"/>
      <c r="Z35" s="257"/>
    </row>
    <row r="36" ht="15.75" customHeight="1">
      <c r="D36" s="155"/>
      <c r="G36" s="155"/>
      <c r="K36" s="255"/>
      <c r="N36" s="255"/>
      <c r="T36" s="256"/>
      <c r="Z36" s="257"/>
    </row>
    <row r="37" ht="15.75" customHeight="1">
      <c r="D37" s="155"/>
      <c r="G37" s="155"/>
      <c r="K37" s="255"/>
      <c r="N37" s="255"/>
      <c r="T37" s="256"/>
      <c r="Z37" s="257"/>
    </row>
    <row r="38" ht="15.75" customHeight="1">
      <c r="D38" s="155"/>
      <c r="G38" s="155"/>
      <c r="K38" s="255"/>
      <c r="N38" s="255"/>
      <c r="T38" s="256"/>
      <c r="Z38" s="257"/>
    </row>
    <row r="39" ht="15.75" customHeight="1">
      <c r="D39" s="155"/>
      <c r="G39" s="155"/>
      <c r="K39" s="255"/>
      <c r="N39" s="255"/>
      <c r="T39" s="256"/>
      <c r="Z39" s="257"/>
    </row>
    <row r="40" ht="15.75" customHeight="1">
      <c r="D40" s="155"/>
      <c r="G40" s="155"/>
      <c r="K40" s="255"/>
      <c r="N40" s="255"/>
      <c r="T40" s="256"/>
      <c r="Z40" s="257"/>
    </row>
    <row r="41" ht="15.75" customHeight="1">
      <c r="D41" s="155"/>
      <c r="G41" s="155"/>
      <c r="K41" s="255"/>
      <c r="N41" s="255"/>
      <c r="T41" s="256"/>
      <c r="Z41" s="257"/>
    </row>
    <row r="42" ht="15.75" customHeight="1">
      <c r="D42" s="155"/>
      <c r="G42" s="155"/>
      <c r="K42" s="255"/>
      <c r="N42" s="255"/>
      <c r="T42" s="256"/>
      <c r="Z42" s="257"/>
    </row>
    <row r="43" ht="15.75" customHeight="1">
      <c r="D43" s="155"/>
      <c r="G43" s="155"/>
      <c r="K43" s="255"/>
      <c r="N43" s="255"/>
      <c r="T43" s="256"/>
      <c r="Z43" s="257"/>
    </row>
    <row r="44" ht="15.75" customHeight="1">
      <c r="D44" s="155"/>
      <c r="G44" s="155"/>
      <c r="K44" s="255"/>
      <c r="N44" s="255"/>
      <c r="T44" s="256"/>
      <c r="Z44" s="257"/>
    </row>
    <row r="45" ht="15.75" customHeight="1">
      <c r="D45" s="155"/>
      <c r="G45" s="155"/>
      <c r="K45" s="255"/>
      <c r="N45" s="255"/>
      <c r="T45" s="256"/>
      <c r="Z45" s="257"/>
    </row>
    <row r="46" ht="15.75" customHeight="1">
      <c r="D46" s="155"/>
      <c r="G46" s="155"/>
      <c r="K46" s="255"/>
      <c r="N46" s="255"/>
      <c r="T46" s="256"/>
      <c r="Z46" s="257"/>
    </row>
    <row r="47" ht="15.75" customHeight="1">
      <c r="D47" s="155"/>
      <c r="G47" s="155"/>
      <c r="K47" s="255"/>
      <c r="N47" s="255"/>
      <c r="T47" s="256"/>
      <c r="Z47" s="257"/>
    </row>
    <row r="48" ht="15.75" customHeight="1">
      <c r="D48" s="155"/>
      <c r="G48" s="155"/>
      <c r="K48" s="255"/>
      <c r="N48" s="255"/>
      <c r="T48" s="256"/>
      <c r="Z48" s="257"/>
    </row>
    <row r="49" ht="15.75" customHeight="1">
      <c r="D49" s="155"/>
      <c r="G49" s="155"/>
      <c r="K49" s="255"/>
      <c r="N49" s="255"/>
      <c r="T49" s="256"/>
      <c r="Z49" s="257"/>
    </row>
    <row r="50" ht="15.75" customHeight="1">
      <c r="D50" s="155"/>
      <c r="G50" s="155"/>
      <c r="K50" s="255"/>
      <c r="N50" s="255"/>
      <c r="T50" s="256"/>
      <c r="Z50" s="257"/>
    </row>
    <row r="51" ht="15.75" customHeight="1">
      <c r="D51" s="155"/>
      <c r="G51" s="155"/>
      <c r="K51" s="255"/>
      <c r="N51" s="255"/>
      <c r="T51" s="256"/>
      <c r="Z51" s="257"/>
    </row>
    <row r="52" ht="15.75" customHeight="1">
      <c r="D52" s="155"/>
      <c r="G52" s="155"/>
      <c r="K52" s="255"/>
      <c r="N52" s="255"/>
      <c r="T52" s="256"/>
      <c r="Z52" s="257"/>
    </row>
    <row r="53" ht="15.75" customHeight="1">
      <c r="D53" s="155"/>
      <c r="G53" s="155"/>
      <c r="K53" s="255"/>
      <c r="N53" s="255"/>
      <c r="T53" s="256"/>
      <c r="Z53" s="257"/>
    </row>
    <row r="54" ht="15.75" customHeight="1">
      <c r="D54" s="155"/>
      <c r="G54" s="155"/>
      <c r="K54" s="255"/>
      <c r="N54" s="255"/>
      <c r="T54" s="256"/>
      <c r="Z54" s="257"/>
    </row>
    <row r="55" ht="15.75" customHeight="1">
      <c r="D55" s="155"/>
      <c r="G55" s="155"/>
      <c r="K55" s="255"/>
      <c r="N55" s="255"/>
      <c r="T55" s="256"/>
      <c r="Z55" s="257"/>
    </row>
    <row r="56" ht="15.75" customHeight="1">
      <c r="D56" s="155"/>
      <c r="G56" s="155"/>
      <c r="K56" s="255"/>
      <c r="N56" s="255"/>
      <c r="T56" s="256"/>
      <c r="Z56" s="257"/>
    </row>
    <row r="57" ht="15.75" customHeight="1">
      <c r="D57" s="155"/>
      <c r="G57" s="155"/>
      <c r="K57" s="255"/>
      <c r="N57" s="255"/>
      <c r="T57" s="256"/>
      <c r="Z57" s="257"/>
    </row>
    <row r="58" ht="15.75" customHeight="1">
      <c r="D58" s="155"/>
      <c r="G58" s="155"/>
      <c r="K58" s="255"/>
      <c r="N58" s="255"/>
      <c r="T58" s="256"/>
      <c r="Z58" s="257"/>
    </row>
    <row r="59" ht="15.75" customHeight="1">
      <c r="D59" s="155"/>
      <c r="G59" s="155"/>
      <c r="K59" s="255"/>
      <c r="N59" s="255"/>
      <c r="T59" s="256"/>
      <c r="Z59" s="257"/>
    </row>
    <row r="60" ht="15.75" customHeight="1">
      <c r="D60" s="155"/>
      <c r="G60" s="155"/>
      <c r="K60" s="255"/>
      <c r="N60" s="255"/>
      <c r="T60" s="256"/>
      <c r="Z60" s="257"/>
    </row>
    <row r="61" ht="15.75" customHeight="1">
      <c r="D61" s="155"/>
      <c r="G61" s="155"/>
      <c r="K61" s="255"/>
      <c r="N61" s="255"/>
      <c r="T61" s="256"/>
      <c r="Z61" s="257"/>
    </row>
    <row r="62" ht="15.75" customHeight="1">
      <c r="D62" s="155"/>
      <c r="G62" s="155"/>
      <c r="K62" s="255"/>
      <c r="N62" s="255"/>
      <c r="T62" s="256"/>
      <c r="Z62" s="257"/>
    </row>
    <row r="63" ht="15.75" customHeight="1">
      <c r="D63" s="155"/>
      <c r="G63" s="155"/>
      <c r="K63" s="255"/>
      <c r="N63" s="255"/>
      <c r="T63" s="256"/>
      <c r="Z63" s="257"/>
    </row>
    <row r="64" ht="15.75" customHeight="1">
      <c r="D64" s="155"/>
      <c r="G64" s="155"/>
      <c r="K64" s="255"/>
      <c r="N64" s="255"/>
      <c r="T64" s="256"/>
      <c r="Z64" s="257"/>
    </row>
    <row r="65" ht="15.75" customHeight="1">
      <c r="D65" s="155"/>
      <c r="G65" s="155"/>
      <c r="K65" s="255"/>
      <c r="N65" s="255"/>
      <c r="T65" s="256"/>
      <c r="Z65" s="257"/>
    </row>
    <row r="66" ht="15.75" customHeight="1">
      <c r="D66" s="155"/>
      <c r="G66" s="155"/>
      <c r="K66" s="255"/>
      <c r="N66" s="255"/>
      <c r="T66" s="256"/>
      <c r="Z66" s="257"/>
    </row>
    <row r="67" ht="15.75" customHeight="1">
      <c r="D67" s="155"/>
      <c r="G67" s="155"/>
      <c r="K67" s="255"/>
      <c r="N67" s="255"/>
      <c r="T67" s="256"/>
      <c r="Z67" s="257"/>
    </row>
    <row r="68" ht="15.75" customHeight="1">
      <c r="D68" s="155"/>
      <c r="G68" s="155"/>
      <c r="K68" s="255"/>
      <c r="N68" s="255"/>
      <c r="T68" s="256"/>
      <c r="Z68" s="257"/>
    </row>
    <row r="69" ht="15.75" customHeight="1">
      <c r="D69" s="155"/>
      <c r="G69" s="155"/>
      <c r="K69" s="255"/>
      <c r="N69" s="255"/>
      <c r="T69" s="256"/>
      <c r="Z69" s="257"/>
    </row>
    <row r="70" ht="15.75" customHeight="1">
      <c r="D70" s="155"/>
      <c r="G70" s="155"/>
      <c r="K70" s="255"/>
      <c r="N70" s="255"/>
      <c r="T70" s="256"/>
      <c r="Z70" s="257"/>
    </row>
    <row r="71" ht="15.75" customHeight="1">
      <c r="D71" s="155"/>
      <c r="G71" s="155"/>
      <c r="K71" s="255"/>
      <c r="N71" s="255"/>
      <c r="T71" s="256"/>
      <c r="Z71" s="257"/>
    </row>
    <row r="72" ht="15.75" customHeight="1">
      <c r="D72" s="155"/>
      <c r="G72" s="155"/>
      <c r="K72" s="255"/>
      <c r="N72" s="255"/>
      <c r="T72" s="256"/>
      <c r="Z72" s="257"/>
    </row>
    <row r="73" ht="15.75" customHeight="1">
      <c r="D73" s="155"/>
      <c r="G73" s="155"/>
      <c r="K73" s="255"/>
      <c r="N73" s="255"/>
      <c r="T73" s="256"/>
      <c r="Z73" s="257"/>
    </row>
    <row r="74" ht="15.75" customHeight="1">
      <c r="D74" s="155"/>
      <c r="G74" s="155"/>
      <c r="K74" s="255"/>
      <c r="N74" s="255"/>
      <c r="T74" s="256"/>
      <c r="Z74" s="257"/>
    </row>
    <row r="75" ht="15.75" customHeight="1">
      <c r="D75" s="155"/>
      <c r="G75" s="155"/>
      <c r="K75" s="255"/>
      <c r="N75" s="255"/>
      <c r="T75" s="256"/>
      <c r="Z75" s="257"/>
    </row>
    <row r="76" ht="15.75" customHeight="1">
      <c r="D76" s="155"/>
      <c r="G76" s="155"/>
      <c r="K76" s="255"/>
      <c r="N76" s="255"/>
      <c r="T76" s="256"/>
      <c r="Z76" s="257"/>
    </row>
    <row r="77" ht="15.75" customHeight="1">
      <c r="D77" s="155"/>
      <c r="G77" s="155"/>
      <c r="K77" s="255"/>
      <c r="N77" s="255"/>
      <c r="T77" s="256"/>
      <c r="Z77" s="257"/>
    </row>
    <row r="78" ht="15.75" customHeight="1">
      <c r="D78" s="155"/>
      <c r="G78" s="155"/>
      <c r="K78" s="255"/>
      <c r="N78" s="255"/>
      <c r="T78" s="256"/>
      <c r="Z78" s="257"/>
    </row>
    <row r="79" ht="15.75" customHeight="1">
      <c r="D79" s="155"/>
      <c r="G79" s="155"/>
      <c r="K79" s="255"/>
      <c r="N79" s="255"/>
      <c r="T79" s="256"/>
      <c r="Z79" s="257"/>
    </row>
    <row r="80" ht="15.75" customHeight="1">
      <c r="D80" s="155"/>
      <c r="G80" s="155"/>
      <c r="K80" s="255"/>
      <c r="N80" s="255"/>
      <c r="T80" s="256"/>
      <c r="Z80" s="257"/>
    </row>
    <row r="81" ht="15.75" customHeight="1">
      <c r="D81" s="155"/>
      <c r="G81" s="155"/>
      <c r="K81" s="255"/>
      <c r="N81" s="255"/>
      <c r="T81" s="256"/>
      <c r="Z81" s="257"/>
    </row>
    <row r="82" ht="15.75" customHeight="1">
      <c r="D82" s="155"/>
      <c r="G82" s="155"/>
      <c r="K82" s="255"/>
      <c r="N82" s="255"/>
      <c r="T82" s="256"/>
      <c r="Z82" s="257"/>
    </row>
    <row r="83" ht="15.75" customHeight="1">
      <c r="D83" s="155"/>
      <c r="G83" s="155"/>
      <c r="K83" s="255"/>
      <c r="N83" s="255"/>
      <c r="T83" s="256"/>
      <c r="Z83" s="257"/>
    </row>
    <row r="84" ht="15.75" customHeight="1">
      <c r="D84" s="155"/>
      <c r="G84" s="155"/>
      <c r="K84" s="255"/>
      <c r="N84" s="255"/>
      <c r="T84" s="256"/>
      <c r="Z84" s="257"/>
    </row>
    <row r="85" ht="15.75" customHeight="1">
      <c r="D85" s="155"/>
      <c r="G85" s="155"/>
      <c r="K85" s="255"/>
      <c r="N85" s="255"/>
      <c r="T85" s="256"/>
      <c r="Z85" s="257"/>
    </row>
    <row r="86" ht="15.75" customHeight="1">
      <c r="D86" s="155"/>
      <c r="G86" s="155"/>
      <c r="K86" s="255"/>
      <c r="N86" s="255"/>
      <c r="T86" s="256"/>
      <c r="Z86" s="257"/>
    </row>
    <row r="87" ht="15.75" customHeight="1">
      <c r="D87" s="155"/>
      <c r="G87" s="155"/>
      <c r="K87" s="255"/>
      <c r="N87" s="255"/>
      <c r="T87" s="256"/>
      <c r="Z87" s="257"/>
    </row>
    <row r="88" ht="15.75" customHeight="1">
      <c r="D88" s="155"/>
      <c r="G88" s="155"/>
      <c r="K88" s="255"/>
      <c r="N88" s="255"/>
      <c r="T88" s="256"/>
      <c r="Z88" s="257"/>
    </row>
    <row r="89" ht="15.75" customHeight="1">
      <c r="D89" s="155"/>
      <c r="G89" s="155"/>
      <c r="K89" s="255"/>
      <c r="N89" s="255"/>
      <c r="T89" s="256"/>
      <c r="Z89" s="257"/>
    </row>
    <row r="90" ht="15.75" customHeight="1">
      <c r="D90" s="155"/>
      <c r="G90" s="155"/>
      <c r="K90" s="255"/>
      <c r="N90" s="255"/>
      <c r="T90" s="256"/>
      <c r="Z90" s="257"/>
    </row>
    <row r="91" ht="15.75" customHeight="1">
      <c r="D91" s="155"/>
      <c r="G91" s="155"/>
      <c r="K91" s="255"/>
      <c r="N91" s="255"/>
      <c r="T91" s="256"/>
      <c r="Z91" s="257"/>
    </row>
    <row r="92" ht="15.75" customHeight="1">
      <c r="D92" s="155"/>
      <c r="G92" s="155"/>
      <c r="K92" s="255"/>
      <c r="N92" s="255"/>
      <c r="T92" s="256"/>
      <c r="Z92" s="257"/>
    </row>
    <row r="93" ht="15.75" customHeight="1">
      <c r="D93" s="155"/>
      <c r="G93" s="155"/>
      <c r="K93" s="255"/>
      <c r="N93" s="255"/>
      <c r="T93" s="256"/>
      <c r="Z93" s="257"/>
    </row>
    <row r="94" ht="15.75" customHeight="1">
      <c r="D94" s="155"/>
      <c r="G94" s="155"/>
      <c r="K94" s="255"/>
      <c r="N94" s="255"/>
      <c r="T94" s="256"/>
      <c r="Z94" s="257"/>
    </row>
    <row r="95" ht="15.75" customHeight="1">
      <c r="D95" s="155"/>
      <c r="G95" s="155"/>
      <c r="K95" s="255"/>
      <c r="N95" s="255"/>
      <c r="T95" s="256"/>
      <c r="Z95" s="257"/>
    </row>
    <row r="96" ht="15.75" customHeight="1">
      <c r="D96" s="155"/>
      <c r="G96" s="155"/>
      <c r="K96" s="255"/>
      <c r="N96" s="255"/>
      <c r="T96" s="256"/>
      <c r="Z96" s="257"/>
    </row>
    <row r="97" ht="15.75" customHeight="1">
      <c r="D97" s="155"/>
      <c r="G97" s="155"/>
      <c r="K97" s="255"/>
      <c r="N97" s="255"/>
      <c r="T97" s="256"/>
      <c r="Z97" s="257"/>
    </row>
    <row r="98" ht="15.75" customHeight="1">
      <c r="D98" s="155"/>
      <c r="G98" s="155"/>
      <c r="K98" s="255"/>
      <c r="N98" s="255"/>
      <c r="T98" s="256"/>
      <c r="Z98" s="257"/>
    </row>
    <row r="99" ht="15.75" customHeight="1">
      <c r="D99" s="155"/>
      <c r="G99" s="155"/>
      <c r="K99" s="255"/>
      <c r="N99" s="255"/>
      <c r="T99" s="256"/>
      <c r="Z99" s="257"/>
    </row>
    <row r="100" ht="15.75" customHeight="1">
      <c r="D100" s="155"/>
      <c r="G100" s="155"/>
      <c r="K100" s="255"/>
      <c r="N100" s="255"/>
      <c r="T100" s="256"/>
      <c r="Z100" s="257"/>
    </row>
    <row r="101" ht="15.75" customHeight="1">
      <c r="D101" s="155"/>
      <c r="G101" s="155"/>
      <c r="K101" s="255"/>
      <c r="N101" s="255"/>
      <c r="T101" s="256"/>
      <c r="Z101" s="257"/>
    </row>
    <row r="102" ht="15.75" customHeight="1">
      <c r="D102" s="155"/>
      <c r="G102" s="155"/>
      <c r="K102" s="255"/>
      <c r="N102" s="255"/>
      <c r="T102" s="256"/>
      <c r="Z102" s="257"/>
    </row>
    <row r="103" ht="15.75" customHeight="1">
      <c r="D103" s="155"/>
      <c r="G103" s="155"/>
      <c r="K103" s="255"/>
      <c r="N103" s="255"/>
      <c r="T103" s="256"/>
      <c r="Z103" s="257"/>
    </row>
    <row r="104" ht="15.75" customHeight="1">
      <c r="D104" s="155"/>
      <c r="G104" s="155"/>
      <c r="K104" s="255"/>
      <c r="N104" s="255"/>
      <c r="T104" s="256"/>
      <c r="Z104" s="257"/>
    </row>
    <row r="105" ht="15.75" customHeight="1">
      <c r="D105" s="155"/>
      <c r="G105" s="155"/>
      <c r="K105" s="255"/>
      <c r="N105" s="255"/>
      <c r="T105" s="256"/>
      <c r="Z105" s="257"/>
    </row>
    <row r="106" ht="15.75" customHeight="1">
      <c r="D106" s="155"/>
      <c r="G106" s="155"/>
      <c r="K106" s="255"/>
      <c r="N106" s="255"/>
      <c r="T106" s="256"/>
      <c r="Z106" s="257"/>
    </row>
    <row r="107" ht="15.75" customHeight="1">
      <c r="D107" s="155"/>
      <c r="G107" s="155"/>
      <c r="K107" s="255"/>
      <c r="N107" s="255"/>
      <c r="T107" s="256"/>
      <c r="Z107" s="257"/>
    </row>
    <row r="108" ht="15.75" customHeight="1">
      <c r="D108" s="155"/>
      <c r="G108" s="155"/>
      <c r="K108" s="255"/>
      <c r="N108" s="255"/>
      <c r="T108" s="256"/>
      <c r="Z108" s="257"/>
    </row>
    <row r="109" ht="15.75" customHeight="1">
      <c r="D109" s="155"/>
      <c r="G109" s="155"/>
      <c r="K109" s="255"/>
      <c r="N109" s="255"/>
      <c r="T109" s="256"/>
      <c r="Z109" s="257"/>
    </row>
    <row r="110" ht="15.75" customHeight="1">
      <c r="D110" s="155"/>
      <c r="G110" s="155"/>
      <c r="K110" s="255"/>
      <c r="N110" s="255"/>
      <c r="T110" s="256"/>
      <c r="Z110" s="257"/>
    </row>
    <row r="111" ht="15.75" customHeight="1">
      <c r="D111" s="155"/>
      <c r="G111" s="155"/>
      <c r="K111" s="255"/>
      <c r="N111" s="255"/>
      <c r="T111" s="256"/>
      <c r="Z111" s="257"/>
    </row>
    <row r="112" ht="15.75" customHeight="1">
      <c r="D112" s="155"/>
      <c r="G112" s="155"/>
      <c r="K112" s="255"/>
      <c r="N112" s="255"/>
      <c r="T112" s="256"/>
      <c r="Z112" s="257"/>
    </row>
    <row r="113" ht="15.75" customHeight="1">
      <c r="D113" s="155"/>
      <c r="G113" s="155"/>
      <c r="K113" s="255"/>
      <c r="N113" s="255"/>
      <c r="T113" s="256"/>
      <c r="Z113" s="257"/>
    </row>
    <row r="114" ht="15.75" customHeight="1">
      <c r="D114" s="155"/>
      <c r="G114" s="155"/>
      <c r="K114" s="255"/>
      <c r="N114" s="255"/>
      <c r="T114" s="256"/>
      <c r="Z114" s="257"/>
    </row>
    <row r="115" ht="15.75" customHeight="1">
      <c r="D115" s="155"/>
      <c r="G115" s="155"/>
      <c r="K115" s="255"/>
      <c r="N115" s="255"/>
      <c r="T115" s="256"/>
      <c r="Z115" s="257"/>
    </row>
    <row r="116" ht="15.75" customHeight="1">
      <c r="D116" s="155"/>
      <c r="G116" s="155"/>
      <c r="K116" s="255"/>
      <c r="N116" s="255"/>
      <c r="T116" s="256"/>
      <c r="Z116" s="257"/>
    </row>
    <row r="117" ht="15.75" customHeight="1">
      <c r="D117" s="155"/>
      <c r="G117" s="155"/>
      <c r="K117" s="255"/>
      <c r="N117" s="255"/>
      <c r="T117" s="256"/>
      <c r="Z117" s="257"/>
    </row>
    <row r="118" ht="15.75" customHeight="1">
      <c r="D118" s="155"/>
      <c r="G118" s="155"/>
      <c r="K118" s="255"/>
      <c r="N118" s="255"/>
      <c r="T118" s="256"/>
      <c r="Z118" s="257"/>
    </row>
    <row r="119" ht="15.75" customHeight="1">
      <c r="D119" s="155"/>
      <c r="G119" s="155"/>
      <c r="K119" s="255"/>
      <c r="N119" s="255"/>
      <c r="T119" s="256"/>
      <c r="Z119" s="257"/>
    </row>
    <row r="120" ht="15.75" customHeight="1">
      <c r="D120" s="155"/>
      <c r="G120" s="155"/>
      <c r="K120" s="255"/>
      <c r="N120" s="255"/>
      <c r="T120" s="256"/>
      <c r="Z120" s="257"/>
    </row>
    <row r="121" ht="15.75" customHeight="1">
      <c r="D121" s="155"/>
      <c r="G121" s="155"/>
      <c r="K121" s="255"/>
      <c r="N121" s="255"/>
      <c r="T121" s="256"/>
      <c r="Z121" s="257"/>
    </row>
    <row r="122" ht="15.75" customHeight="1">
      <c r="D122" s="155"/>
      <c r="G122" s="155"/>
      <c r="K122" s="255"/>
      <c r="N122" s="255"/>
      <c r="T122" s="256"/>
      <c r="Z122" s="257"/>
    </row>
    <row r="123" ht="15.75" customHeight="1">
      <c r="D123" s="155"/>
      <c r="G123" s="155"/>
      <c r="K123" s="255"/>
      <c r="N123" s="255"/>
      <c r="T123" s="256"/>
      <c r="Z123" s="257"/>
    </row>
    <row r="124" ht="15.75" customHeight="1">
      <c r="D124" s="155"/>
      <c r="G124" s="155"/>
      <c r="K124" s="255"/>
      <c r="N124" s="255"/>
      <c r="T124" s="256"/>
      <c r="Z124" s="257"/>
    </row>
    <row r="125" ht="15.75" customHeight="1">
      <c r="D125" s="155"/>
      <c r="G125" s="155"/>
      <c r="K125" s="255"/>
      <c r="N125" s="255"/>
      <c r="T125" s="256"/>
      <c r="Z125" s="257"/>
    </row>
    <row r="126" ht="15.75" customHeight="1">
      <c r="D126" s="155"/>
      <c r="G126" s="155"/>
      <c r="K126" s="255"/>
      <c r="N126" s="255"/>
      <c r="T126" s="256"/>
      <c r="Z126" s="257"/>
    </row>
    <row r="127" ht="15.75" customHeight="1">
      <c r="D127" s="155"/>
      <c r="G127" s="155"/>
      <c r="K127" s="255"/>
      <c r="N127" s="255"/>
      <c r="T127" s="256"/>
      <c r="Z127" s="257"/>
    </row>
    <row r="128" ht="15.75" customHeight="1">
      <c r="D128" s="155"/>
      <c r="G128" s="155"/>
      <c r="K128" s="255"/>
      <c r="N128" s="255"/>
      <c r="T128" s="256"/>
      <c r="Z128" s="257"/>
    </row>
    <row r="129" ht="15.75" customHeight="1">
      <c r="D129" s="155"/>
      <c r="G129" s="155"/>
      <c r="K129" s="255"/>
      <c r="N129" s="255"/>
      <c r="T129" s="256"/>
      <c r="Z129" s="257"/>
    </row>
    <row r="130" ht="15.75" customHeight="1">
      <c r="D130" s="155"/>
      <c r="G130" s="155"/>
      <c r="K130" s="255"/>
      <c r="N130" s="255"/>
      <c r="T130" s="256"/>
      <c r="Z130" s="257"/>
    </row>
    <row r="131" ht="15.75" customHeight="1">
      <c r="D131" s="155"/>
      <c r="G131" s="155"/>
      <c r="K131" s="255"/>
      <c r="N131" s="255"/>
      <c r="T131" s="256"/>
      <c r="Z131" s="257"/>
    </row>
    <row r="132" ht="15.75" customHeight="1">
      <c r="D132" s="155"/>
      <c r="G132" s="155"/>
      <c r="K132" s="255"/>
      <c r="N132" s="255"/>
      <c r="T132" s="256"/>
      <c r="Z132" s="257"/>
    </row>
    <row r="133" ht="15.75" customHeight="1">
      <c r="D133" s="155"/>
      <c r="G133" s="155"/>
      <c r="K133" s="255"/>
      <c r="N133" s="255"/>
      <c r="T133" s="256"/>
      <c r="Z133" s="257"/>
    </row>
    <row r="134" ht="15.75" customHeight="1">
      <c r="D134" s="155"/>
      <c r="G134" s="155"/>
      <c r="K134" s="255"/>
      <c r="N134" s="255"/>
      <c r="T134" s="256"/>
      <c r="Z134" s="257"/>
    </row>
    <row r="135" ht="15.75" customHeight="1">
      <c r="D135" s="155"/>
      <c r="G135" s="155"/>
      <c r="K135" s="255"/>
      <c r="N135" s="255"/>
      <c r="T135" s="256"/>
      <c r="Z135" s="257"/>
    </row>
    <row r="136" ht="15.75" customHeight="1">
      <c r="D136" s="155"/>
      <c r="G136" s="155"/>
      <c r="K136" s="255"/>
      <c r="N136" s="255"/>
      <c r="T136" s="256"/>
      <c r="Z136" s="257"/>
    </row>
    <row r="137" ht="15.75" customHeight="1">
      <c r="D137" s="155"/>
      <c r="G137" s="155"/>
      <c r="K137" s="255"/>
      <c r="N137" s="255"/>
      <c r="T137" s="256"/>
      <c r="Z137" s="257"/>
    </row>
    <row r="138" ht="15.75" customHeight="1">
      <c r="D138" s="155"/>
      <c r="G138" s="155"/>
      <c r="K138" s="255"/>
      <c r="N138" s="255"/>
      <c r="T138" s="256"/>
      <c r="Z138" s="257"/>
    </row>
    <row r="139" ht="15.75" customHeight="1">
      <c r="D139" s="155"/>
      <c r="G139" s="155"/>
      <c r="K139" s="255"/>
      <c r="N139" s="255"/>
      <c r="T139" s="256"/>
      <c r="Z139" s="257"/>
    </row>
    <row r="140" ht="15.75" customHeight="1">
      <c r="D140" s="155"/>
      <c r="G140" s="155"/>
      <c r="K140" s="255"/>
      <c r="N140" s="255"/>
      <c r="T140" s="256"/>
      <c r="Z140" s="257"/>
    </row>
    <row r="141" ht="15.75" customHeight="1">
      <c r="D141" s="155"/>
      <c r="G141" s="155"/>
      <c r="K141" s="255"/>
      <c r="N141" s="255"/>
      <c r="T141" s="256"/>
      <c r="Z141" s="257"/>
    </row>
    <row r="142" ht="15.75" customHeight="1">
      <c r="D142" s="155"/>
      <c r="G142" s="155"/>
      <c r="K142" s="255"/>
      <c r="N142" s="255"/>
      <c r="T142" s="256"/>
      <c r="Z142" s="257"/>
    </row>
    <row r="143" ht="15.75" customHeight="1">
      <c r="D143" s="155"/>
      <c r="G143" s="155"/>
      <c r="K143" s="255"/>
      <c r="N143" s="255"/>
      <c r="T143" s="256"/>
      <c r="Z143" s="257"/>
    </row>
    <row r="144" ht="15.75" customHeight="1">
      <c r="D144" s="155"/>
      <c r="G144" s="155"/>
      <c r="K144" s="255"/>
      <c r="N144" s="255"/>
      <c r="T144" s="256"/>
      <c r="Z144" s="257"/>
    </row>
    <row r="145" ht="15.75" customHeight="1">
      <c r="D145" s="155"/>
      <c r="G145" s="155"/>
      <c r="K145" s="255"/>
      <c r="N145" s="255"/>
      <c r="T145" s="256"/>
      <c r="Z145" s="257"/>
    </row>
    <row r="146" ht="15.75" customHeight="1">
      <c r="D146" s="155"/>
      <c r="G146" s="155"/>
      <c r="K146" s="255"/>
      <c r="N146" s="255"/>
      <c r="T146" s="256"/>
      <c r="Z146" s="257"/>
    </row>
    <row r="147" ht="15.75" customHeight="1">
      <c r="D147" s="155"/>
      <c r="G147" s="155"/>
      <c r="K147" s="255"/>
      <c r="N147" s="255"/>
      <c r="T147" s="256"/>
      <c r="Z147" s="257"/>
    </row>
    <row r="148" ht="15.75" customHeight="1">
      <c r="D148" s="155"/>
      <c r="G148" s="155"/>
      <c r="K148" s="255"/>
      <c r="N148" s="255"/>
      <c r="T148" s="256"/>
      <c r="Z148" s="257"/>
    </row>
    <row r="149" ht="15.75" customHeight="1">
      <c r="D149" s="155"/>
      <c r="G149" s="155"/>
      <c r="K149" s="255"/>
      <c r="N149" s="255"/>
      <c r="T149" s="256"/>
      <c r="Z149" s="257"/>
    </row>
    <row r="150" ht="15.75" customHeight="1">
      <c r="D150" s="155"/>
      <c r="G150" s="155"/>
      <c r="K150" s="255"/>
      <c r="N150" s="255"/>
      <c r="T150" s="256"/>
      <c r="Z150" s="257"/>
    </row>
    <row r="151" ht="15.75" customHeight="1">
      <c r="D151" s="155"/>
      <c r="G151" s="155"/>
      <c r="K151" s="255"/>
      <c r="N151" s="255"/>
      <c r="T151" s="256"/>
      <c r="Z151" s="257"/>
    </row>
    <row r="152" ht="15.75" customHeight="1">
      <c r="D152" s="155"/>
      <c r="G152" s="155"/>
      <c r="K152" s="255"/>
      <c r="N152" s="255"/>
      <c r="T152" s="256"/>
      <c r="Z152" s="257"/>
    </row>
    <row r="153" ht="15.75" customHeight="1">
      <c r="D153" s="155"/>
      <c r="G153" s="155"/>
      <c r="K153" s="255"/>
      <c r="N153" s="255"/>
      <c r="T153" s="256"/>
      <c r="Z153" s="257"/>
    </row>
    <row r="154" ht="15.75" customHeight="1">
      <c r="D154" s="155"/>
      <c r="G154" s="155"/>
      <c r="K154" s="255"/>
      <c r="N154" s="255"/>
      <c r="T154" s="256"/>
      <c r="Z154" s="257"/>
    </row>
    <row r="155" ht="15.75" customHeight="1">
      <c r="D155" s="155"/>
      <c r="G155" s="155"/>
      <c r="K155" s="255"/>
      <c r="N155" s="255"/>
      <c r="T155" s="256"/>
      <c r="Z155" s="257"/>
    </row>
    <row r="156" ht="15.75" customHeight="1">
      <c r="D156" s="155"/>
      <c r="G156" s="155"/>
      <c r="K156" s="255"/>
      <c r="N156" s="255"/>
      <c r="T156" s="256"/>
      <c r="Z156" s="257"/>
    </row>
    <row r="157" ht="15.75" customHeight="1">
      <c r="D157" s="155"/>
      <c r="G157" s="155"/>
      <c r="K157" s="255"/>
      <c r="N157" s="255"/>
      <c r="T157" s="256"/>
      <c r="Z157" s="257"/>
    </row>
    <row r="158" ht="15.75" customHeight="1">
      <c r="D158" s="155"/>
      <c r="G158" s="155"/>
      <c r="K158" s="255"/>
      <c r="N158" s="255"/>
      <c r="T158" s="256"/>
      <c r="Z158" s="257"/>
    </row>
    <row r="159" ht="15.75" customHeight="1">
      <c r="D159" s="155"/>
      <c r="G159" s="155"/>
      <c r="K159" s="255"/>
      <c r="N159" s="255"/>
      <c r="T159" s="256"/>
      <c r="Z159" s="257"/>
    </row>
    <row r="160" ht="15.75" customHeight="1">
      <c r="D160" s="155"/>
      <c r="G160" s="155"/>
      <c r="K160" s="255"/>
      <c r="N160" s="255"/>
      <c r="T160" s="256"/>
      <c r="Z160" s="257"/>
    </row>
    <row r="161" ht="15.75" customHeight="1">
      <c r="D161" s="155"/>
      <c r="G161" s="155"/>
      <c r="K161" s="255"/>
      <c r="N161" s="255"/>
      <c r="T161" s="256"/>
      <c r="Z161" s="257"/>
    </row>
    <row r="162" ht="15.75" customHeight="1">
      <c r="D162" s="155"/>
      <c r="G162" s="155"/>
      <c r="K162" s="255"/>
      <c r="N162" s="255"/>
      <c r="T162" s="256"/>
      <c r="Z162" s="257"/>
    </row>
    <row r="163" ht="15.75" customHeight="1">
      <c r="D163" s="155"/>
      <c r="G163" s="155"/>
      <c r="K163" s="255"/>
      <c r="N163" s="255"/>
      <c r="T163" s="256"/>
      <c r="Z163" s="257"/>
    </row>
    <row r="164" ht="15.75" customHeight="1">
      <c r="D164" s="155"/>
      <c r="G164" s="155"/>
      <c r="K164" s="255"/>
      <c r="N164" s="255"/>
      <c r="T164" s="256"/>
      <c r="Z164" s="257"/>
    </row>
    <row r="165" ht="15.75" customHeight="1">
      <c r="D165" s="155"/>
      <c r="G165" s="155"/>
      <c r="K165" s="255"/>
      <c r="N165" s="255"/>
      <c r="T165" s="256"/>
      <c r="Z165" s="257"/>
    </row>
    <row r="166" ht="15.75" customHeight="1">
      <c r="D166" s="155"/>
      <c r="G166" s="155"/>
      <c r="K166" s="255"/>
      <c r="N166" s="255"/>
      <c r="T166" s="256"/>
      <c r="Z166" s="257"/>
    </row>
    <row r="167" ht="15.75" customHeight="1">
      <c r="D167" s="155"/>
      <c r="G167" s="155"/>
      <c r="K167" s="255"/>
      <c r="N167" s="255"/>
      <c r="T167" s="256"/>
      <c r="Z167" s="257"/>
    </row>
    <row r="168" ht="15.75" customHeight="1">
      <c r="D168" s="155"/>
      <c r="G168" s="155"/>
      <c r="K168" s="255"/>
      <c r="N168" s="255"/>
      <c r="T168" s="256"/>
      <c r="Z168" s="257"/>
    </row>
    <row r="169" ht="15.75" customHeight="1">
      <c r="D169" s="155"/>
      <c r="G169" s="155"/>
      <c r="K169" s="255"/>
      <c r="N169" s="255"/>
      <c r="T169" s="256"/>
      <c r="Z169" s="257"/>
    </row>
    <row r="170" ht="15.75" customHeight="1">
      <c r="D170" s="155"/>
      <c r="G170" s="155"/>
      <c r="K170" s="255"/>
      <c r="N170" s="255"/>
      <c r="T170" s="256"/>
      <c r="Z170" s="257"/>
    </row>
    <row r="171" ht="15.75" customHeight="1">
      <c r="D171" s="155"/>
      <c r="G171" s="155"/>
      <c r="K171" s="255"/>
      <c r="N171" s="255"/>
      <c r="T171" s="256"/>
      <c r="Z171" s="257"/>
    </row>
    <row r="172" ht="15.75" customHeight="1">
      <c r="D172" s="155"/>
      <c r="G172" s="155"/>
      <c r="K172" s="255"/>
      <c r="N172" s="255"/>
      <c r="T172" s="256"/>
      <c r="Z172" s="257"/>
    </row>
    <row r="173" ht="15.75" customHeight="1">
      <c r="D173" s="155"/>
      <c r="G173" s="155"/>
      <c r="K173" s="255"/>
      <c r="N173" s="255"/>
      <c r="T173" s="256"/>
      <c r="Z173" s="257"/>
    </row>
    <row r="174" ht="15.75" customHeight="1">
      <c r="D174" s="155"/>
      <c r="G174" s="155"/>
      <c r="K174" s="255"/>
      <c r="N174" s="255"/>
      <c r="T174" s="256"/>
      <c r="Z174" s="257"/>
    </row>
    <row r="175" ht="15.75" customHeight="1">
      <c r="D175" s="155"/>
      <c r="G175" s="155"/>
      <c r="K175" s="255"/>
      <c r="N175" s="255"/>
      <c r="T175" s="256"/>
      <c r="Z175" s="257"/>
    </row>
    <row r="176" ht="15.75" customHeight="1">
      <c r="D176" s="155"/>
      <c r="G176" s="155"/>
      <c r="K176" s="255"/>
      <c r="N176" s="255"/>
      <c r="T176" s="256"/>
      <c r="Z176" s="257"/>
    </row>
    <row r="177" ht="15.75" customHeight="1">
      <c r="D177" s="155"/>
      <c r="G177" s="155"/>
      <c r="K177" s="255"/>
      <c r="N177" s="255"/>
      <c r="T177" s="256"/>
      <c r="Z177" s="257"/>
    </row>
    <row r="178" ht="15.75" customHeight="1">
      <c r="D178" s="155"/>
      <c r="G178" s="155"/>
      <c r="K178" s="255"/>
      <c r="N178" s="255"/>
      <c r="T178" s="256"/>
      <c r="Z178" s="257"/>
    </row>
    <row r="179" ht="15.75" customHeight="1">
      <c r="D179" s="155"/>
      <c r="G179" s="155"/>
      <c r="K179" s="255"/>
      <c r="N179" s="255"/>
      <c r="T179" s="256"/>
      <c r="Z179" s="257"/>
    </row>
    <row r="180" ht="15.75" customHeight="1">
      <c r="D180" s="155"/>
      <c r="G180" s="155"/>
      <c r="K180" s="255"/>
      <c r="N180" s="255"/>
      <c r="T180" s="256"/>
      <c r="Z180" s="257"/>
    </row>
    <row r="181" ht="15.75" customHeight="1">
      <c r="D181" s="155"/>
      <c r="G181" s="155"/>
      <c r="K181" s="255"/>
      <c r="N181" s="255"/>
      <c r="T181" s="256"/>
      <c r="Z181" s="257"/>
    </row>
    <row r="182" ht="15.75" customHeight="1">
      <c r="D182" s="155"/>
      <c r="G182" s="155"/>
      <c r="K182" s="255"/>
      <c r="N182" s="255"/>
      <c r="T182" s="256"/>
      <c r="Z182" s="257"/>
    </row>
    <row r="183" ht="15.75" customHeight="1">
      <c r="D183" s="155"/>
      <c r="G183" s="155"/>
      <c r="K183" s="255"/>
      <c r="N183" s="255"/>
      <c r="T183" s="256"/>
      <c r="Z183" s="257"/>
    </row>
    <row r="184" ht="15.75" customHeight="1">
      <c r="D184" s="155"/>
      <c r="G184" s="155"/>
      <c r="K184" s="255"/>
      <c r="N184" s="255"/>
      <c r="T184" s="256"/>
      <c r="Z184" s="257"/>
    </row>
    <row r="185" ht="15.75" customHeight="1">
      <c r="D185" s="155"/>
      <c r="G185" s="155"/>
      <c r="K185" s="255"/>
      <c r="N185" s="255"/>
      <c r="T185" s="256"/>
      <c r="Z185" s="257"/>
    </row>
    <row r="186" ht="15.75" customHeight="1">
      <c r="D186" s="155"/>
      <c r="G186" s="155"/>
      <c r="K186" s="255"/>
      <c r="N186" s="255"/>
      <c r="T186" s="256"/>
      <c r="Z186" s="257"/>
    </row>
    <row r="187" ht="15.75" customHeight="1">
      <c r="D187" s="155"/>
      <c r="G187" s="155"/>
      <c r="K187" s="255"/>
      <c r="N187" s="255"/>
      <c r="T187" s="256"/>
      <c r="Z187" s="257"/>
    </row>
    <row r="188" ht="15.75" customHeight="1">
      <c r="D188" s="155"/>
      <c r="G188" s="155"/>
      <c r="K188" s="255"/>
      <c r="N188" s="255"/>
      <c r="T188" s="256"/>
      <c r="Z188" s="257"/>
    </row>
    <row r="189" ht="15.75" customHeight="1">
      <c r="D189" s="155"/>
      <c r="G189" s="155"/>
      <c r="K189" s="255"/>
      <c r="N189" s="255"/>
      <c r="T189" s="256"/>
      <c r="Z189" s="257"/>
    </row>
    <row r="190" ht="15.75" customHeight="1">
      <c r="D190" s="155"/>
      <c r="G190" s="155"/>
      <c r="K190" s="255"/>
      <c r="N190" s="255"/>
      <c r="T190" s="256"/>
      <c r="Z190" s="257"/>
    </row>
    <row r="191" ht="15.75" customHeight="1">
      <c r="D191" s="155"/>
      <c r="G191" s="155"/>
      <c r="K191" s="255"/>
      <c r="N191" s="255"/>
      <c r="T191" s="256"/>
      <c r="Z191" s="257"/>
    </row>
    <row r="192" ht="15.75" customHeight="1">
      <c r="D192" s="155"/>
      <c r="G192" s="155"/>
      <c r="K192" s="255"/>
      <c r="N192" s="255"/>
      <c r="T192" s="256"/>
      <c r="Z192" s="257"/>
    </row>
    <row r="193" ht="15.75" customHeight="1">
      <c r="D193" s="155"/>
      <c r="G193" s="155"/>
      <c r="K193" s="255"/>
      <c r="N193" s="255"/>
      <c r="T193" s="256"/>
      <c r="Z193" s="257"/>
    </row>
    <row r="194" ht="15.75" customHeight="1">
      <c r="D194" s="155"/>
      <c r="G194" s="155"/>
      <c r="K194" s="255"/>
      <c r="N194" s="255"/>
      <c r="T194" s="256"/>
      <c r="Z194" s="257"/>
    </row>
    <row r="195" ht="15.75" customHeight="1">
      <c r="D195" s="155"/>
      <c r="G195" s="155"/>
      <c r="K195" s="255"/>
      <c r="N195" s="255"/>
      <c r="T195" s="256"/>
      <c r="Z195" s="257"/>
    </row>
    <row r="196" ht="15.75" customHeight="1">
      <c r="D196" s="155"/>
      <c r="G196" s="155"/>
      <c r="K196" s="255"/>
      <c r="N196" s="255"/>
      <c r="T196" s="256"/>
      <c r="Z196" s="257"/>
    </row>
    <row r="197" ht="15.75" customHeight="1">
      <c r="D197" s="155"/>
      <c r="G197" s="155"/>
      <c r="K197" s="255"/>
      <c r="N197" s="255"/>
      <c r="T197" s="256"/>
      <c r="Z197" s="257"/>
    </row>
    <row r="198" ht="15.75" customHeight="1">
      <c r="D198" s="155"/>
      <c r="G198" s="155"/>
      <c r="K198" s="255"/>
      <c r="N198" s="255"/>
      <c r="T198" s="256"/>
      <c r="Z198" s="257"/>
    </row>
    <row r="199" ht="15.75" customHeight="1">
      <c r="D199" s="155"/>
      <c r="G199" s="155"/>
      <c r="K199" s="255"/>
      <c r="N199" s="255"/>
      <c r="T199" s="256"/>
      <c r="Z199" s="257"/>
    </row>
    <row r="200" ht="15.75" customHeight="1">
      <c r="D200" s="155"/>
      <c r="G200" s="155"/>
      <c r="K200" s="255"/>
      <c r="N200" s="255"/>
      <c r="T200" s="256"/>
      <c r="Z200" s="257"/>
    </row>
    <row r="201" ht="15.75" customHeight="1">
      <c r="D201" s="155"/>
      <c r="G201" s="155"/>
      <c r="K201" s="255"/>
      <c r="N201" s="255"/>
      <c r="T201" s="256"/>
      <c r="Z201" s="257"/>
    </row>
    <row r="202" ht="15.75" customHeight="1">
      <c r="D202" s="155"/>
      <c r="G202" s="155"/>
      <c r="K202" s="255"/>
      <c r="N202" s="255"/>
      <c r="T202" s="256"/>
      <c r="Z202" s="257"/>
    </row>
    <row r="203" ht="15.75" customHeight="1">
      <c r="D203" s="155"/>
      <c r="G203" s="155"/>
      <c r="K203" s="255"/>
      <c r="N203" s="255"/>
      <c r="T203" s="256"/>
      <c r="Z203" s="257"/>
    </row>
    <row r="204" ht="15.75" customHeight="1">
      <c r="D204" s="155"/>
      <c r="G204" s="155"/>
      <c r="K204" s="255"/>
      <c r="N204" s="255"/>
      <c r="T204" s="256"/>
      <c r="Z204" s="257"/>
    </row>
    <row r="205" ht="15.75" customHeight="1">
      <c r="D205" s="155"/>
      <c r="G205" s="155"/>
      <c r="K205" s="255"/>
      <c r="N205" s="255"/>
      <c r="T205" s="256"/>
      <c r="Z205" s="257"/>
    </row>
    <row r="206" ht="15.75" customHeight="1">
      <c r="D206" s="155"/>
      <c r="G206" s="155"/>
      <c r="K206" s="255"/>
      <c r="N206" s="255"/>
      <c r="T206" s="256"/>
      <c r="Z206" s="257"/>
    </row>
    <row r="207" ht="15.75" customHeight="1">
      <c r="D207" s="155"/>
      <c r="G207" s="155"/>
      <c r="K207" s="255"/>
      <c r="N207" s="255"/>
      <c r="T207" s="256"/>
      <c r="Z207" s="257"/>
    </row>
    <row r="208" ht="15.75" customHeight="1">
      <c r="D208" s="155"/>
      <c r="G208" s="155"/>
      <c r="K208" s="255"/>
      <c r="N208" s="255"/>
      <c r="T208" s="256"/>
      <c r="Z208" s="257"/>
    </row>
    <row r="209" ht="15.75" customHeight="1">
      <c r="D209" s="155"/>
      <c r="G209" s="155"/>
      <c r="K209" s="255"/>
      <c r="N209" s="255"/>
      <c r="T209" s="256"/>
      <c r="Z209" s="257"/>
    </row>
    <row r="210" ht="15.75" customHeight="1">
      <c r="D210" s="155"/>
      <c r="G210" s="155"/>
      <c r="K210" s="255"/>
      <c r="N210" s="255"/>
      <c r="T210" s="256"/>
      <c r="Z210" s="257"/>
    </row>
    <row r="211" ht="15.75" customHeight="1">
      <c r="D211" s="155"/>
      <c r="G211" s="155"/>
      <c r="K211" s="255"/>
      <c r="N211" s="255"/>
      <c r="T211" s="256"/>
      <c r="Z211" s="257"/>
    </row>
    <row r="212" ht="15.75" customHeight="1">
      <c r="D212" s="155"/>
      <c r="G212" s="155"/>
      <c r="K212" s="255"/>
      <c r="N212" s="255"/>
      <c r="T212" s="256"/>
      <c r="Z212" s="257"/>
    </row>
    <row r="213" ht="15.75" customHeight="1">
      <c r="D213" s="155"/>
      <c r="G213" s="155"/>
      <c r="K213" s="255"/>
      <c r="N213" s="255"/>
      <c r="T213" s="256"/>
      <c r="Z213" s="257"/>
    </row>
    <row r="214" ht="15.75" customHeight="1">
      <c r="D214" s="155"/>
      <c r="G214" s="155"/>
      <c r="K214" s="255"/>
      <c r="N214" s="255"/>
      <c r="T214" s="256"/>
      <c r="Z214" s="257"/>
    </row>
    <row r="215" ht="15.75" customHeight="1">
      <c r="D215" s="155"/>
      <c r="G215" s="155"/>
      <c r="K215" s="255"/>
      <c r="N215" s="255"/>
      <c r="T215" s="256"/>
      <c r="Z215" s="257"/>
    </row>
    <row r="216" ht="15.75" customHeight="1">
      <c r="D216" s="155"/>
      <c r="G216" s="155"/>
      <c r="K216" s="255"/>
      <c r="N216" s="255"/>
      <c r="T216" s="256"/>
      <c r="Z216" s="257"/>
    </row>
    <row r="217" ht="15.75" customHeight="1">
      <c r="D217" s="155"/>
      <c r="G217" s="155"/>
      <c r="K217" s="255"/>
      <c r="N217" s="255"/>
      <c r="T217" s="256"/>
      <c r="Z217" s="257"/>
    </row>
    <row r="218" ht="15.75" customHeight="1">
      <c r="D218" s="155"/>
      <c r="G218" s="155"/>
      <c r="K218" s="255"/>
      <c r="N218" s="255"/>
      <c r="T218" s="256"/>
      <c r="Z218" s="257"/>
    </row>
    <row r="219" ht="15.75" customHeight="1">
      <c r="D219" s="155"/>
      <c r="G219" s="155"/>
      <c r="K219" s="255"/>
      <c r="N219" s="255"/>
      <c r="T219" s="256"/>
      <c r="Z219" s="257"/>
    </row>
    <row r="220" ht="15.75" customHeight="1">
      <c r="D220" s="155"/>
      <c r="G220" s="155"/>
      <c r="K220" s="255"/>
      <c r="N220" s="255"/>
      <c r="T220" s="256"/>
      <c r="Z220" s="257"/>
    </row>
    <row r="221" ht="15.75" customHeight="1">
      <c r="D221" s="155"/>
      <c r="G221" s="155"/>
      <c r="K221" s="255"/>
      <c r="N221" s="255"/>
      <c r="T221" s="256"/>
      <c r="Z221" s="257"/>
    </row>
    <row r="222" ht="15.75" customHeight="1">
      <c r="D222" s="155"/>
      <c r="G222" s="155"/>
      <c r="K222" s="255"/>
      <c r="N222" s="255"/>
      <c r="T222" s="256"/>
      <c r="Z222" s="257"/>
    </row>
    <row r="223" ht="15.75" customHeight="1">
      <c r="D223" s="155"/>
      <c r="G223" s="155"/>
      <c r="K223" s="255"/>
      <c r="N223" s="255"/>
      <c r="T223" s="256"/>
      <c r="Z223" s="257"/>
    </row>
    <row r="224" ht="15.75" customHeight="1">
      <c r="D224" s="155"/>
      <c r="G224" s="155"/>
      <c r="K224" s="255"/>
      <c r="N224" s="255"/>
      <c r="T224" s="256"/>
      <c r="Z224" s="257"/>
    </row>
    <row r="225" ht="15.75" customHeight="1">
      <c r="D225" s="155"/>
      <c r="G225" s="155"/>
      <c r="K225" s="255"/>
      <c r="N225" s="255"/>
      <c r="T225" s="256"/>
      <c r="Z225" s="257"/>
    </row>
    <row r="226" ht="15.75" customHeight="1">
      <c r="D226" s="155"/>
      <c r="G226" s="155"/>
      <c r="K226" s="255"/>
      <c r="N226" s="255"/>
      <c r="T226" s="256"/>
      <c r="Z226" s="257"/>
    </row>
    <row r="227" ht="15.75" customHeight="1">
      <c r="D227" s="155"/>
      <c r="G227" s="155"/>
      <c r="K227" s="255"/>
      <c r="N227" s="255"/>
      <c r="T227" s="256"/>
      <c r="Z227" s="257"/>
    </row>
    <row r="228" ht="15.75" customHeight="1">
      <c r="D228" s="155"/>
      <c r="G228" s="155"/>
      <c r="K228" s="255"/>
      <c r="N228" s="255"/>
      <c r="T228" s="256"/>
      <c r="Z228" s="257"/>
    </row>
    <row r="229" ht="15.75" customHeight="1">
      <c r="D229" s="155"/>
      <c r="G229" s="155"/>
      <c r="K229" s="255"/>
      <c r="N229" s="255"/>
      <c r="T229" s="256"/>
      <c r="Z229" s="257"/>
    </row>
    <row r="230" ht="15.75" customHeight="1">
      <c r="D230" s="155"/>
      <c r="G230" s="155"/>
      <c r="K230" s="255"/>
      <c r="N230" s="255"/>
      <c r="T230" s="256"/>
      <c r="Z230" s="257"/>
    </row>
    <row r="231" ht="15.75" customHeight="1">
      <c r="D231" s="155"/>
      <c r="G231" s="155"/>
      <c r="K231" s="255"/>
      <c r="N231" s="255"/>
      <c r="T231" s="256"/>
      <c r="Z231" s="257"/>
    </row>
    <row r="232" ht="15.75" customHeight="1">
      <c r="D232" s="155"/>
      <c r="G232" s="155"/>
      <c r="K232" s="255"/>
      <c r="N232" s="255"/>
      <c r="T232" s="256"/>
      <c r="Z232" s="257"/>
    </row>
    <row r="233" ht="15.75" customHeight="1">
      <c r="D233" s="155"/>
      <c r="G233" s="155"/>
      <c r="K233" s="255"/>
      <c r="N233" s="255"/>
      <c r="T233" s="256"/>
      <c r="Z233" s="257"/>
    </row>
    <row r="234" ht="15.75" customHeight="1">
      <c r="D234" s="155"/>
      <c r="G234" s="155"/>
      <c r="K234" s="255"/>
      <c r="N234" s="255"/>
      <c r="T234" s="256"/>
      <c r="Z234" s="257"/>
    </row>
    <row r="235" ht="15.75" customHeight="1">
      <c r="D235" s="155"/>
      <c r="G235" s="155"/>
      <c r="K235" s="255"/>
      <c r="N235" s="255"/>
      <c r="T235" s="256"/>
      <c r="Z235" s="257"/>
    </row>
    <row r="236" ht="15.75" customHeight="1">
      <c r="D236" s="155"/>
      <c r="G236" s="155"/>
      <c r="K236" s="255"/>
      <c r="N236" s="255"/>
      <c r="T236" s="256"/>
      <c r="Z236" s="257"/>
    </row>
    <row r="237" ht="15.75" customHeight="1">
      <c r="D237" s="155"/>
      <c r="G237" s="155"/>
      <c r="K237" s="255"/>
      <c r="N237" s="255"/>
      <c r="T237" s="256"/>
      <c r="Z237" s="257"/>
    </row>
    <row r="238" ht="15.75" customHeight="1">
      <c r="D238" s="155"/>
      <c r="G238" s="155"/>
      <c r="K238" s="255"/>
      <c r="N238" s="255"/>
      <c r="T238" s="256"/>
      <c r="Z238" s="257"/>
    </row>
    <row r="239" ht="15.75" customHeight="1">
      <c r="D239" s="155"/>
      <c r="G239" s="155"/>
      <c r="K239" s="255"/>
      <c r="N239" s="255"/>
      <c r="T239" s="256"/>
      <c r="Z239" s="257"/>
    </row>
    <row r="240" ht="15.75" customHeight="1">
      <c r="D240" s="155"/>
      <c r="G240" s="155"/>
      <c r="K240" s="255"/>
      <c r="N240" s="255"/>
      <c r="T240" s="256"/>
      <c r="Z240" s="257"/>
    </row>
    <row r="241" ht="15.75" customHeight="1">
      <c r="D241" s="155"/>
      <c r="G241" s="155"/>
      <c r="K241" s="255"/>
      <c r="N241" s="255"/>
      <c r="T241" s="256"/>
      <c r="Z241" s="257"/>
    </row>
    <row r="242" ht="15.75" customHeight="1">
      <c r="D242" s="155"/>
      <c r="G242" s="155"/>
      <c r="K242" s="255"/>
      <c r="N242" s="255"/>
      <c r="T242" s="256"/>
      <c r="Z242" s="257"/>
    </row>
    <row r="243" ht="15.75" customHeight="1">
      <c r="D243" s="155"/>
      <c r="G243" s="155"/>
      <c r="K243" s="255"/>
      <c r="N243" s="255"/>
      <c r="T243" s="256"/>
      <c r="Z243" s="257"/>
    </row>
    <row r="244" ht="15.75" customHeight="1">
      <c r="D244" s="155"/>
      <c r="G244" s="155"/>
      <c r="K244" s="255"/>
      <c r="N244" s="255"/>
      <c r="T244" s="256"/>
      <c r="Z244" s="257"/>
    </row>
    <row r="245" ht="15.75" customHeight="1">
      <c r="D245" s="155"/>
      <c r="G245" s="155"/>
      <c r="K245" s="255"/>
      <c r="N245" s="255"/>
      <c r="T245" s="256"/>
      <c r="Z245" s="257"/>
    </row>
    <row r="246" ht="15.75" customHeight="1">
      <c r="D246" s="155"/>
      <c r="G246" s="155"/>
      <c r="K246" s="255"/>
      <c r="N246" s="255"/>
      <c r="T246" s="256"/>
      <c r="Z246" s="257"/>
    </row>
    <row r="247" ht="15.75" customHeight="1">
      <c r="D247" s="155"/>
      <c r="G247" s="155"/>
      <c r="K247" s="255"/>
      <c r="N247" s="255"/>
      <c r="T247" s="256"/>
      <c r="Z247" s="257"/>
    </row>
    <row r="248" ht="15.75" customHeight="1">
      <c r="D248" s="155"/>
      <c r="G248" s="155"/>
      <c r="K248" s="255"/>
      <c r="N248" s="255"/>
      <c r="T248" s="256"/>
      <c r="Z248" s="257"/>
    </row>
    <row r="249" ht="15.75" customHeight="1">
      <c r="D249" s="155"/>
      <c r="G249" s="155"/>
      <c r="K249" s="255"/>
      <c r="N249" s="255"/>
      <c r="T249" s="256"/>
      <c r="Z249" s="257"/>
    </row>
    <row r="250" ht="15.75" customHeight="1">
      <c r="D250" s="155"/>
      <c r="G250" s="155"/>
      <c r="K250" s="255"/>
      <c r="N250" s="255"/>
      <c r="T250" s="256"/>
      <c r="Z250" s="257"/>
    </row>
    <row r="251" ht="15.75" customHeight="1">
      <c r="D251" s="155"/>
      <c r="G251" s="155"/>
      <c r="K251" s="255"/>
      <c r="N251" s="255"/>
      <c r="T251" s="256"/>
      <c r="Z251" s="257"/>
    </row>
    <row r="252" ht="15.75" customHeight="1">
      <c r="D252" s="155"/>
      <c r="G252" s="155"/>
      <c r="K252" s="255"/>
      <c r="N252" s="255"/>
      <c r="T252" s="256"/>
      <c r="Z252" s="257"/>
    </row>
    <row r="253" ht="15.75" customHeight="1">
      <c r="D253" s="155"/>
      <c r="G253" s="155"/>
      <c r="K253" s="255"/>
      <c r="N253" s="255"/>
      <c r="T253" s="256"/>
      <c r="Z253" s="257"/>
    </row>
    <row r="254" ht="15.75" customHeight="1">
      <c r="D254" s="155"/>
      <c r="G254" s="155"/>
      <c r="K254" s="255"/>
      <c r="N254" s="255"/>
      <c r="T254" s="256"/>
      <c r="Z254" s="257"/>
    </row>
    <row r="255" ht="15.75" customHeight="1">
      <c r="D255" s="155"/>
      <c r="G255" s="155"/>
      <c r="K255" s="255"/>
      <c r="N255" s="255"/>
      <c r="T255" s="256"/>
      <c r="Z255" s="257"/>
    </row>
    <row r="256" ht="15.75" customHeight="1">
      <c r="D256" s="155"/>
      <c r="G256" s="155"/>
      <c r="K256" s="255"/>
      <c r="N256" s="255"/>
      <c r="T256" s="256"/>
      <c r="Z256" s="257"/>
    </row>
    <row r="257" ht="15.75" customHeight="1">
      <c r="D257" s="155"/>
      <c r="G257" s="155"/>
      <c r="K257" s="255"/>
      <c r="N257" s="255"/>
      <c r="T257" s="256"/>
      <c r="Z257" s="257"/>
    </row>
    <row r="258" ht="15.75" customHeight="1">
      <c r="D258" s="155"/>
      <c r="G258" s="155"/>
      <c r="K258" s="255"/>
      <c r="N258" s="255"/>
      <c r="T258" s="256"/>
      <c r="Z258" s="257"/>
    </row>
    <row r="259" ht="15.75" customHeight="1">
      <c r="D259" s="155"/>
      <c r="G259" s="155"/>
      <c r="K259" s="255"/>
      <c r="N259" s="255"/>
      <c r="T259" s="256"/>
      <c r="Z259" s="257"/>
    </row>
    <row r="260" ht="15.75" customHeight="1">
      <c r="D260" s="155"/>
      <c r="G260" s="155"/>
      <c r="K260" s="255"/>
      <c r="N260" s="255"/>
      <c r="T260" s="256"/>
      <c r="Z260" s="257"/>
    </row>
    <row r="261" ht="15.75" customHeight="1">
      <c r="D261" s="155"/>
      <c r="G261" s="155"/>
      <c r="K261" s="255"/>
      <c r="N261" s="255"/>
      <c r="T261" s="256"/>
      <c r="Z261" s="257"/>
    </row>
    <row r="262" ht="15.75" customHeight="1">
      <c r="D262" s="155"/>
      <c r="G262" s="155"/>
      <c r="K262" s="255"/>
      <c r="N262" s="255"/>
      <c r="T262" s="256"/>
      <c r="Z262" s="257"/>
    </row>
    <row r="263" ht="15.75" customHeight="1">
      <c r="D263" s="155"/>
      <c r="G263" s="155"/>
      <c r="K263" s="255"/>
      <c r="N263" s="255"/>
      <c r="T263" s="256"/>
      <c r="Z263" s="257"/>
    </row>
    <row r="264" ht="15.75" customHeight="1">
      <c r="D264" s="155"/>
      <c r="G264" s="155"/>
      <c r="K264" s="255"/>
      <c r="N264" s="255"/>
      <c r="T264" s="256"/>
      <c r="Z264" s="257"/>
    </row>
    <row r="265" ht="15.75" customHeight="1">
      <c r="D265" s="155"/>
      <c r="G265" s="155"/>
      <c r="K265" s="255"/>
      <c r="N265" s="255"/>
      <c r="T265" s="256"/>
      <c r="Z265" s="257"/>
    </row>
    <row r="266" ht="15.75" customHeight="1">
      <c r="D266" s="155"/>
      <c r="G266" s="155"/>
      <c r="K266" s="255"/>
      <c r="N266" s="255"/>
      <c r="T266" s="256"/>
      <c r="Z266" s="257"/>
    </row>
    <row r="267" ht="15.75" customHeight="1">
      <c r="D267" s="155"/>
      <c r="G267" s="155"/>
      <c r="K267" s="255"/>
      <c r="N267" s="255"/>
      <c r="T267" s="256"/>
      <c r="Z267" s="257"/>
    </row>
    <row r="268" ht="15.75" customHeight="1">
      <c r="D268" s="155"/>
      <c r="G268" s="155"/>
      <c r="K268" s="255"/>
      <c r="N268" s="255"/>
      <c r="T268" s="256"/>
      <c r="Z268" s="257"/>
    </row>
    <row r="269" ht="15.75" customHeight="1">
      <c r="D269" s="155"/>
      <c r="G269" s="155"/>
      <c r="K269" s="255"/>
      <c r="N269" s="255"/>
      <c r="T269" s="256"/>
      <c r="Z269" s="257"/>
    </row>
    <row r="270" ht="15.75" customHeight="1">
      <c r="D270" s="155"/>
      <c r="G270" s="155"/>
      <c r="K270" s="255"/>
      <c r="N270" s="255"/>
      <c r="T270" s="256"/>
      <c r="Z270" s="257"/>
    </row>
    <row r="271" ht="15.75" customHeight="1">
      <c r="D271" s="155"/>
      <c r="G271" s="155"/>
      <c r="K271" s="255"/>
      <c r="N271" s="255"/>
      <c r="T271" s="256"/>
      <c r="Z271" s="257"/>
    </row>
    <row r="272" ht="15.75" customHeight="1">
      <c r="D272" s="155"/>
      <c r="G272" s="155"/>
      <c r="K272" s="255"/>
      <c r="N272" s="255"/>
      <c r="T272" s="256"/>
      <c r="Z272" s="257"/>
    </row>
    <row r="273" ht="15.75" customHeight="1">
      <c r="D273" s="155"/>
      <c r="G273" s="155"/>
      <c r="K273" s="255"/>
      <c r="N273" s="255"/>
      <c r="T273" s="256"/>
      <c r="Z273" s="257"/>
    </row>
    <row r="274" ht="15.75" customHeight="1">
      <c r="D274" s="155"/>
      <c r="G274" s="155"/>
      <c r="K274" s="255"/>
      <c r="N274" s="255"/>
      <c r="T274" s="256"/>
      <c r="Z274" s="257"/>
    </row>
    <row r="275" ht="15.75" customHeight="1">
      <c r="D275" s="155"/>
      <c r="G275" s="155"/>
      <c r="K275" s="255"/>
      <c r="N275" s="255"/>
      <c r="T275" s="256"/>
      <c r="Z275" s="257"/>
    </row>
    <row r="276" ht="15.75" customHeight="1">
      <c r="D276" s="155"/>
      <c r="G276" s="155"/>
      <c r="K276" s="255"/>
      <c r="N276" s="255"/>
      <c r="T276" s="256"/>
      <c r="Z276" s="257"/>
    </row>
    <row r="277" ht="15.75" customHeight="1">
      <c r="D277" s="155"/>
      <c r="G277" s="155"/>
      <c r="K277" s="255"/>
      <c r="N277" s="255"/>
      <c r="T277" s="256"/>
      <c r="Z277" s="257"/>
    </row>
    <row r="278" ht="15.75" customHeight="1">
      <c r="D278" s="155"/>
      <c r="G278" s="155"/>
      <c r="K278" s="255"/>
      <c r="N278" s="255"/>
      <c r="T278" s="256"/>
      <c r="Z278" s="257"/>
    </row>
    <row r="279" ht="15.75" customHeight="1">
      <c r="D279" s="155"/>
      <c r="G279" s="155"/>
      <c r="K279" s="255"/>
      <c r="N279" s="255"/>
      <c r="T279" s="256"/>
      <c r="Z279" s="257"/>
    </row>
    <row r="280" ht="15.75" customHeight="1">
      <c r="D280" s="155"/>
      <c r="G280" s="155"/>
      <c r="K280" s="255"/>
      <c r="N280" s="255"/>
      <c r="T280" s="256"/>
      <c r="Z280" s="257"/>
    </row>
    <row r="281" ht="15.75" customHeight="1">
      <c r="D281" s="155"/>
      <c r="G281" s="155"/>
      <c r="K281" s="255"/>
      <c r="N281" s="255"/>
      <c r="T281" s="256"/>
      <c r="Z281" s="257"/>
    </row>
    <row r="282" ht="15.75" customHeight="1">
      <c r="D282" s="155"/>
      <c r="G282" s="155"/>
      <c r="K282" s="255"/>
      <c r="N282" s="255"/>
      <c r="T282" s="256"/>
      <c r="Z282" s="257"/>
    </row>
    <row r="283" ht="15.75" customHeight="1">
      <c r="D283" s="155"/>
      <c r="G283" s="155"/>
      <c r="K283" s="255"/>
      <c r="N283" s="255"/>
      <c r="T283" s="256"/>
      <c r="Z283" s="257"/>
    </row>
    <row r="284" ht="15.75" customHeight="1">
      <c r="D284" s="155"/>
      <c r="G284" s="155"/>
      <c r="K284" s="255"/>
      <c r="N284" s="255"/>
      <c r="T284" s="256"/>
      <c r="Z284" s="257"/>
    </row>
    <row r="285" ht="15.75" customHeight="1">
      <c r="D285" s="155"/>
      <c r="G285" s="155"/>
      <c r="K285" s="255"/>
      <c r="N285" s="255"/>
      <c r="T285" s="256"/>
      <c r="Z285" s="257"/>
    </row>
    <row r="286" ht="15.75" customHeight="1">
      <c r="D286" s="155"/>
      <c r="G286" s="155"/>
      <c r="K286" s="255"/>
      <c r="N286" s="255"/>
      <c r="T286" s="256"/>
      <c r="Z286" s="257"/>
    </row>
    <row r="287" ht="15.75" customHeight="1">
      <c r="D287" s="155"/>
      <c r="G287" s="155"/>
      <c r="K287" s="255"/>
      <c r="N287" s="255"/>
      <c r="T287" s="256"/>
      <c r="Z287" s="257"/>
    </row>
    <row r="288" ht="15.75" customHeight="1">
      <c r="D288" s="155"/>
      <c r="G288" s="155"/>
      <c r="K288" s="255"/>
      <c r="N288" s="255"/>
      <c r="T288" s="256"/>
      <c r="Z288" s="257"/>
    </row>
    <row r="289" ht="15.75" customHeight="1">
      <c r="D289" s="155"/>
      <c r="G289" s="155"/>
      <c r="K289" s="255"/>
      <c r="N289" s="255"/>
      <c r="T289" s="256"/>
      <c r="Z289" s="257"/>
    </row>
    <row r="290" ht="15.75" customHeight="1">
      <c r="D290" s="155"/>
      <c r="G290" s="155"/>
      <c r="K290" s="255"/>
      <c r="N290" s="255"/>
      <c r="T290" s="256"/>
      <c r="Z290" s="257"/>
    </row>
    <row r="291" ht="15.75" customHeight="1">
      <c r="D291" s="155"/>
      <c r="G291" s="155"/>
      <c r="K291" s="255"/>
      <c r="N291" s="255"/>
      <c r="T291" s="256"/>
      <c r="Z291" s="257"/>
    </row>
    <row r="292" ht="15.75" customHeight="1">
      <c r="D292" s="155"/>
      <c r="G292" s="155"/>
      <c r="K292" s="255"/>
      <c r="N292" s="255"/>
      <c r="T292" s="256"/>
      <c r="Z292" s="257"/>
    </row>
    <row r="293" ht="15.75" customHeight="1">
      <c r="D293" s="155"/>
      <c r="G293" s="155"/>
      <c r="K293" s="255"/>
      <c r="N293" s="255"/>
      <c r="T293" s="256"/>
      <c r="Z293" s="257"/>
    </row>
    <row r="294" ht="15.75" customHeight="1">
      <c r="D294" s="155"/>
      <c r="G294" s="155"/>
      <c r="K294" s="255"/>
      <c r="N294" s="255"/>
      <c r="T294" s="256"/>
      <c r="Z294" s="257"/>
    </row>
    <row r="295" ht="15.75" customHeight="1">
      <c r="D295" s="155"/>
      <c r="G295" s="155"/>
      <c r="K295" s="255"/>
      <c r="N295" s="255"/>
      <c r="T295" s="256"/>
      <c r="Z295" s="257"/>
    </row>
    <row r="296" ht="15.75" customHeight="1">
      <c r="D296" s="155"/>
      <c r="G296" s="155"/>
      <c r="K296" s="255"/>
      <c r="N296" s="255"/>
      <c r="T296" s="256"/>
      <c r="Z296" s="257"/>
    </row>
    <row r="297" ht="15.75" customHeight="1">
      <c r="D297" s="155"/>
      <c r="G297" s="155"/>
      <c r="K297" s="255"/>
      <c r="N297" s="255"/>
      <c r="T297" s="256"/>
      <c r="Z297" s="257"/>
    </row>
    <row r="298" ht="15.75" customHeight="1">
      <c r="D298" s="155"/>
      <c r="G298" s="155"/>
      <c r="K298" s="255"/>
      <c r="N298" s="255"/>
      <c r="T298" s="256"/>
      <c r="Z298" s="257"/>
    </row>
    <row r="299" ht="15.75" customHeight="1">
      <c r="D299" s="155"/>
      <c r="G299" s="155"/>
      <c r="K299" s="255"/>
      <c r="N299" s="255"/>
      <c r="T299" s="256"/>
      <c r="Z299" s="257"/>
    </row>
    <row r="300" ht="15.75" customHeight="1">
      <c r="D300" s="155"/>
      <c r="G300" s="155"/>
      <c r="K300" s="255"/>
      <c r="N300" s="255"/>
      <c r="T300" s="256"/>
      <c r="Z300" s="257"/>
    </row>
    <row r="301" ht="15.75" customHeight="1">
      <c r="D301" s="155"/>
      <c r="G301" s="155"/>
      <c r="K301" s="255"/>
      <c r="N301" s="255"/>
      <c r="T301" s="256"/>
      <c r="Z301" s="257"/>
    </row>
    <row r="302" ht="15.75" customHeight="1">
      <c r="D302" s="155"/>
      <c r="G302" s="155"/>
      <c r="K302" s="255"/>
      <c r="N302" s="255"/>
      <c r="T302" s="256"/>
      <c r="Z302" s="257"/>
    </row>
    <row r="303" ht="15.75" customHeight="1">
      <c r="D303" s="155"/>
      <c r="G303" s="155"/>
      <c r="K303" s="255"/>
      <c r="N303" s="255"/>
      <c r="T303" s="256"/>
      <c r="Z303" s="257"/>
    </row>
    <row r="304" ht="15.75" customHeight="1">
      <c r="D304" s="155"/>
      <c r="G304" s="155"/>
      <c r="K304" s="255"/>
      <c r="N304" s="255"/>
      <c r="T304" s="256"/>
      <c r="Z304" s="257"/>
    </row>
    <row r="305" ht="15.75" customHeight="1">
      <c r="D305" s="155"/>
      <c r="G305" s="155"/>
      <c r="K305" s="255"/>
      <c r="N305" s="255"/>
      <c r="T305" s="256"/>
      <c r="Z305" s="257"/>
    </row>
    <row r="306" ht="15.75" customHeight="1">
      <c r="D306" s="155"/>
      <c r="G306" s="155"/>
      <c r="K306" s="255"/>
      <c r="N306" s="255"/>
      <c r="T306" s="256"/>
      <c r="Z306" s="257"/>
    </row>
    <row r="307" ht="15.75" customHeight="1">
      <c r="D307" s="155"/>
      <c r="G307" s="155"/>
      <c r="K307" s="255"/>
      <c r="N307" s="255"/>
      <c r="T307" s="256"/>
      <c r="Z307" s="257"/>
    </row>
    <row r="308" ht="15.75" customHeight="1">
      <c r="D308" s="155"/>
      <c r="G308" s="155"/>
      <c r="K308" s="255"/>
      <c r="N308" s="255"/>
      <c r="T308" s="256"/>
      <c r="Z308" s="257"/>
    </row>
    <row r="309" ht="15.75" customHeight="1">
      <c r="D309" s="155"/>
      <c r="G309" s="155"/>
      <c r="K309" s="255"/>
      <c r="N309" s="255"/>
      <c r="T309" s="256"/>
      <c r="Z309" s="257"/>
    </row>
    <row r="310" ht="15.75" customHeight="1">
      <c r="D310" s="155"/>
      <c r="G310" s="155"/>
      <c r="K310" s="255"/>
      <c r="N310" s="255"/>
      <c r="T310" s="256"/>
      <c r="Z310" s="257"/>
    </row>
    <row r="311" ht="15.75" customHeight="1">
      <c r="D311" s="155"/>
      <c r="G311" s="155"/>
      <c r="K311" s="255"/>
      <c r="N311" s="255"/>
      <c r="T311" s="256"/>
      <c r="Z311" s="257"/>
    </row>
    <row r="312" ht="15.75" customHeight="1">
      <c r="D312" s="155"/>
      <c r="G312" s="155"/>
      <c r="K312" s="255"/>
      <c r="N312" s="255"/>
      <c r="T312" s="256"/>
      <c r="Z312" s="257"/>
    </row>
    <row r="313" ht="15.75" customHeight="1">
      <c r="D313" s="155"/>
      <c r="G313" s="155"/>
      <c r="K313" s="255"/>
      <c r="N313" s="255"/>
      <c r="T313" s="256"/>
      <c r="Z313" s="257"/>
    </row>
    <row r="314" ht="15.75" customHeight="1">
      <c r="D314" s="155"/>
      <c r="G314" s="155"/>
      <c r="K314" s="255"/>
      <c r="N314" s="255"/>
      <c r="T314" s="256"/>
      <c r="Z314" s="257"/>
    </row>
    <row r="315" ht="15.75" customHeight="1">
      <c r="D315" s="155"/>
      <c r="G315" s="155"/>
      <c r="K315" s="255"/>
      <c r="N315" s="255"/>
      <c r="T315" s="256"/>
      <c r="Z315" s="257"/>
    </row>
    <row r="316" ht="15.75" customHeight="1">
      <c r="D316" s="155"/>
      <c r="G316" s="155"/>
      <c r="K316" s="255"/>
      <c r="N316" s="255"/>
      <c r="T316" s="256"/>
      <c r="Z316" s="257"/>
    </row>
    <row r="317" ht="15.75" customHeight="1">
      <c r="D317" s="155"/>
      <c r="G317" s="155"/>
      <c r="K317" s="255"/>
      <c r="N317" s="255"/>
      <c r="T317" s="256"/>
      <c r="Z317" s="257"/>
    </row>
    <row r="318" ht="15.75" customHeight="1">
      <c r="D318" s="155"/>
      <c r="G318" s="155"/>
      <c r="K318" s="255"/>
      <c r="N318" s="255"/>
      <c r="T318" s="256"/>
      <c r="Z318" s="257"/>
    </row>
    <row r="319" ht="15.75" customHeight="1">
      <c r="D319" s="155"/>
      <c r="G319" s="155"/>
      <c r="K319" s="255"/>
      <c r="N319" s="255"/>
      <c r="T319" s="256"/>
      <c r="Z319" s="257"/>
    </row>
    <row r="320" ht="15.75" customHeight="1">
      <c r="D320" s="155"/>
      <c r="G320" s="155"/>
      <c r="K320" s="255"/>
      <c r="N320" s="255"/>
      <c r="T320" s="256"/>
      <c r="Z320" s="257"/>
    </row>
    <row r="321" ht="15.75" customHeight="1">
      <c r="D321" s="155"/>
      <c r="G321" s="155"/>
      <c r="K321" s="255"/>
      <c r="N321" s="255"/>
      <c r="T321" s="256"/>
      <c r="Z321" s="257"/>
    </row>
    <row r="322" ht="15.75" customHeight="1">
      <c r="D322" s="155"/>
      <c r="G322" s="155"/>
      <c r="K322" s="255"/>
      <c r="N322" s="255"/>
      <c r="T322" s="256"/>
      <c r="Z322" s="257"/>
    </row>
    <row r="323" ht="15.75" customHeight="1">
      <c r="D323" s="155"/>
      <c r="G323" s="155"/>
      <c r="K323" s="255"/>
      <c r="N323" s="255"/>
      <c r="T323" s="256"/>
      <c r="Z323" s="257"/>
    </row>
    <row r="324" ht="15.75" customHeight="1">
      <c r="D324" s="155"/>
      <c r="G324" s="155"/>
      <c r="K324" s="255"/>
      <c r="N324" s="255"/>
      <c r="T324" s="256"/>
      <c r="Z324" s="257"/>
    </row>
    <row r="325" ht="15.75" customHeight="1">
      <c r="D325" s="155"/>
      <c r="G325" s="155"/>
      <c r="K325" s="255"/>
      <c r="N325" s="255"/>
      <c r="T325" s="256"/>
      <c r="Z325" s="257"/>
    </row>
    <row r="326" ht="15.75" customHeight="1">
      <c r="D326" s="155"/>
      <c r="G326" s="155"/>
      <c r="K326" s="255"/>
      <c r="N326" s="255"/>
      <c r="T326" s="256"/>
      <c r="Z326" s="257"/>
    </row>
    <row r="327" ht="15.75" customHeight="1">
      <c r="D327" s="155"/>
      <c r="G327" s="155"/>
      <c r="K327" s="255"/>
      <c r="N327" s="255"/>
      <c r="T327" s="256"/>
      <c r="Z327" s="257"/>
    </row>
    <row r="328" ht="15.75" customHeight="1">
      <c r="D328" s="155"/>
      <c r="G328" s="155"/>
      <c r="K328" s="255"/>
      <c r="N328" s="255"/>
      <c r="T328" s="256"/>
      <c r="Z328" s="257"/>
    </row>
    <row r="329" ht="15.75" customHeight="1">
      <c r="D329" s="155"/>
      <c r="G329" s="155"/>
      <c r="K329" s="255"/>
      <c r="N329" s="255"/>
      <c r="T329" s="256"/>
      <c r="Z329" s="257"/>
    </row>
    <row r="330" ht="15.75" customHeight="1">
      <c r="D330" s="155"/>
      <c r="G330" s="155"/>
      <c r="K330" s="255"/>
      <c r="N330" s="255"/>
      <c r="T330" s="256"/>
      <c r="Z330" s="257"/>
    </row>
    <row r="331" ht="15.75" customHeight="1">
      <c r="D331" s="155"/>
      <c r="G331" s="155"/>
      <c r="K331" s="255"/>
      <c r="N331" s="255"/>
      <c r="T331" s="256"/>
      <c r="Z331" s="257"/>
    </row>
    <row r="332" ht="15.75" customHeight="1">
      <c r="D332" s="155"/>
      <c r="G332" s="155"/>
      <c r="K332" s="255"/>
      <c r="N332" s="255"/>
      <c r="T332" s="256"/>
      <c r="Z332" s="257"/>
    </row>
    <row r="333" ht="15.75" customHeight="1">
      <c r="D333" s="155"/>
      <c r="G333" s="155"/>
      <c r="K333" s="255"/>
      <c r="N333" s="255"/>
      <c r="T333" s="256"/>
      <c r="Z333" s="257"/>
    </row>
    <row r="334" ht="15.75" customHeight="1">
      <c r="D334" s="155"/>
      <c r="G334" s="155"/>
      <c r="K334" s="255"/>
      <c r="N334" s="255"/>
      <c r="T334" s="256"/>
      <c r="Z334" s="257"/>
    </row>
    <row r="335" ht="15.75" customHeight="1">
      <c r="D335" s="155"/>
      <c r="G335" s="155"/>
      <c r="K335" s="255"/>
      <c r="N335" s="255"/>
      <c r="T335" s="256"/>
      <c r="Z335" s="257"/>
    </row>
    <row r="336" ht="15.75" customHeight="1">
      <c r="D336" s="155"/>
      <c r="G336" s="155"/>
      <c r="K336" s="255"/>
      <c r="N336" s="255"/>
      <c r="T336" s="256"/>
      <c r="Z336" s="257"/>
    </row>
    <row r="337" ht="15.75" customHeight="1">
      <c r="D337" s="155"/>
      <c r="G337" s="155"/>
      <c r="K337" s="255"/>
      <c r="N337" s="255"/>
      <c r="T337" s="256"/>
      <c r="Z337" s="257"/>
    </row>
    <row r="338" ht="15.75" customHeight="1">
      <c r="D338" s="155"/>
      <c r="G338" s="155"/>
      <c r="K338" s="255"/>
      <c r="N338" s="255"/>
      <c r="T338" s="256"/>
      <c r="Z338" s="257"/>
    </row>
    <row r="339" ht="15.75" customHeight="1">
      <c r="D339" s="155"/>
      <c r="G339" s="155"/>
      <c r="K339" s="255"/>
      <c r="N339" s="255"/>
      <c r="T339" s="256"/>
      <c r="Z339" s="257"/>
    </row>
    <row r="340" ht="15.75" customHeight="1">
      <c r="D340" s="155"/>
      <c r="G340" s="155"/>
      <c r="K340" s="255"/>
      <c r="N340" s="255"/>
      <c r="T340" s="256"/>
      <c r="Z340" s="257"/>
    </row>
    <row r="341" ht="15.75" customHeight="1">
      <c r="D341" s="155"/>
      <c r="G341" s="155"/>
      <c r="K341" s="255"/>
      <c r="N341" s="255"/>
      <c r="T341" s="256"/>
      <c r="Z341" s="257"/>
    </row>
    <row r="342" ht="15.75" customHeight="1">
      <c r="D342" s="155"/>
      <c r="G342" s="155"/>
      <c r="K342" s="255"/>
      <c r="N342" s="255"/>
      <c r="T342" s="256"/>
      <c r="Z342" s="257"/>
    </row>
    <row r="343" ht="15.75" customHeight="1">
      <c r="D343" s="155"/>
      <c r="G343" s="155"/>
      <c r="K343" s="255"/>
      <c r="N343" s="255"/>
      <c r="T343" s="256"/>
      <c r="Z343" s="257"/>
    </row>
    <row r="344" ht="15.75" customHeight="1">
      <c r="D344" s="155"/>
      <c r="G344" s="155"/>
      <c r="K344" s="255"/>
      <c r="N344" s="255"/>
      <c r="T344" s="256"/>
      <c r="Z344" s="257"/>
    </row>
    <row r="345" ht="15.75" customHeight="1">
      <c r="D345" s="155"/>
      <c r="G345" s="155"/>
      <c r="K345" s="255"/>
      <c r="N345" s="255"/>
      <c r="T345" s="256"/>
      <c r="Z345" s="257"/>
    </row>
    <row r="346" ht="15.75" customHeight="1">
      <c r="D346" s="155"/>
      <c r="G346" s="155"/>
      <c r="K346" s="255"/>
      <c r="N346" s="255"/>
      <c r="T346" s="256"/>
      <c r="Z346" s="257"/>
    </row>
    <row r="347" ht="15.75" customHeight="1">
      <c r="D347" s="155"/>
      <c r="G347" s="155"/>
      <c r="K347" s="255"/>
      <c r="N347" s="255"/>
      <c r="T347" s="256"/>
      <c r="Z347" s="257"/>
    </row>
    <row r="348" ht="15.75" customHeight="1">
      <c r="D348" s="155"/>
      <c r="G348" s="155"/>
      <c r="K348" s="255"/>
      <c r="N348" s="255"/>
      <c r="T348" s="256"/>
      <c r="Z348" s="257"/>
    </row>
    <row r="349" ht="15.75" customHeight="1">
      <c r="D349" s="155"/>
      <c r="G349" s="155"/>
      <c r="K349" s="255"/>
      <c r="N349" s="255"/>
      <c r="T349" s="256"/>
      <c r="Z349" s="257"/>
    </row>
    <row r="350" ht="15.75" customHeight="1">
      <c r="D350" s="155"/>
      <c r="G350" s="155"/>
      <c r="K350" s="255"/>
      <c r="N350" s="255"/>
      <c r="T350" s="256"/>
      <c r="Z350" s="257"/>
    </row>
    <row r="351" ht="15.75" customHeight="1">
      <c r="D351" s="155"/>
      <c r="G351" s="155"/>
      <c r="K351" s="255"/>
      <c r="N351" s="255"/>
      <c r="T351" s="256"/>
      <c r="Z351" s="257"/>
    </row>
    <row r="352" ht="15.75" customHeight="1">
      <c r="D352" s="155"/>
      <c r="G352" s="155"/>
      <c r="K352" s="255"/>
      <c r="N352" s="255"/>
      <c r="T352" s="256"/>
      <c r="Z352" s="257"/>
    </row>
    <row r="353" ht="15.75" customHeight="1">
      <c r="D353" s="155"/>
      <c r="G353" s="155"/>
      <c r="K353" s="255"/>
      <c r="N353" s="255"/>
      <c r="T353" s="256"/>
      <c r="Z353" s="257"/>
    </row>
    <row r="354" ht="15.75" customHeight="1">
      <c r="D354" s="155"/>
      <c r="G354" s="155"/>
      <c r="K354" s="255"/>
      <c r="N354" s="255"/>
      <c r="T354" s="256"/>
      <c r="Z354" s="257"/>
    </row>
    <row r="355" ht="15.75" customHeight="1">
      <c r="D355" s="155"/>
      <c r="G355" s="155"/>
      <c r="K355" s="255"/>
      <c r="N355" s="255"/>
      <c r="T355" s="256"/>
      <c r="Z355" s="257"/>
    </row>
    <row r="356" ht="15.75" customHeight="1">
      <c r="D356" s="155"/>
      <c r="G356" s="155"/>
      <c r="K356" s="255"/>
      <c r="N356" s="255"/>
      <c r="T356" s="256"/>
      <c r="Z356" s="257"/>
    </row>
    <row r="357" ht="15.75" customHeight="1">
      <c r="D357" s="155"/>
      <c r="G357" s="155"/>
      <c r="K357" s="255"/>
      <c r="N357" s="255"/>
      <c r="T357" s="256"/>
      <c r="Z357" s="257"/>
    </row>
    <row r="358" ht="15.75" customHeight="1">
      <c r="D358" s="155"/>
      <c r="G358" s="155"/>
      <c r="K358" s="255"/>
      <c r="N358" s="255"/>
      <c r="T358" s="256"/>
      <c r="Z358" s="257"/>
    </row>
    <row r="359" ht="15.75" customHeight="1">
      <c r="D359" s="155"/>
      <c r="G359" s="155"/>
      <c r="K359" s="255"/>
      <c r="N359" s="255"/>
      <c r="T359" s="256"/>
      <c r="Z359" s="257"/>
    </row>
    <row r="360" ht="15.75" customHeight="1">
      <c r="D360" s="155"/>
      <c r="G360" s="155"/>
      <c r="K360" s="255"/>
      <c r="N360" s="255"/>
      <c r="T360" s="256"/>
      <c r="Z360" s="257"/>
    </row>
    <row r="361" ht="15.75" customHeight="1">
      <c r="D361" s="155"/>
      <c r="G361" s="155"/>
      <c r="K361" s="255"/>
      <c r="N361" s="255"/>
      <c r="T361" s="256"/>
      <c r="Z361" s="257"/>
    </row>
    <row r="362" ht="15.75" customHeight="1">
      <c r="D362" s="155"/>
      <c r="G362" s="155"/>
      <c r="K362" s="255"/>
      <c r="N362" s="255"/>
      <c r="T362" s="256"/>
      <c r="Z362" s="257"/>
    </row>
    <row r="363" ht="15.75" customHeight="1">
      <c r="D363" s="155"/>
      <c r="G363" s="155"/>
      <c r="K363" s="255"/>
      <c r="N363" s="255"/>
      <c r="T363" s="256"/>
      <c r="Z363" s="257"/>
    </row>
    <row r="364" ht="15.75" customHeight="1">
      <c r="D364" s="155"/>
      <c r="G364" s="155"/>
      <c r="K364" s="255"/>
      <c r="N364" s="255"/>
      <c r="T364" s="256"/>
      <c r="Z364" s="257"/>
    </row>
    <row r="365" ht="15.75" customHeight="1">
      <c r="D365" s="155"/>
      <c r="G365" s="155"/>
      <c r="K365" s="255"/>
      <c r="N365" s="255"/>
      <c r="T365" s="256"/>
      <c r="Z365" s="257"/>
    </row>
    <row r="366" ht="15.75" customHeight="1">
      <c r="D366" s="155"/>
      <c r="G366" s="155"/>
      <c r="K366" s="255"/>
      <c r="N366" s="255"/>
      <c r="T366" s="256"/>
      <c r="Z366" s="257"/>
    </row>
    <row r="367" ht="15.75" customHeight="1">
      <c r="D367" s="155"/>
      <c r="G367" s="155"/>
      <c r="K367" s="255"/>
      <c r="N367" s="255"/>
      <c r="T367" s="256"/>
      <c r="Z367" s="257"/>
    </row>
    <row r="368" ht="15.75" customHeight="1">
      <c r="D368" s="155"/>
      <c r="G368" s="155"/>
      <c r="K368" s="255"/>
      <c r="N368" s="255"/>
      <c r="T368" s="256"/>
      <c r="Z368" s="257"/>
    </row>
    <row r="369" ht="15.75" customHeight="1">
      <c r="D369" s="155"/>
      <c r="G369" s="155"/>
      <c r="K369" s="255"/>
      <c r="N369" s="255"/>
      <c r="T369" s="256"/>
      <c r="Z369" s="257"/>
    </row>
    <row r="370" ht="15.75" customHeight="1">
      <c r="D370" s="155"/>
      <c r="G370" s="155"/>
      <c r="K370" s="255"/>
      <c r="N370" s="255"/>
      <c r="T370" s="256"/>
      <c r="Z370" s="257"/>
    </row>
    <row r="371" ht="15.75" customHeight="1">
      <c r="D371" s="155"/>
      <c r="G371" s="155"/>
      <c r="K371" s="255"/>
      <c r="N371" s="255"/>
      <c r="T371" s="256"/>
      <c r="Z371" s="257"/>
    </row>
    <row r="372" ht="15.75" customHeight="1">
      <c r="D372" s="155"/>
      <c r="G372" s="155"/>
      <c r="K372" s="255"/>
      <c r="N372" s="255"/>
      <c r="T372" s="256"/>
      <c r="Z372" s="257"/>
    </row>
    <row r="373" ht="15.75" customHeight="1">
      <c r="D373" s="155"/>
      <c r="G373" s="155"/>
      <c r="K373" s="255"/>
      <c r="N373" s="255"/>
      <c r="T373" s="256"/>
      <c r="Z373" s="257"/>
    </row>
    <row r="374" ht="15.75" customHeight="1">
      <c r="D374" s="155"/>
      <c r="G374" s="155"/>
      <c r="K374" s="255"/>
      <c r="N374" s="255"/>
      <c r="T374" s="256"/>
      <c r="Z374" s="257"/>
    </row>
    <row r="375" ht="15.75" customHeight="1">
      <c r="D375" s="155"/>
      <c r="G375" s="155"/>
      <c r="K375" s="255"/>
      <c r="N375" s="255"/>
      <c r="T375" s="256"/>
      <c r="Z375" s="257"/>
    </row>
    <row r="376" ht="15.75" customHeight="1">
      <c r="D376" s="155"/>
      <c r="G376" s="155"/>
      <c r="K376" s="255"/>
      <c r="N376" s="255"/>
      <c r="T376" s="256"/>
      <c r="Z376" s="257"/>
    </row>
    <row r="377" ht="15.75" customHeight="1">
      <c r="D377" s="155"/>
      <c r="G377" s="155"/>
      <c r="K377" s="255"/>
      <c r="N377" s="255"/>
      <c r="T377" s="256"/>
      <c r="Z377" s="257"/>
    </row>
    <row r="378" ht="15.75" customHeight="1">
      <c r="D378" s="155"/>
      <c r="G378" s="155"/>
      <c r="K378" s="255"/>
      <c r="N378" s="255"/>
      <c r="T378" s="256"/>
      <c r="Z378" s="257"/>
    </row>
    <row r="379" ht="15.75" customHeight="1">
      <c r="D379" s="155"/>
      <c r="G379" s="155"/>
      <c r="K379" s="255"/>
      <c r="N379" s="255"/>
      <c r="T379" s="256"/>
      <c r="Z379" s="257"/>
    </row>
    <row r="380" ht="15.75" customHeight="1">
      <c r="D380" s="155"/>
      <c r="G380" s="155"/>
      <c r="K380" s="255"/>
      <c r="N380" s="255"/>
      <c r="T380" s="256"/>
      <c r="Z380" s="257"/>
    </row>
    <row r="381" ht="15.75" customHeight="1">
      <c r="D381" s="155"/>
      <c r="G381" s="155"/>
      <c r="K381" s="255"/>
      <c r="N381" s="255"/>
      <c r="T381" s="256"/>
      <c r="Z381" s="257"/>
    </row>
    <row r="382" ht="15.75" customHeight="1">
      <c r="D382" s="155"/>
      <c r="G382" s="155"/>
      <c r="K382" s="255"/>
      <c r="N382" s="255"/>
      <c r="T382" s="256"/>
      <c r="Z382" s="257"/>
    </row>
    <row r="383" ht="15.75" customHeight="1">
      <c r="D383" s="155"/>
      <c r="G383" s="155"/>
      <c r="K383" s="255"/>
      <c r="N383" s="255"/>
      <c r="T383" s="256"/>
      <c r="Z383" s="257"/>
    </row>
    <row r="384" ht="15.75" customHeight="1">
      <c r="D384" s="155"/>
      <c r="G384" s="155"/>
      <c r="K384" s="255"/>
      <c r="N384" s="255"/>
      <c r="T384" s="256"/>
      <c r="Z384" s="257"/>
    </row>
    <row r="385" ht="15.75" customHeight="1">
      <c r="D385" s="155"/>
      <c r="G385" s="155"/>
      <c r="K385" s="255"/>
      <c r="N385" s="255"/>
      <c r="T385" s="256"/>
      <c r="Z385" s="257"/>
    </row>
    <row r="386" ht="15.75" customHeight="1">
      <c r="D386" s="155"/>
      <c r="G386" s="155"/>
      <c r="K386" s="255"/>
      <c r="N386" s="255"/>
      <c r="T386" s="256"/>
      <c r="Z386" s="257"/>
    </row>
    <row r="387" ht="15.75" customHeight="1">
      <c r="D387" s="155"/>
      <c r="G387" s="155"/>
      <c r="K387" s="255"/>
      <c r="N387" s="255"/>
      <c r="T387" s="256"/>
      <c r="Z387" s="257"/>
    </row>
    <row r="388" ht="15.75" customHeight="1">
      <c r="D388" s="155"/>
      <c r="G388" s="155"/>
      <c r="K388" s="255"/>
      <c r="N388" s="255"/>
      <c r="T388" s="256"/>
      <c r="Z388" s="257"/>
    </row>
    <row r="389" ht="15.75" customHeight="1">
      <c r="D389" s="155"/>
      <c r="G389" s="155"/>
      <c r="K389" s="255"/>
      <c r="N389" s="255"/>
      <c r="T389" s="256"/>
      <c r="Z389" s="257"/>
    </row>
    <row r="390" ht="15.75" customHeight="1">
      <c r="D390" s="155"/>
      <c r="G390" s="155"/>
      <c r="K390" s="255"/>
      <c r="N390" s="255"/>
      <c r="T390" s="256"/>
      <c r="Z390" s="257"/>
    </row>
    <row r="391" ht="15.75" customHeight="1">
      <c r="D391" s="155"/>
      <c r="G391" s="155"/>
      <c r="K391" s="255"/>
      <c r="N391" s="255"/>
      <c r="T391" s="256"/>
      <c r="Z391" s="257"/>
    </row>
    <row r="392" ht="15.75" customHeight="1">
      <c r="D392" s="155"/>
      <c r="G392" s="155"/>
      <c r="K392" s="255"/>
      <c r="N392" s="255"/>
      <c r="T392" s="256"/>
      <c r="Z392" s="257"/>
    </row>
    <row r="393" ht="15.75" customHeight="1">
      <c r="D393" s="155"/>
      <c r="G393" s="155"/>
      <c r="K393" s="255"/>
      <c r="N393" s="255"/>
      <c r="T393" s="256"/>
      <c r="Z393" s="257"/>
    </row>
    <row r="394" ht="15.75" customHeight="1">
      <c r="D394" s="155"/>
      <c r="G394" s="155"/>
      <c r="K394" s="255"/>
      <c r="N394" s="255"/>
      <c r="T394" s="256"/>
      <c r="Z394" s="257"/>
    </row>
    <row r="395" ht="15.75" customHeight="1">
      <c r="D395" s="155"/>
      <c r="G395" s="155"/>
      <c r="K395" s="255"/>
      <c r="N395" s="255"/>
      <c r="T395" s="256"/>
      <c r="Z395" s="257"/>
    </row>
    <row r="396" ht="15.75" customHeight="1">
      <c r="D396" s="155"/>
      <c r="G396" s="155"/>
      <c r="K396" s="255"/>
      <c r="N396" s="255"/>
      <c r="T396" s="256"/>
      <c r="Z396" s="257"/>
    </row>
    <row r="397" ht="15.75" customHeight="1">
      <c r="D397" s="155"/>
      <c r="G397" s="155"/>
      <c r="K397" s="255"/>
      <c r="N397" s="255"/>
      <c r="T397" s="256"/>
      <c r="Z397" s="257"/>
    </row>
    <row r="398" ht="15.75" customHeight="1">
      <c r="D398" s="155"/>
      <c r="G398" s="155"/>
      <c r="K398" s="255"/>
      <c r="N398" s="255"/>
      <c r="T398" s="256"/>
      <c r="Z398" s="257"/>
    </row>
    <row r="399" ht="15.75" customHeight="1">
      <c r="D399" s="155"/>
      <c r="G399" s="155"/>
      <c r="K399" s="255"/>
      <c r="N399" s="255"/>
      <c r="T399" s="256"/>
      <c r="Z399" s="257"/>
    </row>
    <row r="400" ht="15.75" customHeight="1">
      <c r="D400" s="155"/>
      <c r="G400" s="155"/>
      <c r="K400" s="255"/>
      <c r="N400" s="255"/>
      <c r="T400" s="256"/>
      <c r="Z400" s="257"/>
    </row>
    <row r="401" ht="15.75" customHeight="1">
      <c r="D401" s="155"/>
      <c r="G401" s="155"/>
      <c r="K401" s="255"/>
      <c r="N401" s="255"/>
      <c r="T401" s="256"/>
      <c r="Z401" s="257"/>
    </row>
    <row r="402" ht="15.75" customHeight="1">
      <c r="D402" s="155"/>
      <c r="G402" s="155"/>
      <c r="K402" s="255"/>
      <c r="N402" s="255"/>
      <c r="T402" s="256"/>
      <c r="Z402" s="257"/>
    </row>
    <row r="403" ht="15.75" customHeight="1">
      <c r="D403" s="155"/>
      <c r="G403" s="155"/>
      <c r="K403" s="255"/>
      <c r="N403" s="255"/>
      <c r="T403" s="256"/>
      <c r="Z403" s="257"/>
    </row>
    <row r="404" ht="15.75" customHeight="1">
      <c r="D404" s="155"/>
      <c r="G404" s="155"/>
      <c r="K404" s="255"/>
      <c r="N404" s="255"/>
      <c r="T404" s="256"/>
      <c r="Z404" s="257"/>
    </row>
    <row r="405" ht="15.75" customHeight="1">
      <c r="D405" s="155"/>
      <c r="G405" s="155"/>
      <c r="K405" s="255"/>
      <c r="N405" s="255"/>
      <c r="T405" s="256"/>
      <c r="Z405" s="257"/>
    </row>
    <row r="406" ht="15.75" customHeight="1">
      <c r="D406" s="155"/>
      <c r="G406" s="155"/>
      <c r="K406" s="255"/>
      <c r="N406" s="255"/>
      <c r="T406" s="256"/>
      <c r="Z406" s="257"/>
    </row>
    <row r="407" ht="15.75" customHeight="1">
      <c r="D407" s="155"/>
      <c r="G407" s="155"/>
      <c r="K407" s="255"/>
      <c r="N407" s="255"/>
      <c r="T407" s="256"/>
      <c r="Z407" s="257"/>
    </row>
    <row r="408" ht="15.75" customHeight="1">
      <c r="D408" s="155"/>
      <c r="G408" s="155"/>
      <c r="K408" s="255"/>
      <c r="N408" s="255"/>
      <c r="T408" s="256"/>
      <c r="Z408" s="257"/>
    </row>
    <row r="409" ht="15.75" customHeight="1">
      <c r="D409" s="155"/>
      <c r="G409" s="155"/>
      <c r="K409" s="255"/>
      <c r="N409" s="255"/>
      <c r="T409" s="256"/>
      <c r="Z409" s="257"/>
    </row>
    <row r="410" ht="15.75" customHeight="1">
      <c r="D410" s="155"/>
      <c r="G410" s="155"/>
      <c r="K410" s="255"/>
      <c r="N410" s="255"/>
      <c r="T410" s="256"/>
      <c r="Z410" s="257"/>
    </row>
    <row r="411" ht="15.75" customHeight="1">
      <c r="D411" s="155"/>
      <c r="G411" s="155"/>
      <c r="K411" s="255"/>
      <c r="N411" s="255"/>
      <c r="T411" s="256"/>
      <c r="Z411" s="257"/>
    </row>
    <row r="412" ht="15.75" customHeight="1">
      <c r="D412" s="155"/>
      <c r="G412" s="155"/>
      <c r="K412" s="255"/>
      <c r="N412" s="255"/>
      <c r="T412" s="256"/>
      <c r="Z412" s="257"/>
    </row>
    <row r="413" ht="15.75" customHeight="1">
      <c r="D413" s="155"/>
      <c r="G413" s="155"/>
      <c r="K413" s="255"/>
      <c r="N413" s="255"/>
      <c r="T413" s="256"/>
      <c r="Z413" s="257"/>
    </row>
    <row r="414" ht="15.75" customHeight="1">
      <c r="D414" s="155"/>
      <c r="G414" s="155"/>
      <c r="K414" s="255"/>
      <c r="N414" s="255"/>
      <c r="T414" s="256"/>
      <c r="Z414" s="257"/>
    </row>
    <row r="415" ht="15.75" customHeight="1">
      <c r="D415" s="155"/>
      <c r="G415" s="155"/>
      <c r="K415" s="255"/>
      <c r="N415" s="255"/>
      <c r="T415" s="256"/>
      <c r="Z415" s="257"/>
    </row>
    <row r="416" ht="15.75" customHeight="1">
      <c r="D416" s="155"/>
      <c r="G416" s="155"/>
      <c r="K416" s="255"/>
      <c r="N416" s="255"/>
      <c r="T416" s="256"/>
      <c r="Z416" s="257"/>
    </row>
    <row r="417" ht="15.75" customHeight="1">
      <c r="D417" s="155"/>
      <c r="G417" s="155"/>
      <c r="K417" s="255"/>
      <c r="N417" s="255"/>
      <c r="T417" s="256"/>
      <c r="Z417" s="257"/>
    </row>
    <row r="418" ht="15.75" customHeight="1">
      <c r="D418" s="155"/>
      <c r="G418" s="155"/>
      <c r="K418" s="255"/>
      <c r="N418" s="255"/>
      <c r="T418" s="256"/>
      <c r="Z418" s="257"/>
    </row>
    <row r="419" ht="15.75" customHeight="1">
      <c r="D419" s="155"/>
      <c r="G419" s="155"/>
      <c r="K419" s="255"/>
      <c r="N419" s="255"/>
      <c r="T419" s="256"/>
      <c r="Z419" s="257"/>
    </row>
    <row r="420" ht="15.75" customHeight="1">
      <c r="D420" s="155"/>
      <c r="G420" s="155"/>
      <c r="K420" s="255"/>
      <c r="N420" s="255"/>
      <c r="T420" s="256"/>
      <c r="Z420" s="257"/>
    </row>
    <row r="421" ht="15.75" customHeight="1">
      <c r="D421" s="155"/>
      <c r="G421" s="155"/>
      <c r="K421" s="255"/>
      <c r="N421" s="255"/>
      <c r="T421" s="256"/>
      <c r="Z421" s="257"/>
    </row>
    <row r="422" ht="15.75" customHeight="1">
      <c r="D422" s="155"/>
      <c r="G422" s="155"/>
      <c r="K422" s="255"/>
      <c r="N422" s="255"/>
      <c r="T422" s="256"/>
      <c r="Z422" s="257"/>
    </row>
    <row r="423" ht="15.75" customHeight="1">
      <c r="D423" s="155"/>
      <c r="G423" s="155"/>
      <c r="K423" s="255"/>
      <c r="N423" s="255"/>
      <c r="T423" s="256"/>
      <c r="Z423" s="257"/>
    </row>
    <row r="424" ht="15.75" customHeight="1">
      <c r="D424" s="155"/>
      <c r="G424" s="155"/>
      <c r="K424" s="255"/>
      <c r="N424" s="255"/>
      <c r="T424" s="256"/>
      <c r="Z424" s="257"/>
    </row>
    <row r="425" ht="15.75" customHeight="1">
      <c r="D425" s="155"/>
      <c r="G425" s="155"/>
      <c r="K425" s="255"/>
      <c r="N425" s="255"/>
      <c r="T425" s="256"/>
      <c r="Z425" s="257"/>
    </row>
    <row r="426" ht="15.75" customHeight="1">
      <c r="D426" s="155"/>
      <c r="G426" s="155"/>
      <c r="K426" s="255"/>
      <c r="N426" s="255"/>
      <c r="T426" s="256"/>
      <c r="Z426" s="257"/>
    </row>
    <row r="427" ht="15.75" customHeight="1">
      <c r="D427" s="155"/>
      <c r="G427" s="155"/>
      <c r="K427" s="255"/>
      <c r="N427" s="255"/>
      <c r="T427" s="256"/>
      <c r="Z427" s="257"/>
    </row>
    <row r="428" ht="15.75" customHeight="1">
      <c r="D428" s="155"/>
      <c r="G428" s="155"/>
      <c r="K428" s="255"/>
      <c r="N428" s="255"/>
      <c r="T428" s="256"/>
      <c r="Z428" s="257"/>
    </row>
    <row r="429" ht="15.75" customHeight="1">
      <c r="D429" s="155"/>
      <c r="G429" s="155"/>
      <c r="K429" s="255"/>
      <c r="N429" s="255"/>
      <c r="T429" s="256"/>
      <c r="Z429" s="257"/>
    </row>
    <row r="430" ht="15.75" customHeight="1">
      <c r="D430" s="155"/>
      <c r="G430" s="155"/>
      <c r="K430" s="255"/>
      <c r="N430" s="255"/>
      <c r="T430" s="256"/>
      <c r="Z430" s="257"/>
    </row>
    <row r="431" ht="15.75" customHeight="1">
      <c r="D431" s="155"/>
      <c r="G431" s="155"/>
      <c r="K431" s="255"/>
      <c r="N431" s="255"/>
      <c r="T431" s="256"/>
      <c r="Z431" s="257"/>
    </row>
    <row r="432" ht="15.75" customHeight="1">
      <c r="D432" s="155"/>
      <c r="G432" s="155"/>
      <c r="K432" s="255"/>
      <c r="N432" s="255"/>
      <c r="T432" s="256"/>
      <c r="Z432" s="257"/>
    </row>
    <row r="433" ht="15.75" customHeight="1">
      <c r="D433" s="155"/>
      <c r="G433" s="155"/>
      <c r="K433" s="255"/>
      <c r="N433" s="255"/>
      <c r="T433" s="256"/>
      <c r="Z433" s="257"/>
    </row>
    <row r="434" ht="15.75" customHeight="1">
      <c r="D434" s="155"/>
      <c r="G434" s="155"/>
      <c r="K434" s="255"/>
      <c r="N434" s="255"/>
      <c r="T434" s="256"/>
      <c r="Z434" s="257"/>
    </row>
    <row r="435" ht="15.75" customHeight="1">
      <c r="D435" s="155"/>
      <c r="G435" s="155"/>
      <c r="K435" s="255"/>
      <c r="N435" s="255"/>
      <c r="T435" s="256"/>
      <c r="Z435" s="257"/>
    </row>
    <row r="436" ht="15.75" customHeight="1">
      <c r="D436" s="155"/>
      <c r="G436" s="155"/>
      <c r="K436" s="255"/>
      <c r="N436" s="255"/>
      <c r="T436" s="256"/>
      <c r="Z436" s="257"/>
    </row>
    <row r="437" ht="15.75" customHeight="1">
      <c r="D437" s="155"/>
      <c r="G437" s="155"/>
      <c r="K437" s="255"/>
      <c r="N437" s="255"/>
      <c r="T437" s="256"/>
      <c r="Z437" s="257"/>
    </row>
    <row r="438" ht="15.75" customHeight="1">
      <c r="D438" s="155"/>
      <c r="G438" s="155"/>
      <c r="K438" s="255"/>
      <c r="N438" s="255"/>
      <c r="T438" s="256"/>
      <c r="Z438" s="257"/>
    </row>
    <row r="439" ht="15.75" customHeight="1">
      <c r="D439" s="155"/>
      <c r="G439" s="155"/>
      <c r="K439" s="255"/>
      <c r="N439" s="255"/>
      <c r="T439" s="256"/>
      <c r="Z439" s="257"/>
    </row>
    <row r="440" ht="15.75" customHeight="1">
      <c r="D440" s="155"/>
      <c r="G440" s="155"/>
      <c r="K440" s="255"/>
      <c r="N440" s="255"/>
      <c r="T440" s="256"/>
      <c r="Z440" s="257"/>
    </row>
    <row r="441" ht="15.75" customHeight="1">
      <c r="D441" s="155"/>
      <c r="G441" s="155"/>
      <c r="K441" s="255"/>
      <c r="N441" s="255"/>
      <c r="T441" s="256"/>
      <c r="Z441" s="257"/>
    </row>
    <row r="442" ht="15.75" customHeight="1">
      <c r="D442" s="155"/>
      <c r="G442" s="155"/>
      <c r="K442" s="255"/>
      <c r="N442" s="255"/>
      <c r="T442" s="256"/>
      <c r="Z442" s="257"/>
    </row>
    <row r="443" ht="15.75" customHeight="1">
      <c r="D443" s="155"/>
      <c r="G443" s="155"/>
      <c r="K443" s="255"/>
      <c r="N443" s="255"/>
      <c r="T443" s="256"/>
      <c r="Z443" s="257"/>
    </row>
    <row r="444" ht="15.75" customHeight="1">
      <c r="D444" s="155"/>
      <c r="G444" s="155"/>
      <c r="K444" s="255"/>
      <c r="N444" s="255"/>
      <c r="T444" s="256"/>
      <c r="Z444" s="257"/>
    </row>
    <row r="445" ht="15.75" customHeight="1">
      <c r="D445" s="155"/>
      <c r="G445" s="155"/>
      <c r="K445" s="255"/>
      <c r="N445" s="255"/>
      <c r="T445" s="256"/>
      <c r="Z445" s="257"/>
    </row>
    <row r="446" ht="15.75" customHeight="1">
      <c r="D446" s="155"/>
      <c r="G446" s="155"/>
      <c r="K446" s="255"/>
      <c r="N446" s="255"/>
      <c r="T446" s="256"/>
      <c r="Z446" s="257"/>
    </row>
    <row r="447" ht="15.75" customHeight="1">
      <c r="D447" s="155"/>
      <c r="G447" s="155"/>
      <c r="K447" s="255"/>
      <c r="N447" s="255"/>
      <c r="T447" s="256"/>
      <c r="Z447" s="257"/>
    </row>
    <row r="448" ht="15.75" customHeight="1">
      <c r="D448" s="155"/>
      <c r="G448" s="155"/>
      <c r="K448" s="255"/>
      <c r="N448" s="255"/>
      <c r="T448" s="256"/>
      <c r="Z448" s="257"/>
    </row>
    <row r="449" ht="15.75" customHeight="1">
      <c r="D449" s="155"/>
      <c r="G449" s="155"/>
      <c r="K449" s="255"/>
      <c r="N449" s="255"/>
      <c r="T449" s="256"/>
      <c r="Z449" s="257"/>
    </row>
    <row r="450" ht="15.75" customHeight="1">
      <c r="D450" s="155"/>
      <c r="G450" s="155"/>
      <c r="K450" s="255"/>
      <c r="N450" s="255"/>
      <c r="T450" s="256"/>
      <c r="Z450" s="257"/>
    </row>
    <row r="451" ht="15.75" customHeight="1">
      <c r="D451" s="155"/>
      <c r="G451" s="155"/>
      <c r="K451" s="255"/>
      <c r="N451" s="255"/>
      <c r="T451" s="256"/>
      <c r="Z451" s="257"/>
    </row>
    <row r="452" ht="15.75" customHeight="1">
      <c r="D452" s="155"/>
      <c r="G452" s="155"/>
      <c r="K452" s="255"/>
      <c r="N452" s="255"/>
      <c r="T452" s="256"/>
      <c r="Z452" s="257"/>
    </row>
    <row r="453" ht="15.75" customHeight="1">
      <c r="D453" s="155"/>
      <c r="G453" s="155"/>
      <c r="K453" s="255"/>
      <c r="N453" s="255"/>
      <c r="T453" s="256"/>
      <c r="Z453" s="257"/>
    </row>
    <row r="454" ht="15.75" customHeight="1">
      <c r="D454" s="155"/>
      <c r="G454" s="155"/>
      <c r="K454" s="255"/>
      <c r="N454" s="255"/>
      <c r="T454" s="256"/>
      <c r="Z454" s="257"/>
    </row>
    <row r="455" ht="15.75" customHeight="1">
      <c r="D455" s="155"/>
      <c r="G455" s="155"/>
      <c r="K455" s="255"/>
      <c r="N455" s="255"/>
      <c r="T455" s="256"/>
      <c r="Z455" s="257"/>
    </row>
    <row r="456" ht="15.75" customHeight="1">
      <c r="D456" s="155"/>
      <c r="G456" s="155"/>
      <c r="K456" s="255"/>
      <c r="N456" s="255"/>
      <c r="T456" s="256"/>
      <c r="Z456" s="257"/>
    </row>
    <row r="457" ht="15.75" customHeight="1">
      <c r="D457" s="155"/>
      <c r="G457" s="155"/>
      <c r="K457" s="255"/>
      <c r="N457" s="255"/>
      <c r="T457" s="256"/>
      <c r="Z457" s="257"/>
    </row>
    <row r="458" ht="15.75" customHeight="1">
      <c r="D458" s="155"/>
      <c r="G458" s="155"/>
      <c r="K458" s="255"/>
      <c r="N458" s="255"/>
      <c r="T458" s="256"/>
      <c r="Z458" s="257"/>
    </row>
    <row r="459" ht="15.75" customHeight="1">
      <c r="D459" s="155"/>
      <c r="G459" s="155"/>
      <c r="K459" s="255"/>
      <c r="N459" s="255"/>
      <c r="T459" s="256"/>
      <c r="Z459" s="257"/>
    </row>
    <row r="460" ht="15.75" customHeight="1">
      <c r="D460" s="155"/>
      <c r="G460" s="155"/>
      <c r="K460" s="255"/>
      <c r="N460" s="255"/>
      <c r="T460" s="256"/>
      <c r="Z460" s="257"/>
    </row>
    <row r="461" ht="15.75" customHeight="1">
      <c r="D461" s="155"/>
      <c r="G461" s="155"/>
      <c r="K461" s="255"/>
      <c r="N461" s="255"/>
      <c r="T461" s="256"/>
      <c r="Z461" s="257"/>
    </row>
    <row r="462" ht="15.75" customHeight="1">
      <c r="D462" s="155"/>
      <c r="G462" s="155"/>
      <c r="K462" s="255"/>
      <c r="N462" s="255"/>
      <c r="T462" s="256"/>
      <c r="Z462" s="257"/>
    </row>
    <row r="463" ht="15.75" customHeight="1">
      <c r="D463" s="155"/>
      <c r="G463" s="155"/>
      <c r="K463" s="255"/>
      <c r="N463" s="255"/>
      <c r="T463" s="256"/>
      <c r="Z463" s="257"/>
    </row>
    <row r="464" ht="15.75" customHeight="1">
      <c r="D464" s="155"/>
      <c r="G464" s="155"/>
      <c r="K464" s="255"/>
      <c r="N464" s="255"/>
      <c r="T464" s="256"/>
      <c r="Z464" s="257"/>
    </row>
    <row r="465" ht="15.75" customHeight="1">
      <c r="D465" s="155"/>
      <c r="G465" s="155"/>
      <c r="K465" s="255"/>
      <c r="N465" s="255"/>
      <c r="T465" s="256"/>
      <c r="Z465" s="257"/>
    </row>
    <row r="466" ht="15.75" customHeight="1">
      <c r="D466" s="155"/>
      <c r="G466" s="155"/>
      <c r="K466" s="255"/>
      <c r="N466" s="255"/>
      <c r="T466" s="256"/>
      <c r="Z466" s="257"/>
    </row>
    <row r="467" ht="15.75" customHeight="1">
      <c r="D467" s="155"/>
      <c r="G467" s="155"/>
      <c r="K467" s="255"/>
      <c r="N467" s="255"/>
      <c r="T467" s="256"/>
      <c r="Z467" s="257"/>
    </row>
    <row r="468" ht="15.75" customHeight="1">
      <c r="D468" s="155"/>
      <c r="G468" s="155"/>
      <c r="K468" s="255"/>
      <c r="N468" s="255"/>
      <c r="T468" s="256"/>
      <c r="Z468" s="257"/>
    </row>
    <row r="469" ht="15.75" customHeight="1">
      <c r="D469" s="155"/>
      <c r="G469" s="155"/>
      <c r="K469" s="255"/>
      <c r="N469" s="255"/>
      <c r="T469" s="256"/>
      <c r="Z469" s="257"/>
    </row>
    <row r="470" ht="15.75" customHeight="1">
      <c r="D470" s="155"/>
      <c r="G470" s="155"/>
      <c r="K470" s="255"/>
      <c r="N470" s="255"/>
      <c r="T470" s="256"/>
      <c r="Z470" s="257"/>
    </row>
    <row r="471" ht="15.75" customHeight="1">
      <c r="D471" s="155"/>
      <c r="G471" s="155"/>
      <c r="K471" s="255"/>
      <c r="N471" s="255"/>
      <c r="T471" s="256"/>
      <c r="Z471" s="257"/>
    </row>
    <row r="472" ht="15.75" customHeight="1">
      <c r="D472" s="155"/>
      <c r="G472" s="155"/>
      <c r="K472" s="255"/>
      <c r="N472" s="255"/>
      <c r="T472" s="256"/>
      <c r="Z472" s="257"/>
    </row>
    <row r="473" ht="15.75" customHeight="1">
      <c r="D473" s="155"/>
      <c r="G473" s="155"/>
      <c r="K473" s="255"/>
      <c r="N473" s="255"/>
      <c r="T473" s="256"/>
      <c r="Z473" s="257"/>
    </row>
    <row r="474" ht="15.75" customHeight="1">
      <c r="D474" s="155"/>
      <c r="G474" s="155"/>
      <c r="K474" s="255"/>
      <c r="N474" s="255"/>
      <c r="T474" s="256"/>
      <c r="Z474" s="257"/>
    </row>
    <row r="475" ht="15.75" customHeight="1">
      <c r="D475" s="155"/>
      <c r="G475" s="155"/>
      <c r="K475" s="255"/>
      <c r="N475" s="255"/>
      <c r="T475" s="256"/>
      <c r="Z475" s="257"/>
    </row>
    <row r="476" ht="15.75" customHeight="1">
      <c r="D476" s="155"/>
      <c r="G476" s="155"/>
      <c r="K476" s="255"/>
      <c r="N476" s="255"/>
      <c r="T476" s="256"/>
      <c r="Z476" s="257"/>
    </row>
    <row r="477" ht="15.75" customHeight="1">
      <c r="D477" s="155"/>
      <c r="G477" s="155"/>
      <c r="K477" s="255"/>
      <c r="N477" s="255"/>
      <c r="T477" s="256"/>
      <c r="Z477" s="257"/>
    </row>
    <row r="478" ht="15.75" customHeight="1">
      <c r="D478" s="155"/>
      <c r="G478" s="155"/>
      <c r="K478" s="255"/>
      <c r="N478" s="255"/>
      <c r="T478" s="256"/>
      <c r="Z478" s="257"/>
    </row>
    <row r="479" ht="15.75" customHeight="1">
      <c r="D479" s="155"/>
      <c r="G479" s="155"/>
      <c r="K479" s="255"/>
      <c r="N479" s="255"/>
      <c r="T479" s="256"/>
      <c r="Z479" s="257"/>
    </row>
    <row r="480" ht="15.75" customHeight="1">
      <c r="D480" s="155"/>
      <c r="G480" s="155"/>
      <c r="K480" s="255"/>
      <c r="N480" s="255"/>
      <c r="T480" s="256"/>
      <c r="Z480" s="257"/>
    </row>
    <row r="481" ht="15.75" customHeight="1">
      <c r="D481" s="155"/>
      <c r="G481" s="155"/>
      <c r="K481" s="255"/>
      <c r="N481" s="255"/>
      <c r="T481" s="256"/>
      <c r="Z481" s="257"/>
    </row>
    <row r="482" ht="15.75" customHeight="1">
      <c r="D482" s="155"/>
      <c r="G482" s="155"/>
      <c r="K482" s="255"/>
      <c r="N482" s="255"/>
      <c r="T482" s="256"/>
      <c r="Z482" s="257"/>
    </row>
    <row r="483" ht="15.75" customHeight="1">
      <c r="D483" s="155"/>
      <c r="G483" s="155"/>
      <c r="K483" s="255"/>
      <c r="N483" s="255"/>
      <c r="T483" s="256"/>
      <c r="Z483" s="257"/>
    </row>
    <row r="484" ht="15.75" customHeight="1">
      <c r="D484" s="155"/>
      <c r="G484" s="155"/>
      <c r="K484" s="255"/>
      <c r="N484" s="255"/>
      <c r="T484" s="256"/>
      <c r="Z484" s="257"/>
    </row>
    <row r="485" ht="15.75" customHeight="1">
      <c r="D485" s="155"/>
      <c r="G485" s="155"/>
      <c r="K485" s="255"/>
      <c r="N485" s="255"/>
      <c r="T485" s="256"/>
      <c r="Z485" s="257"/>
    </row>
    <row r="486" ht="15.75" customHeight="1">
      <c r="D486" s="155"/>
      <c r="G486" s="155"/>
      <c r="K486" s="255"/>
      <c r="N486" s="255"/>
      <c r="T486" s="256"/>
      <c r="Z486" s="257"/>
    </row>
    <row r="487" ht="15.75" customHeight="1">
      <c r="D487" s="155"/>
      <c r="G487" s="155"/>
      <c r="K487" s="255"/>
      <c r="N487" s="255"/>
      <c r="T487" s="256"/>
      <c r="Z487" s="257"/>
    </row>
    <row r="488" ht="15.75" customHeight="1">
      <c r="D488" s="155"/>
      <c r="G488" s="155"/>
      <c r="K488" s="255"/>
      <c r="N488" s="255"/>
      <c r="T488" s="256"/>
      <c r="Z488" s="257"/>
    </row>
    <row r="489" ht="15.75" customHeight="1">
      <c r="D489" s="155"/>
      <c r="G489" s="155"/>
      <c r="K489" s="255"/>
      <c r="N489" s="255"/>
      <c r="T489" s="256"/>
      <c r="Z489" s="257"/>
    </row>
    <row r="490" ht="15.75" customHeight="1">
      <c r="D490" s="155"/>
      <c r="G490" s="155"/>
      <c r="K490" s="255"/>
      <c r="N490" s="255"/>
      <c r="T490" s="256"/>
      <c r="Z490" s="257"/>
    </row>
    <row r="491" ht="15.75" customHeight="1">
      <c r="D491" s="155"/>
      <c r="G491" s="155"/>
      <c r="K491" s="255"/>
      <c r="N491" s="255"/>
      <c r="T491" s="256"/>
      <c r="Z491" s="257"/>
    </row>
    <row r="492" ht="15.75" customHeight="1">
      <c r="D492" s="155"/>
      <c r="G492" s="155"/>
      <c r="K492" s="255"/>
      <c r="N492" s="255"/>
      <c r="T492" s="256"/>
      <c r="Z492" s="257"/>
    </row>
    <row r="493" ht="15.75" customHeight="1">
      <c r="D493" s="155"/>
      <c r="G493" s="155"/>
      <c r="K493" s="255"/>
      <c r="N493" s="255"/>
      <c r="T493" s="256"/>
      <c r="Z493" s="257"/>
    </row>
    <row r="494" ht="15.75" customHeight="1">
      <c r="D494" s="155"/>
      <c r="G494" s="155"/>
      <c r="K494" s="255"/>
      <c r="N494" s="255"/>
      <c r="T494" s="256"/>
      <c r="Z494" s="257"/>
    </row>
    <row r="495" ht="15.75" customHeight="1">
      <c r="D495" s="155"/>
      <c r="G495" s="155"/>
      <c r="K495" s="255"/>
      <c r="N495" s="255"/>
      <c r="T495" s="256"/>
      <c r="Z495" s="257"/>
    </row>
    <row r="496" ht="15.75" customHeight="1">
      <c r="D496" s="155"/>
      <c r="G496" s="155"/>
      <c r="K496" s="255"/>
      <c r="N496" s="255"/>
      <c r="T496" s="256"/>
      <c r="Z496" s="257"/>
    </row>
    <row r="497" ht="15.75" customHeight="1">
      <c r="D497" s="155"/>
      <c r="G497" s="155"/>
      <c r="K497" s="255"/>
      <c r="N497" s="255"/>
      <c r="T497" s="256"/>
      <c r="Z497" s="257"/>
    </row>
    <row r="498" ht="15.75" customHeight="1">
      <c r="D498" s="155"/>
      <c r="G498" s="155"/>
      <c r="K498" s="255"/>
      <c r="N498" s="255"/>
      <c r="T498" s="256"/>
      <c r="Z498" s="257"/>
    </row>
    <row r="499" ht="15.75" customHeight="1">
      <c r="D499" s="155"/>
      <c r="G499" s="155"/>
      <c r="K499" s="255"/>
      <c r="N499" s="255"/>
      <c r="T499" s="256"/>
      <c r="Z499" s="257"/>
    </row>
    <row r="500" ht="15.75" customHeight="1">
      <c r="D500" s="155"/>
      <c r="G500" s="155"/>
      <c r="K500" s="255"/>
      <c r="N500" s="255"/>
      <c r="T500" s="256"/>
      <c r="Z500" s="257"/>
    </row>
    <row r="501" ht="15.75" customHeight="1">
      <c r="D501" s="155"/>
      <c r="G501" s="155"/>
      <c r="K501" s="255"/>
      <c r="N501" s="255"/>
      <c r="T501" s="256"/>
      <c r="Z501" s="257"/>
    </row>
    <row r="502" ht="15.75" customHeight="1">
      <c r="D502" s="155"/>
      <c r="G502" s="155"/>
      <c r="K502" s="255"/>
      <c r="N502" s="255"/>
      <c r="T502" s="256"/>
      <c r="Z502" s="257"/>
    </row>
    <row r="503" ht="15.75" customHeight="1">
      <c r="D503" s="155"/>
      <c r="G503" s="155"/>
      <c r="K503" s="255"/>
      <c r="N503" s="255"/>
      <c r="T503" s="256"/>
      <c r="Z503" s="257"/>
    </row>
    <row r="504" ht="15.75" customHeight="1">
      <c r="D504" s="155"/>
      <c r="G504" s="155"/>
      <c r="K504" s="255"/>
      <c r="N504" s="255"/>
      <c r="T504" s="256"/>
      <c r="Z504" s="257"/>
    </row>
    <row r="505" ht="15.75" customHeight="1">
      <c r="D505" s="155"/>
      <c r="G505" s="155"/>
      <c r="K505" s="255"/>
      <c r="N505" s="255"/>
      <c r="T505" s="256"/>
      <c r="Z505" s="257"/>
    </row>
    <row r="506" ht="15.75" customHeight="1">
      <c r="D506" s="155"/>
      <c r="G506" s="155"/>
      <c r="K506" s="255"/>
      <c r="N506" s="255"/>
      <c r="T506" s="256"/>
      <c r="Z506" s="257"/>
    </row>
    <row r="507" ht="15.75" customHeight="1">
      <c r="D507" s="155"/>
      <c r="G507" s="155"/>
      <c r="K507" s="255"/>
      <c r="N507" s="255"/>
      <c r="T507" s="256"/>
      <c r="Z507" s="257"/>
    </row>
    <row r="508" ht="15.75" customHeight="1">
      <c r="D508" s="155"/>
      <c r="G508" s="155"/>
      <c r="K508" s="255"/>
      <c r="N508" s="255"/>
      <c r="T508" s="256"/>
      <c r="Z508" s="257"/>
    </row>
    <row r="509" ht="15.75" customHeight="1">
      <c r="D509" s="155"/>
      <c r="G509" s="155"/>
      <c r="K509" s="255"/>
      <c r="N509" s="255"/>
      <c r="T509" s="256"/>
      <c r="Z509" s="257"/>
    </row>
    <row r="510" ht="15.75" customHeight="1">
      <c r="D510" s="155"/>
      <c r="G510" s="155"/>
      <c r="K510" s="255"/>
      <c r="N510" s="255"/>
      <c r="T510" s="256"/>
      <c r="Z510" s="257"/>
    </row>
    <row r="511" ht="15.75" customHeight="1">
      <c r="D511" s="155"/>
      <c r="G511" s="155"/>
      <c r="K511" s="255"/>
      <c r="N511" s="255"/>
      <c r="T511" s="256"/>
      <c r="Z511" s="257"/>
    </row>
    <row r="512" ht="15.75" customHeight="1">
      <c r="D512" s="155"/>
      <c r="G512" s="155"/>
      <c r="K512" s="255"/>
      <c r="N512" s="255"/>
      <c r="T512" s="256"/>
      <c r="Z512" s="257"/>
    </row>
    <row r="513" ht="15.75" customHeight="1">
      <c r="D513" s="155"/>
      <c r="G513" s="155"/>
      <c r="K513" s="255"/>
      <c r="N513" s="255"/>
      <c r="T513" s="256"/>
      <c r="Z513" s="257"/>
    </row>
    <row r="514" ht="15.75" customHeight="1">
      <c r="D514" s="155"/>
      <c r="G514" s="155"/>
      <c r="K514" s="255"/>
      <c r="N514" s="255"/>
      <c r="T514" s="256"/>
      <c r="Z514" s="257"/>
    </row>
    <row r="515" ht="15.75" customHeight="1">
      <c r="D515" s="155"/>
      <c r="G515" s="155"/>
      <c r="K515" s="255"/>
      <c r="N515" s="255"/>
      <c r="T515" s="256"/>
      <c r="Z515" s="257"/>
    </row>
    <row r="516" ht="15.75" customHeight="1">
      <c r="D516" s="155"/>
      <c r="G516" s="155"/>
      <c r="K516" s="255"/>
      <c r="N516" s="255"/>
      <c r="T516" s="256"/>
      <c r="Z516" s="257"/>
    </row>
    <row r="517" ht="15.75" customHeight="1">
      <c r="D517" s="155"/>
      <c r="G517" s="155"/>
      <c r="K517" s="255"/>
      <c r="N517" s="255"/>
      <c r="T517" s="256"/>
      <c r="Z517" s="257"/>
    </row>
    <row r="518" ht="15.75" customHeight="1">
      <c r="D518" s="155"/>
      <c r="G518" s="155"/>
      <c r="K518" s="255"/>
      <c r="N518" s="255"/>
      <c r="T518" s="256"/>
      <c r="Z518" s="257"/>
    </row>
    <row r="519" ht="15.75" customHeight="1">
      <c r="D519" s="155"/>
      <c r="G519" s="155"/>
      <c r="K519" s="255"/>
      <c r="N519" s="255"/>
      <c r="T519" s="256"/>
      <c r="Z519" s="257"/>
    </row>
    <row r="520" ht="15.75" customHeight="1">
      <c r="D520" s="155"/>
      <c r="G520" s="155"/>
      <c r="K520" s="255"/>
      <c r="N520" s="255"/>
      <c r="T520" s="256"/>
      <c r="Z520" s="257"/>
    </row>
    <row r="521" ht="15.75" customHeight="1">
      <c r="D521" s="155"/>
      <c r="G521" s="155"/>
      <c r="K521" s="255"/>
      <c r="N521" s="255"/>
      <c r="T521" s="256"/>
      <c r="Z521" s="257"/>
    </row>
    <row r="522" ht="15.75" customHeight="1">
      <c r="D522" s="155"/>
      <c r="G522" s="155"/>
      <c r="K522" s="255"/>
      <c r="N522" s="255"/>
      <c r="T522" s="256"/>
      <c r="Z522" s="257"/>
    </row>
    <row r="523" ht="15.75" customHeight="1">
      <c r="D523" s="155"/>
      <c r="G523" s="155"/>
      <c r="K523" s="255"/>
      <c r="N523" s="255"/>
      <c r="T523" s="256"/>
      <c r="Z523" s="257"/>
    </row>
    <row r="524" ht="15.75" customHeight="1">
      <c r="D524" s="155"/>
      <c r="G524" s="155"/>
      <c r="K524" s="255"/>
      <c r="N524" s="255"/>
      <c r="T524" s="256"/>
      <c r="Z524" s="257"/>
    </row>
    <row r="525" ht="15.75" customHeight="1">
      <c r="D525" s="155"/>
      <c r="G525" s="155"/>
      <c r="K525" s="255"/>
      <c r="N525" s="255"/>
      <c r="T525" s="256"/>
      <c r="Z525" s="257"/>
    </row>
    <row r="526" ht="15.75" customHeight="1">
      <c r="D526" s="155"/>
      <c r="G526" s="155"/>
      <c r="K526" s="255"/>
      <c r="N526" s="255"/>
      <c r="T526" s="256"/>
      <c r="Z526" s="257"/>
    </row>
    <row r="527" ht="15.75" customHeight="1">
      <c r="D527" s="155"/>
      <c r="G527" s="155"/>
      <c r="K527" s="255"/>
      <c r="N527" s="255"/>
      <c r="T527" s="256"/>
      <c r="Z527" s="257"/>
    </row>
    <row r="528" ht="15.75" customHeight="1">
      <c r="D528" s="155"/>
      <c r="G528" s="155"/>
      <c r="K528" s="255"/>
      <c r="N528" s="255"/>
      <c r="T528" s="256"/>
      <c r="Z528" s="257"/>
    </row>
    <row r="529" ht="15.75" customHeight="1">
      <c r="D529" s="155"/>
      <c r="G529" s="155"/>
      <c r="K529" s="255"/>
      <c r="N529" s="255"/>
      <c r="T529" s="256"/>
      <c r="Z529" s="257"/>
    </row>
    <row r="530" ht="15.75" customHeight="1">
      <c r="D530" s="155"/>
      <c r="G530" s="155"/>
      <c r="K530" s="255"/>
      <c r="N530" s="255"/>
      <c r="T530" s="256"/>
      <c r="Z530" s="257"/>
    </row>
    <row r="531" ht="15.75" customHeight="1">
      <c r="D531" s="155"/>
      <c r="G531" s="155"/>
      <c r="K531" s="255"/>
      <c r="N531" s="255"/>
      <c r="T531" s="256"/>
      <c r="Z531" s="257"/>
    </row>
    <row r="532" ht="15.75" customHeight="1">
      <c r="D532" s="155"/>
      <c r="G532" s="155"/>
      <c r="K532" s="255"/>
      <c r="N532" s="255"/>
      <c r="T532" s="256"/>
      <c r="Z532" s="257"/>
    </row>
    <row r="533" ht="15.75" customHeight="1">
      <c r="D533" s="155"/>
      <c r="G533" s="155"/>
      <c r="K533" s="255"/>
      <c r="N533" s="255"/>
      <c r="T533" s="256"/>
      <c r="Z533" s="257"/>
    </row>
    <row r="534" ht="15.75" customHeight="1">
      <c r="D534" s="155"/>
      <c r="G534" s="155"/>
      <c r="K534" s="255"/>
      <c r="N534" s="255"/>
      <c r="T534" s="256"/>
      <c r="Z534" s="257"/>
    </row>
    <row r="535" ht="15.75" customHeight="1">
      <c r="D535" s="155"/>
      <c r="G535" s="155"/>
      <c r="K535" s="255"/>
      <c r="N535" s="255"/>
      <c r="T535" s="256"/>
      <c r="Z535" s="257"/>
    </row>
    <row r="536" ht="15.75" customHeight="1">
      <c r="D536" s="155"/>
      <c r="G536" s="155"/>
      <c r="K536" s="255"/>
      <c r="N536" s="255"/>
      <c r="T536" s="256"/>
      <c r="Z536" s="257"/>
    </row>
    <row r="537" ht="15.75" customHeight="1">
      <c r="D537" s="155"/>
      <c r="G537" s="155"/>
      <c r="K537" s="255"/>
      <c r="N537" s="255"/>
      <c r="T537" s="256"/>
      <c r="Z537" s="257"/>
    </row>
    <row r="538" ht="15.75" customHeight="1">
      <c r="D538" s="155"/>
      <c r="G538" s="155"/>
      <c r="K538" s="255"/>
      <c r="N538" s="255"/>
      <c r="T538" s="256"/>
      <c r="Z538" s="257"/>
    </row>
    <row r="539" ht="15.75" customHeight="1">
      <c r="D539" s="155"/>
      <c r="G539" s="155"/>
      <c r="K539" s="255"/>
      <c r="N539" s="255"/>
      <c r="T539" s="256"/>
      <c r="Z539" s="257"/>
    </row>
    <row r="540" ht="15.75" customHeight="1">
      <c r="D540" s="155"/>
      <c r="G540" s="155"/>
      <c r="K540" s="255"/>
      <c r="N540" s="255"/>
      <c r="T540" s="256"/>
      <c r="Z540" s="257"/>
    </row>
    <row r="541" ht="15.75" customHeight="1">
      <c r="D541" s="155"/>
      <c r="G541" s="155"/>
      <c r="K541" s="255"/>
      <c r="N541" s="255"/>
      <c r="T541" s="256"/>
      <c r="Z541" s="257"/>
    </row>
    <row r="542" ht="15.75" customHeight="1">
      <c r="D542" s="155"/>
      <c r="G542" s="155"/>
      <c r="K542" s="255"/>
      <c r="N542" s="255"/>
      <c r="T542" s="256"/>
      <c r="Z542" s="257"/>
    </row>
    <row r="543" ht="15.75" customHeight="1">
      <c r="D543" s="155"/>
      <c r="G543" s="155"/>
      <c r="K543" s="255"/>
      <c r="N543" s="255"/>
      <c r="T543" s="256"/>
      <c r="Z543" s="257"/>
    </row>
    <row r="544" ht="15.75" customHeight="1">
      <c r="D544" s="155"/>
      <c r="G544" s="155"/>
      <c r="K544" s="255"/>
      <c r="N544" s="255"/>
      <c r="T544" s="256"/>
      <c r="Z544" s="257"/>
    </row>
    <row r="545" ht="15.75" customHeight="1">
      <c r="D545" s="155"/>
      <c r="G545" s="155"/>
      <c r="K545" s="255"/>
      <c r="N545" s="255"/>
      <c r="T545" s="256"/>
      <c r="Z545" s="257"/>
    </row>
    <row r="546" ht="15.75" customHeight="1">
      <c r="D546" s="155"/>
      <c r="G546" s="155"/>
      <c r="K546" s="255"/>
      <c r="N546" s="255"/>
      <c r="T546" s="256"/>
      <c r="Z546" s="257"/>
    </row>
    <row r="547" ht="15.75" customHeight="1">
      <c r="D547" s="155"/>
      <c r="G547" s="155"/>
      <c r="K547" s="255"/>
      <c r="N547" s="255"/>
      <c r="T547" s="256"/>
      <c r="Z547" s="257"/>
    </row>
    <row r="548" ht="15.75" customHeight="1">
      <c r="D548" s="155"/>
      <c r="G548" s="155"/>
      <c r="K548" s="255"/>
      <c r="N548" s="255"/>
      <c r="T548" s="256"/>
      <c r="Z548" s="257"/>
    </row>
    <row r="549" ht="15.75" customHeight="1">
      <c r="D549" s="155"/>
      <c r="G549" s="155"/>
      <c r="K549" s="255"/>
      <c r="N549" s="255"/>
      <c r="T549" s="256"/>
      <c r="Z549" s="257"/>
    </row>
    <row r="550" ht="15.75" customHeight="1">
      <c r="D550" s="155"/>
      <c r="G550" s="155"/>
      <c r="K550" s="255"/>
      <c r="N550" s="255"/>
      <c r="T550" s="256"/>
      <c r="Z550" s="257"/>
    </row>
    <row r="551" ht="15.75" customHeight="1">
      <c r="D551" s="155"/>
      <c r="G551" s="155"/>
      <c r="K551" s="255"/>
      <c r="N551" s="255"/>
      <c r="T551" s="256"/>
      <c r="Z551" s="257"/>
    </row>
    <row r="552" ht="15.75" customHeight="1">
      <c r="D552" s="155"/>
      <c r="G552" s="155"/>
      <c r="K552" s="255"/>
      <c r="N552" s="255"/>
      <c r="T552" s="256"/>
      <c r="Z552" s="257"/>
    </row>
    <row r="553" ht="15.75" customHeight="1">
      <c r="D553" s="155"/>
      <c r="G553" s="155"/>
      <c r="K553" s="255"/>
      <c r="N553" s="255"/>
      <c r="T553" s="256"/>
      <c r="Z553" s="257"/>
    </row>
    <row r="554" ht="15.75" customHeight="1">
      <c r="D554" s="155"/>
      <c r="G554" s="155"/>
      <c r="K554" s="255"/>
      <c r="N554" s="255"/>
      <c r="T554" s="256"/>
      <c r="Z554" s="257"/>
    </row>
    <row r="555" ht="15.75" customHeight="1">
      <c r="D555" s="155"/>
      <c r="G555" s="155"/>
      <c r="K555" s="255"/>
      <c r="N555" s="255"/>
      <c r="T555" s="256"/>
      <c r="Z555" s="257"/>
    </row>
    <row r="556" ht="15.75" customHeight="1">
      <c r="D556" s="155"/>
      <c r="G556" s="155"/>
      <c r="K556" s="255"/>
      <c r="N556" s="255"/>
      <c r="T556" s="256"/>
      <c r="Z556" s="257"/>
    </row>
    <row r="557" ht="15.75" customHeight="1">
      <c r="D557" s="155"/>
      <c r="G557" s="155"/>
      <c r="K557" s="255"/>
      <c r="N557" s="255"/>
      <c r="T557" s="256"/>
      <c r="Z557" s="257"/>
    </row>
    <row r="558" ht="15.75" customHeight="1">
      <c r="D558" s="155"/>
      <c r="G558" s="155"/>
      <c r="K558" s="255"/>
      <c r="N558" s="255"/>
      <c r="T558" s="256"/>
      <c r="Z558" s="257"/>
    </row>
    <row r="559" ht="15.75" customHeight="1">
      <c r="D559" s="155"/>
      <c r="G559" s="155"/>
      <c r="K559" s="255"/>
      <c r="N559" s="255"/>
      <c r="T559" s="256"/>
      <c r="Z559" s="257"/>
    </row>
    <row r="560" ht="15.75" customHeight="1">
      <c r="D560" s="155"/>
      <c r="G560" s="155"/>
      <c r="K560" s="255"/>
      <c r="N560" s="255"/>
      <c r="T560" s="256"/>
      <c r="Z560" s="257"/>
    </row>
    <row r="561" ht="15.75" customHeight="1">
      <c r="D561" s="155"/>
      <c r="G561" s="155"/>
      <c r="K561" s="255"/>
      <c r="N561" s="255"/>
      <c r="T561" s="256"/>
      <c r="Z561" s="257"/>
    </row>
    <row r="562" ht="15.75" customHeight="1">
      <c r="D562" s="155"/>
      <c r="G562" s="155"/>
      <c r="K562" s="255"/>
      <c r="N562" s="255"/>
      <c r="T562" s="256"/>
      <c r="Z562" s="257"/>
    </row>
    <row r="563" ht="15.75" customHeight="1">
      <c r="D563" s="155"/>
      <c r="G563" s="155"/>
      <c r="K563" s="255"/>
      <c r="N563" s="255"/>
      <c r="T563" s="256"/>
      <c r="Z563" s="257"/>
    </row>
    <row r="564" ht="15.75" customHeight="1">
      <c r="D564" s="155"/>
      <c r="G564" s="155"/>
      <c r="K564" s="255"/>
      <c r="N564" s="255"/>
      <c r="T564" s="256"/>
      <c r="Z564" s="257"/>
    </row>
    <row r="565" ht="15.75" customHeight="1">
      <c r="D565" s="155"/>
      <c r="G565" s="155"/>
      <c r="K565" s="255"/>
      <c r="N565" s="255"/>
      <c r="T565" s="256"/>
      <c r="Z565" s="257"/>
    </row>
    <row r="566" ht="15.75" customHeight="1">
      <c r="D566" s="155"/>
      <c r="G566" s="155"/>
      <c r="K566" s="255"/>
      <c r="N566" s="255"/>
      <c r="T566" s="256"/>
      <c r="Z566" s="257"/>
    </row>
    <row r="567" ht="15.75" customHeight="1">
      <c r="D567" s="155"/>
      <c r="G567" s="155"/>
      <c r="K567" s="255"/>
      <c r="N567" s="255"/>
      <c r="T567" s="256"/>
      <c r="Z567" s="257"/>
    </row>
    <row r="568" ht="15.75" customHeight="1">
      <c r="D568" s="155"/>
      <c r="G568" s="155"/>
      <c r="K568" s="255"/>
      <c r="N568" s="255"/>
      <c r="T568" s="256"/>
      <c r="Z568" s="257"/>
    </row>
    <row r="569" ht="15.75" customHeight="1">
      <c r="D569" s="155"/>
      <c r="G569" s="155"/>
      <c r="K569" s="255"/>
      <c r="N569" s="255"/>
      <c r="T569" s="256"/>
      <c r="Z569" s="257"/>
    </row>
    <row r="570" ht="15.75" customHeight="1">
      <c r="D570" s="155"/>
      <c r="G570" s="155"/>
      <c r="K570" s="255"/>
      <c r="N570" s="255"/>
      <c r="T570" s="256"/>
      <c r="Z570" s="257"/>
    </row>
    <row r="571" ht="15.75" customHeight="1">
      <c r="D571" s="155"/>
      <c r="G571" s="155"/>
      <c r="K571" s="255"/>
      <c r="N571" s="255"/>
      <c r="T571" s="256"/>
      <c r="Z571" s="257"/>
    </row>
    <row r="572" ht="15.75" customHeight="1">
      <c r="D572" s="155"/>
      <c r="G572" s="155"/>
      <c r="K572" s="255"/>
      <c r="N572" s="255"/>
      <c r="T572" s="256"/>
      <c r="Z572" s="257"/>
    </row>
    <row r="573" ht="15.75" customHeight="1">
      <c r="D573" s="155"/>
      <c r="G573" s="155"/>
      <c r="K573" s="255"/>
      <c r="N573" s="255"/>
      <c r="T573" s="256"/>
      <c r="Z573" s="257"/>
    </row>
    <row r="574" ht="15.75" customHeight="1">
      <c r="D574" s="155"/>
      <c r="G574" s="155"/>
      <c r="K574" s="255"/>
      <c r="N574" s="255"/>
      <c r="T574" s="256"/>
      <c r="Z574" s="257"/>
    </row>
    <row r="575" ht="15.75" customHeight="1">
      <c r="D575" s="155"/>
      <c r="G575" s="155"/>
      <c r="K575" s="255"/>
      <c r="N575" s="255"/>
      <c r="T575" s="256"/>
      <c r="Z575" s="257"/>
    </row>
    <row r="576" ht="15.75" customHeight="1">
      <c r="D576" s="155"/>
      <c r="G576" s="155"/>
      <c r="K576" s="255"/>
      <c r="N576" s="255"/>
      <c r="T576" s="256"/>
      <c r="Z576" s="257"/>
    </row>
    <row r="577" ht="15.75" customHeight="1">
      <c r="D577" s="155"/>
      <c r="G577" s="155"/>
      <c r="K577" s="255"/>
      <c r="N577" s="255"/>
      <c r="T577" s="256"/>
      <c r="Z577" s="257"/>
    </row>
    <row r="578" ht="15.75" customHeight="1">
      <c r="D578" s="155"/>
      <c r="G578" s="155"/>
      <c r="K578" s="255"/>
      <c r="N578" s="255"/>
      <c r="T578" s="256"/>
      <c r="Z578" s="257"/>
    </row>
    <row r="579" ht="15.75" customHeight="1">
      <c r="D579" s="155"/>
      <c r="G579" s="155"/>
      <c r="K579" s="255"/>
      <c r="N579" s="255"/>
      <c r="T579" s="256"/>
      <c r="Z579" s="257"/>
    </row>
    <row r="580" ht="15.75" customHeight="1">
      <c r="D580" s="155"/>
      <c r="G580" s="155"/>
      <c r="K580" s="255"/>
      <c r="N580" s="255"/>
      <c r="T580" s="256"/>
      <c r="Z580" s="257"/>
    </row>
    <row r="581" ht="15.75" customHeight="1">
      <c r="D581" s="155"/>
      <c r="G581" s="155"/>
      <c r="K581" s="255"/>
      <c r="N581" s="255"/>
      <c r="T581" s="256"/>
      <c r="Z581" s="257"/>
    </row>
    <row r="582" ht="15.75" customHeight="1">
      <c r="D582" s="155"/>
      <c r="G582" s="155"/>
      <c r="K582" s="255"/>
      <c r="N582" s="255"/>
      <c r="T582" s="256"/>
      <c r="Z582" s="257"/>
    </row>
    <row r="583" ht="15.75" customHeight="1">
      <c r="D583" s="155"/>
      <c r="G583" s="155"/>
      <c r="K583" s="255"/>
      <c r="N583" s="255"/>
      <c r="T583" s="256"/>
      <c r="Z583" s="257"/>
    </row>
    <row r="584" ht="15.75" customHeight="1">
      <c r="D584" s="155"/>
      <c r="G584" s="155"/>
      <c r="K584" s="255"/>
      <c r="N584" s="255"/>
      <c r="T584" s="256"/>
      <c r="Z584" s="257"/>
    </row>
    <row r="585" ht="15.75" customHeight="1">
      <c r="D585" s="155"/>
      <c r="G585" s="155"/>
      <c r="K585" s="255"/>
      <c r="N585" s="255"/>
      <c r="T585" s="256"/>
      <c r="Z585" s="257"/>
    </row>
    <row r="586" ht="15.75" customHeight="1">
      <c r="D586" s="155"/>
      <c r="G586" s="155"/>
      <c r="K586" s="255"/>
      <c r="N586" s="255"/>
      <c r="T586" s="256"/>
      <c r="Z586" s="257"/>
    </row>
    <row r="587" ht="15.75" customHeight="1">
      <c r="D587" s="155"/>
      <c r="G587" s="155"/>
      <c r="K587" s="255"/>
      <c r="N587" s="255"/>
      <c r="T587" s="256"/>
      <c r="Z587" s="257"/>
    </row>
    <row r="588" ht="15.75" customHeight="1">
      <c r="D588" s="155"/>
      <c r="G588" s="155"/>
      <c r="K588" s="255"/>
      <c r="N588" s="255"/>
      <c r="T588" s="256"/>
      <c r="Z588" s="257"/>
    </row>
    <row r="589" ht="15.75" customHeight="1">
      <c r="D589" s="155"/>
      <c r="G589" s="155"/>
      <c r="K589" s="255"/>
      <c r="N589" s="255"/>
      <c r="T589" s="256"/>
      <c r="Z589" s="257"/>
    </row>
    <row r="590" ht="15.75" customHeight="1">
      <c r="D590" s="155"/>
      <c r="G590" s="155"/>
      <c r="K590" s="255"/>
      <c r="N590" s="255"/>
      <c r="T590" s="256"/>
      <c r="Z590" s="257"/>
    </row>
    <row r="591" ht="15.75" customHeight="1">
      <c r="D591" s="155"/>
      <c r="G591" s="155"/>
      <c r="K591" s="255"/>
      <c r="N591" s="255"/>
      <c r="T591" s="256"/>
      <c r="Z591" s="257"/>
    </row>
    <row r="592" ht="15.75" customHeight="1">
      <c r="D592" s="155"/>
      <c r="G592" s="155"/>
      <c r="K592" s="255"/>
      <c r="N592" s="255"/>
      <c r="T592" s="256"/>
      <c r="Z592" s="257"/>
    </row>
    <row r="593" ht="15.75" customHeight="1">
      <c r="D593" s="155"/>
      <c r="G593" s="155"/>
      <c r="K593" s="255"/>
      <c r="N593" s="255"/>
      <c r="T593" s="256"/>
      <c r="Z593" s="257"/>
    </row>
    <row r="594" ht="15.75" customHeight="1">
      <c r="D594" s="155"/>
      <c r="G594" s="155"/>
      <c r="K594" s="255"/>
      <c r="N594" s="255"/>
      <c r="T594" s="256"/>
      <c r="Z594" s="257"/>
    </row>
    <row r="595" ht="15.75" customHeight="1">
      <c r="D595" s="155"/>
      <c r="G595" s="155"/>
      <c r="K595" s="255"/>
      <c r="N595" s="255"/>
      <c r="T595" s="256"/>
      <c r="Z595" s="257"/>
    </row>
    <row r="596" ht="15.75" customHeight="1">
      <c r="D596" s="155"/>
      <c r="G596" s="155"/>
      <c r="K596" s="255"/>
      <c r="N596" s="255"/>
      <c r="T596" s="256"/>
      <c r="Z596" s="257"/>
    </row>
    <row r="597" ht="15.75" customHeight="1">
      <c r="D597" s="155"/>
      <c r="G597" s="155"/>
      <c r="K597" s="255"/>
      <c r="N597" s="255"/>
      <c r="T597" s="256"/>
      <c r="Z597" s="257"/>
    </row>
    <row r="598" ht="15.75" customHeight="1">
      <c r="D598" s="155"/>
      <c r="G598" s="155"/>
      <c r="K598" s="255"/>
      <c r="N598" s="255"/>
      <c r="T598" s="256"/>
      <c r="Z598" s="257"/>
    </row>
    <row r="599" ht="15.75" customHeight="1">
      <c r="D599" s="155"/>
      <c r="G599" s="155"/>
      <c r="K599" s="255"/>
      <c r="N599" s="255"/>
      <c r="T599" s="256"/>
      <c r="Z599" s="257"/>
    </row>
    <row r="600" ht="15.75" customHeight="1">
      <c r="D600" s="155"/>
      <c r="G600" s="155"/>
      <c r="K600" s="255"/>
      <c r="N600" s="255"/>
      <c r="T600" s="256"/>
      <c r="Z600" s="257"/>
    </row>
    <row r="601" ht="15.75" customHeight="1">
      <c r="D601" s="155"/>
      <c r="G601" s="155"/>
      <c r="K601" s="255"/>
      <c r="N601" s="255"/>
      <c r="T601" s="256"/>
      <c r="Z601" s="257"/>
    </row>
    <row r="602" ht="15.75" customHeight="1">
      <c r="D602" s="155"/>
      <c r="G602" s="155"/>
      <c r="K602" s="255"/>
      <c r="N602" s="255"/>
      <c r="T602" s="256"/>
      <c r="Z602" s="257"/>
    </row>
    <row r="603" ht="15.75" customHeight="1">
      <c r="D603" s="155"/>
      <c r="G603" s="155"/>
      <c r="K603" s="255"/>
      <c r="N603" s="255"/>
      <c r="T603" s="256"/>
      <c r="Z603" s="257"/>
    </row>
    <row r="604" ht="15.75" customHeight="1">
      <c r="D604" s="155"/>
      <c r="G604" s="155"/>
      <c r="K604" s="255"/>
      <c r="N604" s="255"/>
      <c r="T604" s="256"/>
      <c r="Z604" s="257"/>
    </row>
    <row r="605" ht="15.75" customHeight="1">
      <c r="D605" s="155"/>
      <c r="G605" s="155"/>
      <c r="K605" s="255"/>
      <c r="N605" s="255"/>
      <c r="T605" s="256"/>
      <c r="Z605" s="257"/>
    </row>
    <row r="606" ht="15.75" customHeight="1">
      <c r="D606" s="155"/>
      <c r="G606" s="155"/>
      <c r="K606" s="255"/>
      <c r="N606" s="255"/>
      <c r="T606" s="256"/>
      <c r="Z606" s="257"/>
    </row>
    <row r="607" ht="15.75" customHeight="1">
      <c r="D607" s="155"/>
      <c r="G607" s="155"/>
      <c r="K607" s="255"/>
      <c r="N607" s="255"/>
      <c r="T607" s="256"/>
      <c r="Z607" s="257"/>
    </row>
    <row r="608" ht="15.75" customHeight="1">
      <c r="D608" s="155"/>
      <c r="G608" s="155"/>
      <c r="K608" s="255"/>
      <c r="N608" s="255"/>
      <c r="T608" s="256"/>
      <c r="Z608" s="257"/>
    </row>
    <row r="609" ht="15.75" customHeight="1">
      <c r="D609" s="155"/>
      <c r="G609" s="155"/>
      <c r="K609" s="255"/>
      <c r="N609" s="255"/>
      <c r="T609" s="256"/>
      <c r="Z609" s="257"/>
    </row>
    <row r="610" ht="15.75" customHeight="1">
      <c r="D610" s="155"/>
      <c r="G610" s="155"/>
      <c r="K610" s="255"/>
      <c r="N610" s="255"/>
      <c r="T610" s="256"/>
      <c r="Z610" s="257"/>
    </row>
    <row r="611" ht="15.75" customHeight="1">
      <c r="D611" s="155"/>
      <c r="G611" s="155"/>
      <c r="K611" s="255"/>
      <c r="N611" s="255"/>
      <c r="T611" s="256"/>
      <c r="Z611" s="257"/>
    </row>
    <row r="612" ht="15.75" customHeight="1">
      <c r="D612" s="155"/>
      <c r="G612" s="155"/>
      <c r="K612" s="255"/>
      <c r="N612" s="255"/>
      <c r="T612" s="256"/>
      <c r="Z612" s="257"/>
    </row>
    <row r="613" ht="15.75" customHeight="1">
      <c r="D613" s="155"/>
      <c r="G613" s="155"/>
      <c r="K613" s="255"/>
      <c r="N613" s="255"/>
      <c r="T613" s="256"/>
      <c r="Z613" s="257"/>
    </row>
    <row r="614" ht="15.75" customHeight="1">
      <c r="D614" s="155"/>
      <c r="G614" s="155"/>
      <c r="K614" s="255"/>
      <c r="N614" s="255"/>
      <c r="T614" s="256"/>
      <c r="Z614" s="257"/>
    </row>
    <row r="615" ht="15.75" customHeight="1">
      <c r="D615" s="155"/>
      <c r="G615" s="155"/>
      <c r="K615" s="255"/>
      <c r="N615" s="255"/>
      <c r="T615" s="256"/>
      <c r="Z615" s="257"/>
    </row>
    <row r="616" ht="15.75" customHeight="1">
      <c r="D616" s="155"/>
      <c r="G616" s="155"/>
      <c r="K616" s="255"/>
      <c r="N616" s="255"/>
      <c r="T616" s="256"/>
      <c r="Z616" s="257"/>
    </row>
    <row r="617" ht="15.75" customHeight="1">
      <c r="D617" s="155"/>
      <c r="G617" s="155"/>
      <c r="K617" s="255"/>
      <c r="N617" s="255"/>
      <c r="T617" s="256"/>
      <c r="Z617" s="257"/>
    </row>
    <row r="618" ht="15.75" customHeight="1">
      <c r="D618" s="155"/>
      <c r="G618" s="155"/>
      <c r="K618" s="255"/>
      <c r="N618" s="255"/>
      <c r="T618" s="256"/>
      <c r="Z618" s="257"/>
    </row>
    <row r="619" ht="15.75" customHeight="1">
      <c r="D619" s="155"/>
      <c r="G619" s="155"/>
      <c r="K619" s="255"/>
      <c r="N619" s="255"/>
      <c r="T619" s="256"/>
      <c r="Z619" s="257"/>
    </row>
    <row r="620" ht="15.75" customHeight="1">
      <c r="D620" s="155"/>
      <c r="G620" s="155"/>
      <c r="K620" s="255"/>
      <c r="N620" s="255"/>
      <c r="T620" s="256"/>
      <c r="Z620" s="257"/>
    </row>
    <row r="621" ht="15.75" customHeight="1">
      <c r="D621" s="155"/>
      <c r="G621" s="155"/>
      <c r="K621" s="255"/>
      <c r="N621" s="255"/>
      <c r="T621" s="256"/>
      <c r="Z621" s="257"/>
    </row>
    <row r="622" ht="15.75" customHeight="1">
      <c r="D622" s="155"/>
      <c r="G622" s="155"/>
      <c r="K622" s="255"/>
      <c r="N622" s="255"/>
      <c r="T622" s="256"/>
      <c r="Z622" s="257"/>
    </row>
    <row r="623" ht="15.75" customHeight="1">
      <c r="D623" s="155"/>
      <c r="G623" s="155"/>
      <c r="K623" s="255"/>
      <c r="N623" s="255"/>
      <c r="T623" s="256"/>
      <c r="Z623" s="257"/>
    </row>
    <row r="624" ht="15.75" customHeight="1">
      <c r="D624" s="155"/>
      <c r="G624" s="155"/>
      <c r="K624" s="255"/>
      <c r="N624" s="255"/>
      <c r="T624" s="256"/>
      <c r="Z624" s="257"/>
    </row>
    <row r="625" ht="15.75" customHeight="1">
      <c r="D625" s="155"/>
      <c r="G625" s="155"/>
      <c r="K625" s="255"/>
      <c r="N625" s="255"/>
      <c r="T625" s="256"/>
      <c r="Z625" s="257"/>
    </row>
    <row r="626" ht="15.75" customHeight="1">
      <c r="D626" s="155"/>
      <c r="G626" s="155"/>
      <c r="K626" s="255"/>
      <c r="N626" s="255"/>
      <c r="T626" s="256"/>
      <c r="Z626" s="257"/>
    </row>
    <row r="627" ht="15.75" customHeight="1">
      <c r="D627" s="155"/>
      <c r="G627" s="155"/>
      <c r="K627" s="255"/>
      <c r="N627" s="255"/>
      <c r="T627" s="256"/>
      <c r="Z627" s="257"/>
    </row>
    <row r="628" ht="15.75" customHeight="1">
      <c r="D628" s="155"/>
      <c r="G628" s="155"/>
      <c r="K628" s="255"/>
      <c r="N628" s="255"/>
      <c r="T628" s="256"/>
      <c r="Z628" s="257"/>
    </row>
    <row r="629" ht="15.75" customHeight="1">
      <c r="D629" s="155"/>
      <c r="G629" s="155"/>
      <c r="K629" s="255"/>
      <c r="N629" s="255"/>
      <c r="T629" s="256"/>
      <c r="Z629" s="257"/>
    </row>
    <row r="630" ht="15.75" customHeight="1">
      <c r="D630" s="155"/>
      <c r="G630" s="155"/>
      <c r="K630" s="255"/>
      <c r="N630" s="255"/>
      <c r="T630" s="256"/>
      <c r="Z630" s="257"/>
    </row>
    <row r="631" ht="15.75" customHeight="1">
      <c r="D631" s="155"/>
      <c r="G631" s="155"/>
      <c r="K631" s="255"/>
      <c r="N631" s="255"/>
      <c r="T631" s="256"/>
      <c r="Z631" s="257"/>
    </row>
    <row r="632" ht="15.75" customHeight="1">
      <c r="D632" s="155"/>
      <c r="G632" s="155"/>
      <c r="K632" s="255"/>
      <c r="N632" s="255"/>
      <c r="T632" s="256"/>
      <c r="Z632" s="257"/>
    </row>
    <row r="633" ht="15.75" customHeight="1">
      <c r="D633" s="155"/>
      <c r="G633" s="155"/>
      <c r="K633" s="255"/>
      <c r="N633" s="255"/>
      <c r="T633" s="256"/>
      <c r="Z633" s="257"/>
    </row>
    <row r="634" ht="15.75" customHeight="1">
      <c r="D634" s="155"/>
      <c r="G634" s="155"/>
      <c r="K634" s="255"/>
      <c r="N634" s="255"/>
      <c r="T634" s="256"/>
      <c r="Z634" s="257"/>
    </row>
    <row r="635" ht="15.75" customHeight="1">
      <c r="D635" s="155"/>
      <c r="G635" s="155"/>
      <c r="K635" s="255"/>
      <c r="N635" s="255"/>
      <c r="T635" s="256"/>
      <c r="Z635" s="257"/>
    </row>
    <row r="636" ht="15.75" customHeight="1">
      <c r="D636" s="155"/>
      <c r="G636" s="155"/>
      <c r="K636" s="255"/>
      <c r="N636" s="255"/>
      <c r="T636" s="256"/>
      <c r="Z636" s="257"/>
    </row>
    <row r="637" ht="15.75" customHeight="1">
      <c r="D637" s="155"/>
      <c r="G637" s="155"/>
      <c r="K637" s="255"/>
      <c r="N637" s="255"/>
      <c r="T637" s="256"/>
      <c r="Z637" s="257"/>
    </row>
    <row r="638" ht="15.75" customHeight="1">
      <c r="D638" s="155"/>
      <c r="G638" s="155"/>
      <c r="K638" s="255"/>
      <c r="N638" s="255"/>
      <c r="T638" s="256"/>
      <c r="Z638" s="257"/>
    </row>
    <row r="639" ht="15.75" customHeight="1">
      <c r="D639" s="155"/>
      <c r="G639" s="155"/>
      <c r="K639" s="255"/>
      <c r="N639" s="255"/>
      <c r="T639" s="256"/>
      <c r="Z639" s="257"/>
    </row>
    <row r="640" ht="15.75" customHeight="1">
      <c r="D640" s="155"/>
      <c r="G640" s="155"/>
      <c r="K640" s="255"/>
      <c r="N640" s="255"/>
      <c r="T640" s="256"/>
      <c r="Z640" s="257"/>
    </row>
    <row r="641" ht="15.75" customHeight="1">
      <c r="D641" s="155"/>
      <c r="G641" s="155"/>
      <c r="K641" s="255"/>
      <c r="N641" s="255"/>
      <c r="T641" s="256"/>
      <c r="Z641" s="257"/>
    </row>
    <row r="642" ht="15.75" customHeight="1">
      <c r="D642" s="155"/>
      <c r="G642" s="155"/>
      <c r="K642" s="255"/>
      <c r="N642" s="255"/>
      <c r="T642" s="256"/>
      <c r="Z642" s="257"/>
    </row>
    <row r="643" ht="15.75" customHeight="1">
      <c r="D643" s="155"/>
      <c r="G643" s="155"/>
      <c r="K643" s="255"/>
      <c r="N643" s="255"/>
      <c r="T643" s="256"/>
      <c r="Z643" s="257"/>
    </row>
    <row r="644" ht="15.75" customHeight="1">
      <c r="D644" s="155"/>
      <c r="G644" s="155"/>
      <c r="K644" s="255"/>
      <c r="N644" s="255"/>
      <c r="T644" s="256"/>
      <c r="Z644" s="257"/>
    </row>
    <row r="645" ht="15.75" customHeight="1">
      <c r="D645" s="155"/>
      <c r="G645" s="155"/>
      <c r="K645" s="255"/>
      <c r="N645" s="255"/>
      <c r="T645" s="256"/>
      <c r="Z645" s="257"/>
    </row>
    <row r="646" ht="15.75" customHeight="1">
      <c r="D646" s="155"/>
      <c r="G646" s="155"/>
      <c r="K646" s="255"/>
      <c r="N646" s="255"/>
      <c r="T646" s="256"/>
      <c r="Z646" s="257"/>
    </row>
    <row r="647" ht="15.75" customHeight="1">
      <c r="D647" s="155"/>
      <c r="G647" s="155"/>
      <c r="K647" s="255"/>
      <c r="N647" s="255"/>
      <c r="T647" s="256"/>
      <c r="Z647" s="257"/>
    </row>
    <row r="648" ht="15.75" customHeight="1">
      <c r="D648" s="155"/>
      <c r="G648" s="155"/>
      <c r="K648" s="255"/>
      <c r="N648" s="255"/>
      <c r="T648" s="256"/>
      <c r="Z648" s="257"/>
    </row>
    <row r="649" ht="15.75" customHeight="1">
      <c r="D649" s="155"/>
      <c r="G649" s="155"/>
      <c r="K649" s="255"/>
      <c r="N649" s="255"/>
      <c r="T649" s="256"/>
      <c r="Z649" s="257"/>
    </row>
    <row r="650" ht="15.75" customHeight="1">
      <c r="D650" s="155"/>
      <c r="G650" s="155"/>
      <c r="K650" s="255"/>
      <c r="N650" s="255"/>
      <c r="T650" s="256"/>
      <c r="Z650" s="257"/>
    </row>
    <row r="651" ht="15.75" customHeight="1">
      <c r="D651" s="155"/>
      <c r="G651" s="155"/>
      <c r="K651" s="255"/>
      <c r="N651" s="255"/>
      <c r="T651" s="256"/>
      <c r="Z651" s="257"/>
    </row>
    <row r="652" ht="15.75" customHeight="1">
      <c r="D652" s="155"/>
      <c r="G652" s="155"/>
      <c r="K652" s="255"/>
      <c r="N652" s="255"/>
      <c r="T652" s="256"/>
      <c r="Z652" s="257"/>
    </row>
    <row r="653" ht="15.75" customHeight="1">
      <c r="D653" s="155"/>
      <c r="G653" s="155"/>
      <c r="K653" s="255"/>
      <c r="N653" s="255"/>
      <c r="T653" s="256"/>
      <c r="Z653" s="257"/>
    </row>
    <row r="654" ht="15.75" customHeight="1">
      <c r="D654" s="155"/>
      <c r="G654" s="155"/>
      <c r="K654" s="255"/>
      <c r="N654" s="255"/>
      <c r="T654" s="256"/>
      <c r="Z654" s="257"/>
    </row>
    <row r="655" ht="15.75" customHeight="1">
      <c r="D655" s="155"/>
      <c r="G655" s="155"/>
      <c r="K655" s="255"/>
      <c r="N655" s="255"/>
      <c r="T655" s="256"/>
      <c r="Z655" s="257"/>
    </row>
    <row r="656" ht="15.75" customHeight="1">
      <c r="D656" s="155"/>
      <c r="G656" s="155"/>
      <c r="K656" s="255"/>
      <c r="N656" s="255"/>
      <c r="T656" s="256"/>
      <c r="Z656" s="257"/>
    </row>
    <row r="657" ht="15.75" customHeight="1">
      <c r="D657" s="155"/>
      <c r="G657" s="155"/>
      <c r="K657" s="255"/>
      <c r="N657" s="255"/>
      <c r="T657" s="256"/>
      <c r="Z657" s="257"/>
    </row>
    <row r="658" ht="15.75" customHeight="1">
      <c r="D658" s="155"/>
      <c r="G658" s="155"/>
      <c r="K658" s="255"/>
      <c r="N658" s="255"/>
      <c r="T658" s="256"/>
      <c r="Z658" s="257"/>
    </row>
    <row r="659" ht="15.75" customHeight="1">
      <c r="D659" s="155"/>
      <c r="G659" s="155"/>
      <c r="K659" s="255"/>
      <c r="N659" s="255"/>
      <c r="T659" s="256"/>
      <c r="Z659" s="257"/>
    </row>
    <row r="660" ht="15.75" customHeight="1">
      <c r="D660" s="155"/>
      <c r="G660" s="155"/>
      <c r="K660" s="255"/>
      <c r="N660" s="255"/>
      <c r="T660" s="256"/>
      <c r="Z660" s="257"/>
    </row>
    <row r="661" ht="15.75" customHeight="1">
      <c r="D661" s="155"/>
      <c r="G661" s="155"/>
      <c r="K661" s="255"/>
      <c r="N661" s="255"/>
      <c r="T661" s="256"/>
      <c r="Z661" s="257"/>
    </row>
    <row r="662" ht="15.75" customHeight="1">
      <c r="D662" s="155"/>
      <c r="G662" s="155"/>
      <c r="K662" s="255"/>
      <c r="N662" s="255"/>
      <c r="T662" s="256"/>
      <c r="Z662" s="257"/>
    </row>
    <row r="663" ht="15.75" customHeight="1">
      <c r="D663" s="155"/>
      <c r="G663" s="155"/>
      <c r="K663" s="255"/>
      <c r="N663" s="255"/>
      <c r="T663" s="256"/>
      <c r="Z663" s="257"/>
    </row>
    <row r="664" ht="15.75" customHeight="1">
      <c r="D664" s="155"/>
      <c r="G664" s="155"/>
      <c r="K664" s="255"/>
      <c r="N664" s="255"/>
      <c r="T664" s="256"/>
      <c r="Z664" s="257"/>
    </row>
    <row r="665" ht="15.75" customHeight="1">
      <c r="D665" s="155"/>
      <c r="G665" s="155"/>
      <c r="K665" s="255"/>
      <c r="N665" s="255"/>
      <c r="T665" s="256"/>
      <c r="Z665" s="257"/>
    </row>
    <row r="666" ht="15.75" customHeight="1">
      <c r="D666" s="155"/>
      <c r="G666" s="155"/>
      <c r="K666" s="255"/>
      <c r="N666" s="255"/>
      <c r="T666" s="256"/>
      <c r="Z666" s="257"/>
    </row>
    <row r="667" ht="15.75" customHeight="1">
      <c r="D667" s="155"/>
      <c r="G667" s="155"/>
      <c r="K667" s="255"/>
      <c r="N667" s="255"/>
      <c r="T667" s="256"/>
      <c r="Z667" s="257"/>
    </row>
    <row r="668" ht="15.75" customHeight="1">
      <c r="D668" s="155"/>
      <c r="G668" s="155"/>
      <c r="K668" s="255"/>
      <c r="N668" s="255"/>
      <c r="T668" s="256"/>
      <c r="Z668" s="257"/>
    </row>
    <row r="669" ht="15.75" customHeight="1">
      <c r="D669" s="155"/>
      <c r="G669" s="155"/>
      <c r="K669" s="255"/>
      <c r="N669" s="255"/>
      <c r="T669" s="256"/>
      <c r="Z669" s="257"/>
    </row>
    <row r="670" ht="15.75" customHeight="1">
      <c r="D670" s="155"/>
      <c r="G670" s="155"/>
      <c r="K670" s="255"/>
      <c r="N670" s="255"/>
      <c r="T670" s="256"/>
      <c r="Z670" s="257"/>
    </row>
    <row r="671" ht="15.75" customHeight="1">
      <c r="D671" s="155"/>
      <c r="G671" s="155"/>
      <c r="K671" s="255"/>
      <c r="N671" s="255"/>
      <c r="T671" s="256"/>
      <c r="Z671" s="257"/>
    </row>
    <row r="672" ht="15.75" customHeight="1">
      <c r="D672" s="155"/>
      <c r="G672" s="155"/>
      <c r="K672" s="255"/>
      <c r="N672" s="255"/>
      <c r="T672" s="256"/>
      <c r="Z672" s="257"/>
    </row>
    <row r="673" ht="15.75" customHeight="1">
      <c r="D673" s="155"/>
      <c r="G673" s="155"/>
      <c r="K673" s="255"/>
      <c r="N673" s="255"/>
      <c r="T673" s="256"/>
      <c r="Z673" s="257"/>
    </row>
    <row r="674" ht="15.75" customHeight="1">
      <c r="D674" s="155"/>
      <c r="G674" s="155"/>
      <c r="K674" s="255"/>
      <c r="N674" s="255"/>
      <c r="T674" s="256"/>
      <c r="Z674" s="257"/>
    </row>
    <row r="675" ht="15.75" customHeight="1">
      <c r="D675" s="155"/>
      <c r="G675" s="155"/>
      <c r="K675" s="255"/>
      <c r="N675" s="255"/>
      <c r="T675" s="256"/>
      <c r="Z675" s="257"/>
    </row>
    <row r="676" ht="15.75" customHeight="1">
      <c r="D676" s="155"/>
      <c r="G676" s="155"/>
      <c r="K676" s="255"/>
      <c r="N676" s="255"/>
      <c r="T676" s="256"/>
      <c r="Z676" s="257"/>
    </row>
    <row r="677" ht="15.75" customHeight="1">
      <c r="D677" s="155"/>
      <c r="G677" s="155"/>
      <c r="K677" s="255"/>
      <c r="N677" s="255"/>
      <c r="T677" s="256"/>
      <c r="Z677" s="257"/>
    </row>
    <row r="678" ht="15.75" customHeight="1">
      <c r="D678" s="155"/>
      <c r="G678" s="155"/>
      <c r="K678" s="255"/>
      <c r="N678" s="255"/>
      <c r="T678" s="256"/>
      <c r="Z678" s="257"/>
    </row>
    <row r="679" ht="15.75" customHeight="1">
      <c r="D679" s="155"/>
      <c r="G679" s="155"/>
      <c r="K679" s="255"/>
      <c r="N679" s="255"/>
      <c r="T679" s="256"/>
      <c r="Z679" s="257"/>
    </row>
    <row r="680" ht="15.75" customHeight="1">
      <c r="D680" s="155"/>
      <c r="G680" s="155"/>
      <c r="K680" s="255"/>
      <c r="N680" s="255"/>
      <c r="T680" s="256"/>
      <c r="Z680" s="257"/>
    </row>
    <row r="681" ht="15.75" customHeight="1">
      <c r="D681" s="155"/>
      <c r="G681" s="155"/>
      <c r="K681" s="255"/>
      <c r="N681" s="255"/>
      <c r="T681" s="256"/>
      <c r="Z681" s="257"/>
    </row>
    <row r="682" ht="15.75" customHeight="1">
      <c r="D682" s="155"/>
      <c r="G682" s="155"/>
      <c r="K682" s="255"/>
      <c r="N682" s="255"/>
      <c r="T682" s="256"/>
      <c r="Z682" s="257"/>
    </row>
    <row r="683" ht="15.75" customHeight="1">
      <c r="D683" s="155"/>
      <c r="G683" s="155"/>
      <c r="K683" s="255"/>
      <c r="N683" s="255"/>
      <c r="T683" s="256"/>
      <c r="Z683" s="257"/>
    </row>
    <row r="684" ht="15.75" customHeight="1">
      <c r="D684" s="155"/>
      <c r="G684" s="155"/>
      <c r="K684" s="255"/>
      <c r="N684" s="255"/>
      <c r="T684" s="256"/>
      <c r="Z684" s="257"/>
    </row>
    <row r="685" ht="15.75" customHeight="1">
      <c r="D685" s="155"/>
      <c r="G685" s="155"/>
      <c r="K685" s="255"/>
      <c r="N685" s="255"/>
      <c r="T685" s="256"/>
      <c r="Z685" s="257"/>
    </row>
    <row r="686" ht="15.75" customHeight="1">
      <c r="D686" s="155"/>
      <c r="G686" s="155"/>
      <c r="K686" s="255"/>
      <c r="N686" s="255"/>
      <c r="T686" s="256"/>
      <c r="Z686" s="257"/>
    </row>
    <row r="687" ht="15.75" customHeight="1">
      <c r="D687" s="155"/>
      <c r="G687" s="155"/>
      <c r="K687" s="255"/>
      <c r="N687" s="255"/>
      <c r="T687" s="256"/>
      <c r="Z687" s="257"/>
    </row>
    <row r="688" ht="15.75" customHeight="1">
      <c r="D688" s="155"/>
      <c r="G688" s="155"/>
      <c r="K688" s="255"/>
      <c r="N688" s="255"/>
      <c r="T688" s="256"/>
      <c r="Z688" s="257"/>
    </row>
    <row r="689" ht="15.75" customHeight="1">
      <c r="D689" s="155"/>
      <c r="G689" s="155"/>
      <c r="K689" s="255"/>
      <c r="N689" s="255"/>
      <c r="T689" s="256"/>
      <c r="Z689" s="257"/>
    </row>
    <row r="690" ht="15.75" customHeight="1">
      <c r="D690" s="155"/>
      <c r="G690" s="155"/>
      <c r="K690" s="255"/>
      <c r="N690" s="255"/>
      <c r="T690" s="256"/>
      <c r="Z690" s="257"/>
    </row>
    <row r="691" ht="15.75" customHeight="1">
      <c r="D691" s="155"/>
      <c r="G691" s="155"/>
      <c r="K691" s="255"/>
      <c r="N691" s="255"/>
      <c r="T691" s="256"/>
      <c r="Z691" s="257"/>
    </row>
    <row r="692" ht="15.75" customHeight="1">
      <c r="D692" s="155"/>
      <c r="G692" s="155"/>
      <c r="K692" s="255"/>
      <c r="N692" s="255"/>
      <c r="T692" s="256"/>
      <c r="Z692" s="257"/>
    </row>
    <row r="693" ht="15.75" customHeight="1">
      <c r="D693" s="155"/>
      <c r="G693" s="155"/>
      <c r="K693" s="255"/>
      <c r="N693" s="255"/>
      <c r="T693" s="256"/>
      <c r="Z693" s="257"/>
    </row>
    <row r="694" ht="15.75" customHeight="1">
      <c r="D694" s="155"/>
      <c r="G694" s="155"/>
      <c r="K694" s="255"/>
      <c r="N694" s="255"/>
      <c r="T694" s="256"/>
      <c r="Z694" s="257"/>
    </row>
    <row r="695" ht="15.75" customHeight="1">
      <c r="D695" s="155"/>
      <c r="G695" s="155"/>
      <c r="K695" s="255"/>
      <c r="N695" s="255"/>
      <c r="T695" s="256"/>
      <c r="Z695" s="257"/>
    </row>
    <row r="696" ht="15.75" customHeight="1">
      <c r="D696" s="155"/>
      <c r="G696" s="155"/>
      <c r="K696" s="255"/>
      <c r="N696" s="255"/>
      <c r="T696" s="256"/>
      <c r="Z696" s="257"/>
    </row>
    <row r="697" ht="15.75" customHeight="1">
      <c r="D697" s="155"/>
      <c r="G697" s="155"/>
      <c r="K697" s="255"/>
      <c r="N697" s="255"/>
      <c r="T697" s="256"/>
      <c r="Z697" s="257"/>
    </row>
    <row r="698" ht="15.75" customHeight="1">
      <c r="D698" s="155"/>
      <c r="G698" s="155"/>
      <c r="K698" s="255"/>
      <c r="N698" s="255"/>
      <c r="T698" s="256"/>
      <c r="Z698" s="257"/>
    </row>
    <row r="699" ht="15.75" customHeight="1">
      <c r="D699" s="155"/>
      <c r="G699" s="155"/>
      <c r="K699" s="255"/>
      <c r="N699" s="255"/>
      <c r="T699" s="256"/>
      <c r="Z699" s="257"/>
    </row>
    <row r="700" ht="15.75" customHeight="1">
      <c r="D700" s="155"/>
      <c r="G700" s="155"/>
      <c r="K700" s="255"/>
      <c r="N700" s="255"/>
      <c r="T700" s="256"/>
      <c r="Z700" s="257"/>
    </row>
    <row r="701" ht="15.75" customHeight="1">
      <c r="D701" s="155"/>
      <c r="G701" s="155"/>
      <c r="K701" s="255"/>
      <c r="N701" s="255"/>
      <c r="T701" s="256"/>
      <c r="Z701" s="257"/>
    </row>
    <row r="702" ht="15.75" customHeight="1">
      <c r="D702" s="155"/>
      <c r="G702" s="155"/>
      <c r="K702" s="255"/>
      <c r="N702" s="255"/>
      <c r="T702" s="256"/>
      <c r="Z702" s="257"/>
    </row>
    <row r="703" ht="15.75" customHeight="1">
      <c r="D703" s="155"/>
      <c r="G703" s="155"/>
      <c r="K703" s="255"/>
      <c r="N703" s="255"/>
      <c r="T703" s="256"/>
      <c r="Z703" s="257"/>
    </row>
    <row r="704" ht="15.75" customHeight="1">
      <c r="D704" s="155"/>
      <c r="G704" s="155"/>
      <c r="K704" s="255"/>
      <c r="N704" s="255"/>
      <c r="T704" s="256"/>
      <c r="Z704" s="257"/>
    </row>
    <row r="705" ht="15.75" customHeight="1">
      <c r="D705" s="155"/>
      <c r="G705" s="155"/>
      <c r="K705" s="255"/>
      <c r="N705" s="255"/>
      <c r="T705" s="256"/>
      <c r="Z705" s="257"/>
    </row>
    <row r="706" ht="15.75" customHeight="1">
      <c r="D706" s="155"/>
      <c r="G706" s="155"/>
      <c r="K706" s="255"/>
      <c r="N706" s="255"/>
      <c r="T706" s="256"/>
      <c r="Z706" s="257"/>
    </row>
    <row r="707" ht="15.75" customHeight="1">
      <c r="D707" s="155"/>
      <c r="G707" s="155"/>
      <c r="K707" s="255"/>
      <c r="N707" s="255"/>
      <c r="T707" s="256"/>
      <c r="Z707" s="257"/>
    </row>
    <row r="708" ht="15.75" customHeight="1">
      <c r="D708" s="155"/>
      <c r="G708" s="155"/>
      <c r="K708" s="255"/>
      <c r="N708" s="255"/>
      <c r="T708" s="256"/>
      <c r="Z708" s="257"/>
    </row>
    <row r="709" ht="15.75" customHeight="1">
      <c r="D709" s="155"/>
      <c r="G709" s="155"/>
      <c r="K709" s="255"/>
      <c r="N709" s="255"/>
      <c r="T709" s="256"/>
      <c r="Z709" s="257"/>
    </row>
    <row r="710" ht="15.75" customHeight="1">
      <c r="D710" s="155"/>
      <c r="G710" s="155"/>
      <c r="K710" s="255"/>
      <c r="N710" s="255"/>
      <c r="T710" s="256"/>
      <c r="Z710" s="257"/>
    </row>
    <row r="711" ht="15.75" customHeight="1">
      <c r="D711" s="155"/>
      <c r="G711" s="155"/>
      <c r="K711" s="255"/>
      <c r="N711" s="255"/>
      <c r="T711" s="256"/>
      <c r="Z711" s="257"/>
    </row>
    <row r="712" ht="15.75" customHeight="1">
      <c r="D712" s="155"/>
      <c r="G712" s="155"/>
      <c r="K712" s="255"/>
      <c r="N712" s="255"/>
      <c r="T712" s="256"/>
      <c r="Z712" s="257"/>
    </row>
    <row r="713" ht="15.75" customHeight="1">
      <c r="D713" s="155"/>
      <c r="G713" s="155"/>
      <c r="K713" s="255"/>
      <c r="N713" s="255"/>
      <c r="T713" s="256"/>
      <c r="Z713" s="257"/>
    </row>
    <row r="714" ht="15.75" customHeight="1">
      <c r="D714" s="155"/>
      <c r="G714" s="155"/>
      <c r="K714" s="255"/>
      <c r="N714" s="255"/>
      <c r="T714" s="256"/>
      <c r="Z714" s="257"/>
    </row>
    <row r="715" ht="15.75" customHeight="1">
      <c r="D715" s="155"/>
      <c r="G715" s="155"/>
      <c r="K715" s="255"/>
      <c r="N715" s="255"/>
      <c r="T715" s="256"/>
      <c r="Z715" s="257"/>
    </row>
    <row r="716" ht="15.75" customHeight="1">
      <c r="D716" s="155"/>
      <c r="G716" s="155"/>
      <c r="K716" s="255"/>
      <c r="N716" s="255"/>
      <c r="T716" s="256"/>
      <c r="Z716" s="257"/>
    </row>
    <row r="717" ht="15.75" customHeight="1">
      <c r="D717" s="155"/>
      <c r="G717" s="155"/>
      <c r="K717" s="255"/>
      <c r="N717" s="255"/>
      <c r="T717" s="256"/>
      <c r="Z717" s="257"/>
    </row>
    <row r="718" ht="15.75" customHeight="1">
      <c r="D718" s="155"/>
      <c r="G718" s="155"/>
      <c r="K718" s="255"/>
      <c r="N718" s="255"/>
      <c r="T718" s="256"/>
      <c r="Z718" s="257"/>
    </row>
    <row r="719" ht="15.75" customHeight="1">
      <c r="D719" s="155"/>
      <c r="G719" s="155"/>
      <c r="K719" s="255"/>
      <c r="N719" s="255"/>
      <c r="T719" s="256"/>
      <c r="Z719" s="257"/>
    </row>
    <row r="720" ht="15.75" customHeight="1">
      <c r="D720" s="155"/>
      <c r="G720" s="155"/>
      <c r="K720" s="255"/>
      <c r="N720" s="255"/>
      <c r="T720" s="256"/>
      <c r="Z720" s="257"/>
    </row>
    <row r="721" ht="15.75" customHeight="1">
      <c r="D721" s="155"/>
      <c r="G721" s="155"/>
      <c r="K721" s="255"/>
      <c r="N721" s="255"/>
      <c r="T721" s="256"/>
      <c r="Z721" s="257"/>
    </row>
    <row r="722" ht="15.75" customHeight="1">
      <c r="D722" s="155"/>
      <c r="G722" s="155"/>
      <c r="K722" s="255"/>
      <c r="N722" s="255"/>
      <c r="T722" s="256"/>
      <c r="Z722" s="257"/>
    </row>
    <row r="723" ht="15.75" customHeight="1">
      <c r="D723" s="155"/>
      <c r="G723" s="155"/>
      <c r="K723" s="255"/>
      <c r="N723" s="255"/>
      <c r="T723" s="256"/>
      <c r="Z723" s="257"/>
    </row>
    <row r="724" ht="15.75" customHeight="1">
      <c r="D724" s="155"/>
      <c r="G724" s="155"/>
      <c r="K724" s="255"/>
      <c r="N724" s="255"/>
      <c r="T724" s="256"/>
      <c r="Z724" s="257"/>
    </row>
    <row r="725" ht="15.75" customHeight="1">
      <c r="D725" s="155"/>
      <c r="G725" s="155"/>
      <c r="K725" s="255"/>
      <c r="N725" s="255"/>
      <c r="T725" s="256"/>
      <c r="Z725" s="257"/>
    </row>
    <row r="726" ht="15.75" customHeight="1">
      <c r="D726" s="155"/>
      <c r="G726" s="155"/>
      <c r="K726" s="255"/>
      <c r="N726" s="255"/>
      <c r="T726" s="256"/>
      <c r="Z726" s="257"/>
    </row>
    <row r="727" ht="15.75" customHeight="1">
      <c r="D727" s="155"/>
      <c r="G727" s="155"/>
      <c r="K727" s="255"/>
      <c r="N727" s="255"/>
      <c r="T727" s="256"/>
      <c r="Z727" s="257"/>
    </row>
    <row r="728" ht="15.75" customHeight="1">
      <c r="D728" s="155"/>
      <c r="G728" s="155"/>
      <c r="K728" s="255"/>
      <c r="N728" s="255"/>
      <c r="T728" s="256"/>
      <c r="Z728" s="257"/>
    </row>
    <row r="729" ht="15.75" customHeight="1">
      <c r="D729" s="155"/>
      <c r="G729" s="155"/>
      <c r="K729" s="255"/>
      <c r="N729" s="255"/>
      <c r="T729" s="256"/>
      <c r="Z729" s="257"/>
    </row>
    <row r="730" ht="15.75" customHeight="1">
      <c r="D730" s="155"/>
      <c r="G730" s="155"/>
      <c r="K730" s="255"/>
      <c r="N730" s="255"/>
      <c r="T730" s="256"/>
      <c r="Z730" s="257"/>
    </row>
    <row r="731" ht="15.75" customHeight="1">
      <c r="D731" s="155"/>
      <c r="G731" s="155"/>
      <c r="K731" s="255"/>
      <c r="N731" s="255"/>
      <c r="T731" s="256"/>
      <c r="Z731" s="257"/>
    </row>
    <row r="732" ht="15.75" customHeight="1">
      <c r="D732" s="155"/>
      <c r="G732" s="155"/>
      <c r="K732" s="255"/>
      <c r="N732" s="255"/>
      <c r="T732" s="256"/>
      <c r="Z732" s="257"/>
    </row>
    <row r="733" ht="15.75" customHeight="1">
      <c r="D733" s="155"/>
      <c r="G733" s="155"/>
      <c r="K733" s="255"/>
      <c r="N733" s="255"/>
      <c r="T733" s="256"/>
      <c r="Z733" s="257"/>
    </row>
    <row r="734" ht="15.75" customHeight="1">
      <c r="D734" s="155"/>
      <c r="G734" s="155"/>
      <c r="K734" s="255"/>
      <c r="N734" s="255"/>
      <c r="T734" s="256"/>
      <c r="Z734" s="257"/>
    </row>
    <row r="735" ht="15.75" customHeight="1">
      <c r="D735" s="155"/>
      <c r="G735" s="155"/>
      <c r="K735" s="255"/>
      <c r="N735" s="255"/>
      <c r="T735" s="256"/>
      <c r="Z735" s="257"/>
    </row>
    <row r="736" ht="15.75" customHeight="1">
      <c r="D736" s="155"/>
      <c r="G736" s="155"/>
      <c r="K736" s="255"/>
      <c r="N736" s="255"/>
      <c r="T736" s="256"/>
      <c r="Z736" s="257"/>
    </row>
    <row r="737" ht="15.75" customHeight="1">
      <c r="D737" s="155"/>
      <c r="G737" s="155"/>
      <c r="K737" s="255"/>
      <c r="N737" s="255"/>
      <c r="T737" s="256"/>
      <c r="Z737" s="257"/>
    </row>
    <row r="738" ht="15.75" customHeight="1">
      <c r="D738" s="155"/>
      <c r="G738" s="155"/>
      <c r="K738" s="255"/>
      <c r="N738" s="255"/>
      <c r="T738" s="256"/>
      <c r="Z738" s="257"/>
    </row>
    <row r="739" ht="15.75" customHeight="1">
      <c r="D739" s="155"/>
      <c r="G739" s="155"/>
      <c r="K739" s="255"/>
      <c r="N739" s="255"/>
      <c r="T739" s="256"/>
      <c r="Z739" s="257"/>
    </row>
    <row r="740" ht="15.75" customHeight="1">
      <c r="D740" s="155"/>
      <c r="G740" s="155"/>
      <c r="K740" s="255"/>
      <c r="N740" s="255"/>
      <c r="T740" s="256"/>
      <c r="Z740" s="257"/>
    </row>
    <row r="741" ht="15.75" customHeight="1">
      <c r="D741" s="155"/>
      <c r="G741" s="155"/>
      <c r="K741" s="255"/>
      <c r="N741" s="255"/>
      <c r="T741" s="256"/>
      <c r="Z741" s="257"/>
    </row>
    <row r="742" ht="15.75" customHeight="1">
      <c r="D742" s="155"/>
      <c r="G742" s="155"/>
      <c r="K742" s="255"/>
      <c r="N742" s="255"/>
      <c r="T742" s="256"/>
      <c r="Z742" s="257"/>
    </row>
    <row r="743" ht="15.75" customHeight="1">
      <c r="D743" s="155"/>
      <c r="G743" s="155"/>
      <c r="K743" s="255"/>
      <c r="N743" s="255"/>
      <c r="T743" s="256"/>
      <c r="Z743" s="257"/>
    </row>
    <row r="744" ht="15.75" customHeight="1">
      <c r="D744" s="155"/>
      <c r="G744" s="155"/>
      <c r="K744" s="255"/>
      <c r="N744" s="255"/>
      <c r="T744" s="256"/>
      <c r="Z744" s="257"/>
    </row>
    <row r="745" ht="15.75" customHeight="1">
      <c r="D745" s="155"/>
      <c r="G745" s="155"/>
      <c r="K745" s="255"/>
      <c r="N745" s="255"/>
      <c r="T745" s="256"/>
      <c r="Z745" s="257"/>
    </row>
    <row r="746" ht="15.75" customHeight="1">
      <c r="D746" s="155"/>
      <c r="G746" s="155"/>
      <c r="K746" s="255"/>
      <c r="N746" s="255"/>
      <c r="T746" s="256"/>
      <c r="Z746" s="257"/>
    </row>
    <row r="747" ht="15.75" customHeight="1">
      <c r="D747" s="155"/>
      <c r="G747" s="155"/>
      <c r="K747" s="255"/>
      <c r="N747" s="255"/>
      <c r="T747" s="256"/>
      <c r="Z747" s="257"/>
    </row>
    <row r="748" ht="15.75" customHeight="1">
      <c r="D748" s="155"/>
      <c r="G748" s="155"/>
      <c r="K748" s="255"/>
      <c r="N748" s="255"/>
      <c r="T748" s="256"/>
      <c r="Z748" s="257"/>
    </row>
    <row r="749" ht="15.75" customHeight="1">
      <c r="D749" s="155"/>
      <c r="G749" s="155"/>
      <c r="K749" s="255"/>
      <c r="N749" s="255"/>
      <c r="T749" s="256"/>
      <c r="Z749" s="257"/>
    </row>
    <row r="750" ht="15.75" customHeight="1">
      <c r="D750" s="155"/>
      <c r="G750" s="155"/>
      <c r="K750" s="255"/>
      <c r="N750" s="255"/>
      <c r="T750" s="256"/>
      <c r="Z750" s="257"/>
    </row>
    <row r="751" ht="15.75" customHeight="1">
      <c r="D751" s="155"/>
      <c r="G751" s="155"/>
      <c r="K751" s="255"/>
      <c r="N751" s="255"/>
      <c r="T751" s="256"/>
      <c r="Z751" s="257"/>
    </row>
    <row r="752" ht="15.75" customHeight="1">
      <c r="D752" s="155"/>
      <c r="G752" s="155"/>
      <c r="K752" s="255"/>
      <c r="N752" s="255"/>
      <c r="T752" s="256"/>
      <c r="Z752" s="257"/>
    </row>
    <row r="753" ht="15.75" customHeight="1">
      <c r="D753" s="155"/>
      <c r="G753" s="155"/>
      <c r="K753" s="255"/>
      <c r="N753" s="255"/>
      <c r="T753" s="256"/>
      <c r="Z753" s="257"/>
    </row>
    <row r="754" ht="15.75" customHeight="1">
      <c r="D754" s="155"/>
      <c r="G754" s="155"/>
      <c r="K754" s="255"/>
      <c r="N754" s="255"/>
      <c r="T754" s="256"/>
      <c r="Z754" s="257"/>
    </row>
    <row r="755" ht="15.75" customHeight="1">
      <c r="D755" s="155"/>
      <c r="G755" s="155"/>
      <c r="K755" s="255"/>
      <c r="N755" s="255"/>
      <c r="T755" s="256"/>
      <c r="Z755" s="257"/>
    </row>
    <row r="756" ht="15.75" customHeight="1">
      <c r="D756" s="155"/>
      <c r="G756" s="155"/>
      <c r="K756" s="255"/>
      <c r="N756" s="255"/>
      <c r="T756" s="256"/>
      <c r="Z756" s="257"/>
    </row>
    <row r="757" ht="15.75" customHeight="1">
      <c r="D757" s="155"/>
      <c r="G757" s="155"/>
      <c r="K757" s="255"/>
      <c r="N757" s="255"/>
      <c r="T757" s="256"/>
      <c r="Z757" s="257"/>
    </row>
    <row r="758" ht="15.75" customHeight="1">
      <c r="D758" s="155"/>
      <c r="G758" s="155"/>
      <c r="K758" s="255"/>
      <c r="N758" s="255"/>
      <c r="T758" s="256"/>
      <c r="Z758" s="257"/>
    </row>
    <row r="759" ht="15.75" customHeight="1">
      <c r="D759" s="155"/>
      <c r="G759" s="155"/>
      <c r="K759" s="255"/>
      <c r="N759" s="255"/>
      <c r="T759" s="256"/>
      <c r="Z759" s="257"/>
    </row>
    <row r="760" ht="15.75" customHeight="1">
      <c r="D760" s="155"/>
      <c r="G760" s="155"/>
      <c r="K760" s="255"/>
      <c r="N760" s="255"/>
      <c r="T760" s="256"/>
      <c r="Z760" s="257"/>
    </row>
    <row r="761" ht="15.75" customHeight="1">
      <c r="D761" s="155"/>
      <c r="G761" s="155"/>
      <c r="K761" s="255"/>
      <c r="N761" s="255"/>
      <c r="T761" s="256"/>
      <c r="Z761" s="257"/>
    </row>
    <row r="762" ht="15.75" customHeight="1">
      <c r="D762" s="155"/>
      <c r="G762" s="155"/>
      <c r="K762" s="255"/>
      <c r="N762" s="255"/>
      <c r="T762" s="256"/>
      <c r="Z762" s="257"/>
    </row>
    <row r="763" ht="15.75" customHeight="1">
      <c r="D763" s="155"/>
      <c r="G763" s="155"/>
      <c r="K763" s="255"/>
      <c r="N763" s="255"/>
      <c r="T763" s="256"/>
      <c r="Z763" s="257"/>
    </row>
    <row r="764" ht="15.75" customHeight="1">
      <c r="D764" s="155"/>
      <c r="G764" s="155"/>
      <c r="K764" s="255"/>
      <c r="N764" s="255"/>
      <c r="T764" s="256"/>
      <c r="Z764" s="257"/>
    </row>
    <row r="765" ht="15.75" customHeight="1">
      <c r="D765" s="155"/>
      <c r="G765" s="155"/>
      <c r="K765" s="255"/>
      <c r="N765" s="255"/>
      <c r="T765" s="256"/>
      <c r="Z765" s="257"/>
    </row>
    <row r="766" ht="15.75" customHeight="1">
      <c r="D766" s="155"/>
      <c r="G766" s="155"/>
      <c r="K766" s="255"/>
      <c r="N766" s="255"/>
      <c r="T766" s="256"/>
      <c r="Z766" s="257"/>
    </row>
    <row r="767" ht="15.75" customHeight="1">
      <c r="D767" s="155"/>
      <c r="G767" s="155"/>
      <c r="K767" s="255"/>
      <c r="N767" s="255"/>
      <c r="T767" s="256"/>
      <c r="Z767" s="257"/>
    </row>
    <row r="768" ht="15.75" customHeight="1">
      <c r="D768" s="155"/>
      <c r="G768" s="155"/>
      <c r="K768" s="255"/>
      <c r="N768" s="255"/>
      <c r="T768" s="256"/>
      <c r="Z768" s="257"/>
    </row>
    <row r="769" ht="15.75" customHeight="1">
      <c r="D769" s="155"/>
      <c r="G769" s="155"/>
      <c r="K769" s="255"/>
      <c r="N769" s="255"/>
      <c r="T769" s="256"/>
      <c r="Z769" s="257"/>
    </row>
    <row r="770" ht="15.75" customHeight="1">
      <c r="D770" s="155"/>
      <c r="G770" s="155"/>
      <c r="K770" s="255"/>
      <c r="N770" s="255"/>
      <c r="T770" s="256"/>
      <c r="Z770" s="257"/>
    </row>
    <row r="771" ht="15.75" customHeight="1">
      <c r="D771" s="155"/>
      <c r="G771" s="155"/>
      <c r="K771" s="255"/>
      <c r="N771" s="255"/>
      <c r="T771" s="256"/>
      <c r="Z771" s="257"/>
    </row>
    <row r="772" ht="15.75" customHeight="1">
      <c r="D772" s="155"/>
      <c r="G772" s="155"/>
      <c r="K772" s="255"/>
      <c r="N772" s="255"/>
      <c r="T772" s="256"/>
      <c r="Z772" s="257"/>
    </row>
    <row r="773" ht="15.75" customHeight="1">
      <c r="D773" s="155"/>
      <c r="G773" s="155"/>
      <c r="K773" s="255"/>
      <c r="N773" s="255"/>
      <c r="T773" s="256"/>
      <c r="Z773" s="257"/>
    </row>
    <row r="774" ht="15.75" customHeight="1">
      <c r="D774" s="155"/>
      <c r="G774" s="155"/>
      <c r="K774" s="255"/>
      <c r="N774" s="255"/>
      <c r="T774" s="256"/>
      <c r="Z774" s="257"/>
    </row>
    <row r="775" ht="15.75" customHeight="1">
      <c r="D775" s="155"/>
      <c r="G775" s="155"/>
      <c r="K775" s="255"/>
      <c r="N775" s="255"/>
      <c r="T775" s="256"/>
      <c r="Z775" s="257"/>
    </row>
    <row r="776" ht="15.75" customHeight="1">
      <c r="D776" s="155"/>
      <c r="G776" s="155"/>
      <c r="K776" s="255"/>
      <c r="N776" s="255"/>
      <c r="T776" s="256"/>
      <c r="Z776" s="257"/>
    </row>
    <row r="777" ht="15.75" customHeight="1">
      <c r="D777" s="155"/>
      <c r="G777" s="155"/>
      <c r="K777" s="255"/>
      <c r="N777" s="255"/>
      <c r="T777" s="256"/>
      <c r="Z777" s="257"/>
    </row>
    <row r="778" ht="15.75" customHeight="1">
      <c r="D778" s="155"/>
      <c r="G778" s="155"/>
      <c r="K778" s="255"/>
      <c r="N778" s="255"/>
      <c r="T778" s="256"/>
      <c r="Z778" s="257"/>
    </row>
    <row r="779" ht="15.75" customHeight="1">
      <c r="D779" s="155"/>
      <c r="G779" s="155"/>
      <c r="K779" s="255"/>
      <c r="N779" s="255"/>
      <c r="T779" s="256"/>
      <c r="Z779" s="257"/>
    </row>
    <row r="780" ht="15.75" customHeight="1">
      <c r="D780" s="155"/>
      <c r="G780" s="155"/>
      <c r="K780" s="255"/>
      <c r="N780" s="255"/>
      <c r="T780" s="256"/>
      <c r="Z780" s="257"/>
    </row>
    <row r="781" ht="15.75" customHeight="1">
      <c r="D781" s="155"/>
      <c r="G781" s="155"/>
      <c r="K781" s="255"/>
      <c r="N781" s="255"/>
      <c r="T781" s="256"/>
      <c r="Z781" s="257"/>
    </row>
    <row r="782" ht="15.75" customHeight="1">
      <c r="D782" s="155"/>
      <c r="G782" s="155"/>
      <c r="K782" s="255"/>
      <c r="N782" s="255"/>
      <c r="T782" s="256"/>
      <c r="Z782" s="257"/>
    </row>
    <row r="783" ht="15.75" customHeight="1">
      <c r="D783" s="155"/>
      <c r="G783" s="155"/>
      <c r="K783" s="255"/>
      <c r="N783" s="255"/>
      <c r="T783" s="256"/>
      <c r="Z783" s="257"/>
    </row>
    <row r="784" ht="15.75" customHeight="1">
      <c r="D784" s="155"/>
      <c r="G784" s="155"/>
      <c r="K784" s="255"/>
      <c r="N784" s="255"/>
      <c r="T784" s="256"/>
      <c r="Z784" s="257"/>
    </row>
    <row r="785" ht="15.75" customHeight="1">
      <c r="D785" s="155"/>
      <c r="G785" s="155"/>
      <c r="K785" s="255"/>
      <c r="N785" s="255"/>
      <c r="T785" s="256"/>
      <c r="Z785" s="257"/>
    </row>
    <row r="786" ht="15.75" customHeight="1">
      <c r="D786" s="155"/>
      <c r="G786" s="155"/>
      <c r="K786" s="255"/>
      <c r="N786" s="255"/>
      <c r="T786" s="256"/>
      <c r="Z786" s="257"/>
    </row>
    <row r="787" ht="15.75" customHeight="1">
      <c r="D787" s="155"/>
      <c r="G787" s="155"/>
      <c r="K787" s="255"/>
      <c r="N787" s="255"/>
      <c r="T787" s="256"/>
      <c r="Z787" s="257"/>
    </row>
    <row r="788" ht="15.75" customHeight="1">
      <c r="D788" s="155"/>
      <c r="G788" s="155"/>
      <c r="K788" s="255"/>
      <c r="N788" s="255"/>
      <c r="T788" s="256"/>
      <c r="Z788" s="257"/>
    </row>
    <row r="789" ht="15.75" customHeight="1">
      <c r="D789" s="155"/>
      <c r="G789" s="155"/>
      <c r="K789" s="255"/>
      <c r="N789" s="255"/>
      <c r="T789" s="256"/>
      <c r="Z789" s="257"/>
    </row>
    <row r="790" ht="15.75" customHeight="1">
      <c r="D790" s="155"/>
      <c r="G790" s="155"/>
      <c r="K790" s="255"/>
      <c r="N790" s="255"/>
      <c r="T790" s="256"/>
      <c r="Z790" s="257"/>
    </row>
    <row r="791" ht="15.75" customHeight="1">
      <c r="D791" s="155"/>
      <c r="G791" s="155"/>
      <c r="K791" s="255"/>
      <c r="N791" s="255"/>
      <c r="T791" s="256"/>
      <c r="Z791" s="257"/>
    </row>
    <row r="792" ht="15.75" customHeight="1">
      <c r="D792" s="155"/>
      <c r="G792" s="155"/>
      <c r="K792" s="255"/>
      <c r="N792" s="255"/>
      <c r="T792" s="256"/>
      <c r="Z792" s="257"/>
    </row>
    <row r="793" ht="15.75" customHeight="1">
      <c r="D793" s="155"/>
      <c r="G793" s="155"/>
      <c r="K793" s="255"/>
      <c r="N793" s="255"/>
      <c r="T793" s="256"/>
      <c r="Z793" s="257"/>
    </row>
    <row r="794" ht="15.75" customHeight="1">
      <c r="D794" s="155"/>
      <c r="G794" s="155"/>
      <c r="K794" s="255"/>
      <c r="N794" s="255"/>
      <c r="T794" s="256"/>
      <c r="Z794" s="257"/>
    </row>
    <row r="795" ht="15.75" customHeight="1">
      <c r="D795" s="155"/>
      <c r="G795" s="155"/>
      <c r="K795" s="255"/>
      <c r="N795" s="255"/>
      <c r="T795" s="256"/>
      <c r="Z795" s="257"/>
    </row>
    <row r="796" ht="15.75" customHeight="1">
      <c r="D796" s="155"/>
      <c r="G796" s="155"/>
      <c r="K796" s="255"/>
      <c r="N796" s="255"/>
      <c r="T796" s="256"/>
      <c r="Z796" s="257"/>
    </row>
    <row r="797" ht="15.75" customHeight="1">
      <c r="D797" s="155"/>
      <c r="G797" s="155"/>
      <c r="K797" s="255"/>
      <c r="N797" s="255"/>
      <c r="T797" s="256"/>
      <c r="Z797" s="257"/>
    </row>
    <row r="798" ht="15.75" customHeight="1">
      <c r="D798" s="155"/>
      <c r="G798" s="155"/>
      <c r="K798" s="255"/>
      <c r="N798" s="255"/>
      <c r="T798" s="256"/>
      <c r="Z798" s="257"/>
    </row>
    <row r="799" ht="15.75" customHeight="1">
      <c r="D799" s="155"/>
      <c r="G799" s="155"/>
      <c r="K799" s="255"/>
      <c r="N799" s="255"/>
      <c r="T799" s="256"/>
      <c r="Z799" s="257"/>
    </row>
    <row r="800" ht="15.75" customHeight="1">
      <c r="D800" s="155"/>
      <c r="G800" s="155"/>
      <c r="K800" s="255"/>
      <c r="N800" s="255"/>
      <c r="T800" s="256"/>
      <c r="Z800" s="257"/>
    </row>
    <row r="801" ht="15.75" customHeight="1">
      <c r="D801" s="155"/>
      <c r="G801" s="155"/>
      <c r="K801" s="255"/>
      <c r="N801" s="255"/>
      <c r="T801" s="256"/>
      <c r="Z801" s="257"/>
    </row>
    <row r="802" ht="15.75" customHeight="1">
      <c r="D802" s="155"/>
      <c r="G802" s="155"/>
      <c r="K802" s="255"/>
      <c r="N802" s="255"/>
      <c r="T802" s="256"/>
      <c r="Z802" s="257"/>
    </row>
    <row r="803" ht="15.75" customHeight="1">
      <c r="D803" s="155"/>
      <c r="G803" s="155"/>
      <c r="K803" s="255"/>
      <c r="N803" s="255"/>
      <c r="T803" s="256"/>
      <c r="Z803" s="257"/>
    </row>
    <row r="804" ht="15.75" customHeight="1">
      <c r="D804" s="155"/>
      <c r="G804" s="155"/>
      <c r="K804" s="255"/>
      <c r="N804" s="255"/>
      <c r="T804" s="256"/>
      <c r="Z804" s="257"/>
    </row>
    <row r="805" ht="15.75" customHeight="1">
      <c r="D805" s="155"/>
      <c r="G805" s="155"/>
      <c r="K805" s="255"/>
      <c r="N805" s="255"/>
      <c r="T805" s="256"/>
      <c r="Z805" s="257"/>
    </row>
    <row r="806" ht="15.75" customHeight="1">
      <c r="D806" s="155"/>
      <c r="G806" s="155"/>
      <c r="K806" s="255"/>
      <c r="N806" s="255"/>
      <c r="T806" s="256"/>
      <c r="Z806" s="257"/>
    </row>
    <row r="807" ht="15.75" customHeight="1">
      <c r="D807" s="155"/>
      <c r="G807" s="155"/>
      <c r="K807" s="255"/>
      <c r="N807" s="255"/>
      <c r="T807" s="256"/>
      <c r="Z807" s="257"/>
    </row>
    <row r="808" ht="15.75" customHeight="1">
      <c r="D808" s="155"/>
      <c r="G808" s="155"/>
      <c r="K808" s="255"/>
      <c r="N808" s="255"/>
      <c r="T808" s="256"/>
      <c r="Z808" s="257"/>
    </row>
    <row r="809" ht="15.75" customHeight="1">
      <c r="D809" s="155"/>
      <c r="G809" s="155"/>
      <c r="K809" s="255"/>
      <c r="N809" s="255"/>
      <c r="T809" s="256"/>
      <c r="Z809" s="257"/>
    </row>
    <row r="810" ht="15.75" customHeight="1">
      <c r="D810" s="155"/>
      <c r="G810" s="155"/>
      <c r="K810" s="255"/>
      <c r="N810" s="255"/>
      <c r="T810" s="256"/>
      <c r="Z810" s="257"/>
    </row>
    <row r="811" ht="15.75" customHeight="1">
      <c r="D811" s="155"/>
      <c r="G811" s="155"/>
      <c r="K811" s="255"/>
      <c r="N811" s="255"/>
      <c r="T811" s="256"/>
      <c r="Z811" s="257"/>
    </row>
    <row r="812" ht="15.75" customHeight="1">
      <c r="D812" s="155"/>
      <c r="G812" s="155"/>
      <c r="K812" s="255"/>
      <c r="N812" s="255"/>
      <c r="T812" s="256"/>
      <c r="Z812" s="257"/>
    </row>
    <row r="813" ht="15.75" customHeight="1">
      <c r="D813" s="155"/>
      <c r="G813" s="155"/>
      <c r="K813" s="255"/>
      <c r="N813" s="255"/>
      <c r="T813" s="256"/>
      <c r="Z813" s="257"/>
    </row>
    <row r="814" ht="15.75" customHeight="1">
      <c r="D814" s="155"/>
      <c r="G814" s="155"/>
      <c r="K814" s="255"/>
      <c r="N814" s="255"/>
      <c r="T814" s="256"/>
      <c r="Z814" s="257"/>
    </row>
    <row r="815" ht="15.75" customHeight="1">
      <c r="D815" s="155"/>
      <c r="G815" s="155"/>
      <c r="K815" s="255"/>
      <c r="N815" s="255"/>
      <c r="T815" s="256"/>
      <c r="Z815" s="257"/>
    </row>
    <row r="816" ht="15.75" customHeight="1">
      <c r="D816" s="155"/>
      <c r="G816" s="155"/>
      <c r="K816" s="255"/>
      <c r="N816" s="255"/>
      <c r="T816" s="256"/>
      <c r="Z816" s="257"/>
    </row>
    <row r="817" ht="15.75" customHeight="1">
      <c r="D817" s="155"/>
      <c r="G817" s="155"/>
      <c r="K817" s="255"/>
      <c r="N817" s="255"/>
      <c r="T817" s="256"/>
      <c r="Z817" s="257"/>
    </row>
    <row r="818" ht="15.75" customHeight="1">
      <c r="D818" s="155"/>
      <c r="G818" s="155"/>
      <c r="K818" s="255"/>
      <c r="N818" s="255"/>
      <c r="T818" s="256"/>
      <c r="Z818" s="257"/>
    </row>
    <row r="819" ht="15.75" customHeight="1">
      <c r="D819" s="155"/>
      <c r="G819" s="155"/>
      <c r="K819" s="255"/>
      <c r="N819" s="255"/>
      <c r="T819" s="256"/>
      <c r="Z819" s="257"/>
    </row>
    <row r="820" ht="15.75" customHeight="1">
      <c r="D820" s="155"/>
      <c r="G820" s="155"/>
      <c r="K820" s="255"/>
      <c r="N820" s="255"/>
      <c r="T820" s="256"/>
      <c r="Z820" s="257"/>
    </row>
    <row r="821" ht="15.75" customHeight="1">
      <c r="D821" s="155"/>
      <c r="G821" s="155"/>
      <c r="K821" s="255"/>
      <c r="N821" s="255"/>
      <c r="T821" s="256"/>
      <c r="Z821" s="257"/>
    </row>
    <row r="822" ht="15.75" customHeight="1">
      <c r="D822" s="155"/>
      <c r="G822" s="155"/>
      <c r="K822" s="255"/>
      <c r="N822" s="255"/>
      <c r="T822" s="256"/>
      <c r="Z822" s="257"/>
    </row>
    <row r="823" ht="15.75" customHeight="1">
      <c r="D823" s="155"/>
      <c r="G823" s="155"/>
      <c r="K823" s="255"/>
      <c r="N823" s="255"/>
      <c r="T823" s="256"/>
      <c r="Z823" s="257"/>
    </row>
    <row r="824" ht="15.75" customHeight="1">
      <c r="D824" s="155"/>
      <c r="G824" s="155"/>
      <c r="K824" s="255"/>
      <c r="N824" s="255"/>
      <c r="T824" s="256"/>
      <c r="Z824" s="257"/>
    </row>
    <row r="825" ht="15.75" customHeight="1">
      <c r="D825" s="155"/>
      <c r="G825" s="155"/>
      <c r="K825" s="255"/>
      <c r="N825" s="255"/>
      <c r="T825" s="256"/>
      <c r="Z825" s="257"/>
    </row>
    <row r="826" ht="15.75" customHeight="1">
      <c r="D826" s="155"/>
      <c r="G826" s="155"/>
      <c r="K826" s="255"/>
      <c r="N826" s="255"/>
      <c r="T826" s="256"/>
      <c r="Z826" s="257"/>
    </row>
    <row r="827" ht="15.75" customHeight="1">
      <c r="D827" s="155"/>
      <c r="G827" s="155"/>
      <c r="K827" s="255"/>
      <c r="N827" s="255"/>
      <c r="T827" s="256"/>
      <c r="Z827" s="257"/>
    </row>
    <row r="828" ht="15.75" customHeight="1">
      <c r="D828" s="155"/>
      <c r="G828" s="155"/>
      <c r="K828" s="255"/>
      <c r="N828" s="255"/>
      <c r="T828" s="256"/>
      <c r="Z828" s="257"/>
    </row>
    <row r="829" ht="15.75" customHeight="1">
      <c r="D829" s="155"/>
      <c r="G829" s="155"/>
      <c r="K829" s="255"/>
      <c r="N829" s="255"/>
      <c r="T829" s="256"/>
      <c r="Z829" s="257"/>
    </row>
    <row r="830" ht="15.75" customHeight="1">
      <c r="D830" s="155"/>
      <c r="G830" s="155"/>
      <c r="K830" s="255"/>
      <c r="N830" s="255"/>
      <c r="T830" s="256"/>
      <c r="Z830" s="257"/>
    </row>
    <row r="831" ht="15.75" customHeight="1">
      <c r="D831" s="155"/>
      <c r="G831" s="155"/>
      <c r="K831" s="255"/>
      <c r="N831" s="255"/>
      <c r="T831" s="256"/>
      <c r="Z831" s="257"/>
    </row>
    <row r="832" ht="15.75" customHeight="1">
      <c r="D832" s="155"/>
      <c r="G832" s="155"/>
      <c r="K832" s="255"/>
      <c r="N832" s="255"/>
      <c r="T832" s="256"/>
      <c r="Z832" s="257"/>
    </row>
    <row r="833" ht="15.75" customHeight="1">
      <c r="D833" s="155"/>
      <c r="G833" s="155"/>
      <c r="K833" s="255"/>
      <c r="N833" s="255"/>
      <c r="T833" s="256"/>
      <c r="Z833" s="257"/>
    </row>
    <row r="834" ht="15.75" customHeight="1">
      <c r="D834" s="155"/>
      <c r="G834" s="155"/>
      <c r="K834" s="255"/>
      <c r="N834" s="255"/>
      <c r="T834" s="256"/>
      <c r="Z834" s="257"/>
    </row>
    <row r="835" ht="15.75" customHeight="1">
      <c r="D835" s="155"/>
      <c r="G835" s="155"/>
      <c r="K835" s="255"/>
      <c r="N835" s="255"/>
      <c r="T835" s="256"/>
      <c r="Z835" s="257"/>
    </row>
    <row r="836" ht="15.75" customHeight="1">
      <c r="D836" s="155"/>
      <c r="G836" s="155"/>
      <c r="K836" s="255"/>
      <c r="N836" s="255"/>
      <c r="T836" s="256"/>
      <c r="Z836" s="257"/>
    </row>
    <row r="837" ht="15.75" customHeight="1">
      <c r="D837" s="155"/>
      <c r="G837" s="155"/>
      <c r="K837" s="255"/>
      <c r="N837" s="255"/>
      <c r="T837" s="256"/>
      <c r="Z837" s="257"/>
    </row>
    <row r="838" ht="15.75" customHeight="1">
      <c r="D838" s="155"/>
      <c r="G838" s="155"/>
      <c r="K838" s="255"/>
      <c r="N838" s="255"/>
      <c r="T838" s="256"/>
      <c r="Z838" s="257"/>
    </row>
    <row r="839" ht="15.75" customHeight="1">
      <c r="D839" s="155"/>
      <c r="G839" s="155"/>
      <c r="K839" s="255"/>
      <c r="N839" s="255"/>
      <c r="T839" s="256"/>
      <c r="Z839" s="257"/>
    </row>
    <row r="840" ht="15.75" customHeight="1">
      <c r="D840" s="155"/>
      <c r="G840" s="155"/>
      <c r="K840" s="255"/>
      <c r="N840" s="255"/>
      <c r="T840" s="256"/>
      <c r="Z840" s="257"/>
    </row>
    <row r="841" ht="15.75" customHeight="1">
      <c r="D841" s="155"/>
      <c r="G841" s="155"/>
      <c r="K841" s="255"/>
      <c r="N841" s="255"/>
      <c r="T841" s="256"/>
      <c r="Z841" s="257"/>
    </row>
    <row r="842" ht="15.75" customHeight="1">
      <c r="D842" s="155"/>
      <c r="G842" s="155"/>
      <c r="K842" s="255"/>
      <c r="N842" s="255"/>
      <c r="T842" s="256"/>
      <c r="Z842" s="257"/>
    </row>
    <row r="843" ht="15.75" customHeight="1">
      <c r="D843" s="155"/>
      <c r="G843" s="155"/>
      <c r="K843" s="255"/>
      <c r="N843" s="255"/>
      <c r="T843" s="256"/>
      <c r="Z843" s="257"/>
    </row>
    <row r="844" ht="15.75" customHeight="1">
      <c r="D844" s="155"/>
      <c r="G844" s="155"/>
      <c r="K844" s="255"/>
      <c r="N844" s="255"/>
      <c r="T844" s="256"/>
      <c r="Z844" s="257"/>
    </row>
    <row r="845" ht="15.75" customHeight="1">
      <c r="D845" s="155"/>
      <c r="G845" s="155"/>
      <c r="K845" s="255"/>
      <c r="N845" s="255"/>
      <c r="T845" s="256"/>
      <c r="Z845" s="257"/>
    </row>
    <row r="846" ht="15.75" customHeight="1">
      <c r="D846" s="155"/>
      <c r="G846" s="155"/>
      <c r="K846" s="255"/>
      <c r="N846" s="255"/>
      <c r="T846" s="256"/>
      <c r="Z846" s="257"/>
    </row>
    <row r="847" ht="15.75" customHeight="1">
      <c r="D847" s="155"/>
      <c r="G847" s="155"/>
      <c r="K847" s="255"/>
      <c r="N847" s="255"/>
      <c r="T847" s="256"/>
      <c r="Z847" s="257"/>
    </row>
    <row r="848" ht="15.75" customHeight="1">
      <c r="D848" s="155"/>
      <c r="G848" s="155"/>
      <c r="K848" s="255"/>
      <c r="N848" s="255"/>
      <c r="T848" s="256"/>
      <c r="Z848" s="257"/>
    </row>
    <row r="849" ht="15.75" customHeight="1">
      <c r="D849" s="155"/>
      <c r="G849" s="155"/>
      <c r="K849" s="255"/>
      <c r="N849" s="255"/>
      <c r="T849" s="256"/>
      <c r="Z849" s="257"/>
    </row>
    <row r="850" ht="15.75" customHeight="1">
      <c r="D850" s="155"/>
      <c r="G850" s="155"/>
      <c r="K850" s="255"/>
      <c r="N850" s="255"/>
      <c r="T850" s="256"/>
      <c r="Z850" s="257"/>
    </row>
    <row r="851" ht="15.75" customHeight="1">
      <c r="D851" s="155"/>
      <c r="G851" s="155"/>
      <c r="K851" s="255"/>
      <c r="N851" s="255"/>
      <c r="T851" s="256"/>
      <c r="Z851" s="257"/>
    </row>
    <row r="852" ht="15.75" customHeight="1">
      <c r="D852" s="155"/>
      <c r="G852" s="155"/>
      <c r="K852" s="255"/>
      <c r="N852" s="255"/>
      <c r="T852" s="256"/>
      <c r="Z852" s="257"/>
    </row>
    <row r="853" ht="15.75" customHeight="1">
      <c r="D853" s="155"/>
      <c r="G853" s="155"/>
      <c r="K853" s="255"/>
      <c r="N853" s="255"/>
      <c r="T853" s="256"/>
      <c r="Z853" s="257"/>
    </row>
    <row r="854" ht="15.75" customHeight="1">
      <c r="D854" s="155"/>
      <c r="G854" s="155"/>
      <c r="K854" s="255"/>
      <c r="N854" s="255"/>
      <c r="T854" s="256"/>
      <c r="Z854" s="257"/>
    </row>
    <row r="855" ht="15.75" customHeight="1">
      <c r="D855" s="155"/>
      <c r="G855" s="155"/>
      <c r="K855" s="255"/>
      <c r="N855" s="255"/>
      <c r="T855" s="256"/>
      <c r="Z855" s="257"/>
    </row>
    <row r="856" ht="15.75" customHeight="1">
      <c r="D856" s="155"/>
      <c r="G856" s="155"/>
      <c r="K856" s="255"/>
      <c r="N856" s="255"/>
      <c r="T856" s="256"/>
      <c r="Z856" s="257"/>
    </row>
    <row r="857" ht="15.75" customHeight="1">
      <c r="D857" s="155"/>
      <c r="G857" s="155"/>
      <c r="K857" s="255"/>
      <c r="N857" s="255"/>
      <c r="T857" s="256"/>
      <c r="Z857" s="257"/>
    </row>
    <row r="858" ht="15.75" customHeight="1">
      <c r="D858" s="155"/>
      <c r="G858" s="155"/>
      <c r="K858" s="255"/>
      <c r="N858" s="255"/>
      <c r="T858" s="256"/>
      <c r="Z858" s="257"/>
    </row>
    <row r="859" ht="15.75" customHeight="1">
      <c r="D859" s="155"/>
      <c r="G859" s="155"/>
      <c r="K859" s="255"/>
      <c r="N859" s="255"/>
      <c r="T859" s="256"/>
      <c r="Z859" s="257"/>
    </row>
    <row r="860" ht="15.75" customHeight="1">
      <c r="D860" s="155"/>
      <c r="G860" s="155"/>
      <c r="K860" s="255"/>
      <c r="N860" s="255"/>
      <c r="T860" s="256"/>
      <c r="Z860" s="257"/>
    </row>
    <row r="861" ht="15.75" customHeight="1">
      <c r="D861" s="155"/>
      <c r="G861" s="155"/>
      <c r="K861" s="255"/>
      <c r="N861" s="255"/>
      <c r="T861" s="256"/>
      <c r="Z861" s="257"/>
    </row>
    <row r="862" ht="15.75" customHeight="1">
      <c r="D862" s="155"/>
      <c r="G862" s="155"/>
      <c r="K862" s="255"/>
      <c r="N862" s="255"/>
      <c r="T862" s="256"/>
      <c r="Z862" s="257"/>
    </row>
    <row r="863" ht="15.75" customHeight="1">
      <c r="D863" s="155"/>
      <c r="G863" s="155"/>
      <c r="K863" s="255"/>
      <c r="N863" s="255"/>
      <c r="T863" s="256"/>
      <c r="Z863" s="257"/>
    </row>
    <row r="864" ht="15.75" customHeight="1">
      <c r="D864" s="155"/>
      <c r="G864" s="155"/>
      <c r="K864" s="255"/>
      <c r="N864" s="255"/>
      <c r="T864" s="256"/>
      <c r="Z864" s="257"/>
    </row>
    <row r="865" ht="15.75" customHeight="1">
      <c r="D865" s="155"/>
      <c r="G865" s="155"/>
      <c r="K865" s="255"/>
      <c r="N865" s="255"/>
      <c r="T865" s="256"/>
      <c r="Z865" s="257"/>
    </row>
    <row r="866" ht="15.75" customHeight="1">
      <c r="D866" s="155"/>
      <c r="G866" s="155"/>
      <c r="K866" s="255"/>
      <c r="N866" s="255"/>
      <c r="T866" s="256"/>
      <c r="Z866" s="257"/>
    </row>
    <row r="867" ht="15.75" customHeight="1">
      <c r="D867" s="155"/>
      <c r="G867" s="155"/>
      <c r="K867" s="255"/>
      <c r="N867" s="255"/>
      <c r="T867" s="256"/>
      <c r="Z867" s="257"/>
    </row>
    <row r="868" ht="15.75" customHeight="1">
      <c r="D868" s="155"/>
      <c r="G868" s="155"/>
      <c r="K868" s="255"/>
      <c r="N868" s="255"/>
      <c r="T868" s="256"/>
      <c r="Z868" s="257"/>
    </row>
    <row r="869" ht="15.75" customHeight="1">
      <c r="D869" s="155"/>
      <c r="G869" s="155"/>
      <c r="K869" s="255"/>
      <c r="N869" s="255"/>
      <c r="T869" s="256"/>
      <c r="Z869" s="257"/>
    </row>
    <row r="870" ht="15.75" customHeight="1">
      <c r="D870" s="155"/>
      <c r="G870" s="155"/>
      <c r="K870" s="255"/>
      <c r="N870" s="255"/>
      <c r="T870" s="256"/>
      <c r="Z870" s="257"/>
    </row>
    <row r="871" ht="15.75" customHeight="1">
      <c r="D871" s="155"/>
      <c r="G871" s="155"/>
      <c r="K871" s="255"/>
      <c r="N871" s="255"/>
      <c r="T871" s="256"/>
      <c r="Z871" s="257"/>
    </row>
    <row r="872" ht="15.75" customHeight="1">
      <c r="D872" s="155"/>
      <c r="G872" s="155"/>
      <c r="K872" s="255"/>
      <c r="N872" s="255"/>
      <c r="T872" s="256"/>
      <c r="Z872" s="257"/>
    </row>
    <row r="873" ht="15.75" customHeight="1">
      <c r="D873" s="155"/>
      <c r="G873" s="155"/>
      <c r="K873" s="255"/>
      <c r="N873" s="255"/>
      <c r="T873" s="256"/>
      <c r="Z873" s="257"/>
    </row>
    <row r="874" ht="15.75" customHeight="1">
      <c r="D874" s="155"/>
      <c r="G874" s="155"/>
      <c r="K874" s="255"/>
      <c r="N874" s="255"/>
      <c r="T874" s="256"/>
      <c r="Z874" s="257"/>
    </row>
    <row r="875" ht="15.75" customHeight="1">
      <c r="D875" s="155"/>
      <c r="G875" s="155"/>
      <c r="K875" s="255"/>
      <c r="N875" s="255"/>
      <c r="T875" s="256"/>
      <c r="Z875" s="257"/>
    </row>
    <row r="876" ht="15.75" customHeight="1">
      <c r="D876" s="155"/>
      <c r="G876" s="155"/>
      <c r="K876" s="255"/>
      <c r="N876" s="255"/>
      <c r="T876" s="256"/>
      <c r="Z876" s="257"/>
    </row>
    <row r="877" ht="15.75" customHeight="1">
      <c r="D877" s="155"/>
      <c r="G877" s="155"/>
      <c r="K877" s="255"/>
      <c r="N877" s="255"/>
      <c r="T877" s="256"/>
      <c r="Z877" s="257"/>
    </row>
    <row r="878" ht="15.75" customHeight="1">
      <c r="D878" s="155"/>
      <c r="G878" s="155"/>
      <c r="K878" s="255"/>
      <c r="N878" s="255"/>
      <c r="T878" s="256"/>
      <c r="Z878" s="257"/>
    </row>
    <row r="879" ht="15.75" customHeight="1">
      <c r="D879" s="155"/>
      <c r="G879" s="155"/>
      <c r="K879" s="255"/>
      <c r="N879" s="255"/>
      <c r="T879" s="256"/>
      <c r="Z879" s="257"/>
    </row>
    <row r="880" ht="15.75" customHeight="1">
      <c r="D880" s="155"/>
      <c r="G880" s="155"/>
      <c r="K880" s="255"/>
      <c r="N880" s="255"/>
      <c r="T880" s="256"/>
      <c r="Z880" s="257"/>
    </row>
    <row r="881" ht="15.75" customHeight="1">
      <c r="D881" s="155"/>
      <c r="G881" s="155"/>
      <c r="K881" s="255"/>
      <c r="N881" s="255"/>
      <c r="T881" s="256"/>
      <c r="Z881" s="257"/>
    </row>
    <row r="882" ht="15.75" customHeight="1">
      <c r="D882" s="155"/>
      <c r="G882" s="155"/>
      <c r="K882" s="255"/>
      <c r="N882" s="255"/>
      <c r="T882" s="256"/>
      <c r="Z882" s="257"/>
    </row>
    <row r="883" ht="15.75" customHeight="1">
      <c r="D883" s="155"/>
      <c r="G883" s="155"/>
      <c r="K883" s="255"/>
      <c r="N883" s="255"/>
      <c r="T883" s="256"/>
      <c r="Z883" s="257"/>
    </row>
    <row r="884" ht="15.75" customHeight="1">
      <c r="D884" s="155"/>
      <c r="G884" s="155"/>
      <c r="K884" s="255"/>
      <c r="N884" s="255"/>
      <c r="T884" s="256"/>
      <c r="Z884" s="257"/>
    </row>
    <row r="885" ht="15.75" customHeight="1">
      <c r="D885" s="155"/>
      <c r="G885" s="155"/>
      <c r="K885" s="255"/>
      <c r="N885" s="255"/>
      <c r="T885" s="256"/>
      <c r="Z885" s="257"/>
    </row>
    <row r="886" ht="15.75" customHeight="1">
      <c r="D886" s="155"/>
      <c r="G886" s="155"/>
      <c r="K886" s="255"/>
      <c r="N886" s="255"/>
      <c r="T886" s="256"/>
      <c r="Z886" s="257"/>
    </row>
    <row r="887" ht="15.75" customHeight="1">
      <c r="D887" s="155"/>
      <c r="G887" s="155"/>
      <c r="K887" s="255"/>
      <c r="N887" s="255"/>
      <c r="T887" s="256"/>
      <c r="Z887" s="257"/>
    </row>
    <row r="888" ht="15.75" customHeight="1">
      <c r="D888" s="155"/>
      <c r="G888" s="155"/>
      <c r="K888" s="255"/>
      <c r="N888" s="255"/>
      <c r="T888" s="256"/>
      <c r="Z888" s="257"/>
    </row>
    <row r="889" ht="15.75" customHeight="1">
      <c r="D889" s="155"/>
      <c r="G889" s="155"/>
      <c r="K889" s="255"/>
      <c r="N889" s="255"/>
      <c r="T889" s="256"/>
      <c r="Z889" s="257"/>
    </row>
    <row r="890" ht="15.75" customHeight="1">
      <c r="D890" s="155"/>
      <c r="G890" s="155"/>
      <c r="K890" s="255"/>
      <c r="N890" s="255"/>
      <c r="T890" s="256"/>
      <c r="Z890" s="257"/>
    </row>
    <row r="891" ht="15.75" customHeight="1">
      <c r="D891" s="155"/>
      <c r="G891" s="155"/>
      <c r="K891" s="255"/>
      <c r="N891" s="255"/>
      <c r="T891" s="256"/>
      <c r="Z891" s="257"/>
    </row>
    <row r="892" ht="15.75" customHeight="1">
      <c r="D892" s="155"/>
      <c r="G892" s="155"/>
      <c r="K892" s="255"/>
      <c r="N892" s="255"/>
      <c r="T892" s="256"/>
      <c r="Z892" s="257"/>
    </row>
    <row r="893" ht="15.75" customHeight="1">
      <c r="D893" s="155"/>
      <c r="G893" s="155"/>
      <c r="K893" s="255"/>
      <c r="N893" s="255"/>
      <c r="T893" s="256"/>
      <c r="Z893" s="257"/>
    </row>
    <row r="894" ht="15.75" customHeight="1">
      <c r="D894" s="155"/>
      <c r="G894" s="155"/>
      <c r="K894" s="255"/>
      <c r="N894" s="255"/>
      <c r="T894" s="256"/>
      <c r="Z894" s="257"/>
    </row>
    <row r="895" ht="15.75" customHeight="1">
      <c r="D895" s="155"/>
      <c r="G895" s="155"/>
      <c r="K895" s="255"/>
      <c r="N895" s="255"/>
      <c r="T895" s="256"/>
      <c r="Z895" s="257"/>
    </row>
    <row r="896" ht="15.75" customHeight="1">
      <c r="D896" s="155"/>
      <c r="G896" s="155"/>
      <c r="K896" s="255"/>
      <c r="N896" s="255"/>
      <c r="T896" s="256"/>
      <c r="Z896" s="257"/>
    </row>
    <row r="897" ht="15.75" customHeight="1">
      <c r="D897" s="155"/>
      <c r="G897" s="155"/>
      <c r="K897" s="255"/>
      <c r="N897" s="255"/>
      <c r="T897" s="256"/>
      <c r="Z897" s="257"/>
    </row>
    <row r="898" ht="15.75" customHeight="1">
      <c r="D898" s="155"/>
      <c r="G898" s="155"/>
      <c r="K898" s="255"/>
      <c r="N898" s="255"/>
      <c r="T898" s="256"/>
      <c r="Z898" s="257"/>
    </row>
    <row r="899" ht="15.75" customHeight="1">
      <c r="D899" s="155"/>
      <c r="G899" s="155"/>
      <c r="K899" s="255"/>
      <c r="N899" s="255"/>
      <c r="T899" s="256"/>
      <c r="Z899" s="257"/>
    </row>
    <row r="900" ht="15.75" customHeight="1">
      <c r="D900" s="155"/>
      <c r="G900" s="155"/>
      <c r="K900" s="255"/>
      <c r="N900" s="255"/>
      <c r="T900" s="256"/>
      <c r="Z900" s="257"/>
    </row>
    <row r="901" ht="15.75" customHeight="1">
      <c r="D901" s="155"/>
      <c r="G901" s="155"/>
      <c r="K901" s="255"/>
      <c r="N901" s="255"/>
      <c r="T901" s="256"/>
      <c r="Z901" s="257"/>
    </row>
    <row r="902" ht="15.75" customHeight="1">
      <c r="D902" s="155"/>
      <c r="G902" s="155"/>
      <c r="K902" s="255"/>
      <c r="N902" s="255"/>
      <c r="T902" s="256"/>
      <c r="Z902" s="257"/>
    </row>
    <row r="903" ht="15.75" customHeight="1">
      <c r="D903" s="155"/>
      <c r="G903" s="155"/>
      <c r="K903" s="255"/>
      <c r="N903" s="255"/>
      <c r="T903" s="256"/>
      <c r="Z903" s="257"/>
    </row>
    <row r="904" ht="15.75" customHeight="1">
      <c r="D904" s="155"/>
      <c r="G904" s="155"/>
      <c r="K904" s="255"/>
      <c r="N904" s="255"/>
      <c r="T904" s="256"/>
      <c r="Z904" s="257"/>
    </row>
    <row r="905" ht="15.75" customHeight="1">
      <c r="D905" s="155"/>
      <c r="G905" s="155"/>
      <c r="K905" s="255"/>
      <c r="N905" s="255"/>
      <c r="T905" s="256"/>
      <c r="Z905" s="257"/>
    </row>
    <row r="906" ht="15.75" customHeight="1">
      <c r="D906" s="155"/>
      <c r="G906" s="155"/>
      <c r="K906" s="255"/>
      <c r="N906" s="255"/>
      <c r="T906" s="256"/>
      <c r="Z906" s="257"/>
    </row>
    <row r="907" ht="15.75" customHeight="1">
      <c r="D907" s="155"/>
      <c r="G907" s="155"/>
      <c r="K907" s="255"/>
      <c r="N907" s="255"/>
      <c r="T907" s="256"/>
      <c r="Z907" s="257"/>
    </row>
    <row r="908" ht="15.75" customHeight="1">
      <c r="D908" s="155"/>
      <c r="G908" s="155"/>
      <c r="K908" s="255"/>
      <c r="N908" s="255"/>
      <c r="T908" s="256"/>
      <c r="Z908" s="257"/>
    </row>
    <row r="909" ht="15.75" customHeight="1">
      <c r="D909" s="155"/>
      <c r="G909" s="155"/>
      <c r="K909" s="255"/>
      <c r="N909" s="255"/>
      <c r="T909" s="256"/>
      <c r="Z909" s="257"/>
    </row>
    <row r="910" ht="15.75" customHeight="1">
      <c r="D910" s="155"/>
      <c r="G910" s="155"/>
      <c r="K910" s="255"/>
      <c r="N910" s="255"/>
      <c r="T910" s="256"/>
      <c r="Z910" s="257"/>
    </row>
    <row r="911" ht="15.75" customHeight="1">
      <c r="D911" s="155"/>
      <c r="G911" s="155"/>
      <c r="K911" s="255"/>
      <c r="N911" s="255"/>
      <c r="T911" s="256"/>
      <c r="Z911" s="257"/>
    </row>
    <row r="912" ht="15.75" customHeight="1">
      <c r="D912" s="155"/>
      <c r="G912" s="155"/>
      <c r="K912" s="255"/>
      <c r="N912" s="255"/>
      <c r="T912" s="256"/>
      <c r="Z912" s="257"/>
    </row>
    <row r="913" ht="15.75" customHeight="1">
      <c r="D913" s="155"/>
      <c r="G913" s="155"/>
      <c r="K913" s="255"/>
      <c r="N913" s="255"/>
      <c r="T913" s="256"/>
      <c r="Z913" s="257"/>
    </row>
    <row r="914" ht="15.75" customHeight="1">
      <c r="D914" s="155"/>
      <c r="G914" s="155"/>
      <c r="K914" s="255"/>
      <c r="N914" s="255"/>
      <c r="T914" s="256"/>
      <c r="Z914" s="257"/>
    </row>
    <row r="915" ht="15.75" customHeight="1">
      <c r="D915" s="155"/>
      <c r="G915" s="155"/>
      <c r="K915" s="255"/>
      <c r="N915" s="255"/>
      <c r="T915" s="256"/>
      <c r="Z915" s="257"/>
    </row>
    <row r="916" ht="15.75" customHeight="1">
      <c r="D916" s="155"/>
      <c r="G916" s="155"/>
      <c r="K916" s="255"/>
      <c r="N916" s="255"/>
      <c r="T916" s="256"/>
      <c r="Z916" s="257"/>
    </row>
    <row r="917" ht="15.75" customHeight="1">
      <c r="D917" s="155"/>
      <c r="G917" s="155"/>
      <c r="K917" s="255"/>
      <c r="N917" s="255"/>
      <c r="T917" s="256"/>
      <c r="Z917" s="257"/>
    </row>
    <row r="918" ht="15.75" customHeight="1">
      <c r="D918" s="155"/>
      <c r="G918" s="155"/>
      <c r="K918" s="255"/>
      <c r="N918" s="255"/>
      <c r="T918" s="256"/>
      <c r="Z918" s="257"/>
    </row>
    <row r="919" ht="15.75" customHeight="1">
      <c r="D919" s="155"/>
      <c r="G919" s="155"/>
      <c r="K919" s="255"/>
      <c r="N919" s="255"/>
      <c r="T919" s="256"/>
      <c r="Z919" s="257"/>
    </row>
    <row r="920" ht="15.75" customHeight="1">
      <c r="D920" s="155"/>
      <c r="G920" s="155"/>
      <c r="K920" s="255"/>
      <c r="N920" s="255"/>
      <c r="T920" s="256"/>
      <c r="Z920" s="257"/>
    </row>
    <row r="921" ht="15.75" customHeight="1">
      <c r="D921" s="155"/>
      <c r="G921" s="155"/>
      <c r="K921" s="255"/>
      <c r="N921" s="255"/>
      <c r="T921" s="256"/>
      <c r="Z921" s="257"/>
    </row>
    <row r="922" ht="15.75" customHeight="1">
      <c r="D922" s="155"/>
      <c r="G922" s="155"/>
      <c r="K922" s="255"/>
      <c r="N922" s="255"/>
      <c r="T922" s="256"/>
      <c r="Z922" s="257"/>
    </row>
    <row r="923" ht="15.75" customHeight="1">
      <c r="D923" s="155"/>
      <c r="G923" s="155"/>
      <c r="K923" s="255"/>
      <c r="N923" s="255"/>
      <c r="T923" s="256"/>
      <c r="Z923" s="257"/>
    </row>
    <row r="924" ht="15.75" customHeight="1">
      <c r="D924" s="155"/>
      <c r="G924" s="155"/>
      <c r="K924" s="255"/>
      <c r="N924" s="255"/>
      <c r="T924" s="256"/>
      <c r="Z924" s="257"/>
    </row>
    <row r="925" ht="15.75" customHeight="1">
      <c r="D925" s="155"/>
      <c r="G925" s="155"/>
      <c r="K925" s="255"/>
      <c r="N925" s="255"/>
      <c r="T925" s="256"/>
      <c r="Z925" s="257"/>
    </row>
    <row r="926" ht="15.75" customHeight="1">
      <c r="D926" s="155"/>
      <c r="G926" s="155"/>
      <c r="K926" s="255"/>
      <c r="N926" s="255"/>
      <c r="T926" s="256"/>
      <c r="Z926" s="257"/>
    </row>
    <row r="927" ht="15.75" customHeight="1">
      <c r="D927" s="155"/>
      <c r="G927" s="155"/>
      <c r="K927" s="255"/>
      <c r="N927" s="255"/>
      <c r="T927" s="256"/>
      <c r="Z927" s="257"/>
    </row>
    <row r="928" ht="15.75" customHeight="1">
      <c r="D928" s="155"/>
      <c r="G928" s="155"/>
      <c r="K928" s="255"/>
      <c r="N928" s="255"/>
      <c r="T928" s="256"/>
      <c r="Z928" s="257"/>
    </row>
    <row r="929" ht="15.75" customHeight="1">
      <c r="D929" s="155"/>
      <c r="G929" s="155"/>
      <c r="K929" s="255"/>
      <c r="N929" s="255"/>
      <c r="T929" s="256"/>
      <c r="Z929" s="257"/>
    </row>
    <row r="930" ht="15.75" customHeight="1">
      <c r="D930" s="155"/>
      <c r="G930" s="155"/>
      <c r="K930" s="255"/>
      <c r="N930" s="255"/>
      <c r="T930" s="256"/>
      <c r="Z930" s="257"/>
    </row>
    <row r="931" ht="15.75" customHeight="1">
      <c r="D931" s="155"/>
      <c r="G931" s="155"/>
      <c r="K931" s="255"/>
      <c r="N931" s="255"/>
      <c r="T931" s="256"/>
      <c r="Z931" s="257"/>
    </row>
    <row r="932" ht="15.75" customHeight="1">
      <c r="D932" s="155"/>
      <c r="G932" s="155"/>
      <c r="K932" s="255"/>
      <c r="N932" s="255"/>
      <c r="T932" s="256"/>
      <c r="Z932" s="257"/>
    </row>
    <row r="933" ht="15.75" customHeight="1">
      <c r="D933" s="155"/>
      <c r="G933" s="155"/>
      <c r="K933" s="255"/>
      <c r="N933" s="255"/>
      <c r="T933" s="256"/>
      <c r="Z933" s="257"/>
    </row>
    <row r="934" ht="15.75" customHeight="1">
      <c r="D934" s="155"/>
      <c r="G934" s="155"/>
      <c r="K934" s="255"/>
      <c r="N934" s="255"/>
      <c r="T934" s="256"/>
      <c r="Z934" s="257"/>
    </row>
    <row r="935" ht="15.75" customHeight="1">
      <c r="D935" s="155"/>
      <c r="G935" s="155"/>
      <c r="K935" s="255"/>
      <c r="N935" s="255"/>
      <c r="T935" s="256"/>
      <c r="Z935" s="257"/>
    </row>
    <row r="936" ht="15.75" customHeight="1">
      <c r="D936" s="155"/>
      <c r="G936" s="155"/>
      <c r="K936" s="255"/>
      <c r="N936" s="255"/>
      <c r="T936" s="256"/>
      <c r="Z936" s="257"/>
    </row>
    <row r="937" ht="15.75" customHeight="1">
      <c r="D937" s="155"/>
      <c r="G937" s="155"/>
      <c r="K937" s="255"/>
      <c r="N937" s="255"/>
      <c r="T937" s="256"/>
      <c r="Z937" s="257"/>
    </row>
    <row r="938" ht="15.75" customHeight="1">
      <c r="D938" s="155"/>
      <c r="G938" s="155"/>
      <c r="K938" s="255"/>
      <c r="N938" s="255"/>
      <c r="T938" s="256"/>
      <c r="Z938" s="257"/>
    </row>
    <row r="939" ht="15.75" customHeight="1">
      <c r="D939" s="155"/>
      <c r="G939" s="155"/>
      <c r="K939" s="255"/>
      <c r="N939" s="255"/>
      <c r="T939" s="256"/>
      <c r="Z939" s="257"/>
    </row>
    <row r="940" ht="15.75" customHeight="1">
      <c r="D940" s="155"/>
      <c r="G940" s="155"/>
      <c r="K940" s="255"/>
      <c r="N940" s="255"/>
      <c r="T940" s="256"/>
      <c r="Z940" s="257"/>
    </row>
    <row r="941" ht="15.75" customHeight="1">
      <c r="D941" s="155"/>
      <c r="G941" s="155"/>
      <c r="K941" s="255"/>
      <c r="N941" s="255"/>
      <c r="T941" s="256"/>
      <c r="Z941" s="257"/>
    </row>
    <row r="942" ht="15.75" customHeight="1">
      <c r="D942" s="155"/>
      <c r="G942" s="155"/>
      <c r="K942" s="255"/>
      <c r="N942" s="255"/>
      <c r="T942" s="256"/>
      <c r="Z942" s="257"/>
    </row>
    <row r="943" ht="15.75" customHeight="1">
      <c r="D943" s="155"/>
      <c r="G943" s="155"/>
      <c r="K943" s="255"/>
      <c r="N943" s="255"/>
      <c r="T943" s="256"/>
      <c r="Z943" s="257"/>
    </row>
    <row r="944" ht="15.75" customHeight="1">
      <c r="D944" s="155"/>
      <c r="G944" s="155"/>
      <c r="K944" s="255"/>
      <c r="N944" s="255"/>
      <c r="T944" s="256"/>
      <c r="Z944" s="257"/>
    </row>
    <row r="945" ht="15.75" customHeight="1">
      <c r="D945" s="155"/>
      <c r="G945" s="155"/>
      <c r="K945" s="255"/>
      <c r="N945" s="255"/>
      <c r="T945" s="256"/>
      <c r="Z945" s="257"/>
    </row>
    <row r="946" ht="15.75" customHeight="1">
      <c r="D946" s="155"/>
      <c r="G946" s="155"/>
      <c r="K946" s="255"/>
      <c r="N946" s="255"/>
      <c r="T946" s="256"/>
      <c r="Z946" s="257"/>
    </row>
    <row r="947" ht="15.75" customHeight="1">
      <c r="D947" s="155"/>
      <c r="G947" s="155"/>
      <c r="K947" s="255"/>
      <c r="N947" s="255"/>
      <c r="T947" s="256"/>
      <c r="Z947" s="257"/>
    </row>
    <row r="948" ht="15.75" customHeight="1">
      <c r="D948" s="155"/>
      <c r="G948" s="155"/>
      <c r="K948" s="255"/>
      <c r="N948" s="255"/>
      <c r="T948" s="256"/>
      <c r="Z948" s="257"/>
    </row>
    <row r="949" ht="15.75" customHeight="1">
      <c r="D949" s="155"/>
      <c r="G949" s="155"/>
      <c r="K949" s="255"/>
      <c r="N949" s="255"/>
      <c r="T949" s="256"/>
      <c r="Z949" s="257"/>
    </row>
    <row r="950" ht="15.75" customHeight="1">
      <c r="D950" s="155"/>
      <c r="G950" s="155"/>
      <c r="K950" s="255"/>
      <c r="N950" s="255"/>
      <c r="T950" s="256"/>
      <c r="Z950" s="257"/>
    </row>
    <row r="951" ht="15.75" customHeight="1">
      <c r="D951" s="155"/>
      <c r="G951" s="155"/>
      <c r="K951" s="255"/>
      <c r="N951" s="255"/>
      <c r="T951" s="256"/>
      <c r="Z951" s="257"/>
    </row>
    <row r="952" ht="15.75" customHeight="1">
      <c r="D952" s="155"/>
      <c r="G952" s="155"/>
      <c r="K952" s="255"/>
      <c r="N952" s="255"/>
      <c r="T952" s="256"/>
      <c r="Z952" s="257"/>
    </row>
    <row r="953" ht="15.75" customHeight="1">
      <c r="D953" s="155"/>
      <c r="G953" s="155"/>
      <c r="K953" s="255"/>
      <c r="N953" s="255"/>
      <c r="T953" s="256"/>
      <c r="Z953" s="257"/>
    </row>
    <row r="954" ht="15.75" customHeight="1">
      <c r="D954" s="155"/>
      <c r="G954" s="155"/>
      <c r="K954" s="255"/>
      <c r="N954" s="255"/>
      <c r="T954" s="256"/>
      <c r="Z954" s="257"/>
    </row>
    <row r="955" ht="15.75" customHeight="1">
      <c r="D955" s="155"/>
      <c r="G955" s="155"/>
      <c r="K955" s="255"/>
      <c r="N955" s="255"/>
      <c r="T955" s="256"/>
      <c r="Z955" s="257"/>
    </row>
    <row r="956" ht="15.75" customHeight="1">
      <c r="D956" s="155"/>
      <c r="G956" s="155"/>
      <c r="K956" s="255"/>
      <c r="N956" s="255"/>
      <c r="T956" s="256"/>
      <c r="Z956" s="257"/>
    </row>
    <row r="957" ht="15.75" customHeight="1">
      <c r="D957" s="155"/>
      <c r="G957" s="155"/>
      <c r="K957" s="255"/>
      <c r="N957" s="255"/>
      <c r="T957" s="256"/>
      <c r="Z957" s="257"/>
    </row>
    <row r="958" ht="15.75" customHeight="1">
      <c r="D958" s="155"/>
      <c r="G958" s="155"/>
      <c r="K958" s="255"/>
      <c r="N958" s="255"/>
      <c r="T958" s="256"/>
      <c r="Z958" s="257"/>
    </row>
    <row r="959" ht="15.75" customHeight="1">
      <c r="D959" s="155"/>
      <c r="G959" s="155"/>
      <c r="K959" s="255"/>
      <c r="N959" s="255"/>
      <c r="T959" s="256"/>
      <c r="Z959" s="257"/>
    </row>
    <row r="960" ht="15.75" customHeight="1">
      <c r="D960" s="155"/>
      <c r="G960" s="155"/>
      <c r="K960" s="255"/>
      <c r="N960" s="255"/>
      <c r="T960" s="256"/>
      <c r="Z960" s="257"/>
    </row>
    <row r="961" ht="15.75" customHeight="1">
      <c r="D961" s="155"/>
      <c r="G961" s="155"/>
      <c r="K961" s="255"/>
      <c r="N961" s="255"/>
      <c r="T961" s="256"/>
      <c r="Z961" s="257"/>
    </row>
    <row r="962" ht="15.75" customHeight="1">
      <c r="D962" s="155"/>
      <c r="G962" s="155"/>
      <c r="K962" s="255"/>
      <c r="N962" s="255"/>
      <c r="T962" s="256"/>
      <c r="Z962" s="257"/>
    </row>
    <row r="963" ht="15.75" customHeight="1">
      <c r="D963" s="155"/>
      <c r="G963" s="155"/>
      <c r="K963" s="255"/>
      <c r="N963" s="255"/>
      <c r="T963" s="256"/>
      <c r="Z963" s="257"/>
    </row>
    <row r="964" ht="15.75" customHeight="1">
      <c r="D964" s="155"/>
      <c r="G964" s="155"/>
      <c r="K964" s="255"/>
      <c r="N964" s="255"/>
      <c r="T964" s="256"/>
      <c r="Z964" s="257"/>
    </row>
    <row r="965" ht="15.75" customHeight="1">
      <c r="D965" s="155"/>
      <c r="G965" s="155"/>
      <c r="K965" s="255"/>
      <c r="N965" s="255"/>
      <c r="T965" s="256"/>
      <c r="Z965" s="257"/>
    </row>
    <row r="966" ht="15.75" customHeight="1">
      <c r="D966" s="155"/>
      <c r="G966" s="155"/>
      <c r="K966" s="255"/>
      <c r="N966" s="255"/>
      <c r="T966" s="256"/>
      <c r="Z966" s="257"/>
    </row>
    <row r="967" ht="15.75" customHeight="1">
      <c r="D967" s="155"/>
      <c r="G967" s="155"/>
      <c r="K967" s="255"/>
      <c r="N967" s="255"/>
      <c r="T967" s="256"/>
      <c r="Z967" s="257"/>
    </row>
    <row r="968" ht="15.75" customHeight="1">
      <c r="D968" s="155"/>
      <c r="G968" s="155"/>
      <c r="K968" s="255"/>
      <c r="N968" s="255"/>
      <c r="T968" s="256"/>
      <c r="Z968" s="257"/>
    </row>
    <row r="969" ht="15.75" customHeight="1">
      <c r="D969" s="155"/>
      <c r="G969" s="155"/>
      <c r="K969" s="255"/>
      <c r="N969" s="255"/>
      <c r="T969" s="256"/>
      <c r="Z969" s="257"/>
    </row>
    <row r="970" ht="15.75" customHeight="1">
      <c r="D970" s="155"/>
      <c r="G970" s="155"/>
      <c r="K970" s="255"/>
      <c r="N970" s="255"/>
      <c r="T970" s="256"/>
      <c r="Z970" s="257"/>
    </row>
    <row r="971" ht="15.75" customHeight="1">
      <c r="D971" s="155"/>
      <c r="G971" s="155"/>
      <c r="K971" s="255"/>
      <c r="N971" s="255"/>
      <c r="T971" s="256"/>
      <c r="Z971" s="257"/>
    </row>
    <row r="972" ht="15.75" customHeight="1">
      <c r="D972" s="155"/>
      <c r="G972" s="155"/>
      <c r="K972" s="255"/>
      <c r="N972" s="255"/>
      <c r="T972" s="256"/>
      <c r="Z972" s="257"/>
    </row>
    <row r="973" ht="15.75" customHeight="1">
      <c r="D973" s="155"/>
      <c r="G973" s="155"/>
      <c r="K973" s="255"/>
      <c r="N973" s="255"/>
      <c r="T973" s="256"/>
      <c r="Z973" s="257"/>
    </row>
    <row r="974" ht="15.75" customHeight="1">
      <c r="D974" s="155"/>
      <c r="G974" s="155"/>
      <c r="K974" s="255"/>
      <c r="N974" s="255"/>
      <c r="T974" s="256"/>
      <c r="Z974" s="257"/>
    </row>
    <row r="975" ht="15.75" customHeight="1">
      <c r="D975" s="155"/>
      <c r="G975" s="155"/>
      <c r="K975" s="255"/>
      <c r="N975" s="255"/>
      <c r="T975" s="256"/>
      <c r="Z975" s="257"/>
    </row>
    <row r="976" ht="15.75" customHeight="1">
      <c r="D976" s="155"/>
      <c r="G976" s="155"/>
      <c r="K976" s="255"/>
      <c r="N976" s="255"/>
      <c r="T976" s="256"/>
      <c r="Z976" s="257"/>
    </row>
    <row r="977" ht="15.75" customHeight="1">
      <c r="D977" s="155"/>
      <c r="G977" s="155"/>
      <c r="K977" s="255"/>
      <c r="N977" s="255"/>
      <c r="T977" s="256"/>
      <c r="Z977" s="257"/>
    </row>
    <row r="978" ht="15.75" customHeight="1">
      <c r="D978" s="155"/>
      <c r="G978" s="155"/>
      <c r="K978" s="255"/>
      <c r="N978" s="255"/>
      <c r="T978" s="256"/>
      <c r="Z978" s="257"/>
    </row>
    <row r="979" ht="15.75" customHeight="1">
      <c r="D979" s="155"/>
      <c r="G979" s="155"/>
      <c r="K979" s="255"/>
      <c r="N979" s="255"/>
      <c r="T979" s="256"/>
      <c r="Z979" s="257"/>
    </row>
    <row r="980" ht="15.75" customHeight="1">
      <c r="D980" s="155"/>
      <c r="G980" s="155"/>
      <c r="K980" s="255"/>
      <c r="N980" s="255"/>
      <c r="T980" s="256"/>
      <c r="Z980" s="257"/>
    </row>
    <row r="981" ht="15.75" customHeight="1">
      <c r="D981" s="155"/>
      <c r="G981" s="155"/>
      <c r="K981" s="255"/>
      <c r="N981" s="255"/>
      <c r="T981" s="256"/>
      <c r="Z981" s="257"/>
    </row>
    <row r="982" ht="15.75" customHeight="1">
      <c r="D982" s="155"/>
      <c r="G982" s="155"/>
      <c r="K982" s="255"/>
      <c r="N982" s="255"/>
      <c r="T982" s="256"/>
      <c r="Z982" s="257"/>
    </row>
    <row r="983" ht="15.75" customHeight="1">
      <c r="D983" s="155"/>
      <c r="G983" s="155"/>
      <c r="K983" s="255"/>
      <c r="N983" s="255"/>
      <c r="T983" s="256"/>
      <c r="Z983" s="257"/>
    </row>
    <row r="984" ht="15.75" customHeight="1">
      <c r="D984" s="155"/>
      <c r="G984" s="155"/>
      <c r="K984" s="255"/>
      <c r="N984" s="255"/>
      <c r="T984" s="256"/>
      <c r="Z984" s="257"/>
    </row>
    <row r="985" ht="15.75" customHeight="1">
      <c r="D985" s="155"/>
      <c r="G985" s="155"/>
      <c r="K985" s="255"/>
      <c r="N985" s="255"/>
      <c r="T985" s="256"/>
      <c r="Z985" s="257"/>
    </row>
    <row r="986" ht="15.75" customHeight="1">
      <c r="D986" s="155"/>
      <c r="G986" s="155"/>
      <c r="K986" s="255"/>
      <c r="N986" s="255"/>
      <c r="T986" s="256"/>
      <c r="Z986" s="257"/>
    </row>
    <row r="987" ht="15.75" customHeight="1">
      <c r="D987" s="155"/>
      <c r="G987" s="155"/>
      <c r="K987" s="255"/>
      <c r="N987" s="255"/>
      <c r="T987" s="256"/>
      <c r="Z987" s="257"/>
    </row>
    <row r="988" ht="15.75" customHeight="1">
      <c r="D988" s="155"/>
      <c r="G988" s="155"/>
      <c r="K988" s="255"/>
      <c r="N988" s="255"/>
      <c r="T988" s="256"/>
      <c r="Z988" s="257"/>
    </row>
    <row r="989" ht="15.75" customHeight="1">
      <c r="D989" s="155"/>
      <c r="G989" s="155"/>
      <c r="K989" s="255"/>
      <c r="N989" s="255"/>
      <c r="T989" s="256"/>
      <c r="Z989" s="257"/>
    </row>
    <row r="990" ht="15.75" customHeight="1">
      <c r="D990" s="155"/>
      <c r="G990" s="155"/>
      <c r="K990" s="255"/>
      <c r="N990" s="255"/>
      <c r="T990" s="256"/>
      <c r="Z990" s="257"/>
    </row>
    <row r="991" ht="15.75" customHeight="1">
      <c r="D991" s="155"/>
      <c r="G991" s="155"/>
      <c r="K991" s="255"/>
      <c r="N991" s="255"/>
      <c r="T991" s="256"/>
      <c r="Z991" s="257"/>
    </row>
    <row r="992" ht="15.75" customHeight="1">
      <c r="D992" s="155"/>
      <c r="G992" s="155"/>
      <c r="K992" s="255"/>
      <c r="N992" s="255"/>
      <c r="T992" s="256"/>
      <c r="Z992" s="257"/>
    </row>
    <row r="993" ht="15.75" customHeight="1">
      <c r="D993" s="155"/>
      <c r="G993" s="155"/>
      <c r="K993" s="255"/>
      <c r="N993" s="255"/>
      <c r="T993" s="256"/>
      <c r="Z993" s="257"/>
    </row>
    <row r="994" ht="15.75" customHeight="1">
      <c r="D994" s="155"/>
      <c r="G994" s="155"/>
      <c r="K994" s="255"/>
      <c r="N994" s="255"/>
      <c r="T994" s="256"/>
      <c r="Z994" s="257"/>
    </row>
    <row r="995" ht="15.75" customHeight="1">
      <c r="D995" s="155"/>
      <c r="G995" s="155"/>
      <c r="K995" s="255"/>
      <c r="N995" s="255"/>
      <c r="T995" s="256"/>
      <c r="Z995" s="257"/>
    </row>
    <row r="996" ht="15.75" customHeight="1">
      <c r="D996" s="155"/>
      <c r="G996" s="155"/>
      <c r="K996" s="255"/>
      <c r="N996" s="255"/>
      <c r="T996" s="256"/>
      <c r="Z996" s="257"/>
    </row>
    <row r="997" ht="15.75" customHeight="1">
      <c r="D997" s="155"/>
      <c r="G997" s="155"/>
      <c r="K997" s="255"/>
      <c r="N997" s="255"/>
      <c r="T997" s="256"/>
      <c r="Z997" s="257"/>
    </row>
    <row r="998" ht="15.75" customHeight="1">
      <c r="D998" s="155"/>
      <c r="G998" s="155"/>
      <c r="K998" s="255"/>
      <c r="N998" s="255"/>
      <c r="T998" s="256"/>
      <c r="Z998" s="257"/>
    </row>
    <row r="999" ht="15.75" customHeight="1">
      <c r="D999" s="155"/>
      <c r="G999" s="155"/>
      <c r="K999" s="255"/>
      <c r="N999" s="255"/>
      <c r="T999" s="256"/>
      <c r="Z999" s="257"/>
    </row>
    <row r="1000" ht="15.75" customHeight="1">
      <c r="D1000" s="155"/>
      <c r="G1000" s="155"/>
      <c r="K1000" s="255"/>
      <c r="N1000" s="255"/>
      <c r="T1000" s="256"/>
      <c r="Z1000" s="257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65" t="s">
        <v>10</v>
      </c>
      <c r="C1" s="92"/>
      <c r="D1" s="93"/>
      <c r="E1" s="265" t="s">
        <v>17</v>
      </c>
      <c r="F1" s="92"/>
      <c r="G1" s="93"/>
      <c r="H1" s="266" t="s">
        <v>25</v>
      </c>
      <c r="I1" s="92"/>
      <c r="J1" s="93"/>
      <c r="K1" s="267" t="s">
        <v>33</v>
      </c>
      <c r="L1" s="92"/>
      <c r="M1" s="93"/>
      <c r="N1" s="267" t="s">
        <v>41</v>
      </c>
      <c r="O1" s="92"/>
      <c r="P1" s="93"/>
      <c r="Q1" s="268" t="s">
        <v>127</v>
      </c>
      <c r="R1" s="92"/>
      <c r="S1" s="93"/>
      <c r="T1" s="269" t="s">
        <v>52</v>
      </c>
      <c r="U1" s="92"/>
      <c r="V1" s="93"/>
      <c r="W1" s="269" t="s">
        <v>59</v>
      </c>
      <c r="X1" s="92"/>
      <c r="Y1" s="93"/>
      <c r="Z1" s="269" t="s">
        <v>66</v>
      </c>
      <c r="AA1" s="92"/>
      <c r="AB1" s="93"/>
      <c r="AC1" s="269" t="s">
        <v>67</v>
      </c>
      <c r="AD1" s="92"/>
      <c r="AE1" s="93"/>
      <c r="AF1" s="269" t="s">
        <v>74</v>
      </c>
      <c r="AG1" s="92"/>
      <c r="AH1" s="93"/>
      <c r="AI1" s="270" t="s">
        <v>76</v>
      </c>
      <c r="AJ1" s="98" t="s">
        <v>128</v>
      </c>
    </row>
    <row r="2" ht="24.0" customHeight="1">
      <c r="A2" s="99"/>
      <c r="B2" s="271" t="s">
        <v>129</v>
      </c>
      <c r="C2" s="272" t="s">
        <v>82</v>
      </c>
      <c r="D2" s="273" t="s">
        <v>130</v>
      </c>
      <c r="E2" s="271" t="s">
        <v>129</v>
      </c>
      <c r="F2" s="272" t="s">
        <v>82</v>
      </c>
      <c r="G2" s="273" t="s">
        <v>130</v>
      </c>
      <c r="H2" s="271" t="s">
        <v>129</v>
      </c>
      <c r="I2" s="272" t="s">
        <v>82</v>
      </c>
      <c r="J2" s="273" t="s">
        <v>130</v>
      </c>
      <c r="K2" s="271" t="s">
        <v>129</v>
      </c>
      <c r="L2" s="272" t="s">
        <v>82</v>
      </c>
      <c r="M2" s="273" t="s">
        <v>130</v>
      </c>
      <c r="N2" s="271" t="s">
        <v>129</v>
      </c>
      <c r="O2" s="272" t="s">
        <v>82</v>
      </c>
      <c r="P2" s="273" t="s">
        <v>130</v>
      </c>
      <c r="Q2" s="271" t="s">
        <v>129</v>
      </c>
      <c r="R2" s="272" t="s">
        <v>82</v>
      </c>
      <c r="S2" s="273" t="s">
        <v>130</v>
      </c>
      <c r="T2" s="271" t="s">
        <v>129</v>
      </c>
      <c r="U2" s="272" t="s">
        <v>82</v>
      </c>
      <c r="V2" s="273" t="s">
        <v>130</v>
      </c>
      <c r="W2" s="271" t="s">
        <v>129</v>
      </c>
      <c r="X2" s="272" t="s">
        <v>82</v>
      </c>
      <c r="Y2" s="273" t="s">
        <v>130</v>
      </c>
      <c r="Z2" s="271" t="s">
        <v>129</v>
      </c>
      <c r="AA2" s="272" t="s">
        <v>82</v>
      </c>
      <c r="AB2" s="273" t="s">
        <v>130</v>
      </c>
      <c r="AC2" s="271" t="s">
        <v>129</v>
      </c>
      <c r="AD2" s="272" t="s">
        <v>82</v>
      </c>
      <c r="AE2" s="273" t="s">
        <v>130</v>
      </c>
      <c r="AF2" s="271" t="s">
        <v>129</v>
      </c>
      <c r="AG2" s="272" t="s">
        <v>82</v>
      </c>
      <c r="AH2" s="273" t="s">
        <v>130</v>
      </c>
      <c r="AI2" s="271" t="s">
        <v>129</v>
      </c>
      <c r="AJ2" s="103"/>
    </row>
    <row r="3" ht="21.75" customHeight="1">
      <c r="A3" s="104" t="s">
        <v>147</v>
      </c>
      <c r="B3" s="274">
        <f>100%+'Period Tables'!I3</f>
        <v>0.0005532557023</v>
      </c>
      <c r="C3" s="275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276">
        <f>100%+'Period Tables'!F3</f>
        <v>0.0007062562533</v>
      </c>
      <c r="F3" s="275">
        <f t="shared" ref="F3:F8" si="3">IFERROR(ROUND(ifs(E3="","",E3&gt;=1.15,5,E3&gt;=1.075,4+(E3-1.075)/0.075,E3&gt;=1.05,3+(E3-1.05)/0.025,E3&gt;=1,2+(E3-1)/0.05,E3&gt;=0.95,1+(E3-0.95)/0.05,TRUE(),0),1),"")</f>
        <v>0</v>
      </c>
      <c r="G3" s="107">
        <f t="shared" ref="G3:G8" si="4">IF(F3="","",F3*F$9)</f>
        <v>0</v>
      </c>
      <c r="H3" s="277" t="str">
        <f>100%+'Period Tables'!V3</f>
        <v>#DIV/0!</v>
      </c>
      <c r="I3" s="275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78">
        <f>'Period Tables'!L3*100</f>
        <v>-30.8</v>
      </c>
      <c r="L3" s="275">
        <f t="shared" ref="L3:L8" si="7">IFERROR(ROUND(IFS(K3="","",K3&gt;=3,0,K3&gt;=2,1+(3-K3)/1,K3&gt;=1,2+(2-K3)/1,K3&gt;0,3+(1-K3)/1,K3&gt;=-1,4+(0-K3)/1,TRUE,5),1),"")</f>
        <v>5</v>
      </c>
      <c r="M3" s="107">
        <f t="shared" ref="M3:M8" si="8">IF(L3="","",L3*L$9)</f>
        <v>0.525</v>
      </c>
      <c r="N3" s="279">
        <f>'Period Tables'!O3*100</f>
        <v>-26.4</v>
      </c>
      <c r="O3" s="275">
        <f t="shared" ref="O3:O8" si="9">IFERROR(ROUND(IFS(N3="","",N3&gt;=3,0,N3&gt;=2,1+(3-N3)/1,N3&gt;=1,2+(2-N3)/1,N3&gt;0,3+(1-N3)/1,N3&gt;=-1,4+(0-N3)/1,TRUE,5),1),"")</f>
        <v>5</v>
      </c>
      <c r="P3" s="107">
        <f t="shared" ref="P3:P8" si="10">IF(O3="","",O3*O$9)</f>
        <v>0.525</v>
      </c>
      <c r="Q3" s="280">
        <f>'Period Tables'!E12</f>
        <v>5</v>
      </c>
      <c r="R3" s="275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1">
        <f>'Period Tables'!I20</f>
        <v>0.0405</v>
      </c>
      <c r="U3" s="275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2">
        <f>'Period Tables'!H31</f>
        <v>0.57</v>
      </c>
      <c r="X3" s="275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3">
        <f>'Period Tables'!E20</f>
        <v>4</v>
      </c>
      <c r="AA3" s="275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284">
        <v>92.0</v>
      </c>
      <c r="AD3" s="275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5">
        <v>90.0</v>
      </c>
      <c r="AG3" s="275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286">
        <v>0.85</v>
      </c>
      <c r="AJ3" s="287">
        <f t="shared" ref="AJ3:AJ8" si="23">SUM(D3,G3,J3,M3,P3,S3,V3,Y3,AB3,AE3,AH3)</f>
        <v>3.439</v>
      </c>
    </row>
    <row r="4" ht="21.75" customHeight="1">
      <c r="A4" s="104" t="s">
        <v>131</v>
      </c>
      <c r="B4" s="274">
        <f>100%+'Period Tables'!I4</f>
        <v>0.9467067078</v>
      </c>
      <c r="C4" s="275">
        <f t="shared" si="1"/>
        <v>1.9</v>
      </c>
      <c r="D4" s="107">
        <f t="shared" si="2"/>
        <v>0.076</v>
      </c>
      <c r="E4" s="276">
        <f>100%+'Period Tables'!F4</f>
        <v>1.096515182</v>
      </c>
      <c r="F4" s="275">
        <f t="shared" si="3"/>
        <v>4.3</v>
      </c>
      <c r="G4" s="107">
        <f t="shared" si="4"/>
        <v>0.172</v>
      </c>
      <c r="H4" s="277" t="str">
        <f>100%+'Period Tables'!V4</f>
        <v>#DIV/0!</v>
      </c>
      <c r="I4" s="275" t="str">
        <f t="shared" si="5"/>
        <v/>
      </c>
      <c r="J4" s="107" t="str">
        <f t="shared" si="6"/>
        <v/>
      </c>
      <c r="K4" s="278">
        <f>'Period Tables'!L4*100</f>
        <v>-2.7</v>
      </c>
      <c r="L4" s="275">
        <f t="shared" si="7"/>
        <v>5</v>
      </c>
      <c r="M4" s="107">
        <f t="shared" si="8"/>
        <v>0.525</v>
      </c>
      <c r="N4" s="279">
        <f>'Period Tables'!O4*100</f>
        <v>-3.4</v>
      </c>
      <c r="O4" s="275">
        <f t="shared" si="9"/>
        <v>5</v>
      </c>
      <c r="P4" s="107">
        <f t="shared" si="10"/>
        <v>0.525</v>
      </c>
      <c r="Q4" s="280">
        <f>'Period Tables'!E15</f>
        <v>4.67</v>
      </c>
      <c r="R4" s="275">
        <f t="shared" si="11"/>
        <v>4.9</v>
      </c>
      <c r="S4" s="107">
        <f t="shared" si="12"/>
        <v>1.029</v>
      </c>
      <c r="T4" s="281">
        <f>'Period Tables'!I23</f>
        <v>0.0315</v>
      </c>
      <c r="U4" s="275">
        <f t="shared" si="13"/>
        <v>2.4</v>
      </c>
      <c r="V4" s="107">
        <f t="shared" si="14"/>
        <v>0.204</v>
      </c>
      <c r="W4" s="282">
        <f>'Period Tables'!H34</f>
        <v>1.48</v>
      </c>
      <c r="X4" s="275">
        <f t="shared" si="15"/>
        <v>4</v>
      </c>
      <c r="Y4" s="107">
        <f t="shared" si="16"/>
        <v>0.26</v>
      </c>
      <c r="Z4" s="283">
        <f>'Period Tables'!E23</f>
        <v>4.4</v>
      </c>
      <c r="AA4" s="275">
        <f t="shared" si="17"/>
        <v>3.5</v>
      </c>
      <c r="AB4" s="107">
        <f t="shared" si="18"/>
        <v>0.2275</v>
      </c>
      <c r="AC4" s="284">
        <v>88.0</v>
      </c>
      <c r="AD4" s="275">
        <f t="shared" si="19"/>
        <v>3.8</v>
      </c>
      <c r="AE4" s="107">
        <f t="shared" si="20"/>
        <v>0.399</v>
      </c>
      <c r="AF4" s="288">
        <v>86.0</v>
      </c>
      <c r="AG4" s="275">
        <f t="shared" si="21"/>
        <v>3.5</v>
      </c>
      <c r="AH4" s="107">
        <f t="shared" si="22"/>
        <v>0.1925</v>
      </c>
      <c r="AI4" s="286">
        <v>0.87</v>
      </c>
      <c r="AJ4" s="289">
        <f t="shared" si="23"/>
        <v>3.61</v>
      </c>
    </row>
    <row r="5" ht="21.75" customHeight="1">
      <c r="A5" s="104" t="s">
        <v>132</v>
      </c>
      <c r="B5" s="274">
        <f>100%+'Period Tables'!I5</f>
        <v>1.019066238</v>
      </c>
      <c r="C5" s="275">
        <f t="shared" si="1"/>
        <v>4</v>
      </c>
      <c r="D5" s="107">
        <f t="shared" si="2"/>
        <v>0.16</v>
      </c>
      <c r="E5" s="276">
        <f>100%+'Period Tables'!F5</f>
        <v>1.376106051</v>
      </c>
      <c r="F5" s="275">
        <f t="shared" si="3"/>
        <v>5</v>
      </c>
      <c r="G5" s="107">
        <f t="shared" si="4"/>
        <v>0.2</v>
      </c>
      <c r="H5" s="277" t="str">
        <f>100%+'Period Tables'!V5</f>
        <v>#DIV/0!</v>
      </c>
      <c r="I5" s="275" t="str">
        <f t="shared" si="5"/>
        <v/>
      </c>
      <c r="J5" s="107" t="str">
        <f t="shared" si="6"/>
        <v/>
      </c>
      <c r="K5" s="278">
        <f>'Period Tables'!L5*100</f>
        <v>2.4</v>
      </c>
      <c r="L5" s="275">
        <f t="shared" si="7"/>
        <v>1.6</v>
      </c>
      <c r="M5" s="107">
        <f t="shared" si="8"/>
        <v>0.168</v>
      </c>
      <c r="N5" s="279">
        <f>'Period Tables'!O5*100</f>
        <v>1.1</v>
      </c>
      <c r="O5" s="275">
        <f t="shared" si="9"/>
        <v>2.9</v>
      </c>
      <c r="P5" s="107">
        <f t="shared" si="10"/>
        <v>0.3045</v>
      </c>
      <c r="Q5" s="280">
        <f>'Period Tables'!E13</f>
        <v>3</v>
      </c>
      <c r="R5" s="275">
        <f t="shared" si="11"/>
        <v>0</v>
      </c>
      <c r="S5" s="107">
        <f t="shared" si="12"/>
        <v>0</v>
      </c>
      <c r="T5" s="281">
        <f>'Period Tables'!I21</f>
        <v>0.0264</v>
      </c>
      <c r="U5" s="275">
        <f t="shared" si="13"/>
        <v>2.7</v>
      </c>
      <c r="V5" s="107">
        <f t="shared" si="14"/>
        <v>0.2295</v>
      </c>
      <c r="W5" s="282">
        <f>'Period Tables'!H32</f>
        <v>0.59</v>
      </c>
      <c r="X5" s="275">
        <f t="shared" si="15"/>
        <v>5</v>
      </c>
      <c r="Y5" s="107">
        <f t="shared" si="16"/>
        <v>0.325</v>
      </c>
      <c r="Z5" s="283">
        <f>'Period Tables'!E21</f>
        <v>4.5</v>
      </c>
      <c r="AA5" s="275">
        <f t="shared" si="17"/>
        <v>4</v>
      </c>
      <c r="AB5" s="107">
        <f t="shared" si="18"/>
        <v>0.26</v>
      </c>
      <c r="AC5" s="284">
        <v>91.0</v>
      </c>
      <c r="AD5" s="275">
        <f t="shared" si="19"/>
        <v>4.4</v>
      </c>
      <c r="AE5" s="107">
        <f t="shared" si="20"/>
        <v>0.462</v>
      </c>
      <c r="AF5" s="288">
        <v>93.0</v>
      </c>
      <c r="AG5" s="275">
        <f t="shared" si="21"/>
        <v>4.8</v>
      </c>
      <c r="AH5" s="107">
        <f t="shared" si="22"/>
        <v>0.264</v>
      </c>
      <c r="AI5" s="286">
        <v>0.93</v>
      </c>
      <c r="AJ5" s="289">
        <f t="shared" si="23"/>
        <v>2.373</v>
      </c>
    </row>
    <row r="6" ht="21.75" customHeight="1">
      <c r="A6" s="104" t="s">
        <v>133</v>
      </c>
      <c r="B6" s="274">
        <f>100%+'Period Tables'!I6</f>
        <v>1.217244909</v>
      </c>
      <c r="C6" s="275">
        <f t="shared" si="1"/>
        <v>5</v>
      </c>
      <c r="D6" s="107">
        <f t="shared" si="2"/>
        <v>0.2</v>
      </c>
      <c r="E6" s="276">
        <f>100%+'Period Tables'!F6</f>
        <v>1.428578772</v>
      </c>
      <c r="F6" s="275">
        <f t="shared" si="3"/>
        <v>5</v>
      </c>
      <c r="G6" s="107">
        <f t="shared" si="4"/>
        <v>0.2</v>
      </c>
      <c r="H6" s="277" t="str">
        <f>100%+'Period Tables'!V6</f>
        <v>#DIV/0!</v>
      </c>
      <c r="I6" s="275" t="str">
        <f t="shared" si="5"/>
        <v/>
      </c>
      <c r="J6" s="107" t="str">
        <f t="shared" si="6"/>
        <v/>
      </c>
      <c r="K6" s="278">
        <f>'Period Tables'!L6*100</f>
        <v>-4.1</v>
      </c>
      <c r="L6" s="275">
        <f t="shared" si="7"/>
        <v>5</v>
      </c>
      <c r="M6" s="107">
        <f t="shared" si="8"/>
        <v>0.525</v>
      </c>
      <c r="N6" s="279">
        <f>'Period Tables'!O6*100</f>
        <v>0.2</v>
      </c>
      <c r="O6" s="275">
        <f t="shared" si="9"/>
        <v>3.8</v>
      </c>
      <c r="P6" s="107">
        <f t="shared" si="10"/>
        <v>0.399</v>
      </c>
      <c r="Q6" s="280">
        <f>'Period Tables'!E14</f>
        <v>4.33</v>
      </c>
      <c r="R6" s="275">
        <f t="shared" si="11"/>
        <v>3.2</v>
      </c>
      <c r="S6" s="107">
        <f t="shared" si="12"/>
        <v>0.672</v>
      </c>
      <c r="T6" s="281">
        <f>'Period Tables'!I22</f>
        <v>0.0315</v>
      </c>
      <c r="U6" s="275">
        <f t="shared" si="13"/>
        <v>2.4</v>
      </c>
      <c r="V6" s="107">
        <f t="shared" si="14"/>
        <v>0.204</v>
      </c>
      <c r="W6" s="282">
        <f>'Period Tables'!H33</f>
        <v>1.14</v>
      </c>
      <c r="X6" s="275">
        <f t="shared" si="15"/>
        <v>4.7</v>
      </c>
      <c r="Y6" s="107">
        <f t="shared" si="16"/>
        <v>0.3055</v>
      </c>
      <c r="Z6" s="283">
        <f>'Period Tables'!E22</f>
        <v>4.3</v>
      </c>
      <c r="AA6" s="275">
        <f t="shared" si="17"/>
        <v>3</v>
      </c>
      <c r="AB6" s="107">
        <f t="shared" si="18"/>
        <v>0.195</v>
      </c>
      <c r="AC6" s="284">
        <v>78.0</v>
      </c>
      <c r="AD6" s="275">
        <f t="shared" si="19"/>
        <v>2.4</v>
      </c>
      <c r="AE6" s="107">
        <f t="shared" si="20"/>
        <v>0.252</v>
      </c>
      <c r="AF6" s="285">
        <v>75.0</v>
      </c>
      <c r="AG6" s="275">
        <f t="shared" si="21"/>
        <v>2</v>
      </c>
      <c r="AH6" s="107">
        <f t="shared" si="22"/>
        <v>0.11</v>
      </c>
      <c r="AI6" s="286">
        <v>0.8</v>
      </c>
      <c r="AJ6" s="289">
        <f t="shared" si="23"/>
        <v>3.0625</v>
      </c>
    </row>
    <row r="7" ht="21.75" customHeight="1">
      <c r="A7" s="125" t="s">
        <v>134</v>
      </c>
      <c r="B7" s="274">
        <f>100%+'Period Tables'!I7</f>
        <v>0.8707731308</v>
      </c>
      <c r="C7" s="275">
        <f t="shared" si="1"/>
        <v>0</v>
      </c>
      <c r="D7" s="107">
        <f t="shared" si="2"/>
        <v>0</v>
      </c>
      <c r="E7" s="276">
        <f>100%+'Period Tables'!F7</f>
        <v>1.089097662</v>
      </c>
      <c r="F7" s="275">
        <f t="shared" si="3"/>
        <v>4.2</v>
      </c>
      <c r="G7" s="107">
        <f t="shared" si="4"/>
        <v>0.168</v>
      </c>
      <c r="H7" s="277" t="str">
        <f>100%+'Period Tables'!V7</f>
        <v>#DIV/0!</v>
      </c>
      <c r="I7" s="275" t="str">
        <f t="shared" si="5"/>
        <v/>
      </c>
      <c r="J7" s="107" t="str">
        <f t="shared" si="6"/>
        <v/>
      </c>
      <c r="K7" s="278">
        <f>'Period Tables'!L7*100</f>
        <v>-0.7</v>
      </c>
      <c r="L7" s="275">
        <f t="shared" si="7"/>
        <v>4.7</v>
      </c>
      <c r="M7" s="107">
        <f t="shared" si="8"/>
        <v>0.4935</v>
      </c>
      <c r="N7" s="279">
        <f>'Period Tables'!O7*100</f>
        <v>3.3</v>
      </c>
      <c r="O7" s="275">
        <f t="shared" si="9"/>
        <v>0</v>
      </c>
      <c r="P7" s="107">
        <f t="shared" si="10"/>
        <v>0</v>
      </c>
      <c r="Q7" s="280">
        <f>'Period Tables'!E16</f>
        <v>4.47</v>
      </c>
      <c r="R7" s="275">
        <f t="shared" si="11"/>
        <v>3.9</v>
      </c>
      <c r="S7" s="107">
        <f t="shared" si="12"/>
        <v>0.819</v>
      </c>
      <c r="T7" s="281">
        <f>'Period Tables'!I24</f>
        <v>0.045</v>
      </c>
      <c r="U7" s="275">
        <f t="shared" si="13"/>
        <v>1.8</v>
      </c>
      <c r="V7" s="107">
        <f t="shared" si="14"/>
        <v>0.153</v>
      </c>
      <c r="W7" s="282">
        <f>'Period Tables'!H30</f>
        <v>2.03</v>
      </c>
      <c r="X7" s="275">
        <f t="shared" si="15"/>
        <v>3</v>
      </c>
      <c r="Y7" s="107">
        <f t="shared" si="16"/>
        <v>0.195</v>
      </c>
      <c r="Z7" s="283">
        <f>'Period Tables'!E24</f>
        <v>4.3</v>
      </c>
      <c r="AA7" s="275">
        <f t="shared" si="17"/>
        <v>3</v>
      </c>
      <c r="AB7" s="107">
        <f t="shared" si="18"/>
        <v>0.195</v>
      </c>
      <c r="AC7" s="284">
        <v>77.0</v>
      </c>
      <c r="AD7" s="275">
        <f t="shared" si="19"/>
        <v>2.3</v>
      </c>
      <c r="AE7" s="107">
        <f t="shared" si="20"/>
        <v>0.2415</v>
      </c>
      <c r="AF7" s="288">
        <v>74.0</v>
      </c>
      <c r="AG7" s="275">
        <f t="shared" si="21"/>
        <v>1.8</v>
      </c>
      <c r="AH7" s="107">
        <f t="shared" si="22"/>
        <v>0.099</v>
      </c>
      <c r="AI7" s="286">
        <v>0.78</v>
      </c>
      <c r="AJ7" s="290">
        <f t="shared" si="23"/>
        <v>2.364</v>
      </c>
    </row>
    <row r="8" ht="21.75" customHeight="1">
      <c r="A8" s="129" t="s">
        <v>135</v>
      </c>
      <c r="B8" s="291">
        <f>100%+'Period Tables'!I8</f>
        <v>0.8524253197</v>
      </c>
      <c r="C8" s="292">
        <f t="shared" si="1"/>
        <v>0</v>
      </c>
      <c r="D8" s="132">
        <f t="shared" si="2"/>
        <v>0</v>
      </c>
      <c r="E8" s="293">
        <f>100%+'Period Tables'!F8</f>
        <v>1.064243935</v>
      </c>
      <c r="F8" s="292">
        <f t="shared" si="3"/>
        <v>3.6</v>
      </c>
      <c r="G8" s="132">
        <f t="shared" si="4"/>
        <v>0.144</v>
      </c>
      <c r="H8" s="294" t="str">
        <f>100%+'Period Tables'!V8</f>
        <v>#DIV/0!</v>
      </c>
      <c r="I8" s="292" t="str">
        <f t="shared" si="5"/>
        <v/>
      </c>
      <c r="J8" s="132" t="str">
        <f t="shared" si="6"/>
        <v/>
      </c>
      <c r="K8" s="295">
        <f>'Period Tables'!L8*100</f>
        <v>-1.9</v>
      </c>
      <c r="L8" s="292">
        <f t="shared" si="7"/>
        <v>5</v>
      </c>
      <c r="M8" s="132">
        <f t="shared" si="8"/>
        <v>0.525</v>
      </c>
      <c r="N8" s="296">
        <f>'Period Tables'!O8*100</f>
        <v>-0.1</v>
      </c>
      <c r="O8" s="292">
        <f t="shared" si="9"/>
        <v>4.1</v>
      </c>
      <c r="P8" s="132">
        <f t="shared" si="10"/>
        <v>0.4305</v>
      </c>
      <c r="Q8" s="297">
        <f>'Period Tables'!E17</f>
        <v>4.294</v>
      </c>
      <c r="R8" s="292">
        <f t="shared" si="11"/>
        <v>3</v>
      </c>
      <c r="S8" s="132">
        <f t="shared" si="12"/>
        <v>0.63</v>
      </c>
      <c r="T8" s="298">
        <f>'Period Tables'!I25</f>
        <v>0.03498</v>
      </c>
      <c r="U8" s="292">
        <f t="shared" si="13"/>
        <v>2.3</v>
      </c>
      <c r="V8" s="132">
        <f t="shared" si="14"/>
        <v>0.1955</v>
      </c>
      <c r="W8" s="299">
        <f>'Period Tables'!H35</f>
        <v>1.19</v>
      </c>
      <c r="X8" s="292">
        <f t="shared" si="15"/>
        <v>4.6</v>
      </c>
      <c r="Y8" s="132">
        <f t="shared" si="16"/>
        <v>0.299</v>
      </c>
      <c r="Z8" s="300">
        <f>'Period Tables'!E25</f>
        <v>4.3</v>
      </c>
      <c r="AA8" s="292">
        <f t="shared" si="17"/>
        <v>3</v>
      </c>
      <c r="AB8" s="132">
        <f t="shared" si="18"/>
        <v>0.195</v>
      </c>
      <c r="AC8" s="301">
        <f>AVERAGE(AC3:AC7)</f>
        <v>85.2</v>
      </c>
      <c r="AD8" s="292">
        <f t="shared" si="19"/>
        <v>3.4</v>
      </c>
      <c r="AE8" s="132">
        <f t="shared" si="20"/>
        <v>0.357</v>
      </c>
      <c r="AF8" s="301">
        <f>AVERAGE(AF3:AF7)</f>
        <v>83.6</v>
      </c>
      <c r="AG8" s="292">
        <f t="shared" si="21"/>
        <v>3.1</v>
      </c>
      <c r="AH8" s="132">
        <f t="shared" si="22"/>
        <v>0.1705</v>
      </c>
      <c r="AI8" s="302">
        <f>AVERAGE(AI3:AI7)</f>
        <v>0.846</v>
      </c>
      <c r="AJ8" s="303">
        <f t="shared" si="23"/>
        <v>2.9465</v>
      </c>
    </row>
    <row r="9" ht="19.5" customHeight="1">
      <c r="A9" s="142" t="s">
        <v>136</v>
      </c>
      <c r="B9" s="143"/>
      <c r="C9" s="304">
        <f>'Scoring Matrix'!C42</f>
        <v>0.04</v>
      </c>
      <c r="D9" s="145"/>
      <c r="E9" s="143"/>
      <c r="F9" s="304">
        <f>'Scoring Matrix'!C44</f>
        <v>0.04</v>
      </c>
      <c r="G9" s="145"/>
      <c r="H9" s="143"/>
      <c r="I9" s="304">
        <f>'Scoring Matrix'!C46</f>
        <v>0.125</v>
      </c>
      <c r="J9" s="145"/>
      <c r="K9" s="143"/>
      <c r="L9" s="304">
        <f>'Scoring Matrix'!C48</f>
        <v>0.105</v>
      </c>
      <c r="M9" s="145"/>
      <c r="N9" s="143"/>
      <c r="O9" s="304">
        <f>'Scoring Matrix'!C50</f>
        <v>0.105</v>
      </c>
      <c r="P9" s="145"/>
      <c r="Q9" s="143"/>
      <c r="R9" s="304">
        <f>'Scoring Matrix'!C52</f>
        <v>0.21</v>
      </c>
      <c r="S9" s="145"/>
      <c r="T9" s="143"/>
      <c r="U9" s="304">
        <f>'Scoring Matrix'!C54</f>
        <v>0.085</v>
      </c>
      <c r="V9" s="145"/>
      <c r="W9" s="143"/>
      <c r="X9" s="304">
        <f>'Scoring Matrix'!C56</f>
        <v>0.065</v>
      </c>
      <c r="Y9" s="145"/>
      <c r="Z9" s="143"/>
      <c r="AA9" s="304">
        <f>'Scoring Matrix'!C58</f>
        <v>0.065</v>
      </c>
      <c r="AB9" s="145"/>
      <c r="AC9" s="143"/>
      <c r="AD9" s="304">
        <f>'Scoring Matrix'!C60</f>
        <v>0.105</v>
      </c>
      <c r="AE9" s="145"/>
      <c r="AF9" s="143"/>
      <c r="AG9" s="304">
        <f>'Scoring Matrix'!C62</f>
        <v>0.055</v>
      </c>
      <c r="AH9" s="145"/>
      <c r="AI9" s="305"/>
      <c r="AJ9" s="15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6" t="s">
        <v>138</v>
      </c>
      <c r="B1" s="306" t="s">
        <v>10</v>
      </c>
      <c r="C1" s="306" t="s">
        <v>82</v>
      </c>
      <c r="D1" s="307" t="s">
        <v>130</v>
      </c>
      <c r="E1" s="306" t="s">
        <v>17</v>
      </c>
      <c r="F1" s="306" t="s">
        <v>82</v>
      </c>
      <c r="G1" s="307" t="s">
        <v>130</v>
      </c>
      <c r="H1" s="306" t="s">
        <v>25</v>
      </c>
      <c r="I1" s="306" t="s">
        <v>82</v>
      </c>
      <c r="J1" s="306" t="s">
        <v>130</v>
      </c>
      <c r="K1" s="308" t="s">
        <v>142</v>
      </c>
      <c r="L1" s="306" t="s">
        <v>82</v>
      </c>
      <c r="M1" s="306" t="s">
        <v>130</v>
      </c>
      <c r="N1" s="308" t="s">
        <v>143</v>
      </c>
      <c r="O1" s="306" t="s">
        <v>82</v>
      </c>
      <c r="P1" s="306" t="s">
        <v>130</v>
      </c>
      <c r="Q1" s="306" t="s">
        <v>44</v>
      </c>
      <c r="R1" s="306" t="s">
        <v>82</v>
      </c>
      <c r="S1" s="306" t="s">
        <v>130</v>
      </c>
      <c r="T1" s="306" t="s">
        <v>51</v>
      </c>
      <c r="U1" s="306" t="s">
        <v>82</v>
      </c>
      <c r="V1" s="306" t="s">
        <v>130</v>
      </c>
      <c r="W1" s="306" t="s">
        <v>52</v>
      </c>
      <c r="X1" s="306" t="s">
        <v>82</v>
      </c>
      <c r="Y1" s="306" t="s">
        <v>130</v>
      </c>
      <c r="Z1" s="309" t="s">
        <v>59</v>
      </c>
      <c r="AA1" s="306" t="s">
        <v>82</v>
      </c>
      <c r="AB1" s="306" t="s">
        <v>130</v>
      </c>
      <c r="AC1" s="306" t="s">
        <v>66</v>
      </c>
      <c r="AD1" s="306" t="s">
        <v>82</v>
      </c>
      <c r="AE1" s="306" t="s">
        <v>130</v>
      </c>
      <c r="AF1" s="306" t="s">
        <v>67</v>
      </c>
      <c r="AG1" s="306" t="s">
        <v>82</v>
      </c>
      <c r="AH1" s="306" t="s">
        <v>130</v>
      </c>
      <c r="AI1" s="306" t="s">
        <v>74</v>
      </c>
      <c r="AJ1" s="306" t="s">
        <v>82</v>
      </c>
      <c r="AK1" s="306" t="s">
        <v>130</v>
      </c>
      <c r="AL1" s="306" t="s">
        <v>144</v>
      </c>
      <c r="AM1" s="306" t="s">
        <v>82</v>
      </c>
      <c r="AN1" s="306" t="s">
        <v>130</v>
      </c>
      <c r="AO1" s="306" t="s">
        <v>145</v>
      </c>
      <c r="AP1" s="306" t="s">
        <v>146</v>
      </c>
      <c r="AQ1" s="190"/>
      <c r="AR1" s="190"/>
      <c r="AS1" s="190"/>
      <c r="AT1" s="190"/>
      <c r="AU1" s="190"/>
    </row>
    <row r="2">
      <c r="A2" s="310" t="s">
        <v>147</v>
      </c>
      <c r="B2" s="311">
        <f>100%+'Period Tables'!I3</f>
        <v>0.0005532557023</v>
      </c>
      <c r="C2" s="312">
        <f t="shared" ref="C2:C6" si="1">IFS(B2="", "", B2&lt;90%,0, B2&lt;95%,1, B2&lt;=98%,2, B2&lt;=101%,3, B2&lt;=105%,4, TRUE,5)</f>
        <v>0</v>
      </c>
      <c r="D2" s="313">
        <f t="shared" ref="D2:D6" si="2">IF(C2="","",C2*5/100)</f>
        <v>0</v>
      </c>
      <c r="E2" s="314">
        <f>100%+'Period Tables'!F3</f>
        <v>0.0007062562533</v>
      </c>
      <c r="F2" s="315">
        <f t="shared" ref="F2:F6" si="3">IFS(E2="", "", E2&lt;90%,0, E2&lt;95%,1, E2&lt;=98%,2, E2&lt;=101%,3, E2&lt;=105%,4, TRUE,5)</f>
        <v>0</v>
      </c>
      <c r="G2" s="316">
        <f t="shared" ref="G2:G6" si="4">IF(F2="","",F2*5/100)</f>
        <v>0</v>
      </c>
      <c r="H2" s="317" t="str">
        <f>100%+'Period Tables'!V3</f>
        <v>#DIV/0!</v>
      </c>
      <c r="I2" s="318" t="str">
        <f t="shared" ref="I2:I6" si="5">IFS(H2="", "", H2&lt;75%,0, H2&lt;85%,1, H2&lt;95%,2, H2&lt;=100%,3, H2&lt;=105%,4, TRUE,5)</f>
        <v>#DIV/0!</v>
      </c>
      <c r="J2" s="319" t="str">
        <f t="shared" ref="J2:J6" si="6">IF(I2="","",I2*15/100)</f>
        <v>#DIV/0!</v>
      </c>
      <c r="K2" s="320">
        <f>'Period Tables'!L3*100</f>
        <v>-30.8</v>
      </c>
      <c r="L2" s="315">
        <f t="shared" ref="L2:L6" si="7">IFS(K2="", "", K2&gt;=3,0, K2&gt;=2,1, K2&gt;=1,2, K2&gt;=0,3, K2&lt;=-1,5, K2&lt;=-0.5,4, TRUE,3)</f>
        <v>5</v>
      </c>
      <c r="M2" s="321">
        <f t="shared" ref="M2:M6" si="8">IF(L2="","",L2*12.5/100)</f>
        <v>0.625</v>
      </c>
      <c r="N2" s="322">
        <f>'Period Tables'!O3*100</f>
        <v>-26.4</v>
      </c>
      <c r="O2" s="312">
        <f t="shared" ref="O2:O6" si="9">IFS(N2="", "", N2&gt;=3,0, N2&gt;=2,1, N2&gt;=1,2, N2&gt;=0,3, N2&lt;=-1,5, N2&lt;=-0.5,4, TRUE,3)</f>
        <v>5</v>
      </c>
      <c r="P2" s="323">
        <f t="shared" ref="P2:P6" si="10">IF(O2="","",O2*12.5/100)</f>
        <v>0.625</v>
      </c>
      <c r="Q2" s="324">
        <f>'Period Tables'!H12</f>
        <v>5</v>
      </c>
      <c r="R2" s="312">
        <f t="shared" ref="R2:R6" si="11">IFS(Q2="", "", Q2="NA","" ,Q2&lt;3.8,0, Q2&lt;4,1, Q2&lt;4.3,2, Q2&lt;4.5,3, Q2&lt;4.7,4, TRUE,5)</f>
        <v>5</v>
      </c>
      <c r="S2" s="321">
        <f t="shared" ref="S2:S6" si="12">IF(R2="","",R2*17.5/100)</f>
        <v>0.875</v>
      </c>
      <c r="T2" s="325" t="str">
        <f>'Period Tables'!F12</f>
        <v>NA</v>
      </c>
      <c r="U2" s="312" t="str">
        <f t="shared" ref="U2:U6" si="13">IFS(T2="", "", T2="NA","" ,T2&lt;3.8,0, T2&lt;4,1, T2&lt;4.3,2, T2&lt;4.5,3, T2&lt;4.7,4, TRUE,5)</f>
        <v/>
      </c>
      <c r="V2" s="323" t="str">
        <f t="shared" ref="V2:V6" si="14">IF(U2="","",U2*7.5/100)</f>
        <v/>
      </c>
      <c r="W2" s="326">
        <f>'Period Tables'!I20</f>
        <v>0.0405</v>
      </c>
      <c r="X2" s="315">
        <f t="shared" ref="X2:X6" si="15">IFS(W2="", "", W2&gt;6%,0, W2&gt;4%,1, W2&gt;2%,2, W2&gt;1.5%,3, W2&gt;1%,4, TRUE,5)</f>
        <v>1</v>
      </c>
      <c r="Y2" s="321">
        <f t="shared" ref="Y2:Y6" si="16">IF(X2="","",X2*10/100)</f>
        <v>0.1</v>
      </c>
      <c r="Z2" s="327">
        <f>'Period Tables'!H31</f>
        <v>0.57</v>
      </c>
      <c r="AA2" s="312">
        <f t="shared" ref="AA2:AA6" si="17">IFS(Z2="","", VALUE(Z2)&gt;8,0, VALUE(Z2)&gt;5,1, VALUE(Z2)&gt;2,2, VALUE(Z2)&gt;1.5,3, VALUE(Z2)&gt;1,4, TRUE,5)</f>
        <v>5</v>
      </c>
      <c r="AB2" s="323">
        <f t="shared" ref="AB2:AB6" si="18">IF(AA2="","",AA2*7.5/100)</f>
        <v>0.375</v>
      </c>
      <c r="AC2" s="328">
        <f>'Period Tables'!E20</f>
        <v>4</v>
      </c>
      <c r="AD2" s="315">
        <f t="shared" ref="AD2:AD6" si="19">IFS(AC2="", "", AC2&lt;3.8,0, AC2&lt;4,1, AC2&lt;4.3,2, AC2&lt;4.5,3, AC2&lt;4.7,4, TRUE,5)</f>
        <v>2</v>
      </c>
      <c r="AE2" s="321">
        <f t="shared" ref="AE2:AE6" si="20">IF(AD2="","",AD2*7.5/100)</f>
        <v>0.15</v>
      </c>
      <c r="AF2" s="329">
        <v>86.0</v>
      </c>
      <c r="AG2" s="312">
        <f t="shared" ref="AG2:AG6" si="21">IFS(AF2="", "", AF2&lt;70,0, AF2&lt;75,1, AF2&lt;83,2, AF2&lt;89,3, AF2&lt;94,4, TRUE,5)</f>
        <v>3</v>
      </c>
      <c r="AH2" s="323">
        <f t="shared" ref="AH2:AH6" si="22">IF(AG2="","",AG2*12.5/100)</f>
        <v>0.375</v>
      </c>
      <c r="AI2" s="330">
        <v>90.0</v>
      </c>
      <c r="AJ2" s="315">
        <f t="shared" ref="AJ2:AJ6" si="23">IFS(AI2="", "", AI2&lt;70,0, AI2&lt;75,1, AI2&lt;83,2, AI2&lt;89,3, AI2&lt;94,4, TRUE,5)</f>
        <v>4</v>
      </c>
      <c r="AK2" s="321">
        <f t="shared" ref="AK2:AK6" si="24">IF(AJ2="","",AJ2*6.25/100)</f>
        <v>0.25</v>
      </c>
      <c r="AL2" s="329">
        <v>95.0</v>
      </c>
      <c r="AM2" s="312">
        <f t="shared" ref="AM2:AM6" si="25">IFS(AL2="", "", AL2&lt;70,0, AL2&lt;75,1, AL2&lt;83,2, AL2&lt;89,3, AL2&lt;94,4, TRUE,5)</f>
        <v>5</v>
      </c>
      <c r="AN2" s="323">
        <f t="shared" ref="AN2:AN6" si="26">IF(AM2="","",AM2*6.25/100)</f>
        <v>0.3125</v>
      </c>
      <c r="AO2" s="331">
        <v>85.0</v>
      </c>
      <c r="AP2" s="332" t="str">
        <f t="shared" ref="AP2:AP6" si="27">SUM(D2,G2,J2,M2,P2,S2,V2,Y2,AB2,AE2,AH2,AK2,AN2)</f>
        <v>#DIV/0!</v>
      </c>
      <c r="AQ2" s="190"/>
      <c r="AR2" s="214"/>
      <c r="AS2" s="190"/>
      <c r="AT2" s="215"/>
      <c r="AU2" s="215"/>
    </row>
    <row r="3">
      <c r="A3" s="333" t="s">
        <v>131</v>
      </c>
      <c r="B3" s="334">
        <f>100%+'Period Tables'!I4</f>
        <v>0.9467067078</v>
      </c>
      <c r="C3" s="335">
        <f t="shared" si="1"/>
        <v>1</v>
      </c>
      <c r="D3" s="336">
        <f t="shared" si="2"/>
        <v>0.05</v>
      </c>
      <c r="E3" s="337">
        <f>100%+'Period Tables'!F4</f>
        <v>1.096515182</v>
      </c>
      <c r="F3" s="338">
        <f t="shared" si="3"/>
        <v>5</v>
      </c>
      <c r="G3" s="339">
        <f t="shared" si="4"/>
        <v>0.25</v>
      </c>
      <c r="H3" s="340" t="str">
        <f>100%+'Period Tables'!V4</f>
        <v>#DIV/0!</v>
      </c>
      <c r="I3" s="341" t="str">
        <f t="shared" si="5"/>
        <v>#DIV/0!</v>
      </c>
      <c r="J3" s="342" t="str">
        <f t="shared" si="6"/>
        <v>#DIV/0!</v>
      </c>
      <c r="K3" s="343">
        <f>'Period Tables'!L4*100</f>
        <v>-2.7</v>
      </c>
      <c r="L3" s="338">
        <f t="shared" si="7"/>
        <v>5</v>
      </c>
      <c r="M3" s="344">
        <f t="shared" si="8"/>
        <v>0.625</v>
      </c>
      <c r="N3" s="345">
        <f>'Period Tables'!O4*100</f>
        <v>-3.4</v>
      </c>
      <c r="O3" s="335">
        <f t="shared" si="9"/>
        <v>5</v>
      </c>
      <c r="P3" s="346">
        <f t="shared" si="10"/>
        <v>0.625</v>
      </c>
      <c r="Q3" s="347">
        <f>'Period Tables'!H15</f>
        <v>4.75</v>
      </c>
      <c r="R3" s="335">
        <f t="shared" si="11"/>
        <v>5</v>
      </c>
      <c r="S3" s="344">
        <f t="shared" si="12"/>
        <v>0.875</v>
      </c>
      <c r="T3" s="348">
        <f>'Period Tables'!F15</f>
        <v>4</v>
      </c>
      <c r="U3" s="335">
        <f t="shared" si="13"/>
        <v>2</v>
      </c>
      <c r="V3" s="346">
        <f t="shared" si="14"/>
        <v>0.15</v>
      </c>
      <c r="W3" s="349">
        <f>'Period Tables'!I23</f>
        <v>0.0315</v>
      </c>
      <c r="X3" s="338">
        <f t="shared" si="15"/>
        <v>2</v>
      </c>
      <c r="Y3" s="344">
        <f t="shared" si="16"/>
        <v>0.2</v>
      </c>
      <c r="Z3" s="350">
        <f>'Period Tables'!H34</f>
        <v>1.48</v>
      </c>
      <c r="AA3" s="335">
        <f t="shared" si="17"/>
        <v>4</v>
      </c>
      <c r="AB3" s="346">
        <f t="shared" si="18"/>
        <v>0.3</v>
      </c>
      <c r="AC3" s="351">
        <f>'Period Tables'!E23</f>
        <v>4.4</v>
      </c>
      <c r="AD3" s="338">
        <f t="shared" si="19"/>
        <v>3</v>
      </c>
      <c r="AE3" s="344">
        <f t="shared" si="20"/>
        <v>0.225</v>
      </c>
      <c r="AF3" s="352">
        <v>67.0</v>
      </c>
      <c r="AG3" s="335">
        <f t="shared" si="21"/>
        <v>0</v>
      </c>
      <c r="AH3" s="346">
        <f t="shared" si="22"/>
        <v>0</v>
      </c>
      <c r="AI3" s="353">
        <v>70.0</v>
      </c>
      <c r="AJ3" s="338">
        <f t="shared" si="23"/>
        <v>1</v>
      </c>
      <c r="AK3" s="344">
        <f t="shared" si="24"/>
        <v>0.0625</v>
      </c>
      <c r="AL3" s="352">
        <v>76.0</v>
      </c>
      <c r="AM3" s="335">
        <f t="shared" si="25"/>
        <v>2</v>
      </c>
      <c r="AN3" s="346">
        <f t="shared" si="26"/>
        <v>0.125</v>
      </c>
      <c r="AO3" s="354">
        <v>87.0</v>
      </c>
      <c r="AP3" s="332" t="str">
        <f t="shared" si="27"/>
        <v>#DIV/0!</v>
      </c>
      <c r="AQ3" s="190"/>
      <c r="AR3" s="214"/>
      <c r="AS3" s="190"/>
      <c r="AT3" s="215"/>
      <c r="AU3" s="215"/>
    </row>
    <row r="4">
      <c r="A4" s="333" t="s">
        <v>132</v>
      </c>
      <c r="B4" s="334">
        <f>100%+'Period Tables'!I5</f>
        <v>1.019066238</v>
      </c>
      <c r="C4" s="335">
        <f t="shared" si="1"/>
        <v>4</v>
      </c>
      <c r="D4" s="336">
        <f t="shared" si="2"/>
        <v>0.2</v>
      </c>
      <c r="E4" s="337">
        <f>100%+'Period Tables'!F5</f>
        <v>1.376106051</v>
      </c>
      <c r="F4" s="338">
        <f t="shared" si="3"/>
        <v>5</v>
      </c>
      <c r="G4" s="339">
        <f t="shared" si="4"/>
        <v>0.25</v>
      </c>
      <c r="H4" s="340" t="str">
        <f>100%+'Period Tables'!V5</f>
        <v>#DIV/0!</v>
      </c>
      <c r="I4" s="341" t="str">
        <f t="shared" si="5"/>
        <v>#DIV/0!</v>
      </c>
      <c r="J4" s="342" t="str">
        <f t="shared" si="6"/>
        <v>#DIV/0!</v>
      </c>
      <c r="K4" s="343">
        <f>'Period Tables'!L5*100</f>
        <v>2.4</v>
      </c>
      <c r="L4" s="338">
        <f t="shared" si="7"/>
        <v>1</v>
      </c>
      <c r="M4" s="344">
        <f t="shared" si="8"/>
        <v>0.125</v>
      </c>
      <c r="N4" s="345">
        <f>'Period Tables'!O5*100</f>
        <v>1.1</v>
      </c>
      <c r="O4" s="335">
        <f t="shared" si="9"/>
        <v>2</v>
      </c>
      <c r="P4" s="346">
        <f t="shared" si="10"/>
        <v>0.25</v>
      </c>
      <c r="Q4" s="347">
        <f>'Period Tables'!H13</f>
        <v>3.67</v>
      </c>
      <c r="R4" s="335">
        <f t="shared" si="11"/>
        <v>0</v>
      </c>
      <c r="S4" s="344">
        <f t="shared" si="12"/>
        <v>0</v>
      </c>
      <c r="T4" s="348">
        <f>'Period Tables'!F13</f>
        <v>1</v>
      </c>
      <c r="U4" s="335">
        <f t="shared" si="13"/>
        <v>0</v>
      </c>
      <c r="V4" s="346">
        <f t="shared" si="14"/>
        <v>0</v>
      </c>
      <c r="W4" s="349">
        <f>'Period Tables'!I21</f>
        <v>0.0264</v>
      </c>
      <c r="X4" s="338">
        <f t="shared" si="15"/>
        <v>2</v>
      </c>
      <c r="Y4" s="344">
        <f t="shared" si="16"/>
        <v>0.2</v>
      </c>
      <c r="Z4" s="350">
        <f>'Period Tables'!H32</f>
        <v>0.59</v>
      </c>
      <c r="AA4" s="335">
        <f t="shared" si="17"/>
        <v>5</v>
      </c>
      <c r="AB4" s="346">
        <f t="shared" si="18"/>
        <v>0.375</v>
      </c>
      <c r="AC4" s="351">
        <f>'Period Tables'!E21</f>
        <v>4.5</v>
      </c>
      <c r="AD4" s="338">
        <f t="shared" si="19"/>
        <v>4</v>
      </c>
      <c r="AE4" s="344">
        <f t="shared" si="20"/>
        <v>0.3</v>
      </c>
      <c r="AF4" s="352">
        <v>72.0</v>
      </c>
      <c r="AG4" s="335">
        <f t="shared" si="21"/>
        <v>1</v>
      </c>
      <c r="AH4" s="346">
        <f t="shared" si="22"/>
        <v>0.125</v>
      </c>
      <c r="AI4" s="353">
        <v>76.0</v>
      </c>
      <c r="AJ4" s="338">
        <f t="shared" si="23"/>
        <v>2</v>
      </c>
      <c r="AK4" s="344">
        <f t="shared" si="24"/>
        <v>0.125</v>
      </c>
      <c r="AL4" s="352">
        <v>78.0</v>
      </c>
      <c r="AM4" s="335">
        <f t="shared" si="25"/>
        <v>2</v>
      </c>
      <c r="AN4" s="346">
        <f t="shared" si="26"/>
        <v>0.125</v>
      </c>
      <c r="AO4" s="354">
        <v>93.0</v>
      </c>
      <c r="AP4" s="332" t="str">
        <f t="shared" si="27"/>
        <v>#DIV/0!</v>
      </c>
      <c r="AQ4" s="190"/>
      <c r="AR4" s="214"/>
      <c r="AS4" s="190"/>
      <c r="AT4" s="215"/>
      <c r="AU4" s="215"/>
    </row>
    <row r="5">
      <c r="A5" s="333" t="s">
        <v>133</v>
      </c>
      <c r="B5" s="334">
        <f>100%+'Period Tables'!I6</f>
        <v>1.217244909</v>
      </c>
      <c r="C5" s="335">
        <f t="shared" si="1"/>
        <v>5</v>
      </c>
      <c r="D5" s="336">
        <f t="shared" si="2"/>
        <v>0.25</v>
      </c>
      <c r="E5" s="337">
        <f>100%+'Period Tables'!F6</f>
        <v>1.428578772</v>
      </c>
      <c r="F5" s="338">
        <f t="shared" si="3"/>
        <v>5</v>
      </c>
      <c r="G5" s="339">
        <f t="shared" si="4"/>
        <v>0.25</v>
      </c>
      <c r="H5" s="340" t="str">
        <f>100%+'Period Tables'!V6</f>
        <v>#DIV/0!</v>
      </c>
      <c r="I5" s="341" t="str">
        <f t="shared" si="5"/>
        <v>#DIV/0!</v>
      </c>
      <c r="J5" s="342" t="str">
        <f t="shared" si="6"/>
        <v>#DIV/0!</v>
      </c>
      <c r="K5" s="343">
        <f>'Period Tables'!L6*100</f>
        <v>-4.1</v>
      </c>
      <c r="L5" s="338">
        <f t="shared" si="7"/>
        <v>5</v>
      </c>
      <c r="M5" s="344">
        <f t="shared" si="8"/>
        <v>0.625</v>
      </c>
      <c r="N5" s="345">
        <f>'Period Tables'!O6*100</f>
        <v>0.2</v>
      </c>
      <c r="O5" s="335">
        <f t="shared" si="9"/>
        <v>3</v>
      </c>
      <c r="P5" s="346">
        <f t="shared" si="10"/>
        <v>0.375</v>
      </c>
      <c r="Q5" s="347">
        <f>'Period Tables'!H14</f>
        <v>4.33</v>
      </c>
      <c r="R5" s="335">
        <f t="shared" si="11"/>
        <v>3</v>
      </c>
      <c r="S5" s="344">
        <f t="shared" si="12"/>
        <v>0.525</v>
      </c>
      <c r="T5" s="348" t="str">
        <f>'Period Tables'!F14</f>
        <v>NA</v>
      </c>
      <c r="U5" s="335" t="str">
        <f t="shared" si="13"/>
        <v/>
      </c>
      <c r="V5" s="346" t="str">
        <f t="shared" si="14"/>
        <v/>
      </c>
      <c r="W5" s="349">
        <f>'Period Tables'!I22</f>
        <v>0.0315</v>
      </c>
      <c r="X5" s="338">
        <f t="shared" si="15"/>
        <v>2</v>
      </c>
      <c r="Y5" s="344">
        <f t="shared" si="16"/>
        <v>0.2</v>
      </c>
      <c r="Z5" s="350">
        <f>'Period Tables'!H33</f>
        <v>1.14</v>
      </c>
      <c r="AA5" s="335">
        <f t="shared" si="17"/>
        <v>4</v>
      </c>
      <c r="AB5" s="346">
        <f t="shared" si="18"/>
        <v>0.3</v>
      </c>
      <c r="AC5" s="351">
        <f>'Period Tables'!E22</f>
        <v>4.3</v>
      </c>
      <c r="AD5" s="338">
        <f t="shared" si="19"/>
        <v>3</v>
      </c>
      <c r="AE5" s="344">
        <f t="shared" si="20"/>
        <v>0.225</v>
      </c>
      <c r="AF5" s="352">
        <v>70.0</v>
      </c>
      <c r="AG5" s="335">
        <f t="shared" si="21"/>
        <v>1</v>
      </c>
      <c r="AH5" s="346">
        <f t="shared" si="22"/>
        <v>0.125</v>
      </c>
      <c r="AI5" s="353">
        <v>75.0</v>
      </c>
      <c r="AJ5" s="338">
        <f t="shared" si="23"/>
        <v>2</v>
      </c>
      <c r="AK5" s="344">
        <f t="shared" si="24"/>
        <v>0.125</v>
      </c>
      <c r="AL5" s="352">
        <v>71.0</v>
      </c>
      <c r="AM5" s="335">
        <f t="shared" si="25"/>
        <v>1</v>
      </c>
      <c r="AN5" s="346">
        <f t="shared" si="26"/>
        <v>0.0625</v>
      </c>
      <c r="AO5" s="355">
        <v>80.0</v>
      </c>
      <c r="AP5" s="332" t="str">
        <f t="shared" si="27"/>
        <v>#DIV/0!</v>
      </c>
      <c r="AQ5" s="190"/>
      <c r="AR5" s="214"/>
      <c r="AS5" s="190"/>
      <c r="AT5" s="215"/>
      <c r="AU5" s="215"/>
    </row>
    <row r="6">
      <c r="A6" s="310" t="s">
        <v>134</v>
      </c>
      <c r="B6" s="356">
        <f>100%+'Period Tables'!I7</f>
        <v>0.8707731308</v>
      </c>
      <c r="C6" s="357">
        <f t="shared" si="1"/>
        <v>0</v>
      </c>
      <c r="D6" s="358">
        <f t="shared" si="2"/>
        <v>0</v>
      </c>
      <c r="E6" s="359">
        <f>100%+'Period Tables'!F7</f>
        <v>1.089097662</v>
      </c>
      <c r="F6" s="360">
        <f t="shared" si="3"/>
        <v>5</v>
      </c>
      <c r="G6" s="361">
        <f t="shared" si="4"/>
        <v>0.25</v>
      </c>
      <c r="H6" s="362" t="str">
        <f>100%+'Period Tables'!V7</f>
        <v>#DIV/0!</v>
      </c>
      <c r="I6" s="363" t="str">
        <f t="shared" si="5"/>
        <v>#DIV/0!</v>
      </c>
      <c r="J6" s="364" t="str">
        <f t="shared" si="6"/>
        <v>#DIV/0!</v>
      </c>
      <c r="K6" s="365">
        <f>'Period Tables'!L7*100</f>
        <v>-0.7</v>
      </c>
      <c r="L6" s="360">
        <f t="shared" si="7"/>
        <v>4</v>
      </c>
      <c r="M6" s="366">
        <f t="shared" si="8"/>
        <v>0.5</v>
      </c>
      <c r="N6" s="367">
        <f>'Period Tables'!O7*100</f>
        <v>3.3</v>
      </c>
      <c r="O6" s="357">
        <f t="shared" si="9"/>
        <v>0</v>
      </c>
      <c r="P6" s="368">
        <f t="shared" si="10"/>
        <v>0</v>
      </c>
      <c r="Q6" s="369">
        <f>'Period Tables'!H16</f>
        <v>4.47</v>
      </c>
      <c r="R6" s="357">
        <f t="shared" si="11"/>
        <v>3</v>
      </c>
      <c r="S6" s="366">
        <f t="shared" si="12"/>
        <v>0.525</v>
      </c>
      <c r="T6" s="370" t="str">
        <f>'Period Tables'!F16</f>
        <v>NA</v>
      </c>
      <c r="U6" s="357" t="str">
        <f t="shared" si="13"/>
        <v/>
      </c>
      <c r="V6" s="368" t="str">
        <f t="shared" si="14"/>
        <v/>
      </c>
      <c r="W6" s="371">
        <f>'Period Tables'!I24</f>
        <v>0.045</v>
      </c>
      <c r="X6" s="360">
        <f t="shared" si="15"/>
        <v>1</v>
      </c>
      <c r="Y6" s="366">
        <f t="shared" si="16"/>
        <v>0.1</v>
      </c>
      <c r="Z6" s="372">
        <f>'Period Tables'!H30</f>
        <v>2.03</v>
      </c>
      <c r="AA6" s="357">
        <f t="shared" si="17"/>
        <v>2</v>
      </c>
      <c r="AB6" s="368">
        <f t="shared" si="18"/>
        <v>0.15</v>
      </c>
      <c r="AC6" s="373">
        <f>'Period Tables'!E24</f>
        <v>4.3</v>
      </c>
      <c r="AD6" s="360">
        <f t="shared" si="19"/>
        <v>3</v>
      </c>
      <c r="AE6" s="366">
        <f t="shared" si="20"/>
        <v>0.225</v>
      </c>
      <c r="AF6" s="374">
        <v>56.0</v>
      </c>
      <c r="AG6" s="357">
        <f t="shared" si="21"/>
        <v>0</v>
      </c>
      <c r="AH6" s="368">
        <f t="shared" si="22"/>
        <v>0</v>
      </c>
      <c r="AI6" s="375">
        <v>60.0</v>
      </c>
      <c r="AJ6" s="360">
        <f t="shared" si="23"/>
        <v>0</v>
      </c>
      <c r="AK6" s="366">
        <f t="shared" si="24"/>
        <v>0</v>
      </c>
      <c r="AL6" s="374">
        <v>60.0</v>
      </c>
      <c r="AM6" s="357">
        <f t="shared" si="25"/>
        <v>0</v>
      </c>
      <c r="AN6" s="368">
        <f t="shared" si="26"/>
        <v>0</v>
      </c>
      <c r="AO6" s="376">
        <v>78.0</v>
      </c>
      <c r="AP6" s="332" t="str">
        <f t="shared" si="27"/>
        <v>#DIV/0!</v>
      </c>
      <c r="AQ6" s="190"/>
      <c r="AR6" s="214"/>
      <c r="AS6" s="190"/>
      <c r="AT6" s="215"/>
      <c r="AU6" s="215"/>
    </row>
    <row r="7">
      <c r="D7" s="155"/>
      <c r="G7" s="155"/>
      <c r="K7" s="255"/>
      <c r="N7" s="255"/>
      <c r="T7" s="256"/>
      <c r="Z7" s="377" t="str">
        <f>'Period Tables'!K36</f>
        <v/>
      </c>
    </row>
    <row r="8">
      <c r="D8" s="155"/>
      <c r="G8" s="155"/>
      <c r="K8" s="378"/>
      <c r="N8" s="255"/>
      <c r="T8" s="256"/>
      <c r="Z8" s="377" t="str">
        <f>'Period Tables'!K39</f>
        <v/>
      </c>
    </row>
    <row r="9">
      <c r="D9" s="155"/>
      <c r="G9" s="155"/>
      <c r="K9" s="255"/>
      <c r="N9" s="255"/>
      <c r="T9" s="256"/>
      <c r="Z9" s="377" t="str">
        <f>'Period Tables'!K37</f>
        <v/>
      </c>
    </row>
    <row r="10">
      <c r="D10" s="155"/>
      <c r="G10" s="155"/>
      <c r="K10" s="255"/>
      <c r="N10" s="255"/>
      <c r="T10" s="256"/>
      <c r="Z10" s="377" t="str">
        <f>'Period Tables'!K38</f>
        <v/>
      </c>
    </row>
    <row r="11">
      <c r="D11" s="155"/>
      <c r="G11" s="155"/>
      <c r="K11" s="255"/>
      <c r="N11" s="255"/>
      <c r="T11" s="256"/>
      <c r="Z11" s="377" t="str">
        <f>'Period Tables'!K35</f>
        <v/>
      </c>
    </row>
    <row r="12">
      <c r="D12" s="155"/>
      <c r="G12" s="155"/>
      <c r="K12" s="255"/>
      <c r="N12" s="255"/>
      <c r="T12" s="256"/>
      <c r="Z12" s="377" t="str">
        <f>'Period Tables'!K41</f>
        <v/>
      </c>
    </row>
    <row r="13">
      <c r="D13" s="155"/>
      <c r="G13" s="155"/>
      <c r="K13" s="255"/>
      <c r="N13" s="255"/>
      <c r="T13" s="256"/>
      <c r="Z13" s="377" t="str">
        <f>'Period Tables'!K42</f>
        <v/>
      </c>
    </row>
    <row r="14">
      <c r="D14" s="155"/>
      <c r="G14" s="155"/>
      <c r="K14" s="255"/>
      <c r="N14" s="255"/>
      <c r="T14" s="256"/>
      <c r="Z14" s="377" t="str">
        <f>'Period Tables'!K45</f>
        <v/>
      </c>
    </row>
    <row r="15">
      <c r="D15" s="155"/>
      <c r="G15" s="155"/>
      <c r="K15" s="255"/>
      <c r="N15" s="255"/>
      <c r="T15" s="256"/>
      <c r="Z15" s="377" t="str">
        <f>'Period Tables'!K43</f>
        <v/>
      </c>
    </row>
    <row r="16">
      <c r="D16" s="155"/>
      <c r="G16" s="155"/>
      <c r="K16" s="255"/>
      <c r="N16" s="255"/>
      <c r="T16" s="256"/>
      <c r="Z16" s="377" t="str">
        <f>'Period Tables'!K44</f>
        <v/>
      </c>
    </row>
    <row r="17">
      <c r="D17" s="155"/>
      <c r="G17" s="155"/>
      <c r="K17" s="255"/>
      <c r="N17" s="255"/>
      <c r="T17" s="256"/>
      <c r="Z17" s="377" t="str">
        <f>'Period Tables'!K41</f>
        <v/>
      </c>
    </row>
    <row r="18">
      <c r="D18" s="155"/>
      <c r="G18" s="155"/>
      <c r="K18" s="255"/>
      <c r="N18" s="255"/>
      <c r="T18" s="256"/>
      <c r="Z18" s="257"/>
    </row>
    <row r="19">
      <c r="D19" s="155"/>
      <c r="G19" s="155"/>
      <c r="K19" s="255"/>
      <c r="N19" s="255"/>
      <c r="T19" s="256"/>
      <c r="Z19" s="257"/>
    </row>
    <row r="20">
      <c r="D20" s="155"/>
      <c r="G20" s="155"/>
      <c r="K20" s="255"/>
      <c r="N20" s="255"/>
      <c r="T20" s="256"/>
      <c r="Z20" s="257"/>
    </row>
    <row r="21" ht="15.75" customHeight="1">
      <c r="D21" s="155"/>
      <c r="G21" s="155"/>
      <c r="K21" s="255"/>
      <c r="N21" s="255"/>
      <c r="T21" s="256"/>
      <c r="Z21" s="257"/>
    </row>
    <row r="22" ht="15.75" customHeight="1">
      <c r="D22" s="155"/>
      <c r="G22" s="155"/>
      <c r="K22" s="255"/>
      <c r="N22" s="255"/>
      <c r="T22" s="256"/>
      <c r="Z22" s="257"/>
    </row>
    <row r="23" ht="15.75" customHeight="1">
      <c r="D23" s="155"/>
      <c r="G23" s="155"/>
      <c r="K23" s="255"/>
      <c r="N23" s="255"/>
      <c r="T23" s="256"/>
      <c r="Z23" s="257"/>
    </row>
    <row r="24" ht="15.75" customHeight="1">
      <c r="D24" s="155"/>
      <c r="G24" s="155"/>
      <c r="K24" s="255"/>
      <c r="N24" s="255"/>
      <c r="T24" s="256"/>
      <c r="Z24" s="257"/>
    </row>
    <row r="25" ht="15.75" customHeight="1">
      <c r="D25" s="155"/>
      <c r="G25" s="155"/>
      <c r="K25" s="255"/>
      <c r="N25" s="255"/>
      <c r="T25" s="256"/>
      <c r="Z25" s="257"/>
    </row>
    <row r="26" ht="15.75" customHeight="1">
      <c r="D26" s="155"/>
      <c r="G26" s="155"/>
      <c r="K26" s="255"/>
      <c r="N26" s="255"/>
      <c r="T26" s="256"/>
      <c r="Z26" s="257"/>
    </row>
    <row r="27" ht="15.75" customHeight="1">
      <c r="D27" s="155"/>
      <c r="G27" s="155"/>
      <c r="K27" s="255"/>
      <c r="N27" s="255"/>
      <c r="T27" s="256"/>
      <c r="Z27" s="257"/>
    </row>
    <row r="28" ht="15.75" customHeight="1">
      <c r="D28" s="155"/>
      <c r="G28" s="155"/>
      <c r="K28" s="255"/>
      <c r="N28" s="255"/>
      <c r="T28" s="256"/>
      <c r="Z28" s="257"/>
    </row>
    <row r="29" ht="15.75" customHeight="1">
      <c r="D29" s="155"/>
      <c r="G29" s="155"/>
      <c r="K29" s="255"/>
      <c r="N29" s="255"/>
      <c r="T29" s="256"/>
      <c r="Z29" s="257"/>
    </row>
    <row r="30" ht="15.75" customHeight="1">
      <c r="D30" s="155"/>
      <c r="G30" s="155"/>
      <c r="K30" s="255"/>
      <c r="N30" s="255"/>
      <c r="T30" s="256"/>
      <c r="Z30" s="257"/>
    </row>
    <row r="31" ht="15.75" customHeight="1">
      <c r="D31" s="155"/>
      <c r="G31" s="155"/>
      <c r="K31" s="255"/>
      <c r="N31" s="255"/>
      <c r="T31" s="256"/>
      <c r="Z31" s="257"/>
    </row>
    <row r="32" ht="15.75" customHeight="1">
      <c r="D32" s="155"/>
      <c r="G32" s="155"/>
      <c r="K32" s="255"/>
      <c r="N32" s="255"/>
      <c r="T32" s="256"/>
      <c r="Z32" s="257"/>
    </row>
    <row r="33" ht="15.75" customHeight="1">
      <c r="D33" s="155"/>
      <c r="G33" s="155"/>
      <c r="K33" s="255"/>
      <c r="N33" s="255"/>
      <c r="T33" s="256"/>
      <c r="Z33" s="257"/>
    </row>
    <row r="34" ht="15.75" customHeight="1">
      <c r="D34" s="155"/>
      <c r="G34" s="155"/>
      <c r="K34" s="255"/>
      <c r="N34" s="255"/>
      <c r="T34" s="256"/>
      <c r="Z34" s="257"/>
    </row>
    <row r="35" ht="15.75" customHeight="1">
      <c r="D35" s="155"/>
      <c r="G35" s="155"/>
      <c r="K35" s="255"/>
      <c r="N35" s="255"/>
      <c r="T35" s="256"/>
      <c r="Z35" s="257"/>
    </row>
    <row r="36" ht="15.75" customHeight="1">
      <c r="D36" s="155"/>
      <c r="G36" s="155"/>
      <c r="K36" s="255"/>
      <c r="N36" s="255"/>
      <c r="T36" s="256"/>
      <c r="Z36" s="257"/>
    </row>
    <row r="37" ht="15.75" customHeight="1">
      <c r="D37" s="155"/>
      <c r="G37" s="155"/>
      <c r="K37" s="255"/>
      <c r="N37" s="255"/>
      <c r="T37" s="256"/>
      <c r="Z37" s="257"/>
    </row>
    <row r="38" ht="15.75" customHeight="1">
      <c r="D38" s="155"/>
      <c r="G38" s="155"/>
      <c r="K38" s="255"/>
      <c r="N38" s="255"/>
      <c r="T38" s="256"/>
      <c r="Z38" s="257"/>
    </row>
    <row r="39" ht="15.75" customHeight="1">
      <c r="D39" s="155"/>
      <c r="G39" s="155"/>
      <c r="K39" s="255"/>
      <c r="N39" s="255"/>
      <c r="T39" s="256"/>
      <c r="Z39" s="257"/>
    </row>
    <row r="40" ht="15.75" customHeight="1">
      <c r="D40" s="155"/>
      <c r="G40" s="155"/>
      <c r="K40" s="255"/>
      <c r="N40" s="255"/>
      <c r="T40" s="256"/>
      <c r="Z40" s="257"/>
    </row>
    <row r="41" ht="15.75" customHeight="1">
      <c r="D41" s="155"/>
      <c r="G41" s="155"/>
      <c r="K41" s="255"/>
      <c r="N41" s="255"/>
      <c r="T41" s="256"/>
      <c r="Z41" s="257"/>
    </row>
    <row r="42" ht="15.75" customHeight="1">
      <c r="D42" s="155"/>
      <c r="G42" s="155"/>
      <c r="K42" s="255"/>
      <c r="N42" s="255"/>
      <c r="T42" s="256"/>
      <c r="Z42" s="257"/>
    </row>
    <row r="43" ht="15.75" customHeight="1">
      <c r="D43" s="155"/>
      <c r="G43" s="155"/>
      <c r="K43" s="255"/>
      <c r="N43" s="255"/>
      <c r="T43" s="256"/>
      <c r="Z43" s="257"/>
    </row>
    <row r="44" ht="15.75" customHeight="1">
      <c r="D44" s="155"/>
      <c r="G44" s="155"/>
      <c r="K44" s="255"/>
      <c r="N44" s="255"/>
      <c r="T44" s="256"/>
      <c r="Z44" s="257"/>
    </row>
    <row r="45" ht="15.75" customHeight="1">
      <c r="D45" s="155"/>
      <c r="G45" s="155"/>
      <c r="K45" s="255"/>
      <c r="N45" s="255"/>
      <c r="T45" s="256"/>
      <c r="Z45" s="257"/>
    </row>
    <row r="46" ht="15.75" customHeight="1">
      <c r="D46" s="155"/>
      <c r="G46" s="155"/>
      <c r="K46" s="255"/>
      <c r="N46" s="255"/>
      <c r="T46" s="256"/>
      <c r="Z46" s="257"/>
    </row>
    <row r="47" ht="15.75" customHeight="1">
      <c r="D47" s="155"/>
      <c r="G47" s="155"/>
      <c r="K47" s="255"/>
      <c r="N47" s="255"/>
      <c r="T47" s="256"/>
      <c r="Z47" s="257"/>
    </row>
    <row r="48" ht="15.75" customHeight="1">
      <c r="D48" s="155"/>
      <c r="G48" s="155"/>
      <c r="K48" s="255"/>
      <c r="N48" s="255"/>
      <c r="T48" s="256"/>
      <c r="Z48" s="257"/>
    </row>
    <row r="49" ht="15.75" customHeight="1">
      <c r="D49" s="155"/>
      <c r="G49" s="155"/>
      <c r="K49" s="255"/>
      <c r="N49" s="255"/>
      <c r="T49" s="256"/>
      <c r="Z49" s="257"/>
    </row>
    <row r="50" ht="15.75" customHeight="1">
      <c r="D50" s="155"/>
      <c r="G50" s="155"/>
      <c r="K50" s="255"/>
      <c r="N50" s="255"/>
      <c r="T50" s="256"/>
      <c r="Z50" s="257"/>
    </row>
    <row r="51" ht="15.75" customHeight="1">
      <c r="D51" s="155"/>
      <c r="G51" s="155"/>
      <c r="K51" s="255"/>
      <c r="N51" s="255"/>
      <c r="T51" s="256"/>
      <c r="Z51" s="257"/>
    </row>
    <row r="52" ht="15.75" customHeight="1">
      <c r="D52" s="155"/>
      <c r="G52" s="155"/>
      <c r="K52" s="255"/>
      <c r="N52" s="255"/>
      <c r="T52" s="256"/>
      <c r="Z52" s="257"/>
    </row>
    <row r="53" ht="15.75" customHeight="1">
      <c r="D53" s="155"/>
      <c r="G53" s="155"/>
      <c r="K53" s="255"/>
      <c r="N53" s="255"/>
      <c r="T53" s="256"/>
      <c r="Z53" s="257"/>
    </row>
    <row r="54" ht="15.75" customHeight="1">
      <c r="D54" s="155"/>
      <c r="G54" s="155"/>
      <c r="K54" s="255"/>
      <c r="N54" s="255"/>
      <c r="T54" s="256"/>
      <c r="Z54" s="257"/>
    </row>
    <row r="55" ht="15.75" customHeight="1">
      <c r="D55" s="155"/>
      <c r="G55" s="155"/>
      <c r="K55" s="255"/>
      <c r="N55" s="255"/>
      <c r="T55" s="256"/>
      <c r="Z55" s="257"/>
    </row>
    <row r="56" ht="15.75" customHeight="1">
      <c r="D56" s="155"/>
      <c r="G56" s="155"/>
      <c r="K56" s="255"/>
      <c r="N56" s="255"/>
      <c r="T56" s="256"/>
      <c r="Z56" s="257"/>
    </row>
    <row r="57" ht="15.75" customHeight="1">
      <c r="D57" s="155"/>
      <c r="G57" s="155"/>
      <c r="K57" s="255"/>
      <c r="N57" s="255"/>
      <c r="T57" s="256"/>
      <c r="Z57" s="257"/>
    </row>
    <row r="58" ht="15.75" customHeight="1">
      <c r="D58" s="155"/>
      <c r="G58" s="155"/>
      <c r="K58" s="255"/>
      <c r="N58" s="255"/>
      <c r="T58" s="256"/>
      <c r="Z58" s="257"/>
    </row>
    <row r="59" ht="15.75" customHeight="1">
      <c r="D59" s="155"/>
      <c r="G59" s="155"/>
      <c r="K59" s="255"/>
      <c r="N59" s="255"/>
      <c r="T59" s="256"/>
      <c r="Z59" s="257"/>
    </row>
    <row r="60" ht="15.75" customHeight="1">
      <c r="D60" s="155"/>
      <c r="G60" s="155"/>
      <c r="K60" s="255"/>
      <c r="N60" s="255"/>
      <c r="T60" s="256"/>
      <c r="Z60" s="257"/>
    </row>
    <row r="61" ht="15.75" customHeight="1">
      <c r="D61" s="155"/>
      <c r="G61" s="155"/>
      <c r="K61" s="255"/>
      <c r="N61" s="255"/>
      <c r="T61" s="256"/>
      <c r="Z61" s="257"/>
    </row>
    <row r="62" ht="15.75" customHeight="1">
      <c r="D62" s="155"/>
      <c r="G62" s="155"/>
      <c r="K62" s="255"/>
      <c r="N62" s="255"/>
      <c r="T62" s="256"/>
      <c r="Z62" s="257"/>
    </row>
    <row r="63" ht="15.75" customHeight="1">
      <c r="D63" s="155"/>
      <c r="G63" s="155"/>
      <c r="K63" s="255"/>
      <c r="N63" s="255"/>
      <c r="T63" s="256"/>
      <c r="Z63" s="257"/>
    </row>
    <row r="64" ht="15.75" customHeight="1">
      <c r="D64" s="155"/>
      <c r="G64" s="155"/>
      <c r="K64" s="255"/>
      <c r="N64" s="255"/>
      <c r="T64" s="256"/>
      <c r="Z64" s="257"/>
    </row>
    <row r="65" ht="15.75" customHeight="1">
      <c r="D65" s="155"/>
      <c r="G65" s="155"/>
      <c r="K65" s="255"/>
      <c r="N65" s="255"/>
      <c r="T65" s="256"/>
      <c r="Z65" s="257"/>
    </row>
    <row r="66" ht="15.75" customHeight="1">
      <c r="D66" s="155"/>
      <c r="G66" s="155"/>
      <c r="K66" s="255"/>
      <c r="N66" s="255"/>
      <c r="T66" s="256"/>
      <c r="Z66" s="257"/>
    </row>
    <row r="67" ht="15.75" customHeight="1">
      <c r="D67" s="155"/>
      <c r="G67" s="155"/>
      <c r="K67" s="255"/>
      <c r="N67" s="255"/>
      <c r="T67" s="256"/>
      <c r="Z67" s="257"/>
    </row>
    <row r="68" ht="15.75" customHeight="1">
      <c r="D68" s="155"/>
      <c r="G68" s="155"/>
      <c r="K68" s="255"/>
      <c r="N68" s="255"/>
      <c r="T68" s="256"/>
      <c r="Z68" s="257"/>
    </row>
    <row r="69" ht="15.75" customHeight="1">
      <c r="D69" s="155"/>
      <c r="G69" s="155"/>
      <c r="K69" s="255"/>
      <c r="N69" s="255"/>
      <c r="T69" s="256"/>
      <c r="Z69" s="257"/>
    </row>
    <row r="70" ht="15.75" customHeight="1">
      <c r="D70" s="155"/>
      <c r="G70" s="155"/>
      <c r="K70" s="255"/>
      <c r="N70" s="255"/>
      <c r="T70" s="256"/>
      <c r="Z70" s="257"/>
    </row>
    <row r="71" ht="15.75" customHeight="1">
      <c r="D71" s="155"/>
      <c r="G71" s="155"/>
      <c r="K71" s="255"/>
      <c r="N71" s="255"/>
      <c r="T71" s="256"/>
      <c r="Z71" s="257"/>
    </row>
    <row r="72" ht="15.75" customHeight="1">
      <c r="D72" s="155"/>
      <c r="G72" s="155"/>
      <c r="K72" s="255"/>
      <c r="N72" s="255"/>
      <c r="T72" s="256"/>
      <c r="Z72" s="257"/>
    </row>
    <row r="73" ht="15.75" customHeight="1">
      <c r="D73" s="155"/>
      <c r="G73" s="155"/>
      <c r="K73" s="255"/>
      <c r="N73" s="255"/>
      <c r="T73" s="256"/>
      <c r="Z73" s="257"/>
    </row>
    <row r="74" ht="15.75" customHeight="1">
      <c r="D74" s="155"/>
      <c r="G74" s="155"/>
      <c r="K74" s="255"/>
      <c r="N74" s="255"/>
      <c r="T74" s="256"/>
      <c r="Z74" s="257"/>
    </row>
    <row r="75" ht="15.75" customHeight="1">
      <c r="D75" s="155"/>
      <c r="G75" s="155"/>
      <c r="K75" s="255"/>
      <c r="N75" s="255"/>
      <c r="T75" s="256"/>
      <c r="Z75" s="257"/>
    </row>
    <row r="76" ht="15.75" customHeight="1">
      <c r="D76" s="155"/>
      <c r="G76" s="155"/>
      <c r="K76" s="255"/>
      <c r="N76" s="255"/>
      <c r="T76" s="256"/>
      <c r="Z76" s="257"/>
    </row>
    <row r="77" ht="15.75" customHeight="1">
      <c r="D77" s="155"/>
      <c r="G77" s="155"/>
      <c r="K77" s="255"/>
      <c r="N77" s="255"/>
      <c r="T77" s="256"/>
      <c r="Z77" s="257"/>
    </row>
    <row r="78" ht="15.75" customHeight="1">
      <c r="D78" s="155"/>
      <c r="G78" s="155"/>
      <c r="K78" s="255"/>
      <c r="N78" s="255"/>
      <c r="T78" s="256"/>
      <c r="Z78" s="257"/>
    </row>
    <row r="79" ht="15.75" customHeight="1">
      <c r="D79" s="155"/>
      <c r="G79" s="155"/>
      <c r="K79" s="255"/>
      <c r="N79" s="255"/>
      <c r="T79" s="256"/>
      <c r="Z79" s="257"/>
    </row>
    <row r="80" ht="15.75" customHeight="1">
      <c r="D80" s="155"/>
      <c r="G80" s="155"/>
      <c r="K80" s="255"/>
      <c r="N80" s="255"/>
      <c r="T80" s="256"/>
      <c r="Z80" s="257"/>
    </row>
    <row r="81" ht="15.75" customHeight="1">
      <c r="D81" s="155"/>
      <c r="G81" s="155"/>
      <c r="K81" s="255"/>
      <c r="N81" s="255"/>
      <c r="T81" s="256"/>
      <c r="Z81" s="257"/>
    </row>
    <row r="82" ht="15.75" customHeight="1">
      <c r="D82" s="155"/>
      <c r="G82" s="155"/>
      <c r="K82" s="255"/>
      <c r="N82" s="255"/>
      <c r="T82" s="256"/>
      <c r="Z82" s="257"/>
    </row>
    <row r="83" ht="15.75" customHeight="1">
      <c r="D83" s="155"/>
      <c r="G83" s="155"/>
      <c r="K83" s="255"/>
      <c r="N83" s="255"/>
      <c r="T83" s="256"/>
      <c r="Z83" s="257"/>
    </row>
    <row r="84" ht="15.75" customHeight="1">
      <c r="D84" s="155"/>
      <c r="G84" s="155"/>
      <c r="K84" s="255"/>
      <c r="N84" s="255"/>
      <c r="T84" s="256"/>
      <c r="Z84" s="257"/>
    </row>
    <row r="85" ht="15.75" customHeight="1">
      <c r="D85" s="155"/>
      <c r="G85" s="155"/>
      <c r="K85" s="255"/>
      <c r="N85" s="255"/>
      <c r="T85" s="256"/>
      <c r="Z85" s="257"/>
    </row>
    <row r="86" ht="15.75" customHeight="1">
      <c r="D86" s="155"/>
      <c r="G86" s="155"/>
      <c r="K86" s="255"/>
      <c r="N86" s="255"/>
      <c r="T86" s="256"/>
      <c r="Z86" s="257"/>
    </row>
    <row r="87" ht="15.75" customHeight="1">
      <c r="D87" s="155"/>
      <c r="G87" s="155"/>
      <c r="K87" s="255"/>
      <c r="N87" s="255"/>
      <c r="T87" s="256"/>
      <c r="Z87" s="257"/>
    </row>
    <row r="88" ht="15.75" customHeight="1">
      <c r="D88" s="155"/>
      <c r="G88" s="155"/>
      <c r="K88" s="255"/>
      <c r="N88" s="255"/>
      <c r="T88" s="256"/>
      <c r="Z88" s="257"/>
    </row>
    <row r="89" ht="15.75" customHeight="1">
      <c r="D89" s="155"/>
      <c r="G89" s="155"/>
      <c r="K89" s="255"/>
      <c r="N89" s="255"/>
      <c r="T89" s="256"/>
      <c r="Z89" s="257"/>
    </row>
    <row r="90" ht="15.75" customHeight="1">
      <c r="D90" s="155"/>
      <c r="G90" s="155"/>
      <c r="K90" s="255"/>
      <c r="N90" s="255"/>
      <c r="T90" s="256"/>
      <c r="Z90" s="257"/>
    </row>
    <row r="91" ht="15.75" customHeight="1">
      <c r="D91" s="155"/>
      <c r="G91" s="155"/>
      <c r="K91" s="255"/>
      <c r="N91" s="255"/>
      <c r="T91" s="256"/>
      <c r="Z91" s="257"/>
    </row>
    <row r="92" ht="15.75" customHeight="1">
      <c r="D92" s="155"/>
      <c r="G92" s="155"/>
      <c r="K92" s="255"/>
      <c r="N92" s="255"/>
      <c r="T92" s="256"/>
      <c r="Z92" s="257"/>
    </row>
    <row r="93" ht="15.75" customHeight="1">
      <c r="D93" s="155"/>
      <c r="G93" s="155"/>
      <c r="K93" s="255"/>
      <c r="N93" s="255"/>
      <c r="T93" s="256"/>
      <c r="Z93" s="257"/>
    </row>
    <row r="94" ht="15.75" customHeight="1">
      <c r="D94" s="155"/>
      <c r="G94" s="155"/>
      <c r="K94" s="255"/>
      <c r="N94" s="255"/>
      <c r="T94" s="256"/>
      <c r="Z94" s="257"/>
    </row>
    <row r="95" ht="15.75" customHeight="1">
      <c r="D95" s="155"/>
      <c r="G95" s="155"/>
      <c r="K95" s="255"/>
      <c r="N95" s="255"/>
      <c r="T95" s="256"/>
      <c r="Z95" s="257"/>
    </row>
    <row r="96" ht="15.75" customHeight="1">
      <c r="D96" s="155"/>
      <c r="G96" s="155"/>
      <c r="K96" s="255"/>
      <c r="N96" s="255"/>
      <c r="T96" s="256"/>
      <c r="Z96" s="257"/>
    </row>
    <row r="97" ht="15.75" customHeight="1">
      <c r="D97" s="155"/>
      <c r="G97" s="155"/>
      <c r="K97" s="255"/>
      <c r="N97" s="255"/>
      <c r="T97" s="256"/>
      <c r="Z97" s="257"/>
    </row>
    <row r="98" ht="15.75" customHeight="1">
      <c r="D98" s="155"/>
      <c r="G98" s="155"/>
      <c r="K98" s="255"/>
      <c r="N98" s="255"/>
      <c r="T98" s="256"/>
      <c r="Z98" s="257"/>
    </row>
    <row r="99" ht="15.75" customHeight="1">
      <c r="D99" s="155"/>
      <c r="G99" s="155"/>
      <c r="K99" s="255"/>
      <c r="N99" s="255"/>
      <c r="T99" s="256"/>
      <c r="Z99" s="257"/>
    </row>
    <row r="100" ht="15.75" customHeight="1">
      <c r="D100" s="155"/>
      <c r="G100" s="155"/>
      <c r="K100" s="255"/>
      <c r="N100" s="255"/>
      <c r="T100" s="256"/>
      <c r="Z100" s="257"/>
    </row>
    <row r="101" ht="15.75" customHeight="1">
      <c r="D101" s="155"/>
      <c r="G101" s="155"/>
      <c r="K101" s="255"/>
      <c r="N101" s="255"/>
      <c r="T101" s="256"/>
      <c r="Z101" s="257"/>
    </row>
    <row r="102" ht="15.75" customHeight="1">
      <c r="D102" s="155"/>
      <c r="G102" s="155"/>
      <c r="K102" s="255"/>
      <c r="N102" s="255"/>
      <c r="T102" s="256"/>
      <c r="Z102" s="257"/>
    </row>
    <row r="103" ht="15.75" customHeight="1">
      <c r="D103" s="155"/>
      <c r="G103" s="155"/>
      <c r="K103" s="255"/>
      <c r="N103" s="255"/>
      <c r="T103" s="256"/>
      <c r="Z103" s="257"/>
    </row>
    <row r="104" ht="15.75" customHeight="1">
      <c r="D104" s="155"/>
      <c r="G104" s="155"/>
      <c r="K104" s="255"/>
      <c r="N104" s="255"/>
      <c r="T104" s="256"/>
      <c r="Z104" s="257"/>
    </row>
    <row r="105" ht="15.75" customHeight="1">
      <c r="D105" s="155"/>
      <c r="G105" s="155"/>
      <c r="K105" s="255"/>
      <c r="N105" s="255"/>
      <c r="T105" s="256"/>
      <c r="Z105" s="257"/>
    </row>
    <row r="106" ht="15.75" customHeight="1">
      <c r="D106" s="155"/>
      <c r="G106" s="155"/>
      <c r="K106" s="255"/>
      <c r="N106" s="255"/>
      <c r="T106" s="256"/>
      <c r="Z106" s="257"/>
    </row>
    <row r="107" ht="15.75" customHeight="1">
      <c r="D107" s="155"/>
      <c r="G107" s="155"/>
      <c r="K107" s="255"/>
      <c r="N107" s="255"/>
      <c r="T107" s="256"/>
      <c r="Z107" s="257"/>
    </row>
    <row r="108" ht="15.75" customHeight="1">
      <c r="D108" s="155"/>
      <c r="G108" s="155"/>
      <c r="K108" s="255"/>
      <c r="N108" s="255"/>
      <c r="T108" s="256"/>
      <c r="Z108" s="257"/>
    </row>
    <row r="109" ht="15.75" customHeight="1">
      <c r="D109" s="155"/>
      <c r="G109" s="155"/>
      <c r="K109" s="255"/>
      <c r="N109" s="255"/>
      <c r="T109" s="256"/>
      <c r="Z109" s="257"/>
    </row>
    <row r="110" ht="15.75" customHeight="1">
      <c r="D110" s="155"/>
      <c r="G110" s="155"/>
      <c r="K110" s="255"/>
      <c r="N110" s="255"/>
      <c r="T110" s="256"/>
      <c r="Z110" s="257"/>
    </row>
    <row r="111" ht="15.75" customHeight="1">
      <c r="D111" s="155"/>
      <c r="G111" s="155"/>
      <c r="K111" s="255"/>
      <c r="N111" s="255"/>
      <c r="T111" s="256"/>
      <c r="Z111" s="257"/>
    </row>
    <row r="112" ht="15.75" customHeight="1">
      <c r="D112" s="155"/>
      <c r="G112" s="155"/>
      <c r="K112" s="255"/>
      <c r="N112" s="255"/>
      <c r="T112" s="256"/>
      <c r="Z112" s="257"/>
    </row>
    <row r="113" ht="15.75" customHeight="1">
      <c r="D113" s="155"/>
      <c r="G113" s="155"/>
      <c r="K113" s="255"/>
      <c r="N113" s="255"/>
      <c r="T113" s="256"/>
      <c r="Z113" s="257"/>
    </row>
    <row r="114" ht="15.75" customHeight="1">
      <c r="D114" s="155"/>
      <c r="G114" s="155"/>
      <c r="K114" s="255"/>
      <c r="N114" s="255"/>
      <c r="T114" s="256"/>
      <c r="Z114" s="257"/>
    </row>
    <row r="115" ht="15.75" customHeight="1">
      <c r="D115" s="155"/>
      <c r="G115" s="155"/>
      <c r="K115" s="255"/>
      <c r="N115" s="255"/>
      <c r="T115" s="256"/>
      <c r="Z115" s="257"/>
    </row>
    <row r="116" ht="15.75" customHeight="1">
      <c r="D116" s="155"/>
      <c r="G116" s="155"/>
      <c r="K116" s="255"/>
      <c r="N116" s="255"/>
      <c r="T116" s="256"/>
      <c r="Z116" s="257"/>
    </row>
    <row r="117" ht="15.75" customHeight="1">
      <c r="D117" s="155"/>
      <c r="G117" s="155"/>
      <c r="K117" s="255"/>
      <c r="N117" s="255"/>
      <c r="T117" s="256"/>
      <c r="Z117" s="257"/>
    </row>
    <row r="118" ht="15.75" customHeight="1">
      <c r="D118" s="155"/>
      <c r="G118" s="155"/>
      <c r="K118" s="255"/>
      <c r="N118" s="255"/>
      <c r="T118" s="256"/>
      <c r="Z118" s="257"/>
    </row>
    <row r="119" ht="15.75" customHeight="1">
      <c r="D119" s="155"/>
      <c r="G119" s="155"/>
      <c r="K119" s="255"/>
      <c r="N119" s="255"/>
      <c r="T119" s="256"/>
      <c r="Z119" s="257"/>
    </row>
    <row r="120" ht="15.75" customHeight="1">
      <c r="D120" s="155"/>
      <c r="G120" s="155"/>
      <c r="K120" s="255"/>
      <c r="N120" s="255"/>
      <c r="T120" s="256"/>
      <c r="Z120" s="257"/>
    </row>
    <row r="121" ht="15.75" customHeight="1">
      <c r="D121" s="155"/>
      <c r="G121" s="155"/>
      <c r="K121" s="255"/>
      <c r="N121" s="255"/>
      <c r="T121" s="256"/>
      <c r="Z121" s="257"/>
    </row>
    <row r="122" ht="15.75" customHeight="1">
      <c r="D122" s="155"/>
      <c r="G122" s="155"/>
      <c r="K122" s="255"/>
      <c r="N122" s="255"/>
      <c r="T122" s="256"/>
      <c r="Z122" s="257"/>
    </row>
    <row r="123" ht="15.75" customHeight="1">
      <c r="D123" s="155"/>
      <c r="G123" s="155"/>
      <c r="K123" s="255"/>
      <c r="N123" s="255"/>
      <c r="T123" s="256"/>
      <c r="Z123" s="257"/>
    </row>
    <row r="124" ht="15.75" customHeight="1">
      <c r="D124" s="155"/>
      <c r="G124" s="155"/>
      <c r="K124" s="255"/>
      <c r="N124" s="255"/>
      <c r="T124" s="256"/>
      <c r="Z124" s="257"/>
    </row>
    <row r="125" ht="15.75" customHeight="1">
      <c r="D125" s="155"/>
      <c r="G125" s="155"/>
      <c r="K125" s="255"/>
      <c r="N125" s="255"/>
      <c r="T125" s="256"/>
      <c r="Z125" s="257"/>
    </row>
    <row r="126" ht="15.75" customHeight="1">
      <c r="D126" s="155"/>
      <c r="G126" s="155"/>
      <c r="K126" s="255"/>
      <c r="N126" s="255"/>
      <c r="T126" s="256"/>
      <c r="Z126" s="257"/>
    </row>
    <row r="127" ht="15.75" customHeight="1">
      <c r="D127" s="155"/>
      <c r="G127" s="155"/>
      <c r="K127" s="255"/>
      <c r="N127" s="255"/>
      <c r="T127" s="256"/>
      <c r="Z127" s="257"/>
    </row>
    <row r="128" ht="15.75" customHeight="1">
      <c r="D128" s="155"/>
      <c r="G128" s="155"/>
      <c r="K128" s="255"/>
      <c r="N128" s="255"/>
      <c r="T128" s="256"/>
      <c r="Z128" s="257"/>
    </row>
    <row r="129" ht="15.75" customHeight="1">
      <c r="D129" s="155"/>
      <c r="G129" s="155"/>
      <c r="K129" s="255"/>
      <c r="N129" s="255"/>
      <c r="T129" s="256"/>
      <c r="Z129" s="257"/>
    </row>
    <row r="130" ht="15.75" customHeight="1">
      <c r="D130" s="155"/>
      <c r="G130" s="155"/>
      <c r="K130" s="255"/>
      <c r="N130" s="255"/>
      <c r="T130" s="256"/>
      <c r="Z130" s="257"/>
    </row>
    <row r="131" ht="15.75" customHeight="1">
      <c r="D131" s="155"/>
      <c r="G131" s="155"/>
      <c r="K131" s="255"/>
      <c r="N131" s="255"/>
      <c r="T131" s="256"/>
      <c r="Z131" s="257"/>
    </row>
    <row r="132" ht="15.75" customHeight="1">
      <c r="D132" s="155"/>
      <c r="G132" s="155"/>
      <c r="K132" s="255"/>
      <c r="N132" s="255"/>
      <c r="T132" s="256"/>
      <c r="Z132" s="257"/>
    </row>
    <row r="133" ht="15.75" customHeight="1">
      <c r="D133" s="155"/>
      <c r="G133" s="155"/>
      <c r="K133" s="255"/>
      <c r="N133" s="255"/>
      <c r="T133" s="256"/>
      <c r="Z133" s="257"/>
    </row>
    <row r="134" ht="15.75" customHeight="1">
      <c r="D134" s="155"/>
      <c r="G134" s="155"/>
      <c r="K134" s="255"/>
      <c r="N134" s="255"/>
      <c r="T134" s="256"/>
      <c r="Z134" s="257"/>
    </row>
    <row r="135" ht="15.75" customHeight="1">
      <c r="D135" s="155"/>
      <c r="G135" s="155"/>
      <c r="K135" s="255"/>
      <c r="N135" s="255"/>
      <c r="T135" s="256"/>
      <c r="Z135" s="257"/>
    </row>
    <row r="136" ht="15.75" customHeight="1">
      <c r="D136" s="155"/>
      <c r="G136" s="155"/>
      <c r="K136" s="255"/>
      <c r="N136" s="255"/>
      <c r="T136" s="256"/>
      <c r="Z136" s="257"/>
    </row>
    <row r="137" ht="15.75" customHeight="1">
      <c r="D137" s="155"/>
      <c r="G137" s="155"/>
      <c r="K137" s="255"/>
      <c r="N137" s="255"/>
      <c r="T137" s="256"/>
      <c r="Z137" s="257"/>
    </row>
    <row r="138" ht="15.75" customHeight="1">
      <c r="D138" s="155"/>
      <c r="G138" s="155"/>
      <c r="K138" s="255"/>
      <c r="N138" s="255"/>
      <c r="T138" s="256"/>
      <c r="Z138" s="257"/>
    </row>
    <row r="139" ht="15.75" customHeight="1">
      <c r="D139" s="155"/>
      <c r="G139" s="155"/>
      <c r="K139" s="255"/>
      <c r="N139" s="255"/>
      <c r="T139" s="256"/>
      <c r="Z139" s="257"/>
    </row>
    <row r="140" ht="15.75" customHeight="1">
      <c r="D140" s="155"/>
      <c r="G140" s="155"/>
      <c r="K140" s="255"/>
      <c r="N140" s="255"/>
      <c r="T140" s="256"/>
      <c r="Z140" s="257"/>
    </row>
    <row r="141" ht="15.75" customHeight="1">
      <c r="D141" s="155"/>
      <c r="G141" s="155"/>
      <c r="K141" s="255"/>
      <c r="N141" s="255"/>
      <c r="T141" s="256"/>
      <c r="Z141" s="257"/>
    </row>
    <row r="142" ht="15.75" customHeight="1">
      <c r="D142" s="155"/>
      <c r="G142" s="155"/>
      <c r="K142" s="255"/>
      <c r="N142" s="255"/>
      <c r="T142" s="256"/>
      <c r="Z142" s="257"/>
    </row>
    <row r="143" ht="15.75" customHeight="1">
      <c r="D143" s="155"/>
      <c r="G143" s="155"/>
      <c r="K143" s="255"/>
      <c r="N143" s="255"/>
      <c r="T143" s="256"/>
      <c r="Z143" s="257"/>
    </row>
    <row r="144" ht="15.75" customHeight="1">
      <c r="D144" s="155"/>
      <c r="G144" s="155"/>
      <c r="K144" s="255"/>
      <c r="N144" s="255"/>
      <c r="T144" s="256"/>
      <c r="Z144" s="257"/>
    </row>
    <row r="145" ht="15.75" customHeight="1">
      <c r="D145" s="155"/>
      <c r="G145" s="155"/>
      <c r="K145" s="255"/>
      <c r="N145" s="255"/>
      <c r="T145" s="256"/>
      <c r="Z145" s="257"/>
    </row>
    <row r="146" ht="15.75" customHeight="1">
      <c r="D146" s="155"/>
      <c r="G146" s="155"/>
      <c r="K146" s="255"/>
      <c r="N146" s="255"/>
      <c r="T146" s="256"/>
      <c r="Z146" s="257"/>
    </row>
    <row r="147" ht="15.75" customHeight="1">
      <c r="D147" s="155"/>
      <c r="G147" s="155"/>
      <c r="K147" s="255"/>
      <c r="N147" s="255"/>
      <c r="T147" s="256"/>
      <c r="Z147" s="257"/>
    </row>
    <row r="148" ht="15.75" customHeight="1">
      <c r="D148" s="155"/>
      <c r="G148" s="155"/>
      <c r="K148" s="255"/>
      <c r="N148" s="255"/>
      <c r="T148" s="256"/>
      <c r="Z148" s="257"/>
    </row>
    <row r="149" ht="15.75" customHeight="1">
      <c r="D149" s="155"/>
      <c r="G149" s="155"/>
      <c r="K149" s="255"/>
      <c r="N149" s="255"/>
      <c r="T149" s="256"/>
      <c r="Z149" s="257"/>
    </row>
    <row r="150" ht="15.75" customHeight="1">
      <c r="D150" s="155"/>
      <c r="G150" s="155"/>
      <c r="K150" s="255"/>
      <c r="N150" s="255"/>
      <c r="T150" s="256"/>
      <c r="Z150" s="257"/>
    </row>
    <row r="151" ht="15.75" customHeight="1">
      <c r="D151" s="155"/>
      <c r="G151" s="155"/>
      <c r="K151" s="255"/>
      <c r="N151" s="255"/>
      <c r="T151" s="256"/>
      <c r="Z151" s="257"/>
    </row>
    <row r="152" ht="15.75" customHeight="1">
      <c r="D152" s="155"/>
      <c r="G152" s="155"/>
      <c r="K152" s="255"/>
      <c r="N152" s="255"/>
      <c r="T152" s="256"/>
      <c r="Z152" s="257"/>
    </row>
    <row r="153" ht="15.75" customHeight="1">
      <c r="D153" s="155"/>
      <c r="G153" s="155"/>
      <c r="K153" s="255"/>
      <c r="N153" s="255"/>
      <c r="T153" s="256"/>
      <c r="Z153" s="257"/>
    </row>
    <row r="154" ht="15.75" customHeight="1">
      <c r="D154" s="155"/>
      <c r="G154" s="155"/>
      <c r="K154" s="255"/>
      <c r="N154" s="255"/>
      <c r="T154" s="256"/>
      <c r="Z154" s="257"/>
    </row>
    <row r="155" ht="15.75" customHeight="1">
      <c r="D155" s="155"/>
      <c r="G155" s="155"/>
      <c r="K155" s="255"/>
      <c r="N155" s="255"/>
      <c r="T155" s="256"/>
      <c r="Z155" s="257"/>
    </row>
    <row r="156" ht="15.75" customHeight="1">
      <c r="D156" s="155"/>
      <c r="G156" s="155"/>
      <c r="K156" s="255"/>
      <c r="N156" s="255"/>
      <c r="T156" s="256"/>
      <c r="Z156" s="257"/>
    </row>
    <row r="157" ht="15.75" customHeight="1">
      <c r="D157" s="155"/>
      <c r="G157" s="155"/>
      <c r="K157" s="255"/>
      <c r="N157" s="255"/>
      <c r="T157" s="256"/>
      <c r="Z157" s="257"/>
    </row>
    <row r="158" ht="15.75" customHeight="1">
      <c r="D158" s="155"/>
      <c r="G158" s="155"/>
      <c r="K158" s="255"/>
      <c r="N158" s="255"/>
      <c r="T158" s="256"/>
      <c r="Z158" s="257"/>
    </row>
    <row r="159" ht="15.75" customHeight="1">
      <c r="D159" s="155"/>
      <c r="G159" s="155"/>
      <c r="K159" s="255"/>
      <c r="N159" s="255"/>
      <c r="T159" s="256"/>
      <c r="Z159" s="257"/>
    </row>
    <row r="160" ht="15.75" customHeight="1">
      <c r="D160" s="155"/>
      <c r="G160" s="155"/>
      <c r="K160" s="255"/>
      <c r="N160" s="255"/>
      <c r="T160" s="256"/>
      <c r="Z160" s="257"/>
    </row>
    <row r="161" ht="15.75" customHeight="1">
      <c r="D161" s="155"/>
      <c r="G161" s="155"/>
      <c r="K161" s="255"/>
      <c r="N161" s="255"/>
      <c r="T161" s="256"/>
      <c r="Z161" s="257"/>
    </row>
    <row r="162" ht="15.75" customHeight="1">
      <c r="D162" s="155"/>
      <c r="G162" s="155"/>
      <c r="K162" s="255"/>
      <c r="N162" s="255"/>
      <c r="T162" s="256"/>
      <c r="Z162" s="257"/>
    </row>
    <row r="163" ht="15.75" customHeight="1">
      <c r="D163" s="155"/>
      <c r="G163" s="155"/>
      <c r="K163" s="255"/>
      <c r="N163" s="255"/>
      <c r="T163" s="256"/>
      <c r="Z163" s="257"/>
    </row>
    <row r="164" ht="15.75" customHeight="1">
      <c r="D164" s="155"/>
      <c r="G164" s="155"/>
      <c r="K164" s="255"/>
      <c r="N164" s="255"/>
      <c r="T164" s="256"/>
      <c r="Z164" s="257"/>
    </row>
    <row r="165" ht="15.75" customHeight="1">
      <c r="D165" s="155"/>
      <c r="G165" s="155"/>
      <c r="K165" s="255"/>
      <c r="N165" s="255"/>
      <c r="T165" s="256"/>
      <c r="Z165" s="257"/>
    </row>
    <row r="166" ht="15.75" customHeight="1">
      <c r="D166" s="155"/>
      <c r="G166" s="155"/>
      <c r="K166" s="255"/>
      <c r="N166" s="255"/>
      <c r="T166" s="256"/>
      <c r="Z166" s="257"/>
    </row>
    <row r="167" ht="15.75" customHeight="1">
      <c r="D167" s="155"/>
      <c r="G167" s="155"/>
      <c r="K167" s="255"/>
      <c r="N167" s="255"/>
      <c r="T167" s="256"/>
      <c r="Z167" s="257"/>
    </row>
    <row r="168" ht="15.75" customHeight="1">
      <c r="D168" s="155"/>
      <c r="G168" s="155"/>
      <c r="K168" s="255"/>
      <c r="N168" s="255"/>
      <c r="T168" s="256"/>
      <c r="Z168" s="257"/>
    </row>
    <row r="169" ht="15.75" customHeight="1">
      <c r="D169" s="155"/>
      <c r="G169" s="155"/>
      <c r="K169" s="255"/>
      <c r="N169" s="255"/>
      <c r="T169" s="256"/>
      <c r="Z169" s="257"/>
    </row>
    <row r="170" ht="15.75" customHeight="1">
      <c r="D170" s="155"/>
      <c r="G170" s="155"/>
      <c r="K170" s="255"/>
      <c r="N170" s="255"/>
      <c r="T170" s="256"/>
      <c r="Z170" s="257"/>
    </row>
    <row r="171" ht="15.75" customHeight="1">
      <c r="D171" s="155"/>
      <c r="G171" s="155"/>
      <c r="K171" s="255"/>
      <c r="N171" s="255"/>
      <c r="T171" s="256"/>
      <c r="Z171" s="257"/>
    </row>
    <row r="172" ht="15.75" customHeight="1">
      <c r="D172" s="155"/>
      <c r="G172" s="155"/>
      <c r="K172" s="255"/>
      <c r="N172" s="255"/>
      <c r="T172" s="256"/>
      <c r="Z172" s="257"/>
    </row>
    <row r="173" ht="15.75" customHeight="1">
      <c r="D173" s="155"/>
      <c r="G173" s="155"/>
      <c r="K173" s="255"/>
      <c r="N173" s="255"/>
      <c r="T173" s="256"/>
      <c r="Z173" s="257"/>
    </row>
    <row r="174" ht="15.75" customHeight="1">
      <c r="D174" s="155"/>
      <c r="G174" s="155"/>
      <c r="K174" s="255"/>
      <c r="N174" s="255"/>
      <c r="T174" s="256"/>
      <c r="Z174" s="257"/>
    </row>
    <row r="175" ht="15.75" customHeight="1">
      <c r="D175" s="155"/>
      <c r="G175" s="155"/>
      <c r="K175" s="255"/>
      <c r="N175" s="255"/>
      <c r="T175" s="256"/>
      <c r="Z175" s="257"/>
    </row>
    <row r="176" ht="15.75" customHeight="1">
      <c r="D176" s="155"/>
      <c r="G176" s="155"/>
      <c r="K176" s="255"/>
      <c r="N176" s="255"/>
      <c r="T176" s="256"/>
      <c r="Z176" s="257"/>
    </row>
    <row r="177" ht="15.75" customHeight="1">
      <c r="D177" s="155"/>
      <c r="G177" s="155"/>
      <c r="K177" s="255"/>
      <c r="N177" s="255"/>
      <c r="T177" s="256"/>
      <c r="Z177" s="257"/>
    </row>
    <row r="178" ht="15.75" customHeight="1">
      <c r="D178" s="155"/>
      <c r="G178" s="155"/>
      <c r="K178" s="255"/>
      <c r="N178" s="255"/>
      <c r="T178" s="256"/>
      <c r="Z178" s="257"/>
    </row>
    <row r="179" ht="15.75" customHeight="1">
      <c r="D179" s="155"/>
      <c r="G179" s="155"/>
      <c r="K179" s="255"/>
      <c r="N179" s="255"/>
      <c r="T179" s="256"/>
      <c r="Z179" s="257"/>
    </row>
    <row r="180" ht="15.75" customHeight="1">
      <c r="D180" s="155"/>
      <c r="G180" s="155"/>
      <c r="K180" s="255"/>
      <c r="N180" s="255"/>
      <c r="T180" s="256"/>
      <c r="Z180" s="257"/>
    </row>
    <row r="181" ht="15.75" customHeight="1">
      <c r="D181" s="155"/>
      <c r="G181" s="155"/>
      <c r="K181" s="255"/>
      <c r="N181" s="255"/>
      <c r="T181" s="256"/>
      <c r="Z181" s="257"/>
    </row>
    <row r="182" ht="15.75" customHeight="1">
      <c r="D182" s="155"/>
      <c r="G182" s="155"/>
      <c r="K182" s="255"/>
      <c r="N182" s="255"/>
      <c r="T182" s="256"/>
      <c r="Z182" s="257"/>
    </row>
    <row r="183" ht="15.75" customHeight="1">
      <c r="D183" s="155"/>
      <c r="G183" s="155"/>
      <c r="K183" s="255"/>
      <c r="N183" s="255"/>
      <c r="T183" s="256"/>
      <c r="Z183" s="257"/>
    </row>
    <row r="184" ht="15.75" customHeight="1">
      <c r="D184" s="155"/>
      <c r="G184" s="155"/>
      <c r="K184" s="255"/>
      <c r="N184" s="255"/>
      <c r="T184" s="256"/>
      <c r="Z184" s="257"/>
    </row>
    <row r="185" ht="15.75" customHeight="1">
      <c r="D185" s="155"/>
      <c r="G185" s="155"/>
      <c r="K185" s="255"/>
      <c r="N185" s="255"/>
      <c r="T185" s="256"/>
      <c r="Z185" s="257"/>
    </row>
    <row r="186" ht="15.75" customHeight="1">
      <c r="D186" s="155"/>
      <c r="G186" s="155"/>
      <c r="K186" s="255"/>
      <c r="N186" s="255"/>
      <c r="T186" s="256"/>
      <c r="Z186" s="257"/>
    </row>
    <row r="187" ht="15.75" customHeight="1">
      <c r="D187" s="155"/>
      <c r="G187" s="155"/>
      <c r="K187" s="255"/>
      <c r="N187" s="255"/>
      <c r="T187" s="256"/>
      <c r="Z187" s="257"/>
    </row>
    <row r="188" ht="15.75" customHeight="1">
      <c r="D188" s="155"/>
      <c r="G188" s="155"/>
      <c r="K188" s="255"/>
      <c r="N188" s="255"/>
      <c r="T188" s="256"/>
      <c r="Z188" s="257"/>
    </row>
    <row r="189" ht="15.75" customHeight="1">
      <c r="D189" s="155"/>
      <c r="G189" s="155"/>
      <c r="K189" s="255"/>
      <c r="N189" s="255"/>
      <c r="T189" s="256"/>
      <c r="Z189" s="257"/>
    </row>
    <row r="190" ht="15.75" customHeight="1">
      <c r="D190" s="155"/>
      <c r="G190" s="155"/>
      <c r="K190" s="255"/>
      <c r="N190" s="255"/>
      <c r="T190" s="256"/>
      <c r="Z190" s="257"/>
    </row>
    <row r="191" ht="15.75" customHeight="1">
      <c r="D191" s="155"/>
      <c r="G191" s="155"/>
      <c r="K191" s="255"/>
      <c r="N191" s="255"/>
      <c r="T191" s="256"/>
      <c r="Z191" s="257"/>
    </row>
    <row r="192" ht="15.75" customHeight="1">
      <c r="D192" s="155"/>
      <c r="G192" s="155"/>
      <c r="K192" s="255"/>
      <c r="N192" s="255"/>
      <c r="T192" s="256"/>
      <c r="Z192" s="257"/>
    </row>
    <row r="193" ht="15.75" customHeight="1">
      <c r="D193" s="155"/>
      <c r="G193" s="155"/>
      <c r="K193" s="255"/>
      <c r="N193" s="255"/>
      <c r="T193" s="256"/>
      <c r="Z193" s="257"/>
    </row>
    <row r="194" ht="15.75" customHeight="1">
      <c r="D194" s="155"/>
      <c r="G194" s="155"/>
      <c r="K194" s="255"/>
      <c r="N194" s="255"/>
      <c r="T194" s="256"/>
      <c r="Z194" s="257"/>
    </row>
    <row r="195" ht="15.75" customHeight="1">
      <c r="D195" s="155"/>
      <c r="G195" s="155"/>
      <c r="K195" s="255"/>
      <c r="N195" s="255"/>
      <c r="T195" s="256"/>
      <c r="Z195" s="257"/>
    </row>
    <row r="196" ht="15.75" customHeight="1">
      <c r="D196" s="155"/>
      <c r="G196" s="155"/>
      <c r="K196" s="255"/>
      <c r="N196" s="255"/>
      <c r="T196" s="256"/>
      <c r="Z196" s="257"/>
    </row>
    <row r="197" ht="15.75" customHeight="1">
      <c r="D197" s="155"/>
      <c r="G197" s="155"/>
      <c r="K197" s="255"/>
      <c r="N197" s="255"/>
      <c r="T197" s="256"/>
      <c r="Z197" s="257"/>
    </row>
    <row r="198" ht="15.75" customHeight="1">
      <c r="D198" s="155"/>
      <c r="G198" s="155"/>
      <c r="K198" s="255"/>
      <c r="N198" s="255"/>
      <c r="T198" s="256"/>
      <c r="Z198" s="257"/>
    </row>
    <row r="199" ht="15.75" customHeight="1">
      <c r="D199" s="155"/>
      <c r="G199" s="155"/>
      <c r="K199" s="255"/>
      <c r="N199" s="255"/>
      <c r="T199" s="256"/>
      <c r="Z199" s="257"/>
    </row>
    <row r="200" ht="15.75" customHeight="1">
      <c r="D200" s="155"/>
      <c r="G200" s="155"/>
      <c r="K200" s="255"/>
      <c r="N200" s="255"/>
      <c r="T200" s="256"/>
      <c r="Z200" s="257"/>
    </row>
    <row r="201" ht="15.75" customHeight="1">
      <c r="D201" s="155"/>
      <c r="G201" s="155"/>
      <c r="K201" s="255"/>
      <c r="N201" s="255"/>
      <c r="T201" s="256"/>
      <c r="Z201" s="257"/>
    </row>
    <row r="202" ht="15.75" customHeight="1">
      <c r="D202" s="155"/>
      <c r="G202" s="155"/>
      <c r="K202" s="255"/>
      <c r="N202" s="255"/>
      <c r="T202" s="256"/>
      <c r="Z202" s="257"/>
    </row>
    <row r="203" ht="15.75" customHeight="1">
      <c r="D203" s="155"/>
      <c r="G203" s="155"/>
      <c r="K203" s="255"/>
      <c r="N203" s="255"/>
      <c r="T203" s="256"/>
      <c r="Z203" s="257"/>
    </row>
    <row r="204" ht="15.75" customHeight="1">
      <c r="D204" s="155"/>
      <c r="G204" s="155"/>
      <c r="K204" s="255"/>
      <c r="N204" s="255"/>
      <c r="T204" s="256"/>
      <c r="Z204" s="257"/>
    </row>
    <row r="205" ht="15.75" customHeight="1">
      <c r="D205" s="155"/>
      <c r="G205" s="155"/>
      <c r="K205" s="255"/>
      <c r="N205" s="255"/>
      <c r="T205" s="256"/>
      <c r="Z205" s="257"/>
    </row>
    <row r="206" ht="15.75" customHeight="1">
      <c r="D206" s="155"/>
      <c r="G206" s="155"/>
      <c r="K206" s="255"/>
      <c r="N206" s="255"/>
      <c r="T206" s="256"/>
      <c r="Z206" s="257"/>
    </row>
    <row r="207" ht="15.75" customHeight="1">
      <c r="D207" s="155"/>
      <c r="G207" s="155"/>
      <c r="K207" s="255"/>
      <c r="N207" s="255"/>
      <c r="T207" s="256"/>
      <c r="Z207" s="257"/>
    </row>
    <row r="208" ht="15.75" customHeight="1">
      <c r="D208" s="155"/>
      <c r="G208" s="155"/>
      <c r="K208" s="255"/>
      <c r="N208" s="255"/>
      <c r="T208" s="256"/>
      <c r="Z208" s="257"/>
    </row>
    <row r="209" ht="15.75" customHeight="1">
      <c r="D209" s="155"/>
      <c r="G209" s="155"/>
      <c r="K209" s="255"/>
      <c r="N209" s="255"/>
      <c r="T209" s="256"/>
      <c r="Z209" s="257"/>
    </row>
    <row r="210" ht="15.75" customHeight="1">
      <c r="D210" s="155"/>
      <c r="G210" s="155"/>
      <c r="K210" s="255"/>
      <c r="N210" s="255"/>
      <c r="T210" s="256"/>
      <c r="Z210" s="257"/>
    </row>
    <row r="211" ht="15.75" customHeight="1">
      <c r="D211" s="155"/>
      <c r="G211" s="155"/>
      <c r="K211" s="255"/>
      <c r="N211" s="255"/>
      <c r="T211" s="256"/>
      <c r="Z211" s="257"/>
    </row>
    <row r="212" ht="15.75" customHeight="1">
      <c r="D212" s="155"/>
      <c r="G212" s="155"/>
      <c r="K212" s="255"/>
      <c r="N212" s="255"/>
      <c r="T212" s="256"/>
      <c r="Z212" s="257"/>
    </row>
    <row r="213" ht="15.75" customHeight="1">
      <c r="D213" s="155"/>
      <c r="G213" s="155"/>
      <c r="K213" s="255"/>
      <c r="N213" s="255"/>
      <c r="T213" s="256"/>
      <c r="Z213" s="257"/>
    </row>
    <row r="214" ht="15.75" customHeight="1">
      <c r="D214" s="155"/>
      <c r="G214" s="155"/>
      <c r="K214" s="255"/>
      <c r="N214" s="255"/>
      <c r="T214" s="256"/>
      <c r="Z214" s="257"/>
    </row>
    <row r="215" ht="15.75" customHeight="1">
      <c r="D215" s="155"/>
      <c r="G215" s="155"/>
      <c r="K215" s="255"/>
      <c r="N215" s="255"/>
      <c r="T215" s="256"/>
      <c r="Z215" s="257"/>
    </row>
    <row r="216" ht="15.75" customHeight="1">
      <c r="D216" s="155"/>
      <c r="G216" s="155"/>
      <c r="K216" s="255"/>
      <c r="N216" s="255"/>
      <c r="T216" s="256"/>
      <c r="Z216" s="257"/>
    </row>
    <row r="217" ht="15.75" customHeight="1">
      <c r="D217" s="155"/>
      <c r="G217" s="155"/>
      <c r="K217" s="255"/>
      <c r="N217" s="255"/>
      <c r="T217" s="256"/>
      <c r="Z217" s="257"/>
    </row>
    <row r="218" ht="15.75" customHeight="1">
      <c r="D218" s="155"/>
      <c r="G218" s="155"/>
      <c r="K218" s="255"/>
      <c r="N218" s="255"/>
      <c r="T218" s="256"/>
      <c r="Z218" s="257"/>
    </row>
    <row r="219" ht="15.75" customHeight="1">
      <c r="D219" s="155"/>
      <c r="G219" s="155"/>
      <c r="K219" s="255"/>
      <c r="N219" s="255"/>
      <c r="T219" s="256"/>
      <c r="Z219" s="257"/>
    </row>
    <row r="220" ht="15.75" customHeight="1">
      <c r="D220" s="155"/>
      <c r="G220" s="155"/>
      <c r="K220" s="255"/>
      <c r="N220" s="255"/>
      <c r="T220" s="256"/>
      <c r="Z220" s="257"/>
    </row>
    <row r="221" ht="15.75" customHeight="1">
      <c r="D221" s="155"/>
      <c r="G221" s="155"/>
      <c r="K221" s="255"/>
      <c r="N221" s="255"/>
      <c r="T221" s="256"/>
      <c r="Z221" s="257"/>
    </row>
    <row r="222" ht="15.75" customHeight="1">
      <c r="D222" s="155"/>
      <c r="G222" s="155"/>
      <c r="K222" s="255"/>
      <c r="N222" s="255"/>
      <c r="T222" s="256"/>
      <c r="Z222" s="257"/>
    </row>
    <row r="223" ht="15.75" customHeight="1">
      <c r="D223" s="155"/>
      <c r="G223" s="155"/>
      <c r="K223" s="255"/>
      <c r="N223" s="255"/>
      <c r="T223" s="256"/>
      <c r="Z223" s="257"/>
    </row>
    <row r="224" ht="15.75" customHeight="1">
      <c r="D224" s="155"/>
      <c r="G224" s="155"/>
      <c r="K224" s="255"/>
      <c r="N224" s="255"/>
      <c r="T224" s="256"/>
      <c r="Z224" s="257"/>
    </row>
    <row r="225" ht="15.75" customHeight="1">
      <c r="D225" s="155"/>
      <c r="G225" s="155"/>
      <c r="K225" s="255"/>
      <c r="N225" s="255"/>
      <c r="T225" s="256"/>
      <c r="Z225" s="257"/>
    </row>
    <row r="226" ht="15.75" customHeight="1">
      <c r="D226" s="155"/>
      <c r="G226" s="155"/>
      <c r="K226" s="255"/>
      <c r="N226" s="255"/>
      <c r="T226" s="256"/>
      <c r="Z226" s="257"/>
    </row>
    <row r="227" ht="15.75" customHeight="1">
      <c r="D227" s="155"/>
      <c r="G227" s="155"/>
      <c r="K227" s="255"/>
      <c r="N227" s="255"/>
      <c r="T227" s="256"/>
      <c r="Z227" s="257"/>
    </row>
    <row r="228" ht="15.75" customHeight="1">
      <c r="D228" s="155"/>
      <c r="G228" s="155"/>
      <c r="K228" s="255"/>
      <c r="N228" s="255"/>
      <c r="T228" s="256"/>
      <c r="Z228" s="257"/>
    </row>
    <row r="229" ht="15.75" customHeight="1">
      <c r="D229" s="155"/>
      <c r="G229" s="155"/>
      <c r="K229" s="255"/>
      <c r="N229" s="255"/>
      <c r="T229" s="256"/>
      <c r="Z229" s="257"/>
    </row>
    <row r="230" ht="15.75" customHeight="1">
      <c r="D230" s="155"/>
      <c r="G230" s="155"/>
      <c r="K230" s="255"/>
      <c r="N230" s="255"/>
      <c r="T230" s="256"/>
      <c r="Z230" s="257"/>
    </row>
    <row r="231" ht="15.75" customHeight="1">
      <c r="D231" s="155"/>
      <c r="G231" s="155"/>
      <c r="K231" s="255"/>
      <c r="N231" s="255"/>
      <c r="T231" s="256"/>
      <c r="Z231" s="257"/>
    </row>
    <row r="232" ht="15.75" customHeight="1">
      <c r="D232" s="155"/>
      <c r="G232" s="155"/>
      <c r="K232" s="255"/>
      <c r="N232" s="255"/>
      <c r="T232" s="256"/>
      <c r="Z232" s="257"/>
    </row>
    <row r="233" ht="15.75" customHeight="1">
      <c r="D233" s="155"/>
      <c r="G233" s="155"/>
      <c r="K233" s="255"/>
      <c r="N233" s="255"/>
      <c r="T233" s="256"/>
      <c r="Z233" s="257"/>
    </row>
    <row r="234" ht="15.75" customHeight="1">
      <c r="D234" s="155"/>
      <c r="G234" s="155"/>
      <c r="K234" s="255"/>
      <c r="N234" s="255"/>
      <c r="T234" s="256"/>
      <c r="Z234" s="257"/>
    </row>
    <row r="235" ht="15.75" customHeight="1">
      <c r="D235" s="155"/>
      <c r="G235" s="155"/>
      <c r="K235" s="255"/>
      <c r="N235" s="255"/>
      <c r="T235" s="256"/>
      <c r="Z235" s="257"/>
    </row>
    <row r="236" ht="15.75" customHeight="1">
      <c r="D236" s="155"/>
      <c r="G236" s="155"/>
      <c r="K236" s="255"/>
      <c r="N236" s="255"/>
      <c r="T236" s="256"/>
      <c r="Z236" s="257"/>
    </row>
    <row r="237" ht="15.75" customHeight="1">
      <c r="D237" s="155"/>
      <c r="G237" s="155"/>
      <c r="K237" s="255"/>
      <c r="N237" s="255"/>
      <c r="T237" s="256"/>
      <c r="Z237" s="257"/>
    </row>
    <row r="238" ht="15.75" customHeight="1">
      <c r="D238" s="155"/>
      <c r="G238" s="155"/>
      <c r="K238" s="255"/>
      <c r="N238" s="255"/>
      <c r="T238" s="256"/>
      <c r="Z238" s="257"/>
    </row>
    <row r="239" ht="15.75" customHeight="1">
      <c r="D239" s="155"/>
      <c r="G239" s="155"/>
      <c r="K239" s="255"/>
      <c r="N239" s="255"/>
      <c r="T239" s="256"/>
      <c r="Z239" s="257"/>
    </row>
    <row r="240" ht="15.75" customHeight="1">
      <c r="D240" s="155"/>
      <c r="G240" s="155"/>
      <c r="K240" s="255"/>
      <c r="N240" s="255"/>
      <c r="T240" s="256"/>
      <c r="Z240" s="257"/>
    </row>
    <row r="241" ht="15.75" customHeight="1">
      <c r="D241" s="155"/>
      <c r="G241" s="155"/>
      <c r="K241" s="255"/>
      <c r="N241" s="255"/>
      <c r="T241" s="256"/>
      <c r="Z241" s="257"/>
    </row>
    <row r="242" ht="15.75" customHeight="1">
      <c r="D242" s="155"/>
      <c r="G242" s="155"/>
      <c r="K242" s="255"/>
      <c r="N242" s="255"/>
      <c r="T242" s="256"/>
      <c r="Z242" s="257"/>
    </row>
    <row r="243" ht="15.75" customHeight="1">
      <c r="D243" s="155"/>
      <c r="G243" s="155"/>
      <c r="K243" s="255"/>
      <c r="N243" s="255"/>
      <c r="T243" s="256"/>
      <c r="Z243" s="257"/>
    </row>
    <row r="244" ht="15.75" customHeight="1">
      <c r="D244" s="155"/>
      <c r="G244" s="155"/>
      <c r="K244" s="255"/>
      <c r="N244" s="255"/>
      <c r="T244" s="256"/>
      <c r="Z244" s="257"/>
    </row>
    <row r="245" ht="15.75" customHeight="1">
      <c r="D245" s="155"/>
      <c r="G245" s="155"/>
      <c r="K245" s="255"/>
      <c r="N245" s="255"/>
      <c r="T245" s="256"/>
      <c r="Z245" s="257"/>
    </row>
    <row r="246" ht="15.75" customHeight="1">
      <c r="D246" s="155"/>
      <c r="G246" s="155"/>
      <c r="K246" s="255"/>
      <c r="N246" s="255"/>
      <c r="T246" s="256"/>
      <c r="Z246" s="257"/>
    </row>
    <row r="247" ht="15.75" customHeight="1">
      <c r="D247" s="155"/>
      <c r="G247" s="155"/>
      <c r="K247" s="255"/>
      <c r="N247" s="255"/>
      <c r="T247" s="256"/>
      <c r="Z247" s="257"/>
    </row>
    <row r="248" ht="15.75" customHeight="1">
      <c r="D248" s="155"/>
      <c r="G248" s="155"/>
      <c r="K248" s="255"/>
      <c r="N248" s="255"/>
      <c r="T248" s="256"/>
      <c r="Z248" s="257"/>
    </row>
    <row r="249" ht="15.75" customHeight="1">
      <c r="D249" s="155"/>
      <c r="G249" s="155"/>
      <c r="K249" s="255"/>
      <c r="N249" s="255"/>
      <c r="T249" s="256"/>
      <c r="Z249" s="257"/>
    </row>
    <row r="250" ht="15.75" customHeight="1">
      <c r="D250" s="155"/>
      <c r="G250" s="155"/>
      <c r="K250" s="255"/>
      <c r="N250" s="255"/>
      <c r="T250" s="256"/>
      <c r="Z250" s="257"/>
    </row>
    <row r="251" ht="15.75" customHeight="1">
      <c r="D251" s="155"/>
      <c r="G251" s="155"/>
      <c r="K251" s="255"/>
      <c r="N251" s="255"/>
      <c r="T251" s="256"/>
      <c r="Z251" s="257"/>
    </row>
    <row r="252" ht="15.75" customHeight="1">
      <c r="D252" s="155"/>
      <c r="G252" s="155"/>
      <c r="K252" s="255"/>
      <c r="N252" s="255"/>
      <c r="T252" s="256"/>
      <c r="Z252" s="257"/>
    </row>
    <row r="253" ht="15.75" customHeight="1">
      <c r="D253" s="155"/>
      <c r="G253" s="155"/>
      <c r="K253" s="255"/>
      <c r="N253" s="255"/>
      <c r="T253" s="256"/>
      <c r="Z253" s="257"/>
    </row>
    <row r="254" ht="15.75" customHeight="1">
      <c r="D254" s="155"/>
      <c r="G254" s="155"/>
      <c r="K254" s="255"/>
      <c r="N254" s="255"/>
      <c r="T254" s="256"/>
      <c r="Z254" s="257"/>
    </row>
    <row r="255" ht="15.75" customHeight="1">
      <c r="D255" s="155"/>
      <c r="G255" s="155"/>
      <c r="K255" s="255"/>
      <c r="N255" s="255"/>
      <c r="T255" s="256"/>
      <c r="Z255" s="257"/>
    </row>
    <row r="256" ht="15.75" customHeight="1">
      <c r="D256" s="155"/>
      <c r="G256" s="155"/>
      <c r="K256" s="255"/>
      <c r="N256" s="255"/>
      <c r="T256" s="256"/>
      <c r="Z256" s="257"/>
    </row>
    <row r="257" ht="15.75" customHeight="1">
      <c r="D257" s="155"/>
      <c r="G257" s="155"/>
      <c r="K257" s="255"/>
      <c r="N257" s="255"/>
      <c r="T257" s="256"/>
      <c r="Z257" s="257"/>
    </row>
    <row r="258" ht="15.75" customHeight="1">
      <c r="D258" s="155"/>
      <c r="G258" s="155"/>
      <c r="K258" s="255"/>
      <c r="N258" s="255"/>
      <c r="T258" s="256"/>
      <c r="Z258" s="257"/>
    </row>
    <row r="259" ht="15.75" customHeight="1">
      <c r="D259" s="155"/>
      <c r="G259" s="155"/>
      <c r="K259" s="255"/>
      <c r="N259" s="255"/>
      <c r="T259" s="256"/>
      <c r="Z259" s="257"/>
    </row>
    <row r="260" ht="15.75" customHeight="1">
      <c r="D260" s="155"/>
      <c r="G260" s="155"/>
      <c r="K260" s="255"/>
      <c r="N260" s="255"/>
      <c r="T260" s="256"/>
      <c r="Z260" s="257"/>
    </row>
    <row r="261" ht="15.75" customHeight="1">
      <c r="D261" s="155"/>
      <c r="G261" s="155"/>
      <c r="K261" s="255"/>
      <c r="N261" s="255"/>
      <c r="T261" s="256"/>
      <c r="Z261" s="257"/>
    </row>
    <row r="262" ht="15.75" customHeight="1">
      <c r="D262" s="155"/>
      <c r="G262" s="155"/>
      <c r="K262" s="255"/>
      <c r="N262" s="255"/>
      <c r="T262" s="256"/>
      <c r="Z262" s="257"/>
    </row>
    <row r="263" ht="15.75" customHeight="1">
      <c r="D263" s="155"/>
      <c r="G263" s="155"/>
      <c r="K263" s="255"/>
      <c r="N263" s="255"/>
      <c r="T263" s="256"/>
      <c r="Z263" s="257"/>
    </row>
    <row r="264" ht="15.75" customHeight="1">
      <c r="D264" s="155"/>
      <c r="G264" s="155"/>
      <c r="K264" s="255"/>
      <c r="N264" s="255"/>
      <c r="T264" s="256"/>
      <c r="Z264" s="257"/>
    </row>
    <row r="265" ht="15.75" customHeight="1">
      <c r="D265" s="155"/>
      <c r="G265" s="155"/>
      <c r="K265" s="255"/>
      <c r="N265" s="255"/>
      <c r="T265" s="256"/>
      <c r="Z265" s="257"/>
    </row>
    <row r="266" ht="15.75" customHeight="1">
      <c r="D266" s="155"/>
      <c r="G266" s="155"/>
      <c r="K266" s="255"/>
      <c r="N266" s="255"/>
      <c r="T266" s="256"/>
      <c r="Z266" s="257"/>
    </row>
    <row r="267" ht="15.75" customHeight="1">
      <c r="D267" s="155"/>
      <c r="G267" s="155"/>
      <c r="K267" s="255"/>
      <c r="N267" s="255"/>
      <c r="T267" s="256"/>
      <c r="Z267" s="257"/>
    </row>
    <row r="268" ht="15.75" customHeight="1">
      <c r="D268" s="155"/>
      <c r="G268" s="155"/>
      <c r="K268" s="255"/>
      <c r="N268" s="255"/>
      <c r="T268" s="256"/>
      <c r="Z268" s="257"/>
    </row>
    <row r="269" ht="15.75" customHeight="1">
      <c r="D269" s="155"/>
      <c r="G269" s="155"/>
      <c r="K269" s="255"/>
      <c r="N269" s="255"/>
      <c r="T269" s="256"/>
      <c r="Z269" s="257"/>
    </row>
    <row r="270" ht="15.75" customHeight="1">
      <c r="D270" s="155"/>
      <c r="G270" s="155"/>
      <c r="K270" s="255"/>
      <c r="N270" s="255"/>
      <c r="T270" s="256"/>
      <c r="Z270" s="257"/>
    </row>
    <row r="271" ht="15.75" customHeight="1">
      <c r="D271" s="155"/>
      <c r="G271" s="155"/>
      <c r="K271" s="255"/>
      <c r="N271" s="255"/>
      <c r="T271" s="256"/>
      <c r="Z271" s="257"/>
    </row>
    <row r="272" ht="15.75" customHeight="1">
      <c r="D272" s="155"/>
      <c r="G272" s="155"/>
      <c r="K272" s="255"/>
      <c r="N272" s="255"/>
      <c r="T272" s="256"/>
      <c r="Z272" s="257"/>
    </row>
    <row r="273" ht="15.75" customHeight="1">
      <c r="D273" s="155"/>
      <c r="G273" s="155"/>
      <c r="K273" s="255"/>
      <c r="N273" s="255"/>
      <c r="T273" s="256"/>
      <c r="Z273" s="257"/>
    </row>
    <row r="274" ht="15.75" customHeight="1">
      <c r="D274" s="155"/>
      <c r="G274" s="155"/>
      <c r="K274" s="255"/>
      <c r="N274" s="255"/>
      <c r="T274" s="256"/>
      <c r="Z274" s="257"/>
    </row>
    <row r="275" ht="15.75" customHeight="1">
      <c r="D275" s="155"/>
      <c r="G275" s="155"/>
      <c r="K275" s="255"/>
      <c r="N275" s="255"/>
      <c r="T275" s="256"/>
      <c r="Z275" s="257"/>
    </row>
    <row r="276" ht="15.75" customHeight="1">
      <c r="D276" s="155"/>
      <c r="G276" s="155"/>
      <c r="K276" s="255"/>
      <c r="N276" s="255"/>
      <c r="T276" s="256"/>
      <c r="Z276" s="257"/>
    </row>
    <row r="277" ht="15.75" customHeight="1">
      <c r="D277" s="155"/>
      <c r="G277" s="155"/>
      <c r="K277" s="255"/>
      <c r="N277" s="255"/>
      <c r="T277" s="256"/>
      <c r="Z277" s="257"/>
    </row>
    <row r="278" ht="15.75" customHeight="1">
      <c r="D278" s="155"/>
      <c r="G278" s="155"/>
      <c r="K278" s="255"/>
      <c r="N278" s="255"/>
      <c r="T278" s="256"/>
      <c r="Z278" s="257"/>
    </row>
    <row r="279" ht="15.75" customHeight="1">
      <c r="D279" s="155"/>
      <c r="G279" s="155"/>
      <c r="K279" s="255"/>
      <c r="N279" s="255"/>
      <c r="T279" s="256"/>
      <c r="Z279" s="257"/>
    </row>
    <row r="280" ht="15.75" customHeight="1">
      <c r="D280" s="155"/>
      <c r="G280" s="155"/>
      <c r="K280" s="255"/>
      <c r="N280" s="255"/>
      <c r="T280" s="256"/>
      <c r="Z280" s="257"/>
    </row>
    <row r="281" ht="15.75" customHeight="1">
      <c r="D281" s="155"/>
      <c r="G281" s="155"/>
      <c r="K281" s="255"/>
      <c r="N281" s="255"/>
      <c r="T281" s="256"/>
      <c r="Z281" s="257"/>
    </row>
    <row r="282" ht="15.75" customHeight="1">
      <c r="D282" s="155"/>
      <c r="G282" s="155"/>
      <c r="K282" s="255"/>
      <c r="N282" s="255"/>
      <c r="T282" s="256"/>
      <c r="Z282" s="257"/>
    </row>
    <row r="283" ht="15.75" customHeight="1">
      <c r="D283" s="155"/>
      <c r="G283" s="155"/>
      <c r="K283" s="255"/>
      <c r="N283" s="255"/>
      <c r="T283" s="256"/>
      <c r="Z283" s="257"/>
    </row>
    <row r="284" ht="15.75" customHeight="1">
      <c r="D284" s="155"/>
      <c r="G284" s="155"/>
      <c r="K284" s="255"/>
      <c r="N284" s="255"/>
      <c r="T284" s="256"/>
      <c r="Z284" s="257"/>
    </row>
    <row r="285" ht="15.75" customHeight="1">
      <c r="D285" s="155"/>
      <c r="G285" s="155"/>
      <c r="K285" s="255"/>
      <c r="N285" s="255"/>
      <c r="T285" s="256"/>
      <c r="Z285" s="257"/>
    </row>
    <row r="286" ht="15.75" customHeight="1">
      <c r="D286" s="155"/>
      <c r="G286" s="155"/>
      <c r="K286" s="255"/>
      <c r="N286" s="255"/>
      <c r="T286" s="256"/>
      <c r="Z286" s="257"/>
    </row>
    <row r="287" ht="15.75" customHeight="1">
      <c r="D287" s="155"/>
      <c r="G287" s="155"/>
      <c r="K287" s="255"/>
      <c r="N287" s="255"/>
      <c r="T287" s="256"/>
      <c r="Z287" s="257"/>
    </row>
    <row r="288" ht="15.75" customHeight="1">
      <c r="D288" s="155"/>
      <c r="G288" s="155"/>
      <c r="K288" s="255"/>
      <c r="N288" s="255"/>
      <c r="T288" s="256"/>
      <c r="Z288" s="257"/>
    </row>
    <row r="289" ht="15.75" customHeight="1">
      <c r="D289" s="155"/>
      <c r="G289" s="155"/>
      <c r="K289" s="255"/>
      <c r="N289" s="255"/>
      <c r="T289" s="256"/>
      <c r="Z289" s="257"/>
    </row>
    <row r="290" ht="15.75" customHeight="1">
      <c r="D290" s="155"/>
      <c r="G290" s="155"/>
      <c r="K290" s="255"/>
      <c r="N290" s="255"/>
      <c r="T290" s="256"/>
      <c r="Z290" s="257"/>
    </row>
    <row r="291" ht="15.75" customHeight="1">
      <c r="D291" s="155"/>
      <c r="G291" s="155"/>
      <c r="K291" s="255"/>
      <c r="N291" s="255"/>
      <c r="T291" s="256"/>
      <c r="Z291" s="257"/>
    </row>
    <row r="292" ht="15.75" customHeight="1">
      <c r="D292" s="155"/>
      <c r="G292" s="155"/>
      <c r="K292" s="255"/>
      <c r="N292" s="255"/>
      <c r="T292" s="256"/>
      <c r="Z292" s="257"/>
    </row>
    <row r="293" ht="15.75" customHeight="1">
      <c r="D293" s="155"/>
      <c r="G293" s="155"/>
      <c r="K293" s="255"/>
      <c r="N293" s="255"/>
      <c r="T293" s="256"/>
      <c r="Z293" s="257"/>
    </row>
    <row r="294" ht="15.75" customHeight="1">
      <c r="D294" s="155"/>
      <c r="G294" s="155"/>
      <c r="K294" s="255"/>
      <c r="N294" s="255"/>
      <c r="T294" s="256"/>
      <c r="Z294" s="257"/>
    </row>
    <row r="295" ht="15.75" customHeight="1">
      <c r="D295" s="155"/>
      <c r="G295" s="155"/>
      <c r="K295" s="255"/>
      <c r="N295" s="255"/>
      <c r="T295" s="256"/>
      <c r="Z295" s="257"/>
    </row>
    <row r="296" ht="15.75" customHeight="1">
      <c r="D296" s="155"/>
      <c r="G296" s="155"/>
      <c r="K296" s="255"/>
      <c r="N296" s="255"/>
      <c r="T296" s="256"/>
      <c r="Z296" s="257"/>
    </row>
    <row r="297" ht="15.75" customHeight="1">
      <c r="D297" s="155"/>
      <c r="G297" s="155"/>
      <c r="K297" s="255"/>
      <c r="N297" s="255"/>
      <c r="T297" s="256"/>
      <c r="Z297" s="257"/>
    </row>
    <row r="298" ht="15.75" customHeight="1">
      <c r="D298" s="155"/>
      <c r="G298" s="155"/>
      <c r="K298" s="255"/>
      <c r="N298" s="255"/>
      <c r="T298" s="256"/>
      <c r="Z298" s="257"/>
    </row>
    <row r="299" ht="15.75" customHeight="1">
      <c r="D299" s="155"/>
      <c r="G299" s="155"/>
      <c r="K299" s="255"/>
      <c r="N299" s="255"/>
      <c r="T299" s="256"/>
      <c r="Z299" s="257"/>
    </row>
    <row r="300" ht="15.75" customHeight="1">
      <c r="D300" s="155"/>
      <c r="G300" s="155"/>
      <c r="K300" s="255"/>
      <c r="N300" s="255"/>
      <c r="T300" s="256"/>
      <c r="Z300" s="257"/>
    </row>
    <row r="301" ht="15.75" customHeight="1">
      <c r="D301" s="155"/>
      <c r="G301" s="155"/>
      <c r="K301" s="255"/>
      <c r="N301" s="255"/>
      <c r="T301" s="256"/>
      <c r="Z301" s="257"/>
    </row>
    <row r="302" ht="15.75" customHeight="1">
      <c r="D302" s="155"/>
      <c r="G302" s="155"/>
      <c r="K302" s="255"/>
      <c r="N302" s="255"/>
      <c r="T302" s="256"/>
      <c r="Z302" s="257"/>
    </row>
    <row r="303" ht="15.75" customHeight="1">
      <c r="D303" s="155"/>
      <c r="G303" s="155"/>
      <c r="K303" s="255"/>
      <c r="N303" s="255"/>
      <c r="T303" s="256"/>
      <c r="Z303" s="257"/>
    </row>
    <row r="304" ht="15.75" customHeight="1">
      <c r="D304" s="155"/>
      <c r="G304" s="155"/>
      <c r="K304" s="255"/>
      <c r="N304" s="255"/>
      <c r="T304" s="256"/>
      <c r="Z304" s="257"/>
    </row>
    <row r="305" ht="15.75" customHeight="1">
      <c r="D305" s="155"/>
      <c r="G305" s="155"/>
      <c r="K305" s="255"/>
      <c r="N305" s="255"/>
      <c r="T305" s="256"/>
      <c r="Z305" s="257"/>
    </row>
    <row r="306" ht="15.75" customHeight="1">
      <c r="D306" s="155"/>
      <c r="G306" s="155"/>
      <c r="K306" s="255"/>
      <c r="N306" s="255"/>
      <c r="T306" s="256"/>
      <c r="Z306" s="257"/>
    </row>
    <row r="307" ht="15.75" customHeight="1">
      <c r="D307" s="155"/>
      <c r="G307" s="155"/>
      <c r="K307" s="255"/>
      <c r="N307" s="255"/>
      <c r="T307" s="256"/>
      <c r="Z307" s="257"/>
    </row>
    <row r="308" ht="15.75" customHeight="1">
      <c r="D308" s="155"/>
      <c r="G308" s="155"/>
      <c r="K308" s="255"/>
      <c r="N308" s="255"/>
      <c r="T308" s="256"/>
      <c r="Z308" s="257"/>
    </row>
    <row r="309" ht="15.75" customHeight="1">
      <c r="D309" s="155"/>
      <c r="G309" s="155"/>
      <c r="K309" s="255"/>
      <c r="N309" s="255"/>
      <c r="T309" s="256"/>
      <c r="Z309" s="257"/>
    </row>
    <row r="310" ht="15.75" customHeight="1">
      <c r="D310" s="155"/>
      <c r="G310" s="155"/>
      <c r="K310" s="255"/>
      <c r="N310" s="255"/>
      <c r="T310" s="256"/>
      <c r="Z310" s="257"/>
    </row>
    <row r="311" ht="15.75" customHeight="1">
      <c r="D311" s="155"/>
      <c r="G311" s="155"/>
      <c r="K311" s="255"/>
      <c r="N311" s="255"/>
      <c r="T311" s="256"/>
      <c r="Z311" s="257"/>
    </row>
    <row r="312" ht="15.75" customHeight="1">
      <c r="D312" s="155"/>
      <c r="G312" s="155"/>
      <c r="K312" s="255"/>
      <c r="N312" s="255"/>
      <c r="T312" s="256"/>
      <c r="Z312" s="257"/>
    </row>
    <row r="313" ht="15.75" customHeight="1">
      <c r="D313" s="155"/>
      <c r="G313" s="155"/>
      <c r="K313" s="255"/>
      <c r="N313" s="255"/>
      <c r="T313" s="256"/>
      <c r="Z313" s="257"/>
    </row>
    <row r="314" ht="15.75" customHeight="1">
      <c r="D314" s="155"/>
      <c r="G314" s="155"/>
      <c r="K314" s="255"/>
      <c r="N314" s="255"/>
      <c r="T314" s="256"/>
      <c r="Z314" s="257"/>
    </row>
    <row r="315" ht="15.75" customHeight="1">
      <c r="D315" s="155"/>
      <c r="G315" s="155"/>
      <c r="K315" s="255"/>
      <c r="N315" s="255"/>
      <c r="T315" s="256"/>
      <c r="Z315" s="257"/>
    </row>
    <row r="316" ht="15.75" customHeight="1">
      <c r="D316" s="155"/>
      <c r="G316" s="155"/>
      <c r="K316" s="255"/>
      <c r="N316" s="255"/>
      <c r="T316" s="256"/>
      <c r="Z316" s="257"/>
    </row>
    <row r="317" ht="15.75" customHeight="1">
      <c r="D317" s="155"/>
      <c r="G317" s="155"/>
      <c r="K317" s="255"/>
      <c r="N317" s="255"/>
      <c r="T317" s="256"/>
      <c r="Z317" s="257"/>
    </row>
    <row r="318" ht="15.75" customHeight="1">
      <c r="D318" s="155"/>
      <c r="G318" s="155"/>
      <c r="K318" s="255"/>
      <c r="N318" s="255"/>
      <c r="T318" s="256"/>
      <c r="Z318" s="257"/>
    </row>
    <row r="319" ht="15.75" customHeight="1">
      <c r="D319" s="155"/>
      <c r="G319" s="155"/>
      <c r="K319" s="255"/>
      <c r="N319" s="255"/>
      <c r="T319" s="256"/>
      <c r="Z319" s="257"/>
    </row>
    <row r="320" ht="15.75" customHeight="1">
      <c r="D320" s="155"/>
      <c r="G320" s="155"/>
      <c r="K320" s="255"/>
      <c r="N320" s="255"/>
      <c r="T320" s="256"/>
      <c r="Z320" s="257"/>
    </row>
    <row r="321" ht="15.75" customHeight="1">
      <c r="D321" s="155"/>
      <c r="G321" s="155"/>
      <c r="K321" s="255"/>
      <c r="N321" s="255"/>
      <c r="T321" s="256"/>
      <c r="Z321" s="257"/>
    </row>
    <row r="322" ht="15.75" customHeight="1">
      <c r="D322" s="155"/>
      <c r="G322" s="155"/>
      <c r="K322" s="255"/>
      <c r="N322" s="255"/>
      <c r="T322" s="256"/>
      <c r="Z322" s="257"/>
    </row>
    <row r="323" ht="15.75" customHeight="1">
      <c r="D323" s="155"/>
      <c r="G323" s="155"/>
      <c r="K323" s="255"/>
      <c r="N323" s="255"/>
      <c r="T323" s="256"/>
      <c r="Z323" s="257"/>
    </row>
    <row r="324" ht="15.75" customHeight="1">
      <c r="D324" s="155"/>
      <c r="G324" s="155"/>
      <c r="K324" s="255"/>
      <c r="N324" s="255"/>
      <c r="T324" s="256"/>
      <c r="Z324" s="257"/>
    </row>
    <row r="325" ht="15.75" customHeight="1">
      <c r="D325" s="155"/>
      <c r="G325" s="155"/>
      <c r="K325" s="255"/>
      <c r="N325" s="255"/>
      <c r="T325" s="256"/>
      <c r="Z325" s="257"/>
    </row>
    <row r="326" ht="15.75" customHeight="1">
      <c r="D326" s="155"/>
      <c r="G326" s="155"/>
      <c r="K326" s="255"/>
      <c r="N326" s="255"/>
      <c r="T326" s="256"/>
      <c r="Z326" s="257"/>
    </row>
    <row r="327" ht="15.75" customHeight="1">
      <c r="D327" s="155"/>
      <c r="G327" s="155"/>
      <c r="K327" s="255"/>
      <c r="N327" s="255"/>
      <c r="T327" s="256"/>
      <c r="Z327" s="257"/>
    </row>
    <row r="328" ht="15.75" customHeight="1">
      <c r="D328" s="155"/>
      <c r="G328" s="155"/>
      <c r="K328" s="255"/>
      <c r="N328" s="255"/>
      <c r="T328" s="256"/>
      <c r="Z328" s="257"/>
    </row>
    <row r="329" ht="15.75" customHeight="1">
      <c r="D329" s="155"/>
      <c r="G329" s="155"/>
      <c r="K329" s="255"/>
      <c r="N329" s="255"/>
      <c r="T329" s="256"/>
      <c r="Z329" s="257"/>
    </row>
    <row r="330" ht="15.75" customHeight="1">
      <c r="D330" s="155"/>
      <c r="G330" s="155"/>
      <c r="K330" s="255"/>
      <c r="N330" s="255"/>
      <c r="T330" s="256"/>
      <c r="Z330" s="257"/>
    </row>
    <row r="331" ht="15.75" customHeight="1">
      <c r="D331" s="155"/>
      <c r="G331" s="155"/>
      <c r="K331" s="255"/>
      <c r="N331" s="255"/>
      <c r="T331" s="256"/>
      <c r="Z331" s="257"/>
    </row>
    <row r="332" ht="15.75" customHeight="1">
      <c r="D332" s="155"/>
      <c r="G332" s="155"/>
      <c r="K332" s="255"/>
      <c r="N332" s="255"/>
      <c r="T332" s="256"/>
      <c r="Z332" s="257"/>
    </row>
    <row r="333" ht="15.75" customHeight="1">
      <c r="D333" s="155"/>
      <c r="G333" s="155"/>
      <c r="K333" s="255"/>
      <c r="N333" s="255"/>
      <c r="T333" s="256"/>
      <c r="Z333" s="257"/>
    </row>
    <row r="334" ht="15.75" customHeight="1">
      <c r="D334" s="155"/>
      <c r="G334" s="155"/>
      <c r="K334" s="255"/>
      <c r="N334" s="255"/>
      <c r="T334" s="256"/>
      <c r="Z334" s="257"/>
    </row>
    <row r="335" ht="15.75" customHeight="1">
      <c r="D335" s="155"/>
      <c r="G335" s="155"/>
      <c r="K335" s="255"/>
      <c r="N335" s="255"/>
      <c r="T335" s="256"/>
      <c r="Z335" s="257"/>
    </row>
    <row r="336" ht="15.75" customHeight="1">
      <c r="D336" s="155"/>
      <c r="G336" s="155"/>
      <c r="K336" s="255"/>
      <c r="N336" s="255"/>
      <c r="T336" s="256"/>
      <c r="Z336" s="257"/>
    </row>
    <row r="337" ht="15.75" customHeight="1">
      <c r="D337" s="155"/>
      <c r="G337" s="155"/>
      <c r="K337" s="255"/>
      <c r="N337" s="255"/>
      <c r="T337" s="256"/>
      <c r="Z337" s="257"/>
    </row>
    <row r="338" ht="15.75" customHeight="1">
      <c r="D338" s="155"/>
      <c r="G338" s="155"/>
      <c r="K338" s="255"/>
      <c r="N338" s="255"/>
      <c r="T338" s="256"/>
      <c r="Z338" s="257"/>
    </row>
    <row r="339" ht="15.75" customHeight="1">
      <c r="D339" s="155"/>
      <c r="G339" s="155"/>
      <c r="K339" s="255"/>
      <c r="N339" s="255"/>
      <c r="T339" s="256"/>
      <c r="Z339" s="257"/>
    </row>
    <row r="340" ht="15.75" customHeight="1">
      <c r="D340" s="155"/>
      <c r="G340" s="155"/>
      <c r="K340" s="255"/>
      <c r="N340" s="255"/>
      <c r="T340" s="256"/>
      <c r="Z340" s="257"/>
    </row>
    <row r="341" ht="15.75" customHeight="1">
      <c r="D341" s="155"/>
      <c r="G341" s="155"/>
      <c r="K341" s="255"/>
      <c r="N341" s="255"/>
      <c r="T341" s="256"/>
      <c r="Z341" s="257"/>
    </row>
    <row r="342" ht="15.75" customHeight="1">
      <c r="D342" s="155"/>
      <c r="G342" s="155"/>
      <c r="K342" s="255"/>
      <c r="N342" s="255"/>
      <c r="T342" s="256"/>
      <c r="Z342" s="257"/>
    </row>
    <row r="343" ht="15.75" customHeight="1">
      <c r="D343" s="155"/>
      <c r="G343" s="155"/>
      <c r="K343" s="255"/>
      <c r="N343" s="255"/>
      <c r="T343" s="256"/>
      <c r="Z343" s="257"/>
    </row>
    <row r="344" ht="15.75" customHeight="1">
      <c r="D344" s="155"/>
      <c r="G344" s="155"/>
      <c r="K344" s="255"/>
      <c r="N344" s="255"/>
      <c r="T344" s="256"/>
      <c r="Z344" s="257"/>
    </row>
    <row r="345" ht="15.75" customHeight="1">
      <c r="D345" s="155"/>
      <c r="G345" s="155"/>
      <c r="K345" s="255"/>
      <c r="N345" s="255"/>
      <c r="T345" s="256"/>
      <c r="Z345" s="257"/>
    </row>
    <row r="346" ht="15.75" customHeight="1">
      <c r="D346" s="155"/>
      <c r="G346" s="155"/>
      <c r="K346" s="255"/>
      <c r="N346" s="255"/>
      <c r="T346" s="256"/>
      <c r="Z346" s="257"/>
    </row>
    <row r="347" ht="15.75" customHeight="1">
      <c r="D347" s="155"/>
      <c r="G347" s="155"/>
      <c r="K347" s="255"/>
      <c r="N347" s="255"/>
      <c r="T347" s="256"/>
      <c r="Z347" s="257"/>
    </row>
    <row r="348" ht="15.75" customHeight="1">
      <c r="D348" s="155"/>
      <c r="G348" s="155"/>
      <c r="K348" s="255"/>
      <c r="N348" s="255"/>
      <c r="T348" s="256"/>
      <c r="Z348" s="257"/>
    </row>
    <row r="349" ht="15.75" customHeight="1">
      <c r="D349" s="155"/>
      <c r="G349" s="155"/>
      <c r="K349" s="255"/>
      <c r="N349" s="255"/>
      <c r="T349" s="256"/>
      <c r="Z349" s="257"/>
    </row>
    <row r="350" ht="15.75" customHeight="1">
      <c r="D350" s="155"/>
      <c r="G350" s="155"/>
      <c r="K350" s="255"/>
      <c r="N350" s="255"/>
      <c r="T350" s="256"/>
      <c r="Z350" s="257"/>
    </row>
    <row r="351" ht="15.75" customHeight="1">
      <c r="D351" s="155"/>
      <c r="G351" s="155"/>
      <c r="K351" s="255"/>
      <c r="N351" s="255"/>
      <c r="T351" s="256"/>
      <c r="Z351" s="257"/>
    </row>
    <row r="352" ht="15.75" customHeight="1">
      <c r="D352" s="155"/>
      <c r="G352" s="155"/>
      <c r="K352" s="255"/>
      <c r="N352" s="255"/>
      <c r="T352" s="256"/>
      <c r="Z352" s="257"/>
    </row>
    <row r="353" ht="15.75" customHeight="1">
      <c r="D353" s="155"/>
      <c r="G353" s="155"/>
      <c r="K353" s="255"/>
      <c r="N353" s="255"/>
      <c r="T353" s="256"/>
      <c r="Z353" s="257"/>
    </row>
    <row r="354" ht="15.75" customHeight="1">
      <c r="D354" s="155"/>
      <c r="G354" s="155"/>
      <c r="K354" s="255"/>
      <c r="N354" s="255"/>
      <c r="T354" s="256"/>
      <c r="Z354" s="257"/>
    </row>
    <row r="355" ht="15.75" customHeight="1">
      <c r="D355" s="155"/>
      <c r="G355" s="155"/>
      <c r="K355" s="255"/>
      <c r="N355" s="255"/>
      <c r="T355" s="256"/>
      <c r="Z355" s="257"/>
    </row>
    <row r="356" ht="15.75" customHeight="1">
      <c r="D356" s="155"/>
      <c r="G356" s="155"/>
      <c r="K356" s="255"/>
      <c r="N356" s="255"/>
      <c r="T356" s="256"/>
      <c r="Z356" s="257"/>
    </row>
    <row r="357" ht="15.75" customHeight="1">
      <c r="D357" s="155"/>
      <c r="G357" s="155"/>
      <c r="K357" s="255"/>
      <c r="N357" s="255"/>
      <c r="T357" s="256"/>
      <c r="Z357" s="257"/>
    </row>
    <row r="358" ht="15.75" customHeight="1">
      <c r="D358" s="155"/>
      <c r="G358" s="155"/>
      <c r="K358" s="255"/>
      <c r="N358" s="255"/>
      <c r="T358" s="256"/>
      <c r="Z358" s="257"/>
    </row>
    <row r="359" ht="15.75" customHeight="1">
      <c r="D359" s="155"/>
      <c r="G359" s="155"/>
      <c r="K359" s="255"/>
      <c r="N359" s="255"/>
      <c r="T359" s="256"/>
      <c r="Z359" s="257"/>
    </row>
    <row r="360" ht="15.75" customHeight="1">
      <c r="D360" s="155"/>
      <c r="G360" s="155"/>
      <c r="K360" s="255"/>
      <c r="N360" s="255"/>
      <c r="T360" s="256"/>
      <c r="Z360" s="257"/>
    </row>
    <row r="361" ht="15.75" customHeight="1">
      <c r="D361" s="155"/>
      <c r="G361" s="155"/>
      <c r="K361" s="255"/>
      <c r="N361" s="255"/>
      <c r="T361" s="256"/>
      <c r="Z361" s="257"/>
    </row>
    <row r="362" ht="15.75" customHeight="1">
      <c r="D362" s="155"/>
      <c r="G362" s="155"/>
      <c r="K362" s="255"/>
      <c r="N362" s="255"/>
      <c r="T362" s="256"/>
      <c r="Z362" s="257"/>
    </row>
    <row r="363" ht="15.75" customHeight="1">
      <c r="D363" s="155"/>
      <c r="G363" s="155"/>
      <c r="K363" s="255"/>
      <c r="N363" s="255"/>
      <c r="T363" s="256"/>
      <c r="Z363" s="257"/>
    </row>
    <row r="364" ht="15.75" customHeight="1">
      <c r="D364" s="155"/>
      <c r="G364" s="155"/>
      <c r="K364" s="255"/>
      <c r="N364" s="255"/>
      <c r="T364" s="256"/>
      <c r="Z364" s="257"/>
    </row>
    <row r="365" ht="15.75" customHeight="1">
      <c r="D365" s="155"/>
      <c r="G365" s="155"/>
      <c r="K365" s="255"/>
      <c r="N365" s="255"/>
      <c r="T365" s="256"/>
      <c r="Z365" s="257"/>
    </row>
    <row r="366" ht="15.75" customHeight="1">
      <c r="D366" s="155"/>
      <c r="G366" s="155"/>
      <c r="K366" s="255"/>
      <c r="N366" s="255"/>
      <c r="T366" s="256"/>
      <c r="Z366" s="257"/>
    </row>
    <row r="367" ht="15.75" customHeight="1">
      <c r="D367" s="155"/>
      <c r="G367" s="155"/>
      <c r="K367" s="255"/>
      <c r="N367" s="255"/>
      <c r="T367" s="256"/>
      <c r="Z367" s="257"/>
    </row>
    <row r="368" ht="15.75" customHeight="1">
      <c r="D368" s="155"/>
      <c r="G368" s="155"/>
      <c r="K368" s="255"/>
      <c r="N368" s="255"/>
      <c r="T368" s="256"/>
      <c r="Z368" s="257"/>
    </row>
    <row r="369" ht="15.75" customHeight="1">
      <c r="D369" s="155"/>
      <c r="G369" s="155"/>
      <c r="K369" s="255"/>
      <c r="N369" s="255"/>
      <c r="T369" s="256"/>
      <c r="Z369" s="257"/>
    </row>
    <row r="370" ht="15.75" customHeight="1">
      <c r="D370" s="155"/>
      <c r="G370" s="155"/>
      <c r="K370" s="255"/>
      <c r="N370" s="255"/>
      <c r="T370" s="256"/>
      <c r="Z370" s="257"/>
    </row>
    <row r="371" ht="15.75" customHeight="1">
      <c r="D371" s="155"/>
      <c r="G371" s="155"/>
      <c r="K371" s="255"/>
      <c r="N371" s="255"/>
      <c r="T371" s="256"/>
      <c r="Z371" s="257"/>
    </row>
    <row r="372" ht="15.75" customHeight="1">
      <c r="D372" s="155"/>
      <c r="G372" s="155"/>
      <c r="K372" s="255"/>
      <c r="N372" s="255"/>
      <c r="T372" s="256"/>
      <c r="Z372" s="257"/>
    </row>
    <row r="373" ht="15.75" customHeight="1">
      <c r="D373" s="155"/>
      <c r="G373" s="155"/>
      <c r="K373" s="255"/>
      <c r="N373" s="255"/>
      <c r="T373" s="256"/>
      <c r="Z373" s="257"/>
    </row>
    <row r="374" ht="15.75" customHeight="1">
      <c r="D374" s="155"/>
      <c r="G374" s="155"/>
      <c r="K374" s="255"/>
      <c r="N374" s="255"/>
      <c r="T374" s="256"/>
      <c r="Z374" s="257"/>
    </row>
    <row r="375" ht="15.75" customHeight="1">
      <c r="D375" s="155"/>
      <c r="G375" s="155"/>
      <c r="K375" s="255"/>
      <c r="N375" s="255"/>
      <c r="T375" s="256"/>
      <c r="Z375" s="257"/>
    </row>
    <row r="376" ht="15.75" customHeight="1">
      <c r="D376" s="155"/>
      <c r="G376" s="155"/>
      <c r="K376" s="255"/>
      <c r="N376" s="255"/>
      <c r="T376" s="256"/>
      <c r="Z376" s="257"/>
    </row>
    <row r="377" ht="15.75" customHeight="1">
      <c r="D377" s="155"/>
      <c r="G377" s="155"/>
      <c r="K377" s="255"/>
      <c r="N377" s="255"/>
      <c r="T377" s="256"/>
      <c r="Z377" s="257"/>
    </row>
    <row r="378" ht="15.75" customHeight="1">
      <c r="D378" s="155"/>
      <c r="G378" s="155"/>
      <c r="K378" s="255"/>
      <c r="N378" s="255"/>
      <c r="T378" s="256"/>
      <c r="Z378" s="257"/>
    </row>
    <row r="379" ht="15.75" customHeight="1">
      <c r="D379" s="155"/>
      <c r="G379" s="155"/>
      <c r="K379" s="255"/>
      <c r="N379" s="255"/>
      <c r="T379" s="256"/>
      <c r="Z379" s="257"/>
    </row>
    <row r="380" ht="15.75" customHeight="1">
      <c r="D380" s="155"/>
      <c r="G380" s="155"/>
      <c r="K380" s="255"/>
      <c r="N380" s="255"/>
      <c r="T380" s="256"/>
      <c r="Z380" s="257"/>
    </row>
    <row r="381" ht="15.75" customHeight="1">
      <c r="D381" s="155"/>
      <c r="G381" s="155"/>
      <c r="K381" s="255"/>
      <c r="N381" s="255"/>
      <c r="T381" s="256"/>
      <c r="Z381" s="257"/>
    </row>
    <row r="382" ht="15.75" customHeight="1">
      <c r="D382" s="155"/>
      <c r="G382" s="155"/>
      <c r="K382" s="255"/>
      <c r="N382" s="255"/>
      <c r="T382" s="256"/>
      <c r="Z382" s="257"/>
    </row>
    <row r="383" ht="15.75" customHeight="1">
      <c r="D383" s="155"/>
      <c r="G383" s="155"/>
      <c r="K383" s="255"/>
      <c r="N383" s="255"/>
      <c r="T383" s="256"/>
      <c r="Z383" s="257"/>
    </row>
    <row r="384" ht="15.75" customHeight="1">
      <c r="D384" s="155"/>
      <c r="G384" s="155"/>
      <c r="K384" s="255"/>
      <c r="N384" s="255"/>
      <c r="T384" s="256"/>
      <c r="Z384" s="257"/>
    </row>
    <row r="385" ht="15.75" customHeight="1">
      <c r="D385" s="155"/>
      <c r="G385" s="155"/>
      <c r="K385" s="255"/>
      <c r="N385" s="255"/>
      <c r="T385" s="256"/>
      <c r="Z385" s="257"/>
    </row>
    <row r="386" ht="15.75" customHeight="1">
      <c r="D386" s="155"/>
      <c r="G386" s="155"/>
      <c r="K386" s="255"/>
      <c r="N386" s="255"/>
      <c r="T386" s="256"/>
      <c r="Z386" s="257"/>
    </row>
    <row r="387" ht="15.75" customHeight="1">
      <c r="D387" s="155"/>
      <c r="G387" s="155"/>
      <c r="K387" s="255"/>
      <c r="N387" s="255"/>
      <c r="T387" s="256"/>
      <c r="Z387" s="257"/>
    </row>
    <row r="388" ht="15.75" customHeight="1">
      <c r="D388" s="155"/>
      <c r="G388" s="155"/>
      <c r="K388" s="255"/>
      <c r="N388" s="255"/>
      <c r="T388" s="256"/>
      <c r="Z388" s="257"/>
    </row>
    <row r="389" ht="15.75" customHeight="1">
      <c r="D389" s="155"/>
      <c r="G389" s="155"/>
      <c r="K389" s="255"/>
      <c r="N389" s="255"/>
      <c r="T389" s="256"/>
      <c r="Z389" s="257"/>
    </row>
    <row r="390" ht="15.75" customHeight="1">
      <c r="D390" s="155"/>
      <c r="G390" s="155"/>
      <c r="K390" s="255"/>
      <c r="N390" s="255"/>
      <c r="T390" s="256"/>
      <c r="Z390" s="257"/>
    </row>
    <row r="391" ht="15.75" customHeight="1">
      <c r="D391" s="155"/>
      <c r="G391" s="155"/>
      <c r="K391" s="255"/>
      <c r="N391" s="255"/>
      <c r="T391" s="256"/>
      <c r="Z391" s="257"/>
    </row>
    <row r="392" ht="15.75" customHeight="1">
      <c r="D392" s="155"/>
      <c r="G392" s="155"/>
      <c r="K392" s="255"/>
      <c r="N392" s="255"/>
      <c r="T392" s="256"/>
      <c r="Z392" s="257"/>
    </row>
    <row r="393" ht="15.75" customHeight="1">
      <c r="D393" s="155"/>
      <c r="G393" s="155"/>
      <c r="K393" s="255"/>
      <c r="N393" s="255"/>
      <c r="T393" s="256"/>
      <c r="Z393" s="257"/>
    </row>
    <row r="394" ht="15.75" customHeight="1">
      <c r="D394" s="155"/>
      <c r="G394" s="155"/>
      <c r="K394" s="255"/>
      <c r="N394" s="255"/>
      <c r="T394" s="256"/>
      <c r="Z394" s="257"/>
    </row>
    <row r="395" ht="15.75" customHeight="1">
      <c r="D395" s="155"/>
      <c r="G395" s="155"/>
      <c r="K395" s="255"/>
      <c r="N395" s="255"/>
      <c r="T395" s="256"/>
      <c r="Z395" s="257"/>
    </row>
    <row r="396" ht="15.75" customHeight="1">
      <c r="D396" s="155"/>
      <c r="G396" s="155"/>
      <c r="K396" s="255"/>
      <c r="N396" s="255"/>
      <c r="T396" s="256"/>
      <c r="Z396" s="257"/>
    </row>
    <row r="397" ht="15.75" customHeight="1">
      <c r="D397" s="155"/>
      <c r="G397" s="155"/>
      <c r="K397" s="255"/>
      <c r="N397" s="255"/>
      <c r="T397" s="256"/>
      <c r="Z397" s="257"/>
    </row>
    <row r="398" ht="15.75" customHeight="1">
      <c r="D398" s="155"/>
      <c r="G398" s="155"/>
      <c r="K398" s="255"/>
      <c r="N398" s="255"/>
      <c r="T398" s="256"/>
      <c r="Z398" s="257"/>
    </row>
    <row r="399" ht="15.75" customHeight="1">
      <c r="D399" s="155"/>
      <c r="G399" s="155"/>
      <c r="K399" s="255"/>
      <c r="N399" s="255"/>
      <c r="T399" s="256"/>
      <c r="Z399" s="257"/>
    </row>
    <row r="400" ht="15.75" customHeight="1">
      <c r="D400" s="155"/>
      <c r="G400" s="155"/>
      <c r="K400" s="255"/>
      <c r="N400" s="255"/>
      <c r="T400" s="256"/>
      <c r="Z400" s="257"/>
    </row>
    <row r="401" ht="15.75" customHeight="1">
      <c r="D401" s="155"/>
      <c r="G401" s="155"/>
      <c r="K401" s="255"/>
      <c r="N401" s="255"/>
      <c r="T401" s="256"/>
      <c r="Z401" s="257"/>
    </row>
    <row r="402" ht="15.75" customHeight="1">
      <c r="D402" s="155"/>
      <c r="G402" s="155"/>
      <c r="K402" s="255"/>
      <c r="N402" s="255"/>
      <c r="T402" s="256"/>
      <c r="Z402" s="257"/>
    </row>
    <row r="403" ht="15.75" customHeight="1">
      <c r="D403" s="155"/>
      <c r="G403" s="155"/>
      <c r="K403" s="255"/>
      <c r="N403" s="255"/>
      <c r="T403" s="256"/>
      <c r="Z403" s="257"/>
    </row>
    <row r="404" ht="15.75" customHeight="1">
      <c r="D404" s="155"/>
      <c r="G404" s="155"/>
      <c r="K404" s="255"/>
      <c r="N404" s="255"/>
      <c r="T404" s="256"/>
      <c r="Z404" s="257"/>
    </row>
    <row r="405" ht="15.75" customHeight="1">
      <c r="D405" s="155"/>
      <c r="G405" s="155"/>
      <c r="K405" s="255"/>
      <c r="N405" s="255"/>
      <c r="T405" s="256"/>
      <c r="Z405" s="257"/>
    </row>
    <row r="406" ht="15.75" customHeight="1">
      <c r="D406" s="155"/>
      <c r="G406" s="155"/>
      <c r="K406" s="255"/>
      <c r="N406" s="255"/>
      <c r="T406" s="256"/>
      <c r="Z406" s="257"/>
    </row>
    <row r="407" ht="15.75" customHeight="1">
      <c r="D407" s="155"/>
      <c r="G407" s="155"/>
      <c r="K407" s="255"/>
      <c r="N407" s="255"/>
      <c r="T407" s="256"/>
      <c r="Z407" s="257"/>
    </row>
    <row r="408" ht="15.75" customHeight="1">
      <c r="D408" s="155"/>
      <c r="G408" s="155"/>
      <c r="K408" s="255"/>
      <c r="N408" s="255"/>
      <c r="T408" s="256"/>
      <c r="Z408" s="257"/>
    </row>
    <row r="409" ht="15.75" customHeight="1">
      <c r="D409" s="155"/>
      <c r="G409" s="155"/>
      <c r="K409" s="255"/>
      <c r="N409" s="255"/>
      <c r="T409" s="256"/>
      <c r="Z409" s="257"/>
    </row>
    <row r="410" ht="15.75" customHeight="1">
      <c r="D410" s="155"/>
      <c r="G410" s="155"/>
      <c r="K410" s="255"/>
      <c r="N410" s="255"/>
      <c r="T410" s="256"/>
      <c r="Z410" s="257"/>
    </row>
    <row r="411" ht="15.75" customHeight="1">
      <c r="D411" s="155"/>
      <c r="G411" s="155"/>
      <c r="K411" s="255"/>
      <c r="N411" s="255"/>
      <c r="T411" s="256"/>
      <c r="Z411" s="257"/>
    </row>
    <row r="412" ht="15.75" customHeight="1">
      <c r="D412" s="155"/>
      <c r="G412" s="155"/>
      <c r="K412" s="255"/>
      <c r="N412" s="255"/>
      <c r="T412" s="256"/>
      <c r="Z412" s="257"/>
    </row>
    <row r="413" ht="15.75" customHeight="1">
      <c r="D413" s="155"/>
      <c r="G413" s="155"/>
      <c r="K413" s="255"/>
      <c r="N413" s="255"/>
      <c r="T413" s="256"/>
      <c r="Z413" s="257"/>
    </row>
    <row r="414" ht="15.75" customHeight="1">
      <c r="D414" s="155"/>
      <c r="G414" s="155"/>
      <c r="K414" s="255"/>
      <c r="N414" s="255"/>
      <c r="T414" s="256"/>
      <c r="Z414" s="257"/>
    </row>
    <row r="415" ht="15.75" customHeight="1">
      <c r="D415" s="155"/>
      <c r="G415" s="155"/>
      <c r="K415" s="255"/>
      <c r="N415" s="255"/>
      <c r="T415" s="256"/>
      <c r="Z415" s="257"/>
    </row>
    <row r="416" ht="15.75" customHeight="1">
      <c r="D416" s="155"/>
      <c r="G416" s="155"/>
      <c r="K416" s="255"/>
      <c r="N416" s="255"/>
      <c r="T416" s="256"/>
      <c r="Z416" s="257"/>
    </row>
    <row r="417" ht="15.75" customHeight="1">
      <c r="D417" s="155"/>
      <c r="G417" s="155"/>
      <c r="K417" s="255"/>
      <c r="N417" s="255"/>
      <c r="T417" s="256"/>
      <c r="Z417" s="257"/>
    </row>
    <row r="418" ht="15.75" customHeight="1">
      <c r="D418" s="155"/>
      <c r="G418" s="155"/>
      <c r="K418" s="255"/>
      <c r="N418" s="255"/>
      <c r="T418" s="256"/>
      <c r="Z418" s="257"/>
    </row>
    <row r="419" ht="15.75" customHeight="1">
      <c r="D419" s="155"/>
      <c r="G419" s="155"/>
      <c r="K419" s="255"/>
      <c r="N419" s="255"/>
      <c r="T419" s="256"/>
      <c r="Z419" s="257"/>
    </row>
    <row r="420" ht="15.75" customHeight="1">
      <c r="D420" s="155"/>
      <c r="G420" s="155"/>
      <c r="K420" s="255"/>
      <c r="N420" s="255"/>
      <c r="T420" s="256"/>
      <c r="Z420" s="257"/>
    </row>
    <row r="421" ht="15.75" customHeight="1">
      <c r="D421" s="155"/>
      <c r="G421" s="155"/>
      <c r="K421" s="255"/>
      <c r="N421" s="255"/>
      <c r="T421" s="256"/>
      <c r="Z421" s="257"/>
    </row>
    <row r="422" ht="15.75" customHeight="1">
      <c r="D422" s="155"/>
      <c r="G422" s="155"/>
      <c r="K422" s="255"/>
      <c r="N422" s="255"/>
      <c r="T422" s="256"/>
      <c r="Z422" s="257"/>
    </row>
    <row r="423" ht="15.75" customHeight="1">
      <c r="D423" s="155"/>
      <c r="G423" s="155"/>
      <c r="K423" s="255"/>
      <c r="N423" s="255"/>
      <c r="T423" s="256"/>
      <c r="Z423" s="257"/>
    </row>
    <row r="424" ht="15.75" customHeight="1">
      <c r="D424" s="155"/>
      <c r="G424" s="155"/>
      <c r="K424" s="255"/>
      <c r="N424" s="255"/>
      <c r="T424" s="256"/>
      <c r="Z424" s="257"/>
    </row>
    <row r="425" ht="15.75" customHeight="1">
      <c r="D425" s="155"/>
      <c r="G425" s="155"/>
      <c r="K425" s="255"/>
      <c r="N425" s="255"/>
      <c r="T425" s="256"/>
      <c r="Z425" s="257"/>
    </row>
    <row r="426" ht="15.75" customHeight="1">
      <c r="D426" s="155"/>
      <c r="G426" s="155"/>
      <c r="K426" s="255"/>
      <c r="N426" s="255"/>
      <c r="T426" s="256"/>
      <c r="Z426" s="257"/>
    </row>
    <row r="427" ht="15.75" customHeight="1">
      <c r="D427" s="155"/>
      <c r="G427" s="155"/>
      <c r="K427" s="255"/>
      <c r="N427" s="255"/>
      <c r="T427" s="256"/>
      <c r="Z427" s="257"/>
    </row>
    <row r="428" ht="15.75" customHeight="1">
      <c r="D428" s="155"/>
      <c r="G428" s="155"/>
      <c r="K428" s="255"/>
      <c r="N428" s="255"/>
      <c r="T428" s="256"/>
      <c r="Z428" s="257"/>
    </row>
    <row r="429" ht="15.75" customHeight="1">
      <c r="D429" s="155"/>
      <c r="G429" s="155"/>
      <c r="K429" s="255"/>
      <c r="N429" s="255"/>
      <c r="T429" s="256"/>
      <c r="Z429" s="257"/>
    </row>
    <row r="430" ht="15.75" customHeight="1">
      <c r="D430" s="155"/>
      <c r="G430" s="155"/>
      <c r="K430" s="255"/>
      <c r="N430" s="255"/>
      <c r="T430" s="256"/>
      <c r="Z430" s="257"/>
    </row>
    <row r="431" ht="15.75" customHeight="1">
      <c r="D431" s="155"/>
      <c r="G431" s="155"/>
      <c r="K431" s="255"/>
      <c r="N431" s="255"/>
      <c r="T431" s="256"/>
      <c r="Z431" s="257"/>
    </row>
    <row r="432" ht="15.75" customHeight="1">
      <c r="D432" s="155"/>
      <c r="G432" s="155"/>
      <c r="K432" s="255"/>
      <c r="N432" s="255"/>
      <c r="T432" s="256"/>
      <c r="Z432" s="257"/>
    </row>
    <row r="433" ht="15.75" customHeight="1">
      <c r="D433" s="155"/>
      <c r="G433" s="155"/>
      <c r="K433" s="255"/>
      <c r="N433" s="255"/>
      <c r="T433" s="256"/>
      <c r="Z433" s="257"/>
    </row>
    <row r="434" ht="15.75" customHeight="1">
      <c r="D434" s="155"/>
      <c r="G434" s="155"/>
      <c r="K434" s="255"/>
      <c r="N434" s="255"/>
      <c r="T434" s="256"/>
      <c r="Z434" s="257"/>
    </row>
    <row r="435" ht="15.75" customHeight="1">
      <c r="D435" s="155"/>
      <c r="G435" s="155"/>
      <c r="K435" s="255"/>
      <c r="N435" s="255"/>
      <c r="T435" s="256"/>
      <c r="Z435" s="257"/>
    </row>
    <row r="436" ht="15.75" customHeight="1">
      <c r="D436" s="155"/>
      <c r="G436" s="155"/>
      <c r="K436" s="255"/>
      <c r="N436" s="255"/>
      <c r="T436" s="256"/>
      <c r="Z436" s="257"/>
    </row>
    <row r="437" ht="15.75" customHeight="1">
      <c r="D437" s="155"/>
      <c r="G437" s="155"/>
      <c r="K437" s="255"/>
      <c r="N437" s="255"/>
      <c r="T437" s="256"/>
      <c r="Z437" s="257"/>
    </row>
    <row r="438" ht="15.75" customHeight="1">
      <c r="D438" s="155"/>
      <c r="G438" s="155"/>
      <c r="K438" s="255"/>
      <c r="N438" s="255"/>
      <c r="T438" s="256"/>
      <c r="Z438" s="257"/>
    </row>
    <row r="439" ht="15.75" customHeight="1">
      <c r="D439" s="155"/>
      <c r="G439" s="155"/>
      <c r="K439" s="255"/>
      <c r="N439" s="255"/>
      <c r="T439" s="256"/>
      <c r="Z439" s="257"/>
    </row>
    <row r="440" ht="15.75" customHeight="1">
      <c r="D440" s="155"/>
      <c r="G440" s="155"/>
      <c r="K440" s="255"/>
      <c r="N440" s="255"/>
      <c r="T440" s="256"/>
      <c r="Z440" s="257"/>
    </row>
    <row r="441" ht="15.75" customHeight="1">
      <c r="D441" s="155"/>
      <c r="G441" s="155"/>
      <c r="K441" s="255"/>
      <c r="N441" s="255"/>
      <c r="T441" s="256"/>
      <c r="Z441" s="257"/>
    </row>
    <row r="442" ht="15.75" customHeight="1">
      <c r="D442" s="155"/>
      <c r="G442" s="155"/>
      <c r="K442" s="255"/>
      <c r="N442" s="255"/>
      <c r="T442" s="256"/>
      <c r="Z442" s="257"/>
    </row>
    <row r="443" ht="15.75" customHeight="1">
      <c r="D443" s="155"/>
      <c r="G443" s="155"/>
      <c r="K443" s="255"/>
      <c r="N443" s="255"/>
      <c r="T443" s="256"/>
      <c r="Z443" s="257"/>
    </row>
    <row r="444" ht="15.75" customHeight="1">
      <c r="D444" s="155"/>
      <c r="G444" s="155"/>
      <c r="K444" s="255"/>
      <c r="N444" s="255"/>
      <c r="T444" s="256"/>
      <c r="Z444" s="257"/>
    </row>
    <row r="445" ht="15.75" customHeight="1">
      <c r="D445" s="155"/>
      <c r="G445" s="155"/>
      <c r="K445" s="255"/>
      <c r="N445" s="255"/>
      <c r="T445" s="256"/>
      <c r="Z445" s="257"/>
    </row>
    <row r="446" ht="15.75" customHeight="1">
      <c r="D446" s="155"/>
      <c r="G446" s="155"/>
      <c r="K446" s="255"/>
      <c r="N446" s="255"/>
      <c r="T446" s="256"/>
      <c r="Z446" s="257"/>
    </row>
    <row r="447" ht="15.75" customHeight="1">
      <c r="D447" s="155"/>
      <c r="G447" s="155"/>
      <c r="K447" s="255"/>
      <c r="N447" s="255"/>
      <c r="T447" s="256"/>
      <c r="Z447" s="257"/>
    </row>
    <row r="448" ht="15.75" customHeight="1">
      <c r="D448" s="155"/>
      <c r="G448" s="155"/>
      <c r="K448" s="255"/>
      <c r="N448" s="255"/>
      <c r="T448" s="256"/>
      <c r="Z448" s="257"/>
    </row>
    <row r="449" ht="15.75" customHeight="1">
      <c r="D449" s="155"/>
      <c r="G449" s="155"/>
      <c r="K449" s="255"/>
      <c r="N449" s="255"/>
      <c r="T449" s="256"/>
      <c r="Z449" s="257"/>
    </row>
    <row r="450" ht="15.75" customHeight="1">
      <c r="D450" s="155"/>
      <c r="G450" s="155"/>
      <c r="K450" s="255"/>
      <c r="N450" s="255"/>
      <c r="T450" s="256"/>
      <c r="Z450" s="257"/>
    </row>
    <row r="451" ht="15.75" customHeight="1">
      <c r="D451" s="155"/>
      <c r="G451" s="155"/>
      <c r="K451" s="255"/>
      <c r="N451" s="255"/>
      <c r="T451" s="256"/>
      <c r="Z451" s="257"/>
    </row>
    <row r="452" ht="15.75" customHeight="1">
      <c r="D452" s="155"/>
      <c r="G452" s="155"/>
      <c r="K452" s="255"/>
      <c r="N452" s="255"/>
      <c r="T452" s="256"/>
      <c r="Z452" s="257"/>
    </row>
    <row r="453" ht="15.75" customHeight="1">
      <c r="D453" s="155"/>
      <c r="G453" s="155"/>
      <c r="K453" s="255"/>
      <c r="N453" s="255"/>
      <c r="T453" s="256"/>
      <c r="Z453" s="257"/>
    </row>
    <row r="454" ht="15.75" customHeight="1">
      <c r="D454" s="155"/>
      <c r="G454" s="155"/>
      <c r="K454" s="255"/>
      <c r="N454" s="255"/>
      <c r="T454" s="256"/>
      <c r="Z454" s="257"/>
    </row>
    <row r="455" ht="15.75" customHeight="1">
      <c r="D455" s="155"/>
      <c r="G455" s="155"/>
      <c r="K455" s="255"/>
      <c r="N455" s="255"/>
      <c r="T455" s="256"/>
      <c r="Z455" s="257"/>
    </row>
    <row r="456" ht="15.75" customHeight="1">
      <c r="D456" s="155"/>
      <c r="G456" s="155"/>
      <c r="K456" s="255"/>
      <c r="N456" s="255"/>
      <c r="T456" s="256"/>
      <c r="Z456" s="257"/>
    </row>
    <row r="457" ht="15.75" customHeight="1">
      <c r="D457" s="155"/>
      <c r="G457" s="155"/>
      <c r="K457" s="255"/>
      <c r="N457" s="255"/>
      <c r="T457" s="256"/>
      <c r="Z457" s="257"/>
    </row>
    <row r="458" ht="15.75" customHeight="1">
      <c r="D458" s="155"/>
      <c r="G458" s="155"/>
      <c r="K458" s="255"/>
      <c r="N458" s="255"/>
      <c r="T458" s="256"/>
      <c r="Z458" s="257"/>
    </row>
    <row r="459" ht="15.75" customHeight="1">
      <c r="D459" s="155"/>
      <c r="G459" s="155"/>
      <c r="K459" s="255"/>
      <c r="N459" s="255"/>
      <c r="T459" s="256"/>
      <c r="Z459" s="257"/>
    </row>
    <row r="460" ht="15.75" customHeight="1">
      <c r="D460" s="155"/>
      <c r="G460" s="155"/>
      <c r="K460" s="255"/>
      <c r="N460" s="255"/>
      <c r="T460" s="256"/>
      <c r="Z460" s="257"/>
    </row>
    <row r="461" ht="15.75" customHeight="1">
      <c r="D461" s="155"/>
      <c r="G461" s="155"/>
      <c r="K461" s="255"/>
      <c r="N461" s="255"/>
      <c r="T461" s="256"/>
      <c r="Z461" s="257"/>
    </row>
    <row r="462" ht="15.75" customHeight="1">
      <c r="D462" s="155"/>
      <c r="G462" s="155"/>
      <c r="K462" s="255"/>
      <c r="N462" s="255"/>
      <c r="T462" s="256"/>
      <c r="Z462" s="257"/>
    </row>
    <row r="463" ht="15.75" customHeight="1">
      <c r="D463" s="155"/>
      <c r="G463" s="155"/>
      <c r="K463" s="255"/>
      <c r="N463" s="255"/>
      <c r="T463" s="256"/>
      <c r="Z463" s="257"/>
    </row>
    <row r="464" ht="15.75" customHeight="1">
      <c r="D464" s="155"/>
      <c r="G464" s="155"/>
      <c r="K464" s="255"/>
      <c r="N464" s="255"/>
      <c r="T464" s="256"/>
      <c r="Z464" s="257"/>
    </row>
    <row r="465" ht="15.75" customHeight="1">
      <c r="D465" s="155"/>
      <c r="G465" s="155"/>
      <c r="K465" s="255"/>
      <c r="N465" s="255"/>
      <c r="T465" s="256"/>
      <c r="Z465" s="257"/>
    </row>
    <row r="466" ht="15.75" customHeight="1">
      <c r="D466" s="155"/>
      <c r="G466" s="155"/>
      <c r="K466" s="255"/>
      <c r="N466" s="255"/>
      <c r="T466" s="256"/>
      <c r="Z466" s="257"/>
    </row>
    <row r="467" ht="15.75" customHeight="1">
      <c r="D467" s="155"/>
      <c r="G467" s="155"/>
      <c r="K467" s="255"/>
      <c r="N467" s="255"/>
      <c r="T467" s="256"/>
      <c r="Z467" s="257"/>
    </row>
    <row r="468" ht="15.75" customHeight="1">
      <c r="D468" s="155"/>
      <c r="G468" s="155"/>
      <c r="K468" s="255"/>
      <c r="N468" s="255"/>
      <c r="T468" s="256"/>
      <c r="Z468" s="257"/>
    </row>
    <row r="469" ht="15.75" customHeight="1">
      <c r="D469" s="155"/>
      <c r="G469" s="155"/>
      <c r="K469" s="255"/>
      <c r="N469" s="255"/>
      <c r="T469" s="256"/>
      <c r="Z469" s="257"/>
    </row>
    <row r="470" ht="15.75" customHeight="1">
      <c r="D470" s="155"/>
      <c r="G470" s="155"/>
      <c r="K470" s="255"/>
      <c r="N470" s="255"/>
      <c r="T470" s="256"/>
      <c r="Z470" s="257"/>
    </row>
    <row r="471" ht="15.75" customHeight="1">
      <c r="D471" s="155"/>
      <c r="G471" s="155"/>
      <c r="K471" s="255"/>
      <c r="N471" s="255"/>
      <c r="T471" s="256"/>
      <c r="Z471" s="257"/>
    </row>
    <row r="472" ht="15.75" customHeight="1">
      <c r="D472" s="155"/>
      <c r="G472" s="155"/>
      <c r="K472" s="255"/>
      <c r="N472" s="255"/>
      <c r="T472" s="256"/>
      <c r="Z472" s="257"/>
    </row>
    <row r="473" ht="15.75" customHeight="1">
      <c r="D473" s="155"/>
      <c r="G473" s="155"/>
      <c r="K473" s="255"/>
      <c r="N473" s="255"/>
      <c r="T473" s="256"/>
      <c r="Z473" s="257"/>
    </row>
    <row r="474" ht="15.75" customHeight="1">
      <c r="D474" s="155"/>
      <c r="G474" s="155"/>
      <c r="K474" s="255"/>
      <c r="N474" s="255"/>
      <c r="T474" s="256"/>
      <c r="Z474" s="257"/>
    </row>
    <row r="475" ht="15.75" customHeight="1">
      <c r="D475" s="155"/>
      <c r="G475" s="155"/>
      <c r="K475" s="255"/>
      <c r="N475" s="255"/>
      <c r="T475" s="256"/>
      <c r="Z475" s="257"/>
    </row>
    <row r="476" ht="15.75" customHeight="1">
      <c r="D476" s="155"/>
      <c r="G476" s="155"/>
      <c r="K476" s="255"/>
      <c r="N476" s="255"/>
      <c r="T476" s="256"/>
      <c r="Z476" s="257"/>
    </row>
    <row r="477" ht="15.75" customHeight="1">
      <c r="D477" s="155"/>
      <c r="G477" s="155"/>
      <c r="K477" s="255"/>
      <c r="N477" s="255"/>
      <c r="T477" s="256"/>
      <c r="Z477" s="257"/>
    </row>
    <row r="478" ht="15.75" customHeight="1">
      <c r="D478" s="155"/>
      <c r="G478" s="155"/>
      <c r="K478" s="255"/>
      <c r="N478" s="255"/>
      <c r="T478" s="256"/>
      <c r="Z478" s="257"/>
    </row>
    <row r="479" ht="15.75" customHeight="1">
      <c r="D479" s="155"/>
      <c r="G479" s="155"/>
      <c r="K479" s="255"/>
      <c r="N479" s="255"/>
      <c r="T479" s="256"/>
      <c r="Z479" s="257"/>
    </row>
    <row r="480" ht="15.75" customHeight="1">
      <c r="D480" s="155"/>
      <c r="G480" s="155"/>
      <c r="K480" s="255"/>
      <c r="N480" s="255"/>
      <c r="T480" s="256"/>
      <c r="Z480" s="257"/>
    </row>
    <row r="481" ht="15.75" customHeight="1">
      <c r="D481" s="155"/>
      <c r="G481" s="155"/>
      <c r="K481" s="255"/>
      <c r="N481" s="255"/>
      <c r="T481" s="256"/>
      <c r="Z481" s="257"/>
    </row>
    <row r="482" ht="15.75" customHeight="1">
      <c r="D482" s="155"/>
      <c r="G482" s="155"/>
      <c r="K482" s="255"/>
      <c r="N482" s="255"/>
      <c r="T482" s="256"/>
      <c r="Z482" s="257"/>
    </row>
    <row r="483" ht="15.75" customHeight="1">
      <c r="D483" s="155"/>
      <c r="G483" s="155"/>
      <c r="K483" s="255"/>
      <c r="N483" s="255"/>
      <c r="T483" s="256"/>
      <c r="Z483" s="257"/>
    </row>
    <row r="484" ht="15.75" customHeight="1">
      <c r="D484" s="155"/>
      <c r="G484" s="155"/>
      <c r="K484" s="255"/>
      <c r="N484" s="255"/>
      <c r="T484" s="256"/>
      <c r="Z484" s="257"/>
    </row>
    <row r="485" ht="15.75" customHeight="1">
      <c r="D485" s="155"/>
      <c r="G485" s="155"/>
      <c r="K485" s="255"/>
      <c r="N485" s="255"/>
      <c r="T485" s="256"/>
      <c r="Z485" s="257"/>
    </row>
    <row r="486" ht="15.75" customHeight="1">
      <c r="D486" s="155"/>
      <c r="G486" s="155"/>
      <c r="K486" s="255"/>
      <c r="N486" s="255"/>
      <c r="T486" s="256"/>
      <c r="Z486" s="257"/>
    </row>
    <row r="487" ht="15.75" customHeight="1">
      <c r="D487" s="155"/>
      <c r="G487" s="155"/>
      <c r="K487" s="255"/>
      <c r="N487" s="255"/>
      <c r="T487" s="256"/>
      <c r="Z487" s="257"/>
    </row>
    <row r="488" ht="15.75" customHeight="1">
      <c r="D488" s="155"/>
      <c r="G488" s="155"/>
      <c r="K488" s="255"/>
      <c r="N488" s="255"/>
      <c r="T488" s="256"/>
      <c r="Z488" s="257"/>
    </row>
    <row r="489" ht="15.75" customHeight="1">
      <c r="D489" s="155"/>
      <c r="G489" s="155"/>
      <c r="K489" s="255"/>
      <c r="N489" s="255"/>
      <c r="T489" s="256"/>
      <c r="Z489" s="257"/>
    </row>
    <row r="490" ht="15.75" customHeight="1">
      <c r="D490" s="155"/>
      <c r="G490" s="155"/>
      <c r="K490" s="255"/>
      <c r="N490" s="255"/>
      <c r="T490" s="256"/>
      <c r="Z490" s="257"/>
    </row>
    <row r="491" ht="15.75" customHeight="1">
      <c r="D491" s="155"/>
      <c r="G491" s="155"/>
      <c r="K491" s="255"/>
      <c r="N491" s="255"/>
      <c r="T491" s="256"/>
      <c r="Z491" s="257"/>
    </row>
    <row r="492" ht="15.75" customHeight="1">
      <c r="D492" s="155"/>
      <c r="G492" s="155"/>
      <c r="K492" s="255"/>
      <c r="N492" s="255"/>
      <c r="T492" s="256"/>
      <c r="Z492" s="257"/>
    </row>
    <row r="493" ht="15.75" customHeight="1">
      <c r="D493" s="155"/>
      <c r="G493" s="155"/>
      <c r="K493" s="255"/>
      <c r="N493" s="255"/>
      <c r="T493" s="256"/>
      <c r="Z493" s="257"/>
    </row>
    <row r="494" ht="15.75" customHeight="1">
      <c r="D494" s="155"/>
      <c r="G494" s="155"/>
      <c r="K494" s="255"/>
      <c r="N494" s="255"/>
      <c r="T494" s="256"/>
      <c r="Z494" s="257"/>
    </row>
    <row r="495" ht="15.75" customHeight="1">
      <c r="D495" s="155"/>
      <c r="G495" s="155"/>
      <c r="K495" s="255"/>
      <c r="N495" s="255"/>
      <c r="T495" s="256"/>
      <c r="Z495" s="257"/>
    </row>
    <row r="496" ht="15.75" customHeight="1">
      <c r="D496" s="155"/>
      <c r="G496" s="155"/>
      <c r="K496" s="255"/>
      <c r="N496" s="255"/>
      <c r="T496" s="256"/>
      <c r="Z496" s="257"/>
    </row>
    <row r="497" ht="15.75" customHeight="1">
      <c r="D497" s="155"/>
      <c r="G497" s="155"/>
      <c r="K497" s="255"/>
      <c r="N497" s="255"/>
      <c r="T497" s="256"/>
      <c r="Z497" s="257"/>
    </row>
    <row r="498" ht="15.75" customHeight="1">
      <c r="D498" s="155"/>
      <c r="G498" s="155"/>
      <c r="K498" s="255"/>
      <c r="N498" s="255"/>
      <c r="T498" s="256"/>
      <c r="Z498" s="257"/>
    </row>
    <row r="499" ht="15.75" customHeight="1">
      <c r="D499" s="155"/>
      <c r="G499" s="155"/>
      <c r="K499" s="255"/>
      <c r="N499" s="255"/>
      <c r="T499" s="256"/>
      <c r="Z499" s="257"/>
    </row>
    <row r="500" ht="15.75" customHeight="1">
      <c r="D500" s="155"/>
      <c r="G500" s="155"/>
      <c r="K500" s="255"/>
      <c r="N500" s="255"/>
      <c r="T500" s="256"/>
      <c r="Z500" s="257"/>
    </row>
    <row r="501" ht="15.75" customHeight="1">
      <c r="D501" s="155"/>
      <c r="G501" s="155"/>
      <c r="K501" s="255"/>
      <c r="N501" s="255"/>
      <c r="T501" s="256"/>
      <c r="Z501" s="257"/>
    </row>
    <row r="502" ht="15.75" customHeight="1">
      <c r="D502" s="155"/>
      <c r="G502" s="155"/>
      <c r="K502" s="255"/>
      <c r="N502" s="255"/>
      <c r="T502" s="256"/>
      <c r="Z502" s="257"/>
    </row>
    <row r="503" ht="15.75" customHeight="1">
      <c r="D503" s="155"/>
      <c r="G503" s="155"/>
      <c r="K503" s="255"/>
      <c r="N503" s="255"/>
      <c r="T503" s="256"/>
      <c r="Z503" s="257"/>
    </row>
    <row r="504" ht="15.75" customHeight="1">
      <c r="D504" s="155"/>
      <c r="G504" s="155"/>
      <c r="K504" s="255"/>
      <c r="N504" s="255"/>
      <c r="T504" s="256"/>
      <c r="Z504" s="257"/>
    </row>
    <row r="505" ht="15.75" customHeight="1">
      <c r="D505" s="155"/>
      <c r="G505" s="155"/>
      <c r="K505" s="255"/>
      <c r="N505" s="255"/>
      <c r="T505" s="256"/>
      <c r="Z505" s="257"/>
    </row>
    <row r="506" ht="15.75" customHeight="1">
      <c r="D506" s="155"/>
      <c r="G506" s="155"/>
      <c r="K506" s="255"/>
      <c r="N506" s="255"/>
      <c r="T506" s="256"/>
      <c r="Z506" s="257"/>
    </row>
    <row r="507" ht="15.75" customHeight="1">
      <c r="D507" s="155"/>
      <c r="G507" s="155"/>
      <c r="K507" s="255"/>
      <c r="N507" s="255"/>
      <c r="T507" s="256"/>
      <c r="Z507" s="257"/>
    </row>
    <row r="508" ht="15.75" customHeight="1">
      <c r="D508" s="155"/>
      <c r="G508" s="155"/>
      <c r="K508" s="255"/>
      <c r="N508" s="255"/>
      <c r="T508" s="256"/>
      <c r="Z508" s="257"/>
    </row>
    <row r="509" ht="15.75" customHeight="1">
      <c r="D509" s="155"/>
      <c r="G509" s="155"/>
      <c r="K509" s="255"/>
      <c r="N509" s="255"/>
      <c r="T509" s="256"/>
      <c r="Z509" s="257"/>
    </row>
    <row r="510" ht="15.75" customHeight="1">
      <c r="D510" s="155"/>
      <c r="G510" s="155"/>
      <c r="K510" s="255"/>
      <c r="N510" s="255"/>
      <c r="T510" s="256"/>
      <c r="Z510" s="257"/>
    </row>
    <row r="511" ht="15.75" customHeight="1">
      <c r="D511" s="155"/>
      <c r="G511" s="155"/>
      <c r="K511" s="255"/>
      <c r="N511" s="255"/>
      <c r="T511" s="256"/>
      <c r="Z511" s="257"/>
    </row>
    <row r="512" ht="15.75" customHeight="1">
      <c r="D512" s="155"/>
      <c r="G512" s="155"/>
      <c r="K512" s="255"/>
      <c r="N512" s="255"/>
      <c r="T512" s="256"/>
      <c r="Z512" s="257"/>
    </row>
    <row r="513" ht="15.75" customHeight="1">
      <c r="D513" s="155"/>
      <c r="G513" s="155"/>
      <c r="K513" s="255"/>
      <c r="N513" s="255"/>
      <c r="T513" s="256"/>
      <c r="Z513" s="257"/>
    </row>
    <row r="514" ht="15.75" customHeight="1">
      <c r="D514" s="155"/>
      <c r="G514" s="155"/>
      <c r="K514" s="255"/>
      <c r="N514" s="255"/>
      <c r="T514" s="256"/>
      <c r="Z514" s="257"/>
    </row>
    <row r="515" ht="15.75" customHeight="1">
      <c r="D515" s="155"/>
      <c r="G515" s="155"/>
      <c r="K515" s="255"/>
      <c r="N515" s="255"/>
      <c r="T515" s="256"/>
      <c r="Z515" s="257"/>
    </row>
    <row r="516" ht="15.75" customHeight="1">
      <c r="D516" s="155"/>
      <c r="G516" s="155"/>
      <c r="K516" s="255"/>
      <c r="N516" s="255"/>
      <c r="T516" s="256"/>
      <c r="Z516" s="257"/>
    </row>
    <row r="517" ht="15.75" customHeight="1">
      <c r="D517" s="155"/>
      <c r="G517" s="155"/>
      <c r="K517" s="255"/>
      <c r="N517" s="255"/>
      <c r="T517" s="256"/>
      <c r="Z517" s="257"/>
    </row>
    <row r="518" ht="15.75" customHeight="1">
      <c r="D518" s="155"/>
      <c r="G518" s="155"/>
      <c r="K518" s="255"/>
      <c r="N518" s="255"/>
      <c r="T518" s="256"/>
      <c r="Z518" s="257"/>
    </row>
    <row r="519" ht="15.75" customHeight="1">
      <c r="D519" s="155"/>
      <c r="G519" s="155"/>
      <c r="K519" s="255"/>
      <c r="N519" s="255"/>
      <c r="T519" s="256"/>
      <c r="Z519" s="257"/>
    </row>
    <row r="520" ht="15.75" customHeight="1">
      <c r="D520" s="155"/>
      <c r="G520" s="155"/>
      <c r="K520" s="255"/>
      <c r="N520" s="255"/>
      <c r="T520" s="256"/>
      <c r="Z520" s="257"/>
    </row>
    <row r="521" ht="15.75" customHeight="1">
      <c r="D521" s="155"/>
      <c r="G521" s="155"/>
      <c r="K521" s="255"/>
      <c r="N521" s="255"/>
      <c r="T521" s="256"/>
      <c r="Z521" s="257"/>
    </row>
    <row r="522" ht="15.75" customHeight="1">
      <c r="D522" s="155"/>
      <c r="G522" s="155"/>
      <c r="K522" s="255"/>
      <c r="N522" s="255"/>
      <c r="T522" s="256"/>
      <c r="Z522" s="257"/>
    </row>
    <row r="523" ht="15.75" customHeight="1">
      <c r="D523" s="155"/>
      <c r="G523" s="155"/>
      <c r="K523" s="255"/>
      <c r="N523" s="255"/>
      <c r="T523" s="256"/>
      <c r="Z523" s="257"/>
    </row>
    <row r="524" ht="15.75" customHeight="1">
      <c r="D524" s="155"/>
      <c r="G524" s="155"/>
      <c r="K524" s="255"/>
      <c r="N524" s="255"/>
      <c r="T524" s="256"/>
      <c r="Z524" s="257"/>
    </row>
    <row r="525" ht="15.75" customHeight="1">
      <c r="D525" s="155"/>
      <c r="G525" s="155"/>
      <c r="K525" s="255"/>
      <c r="N525" s="255"/>
      <c r="T525" s="256"/>
      <c r="Z525" s="257"/>
    </row>
    <row r="526" ht="15.75" customHeight="1">
      <c r="D526" s="155"/>
      <c r="G526" s="155"/>
      <c r="K526" s="255"/>
      <c r="N526" s="255"/>
      <c r="T526" s="256"/>
      <c r="Z526" s="257"/>
    </row>
    <row r="527" ht="15.75" customHeight="1">
      <c r="D527" s="155"/>
      <c r="G527" s="155"/>
      <c r="K527" s="255"/>
      <c r="N527" s="255"/>
      <c r="T527" s="256"/>
      <c r="Z527" s="257"/>
    </row>
    <row r="528" ht="15.75" customHeight="1">
      <c r="D528" s="155"/>
      <c r="G528" s="155"/>
      <c r="K528" s="255"/>
      <c r="N528" s="255"/>
      <c r="T528" s="256"/>
      <c r="Z528" s="257"/>
    </row>
    <row r="529" ht="15.75" customHeight="1">
      <c r="D529" s="155"/>
      <c r="G529" s="155"/>
      <c r="K529" s="255"/>
      <c r="N529" s="255"/>
      <c r="T529" s="256"/>
      <c r="Z529" s="257"/>
    </row>
    <row r="530" ht="15.75" customHeight="1">
      <c r="D530" s="155"/>
      <c r="G530" s="155"/>
      <c r="K530" s="255"/>
      <c r="N530" s="255"/>
      <c r="T530" s="256"/>
      <c r="Z530" s="257"/>
    </row>
    <row r="531" ht="15.75" customHeight="1">
      <c r="D531" s="155"/>
      <c r="G531" s="155"/>
      <c r="K531" s="255"/>
      <c r="N531" s="255"/>
      <c r="T531" s="256"/>
      <c r="Z531" s="257"/>
    </row>
    <row r="532" ht="15.75" customHeight="1">
      <c r="D532" s="155"/>
      <c r="G532" s="155"/>
      <c r="K532" s="255"/>
      <c r="N532" s="255"/>
      <c r="T532" s="256"/>
      <c r="Z532" s="257"/>
    </row>
    <row r="533" ht="15.75" customHeight="1">
      <c r="D533" s="155"/>
      <c r="G533" s="155"/>
      <c r="K533" s="255"/>
      <c r="N533" s="255"/>
      <c r="T533" s="256"/>
      <c r="Z533" s="257"/>
    </row>
    <row r="534" ht="15.75" customHeight="1">
      <c r="D534" s="155"/>
      <c r="G534" s="155"/>
      <c r="K534" s="255"/>
      <c r="N534" s="255"/>
      <c r="T534" s="256"/>
      <c r="Z534" s="257"/>
    </row>
    <row r="535" ht="15.75" customHeight="1">
      <c r="D535" s="155"/>
      <c r="G535" s="155"/>
      <c r="K535" s="255"/>
      <c r="N535" s="255"/>
      <c r="T535" s="256"/>
      <c r="Z535" s="257"/>
    </row>
    <row r="536" ht="15.75" customHeight="1">
      <c r="D536" s="155"/>
      <c r="G536" s="155"/>
      <c r="K536" s="255"/>
      <c r="N536" s="255"/>
      <c r="T536" s="256"/>
      <c r="Z536" s="257"/>
    </row>
    <row r="537" ht="15.75" customHeight="1">
      <c r="D537" s="155"/>
      <c r="G537" s="155"/>
      <c r="K537" s="255"/>
      <c r="N537" s="255"/>
      <c r="T537" s="256"/>
      <c r="Z537" s="257"/>
    </row>
    <row r="538" ht="15.75" customHeight="1">
      <c r="D538" s="155"/>
      <c r="G538" s="155"/>
      <c r="K538" s="255"/>
      <c r="N538" s="255"/>
      <c r="T538" s="256"/>
      <c r="Z538" s="257"/>
    </row>
    <row r="539" ht="15.75" customHeight="1">
      <c r="D539" s="155"/>
      <c r="G539" s="155"/>
      <c r="K539" s="255"/>
      <c r="N539" s="255"/>
      <c r="T539" s="256"/>
      <c r="Z539" s="257"/>
    </row>
    <row r="540" ht="15.75" customHeight="1">
      <c r="D540" s="155"/>
      <c r="G540" s="155"/>
      <c r="K540" s="255"/>
      <c r="N540" s="255"/>
      <c r="T540" s="256"/>
      <c r="Z540" s="257"/>
    </row>
    <row r="541" ht="15.75" customHeight="1">
      <c r="D541" s="155"/>
      <c r="G541" s="155"/>
      <c r="K541" s="255"/>
      <c r="N541" s="255"/>
      <c r="T541" s="256"/>
      <c r="Z541" s="257"/>
    </row>
    <row r="542" ht="15.75" customHeight="1">
      <c r="D542" s="155"/>
      <c r="G542" s="155"/>
      <c r="K542" s="255"/>
      <c r="N542" s="255"/>
      <c r="T542" s="256"/>
      <c r="Z542" s="257"/>
    </row>
    <row r="543" ht="15.75" customHeight="1">
      <c r="D543" s="155"/>
      <c r="G543" s="155"/>
      <c r="K543" s="255"/>
      <c r="N543" s="255"/>
      <c r="T543" s="256"/>
      <c r="Z543" s="257"/>
    </row>
    <row r="544" ht="15.75" customHeight="1">
      <c r="D544" s="155"/>
      <c r="G544" s="155"/>
      <c r="K544" s="255"/>
      <c r="N544" s="255"/>
      <c r="T544" s="256"/>
      <c r="Z544" s="257"/>
    </row>
    <row r="545" ht="15.75" customHeight="1">
      <c r="D545" s="155"/>
      <c r="G545" s="155"/>
      <c r="K545" s="255"/>
      <c r="N545" s="255"/>
      <c r="T545" s="256"/>
      <c r="Z545" s="257"/>
    </row>
    <row r="546" ht="15.75" customHeight="1">
      <c r="D546" s="155"/>
      <c r="G546" s="155"/>
      <c r="K546" s="255"/>
      <c r="N546" s="255"/>
      <c r="T546" s="256"/>
      <c r="Z546" s="257"/>
    </row>
    <row r="547" ht="15.75" customHeight="1">
      <c r="D547" s="155"/>
      <c r="G547" s="155"/>
      <c r="K547" s="255"/>
      <c r="N547" s="255"/>
      <c r="T547" s="256"/>
      <c r="Z547" s="257"/>
    </row>
    <row r="548" ht="15.75" customHeight="1">
      <c r="D548" s="155"/>
      <c r="G548" s="155"/>
      <c r="K548" s="255"/>
      <c r="N548" s="255"/>
      <c r="T548" s="256"/>
      <c r="Z548" s="257"/>
    </row>
    <row r="549" ht="15.75" customHeight="1">
      <c r="D549" s="155"/>
      <c r="G549" s="155"/>
      <c r="K549" s="255"/>
      <c r="N549" s="255"/>
      <c r="T549" s="256"/>
      <c r="Z549" s="257"/>
    </row>
    <row r="550" ht="15.75" customHeight="1">
      <c r="D550" s="155"/>
      <c r="G550" s="155"/>
      <c r="K550" s="255"/>
      <c r="N550" s="255"/>
      <c r="T550" s="256"/>
      <c r="Z550" s="257"/>
    </row>
    <row r="551" ht="15.75" customHeight="1">
      <c r="D551" s="155"/>
      <c r="G551" s="155"/>
      <c r="K551" s="255"/>
      <c r="N551" s="255"/>
      <c r="T551" s="256"/>
      <c r="Z551" s="257"/>
    </row>
    <row r="552" ht="15.75" customHeight="1">
      <c r="D552" s="155"/>
      <c r="G552" s="155"/>
      <c r="K552" s="255"/>
      <c r="N552" s="255"/>
      <c r="T552" s="256"/>
      <c r="Z552" s="257"/>
    </row>
    <row r="553" ht="15.75" customHeight="1">
      <c r="D553" s="155"/>
      <c r="G553" s="155"/>
      <c r="K553" s="255"/>
      <c r="N553" s="255"/>
      <c r="T553" s="256"/>
      <c r="Z553" s="257"/>
    </row>
    <row r="554" ht="15.75" customHeight="1">
      <c r="D554" s="155"/>
      <c r="G554" s="155"/>
      <c r="K554" s="255"/>
      <c r="N554" s="255"/>
      <c r="T554" s="256"/>
      <c r="Z554" s="257"/>
    </row>
    <row r="555" ht="15.75" customHeight="1">
      <c r="D555" s="155"/>
      <c r="G555" s="155"/>
      <c r="K555" s="255"/>
      <c r="N555" s="255"/>
      <c r="T555" s="256"/>
      <c r="Z555" s="257"/>
    </row>
    <row r="556" ht="15.75" customHeight="1">
      <c r="D556" s="155"/>
      <c r="G556" s="155"/>
      <c r="K556" s="255"/>
      <c r="N556" s="255"/>
      <c r="T556" s="256"/>
      <c r="Z556" s="257"/>
    </row>
    <row r="557" ht="15.75" customHeight="1">
      <c r="D557" s="155"/>
      <c r="G557" s="155"/>
      <c r="K557" s="255"/>
      <c r="N557" s="255"/>
      <c r="T557" s="256"/>
      <c r="Z557" s="257"/>
    </row>
    <row r="558" ht="15.75" customHeight="1">
      <c r="D558" s="155"/>
      <c r="G558" s="155"/>
      <c r="K558" s="255"/>
      <c r="N558" s="255"/>
      <c r="T558" s="256"/>
      <c r="Z558" s="257"/>
    </row>
    <row r="559" ht="15.75" customHeight="1">
      <c r="D559" s="155"/>
      <c r="G559" s="155"/>
      <c r="K559" s="255"/>
      <c r="N559" s="255"/>
      <c r="T559" s="256"/>
      <c r="Z559" s="257"/>
    </row>
    <row r="560" ht="15.75" customHeight="1">
      <c r="D560" s="155"/>
      <c r="G560" s="155"/>
      <c r="K560" s="255"/>
      <c r="N560" s="255"/>
      <c r="T560" s="256"/>
      <c r="Z560" s="257"/>
    </row>
    <row r="561" ht="15.75" customHeight="1">
      <c r="D561" s="155"/>
      <c r="G561" s="155"/>
      <c r="K561" s="255"/>
      <c r="N561" s="255"/>
      <c r="T561" s="256"/>
      <c r="Z561" s="257"/>
    </row>
    <row r="562" ht="15.75" customHeight="1">
      <c r="D562" s="155"/>
      <c r="G562" s="155"/>
      <c r="K562" s="255"/>
      <c r="N562" s="255"/>
      <c r="T562" s="256"/>
      <c r="Z562" s="257"/>
    </row>
    <row r="563" ht="15.75" customHeight="1">
      <c r="D563" s="155"/>
      <c r="G563" s="155"/>
      <c r="K563" s="255"/>
      <c r="N563" s="255"/>
      <c r="T563" s="256"/>
      <c r="Z563" s="257"/>
    </row>
    <row r="564" ht="15.75" customHeight="1">
      <c r="D564" s="155"/>
      <c r="G564" s="155"/>
      <c r="K564" s="255"/>
      <c r="N564" s="255"/>
      <c r="T564" s="256"/>
      <c r="Z564" s="257"/>
    </row>
    <row r="565" ht="15.75" customHeight="1">
      <c r="D565" s="155"/>
      <c r="G565" s="155"/>
      <c r="K565" s="255"/>
      <c r="N565" s="255"/>
      <c r="T565" s="256"/>
      <c r="Z565" s="257"/>
    </row>
    <row r="566" ht="15.75" customHeight="1">
      <c r="D566" s="155"/>
      <c r="G566" s="155"/>
      <c r="K566" s="255"/>
      <c r="N566" s="255"/>
      <c r="T566" s="256"/>
      <c r="Z566" s="257"/>
    </row>
    <row r="567" ht="15.75" customHeight="1">
      <c r="D567" s="155"/>
      <c r="G567" s="155"/>
      <c r="K567" s="255"/>
      <c r="N567" s="255"/>
      <c r="T567" s="256"/>
      <c r="Z567" s="257"/>
    </row>
    <row r="568" ht="15.75" customHeight="1">
      <c r="D568" s="155"/>
      <c r="G568" s="155"/>
      <c r="K568" s="255"/>
      <c r="N568" s="255"/>
      <c r="T568" s="256"/>
      <c r="Z568" s="257"/>
    </row>
    <row r="569" ht="15.75" customHeight="1">
      <c r="D569" s="155"/>
      <c r="G569" s="155"/>
      <c r="K569" s="255"/>
      <c r="N569" s="255"/>
      <c r="T569" s="256"/>
      <c r="Z569" s="257"/>
    </row>
    <row r="570" ht="15.75" customHeight="1">
      <c r="D570" s="155"/>
      <c r="G570" s="155"/>
      <c r="K570" s="255"/>
      <c r="N570" s="255"/>
      <c r="T570" s="256"/>
      <c r="Z570" s="257"/>
    </row>
    <row r="571" ht="15.75" customHeight="1">
      <c r="D571" s="155"/>
      <c r="G571" s="155"/>
      <c r="K571" s="255"/>
      <c r="N571" s="255"/>
      <c r="T571" s="256"/>
      <c r="Z571" s="257"/>
    </row>
    <row r="572" ht="15.75" customHeight="1">
      <c r="D572" s="155"/>
      <c r="G572" s="155"/>
      <c r="K572" s="255"/>
      <c r="N572" s="255"/>
      <c r="T572" s="256"/>
      <c r="Z572" s="257"/>
    </row>
    <row r="573" ht="15.75" customHeight="1">
      <c r="D573" s="155"/>
      <c r="G573" s="155"/>
      <c r="K573" s="255"/>
      <c r="N573" s="255"/>
      <c r="T573" s="256"/>
      <c r="Z573" s="257"/>
    </row>
    <row r="574" ht="15.75" customHeight="1">
      <c r="D574" s="155"/>
      <c r="G574" s="155"/>
      <c r="K574" s="255"/>
      <c r="N574" s="255"/>
      <c r="T574" s="256"/>
      <c r="Z574" s="257"/>
    </row>
    <row r="575" ht="15.75" customHeight="1">
      <c r="D575" s="155"/>
      <c r="G575" s="155"/>
      <c r="K575" s="255"/>
      <c r="N575" s="255"/>
      <c r="T575" s="256"/>
      <c r="Z575" s="257"/>
    </row>
    <row r="576" ht="15.75" customHeight="1">
      <c r="D576" s="155"/>
      <c r="G576" s="155"/>
      <c r="K576" s="255"/>
      <c r="N576" s="255"/>
      <c r="T576" s="256"/>
      <c r="Z576" s="257"/>
    </row>
    <row r="577" ht="15.75" customHeight="1">
      <c r="D577" s="155"/>
      <c r="G577" s="155"/>
      <c r="K577" s="255"/>
      <c r="N577" s="255"/>
      <c r="T577" s="256"/>
      <c r="Z577" s="257"/>
    </row>
    <row r="578" ht="15.75" customHeight="1">
      <c r="D578" s="155"/>
      <c r="G578" s="155"/>
      <c r="K578" s="255"/>
      <c r="N578" s="255"/>
      <c r="T578" s="256"/>
      <c r="Z578" s="257"/>
    </row>
    <row r="579" ht="15.75" customHeight="1">
      <c r="D579" s="155"/>
      <c r="G579" s="155"/>
      <c r="K579" s="255"/>
      <c r="N579" s="255"/>
      <c r="T579" s="256"/>
      <c r="Z579" s="257"/>
    </row>
    <row r="580" ht="15.75" customHeight="1">
      <c r="D580" s="155"/>
      <c r="G580" s="155"/>
      <c r="K580" s="255"/>
      <c r="N580" s="255"/>
      <c r="T580" s="256"/>
      <c r="Z580" s="257"/>
    </row>
    <row r="581" ht="15.75" customHeight="1">
      <c r="D581" s="155"/>
      <c r="G581" s="155"/>
      <c r="K581" s="255"/>
      <c r="N581" s="255"/>
      <c r="T581" s="256"/>
      <c r="Z581" s="257"/>
    </row>
    <row r="582" ht="15.75" customHeight="1">
      <c r="D582" s="155"/>
      <c r="G582" s="155"/>
      <c r="K582" s="255"/>
      <c r="N582" s="255"/>
      <c r="T582" s="256"/>
      <c r="Z582" s="257"/>
    </row>
    <row r="583" ht="15.75" customHeight="1">
      <c r="D583" s="155"/>
      <c r="G583" s="155"/>
      <c r="K583" s="255"/>
      <c r="N583" s="255"/>
      <c r="T583" s="256"/>
      <c r="Z583" s="257"/>
    </row>
    <row r="584" ht="15.75" customHeight="1">
      <c r="D584" s="155"/>
      <c r="G584" s="155"/>
      <c r="K584" s="255"/>
      <c r="N584" s="255"/>
      <c r="T584" s="256"/>
      <c r="Z584" s="257"/>
    </row>
    <row r="585" ht="15.75" customHeight="1">
      <c r="D585" s="155"/>
      <c r="G585" s="155"/>
      <c r="K585" s="255"/>
      <c r="N585" s="255"/>
      <c r="T585" s="256"/>
      <c r="Z585" s="257"/>
    </row>
    <row r="586" ht="15.75" customHeight="1">
      <c r="D586" s="155"/>
      <c r="G586" s="155"/>
      <c r="K586" s="255"/>
      <c r="N586" s="255"/>
      <c r="T586" s="256"/>
      <c r="Z586" s="257"/>
    </row>
    <row r="587" ht="15.75" customHeight="1">
      <c r="D587" s="155"/>
      <c r="G587" s="155"/>
      <c r="K587" s="255"/>
      <c r="N587" s="255"/>
      <c r="T587" s="256"/>
      <c r="Z587" s="257"/>
    </row>
    <row r="588" ht="15.75" customHeight="1">
      <c r="D588" s="155"/>
      <c r="G588" s="155"/>
      <c r="K588" s="255"/>
      <c r="N588" s="255"/>
      <c r="T588" s="256"/>
      <c r="Z588" s="257"/>
    </row>
    <row r="589" ht="15.75" customHeight="1">
      <c r="D589" s="155"/>
      <c r="G589" s="155"/>
      <c r="K589" s="255"/>
      <c r="N589" s="255"/>
      <c r="T589" s="256"/>
      <c r="Z589" s="257"/>
    </row>
    <row r="590" ht="15.75" customHeight="1">
      <c r="D590" s="155"/>
      <c r="G590" s="155"/>
      <c r="K590" s="255"/>
      <c r="N590" s="255"/>
      <c r="T590" s="256"/>
      <c r="Z590" s="257"/>
    </row>
    <row r="591" ht="15.75" customHeight="1">
      <c r="D591" s="155"/>
      <c r="G591" s="155"/>
      <c r="K591" s="255"/>
      <c r="N591" s="255"/>
      <c r="T591" s="256"/>
      <c r="Z591" s="257"/>
    </row>
    <row r="592" ht="15.75" customHeight="1">
      <c r="D592" s="155"/>
      <c r="G592" s="155"/>
      <c r="K592" s="255"/>
      <c r="N592" s="255"/>
      <c r="T592" s="256"/>
      <c r="Z592" s="257"/>
    </row>
    <row r="593" ht="15.75" customHeight="1">
      <c r="D593" s="155"/>
      <c r="G593" s="155"/>
      <c r="K593" s="255"/>
      <c r="N593" s="255"/>
      <c r="T593" s="256"/>
      <c r="Z593" s="257"/>
    </row>
    <row r="594" ht="15.75" customHeight="1">
      <c r="D594" s="155"/>
      <c r="G594" s="155"/>
      <c r="K594" s="255"/>
      <c r="N594" s="255"/>
      <c r="T594" s="256"/>
      <c r="Z594" s="257"/>
    </row>
    <row r="595" ht="15.75" customHeight="1">
      <c r="D595" s="155"/>
      <c r="G595" s="155"/>
      <c r="K595" s="255"/>
      <c r="N595" s="255"/>
      <c r="T595" s="256"/>
      <c r="Z595" s="257"/>
    </row>
    <row r="596" ht="15.75" customHeight="1">
      <c r="D596" s="155"/>
      <c r="G596" s="155"/>
      <c r="K596" s="255"/>
      <c r="N596" s="255"/>
      <c r="T596" s="256"/>
      <c r="Z596" s="257"/>
    </row>
    <row r="597" ht="15.75" customHeight="1">
      <c r="D597" s="155"/>
      <c r="G597" s="155"/>
      <c r="K597" s="255"/>
      <c r="N597" s="255"/>
      <c r="T597" s="256"/>
      <c r="Z597" s="257"/>
    </row>
    <row r="598" ht="15.75" customHeight="1">
      <c r="D598" s="155"/>
      <c r="G598" s="155"/>
      <c r="K598" s="255"/>
      <c r="N598" s="255"/>
      <c r="T598" s="256"/>
      <c r="Z598" s="257"/>
    </row>
    <row r="599" ht="15.75" customHeight="1">
      <c r="D599" s="155"/>
      <c r="G599" s="155"/>
      <c r="K599" s="255"/>
      <c r="N599" s="255"/>
      <c r="T599" s="256"/>
      <c r="Z599" s="257"/>
    </row>
    <row r="600" ht="15.75" customHeight="1">
      <c r="D600" s="155"/>
      <c r="G600" s="155"/>
      <c r="K600" s="255"/>
      <c r="N600" s="255"/>
      <c r="T600" s="256"/>
      <c r="Z600" s="257"/>
    </row>
    <row r="601" ht="15.75" customHeight="1">
      <c r="D601" s="155"/>
      <c r="G601" s="155"/>
      <c r="K601" s="255"/>
      <c r="N601" s="255"/>
      <c r="T601" s="256"/>
      <c r="Z601" s="257"/>
    </row>
    <row r="602" ht="15.75" customHeight="1">
      <c r="D602" s="155"/>
      <c r="G602" s="155"/>
      <c r="K602" s="255"/>
      <c r="N602" s="255"/>
      <c r="T602" s="256"/>
      <c r="Z602" s="257"/>
    </row>
    <row r="603" ht="15.75" customHeight="1">
      <c r="D603" s="155"/>
      <c r="G603" s="155"/>
      <c r="K603" s="255"/>
      <c r="N603" s="255"/>
      <c r="T603" s="256"/>
      <c r="Z603" s="257"/>
    </row>
    <row r="604" ht="15.75" customHeight="1">
      <c r="D604" s="155"/>
      <c r="G604" s="155"/>
      <c r="K604" s="255"/>
      <c r="N604" s="255"/>
      <c r="T604" s="256"/>
      <c r="Z604" s="257"/>
    </row>
    <row r="605" ht="15.75" customHeight="1">
      <c r="D605" s="155"/>
      <c r="G605" s="155"/>
      <c r="K605" s="255"/>
      <c r="N605" s="255"/>
      <c r="T605" s="256"/>
      <c r="Z605" s="257"/>
    </row>
    <row r="606" ht="15.75" customHeight="1">
      <c r="D606" s="155"/>
      <c r="G606" s="155"/>
      <c r="K606" s="255"/>
      <c r="N606" s="255"/>
      <c r="T606" s="256"/>
      <c r="Z606" s="257"/>
    </row>
    <row r="607" ht="15.75" customHeight="1">
      <c r="D607" s="155"/>
      <c r="G607" s="155"/>
      <c r="K607" s="255"/>
      <c r="N607" s="255"/>
      <c r="T607" s="256"/>
      <c r="Z607" s="257"/>
    </row>
    <row r="608" ht="15.75" customHeight="1">
      <c r="D608" s="155"/>
      <c r="G608" s="155"/>
      <c r="K608" s="255"/>
      <c r="N608" s="255"/>
      <c r="T608" s="256"/>
      <c r="Z608" s="257"/>
    </row>
    <row r="609" ht="15.75" customHeight="1">
      <c r="D609" s="155"/>
      <c r="G609" s="155"/>
      <c r="K609" s="255"/>
      <c r="N609" s="255"/>
      <c r="T609" s="256"/>
      <c r="Z609" s="257"/>
    </row>
    <row r="610" ht="15.75" customHeight="1">
      <c r="D610" s="155"/>
      <c r="G610" s="155"/>
      <c r="K610" s="255"/>
      <c r="N610" s="255"/>
      <c r="T610" s="256"/>
      <c r="Z610" s="257"/>
    </row>
    <row r="611" ht="15.75" customHeight="1">
      <c r="D611" s="155"/>
      <c r="G611" s="155"/>
      <c r="K611" s="255"/>
      <c r="N611" s="255"/>
      <c r="T611" s="256"/>
      <c r="Z611" s="257"/>
    </row>
    <row r="612" ht="15.75" customHeight="1">
      <c r="D612" s="155"/>
      <c r="G612" s="155"/>
      <c r="K612" s="255"/>
      <c r="N612" s="255"/>
      <c r="T612" s="256"/>
      <c r="Z612" s="257"/>
    </row>
    <row r="613" ht="15.75" customHeight="1">
      <c r="D613" s="155"/>
      <c r="G613" s="155"/>
      <c r="K613" s="255"/>
      <c r="N613" s="255"/>
      <c r="T613" s="256"/>
      <c r="Z613" s="257"/>
    </row>
    <row r="614" ht="15.75" customHeight="1">
      <c r="D614" s="155"/>
      <c r="G614" s="155"/>
      <c r="K614" s="255"/>
      <c r="N614" s="255"/>
      <c r="T614" s="256"/>
      <c r="Z614" s="257"/>
    </row>
    <row r="615" ht="15.75" customHeight="1">
      <c r="D615" s="155"/>
      <c r="G615" s="155"/>
      <c r="K615" s="255"/>
      <c r="N615" s="255"/>
      <c r="T615" s="256"/>
      <c r="Z615" s="257"/>
    </row>
    <row r="616" ht="15.75" customHeight="1">
      <c r="D616" s="155"/>
      <c r="G616" s="155"/>
      <c r="K616" s="255"/>
      <c r="N616" s="255"/>
      <c r="T616" s="256"/>
      <c r="Z616" s="257"/>
    </row>
    <row r="617" ht="15.75" customHeight="1">
      <c r="D617" s="155"/>
      <c r="G617" s="155"/>
      <c r="K617" s="255"/>
      <c r="N617" s="255"/>
      <c r="T617" s="256"/>
      <c r="Z617" s="257"/>
    </row>
    <row r="618" ht="15.75" customHeight="1">
      <c r="D618" s="155"/>
      <c r="G618" s="155"/>
      <c r="K618" s="255"/>
      <c r="N618" s="255"/>
      <c r="T618" s="256"/>
      <c r="Z618" s="257"/>
    </row>
    <row r="619" ht="15.75" customHeight="1">
      <c r="D619" s="155"/>
      <c r="G619" s="155"/>
      <c r="K619" s="255"/>
      <c r="N619" s="255"/>
      <c r="T619" s="256"/>
      <c r="Z619" s="257"/>
    </row>
    <row r="620" ht="15.75" customHeight="1">
      <c r="D620" s="155"/>
      <c r="G620" s="155"/>
      <c r="K620" s="255"/>
      <c r="N620" s="255"/>
      <c r="T620" s="256"/>
      <c r="Z620" s="257"/>
    </row>
    <row r="621" ht="15.75" customHeight="1">
      <c r="D621" s="155"/>
      <c r="G621" s="155"/>
      <c r="K621" s="255"/>
      <c r="N621" s="255"/>
      <c r="T621" s="256"/>
      <c r="Z621" s="257"/>
    </row>
    <row r="622" ht="15.75" customHeight="1">
      <c r="D622" s="155"/>
      <c r="G622" s="155"/>
      <c r="K622" s="255"/>
      <c r="N622" s="255"/>
      <c r="T622" s="256"/>
      <c r="Z622" s="257"/>
    </row>
    <row r="623" ht="15.75" customHeight="1">
      <c r="D623" s="155"/>
      <c r="G623" s="155"/>
      <c r="K623" s="255"/>
      <c r="N623" s="255"/>
      <c r="T623" s="256"/>
      <c r="Z623" s="257"/>
    </row>
    <row r="624" ht="15.75" customHeight="1">
      <c r="D624" s="155"/>
      <c r="G624" s="155"/>
      <c r="K624" s="255"/>
      <c r="N624" s="255"/>
      <c r="T624" s="256"/>
      <c r="Z624" s="257"/>
    </row>
    <row r="625" ht="15.75" customHeight="1">
      <c r="D625" s="155"/>
      <c r="G625" s="155"/>
      <c r="K625" s="255"/>
      <c r="N625" s="255"/>
      <c r="T625" s="256"/>
      <c r="Z625" s="257"/>
    </row>
    <row r="626" ht="15.75" customHeight="1">
      <c r="D626" s="155"/>
      <c r="G626" s="155"/>
      <c r="K626" s="255"/>
      <c r="N626" s="255"/>
      <c r="T626" s="256"/>
      <c r="Z626" s="257"/>
    </row>
    <row r="627" ht="15.75" customHeight="1">
      <c r="D627" s="155"/>
      <c r="G627" s="155"/>
      <c r="K627" s="255"/>
      <c r="N627" s="255"/>
      <c r="T627" s="256"/>
      <c r="Z627" s="257"/>
    </row>
    <row r="628" ht="15.75" customHeight="1">
      <c r="D628" s="155"/>
      <c r="G628" s="155"/>
      <c r="K628" s="255"/>
      <c r="N628" s="255"/>
      <c r="T628" s="256"/>
      <c r="Z628" s="257"/>
    </row>
    <row r="629" ht="15.75" customHeight="1">
      <c r="D629" s="155"/>
      <c r="G629" s="155"/>
      <c r="K629" s="255"/>
      <c r="N629" s="255"/>
      <c r="T629" s="256"/>
      <c r="Z629" s="257"/>
    </row>
    <row r="630" ht="15.75" customHeight="1">
      <c r="D630" s="155"/>
      <c r="G630" s="155"/>
      <c r="K630" s="255"/>
      <c r="N630" s="255"/>
      <c r="T630" s="256"/>
      <c r="Z630" s="257"/>
    </row>
    <row r="631" ht="15.75" customHeight="1">
      <c r="D631" s="155"/>
      <c r="G631" s="155"/>
      <c r="K631" s="255"/>
      <c r="N631" s="255"/>
      <c r="T631" s="256"/>
      <c r="Z631" s="257"/>
    </row>
    <row r="632" ht="15.75" customHeight="1">
      <c r="D632" s="155"/>
      <c r="G632" s="155"/>
      <c r="K632" s="255"/>
      <c r="N632" s="255"/>
      <c r="T632" s="256"/>
      <c r="Z632" s="257"/>
    </row>
    <row r="633" ht="15.75" customHeight="1">
      <c r="D633" s="155"/>
      <c r="G633" s="155"/>
      <c r="K633" s="255"/>
      <c r="N633" s="255"/>
      <c r="T633" s="256"/>
      <c r="Z633" s="257"/>
    </row>
    <row r="634" ht="15.75" customHeight="1">
      <c r="D634" s="155"/>
      <c r="G634" s="155"/>
      <c r="K634" s="255"/>
      <c r="N634" s="255"/>
      <c r="T634" s="256"/>
      <c r="Z634" s="257"/>
    </row>
    <row r="635" ht="15.75" customHeight="1">
      <c r="D635" s="155"/>
      <c r="G635" s="155"/>
      <c r="K635" s="255"/>
      <c r="N635" s="255"/>
      <c r="T635" s="256"/>
      <c r="Z635" s="257"/>
    </row>
    <row r="636" ht="15.75" customHeight="1">
      <c r="D636" s="155"/>
      <c r="G636" s="155"/>
      <c r="K636" s="255"/>
      <c r="N636" s="255"/>
      <c r="T636" s="256"/>
      <c r="Z636" s="257"/>
    </row>
    <row r="637" ht="15.75" customHeight="1">
      <c r="D637" s="155"/>
      <c r="G637" s="155"/>
      <c r="K637" s="255"/>
      <c r="N637" s="255"/>
      <c r="T637" s="256"/>
      <c r="Z637" s="257"/>
    </row>
    <row r="638" ht="15.75" customHeight="1">
      <c r="D638" s="155"/>
      <c r="G638" s="155"/>
      <c r="K638" s="255"/>
      <c r="N638" s="255"/>
      <c r="T638" s="256"/>
      <c r="Z638" s="257"/>
    </row>
    <row r="639" ht="15.75" customHeight="1">
      <c r="D639" s="155"/>
      <c r="G639" s="155"/>
      <c r="K639" s="255"/>
      <c r="N639" s="255"/>
      <c r="T639" s="256"/>
      <c r="Z639" s="257"/>
    </row>
    <row r="640" ht="15.75" customHeight="1">
      <c r="D640" s="155"/>
      <c r="G640" s="155"/>
      <c r="K640" s="255"/>
      <c r="N640" s="255"/>
      <c r="T640" s="256"/>
      <c r="Z640" s="257"/>
    </row>
    <row r="641" ht="15.75" customHeight="1">
      <c r="D641" s="155"/>
      <c r="G641" s="155"/>
      <c r="K641" s="255"/>
      <c r="N641" s="255"/>
      <c r="T641" s="256"/>
      <c r="Z641" s="257"/>
    </row>
    <row r="642" ht="15.75" customHeight="1">
      <c r="D642" s="155"/>
      <c r="G642" s="155"/>
      <c r="K642" s="255"/>
      <c r="N642" s="255"/>
      <c r="T642" s="256"/>
      <c r="Z642" s="257"/>
    </row>
    <row r="643" ht="15.75" customHeight="1">
      <c r="D643" s="155"/>
      <c r="G643" s="155"/>
      <c r="K643" s="255"/>
      <c r="N643" s="255"/>
      <c r="T643" s="256"/>
      <c r="Z643" s="257"/>
    </row>
    <row r="644" ht="15.75" customHeight="1">
      <c r="D644" s="155"/>
      <c r="G644" s="155"/>
      <c r="K644" s="255"/>
      <c r="N644" s="255"/>
      <c r="T644" s="256"/>
      <c r="Z644" s="257"/>
    </row>
    <row r="645" ht="15.75" customHeight="1">
      <c r="D645" s="155"/>
      <c r="G645" s="155"/>
      <c r="K645" s="255"/>
      <c r="N645" s="255"/>
      <c r="T645" s="256"/>
      <c r="Z645" s="257"/>
    </row>
    <row r="646" ht="15.75" customHeight="1">
      <c r="D646" s="155"/>
      <c r="G646" s="155"/>
      <c r="K646" s="255"/>
      <c r="N646" s="255"/>
      <c r="T646" s="256"/>
      <c r="Z646" s="257"/>
    </row>
    <row r="647" ht="15.75" customHeight="1">
      <c r="D647" s="155"/>
      <c r="G647" s="155"/>
      <c r="K647" s="255"/>
      <c r="N647" s="255"/>
      <c r="T647" s="256"/>
      <c r="Z647" s="257"/>
    </row>
    <row r="648" ht="15.75" customHeight="1">
      <c r="D648" s="155"/>
      <c r="G648" s="155"/>
      <c r="K648" s="255"/>
      <c r="N648" s="255"/>
      <c r="T648" s="256"/>
      <c r="Z648" s="257"/>
    </row>
    <row r="649" ht="15.75" customHeight="1">
      <c r="D649" s="155"/>
      <c r="G649" s="155"/>
      <c r="K649" s="255"/>
      <c r="N649" s="255"/>
      <c r="T649" s="256"/>
      <c r="Z649" s="257"/>
    </row>
    <row r="650" ht="15.75" customHeight="1">
      <c r="D650" s="155"/>
      <c r="G650" s="155"/>
      <c r="K650" s="255"/>
      <c r="N650" s="255"/>
      <c r="T650" s="256"/>
      <c r="Z650" s="257"/>
    </row>
    <row r="651" ht="15.75" customHeight="1">
      <c r="D651" s="155"/>
      <c r="G651" s="155"/>
      <c r="K651" s="255"/>
      <c r="N651" s="255"/>
      <c r="T651" s="256"/>
      <c r="Z651" s="257"/>
    </row>
    <row r="652" ht="15.75" customHeight="1">
      <c r="D652" s="155"/>
      <c r="G652" s="155"/>
      <c r="K652" s="255"/>
      <c r="N652" s="255"/>
      <c r="T652" s="256"/>
      <c r="Z652" s="257"/>
    </row>
    <row r="653" ht="15.75" customHeight="1">
      <c r="D653" s="155"/>
      <c r="G653" s="155"/>
      <c r="K653" s="255"/>
      <c r="N653" s="255"/>
      <c r="T653" s="256"/>
      <c r="Z653" s="257"/>
    </row>
    <row r="654" ht="15.75" customHeight="1">
      <c r="D654" s="155"/>
      <c r="G654" s="155"/>
      <c r="K654" s="255"/>
      <c r="N654" s="255"/>
      <c r="T654" s="256"/>
      <c r="Z654" s="257"/>
    </row>
    <row r="655" ht="15.75" customHeight="1">
      <c r="D655" s="155"/>
      <c r="G655" s="155"/>
      <c r="K655" s="255"/>
      <c r="N655" s="255"/>
      <c r="T655" s="256"/>
      <c r="Z655" s="257"/>
    </row>
    <row r="656" ht="15.75" customHeight="1">
      <c r="D656" s="155"/>
      <c r="G656" s="155"/>
      <c r="K656" s="255"/>
      <c r="N656" s="255"/>
      <c r="T656" s="256"/>
      <c r="Z656" s="257"/>
    </row>
    <row r="657" ht="15.75" customHeight="1">
      <c r="D657" s="155"/>
      <c r="G657" s="155"/>
      <c r="K657" s="255"/>
      <c r="N657" s="255"/>
      <c r="T657" s="256"/>
      <c r="Z657" s="257"/>
    </row>
    <row r="658" ht="15.75" customHeight="1">
      <c r="D658" s="155"/>
      <c r="G658" s="155"/>
      <c r="K658" s="255"/>
      <c r="N658" s="255"/>
      <c r="T658" s="256"/>
      <c r="Z658" s="257"/>
    </row>
    <row r="659" ht="15.75" customHeight="1">
      <c r="D659" s="155"/>
      <c r="G659" s="155"/>
      <c r="K659" s="255"/>
      <c r="N659" s="255"/>
      <c r="T659" s="256"/>
      <c r="Z659" s="257"/>
    </row>
    <row r="660" ht="15.75" customHeight="1">
      <c r="D660" s="155"/>
      <c r="G660" s="155"/>
      <c r="K660" s="255"/>
      <c r="N660" s="255"/>
      <c r="T660" s="256"/>
      <c r="Z660" s="257"/>
    </row>
    <row r="661" ht="15.75" customHeight="1">
      <c r="D661" s="155"/>
      <c r="G661" s="155"/>
      <c r="K661" s="255"/>
      <c r="N661" s="255"/>
      <c r="T661" s="256"/>
      <c r="Z661" s="257"/>
    </row>
    <row r="662" ht="15.75" customHeight="1">
      <c r="D662" s="155"/>
      <c r="G662" s="155"/>
      <c r="K662" s="255"/>
      <c r="N662" s="255"/>
      <c r="T662" s="256"/>
      <c r="Z662" s="257"/>
    </row>
    <row r="663" ht="15.75" customHeight="1">
      <c r="D663" s="155"/>
      <c r="G663" s="155"/>
      <c r="K663" s="255"/>
      <c r="N663" s="255"/>
      <c r="T663" s="256"/>
      <c r="Z663" s="257"/>
    </row>
    <row r="664" ht="15.75" customHeight="1">
      <c r="D664" s="155"/>
      <c r="G664" s="155"/>
      <c r="K664" s="255"/>
      <c r="N664" s="255"/>
      <c r="T664" s="256"/>
      <c r="Z664" s="257"/>
    </row>
    <row r="665" ht="15.75" customHeight="1">
      <c r="D665" s="155"/>
      <c r="G665" s="155"/>
      <c r="K665" s="255"/>
      <c r="N665" s="255"/>
      <c r="T665" s="256"/>
      <c r="Z665" s="257"/>
    </row>
    <row r="666" ht="15.75" customHeight="1">
      <c r="D666" s="155"/>
      <c r="G666" s="155"/>
      <c r="K666" s="255"/>
      <c r="N666" s="255"/>
      <c r="T666" s="256"/>
      <c r="Z666" s="257"/>
    </row>
    <row r="667" ht="15.75" customHeight="1">
      <c r="D667" s="155"/>
      <c r="G667" s="155"/>
      <c r="K667" s="255"/>
      <c r="N667" s="255"/>
      <c r="T667" s="256"/>
      <c r="Z667" s="257"/>
    </row>
    <row r="668" ht="15.75" customHeight="1">
      <c r="D668" s="155"/>
      <c r="G668" s="155"/>
      <c r="K668" s="255"/>
      <c r="N668" s="255"/>
      <c r="T668" s="256"/>
      <c r="Z668" s="257"/>
    </row>
    <row r="669" ht="15.75" customHeight="1">
      <c r="D669" s="155"/>
      <c r="G669" s="155"/>
      <c r="K669" s="255"/>
      <c r="N669" s="255"/>
      <c r="T669" s="256"/>
      <c r="Z669" s="257"/>
    </row>
    <row r="670" ht="15.75" customHeight="1">
      <c r="D670" s="155"/>
      <c r="G670" s="155"/>
      <c r="K670" s="255"/>
      <c r="N670" s="255"/>
      <c r="T670" s="256"/>
      <c r="Z670" s="257"/>
    </row>
    <row r="671" ht="15.75" customHeight="1">
      <c r="D671" s="155"/>
      <c r="G671" s="155"/>
      <c r="K671" s="255"/>
      <c r="N671" s="255"/>
      <c r="T671" s="256"/>
      <c r="Z671" s="257"/>
    </row>
    <row r="672" ht="15.75" customHeight="1">
      <c r="D672" s="155"/>
      <c r="G672" s="155"/>
      <c r="K672" s="255"/>
      <c r="N672" s="255"/>
      <c r="T672" s="256"/>
      <c r="Z672" s="257"/>
    </row>
    <row r="673" ht="15.75" customHeight="1">
      <c r="D673" s="155"/>
      <c r="G673" s="155"/>
      <c r="K673" s="255"/>
      <c r="N673" s="255"/>
      <c r="T673" s="256"/>
      <c r="Z673" s="257"/>
    </row>
    <row r="674" ht="15.75" customHeight="1">
      <c r="D674" s="155"/>
      <c r="G674" s="155"/>
      <c r="K674" s="255"/>
      <c r="N674" s="255"/>
      <c r="T674" s="256"/>
      <c r="Z674" s="257"/>
    </row>
    <row r="675" ht="15.75" customHeight="1">
      <c r="D675" s="155"/>
      <c r="G675" s="155"/>
      <c r="K675" s="255"/>
      <c r="N675" s="255"/>
      <c r="T675" s="256"/>
      <c r="Z675" s="257"/>
    </row>
    <row r="676" ht="15.75" customHeight="1">
      <c r="D676" s="155"/>
      <c r="G676" s="155"/>
      <c r="K676" s="255"/>
      <c r="N676" s="255"/>
      <c r="T676" s="256"/>
      <c r="Z676" s="257"/>
    </row>
    <row r="677" ht="15.75" customHeight="1">
      <c r="D677" s="155"/>
      <c r="G677" s="155"/>
      <c r="K677" s="255"/>
      <c r="N677" s="255"/>
      <c r="T677" s="256"/>
      <c r="Z677" s="257"/>
    </row>
    <row r="678" ht="15.75" customHeight="1">
      <c r="D678" s="155"/>
      <c r="G678" s="155"/>
      <c r="K678" s="255"/>
      <c r="N678" s="255"/>
      <c r="T678" s="256"/>
      <c r="Z678" s="257"/>
    </row>
    <row r="679" ht="15.75" customHeight="1">
      <c r="D679" s="155"/>
      <c r="G679" s="155"/>
      <c r="K679" s="255"/>
      <c r="N679" s="255"/>
      <c r="T679" s="256"/>
      <c r="Z679" s="257"/>
    </row>
    <row r="680" ht="15.75" customHeight="1">
      <c r="D680" s="155"/>
      <c r="G680" s="155"/>
      <c r="K680" s="255"/>
      <c r="N680" s="255"/>
      <c r="T680" s="256"/>
      <c r="Z680" s="257"/>
    </row>
    <row r="681" ht="15.75" customHeight="1">
      <c r="D681" s="155"/>
      <c r="G681" s="155"/>
      <c r="K681" s="255"/>
      <c r="N681" s="255"/>
      <c r="T681" s="256"/>
      <c r="Z681" s="257"/>
    </row>
    <row r="682" ht="15.75" customHeight="1">
      <c r="D682" s="155"/>
      <c r="G682" s="155"/>
      <c r="K682" s="255"/>
      <c r="N682" s="255"/>
      <c r="T682" s="256"/>
      <c r="Z682" s="257"/>
    </row>
    <row r="683" ht="15.75" customHeight="1">
      <c r="D683" s="155"/>
      <c r="G683" s="155"/>
      <c r="K683" s="255"/>
      <c r="N683" s="255"/>
      <c r="T683" s="256"/>
      <c r="Z683" s="257"/>
    </row>
    <row r="684" ht="15.75" customHeight="1">
      <c r="D684" s="155"/>
      <c r="G684" s="155"/>
      <c r="K684" s="255"/>
      <c r="N684" s="255"/>
      <c r="T684" s="256"/>
      <c r="Z684" s="257"/>
    </row>
    <row r="685" ht="15.75" customHeight="1">
      <c r="D685" s="155"/>
      <c r="G685" s="155"/>
      <c r="K685" s="255"/>
      <c r="N685" s="255"/>
      <c r="T685" s="256"/>
      <c r="Z685" s="257"/>
    </row>
    <row r="686" ht="15.75" customHeight="1">
      <c r="D686" s="155"/>
      <c r="G686" s="155"/>
      <c r="K686" s="255"/>
      <c r="N686" s="255"/>
      <c r="T686" s="256"/>
      <c r="Z686" s="257"/>
    </row>
    <row r="687" ht="15.75" customHeight="1">
      <c r="D687" s="155"/>
      <c r="G687" s="155"/>
      <c r="K687" s="255"/>
      <c r="N687" s="255"/>
      <c r="T687" s="256"/>
      <c r="Z687" s="257"/>
    </row>
    <row r="688" ht="15.75" customHeight="1">
      <c r="D688" s="155"/>
      <c r="G688" s="155"/>
      <c r="K688" s="255"/>
      <c r="N688" s="255"/>
      <c r="T688" s="256"/>
      <c r="Z688" s="257"/>
    </row>
    <row r="689" ht="15.75" customHeight="1">
      <c r="D689" s="155"/>
      <c r="G689" s="155"/>
      <c r="K689" s="255"/>
      <c r="N689" s="255"/>
      <c r="T689" s="256"/>
      <c r="Z689" s="257"/>
    </row>
    <row r="690" ht="15.75" customHeight="1">
      <c r="D690" s="155"/>
      <c r="G690" s="155"/>
      <c r="K690" s="255"/>
      <c r="N690" s="255"/>
      <c r="T690" s="256"/>
      <c r="Z690" s="257"/>
    </row>
    <row r="691" ht="15.75" customHeight="1">
      <c r="D691" s="155"/>
      <c r="G691" s="155"/>
      <c r="K691" s="255"/>
      <c r="N691" s="255"/>
      <c r="T691" s="256"/>
      <c r="Z691" s="257"/>
    </row>
    <row r="692" ht="15.75" customHeight="1">
      <c r="D692" s="155"/>
      <c r="G692" s="155"/>
      <c r="K692" s="255"/>
      <c r="N692" s="255"/>
      <c r="T692" s="256"/>
      <c r="Z692" s="257"/>
    </row>
    <row r="693" ht="15.75" customHeight="1">
      <c r="D693" s="155"/>
      <c r="G693" s="155"/>
      <c r="K693" s="255"/>
      <c r="N693" s="255"/>
      <c r="T693" s="256"/>
      <c r="Z693" s="257"/>
    </row>
    <row r="694" ht="15.75" customHeight="1">
      <c r="D694" s="155"/>
      <c r="G694" s="155"/>
      <c r="K694" s="255"/>
      <c r="N694" s="255"/>
      <c r="T694" s="256"/>
      <c r="Z694" s="257"/>
    </row>
    <row r="695" ht="15.75" customHeight="1">
      <c r="D695" s="155"/>
      <c r="G695" s="155"/>
      <c r="K695" s="255"/>
      <c r="N695" s="255"/>
      <c r="T695" s="256"/>
      <c r="Z695" s="257"/>
    </row>
    <row r="696" ht="15.75" customHeight="1">
      <c r="D696" s="155"/>
      <c r="G696" s="155"/>
      <c r="K696" s="255"/>
      <c r="N696" s="255"/>
      <c r="T696" s="256"/>
      <c r="Z696" s="257"/>
    </row>
    <row r="697" ht="15.75" customHeight="1">
      <c r="D697" s="155"/>
      <c r="G697" s="155"/>
      <c r="K697" s="255"/>
      <c r="N697" s="255"/>
      <c r="T697" s="256"/>
      <c r="Z697" s="257"/>
    </row>
    <row r="698" ht="15.75" customHeight="1">
      <c r="D698" s="155"/>
      <c r="G698" s="155"/>
      <c r="K698" s="255"/>
      <c r="N698" s="255"/>
      <c r="T698" s="256"/>
      <c r="Z698" s="257"/>
    </row>
    <row r="699" ht="15.75" customHeight="1">
      <c r="D699" s="155"/>
      <c r="G699" s="155"/>
      <c r="K699" s="255"/>
      <c r="N699" s="255"/>
      <c r="T699" s="256"/>
      <c r="Z699" s="257"/>
    </row>
    <row r="700" ht="15.75" customHeight="1">
      <c r="D700" s="155"/>
      <c r="G700" s="155"/>
      <c r="K700" s="255"/>
      <c r="N700" s="255"/>
      <c r="T700" s="256"/>
      <c r="Z700" s="257"/>
    </row>
    <row r="701" ht="15.75" customHeight="1">
      <c r="D701" s="155"/>
      <c r="G701" s="155"/>
      <c r="K701" s="255"/>
      <c r="N701" s="255"/>
      <c r="T701" s="256"/>
      <c r="Z701" s="257"/>
    </row>
    <row r="702" ht="15.75" customHeight="1">
      <c r="D702" s="155"/>
      <c r="G702" s="155"/>
      <c r="K702" s="255"/>
      <c r="N702" s="255"/>
      <c r="T702" s="256"/>
      <c r="Z702" s="257"/>
    </row>
    <row r="703" ht="15.75" customHeight="1">
      <c r="D703" s="155"/>
      <c r="G703" s="155"/>
      <c r="K703" s="255"/>
      <c r="N703" s="255"/>
      <c r="T703" s="256"/>
      <c r="Z703" s="257"/>
    </row>
    <row r="704" ht="15.75" customHeight="1">
      <c r="D704" s="155"/>
      <c r="G704" s="155"/>
      <c r="K704" s="255"/>
      <c r="N704" s="255"/>
      <c r="T704" s="256"/>
      <c r="Z704" s="257"/>
    </row>
    <row r="705" ht="15.75" customHeight="1">
      <c r="D705" s="155"/>
      <c r="G705" s="155"/>
      <c r="K705" s="255"/>
      <c r="N705" s="255"/>
      <c r="T705" s="256"/>
      <c r="Z705" s="257"/>
    </row>
    <row r="706" ht="15.75" customHeight="1">
      <c r="D706" s="155"/>
      <c r="G706" s="155"/>
      <c r="K706" s="255"/>
      <c r="N706" s="255"/>
      <c r="T706" s="256"/>
      <c r="Z706" s="257"/>
    </row>
    <row r="707" ht="15.75" customHeight="1">
      <c r="D707" s="155"/>
      <c r="G707" s="155"/>
      <c r="K707" s="255"/>
      <c r="N707" s="255"/>
      <c r="T707" s="256"/>
      <c r="Z707" s="257"/>
    </row>
    <row r="708" ht="15.75" customHeight="1">
      <c r="D708" s="155"/>
      <c r="G708" s="155"/>
      <c r="K708" s="255"/>
      <c r="N708" s="255"/>
      <c r="T708" s="256"/>
      <c r="Z708" s="257"/>
    </row>
    <row r="709" ht="15.75" customHeight="1">
      <c r="D709" s="155"/>
      <c r="G709" s="155"/>
      <c r="K709" s="255"/>
      <c r="N709" s="255"/>
      <c r="T709" s="256"/>
      <c r="Z709" s="257"/>
    </row>
    <row r="710" ht="15.75" customHeight="1">
      <c r="D710" s="155"/>
      <c r="G710" s="155"/>
      <c r="K710" s="255"/>
      <c r="N710" s="255"/>
      <c r="T710" s="256"/>
      <c r="Z710" s="257"/>
    </row>
    <row r="711" ht="15.75" customHeight="1">
      <c r="D711" s="155"/>
      <c r="G711" s="155"/>
      <c r="K711" s="255"/>
      <c r="N711" s="255"/>
      <c r="T711" s="256"/>
      <c r="Z711" s="257"/>
    </row>
    <row r="712" ht="15.75" customHeight="1">
      <c r="D712" s="155"/>
      <c r="G712" s="155"/>
      <c r="K712" s="255"/>
      <c r="N712" s="255"/>
      <c r="T712" s="256"/>
      <c r="Z712" s="257"/>
    </row>
    <row r="713" ht="15.75" customHeight="1">
      <c r="D713" s="155"/>
      <c r="G713" s="155"/>
      <c r="K713" s="255"/>
      <c r="N713" s="255"/>
      <c r="T713" s="256"/>
      <c r="Z713" s="257"/>
    </row>
    <row r="714" ht="15.75" customHeight="1">
      <c r="D714" s="155"/>
      <c r="G714" s="155"/>
      <c r="K714" s="255"/>
      <c r="N714" s="255"/>
      <c r="T714" s="256"/>
      <c r="Z714" s="257"/>
    </row>
    <row r="715" ht="15.75" customHeight="1">
      <c r="D715" s="155"/>
      <c r="G715" s="155"/>
      <c r="K715" s="255"/>
      <c r="N715" s="255"/>
      <c r="T715" s="256"/>
      <c r="Z715" s="257"/>
    </row>
    <row r="716" ht="15.75" customHeight="1">
      <c r="D716" s="155"/>
      <c r="G716" s="155"/>
      <c r="K716" s="255"/>
      <c r="N716" s="255"/>
      <c r="T716" s="256"/>
      <c r="Z716" s="257"/>
    </row>
    <row r="717" ht="15.75" customHeight="1">
      <c r="D717" s="155"/>
      <c r="G717" s="155"/>
      <c r="K717" s="255"/>
      <c r="N717" s="255"/>
      <c r="T717" s="256"/>
      <c r="Z717" s="257"/>
    </row>
    <row r="718" ht="15.75" customHeight="1">
      <c r="D718" s="155"/>
      <c r="G718" s="155"/>
      <c r="K718" s="255"/>
      <c r="N718" s="255"/>
      <c r="T718" s="256"/>
      <c r="Z718" s="257"/>
    </row>
    <row r="719" ht="15.75" customHeight="1">
      <c r="D719" s="155"/>
      <c r="G719" s="155"/>
      <c r="K719" s="255"/>
      <c r="N719" s="255"/>
      <c r="T719" s="256"/>
      <c r="Z719" s="257"/>
    </row>
    <row r="720" ht="15.75" customHeight="1">
      <c r="D720" s="155"/>
      <c r="G720" s="155"/>
      <c r="K720" s="255"/>
      <c r="N720" s="255"/>
      <c r="T720" s="256"/>
      <c r="Z720" s="257"/>
    </row>
    <row r="721" ht="15.75" customHeight="1">
      <c r="D721" s="155"/>
      <c r="G721" s="155"/>
      <c r="K721" s="255"/>
      <c r="N721" s="255"/>
      <c r="T721" s="256"/>
      <c r="Z721" s="257"/>
    </row>
    <row r="722" ht="15.75" customHeight="1">
      <c r="D722" s="155"/>
      <c r="G722" s="155"/>
      <c r="K722" s="255"/>
      <c r="N722" s="255"/>
      <c r="T722" s="256"/>
      <c r="Z722" s="257"/>
    </row>
    <row r="723" ht="15.75" customHeight="1">
      <c r="D723" s="155"/>
      <c r="G723" s="155"/>
      <c r="K723" s="255"/>
      <c r="N723" s="255"/>
      <c r="T723" s="256"/>
      <c r="Z723" s="257"/>
    </row>
    <row r="724" ht="15.75" customHeight="1">
      <c r="D724" s="155"/>
      <c r="G724" s="155"/>
      <c r="K724" s="255"/>
      <c r="N724" s="255"/>
      <c r="T724" s="256"/>
      <c r="Z724" s="257"/>
    </row>
    <row r="725" ht="15.75" customHeight="1">
      <c r="D725" s="155"/>
      <c r="G725" s="155"/>
      <c r="K725" s="255"/>
      <c r="N725" s="255"/>
      <c r="T725" s="256"/>
      <c r="Z725" s="257"/>
    </row>
    <row r="726" ht="15.75" customHeight="1">
      <c r="D726" s="155"/>
      <c r="G726" s="155"/>
      <c r="K726" s="255"/>
      <c r="N726" s="255"/>
      <c r="T726" s="256"/>
      <c r="Z726" s="257"/>
    </row>
    <row r="727" ht="15.75" customHeight="1">
      <c r="D727" s="155"/>
      <c r="G727" s="155"/>
      <c r="K727" s="255"/>
      <c r="N727" s="255"/>
      <c r="T727" s="256"/>
      <c r="Z727" s="257"/>
    </row>
    <row r="728" ht="15.75" customHeight="1">
      <c r="D728" s="155"/>
      <c r="G728" s="155"/>
      <c r="K728" s="255"/>
      <c r="N728" s="255"/>
      <c r="T728" s="256"/>
      <c r="Z728" s="257"/>
    </row>
    <row r="729" ht="15.75" customHeight="1">
      <c r="D729" s="155"/>
      <c r="G729" s="155"/>
      <c r="K729" s="255"/>
      <c r="N729" s="255"/>
      <c r="T729" s="256"/>
      <c r="Z729" s="257"/>
    </row>
    <row r="730" ht="15.75" customHeight="1">
      <c r="D730" s="155"/>
      <c r="G730" s="155"/>
      <c r="K730" s="255"/>
      <c r="N730" s="255"/>
      <c r="T730" s="256"/>
      <c r="Z730" s="257"/>
    </row>
    <row r="731" ht="15.75" customHeight="1">
      <c r="D731" s="155"/>
      <c r="G731" s="155"/>
      <c r="K731" s="255"/>
      <c r="N731" s="255"/>
      <c r="T731" s="256"/>
      <c r="Z731" s="257"/>
    </row>
    <row r="732" ht="15.75" customHeight="1">
      <c r="D732" s="155"/>
      <c r="G732" s="155"/>
      <c r="K732" s="255"/>
      <c r="N732" s="255"/>
      <c r="T732" s="256"/>
      <c r="Z732" s="257"/>
    </row>
    <row r="733" ht="15.75" customHeight="1">
      <c r="D733" s="155"/>
      <c r="G733" s="155"/>
      <c r="K733" s="255"/>
      <c r="N733" s="255"/>
      <c r="T733" s="256"/>
      <c r="Z733" s="257"/>
    </row>
    <row r="734" ht="15.75" customHeight="1">
      <c r="D734" s="155"/>
      <c r="G734" s="155"/>
      <c r="K734" s="255"/>
      <c r="N734" s="255"/>
      <c r="T734" s="256"/>
      <c r="Z734" s="257"/>
    </row>
    <row r="735" ht="15.75" customHeight="1">
      <c r="D735" s="155"/>
      <c r="G735" s="155"/>
      <c r="K735" s="255"/>
      <c r="N735" s="255"/>
      <c r="T735" s="256"/>
      <c r="Z735" s="257"/>
    </row>
    <row r="736" ht="15.75" customHeight="1">
      <c r="D736" s="155"/>
      <c r="G736" s="155"/>
      <c r="K736" s="255"/>
      <c r="N736" s="255"/>
      <c r="T736" s="256"/>
      <c r="Z736" s="257"/>
    </row>
    <row r="737" ht="15.75" customHeight="1">
      <c r="D737" s="155"/>
      <c r="G737" s="155"/>
      <c r="K737" s="255"/>
      <c r="N737" s="255"/>
      <c r="T737" s="256"/>
      <c r="Z737" s="257"/>
    </row>
    <row r="738" ht="15.75" customHeight="1">
      <c r="D738" s="155"/>
      <c r="G738" s="155"/>
      <c r="K738" s="255"/>
      <c r="N738" s="255"/>
      <c r="T738" s="256"/>
      <c r="Z738" s="257"/>
    </row>
    <row r="739" ht="15.75" customHeight="1">
      <c r="D739" s="155"/>
      <c r="G739" s="155"/>
      <c r="K739" s="255"/>
      <c r="N739" s="255"/>
      <c r="T739" s="256"/>
      <c r="Z739" s="257"/>
    </row>
    <row r="740" ht="15.75" customHeight="1">
      <c r="D740" s="155"/>
      <c r="G740" s="155"/>
      <c r="K740" s="255"/>
      <c r="N740" s="255"/>
      <c r="T740" s="256"/>
      <c r="Z740" s="257"/>
    </row>
    <row r="741" ht="15.75" customHeight="1">
      <c r="D741" s="155"/>
      <c r="G741" s="155"/>
      <c r="K741" s="255"/>
      <c r="N741" s="255"/>
      <c r="T741" s="256"/>
      <c r="Z741" s="257"/>
    </row>
    <row r="742" ht="15.75" customHeight="1">
      <c r="D742" s="155"/>
      <c r="G742" s="155"/>
      <c r="K742" s="255"/>
      <c r="N742" s="255"/>
      <c r="T742" s="256"/>
      <c r="Z742" s="257"/>
    </row>
    <row r="743" ht="15.75" customHeight="1">
      <c r="D743" s="155"/>
      <c r="G743" s="155"/>
      <c r="K743" s="255"/>
      <c r="N743" s="255"/>
      <c r="T743" s="256"/>
      <c r="Z743" s="257"/>
    </row>
    <row r="744" ht="15.75" customHeight="1">
      <c r="D744" s="155"/>
      <c r="G744" s="155"/>
      <c r="K744" s="255"/>
      <c r="N744" s="255"/>
      <c r="T744" s="256"/>
      <c r="Z744" s="257"/>
    </row>
    <row r="745" ht="15.75" customHeight="1">
      <c r="D745" s="155"/>
      <c r="G745" s="155"/>
      <c r="K745" s="255"/>
      <c r="N745" s="255"/>
      <c r="T745" s="256"/>
      <c r="Z745" s="257"/>
    </row>
    <row r="746" ht="15.75" customHeight="1">
      <c r="D746" s="155"/>
      <c r="G746" s="155"/>
      <c r="K746" s="255"/>
      <c r="N746" s="255"/>
      <c r="T746" s="256"/>
      <c r="Z746" s="257"/>
    </row>
    <row r="747" ht="15.75" customHeight="1">
      <c r="D747" s="155"/>
      <c r="G747" s="155"/>
      <c r="K747" s="255"/>
      <c r="N747" s="255"/>
      <c r="T747" s="256"/>
      <c r="Z747" s="257"/>
    </row>
    <row r="748" ht="15.75" customHeight="1">
      <c r="D748" s="155"/>
      <c r="G748" s="155"/>
      <c r="K748" s="255"/>
      <c r="N748" s="255"/>
      <c r="T748" s="256"/>
      <c r="Z748" s="257"/>
    </row>
    <row r="749" ht="15.75" customHeight="1">
      <c r="D749" s="155"/>
      <c r="G749" s="155"/>
      <c r="K749" s="255"/>
      <c r="N749" s="255"/>
      <c r="T749" s="256"/>
      <c r="Z749" s="257"/>
    </row>
    <row r="750" ht="15.75" customHeight="1">
      <c r="D750" s="155"/>
      <c r="G750" s="155"/>
      <c r="K750" s="255"/>
      <c r="N750" s="255"/>
      <c r="T750" s="256"/>
      <c r="Z750" s="257"/>
    </row>
    <row r="751" ht="15.75" customHeight="1">
      <c r="D751" s="155"/>
      <c r="G751" s="155"/>
      <c r="K751" s="255"/>
      <c r="N751" s="255"/>
      <c r="T751" s="256"/>
      <c r="Z751" s="257"/>
    </row>
    <row r="752" ht="15.75" customHeight="1">
      <c r="D752" s="155"/>
      <c r="G752" s="155"/>
      <c r="K752" s="255"/>
      <c r="N752" s="255"/>
      <c r="T752" s="256"/>
      <c r="Z752" s="257"/>
    </row>
    <row r="753" ht="15.75" customHeight="1">
      <c r="D753" s="155"/>
      <c r="G753" s="155"/>
      <c r="K753" s="255"/>
      <c r="N753" s="255"/>
      <c r="T753" s="256"/>
      <c r="Z753" s="257"/>
    </row>
    <row r="754" ht="15.75" customHeight="1">
      <c r="D754" s="155"/>
      <c r="G754" s="155"/>
      <c r="K754" s="255"/>
      <c r="N754" s="255"/>
      <c r="T754" s="256"/>
      <c r="Z754" s="257"/>
    </row>
    <row r="755" ht="15.75" customHeight="1">
      <c r="D755" s="155"/>
      <c r="G755" s="155"/>
      <c r="K755" s="255"/>
      <c r="N755" s="255"/>
      <c r="T755" s="256"/>
      <c r="Z755" s="257"/>
    </row>
    <row r="756" ht="15.75" customHeight="1">
      <c r="D756" s="155"/>
      <c r="G756" s="155"/>
      <c r="K756" s="255"/>
      <c r="N756" s="255"/>
      <c r="T756" s="256"/>
      <c r="Z756" s="257"/>
    </row>
    <row r="757" ht="15.75" customHeight="1">
      <c r="D757" s="155"/>
      <c r="G757" s="155"/>
      <c r="K757" s="255"/>
      <c r="N757" s="255"/>
      <c r="T757" s="256"/>
      <c r="Z757" s="257"/>
    </row>
    <row r="758" ht="15.75" customHeight="1">
      <c r="D758" s="155"/>
      <c r="G758" s="155"/>
      <c r="K758" s="255"/>
      <c r="N758" s="255"/>
      <c r="T758" s="256"/>
      <c r="Z758" s="257"/>
    </row>
    <row r="759" ht="15.75" customHeight="1">
      <c r="D759" s="155"/>
      <c r="G759" s="155"/>
      <c r="K759" s="255"/>
      <c r="N759" s="255"/>
      <c r="T759" s="256"/>
      <c r="Z759" s="257"/>
    </row>
    <row r="760" ht="15.75" customHeight="1">
      <c r="D760" s="155"/>
      <c r="G760" s="155"/>
      <c r="K760" s="255"/>
      <c r="N760" s="255"/>
      <c r="T760" s="256"/>
      <c r="Z760" s="257"/>
    </row>
    <row r="761" ht="15.75" customHeight="1">
      <c r="D761" s="155"/>
      <c r="G761" s="155"/>
      <c r="K761" s="255"/>
      <c r="N761" s="255"/>
      <c r="T761" s="256"/>
      <c r="Z761" s="257"/>
    </row>
    <row r="762" ht="15.75" customHeight="1">
      <c r="D762" s="155"/>
      <c r="G762" s="155"/>
      <c r="K762" s="255"/>
      <c r="N762" s="255"/>
      <c r="T762" s="256"/>
      <c r="Z762" s="257"/>
    </row>
    <row r="763" ht="15.75" customHeight="1">
      <c r="D763" s="155"/>
      <c r="G763" s="155"/>
      <c r="K763" s="255"/>
      <c r="N763" s="255"/>
      <c r="T763" s="256"/>
      <c r="Z763" s="257"/>
    </row>
    <row r="764" ht="15.75" customHeight="1">
      <c r="D764" s="155"/>
      <c r="G764" s="155"/>
      <c r="K764" s="255"/>
      <c r="N764" s="255"/>
      <c r="T764" s="256"/>
      <c r="Z764" s="257"/>
    </row>
    <row r="765" ht="15.75" customHeight="1">
      <c r="D765" s="155"/>
      <c r="G765" s="155"/>
      <c r="K765" s="255"/>
      <c r="N765" s="255"/>
      <c r="T765" s="256"/>
      <c r="Z765" s="257"/>
    </row>
    <row r="766" ht="15.75" customHeight="1">
      <c r="D766" s="155"/>
      <c r="G766" s="155"/>
      <c r="K766" s="255"/>
      <c r="N766" s="255"/>
      <c r="T766" s="256"/>
      <c r="Z766" s="257"/>
    </row>
    <row r="767" ht="15.75" customHeight="1">
      <c r="D767" s="155"/>
      <c r="G767" s="155"/>
      <c r="K767" s="255"/>
      <c r="N767" s="255"/>
      <c r="T767" s="256"/>
      <c r="Z767" s="257"/>
    </row>
    <row r="768" ht="15.75" customHeight="1">
      <c r="D768" s="155"/>
      <c r="G768" s="155"/>
      <c r="K768" s="255"/>
      <c r="N768" s="255"/>
      <c r="T768" s="256"/>
      <c r="Z768" s="257"/>
    </row>
    <row r="769" ht="15.75" customHeight="1">
      <c r="D769" s="155"/>
      <c r="G769" s="155"/>
      <c r="K769" s="255"/>
      <c r="N769" s="255"/>
      <c r="T769" s="256"/>
      <c r="Z769" s="257"/>
    </row>
    <row r="770" ht="15.75" customHeight="1">
      <c r="D770" s="155"/>
      <c r="G770" s="155"/>
      <c r="K770" s="255"/>
      <c r="N770" s="255"/>
      <c r="T770" s="256"/>
      <c r="Z770" s="257"/>
    </row>
    <row r="771" ht="15.75" customHeight="1">
      <c r="D771" s="155"/>
      <c r="G771" s="155"/>
      <c r="K771" s="255"/>
      <c r="N771" s="255"/>
      <c r="T771" s="256"/>
      <c r="Z771" s="257"/>
    </row>
    <row r="772" ht="15.75" customHeight="1">
      <c r="D772" s="155"/>
      <c r="G772" s="155"/>
      <c r="K772" s="255"/>
      <c r="N772" s="255"/>
      <c r="T772" s="256"/>
      <c r="Z772" s="257"/>
    </row>
    <row r="773" ht="15.75" customHeight="1">
      <c r="D773" s="155"/>
      <c r="G773" s="155"/>
      <c r="K773" s="255"/>
      <c r="N773" s="255"/>
      <c r="T773" s="256"/>
      <c r="Z773" s="257"/>
    </row>
    <row r="774" ht="15.75" customHeight="1">
      <c r="D774" s="155"/>
      <c r="G774" s="155"/>
      <c r="K774" s="255"/>
      <c r="N774" s="255"/>
      <c r="T774" s="256"/>
      <c r="Z774" s="257"/>
    </row>
    <row r="775" ht="15.75" customHeight="1">
      <c r="D775" s="155"/>
      <c r="G775" s="155"/>
      <c r="K775" s="255"/>
      <c r="N775" s="255"/>
      <c r="T775" s="256"/>
      <c r="Z775" s="257"/>
    </row>
    <row r="776" ht="15.75" customHeight="1">
      <c r="D776" s="155"/>
      <c r="G776" s="155"/>
      <c r="K776" s="255"/>
      <c r="N776" s="255"/>
      <c r="T776" s="256"/>
      <c r="Z776" s="257"/>
    </row>
    <row r="777" ht="15.75" customHeight="1">
      <c r="D777" s="155"/>
      <c r="G777" s="155"/>
      <c r="K777" s="255"/>
      <c r="N777" s="255"/>
      <c r="T777" s="256"/>
      <c r="Z777" s="257"/>
    </row>
    <row r="778" ht="15.75" customHeight="1">
      <c r="D778" s="155"/>
      <c r="G778" s="155"/>
      <c r="K778" s="255"/>
      <c r="N778" s="255"/>
      <c r="T778" s="256"/>
      <c r="Z778" s="257"/>
    </row>
    <row r="779" ht="15.75" customHeight="1">
      <c r="D779" s="155"/>
      <c r="G779" s="155"/>
      <c r="K779" s="255"/>
      <c r="N779" s="255"/>
      <c r="T779" s="256"/>
      <c r="Z779" s="257"/>
    </row>
    <row r="780" ht="15.75" customHeight="1">
      <c r="D780" s="155"/>
      <c r="G780" s="155"/>
      <c r="K780" s="255"/>
      <c r="N780" s="255"/>
      <c r="T780" s="256"/>
      <c r="Z780" s="257"/>
    </row>
    <row r="781" ht="15.75" customHeight="1">
      <c r="D781" s="155"/>
      <c r="G781" s="155"/>
      <c r="K781" s="255"/>
      <c r="N781" s="255"/>
      <c r="T781" s="256"/>
      <c r="Z781" s="257"/>
    </row>
    <row r="782" ht="15.75" customHeight="1">
      <c r="D782" s="155"/>
      <c r="G782" s="155"/>
      <c r="K782" s="255"/>
      <c r="N782" s="255"/>
      <c r="T782" s="256"/>
      <c r="Z782" s="257"/>
    </row>
    <row r="783" ht="15.75" customHeight="1">
      <c r="D783" s="155"/>
      <c r="G783" s="155"/>
      <c r="K783" s="255"/>
      <c r="N783" s="255"/>
      <c r="T783" s="256"/>
      <c r="Z783" s="257"/>
    </row>
    <row r="784" ht="15.75" customHeight="1">
      <c r="D784" s="155"/>
      <c r="G784" s="155"/>
      <c r="K784" s="255"/>
      <c r="N784" s="255"/>
      <c r="T784" s="256"/>
      <c r="Z784" s="257"/>
    </row>
    <row r="785" ht="15.75" customHeight="1">
      <c r="D785" s="155"/>
      <c r="G785" s="155"/>
      <c r="K785" s="255"/>
      <c r="N785" s="255"/>
      <c r="T785" s="256"/>
      <c r="Z785" s="257"/>
    </row>
    <row r="786" ht="15.75" customHeight="1">
      <c r="D786" s="155"/>
      <c r="G786" s="155"/>
      <c r="K786" s="255"/>
      <c r="N786" s="255"/>
      <c r="T786" s="256"/>
      <c r="Z786" s="257"/>
    </row>
    <row r="787" ht="15.75" customHeight="1">
      <c r="D787" s="155"/>
      <c r="G787" s="155"/>
      <c r="K787" s="255"/>
      <c r="N787" s="255"/>
      <c r="T787" s="256"/>
      <c r="Z787" s="257"/>
    </row>
    <row r="788" ht="15.75" customHeight="1">
      <c r="D788" s="155"/>
      <c r="G788" s="155"/>
      <c r="K788" s="255"/>
      <c r="N788" s="255"/>
      <c r="T788" s="256"/>
      <c r="Z788" s="257"/>
    </row>
    <row r="789" ht="15.75" customHeight="1">
      <c r="D789" s="155"/>
      <c r="G789" s="155"/>
      <c r="K789" s="255"/>
      <c r="N789" s="255"/>
      <c r="T789" s="256"/>
      <c r="Z789" s="257"/>
    </row>
    <row r="790" ht="15.75" customHeight="1">
      <c r="D790" s="155"/>
      <c r="G790" s="155"/>
      <c r="K790" s="255"/>
      <c r="N790" s="255"/>
      <c r="T790" s="256"/>
      <c r="Z790" s="257"/>
    </row>
    <row r="791" ht="15.75" customHeight="1">
      <c r="D791" s="155"/>
      <c r="G791" s="155"/>
      <c r="K791" s="255"/>
      <c r="N791" s="255"/>
      <c r="T791" s="256"/>
      <c r="Z791" s="257"/>
    </row>
    <row r="792" ht="15.75" customHeight="1">
      <c r="D792" s="155"/>
      <c r="G792" s="155"/>
      <c r="K792" s="255"/>
      <c r="N792" s="255"/>
      <c r="T792" s="256"/>
      <c r="Z792" s="257"/>
    </row>
    <row r="793" ht="15.75" customHeight="1">
      <c r="D793" s="155"/>
      <c r="G793" s="155"/>
      <c r="K793" s="255"/>
      <c r="N793" s="255"/>
      <c r="T793" s="256"/>
      <c r="Z793" s="257"/>
    </row>
    <row r="794" ht="15.75" customHeight="1">
      <c r="D794" s="155"/>
      <c r="G794" s="155"/>
      <c r="K794" s="255"/>
      <c r="N794" s="255"/>
      <c r="T794" s="256"/>
      <c r="Z794" s="257"/>
    </row>
    <row r="795" ht="15.75" customHeight="1">
      <c r="D795" s="155"/>
      <c r="G795" s="155"/>
      <c r="K795" s="255"/>
      <c r="N795" s="255"/>
      <c r="T795" s="256"/>
      <c r="Z795" s="257"/>
    </row>
    <row r="796" ht="15.75" customHeight="1">
      <c r="D796" s="155"/>
      <c r="G796" s="155"/>
      <c r="K796" s="255"/>
      <c r="N796" s="255"/>
      <c r="T796" s="256"/>
      <c r="Z796" s="257"/>
    </row>
    <row r="797" ht="15.75" customHeight="1">
      <c r="D797" s="155"/>
      <c r="G797" s="155"/>
      <c r="K797" s="255"/>
      <c r="N797" s="255"/>
      <c r="T797" s="256"/>
      <c r="Z797" s="257"/>
    </row>
    <row r="798" ht="15.75" customHeight="1">
      <c r="D798" s="155"/>
      <c r="G798" s="155"/>
      <c r="K798" s="255"/>
      <c r="N798" s="255"/>
      <c r="T798" s="256"/>
      <c r="Z798" s="257"/>
    </row>
    <row r="799" ht="15.75" customHeight="1">
      <c r="D799" s="155"/>
      <c r="G799" s="155"/>
      <c r="K799" s="255"/>
      <c r="N799" s="255"/>
      <c r="T799" s="256"/>
      <c r="Z799" s="257"/>
    </row>
    <row r="800" ht="15.75" customHeight="1">
      <c r="D800" s="155"/>
      <c r="G800" s="155"/>
      <c r="K800" s="255"/>
      <c r="N800" s="255"/>
      <c r="T800" s="256"/>
      <c r="Z800" s="257"/>
    </row>
    <row r="801" ht="15.75" customHeight="1">
      <c r="D801" s="155"/>
      <c r="G801" s="155"/>
      <c r="K801" s="255"/>
      <c r="N801" s="255"/>
      <c r="T801" s="256"/>
      <c r="Z801" s="257"/>
    </row>
    <row r="802" ht="15.75" customHeight="1">
      <c r="D802" s="155"/>
      <c r="G802" s="155"/>
      <c r="K802" s="255"/>
      <c r="N802" s="255"/>
      <c r="T802" s="256"/>
      <c r="Z802" s="257"/>
    </row>
    <row r="803" ht="15.75" customHeight="1">
      <c r="D803" s="155"/>
      <c r="G803" s="155"/>
      <c r="K803" s="255"/>
      <c r="N803" s="255"/>
      <c r="T803" s="256"/>
      <c r="Z803" s="257"/>
    </row>
    <row r="804" ht="15.75" customHeight="1">
      <c r="D804" s="155"/>
      <c r="G804" s="155"/>
      <c r="K804" s="255"/>
      <c r="N804" s="255"/>
      <c r="T804" s="256"/>
      <c r="Z804" s="257"/>
    </row>
    <row r="805" ht="15.75" customHeight="1">
      <c r="D805" s="155"/>
      <c r="G805" s="155"/>
      <c r="K805" s="255"/>
      <c r="N805" s="255"/>
      <c r="T805" s="256"/>
      <c r="Z805" s="257"/>
    </row>
    <row r="806" ht="15.75" customHeight="1">
      <c r="D806" s="155"/>
      <c r="G806" s="155"/>
      <c r="K806" s="255"/>
      <c r="N806" s="255"/>
      <c r="T806" s="256"/>
      <c r="Z806" s="257"/>
    </row>
    <row r="807" ht="15.75" customHeight="1">
      <c r="D807" s="155"/>
      <c r="G807" s="155"/>
      <c r="K807" s="255"/>
      <c r="N807" s="255"/>
      <c r="T807" s="256"/>
      <c r="Z807" s="257"/>
    </row>
    <row r="808" ht="15.75" customHeight="1">
      <c r="D808" s="155"/>
      <c r="G808" s="155"/>
      <c r="K808" s="255"/>
      <c r="N808" s="255"/>
      <c r="T808" s="256"/>
      <c r="Z808" s="257"/>
    </row>
    <row r="809" ht="15.75" customHeight="1">
      <c r="D809" s="155"/>
      <c r="G809" s="155"/>
      <c r="K809" s="255"/>
      <c r="N809" s="255"/>
      <c r="T809" s="256"/>
      <c r="Z809" s="257"/>
    </row>
    <row r="810" ht="15.75" customHeight="1">
      <c r="D810" s="155"/>
      <c r="G810" s="155"/>
      <c r="K810" s="255"/>
      <c r="N810" s="255"/>
      <c r="T810" s="256"/>
      <c r="Z810" s="257"/>
    </row>
    <row r="811" ht="15.75" customHeight="1">
      <c r="D811" s="155"/>
      <c r="G811" s="155"/>
      <c r="K811" s="255"/>
      <c r="N811" s="255"/>
      <c r="T811" s="256"/>
      <c r="Z811" s="257"/>
    </row>
    <row r="812" ht="15.75" customHeight="1">
      <c r="D812" s="155"/>
      <c r="G812" s="155"/>
      <c r="K812" s="255"/>
      <c r="N812" s="255"/>
      <c r="T812" s="256"/>
      <c r="Z812" s="257"/>
    </row>
    <row r="813" ht="15.75" customHeight="1">
      <c r="D813" s="155"/>
      <c r="G813" s="155"/>
      <c r="K813" s="255"/>
      <c r="N813" s="255"/>
      <c r="T813" s="256"/>
      <c r="Z813" s="257"/>
    </row>
    <row r="814" ht="15.75" customHeight="1">
      <c r="D814" s="155"/>
      <c r="G814" s="155"/>
      <c r="K814" s="255"/>
      <c r="N814" s="255"/>
      <c r="T814" s="256"/>
      <c r="Z814" s="257"/>
    </row>
    <row r="815" ht="15.75" customHeight="1">
      <c r="D815" s="155"/>
      <c r="G815" s="155"/>
      <c r="K815" s="255"/>
      <c r="N815" s="255"/>
      <c r="T815" s="256"/>
      <c r="Z815" s="257"/>
    </row>
    <row r="816" ht="15.75" customHeight="1">
      <c r="D816" s="155"/>
      <c r="G816" s="155"/>
      <c r="K816" s="255"/>
      <c r="N816" s="255"/>
      <c r="T816" s="256"/>
      <c r="Z816" s="257"/>
    </row>
    <row r="817" ht="15.75" customHeight="1">
      <c r="D817" s="155"/>
      <c r="G817" s="155"/>
      <c r="K817" s="255"/>
      <c r="N817" s="255"/>
      <c r="T817" s="256"/>
      <c r="Z817" s="257"/>
    </row>
    <row r="818" ht="15.75" customHeight="1">
      <c r="D818" s="155"/>
      <c r="G818" s="155"/>
      <c r="K818" s="255"/>
      <c r="N818" s="255"/>
      <c r="T818" s="256"/>
      <c r="Z818" s="257"/>
    </row>
    <row r="819" ht="15.75" customHeight="1">
      <c r="D819" s="155"/>
      <c r="G819" s="155"/>
      <c r="K819" s="255"/>
      <c r="N819" s="255"/>
      <c r="T819" s="256"/>
      <c r="Z819" s="257"/>
    </row>
    <row r="820" ht="15.75" customHeight="1">
      <c r="D820" s="155"/>
      <c r="G820" s="155"/>
      <c r="K820" s="255"/>
      <c r="N820" s="255"/>
      <c r="T820" s="256"/>
      <c r="Z820" s="257"/>
    </row>
    <row r="821" ht="15.75" customHeight="1">
      <c r="D821" s="155"/>
      <c r="G821" s="155"/>
      <c r="K821" s="255"/>
      <c r="N821" s="255"/>
      <c r="T821" s="256"/>
      <c r="Z821" s="257"/>
    </row>
    <row r="822" ht="15.75" customHeight="1">
      <c r="D822" s="155"/>
      <c r="G822" s="155"/>
      <c r="K822" s="255"/>
      <c r="N822" s="255"/>
      <c r="T822" s="256"/>
      <c r="Z822" s="257"/>
    </row>
    <row r="823" ht="15.75" customHeight="1">
      <c r="D823" s="155"/>
      <c r="G823" s="155"/>
      <c r="K823" s="255"/>
      <c r="N823" s="255"/>
      <c r="T823" s="256"/>
      <c r="Z823" s="257"/>
    </row>
    <row r="824" ht="15.75" customHeight="1">
      <c r="D824" s="155"/>
      <c r="G824" s="155"/>
      <c r="K824" s="255"/>
      <c r="N824" s="255"/>
      <c r="T824" s="256"/>
      <c r="Z824" s="257"/>
    </row>
    <row r="825" ht="15.75" customHeight="1">
      <c r="D825" s="155"/>
      <c r="G825" s="155"/>
      <c r="K825" s="255"/>
      <c r="N825" s="255"/>
      <c r="T825" s="256"/>
      <c r="Z825" s="257"/>
    </row>
    <row r="826" ht="15.75" customHeight="1">
      <c r="D826" s="155"/>
      <c r="G826" s="155"/>
      <c r="K826" s="255"/>
      <c r="N826" s="255"/>
      <c r="T826" s="256"/>
      <c r="Z826" s="257"/>
    </row>
    <row r="827" ht="15.75" customHeight="1">
      <c r="D827" s="155"/>
      <c r="G827" s="155"/>
      <c r="K827" s="255"/>
      <c r="N827" s="255"/>
      <c r="T827" s="256"/>
      <c r="Z827" s="257"/>
    </row>
    <row r="828" ht="15.75" customHeight="1">
      <c r="D828" s="155"/>
      <c r="G828" s="155"/>
      <c r="K828" s="255"/>
      <c r="N828" s="255"/>
      <c r="T828" s="256"/>
      <c r="Z828" s="257"/>
    </row>
    <row r="829" ht="15.75" customHeight="1">
      <c r="D829" s="155"/>
      <c r="G829" s="155"/>
      <c r="K829" s="255"/>
      <c r="N829" s="255"/>
      <c r="T829" s="256"/>
      <c r="Z829" s="257"/>
    </row>
    <row r="830" ht="15.75" customHeight="1">
      <c r="D830" s="155"/>
      <c r="G830" s="155"/>
      <c r="K830" s="255"/>
      <c r="N830" s="255"/>
      <c r="T830" s="256"/>
      <c r="Z830" s="257"/>
    </row>
    <row r="831" ht="15.75" customHeight="1">
      <c r="D831" s="155"/>
      <c r="G831" s="155"/>
      <c r="K831" s="255"/>
      <c r="N831" s="255"/>
      <c r="T831" s="256"/>
      <c r="Z831" s="257"/>
    </row>
    <row r="832" ht="15.75" customHeight="1">
      <c r="D832" s="155"/>
      <c r="G832" s="155"/>
      <c r="K832" s="255"/>
      <c r="N832" s="255"/>
      <c r="T832" s="256"/>
      <c r="Z832" s="257"/>
    </row>
    <row r="833" ht="15.75" customHeight="1">
      <c r="D833" s="155"/>
      <c r="G833" s="155"/>
      <c r="K833" s="255"/>
      <c r="N833" s="255"/>
      <c r="T833" s="256"/>
      <c r="Z833" s="257"/>
    </row>
    <row r="834" ht="15.75" customHeight="1">
      <c r="D834" s="155"/>
      <c r="G834" s="155"/>
      <c r="K834" s="255"/>
      <c r="N834" s="255"/>
      <c r="T834" s="256"/>
      <c r="Z834" s="257"/>
    </row>
    <row r="835" ht="15.75" customHeight="1">
      <c r="D835" s="155"/>
      <c r="G835" s="155"/>
      <c r="K835" s="255"/>
      <c r="N835" s="255"/>
      <c r="T835" s="256"/>
      <c r="Z835" s="257"/>
    </row>
    <row r="836" ht="15.75" customHeight="1">
      <c r="D836" s="155"/>
      <c r="G836" s="155"/>
      <c r="K836" s="255"/>
      <c r="N836" s="255"/>
      <c r="T836" s="256"/>
      <c r="Z836" s="257"/>
    </row>
    <row r="837" ht="15.75" customHeight="1">
      <c r="D837" s="155"/>
      <c r="G837" s="155"/>
      <c r="K837" s="255"/>
      <c r="N837" s="255"/>
      <c r="T837" s="256"/>
      <c r="Z837" s="257"/>
    </row>
    <row r="838" ht="15.75" customHeight="1">
      <c r="D838" s="155"/>
      <c r="G838" s="155"/>
      <c r="K838" s="255"/>
      <c r="N838" s="255"/>
      <c r="T838" s="256"/>
      <c r="Z838" s="257"/>
    </row>
    <row r="839" ht="15.75" customHeight="1">
      <c r="D839" s="155"/>
      <c r="G839" s="155"/>
      <c r="K839" s="255"/>
      <c r="N839" s="255"/>
      <c r="T839" s="256"/>
      <c r="Z839" s="257"/>
    </row>
    <row r="840" ht="15.75" customHeight="1">
      <c r="D840" s="155"/>
      <c r="G840" s="155"/>
      <c r="K840" s="255"/>
      <c r="N840" s="255"/>
      <c r="T840" s="256"/>
      <c r="Z840" s="257"/>
    </row>
    <row r="841" ht="15.75" customHeight="1">
      <c r="D841" s="155"/>
      <c r="G841" s="155"/>
      <c r="K841" s="255"/>
      <c r="N841" s="255"/>
      <c r="T841" s="256"/>
      <c r="Z841" s="257"/>
    </row>
    <row r="842" ht="15.75" customHeight="1">
      <c r="D842" s="155"/>
      <c r="G842" s="155"/>
      <c r="K842" s="255"/>
      <c r="N842" s="255"/>
      <c r="T842" s="256"/>
      <c r="Z842" s="257"/>
    </row>
    <row r="843" ht="15.75" customHeight="1">
      <c r="D843" s="155"/>
      <c r="G843" s="155"/>
      <c r="K843" s="255"/>
      <c r="N843" s="255"/>
      <c r="T843" s="256"/>
      <c r="Z843" s="257"/>
    </row>
    <row r="844" ht="15.75" customHeight="1">
      <c r="D844" s="155"/>
      <c r="G844" s="155"/>
      <c r="K844" s="255"/>
      <c r="N844" s="255"/>
      <c r="T844" s="256"/>
      <c r="Z844" s="257"/>
    </row>
    <row r="845" ht="15.75" customHeight="1">
      <c r="D845" s="155"/>
      <c r="G845" s="155"/>
      <c r="K845" s="255"/>
      <c r="N845" s="255"/>
      <c r="T845" s="256"/>
      <c r="Z845" s="257"/>
    </row>
    <row r="846" ht="15.75" customHeight="1">
      <c r="D846" s="155"/>
      <c r="G846" s="155"/>
      <c r="K846" s="255"/>
      <c r="N846" s="255"/>
      <c r="T846" s="256"/>
      <c r="Z846" s="257"/>
    </row>
    <row r="847" ht="15.75" customHeight="1">
      <c r="D847" s="155"/>
      <c r="G847" s="155"/>
      <c r="K847" s="255"/>
      <c r="N847" s="255"/>
      <c r="T847" s="256"/>
      <c r="Z847" s="257"/>
    </row>
    <row r="848" ht="15.75" customHeight="1">
      <c r="D848" s="155"/>
      <c r="G848" s="155"/>
      <c r="K848" s="255"/>
      <c r="N848" s="255"/>
      <c r="T848" s="256"/>
      <c r="Z848" s="257"/>
    </row>
    <row r="849" ht="15.75" customHeight="1">
      <c r="D849" s="155"/>
      <c r="G849" s="155"/>
      <c r="K849" s="255"/>
      <c r="N849" s="255"/>
      <c r="T849" s="256"/>
      <c r="Z849" s="257"/>
    </row>
    <row r="850" ht="15.75" customHeight="1">
      <c r="D850" s="155"/>
      <c r="G850" s="155"/>
      <c r="K850" s="255"/>
      <c r="N850" s="255"/>
      <c r="T850" s="256"/>
      <c r="Z850" s="257"/>
    </row>
    <row r="851" ht="15.75" customHeight="1">
      <c r="D851" s="155"/>
      <c r="G851" s="155"/>
      <c r="K851" s="255"/>
      <c r="N851" s="255"/>
      <c r="T851" s="256"/>
      <c r="Z851" s="257"/>
    </row>
    <row r="852" ht="15.75" customHeight="1">
      <c r="D852" s="155"/>
      <c r="G852" s="155"/>
      <c r="K852" s="255"/>
      <c r="N852" s="255"/>
      <c r="T852" s="256"/>
      <c r="Z852" s="257"/>
    </row>
    <row r="853" ht="15.75" customHeight="1">
      <c r="D853" s="155"/>
      <c r="G853" s="155"/>
      <c r="K853" s="255"/>
      <c r="N853" s="255"/>
      <c r="T853" s="256"/>
      <c r="Z853" s="257"/>
    </row>
    <row r="854" ht="15.75" customHeight="1">
      <c r="D854" s="155"/>
      <c r="G854" s="155"/>
      <c r="K854" s="255"/>
      <c r="N854" s="255"/>
      <c r="T854" s="256"/>
      <c r="Z854" s="257"/>
    </row>
    <row r="855" ht="15.75" customHeight="1">
      <c r="D855" s="155"/>
      <c r="G855" s="155"/>
      <c r="K855" s="255"/>
      <c r="N855" s="255"/>
      <c r="T855" s="256"/>
      <c r="Z855" s="257"/>
    </row>
    <row r="856" ht="15.75" customHeight="1">
      <c r="D856" s="155"/>
      <c r="G856" s="155"/>
      <c r="K856" s="255"/>
      <c r="N856" s="255"/>
      <c r="T856" s="256"/>
      <c r="Z856" s="257"/>
    </row>
    <row r="857" ht="15.75" customHeight="1">
      <c r="D857" s="155"/>
      <c r="G857" s="155"/>
      <c r="K857" s="255"/>
      <c r="N857" s="255"/>
      <c r="T857" s="256"/>
      <c r="Z857" s="257"/>
    </row>
    <row r="858" ht="15.75" customHeight="1">
      <c r="D858" s="155"/>
      <c r="G858" s="155"/>
      <c r="K858" s="255"/>
      <c r="N858" s="255"/>
      <c r="T858" s="256"/>
      <c r="Z858" s="257"/>
    </row>
    <row r="859" ht="15.75" customHeight="1">
      <c r="D859" s="155"/>
      <c r="G859" s="155"/>
      <c r="K859" s="255"/>
      <c r="N859" s="255"/>
      <c r="T859" s="256"/>
      <c r="Z859" s="257"/>
    </row>
    <row r="860" ht="15.75" customHeight="1">
      <c r="D860" s="155"/>
      <c r="G860" s="155"/>
      <c r="K860" s="255"/>
      <c r="N860" s="255"/>
      <c r="T860" s="256"/>
      <c r="Z860" s="257"/>
    </row>
    <row r="861" ht="15.75" customHeight="1">
      <c r="D861" s="155"/>
      <c r="G861" s="155"/>
      <c r="K861" s="255"/>
      <c r="N861" s="255"/>
      <c r="T861" s="256"/>
      <c r="Z861" s="257"/>
    </row>
    <row r="862" ht="15.75" customHeight="1">
      <c r="D862" s="155"/>
      <c r="G862" s="155"/>
      <c r="K862" s="255"/>
      <c r="N862" s="255"/>
      <c r="T862" s="256"/>
      <c r="Z862" s="257"/>
    </row>
    <row r="863" ht="15.75" customHeight="1">
      <c r="D863" s="155"/>
      <c r="G863" s="155"/>
      <c r="K863" s="255"/>
      <c r="N863" s="255"/>
      <c r="T863" s="256"/>
      <c r="Z863" s="257"/>
    </row>
    <row r="864" ht="15.75" customHeight="1">
      <c r="D864" s="155"/>
      <c r="G864" s="155"/>
      <c r="K864" s="255"/>
      <c r="N864" s="255"/>
      <c r="T864" s="256"/>
      <c r="Z864" s="257"/>
    </row>
    <row r="865" ht="15.75" customHeight="1">
      <c r="D865" s="155"/>
      <c r="G865" s="155"/>
      <c r="K865" s="255"/>
      <c r="N865" s="255"/>
      <c r="T865" s="256"/>
      <c r="Z865" s="257"/>
    </row>
    <row r="866" ht="15.75" customHeight="1">
      <c r="D866" s="155"/>
      <c r="G866" s="155"/>
      <c r="K866" s="255"/>
      <c r="N866" s="255"/>
      <c r="T866" s="256"/>
      <c r="Z866" s="257"/>
    </row>
    <row r="867" ht="15.75" customHeight="1">
      <c r="D867" s="155"/>
      <c r="G867" s="155"/>
      <c r="K867" s="255"/>
      <c r="N867" s="255"/>
      <c r="T867" s="256"/>
      <c r="Z867" s="257"/>
    </row>
    <row r="868" ht="15.75" customHeight="1">
      <c r="D868" s="155"/>
      <c r="G868" s="155"/>
      <c r="K868" s="255"/>
      <c r="N868" s="255"/>
      <c r="T868" s="256"/>
      <c r="Z868" s="257"/>
    </row>
    <row r="869" ht="15.75" customHeight="1">
      <c r="D869" s="155"/>
      <c r="G869" s="155"/>
      <c r="K869" s="255"/>
      <c r="N869" s="255"/>
      <c r="T869" s="256"/>
      <c r="Z869" s="257"/>
    </row>
    <row r="870" ht="15.75" customHeight="1">
      <c r="D870" s="155"/>
      <c r="G870" s="155"/>
      <c r="K870" s="255"/>
      <c r="N870" s="255"/>
      <c r="T870" s="256"/>
      <c r="Z870" s="257"/>
    </row>
    <row r="871" ht="15.75" customHeight="1">
      <c r="D871" s="155"/>
      <c r="G871" s="155"/>
      <c r="K871" s="255"/>
      <c r="N871" s="255"/>
      <c r="T871" s="256"/>
      <c r="Z871" s="257"/>
    </row>
    <row r="872" ht="15.75" customHeight="1">
      <c r="D872" s="155"/>
      <c r="G872" s="155"/>
      <c r="K872" s="255"/>
      <c r="N872" s="255"/>
      <c r="T872" s="256"/>
      <c r="Z872" s="257"/>
    </row>
    <row r="873" ht="15.75" customHeight="1">
      <c r="D873" s="155"/>
      <c r="G873" s="155"/>
      <c r="K873" s="255"/>
      <c r="N873" s="255"/>
      <c r="T873" s="256"/>
      <c r="Z873" s="257"/>
    </row>
    <row r="874" ht="15.75" customHeight="1">
      <c r="D874" s="155"/>
      <c r="G874" s="155"/>
      <c r="K874" s="255"/>
      <c r="N874" s="255"/>
      <c r="T874" s="256"/>
      <c r="Z874" s="257"/>
    </row>
    <row r="875" ht="15.75" customHeight="1">
      <c r="D875" s="155"/>
      <c r="G875" s="155"/>
      <c r="K875" s="255"/>
      <c r="N875" s="255"/>
      <c r="T875" s="256"/>
      <c r="Z875" s="257"/>
    </row>
    <row r="876" ht="15.75" customHeight="1">
      <c r="D876" s="155"/>
      <c r="G876" s="155"/>
      <c r="K876" s="255"/>
      <c r="N876" s="255"/>
      <c r="T876" s="256"/>
      <c r="Z876" s="257"/>
    </row>
    <row r="877" ht="15.75" customHeight="1">
      <c r="D877" s="155"/>
      <c r="G877" s="155"/>
      <c r="K877" s="255"/>
      <c r="N877" s="255"/>
      <c r="T877" s="256"/>
      <c r="Z877" s="257"/>
    </row>
    <row r="878" ht="15.75" customHeight="1">
      <c r="D878" s="155"/>
      <c r="G878" s="155"/>
      <c r="K878" s="255"/>
      <c r="N878" s="255"/>
      <c r="T878" s="256"/>
      <c r="Z878" s="257"/>
    </row>
    <row r="879" ht="15.75" customHeight="1">
      <c r="D879" s="155"/>
      <c r="G879" s="155"/>
      <c r="K879" s="255"/>
      <c r="N879" s="255"/>
      <c r="T879" s="256"/>
      <c r="Z879" s="257"/>
    </row>
    <row r="880" ht="15.75" customHeight="1">
      <c r="D880" s="155"/>
      <c r="G880" s="155"/>
      <c r="K880" s="255"/>
      <c r="N880" s="255"/>
      <c r="T880" s="256"/>
      <c r="Z880" s="257"/>
    </row>
    <row r="881" ht="15.75" customHeight="1">
      <c r="D881" s="155"/>
      <c r="G881" s="155"/>
      <c r="K881" s="255"/>
      <c r="N881" s="255"/>
      <c r="T881" s="256"/>
      <c r="Z881" s="257"/>
    </row>
    <row r="882" ht="15.75" customHeight="1">
      <c r="D882" s="155"/>
      <c r="G882" s="155"/>
      <c r="K882" s="255"/>
      <c r="N882" s="255"/>
      <c r="T882" s="256"/>
      <c r="Z882" s="257"/>
    </row>
    <row r="883" ht="15.75" customHeight="1">
      <c r="D883" s="155"/>
      <c r="G883" s="155"/>
      <c r="K883" s="255"/>
      <c r="N883" s="255"/>
      <c r="T883" s="256"/>
      <c r="Z883" s="257"/>
    </row>
    <row r="884" ht="15.75" customHeight="1">
      <c r="D884" s="155"/>
      <c r="G884" s="155"/>
      <c r="K884" s="255"/>
      <c r="N884" s="255"/>
      <c r="T884" s="256"/>
      <c r="Z884" s="257"/>
    </row>
    <row r="885" ht="15.75" customHeight="1">
      <c r="D885" s="155"/>
      <c r="G885" s="155"/>
      <c r="K885" s="255"/>
      <c r="N885" s="255"/>
      <c r="T885" s="256"/>
      <c r="Z885" s="257"/>
    </row>
    <row r="886" ht="15.75" customHeight="1">
      <c r="D886" s="155"/>
      <c r="G886" s="155"/>
      <c r="K886" s="255"/>
      <c r="N886" s="255"/>
      <c r="T886" s="256"/>
      <c r="Z886" s="257"/>
    </row>
    <row r="887" ht="15.75" customHeight="1">
      <c r="D887" s="155"/>
      <c r="G887" s="155"/>
      <c r="K887" s="255"/>
      <c r="N887" s="255"/>
      <c r="T887" s="256"/>
      <c r="Z887" s="257"/>
    </row>
    <row r="888" ht="15.75" customHeight="1">
      <c r="D888" s="155"/>
      <c r="G888" s="155"/>
      <c r="K888" s="255"/>
      <c r="N888" s="255"/>
      <c r="T888" s="256"/>
      <c r="Z888" s="257"/>
    </row>
    <row r="889" ht="15.75" customHeight="1">
      <c r="D889" s="155"/>
      <c r="G889" s="155"/>
      <c r="K889" s="255"/>
      <c r="N889" s="255"/>
      <c r="T889" s="256"/>
      <c r="Z889" s="257"/>
    </row>
    <row r="890" ht="15.75" customHeight="1">
      <c r="D890" s="155"/>
      <c r="G890" s="155"/>
      <c r="K890" s="255"/>
      <c r="N890" s="255"/>
      <c r="T890" s="256"/>
      <c r="Z890" s="257"/>
    </row>
    <row r="891" ht="15.75" customHeight="1">
      <c r="D891" s="155"/>
      <c r="G891" s="155"/>
      <c r="K891" s="255"/>
      <c r="N891" s="255"/>
      <c r="T891" s="256"/>
      <c r="Z891" s="257"/>
    </row>
    <row r="892" ht="15.75" customHeight="1">
      <c r="D892" s="155"/>
      <c r="G892" s="155"/>
      <c r="K892" s="255"/>
      <c r="N892" s="255"/>
      <c r="T892" s="256"/>
      <c r="Z892" s="257"/>
    </row>
    <row r="893" ht="15.75" customHeight="1">
      <c r="D893" s="155"/>
      <c r="G893" s="155"/>
      <c r="K893" s="255"/>
      <c r="N893" s="255"/>
      <c r="T893" s="256"/>
      <c r="Z893" s="257"/>
    </row>
    <row r="894" ht="15.75" customHeight="1">
      <c r="D894" s="155"/>
      <c r="G894" s="155"/>
      <c r="K894" s="255"/>
      <c r="N894" s="255"/>
      <c r="T894" s="256"/>
      <c r="Z894" s="257"/>
    </row>
    <row r="895" ht="15.75" customHeight="1">
      <c r="D895" s="155"/>
      <c r="G895" s="155"/>
      <c r="K895" s="255"/>
      <c r="N895" s="255"/>
      <c r="T895" s="256"/>
      <c r="Z895" s="257"/>
    </row>
    <row r="896" ht="15.75" customHeight="1">
      <c r="D896" s="155"/>
      <c r="G896" s="155"/>
      <c r="K896" s="255"/>
      <c r="N896" s="255"/>
      <c r="T896" s="256"/>
      <c r="Z896" s="257"/>
    </row>
    <row r="897" ht="15.75" customHeight="1">
      <c r="D897" s="155"/>
      <c r="G897" s="155"/>
      <c r="K897" s="255"/>
      <c r="N897" s="255"/>
      <c r="T897" s="256"/>
      <c r="Z897" s="257"/>
    </row>
    <row r="898" ht="15.75" customHeight="1">
      <c r="D898" s="155"/>
      <c r="G898" s="155"/>
      <c r="K898" s="255"/>
      <c r="N898" s="255"/>
      <c r="T898" s="256"/>
      <c r="Z898" s="257"/>
    </row>
    <row r="899" ht="15.75" customHeight="1">
      <c r="D899" s="155"/>
      <c r="G899" s="155"/>
      <c r="K899" s="255"/>
      <c r="N899" s="255"/>
      <c r="T899" s="256"/>
      <c r="Z899" s="257"/>
    </row>
    <row r="900" ht="15.75" customHeight="1">
      <c r="D900" s="155"/>
      <c r="G900" s="155"/>
      <c r="K900" s="255"/>
      <c r="N900" s="255"/>
      <c r="T900" s="256"/>
      <c r="Z900" s="257"/>
    </row>
    <row r="901" ht="15.75" customHeight="1">
      <c r="D901" s="155"/>
      <c r="G901" s="155"/>
      <c r="K901" s="255"/>
      <c r="N901" s="255"/>
      <c r="T901" s="256"/>
      <c r="Z901" s="257"/>
    </row>
    <row r="902" ht="15.75" customHeight="1">
      <c r="D902" s="155"/>
      <c r="G902" s="155"/>
      <c r="K902" s="255"/>
      <c r="N902" s="255"/>
      <c r="T902" s="256"/>
      <c r="Z902" s="257"/>
    </row>
    <row r="903" ht="15.75" customHeight="1">
      <c r="D903" s="155"/>
      <c r="G903" s="155"/>
      <c r="K903" s="255"/>
      <c r="N903" s="255"/>
      <c r="T903" s="256"/>
      <c r="Z903" s="257"/>
    </row>
    <row r="904" ht="15.75" customHeight="1">
      <c r="D904" s="155"/>
      <c r="G904" s="155"/>
      <c r="K904" s="255"/>
      <c r="N904" s="255"/>
      <c r="T904" s="256"/>
      <c r="Z904" s="257"/>
    </row>
    <row r="905" ht="15.75" customHeight="1">
      <c r="D905" s="155"/>
      <c r="G905" s="155"/>
      <c r="K905" s="255"/>
      <c r="N905" s="255"/>
      <c r="T905" s="256"/>
      <c r="Z905" s="257"/>
    </row>
    <row r="906" ht="15.75" customHeight="1">
      <c r="D906" s="155"/>
      <c r="G906" s="155"/>
      <c r="K906" s="255"/>
      <c r="N906" s="255"/>
      <c r="T906" s="256"/>
      <c r="Z906" s="257"/>
    </row>
    <row r="907" ht="15.75" customHeight="1">
      <c r="D907" s="155"/>
      <c r="G907" s="155"/>
      <c r="K907" s="255"/>
      <c r="N907" s="255"/>
      <c r="T907" s="256"/>
      <c r="Z907" s="257"/>
    </row>
    <row r="908" ht="15.75" customHeight="1">
      <c r="D908" s="155"/>
      <c r="G908" s="155"/>
      <c r="K908" s="255"/>
      <c r="N908" s="255"/>
      <c r="T908" s="256"/>
      <c r="Z908" s="257"/>
    </row>
    <row r="909" ht="15.75" customHeight="1">
      <c r="D909" s="155"/>
      <c r="G909" s="155"/>
      <c r="K909" s="255"/>
      <c r="N909" s="255"/>
      <c r="T909" s="256"/>
      <c r="Z909" s="257"/>
    </row>
    <row r="910" ht="15.75" customHeight="1">
      <c r="D910" s="155"/>
      <c r="G910" s="155"/>
      <c r="K910" s="255"/>
      <c r="N910" s="255"/>
      <c r="T910" s="256"/>
      <c r="Z910" s="257"/>
    </row>
    <row r="911" ht="15.75" customHeight="1">
      <c r="D911" s="155"/>
      <c r="G911" s="155"/>
      <c r="K911" s="255"/>
      <c r="N911" s="255"/>
      <c r="T911" s="256"/>
      <c r="Z911" s="257"/>
    </row>
    <row r="912" ht="15.75" customHeight="1">
      <c r="D912" s="155"/>
      <c r="G912" s="155"/>
      <c r="K912" s="255"/>
      <c r="N912" s="255"/>
      <c r="T912" s="256"/>
      <c r="Z912" s="257"/>
    </row>
    <row r="913" ht="15.75" customHeight="1">
      <c r="D913" s="155"/>
      <c r="G913" s="155"/>
      <c r="K913" s="255"/>
      <c r="N913" s="255"/>
      <c r="T913" s="256"/>
      <c r="Z913" s="257"/>
    </row>
    <row r="914" ht="15.75" customHeight="1">
      <c r="D914" s="155"/>
      <c r="G914" s="155"/>
      <c r="K914" s="255"/>
      <c r="N914" s="255"/>
      <c r="T914" s="256"/>
      <c r="Z914" s="257"/>
    </row>
    <row r="915" ht="15.75" customHeight="1">
      <c r="D915" s="155"/>
      <c r="G915" s="155"/>
      <c r="K915" s="255"/>
      <c r="N915" s="255"/>
      <c r="T915" s="256"/>
      <c r="Z915" s="257"/>
    </row>
    <row r="916" ht="15.75" customHeight="1">
      <c r="D916" s="155"/>
      <c r="G916" s="155"/>
      <c r="K916" s="255"/>
      <c r="N916" s="255"/>
      <c r="T916" s="256"/>
      <c r="Z916" s="257"/>
    </row>
    <row r="917" ht="15.75" customHeight="1">
      <c r="D917" s="155"/>
      <c r="G917" s="155"/>
      <c r="K917" s="255"/>
      <c r="N917" s="255"/>
      <c r="T917" s="256"/>
      <c r="Z917" s="257"/>
    </row>
    <row r="918" ht="15.75" customHeight="1">
      <c r="D918" s="155"/>
      <c r="G918" s="155"/>
      <c r="K918" s="255"/>
      <c r="N918" s="255"/>
      <c r="T918" s="256"/>
      <c r="Z918" s="257"/>
    </row>
    <row r="919" ht="15.75" customHeight="1">
      <c r="D919" s="155"/>
      <c r="G919" s="155"/>
      <c r="K919" s="255"/>
      <c r="N919" s="255"/>
      <c r="T919" s="256"/>
      <c r="Z919" s="257"/>
    </row>
    <row r="920" ht="15.75" customHeight="1">
      <c r="D920" s="155"/>
      <c r="G920" s="155"/>
      <c r="K920" s="255"/>
      <c r="N920" s="255"/>
      <c r="T920" s="256"/>
      <c r="Z920" s="257"/>
    </row>
    <row r="921" ht="15.75" customHeight="1">
      <c r="D921" s="155"/>
      <c r="G921" s="155"/>
      <c r="K921" s="255"/>
      <c r="N921" s="255"/>
      <c r="T921" s="256"/>
      <c r="Z921" s="257"/>
    </row>
    <row r="922" ht="15.75" customHeight="1">
      <c r="D922" s="155"/>
      <c r="G922" s="155"/>
      <c r="K922" s="255"/>
      <c r="N922" s="255"/>
      <c r="T922" s="256"/>
      <c r="Z922" s="257"/>
    </row>
    <row r="923" ht="15.75" customHeight="1">
      <c r="D923" s="155"/>
      <c r="G923" s="155"/>
      <c r="K923" s="255"/>
      <c r="N923" s="255"/>
      <c r="T923" s="256"/>
      <c r="Z923" s="257"/>
    </row>
    <row r="924" ht="15.75" customHeight="1">
      <c r="D924" s="155"/>
      <c r="G924" s="155"/>
      <c r="K924" s="255"/>
      <c r="N924" s="255"/>
      <c r="T924" s="256"/>
      <c r="Z924" s="257"/>
    </row>
    <row r="925" ht="15.75" customHeight="1">
      <c r="D925" s="155"/>
      <c r="G925" s="155"/>
      <c r="K925" s="255"/>
      <c r="N925" s="255"/>
      <c r="T925" s="256"/>
      <c r="Z925" s="257"/>
    </row>
    <row r="926" ht="15.75" customHeight="1">
      <c r="D926" s="155"/>
      <c r="G926" s="155"/>
      <c r="K926" s="255"/>
      <c r="N926" s="255"/>
      <c r="T926" s="256"/>
      <c r="Z926" s="257"/>
    </row>
    <row r="927" ht="15.75" customHeight="1">
      <c r="D927" s="155"/>
      <c r="G927" s="155"/>
      <c r="K927" s="255"/>
      <c r="N927" s="255"/>
      <c r="T927" s="256"/>
      <c r="Z927" s="257"/>
    </row>
    <row r="928" ht="15.75" customHeight="1">
      <c r="D928" s="155"/>
      <c r="G928" s="155"/>
      <c r="K928" s="255"/>
      <c r="N928" s="255"/>
      <c r="T928" s="256"/>
      <c r="Z928" s="257"/>
    </row>
    <row r="929" ht="15.75" customHeight="1">
      <c r="D929" s="155"/>
      <c r="G929" s="155"/>
      <c r="K929" s="255"/>
      <c r="N929" s="255"/>
      <c r="T929" s="256"/>
      <c r="Z929" s="257"/>
    </row>
    <row r="930" ht="15.75" customHeight="1">
      <c r="D930" s="155"/>
      <c r="G930" s="155"/>
      <c r="K930" s="255"/>
      <c r="N930" s="255"/>
      <c r="T930" s="256"/>
      <c r="Z930" s="257"/>
    </row>
    <row r="931" ht="15.75" customHeight="1">
      <c r="D931" s="155"/>
      <c r="G931" s="155"/>
      <c r="K931" s="255"/>
      <c r="N931" s="255"/>
      <c r="T931" s="256"/>
      <c r="Z931" s="257"/>
    </row>
    <row r="932" ht="15.75" customHeight="1">
      <c r="D932" s="155"/>
      <c r="G932" s="155"/>
      <c r="K932" s="255"/>
      <c r="N932" s="255"/>
      <c r="T932" s="256"/>
      <c r="Z932" s="257"/>
    </row>
    <row r="933" ht="15.75" customHeight="1">
      <c r="D933" s="155"/>
      <c r="G933" s="155"/>
      <c r="K933" s="255"/>
      <c r="N933" s="255"/>
      <c r="T933" s="256"/>
      <c r="Z933" s="257"/>
    </row>
    <row r="934" ht="15.75" customHeight="1">
      <c r="D934" s="155"/>
      <c r="G934" s="155"/>
      <c r="K934" s="255"/>
      <c r="N934" s="255"/>
      <c r="T934" s="256"/>
      <c r="Z934" s="257"/>
    </row>
    <row r="935" ht="15.75" customHeight="1">
      <c r="D935" s="155"/>
      <c r="G935" s="155"/>
      <c r="K935" s="255"/>
      <c r="N935" s="255"/>
      <c r="T935" s="256"/>
      <c r="Z935" s="257"/>
    </row>
    <row r="936" ht="15.75" customHeight="1">
      <c r="D936" s="155"/>
      <c r="G936" s="155"/>
      <c r="K936" s="255"/>
      <c r="N936" s="255"/>
      <c r="T936" s="256"/>
      <c r="Z936" s="257"/>
    </row>
    <row r="937" ht="15.75" customHeight="1">
      <c r="D937" s="155"/>
      <c r="G937" s="155"/>
      <c r="K937" s="255"/>
      <c r="N937" s="255"/>
      <c r="T937" s="256"/>
      <c r="Z937" s="257"/>
    </row>
    <row r="938" ht="15.75" customHeight="1">
      <c r="D938" s="155"/>
      <c r="G938" s="155"/>
      <c r="K938" s="255"/>
      <c r="N938" s="255"/>
      <c r="T938" s="256"/>
      <c r="Z938" s="257"/>
    </row>
    <row r="939" ht="15.75" customHeight="1">
      <c r="D939" s="155"/>
      <c r="G939" s="155"/>
      <c r="K939" s="255"/>
      <c r="N939" s="255"/>
      <c r="T939" s="256"/>
      <c r="Z939" s="257"/>
    </row>
    <row r="940" ht="15.75" customHeight="1">
      <c r="D940" s="155"/>
      <c r="G940" s="155"/>
      <c r="K940" s="255"/>
      <c r="N940" s="255"/>
      <c r="T940" s="256"/>
      <c r="Z940" s="257"/>
    </row>
    <row r="941" ht="15.75" customHeight="1">
      <c r="D941" s="155"/>
      <c r="G941" s="155"/>
      <c r="K941" s="255"/>
      <c r="N941" s="255"/>
      <c r="T941" s="256"/>
      <c r="Z941" s="257"/>
    </row>
    <row r="942" ht="15.75" customHeight="1">
      <c r="D942" s="155"/>
      <c r="G942" s="155"/>
      <c r="K942" s="255"/>
      <c r="N942" s="255"/>
      <c r="T942" s="256"/>
      <c r="Z942" s="257"/>
    </row>
    <row r="943" ht="15.75" customHeight="1">
      <c r="D943" s="155"/>
      <c r="G943" s="155"/>
      <c r="K943" s="255"/>
      <c r="N943" s="255"/>
      <c r="T943" s="256"/>
      <c r="Z943" s="257"/>
    </row>
    <row r="944" ht="15.75" customHeight="1">
      <c r="D944" s="155"/>
      <c r="G944" s="155"/>
      <c r="K944" s="255"/>
      <c r="N944" s="255"/>
      <c r="T944" s="256"/>
      <c r="Z944" s="257"/>
    </row>
    <row r="945" ht="15.75" customHeight="1">
      <c r="D945" s="155"/>
      <c r="G945" s="155"/>
      <c r="K945" s="255"/>
      <c r="N945" s="255"/>
      <c r="T945" s="256"/>
      <c r="Z945" s="257"/>
    </row>
    <row r="946" ht="15.75" customHeight="1">
      <c r="D946" s="155"/>
      <c r="G946" s="155"/>
      <c r="K946" s="255"/>
      <c r="N946" s="255"/>
      <c r="T946" s="256"/>
      <c r="Z946" s="257"/>
    </row>
    <row r="947" ht="15.75" customHeight="1">
      <c r="D947" s="155"/>
      <c r="G947" s="155"/>
      <c r="K947" s="255"/>
      <c r="N947" s="255"/>
      <c r="T947" s="256"/>
      <c r="Z947" s="257"/>
    </row>
    <row r="948" ht="15.75" customHeight="1">
      <c r="D948" s="155"/>
      <c r="G948" s="155"/>
      <c r="K948" s="255"/>
      <c r="N948" s="255"/>
      <c r="T948" s="256"/>
      <c r="Z948" s="257"/>
    </row>
    <row r="949" ht="15.75" customHeight="1">
      <c r="D949" s="155"/>
      <c r="G949" s="155"/>
      <c r="K949" s="255"/>
      <c r="N949" s="255"/>
      <c r="T949" s="256"/>
      <c r="Z949" s="257"/>
    </row>
    <row r="950" ht="15.75" customHeight="1">
      <c r="D950" s="155"/>
      <c r="G950" s="155"/>
      <c r="K950" s="255"/>
      <c r="N950" s="255"/>
      <c r="T950" s="256"/>
      <c r="Z950" s="257"/>
    </row>
    <row r="951" ht="15.75" customHeight="1">
      <c r="D951" s="155"/>
      <c r="G951" s="155"/>
      <c r="K951" s="255"/>
      <c r="N951" s="255"/>
      <c r="T951" s="256"/>
      <c r="Z951" s="257"/>
    </row>
    <row r="952" ht="15.75" customHeight="1">
      <c r="D952" s="155"/>
      <c r="G952" s="155"/>
      <c r="K952" s="255"/>
      <c r="N952" s="255"/>
      <c r="T952" s="256"/>
      <c r="Z952" s="257"/>
    </row>
    <row r="953" ht="15.75" customHeight="1">
      <c r="D953" s="155"/>
      <c r="G953" s="155"/>
      <c r="K953" s="255"/>
      <c r="N953" s="255"/>
      <c r="T953" s="256"/>
      <c r="Z953" s="257"/>
    </row>
    <row r="954" ht="15.75" customHeight="1">
      <c r="D954" s="155"/>
      <c r="G954" s="155"/>
      <c r="K954" s="255"/>
      <c r="N954" s="255"/>
      <c r="T954" s="256"/>
      <c r="Z954" s="257"/>
    </row>
    <row r="955" ht="15.75" customHeight="1">
      <c r="D955" s="155"/>
      <c r="G955" s="155"/>
      <c r="K955" s="255"/>
      <c r="N955" s="255"/>
      <c r="T955" s="256"/>
      <c r="Z955" s="257"/>
    </row>
    <row r="956" ht="15.75" customHeight="1">
      <c r="D956" s="155"/>
      <c r="G956" s="155"/>
      <c r="K956" s="255"/>
      <c r="N956" s="255"/>
      <c r="T956" s="256"/>
      <c r="Z956" s="257"/>
    </row>
    <row r="957" ht="15.75" customHeight="1">
      <c r="D957" s="155"/>
      <c r="G957" s="155"/>
      <c r="K957" s="255"/>
      <c r="N957" s="255"/>
      <c r="T957" s="256"/>
      <c r="Z957" s="257"/>
    </row>
    <row r="958" ht="15.75" customHeight="1">
      <c r="D958" s="155"/>
      <c r="G958" s="155"/>
      <c r="K958" s="255"/>
      <c r="N958" s="255"/>
      <c r="T958" s="256"/>
      <c r="Z958" s="257"/>
    </row>
    <row r="959" ht="15.75" customHeight="1">
      <c r="D959" s="155"/>
      <c r="G959" s="155"/>
      <c r="K959" s="255"/>
      <c r="N959" s="255"/>
      <c r="T959" s="256"/>
      <c r="Z959" s="257"/>
    </row>
    <row r="960" ht="15.75" customHeight="1">
      <c r="D960" s="155"/>
      <c r="G960" s="155"/>
      <c r="K960" s="255"/>
      <c r="N960" s="255"/>
      <c r="T960" s="256"/>
      <c r="Z960" s="257"/>
    </row>
    <row r="961" ht="15.75" customHeight="1">
      <c r="D961" s="155"/>
      <c r="G961" s="155"/>
      <c r="K961" s="255"/>
      <c r="N961" s="255"/>
      <c r="T961" s="256"/>
      <c r="Z961" s="257"/>
    </row>
    <row r="962" ht="15.75" customHeight="1">
      <c r="D962" s="155"/>
      <c r="G962" s="155"/>
      <c r="K962" s="255"/>
      <c r="N962" s="255"/>
      <c r="T962" s="256"/>
      <c r="Z962" s="257"/>
    </row>
    <row r="963" ht="15.75" customHeight="1">
      <c r="D963" s="155"/>
      <c r="G963" s="155"/>
      <c r="K963" s="255"/>
      <c r="N963" s="255"/>
      <c r="T963" s="256"/>
      <c r="Z963" s="257"/>
    </row>
    <row r="964" ht="15.75" customHeight="1">
      <c r="D964" s="155"/>
      <c r="G964" s="155"/>
      <c r="K964" s="255"/>
      <c r="N964" s="255"/>
      <c r="T964" s="256"/>
      <c r="Z964" s="257"/>
    </row>
    <row r="965" ht="15.75" customHeight="1">
      <c r="D965" s="155"/>
      <c r="G965" s="155"/>
      <c r="K965" s="255"/>
      <c r="N965" s="255"/>
      <c r="T965" s="256"/>
      <c r="Z965" s="257"/>
    </row>
    <row r="966" ht="15.75" customHeight="1">
      <c r="D966" s="155"/>
      <c r="G966" s="155"/>
      <c r="K966" s="255"/>
      <c r="N966" s="255"/>
      <c r="T966" s="256"/>
      <c r="Z966" s="257"/>
    </row>
    <row r="967" ht="15.75" customHeight="1">
      <c r="D967" s="155"/>
      <c r="G967" s="155"/>
      <c r="K967" s="255"/>
      <c r="N967" s="255"/>
      <c r="T967" s="256"/>
      <c r="Z967" s="257"/>
    </row>
    <row r="968" ht="15.75" customHeight="1">
      <c r="D968" s="155"/>
      <c r="G968" s="155"/>
      <c r="K968" s="255"/>
      <c r="N968" s="255"/>
      <c r="T968" s="256"/>
      <c r="Z968" s="257"/>
    </row>
    <row r="969" ht="15.75" customHeight="1">
      <c r="D969" s="155"/>
      <c r="G969" s="155"/>
      <c r="K969" s="255"/>
      <c r="N969" s="255"/>
      <c r="T969" s="256"/>
      <c r="Z969" s="257"/>
    </row>
    <row r="970" ht="15.75" customHeight="1">
      <c r="D970" s="155"/>
      <c r="G970" s="155"/>
      <c r="K970" s="255"/>
      <c r="N970" s="255"/>
      <c r="T970" s="256"/>
      <c r="Z970" s="257"/>
    </row>
    <row r="971" ht="15.75" customHeight="1">
      <c r="D971" s="155"/>
      <c r="G971" s="155"/>
      <c r="K971" s="255"/>
      <c r="N971" s="255"/>
      <c r="T971" s="256"/>
      <c r="Z971" s="257"/>
    </row>
    <row r="972" ht="15.75" customHeight="1">
      <c r="D972" s="155"/>
      <c r="G972" s="155"/>
      <c r="K972" s="255"/>
      <c r="N972" s="255"/>
      <c r="T972" s="256"/>
      <c r="Z972" s="257"/>
    </row>
    <row r="973" ht="15.75" customHeight="1">
      <c r="D973" s="155"/>
      <c r="G973" s="155"/>
      <c r="K973" s="255"/>
      <c r="N973" s="255"/>
      <c r="T973" s="256"/>
      <c r="Z973" s="257"/>
    </row>
    <row r="974" ht="15.75" customHeight="1">
      <c r="D974" s="155"/>
      <c r="G974" s="155"/>
      <c r="K974" s="255"/>
      <c r="N974" s="255"/>
      <c r="T974" s="256"/>
      <c r="Z974" s="257"/>
    </row>
    <row r="975" ht="15.75" customHeight="1">
      <c r="D975" s="155"/>
      <c r="G975" s="155"/>
      <c r="K975" s="255"/>
      <c r="N975" s="255"/>
      <c r="T975" s="256"/>
      <c r="Z975" s="257"/>
    </row>
    <row r="976" ht="15.75" customHeight="1">
      <c r="D976" s="155"/>
      <c r="G976" s="155"/>
      <c r="K976" s="255"/>
      <c r="N976" s="255"/>
      <c r="T976" s="256"/>
      <c r="Z976" s="257"/>
    </row>
    <row r="977" ht="15.75" customHeight="1">
      <c r="D977" s="155"/>
      <c r="G977" s="155"/>
      <c r="K977" s="255"/>
      <c r="N977" s="255"/>
      <c r="T977" s="256"/>
      <c r="Z977" s="257"/>
    </row>
    <row r="978" ht="15.75" customHeight="1">
      <c r="D978" s="155"/>
      <c r="G978" s="155"/>
      <c r="K978" s="255"/>
      <c r="N978" s="255"/>
      <c r="T978" s="256"/>
      <c r="Z978" s="257"/>
    </row>
    <row r="979" ht="15.75" customHeight="1">
      <c r="D979" s="155"/>
      <c r="G979" s="155"/>
      <c r="K979" s="255"/>
      <c r="N979" s="255"/>
      <c r="T979" s="256"/>
      <c r="Z979" s="257"/>
    </row>
    <row r="980" ht="15.75" customHeight="1">
      <c r="D980" s="155"/>
      <c r="G980" s="155"/>
      <c r="K980" s="255"/>
      <c r="N980" s="255"/>
      <c r="T980" s="256"/>
      <c r="Z980" s="257"/>
    </row>
    <row r="981" ht="15.75" customHeight="1">
      <c r="D981" s="155"/>
      <c r="G981" s="155"/>
      <c r="K981" s="255"/>
      <c r="N981" s="255"/>
      <c r="T981" s="256"/>
      <c r="Z981" s="257"/>
    </row>
    <row r="982" ht="15.75" customHeight="1">
      <c r="D982" s="155"/>
      <c r="G982" s="155"/>
      <c r="K982" s="255"/>
      <c r="N982" s="255"/>
      <c r="T982" s="256"/>
      <c r="Z982" s="257"/>
    </row>
    <row r="983" ht="15.75" customHeight="1">
      <c r="D983" s="155"/>
      <c r="G983" s="155"/>
      <c r="K983" s="255"/>
      <c r="N983" s="255"/>
      <c r="T983" s="256"/>
      <c r="Z983" s="257"/>
    </row>
    <row r="984" ht="15.75" customHeight="1">
      <c r="D984" s="155"/>
      <c r="G984" s="155"/>
      <c r="K984" s="255"/>
      <c r="N984" s="255"/>
      <c r="T984" s="256"/>
      <c r="Z984" s="257"/>
    </row>
    <row r="985" ht="15.75" customHeight="1">
      <c r="D985" s="155"/>
      <c r="G985" s="155"/>
      <c r="K985" s="255"/>
      <c r="N985" s="255"/>
      <c r="T985" s="256"/>
      <c r="Z985" s="257"/>
    </row>
    <row r="986" ht="15.75" customHeight="1">
      <c r="D986" s="155"/>
      <c r="G986" s="155"/>
      <c r="K986" s="255"/>
      <c r="N986" s="255"/>
      <c r="T986" s="256"/>
      <c r="Z986" s="257"/>
    </row>
    <row r="987" ht="15.75" customHeight="1">
      <c r="D987" s="155"/>
      <c r="G987" s="155"/>
      <c r="K987" s="255"/>
      <c r="N987" s="255"/>
      <c r="T987" s="256"/>
      <c r="Z987" s="257"/>
    </row>
    <row r="988" ht="15.75" customHeight="1">
      <c r="D988" s="155"/>
      <c r="G988" s="155"/>
      <c r="K988" s="255"/>
      <c r="N988" s="255"/>
      <c r="T988" s="256"/>
      <c r="Z988" s="257"/>
    </row>
    <row r="989" ht="15.75" customHeight="1">
      <c r="D989" s="155"/>
      <c r="G989" s="155"/>
      <c r="K989" s="255"/>
      <c r="N989" s="255"/>
      <c r="T989" s="256"/>
      <c r="Z989" s="257"/>
    </row>
    <row r="990" ht="15.75" customHeight="1">
      <c r="D990" s="155"/>
      <c r="G990" s="155"/>
      <c r="K990" s="255"/>
      <c r="N990" s="255"/>
      <c r="T990" s="256"/>
      <c r="Z990" s="257"/>
    </row>
    <row r="991" ht="15.75" customHeight="1">
      <c r="D991" s="155"/>
      <c r="G991" s="155"/>
      <c r="K991" s="255"/>
      <c r="N991" s="255"/>
      <c r="T991" s="256"/>
      <c r="Z991" s="257"/>
    </row>
    <row r="992" ht="15.75" customHeight="1">
      <c r="D992" s="155"/>
      <c r="G992" s="155"/>
      <c r="K992" s="255"/>
      <c r="N992" s="255"/>
      <c r="T992" s="256"/>
      <c r="Z992" s="257"/>
    </row>
    <row r="993" ht="15.75" customHeight="1">
      <c r="D993" s="155"/>
      <c r="G993" s="155"/>
      <c r="K993" s="255"/>
      <c r="N993" s="255"/>
      <c r="T993" s="256"/>
      <c r="Z993" s="257"/>
    </row>
    <row r="994" ht="15.75" customHeight="1">
      <c r="D994" s="155"/>
      <c r="G994" s="155"/>
      <c r="K994" s="255"/>
      <c r="N994" s="255"/>
      <c r="T994" s="256"/>
      <c r="Z994" s="257"/>
    </row>
    <row r="995" ht="15.75" customHeight="1">
      <c r="D995" s="155"/>
      <c r="G995" s="155"/>
      <c r="K995" s="255"/>
      <c r="N995" s="255"/>
      <c r="T995" s="256"/>
      <c r="Z995" s="257"/>
    </row>
    <row r="996" ht="15.75" customHeight="1">
      <c r="D996" s="155"/>
      <c r="G996" s="155"/>
      <c r="K996" s="255"/>
      <c r="N996" s="255"/>
      <c r="T996" s="256"/>
      <c r="Z996" s="257"/>
    </row>
    <row r="997" ht="15.75" customHeight="1">
      <c r="D997" s="155"/>
      <c r="G997" s="155"/>
      <c r="K997" s="255"/>
      <c r="N997" s="255"/>
      <c r="T997" s="256"/>
      <c r="Z997" s="257"/>
    </row>
    <row r="998" ht="15.75" customHeight="1">
      <c r="D998" s="155"/>
      <c r="G998" s="155"/>
      <c r="K998" s="255"/>
      <c r="N998" s="255"/>
      <c r="T998" s="256"/>
      <c r="Z998" s="257"/>
    </row>
    <row r="999" ht="15.75" customHeight="1">
      <c r="D999" s="155"/>
      <c r="G999" s="155"/>
      <c r="K999" s="255"/>
      <c r="N999" s="255"/>
      <c r="T999" s="256"/>
      <c r="Z999" s="257"/>
    </row>
    <row r="1000" ht="15.75" customHeight="1">
      <c r="D1000" s="155"/>
      <c r="G1000" s="155"/>
      <c r="K1000" s="255"/>
      <c r="N1000" s="255"/>
      <c r="T1000" s="256"/>
      <c r="Z1000" s="257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79" t="s">
        <v>138</v>
      </c>
      <c r="B1" s="379" t="s">
        <v>139</v>
      </c>
      <c r="C1" s="379" t="s">
        <v>140</v>
      </c>
      <c r="D1" s="380" t="s">
        <v>10</v>
      </c>
      <c r="E1" s="379" t="s">
        <v>17</v>
      </c>
      <c r="F1" s="381" t="s">
        <v>148</v>
      </c>
      <c r="G1" s="379" t="s">
        <v>33</v>
      </c>
      <c r="H1" s="379" t="s">
        <v>41</v>
      </c>
      <c r="I1" s="382" t="s">
        <v>127</v>
      </c>
      <c r="J1" s="379" t="s">
        <v>66</v>
      </c>
      <c r="K1" s="379" t="s">
        <v>141</v>
      </c>
      <c r="L1" s="379" t="s">
        <v>59</v>
      </c>
      <c r="M1" s="379" t="s">
        <v>67</v>
      </c>
      <c r="N1" s="382" t="s">
        <v>74</v>
      </c>
      <c r="O1" s="382" t="s">
        <v>76</v>
      </c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</row>
    <row r="2">
      <c r="A2" s="24" t="s">
        <v>147</v>
      </c>
      <c r="B2" s="384">
        <f>'Period Store Scorecards '!AJ3</f>
        <v>3.439</v>
      </c>
      <c r="C2" s="385" t="str">
        <f t="shared" ref="C2:C7" si="1">IFS(B2&lt;1.7,"Non", B2&lt;2.7,"Low", B2&lt;3.7,"Contributor", B2&lt;4.7,"High", TRUE,"STAR")</f>
        <v>Contributor</v>
      </c>
      <c r="D2" s="386">
        <f>'Period Store Scorecards '!B3</f>
        <v>0.0005532557023</v>
      </c>
      <c r="E2" s="386">
        <f>'Period Store Scorecards '!E3</f>
        <v>0.0007062562533</v>
      </c>
      <c r="F2" s="387" t="str">
        <f>'Period Store Scorecards '!H3</f>
        <v>#DIV/0!</v>
      </c>
      <c r="G2" s="388">
        <f>'Period Store Scorecards '!K3</f>
        <v>-30.8</v>
      </c>
      <c r="H2" s="388">
        <f>'Period Store Scorecards '!N3</f>
        <v>-26.4</v>
      </c>
      <c r="I2" s="389">
        <f>'Period Store Scorecards '!Q3</f>
        <v>5</v>
      </c>
      <c r="J2" s="390">
        <f>'Period Store Scorecards '!Z3</f>
        <v>4</v>
      </c>
      <c r="K2" s="391">
        <f>'Period Store Scorecards '!T3</f>
        <v>0.0405</v>
      </c>
      <c r="L2" s="392">
        <f>'Period Store Scorecards '!W3</f>
        <v>0.57</v>
      </c>
      <c r="M2" s="393">
        <f>'Period Store Scorecards '!AC3</f>
        <v>92</v>
      </c>
      <c r="N2" s="393">
        <f>'Period Store Scorecards '!AF3</f>
        <v>90</v>
      </c>
      <c r="O2" s="394">
        <f>'Period Store Scorecards '!AI3</f>
        <v>0.85</v>
      </c>
    </row>
    <row r="3">
      <c r="A3" s="13" t="s">
        <v>131</v>
      </c>
      <c r="B3" s="384">
        <f>'Period Store Scorecards '!AJ4</f>
        <v>3.61</v>
      </c>
      <c r="C3" s="385" t="str">
        <f t="shared" si="1"/>
        <v>Contributor</v>
      </c>
      <c r="D3" s="386">
        <f>'Period Store Scorecards '!B4</f>
        <v>0.9467067078</v>
      </c>
      <c r="E3" s="386">
        <f>'Period Store Scorecards '!E4</f>
        <v>1.096515182</v>
      </c>
      <c r="F3" s="387" t="str">
        <f>'Period Store Scorecards '!H4</f>
        <v>#DIV/0!</v>
      </c>
      <c r="G3" s="388">
        <f>'Period Store Scorecards '!K4</f>
        <v>-2.7</v>
      </c>
      <c r="H3" s="388">
        <f>'Period Store Scorecards '!N4</f>
        <v>-3.4</v>
      </c>
      <c r="I3" s="389">
        <f>'Period Store Scorecards '!Q4</f>
        <v>4.67</v>
      </c>
      <c r="J3" s="390">
        <f>'Period Store Scorecards '!Z4</f>
        <v>4.4</v>
      </c>
      <c r="K3" s="391">
        <f>'Period Store Scorecards '!T4</f>
        <v>0.0315</v>
      </c>
      <c r="L3" s="392">
        <f>'Period Store Scorecards '!W4</f>
        <v>1.48</v>
      </c>
      <c r="M3" s="393">
        <f>'Period Store Scorecards '!AC4</f>
        <v>88</v>
      </c>
      <c r="N3" s="393">
        <f>'Period Store Scorecards '!AF4</f>
        <v>86</v>
      </c>
      <c r="O3" s="394">
        <f>'Period Store Scorecards '!AI4</f>
        <v>0.87</v>
      </c>
    </row>
    <row r="4">
      <c r="A4" s="13" t="s">
        <v>132</v>
      </c>
      <c r="B4" s="384">
        <f>'Period Store Scorecards '!AJ5</f>
        <v>2.373</v>
      </c>
      <c r="C4" s="385" t="str">
        <f t="shared" si="1"/>
        <v>Low</v>
      </c>
      <c r="D4" s="386">
        <f>'Period Store Scorecards '!B5</f>
        <v>1.019066238</v>
      </c>
      <c r="E4" s="386">
        <f>'Period Store Scorecards '!E5</f>
        <v>1.376106051</v>
      </c>
      <c r="F4" s="387" t="str">
        <f>'Period Store Scorecards '!H5</f>
        <v>#DIV/0!</v>
      </c>
      <c r="G4" s="388">
        <f>'Period Store Scorecards '!K5</f>
        <v>2.4</v>
      </c>
      <c r="H4" s="388">
        <f>'Period Store Scorecards '!N5</f>
        <v>1.1</v>
      </c>
      <c r="I4" s="389">
        <f>'Period Store Scorecards '!Q5</f>
        <v>3</v>
      </c>
      <c r="J4" s="390">
        <f>'Period Store Scorecards '!Z5</f>
        <v>4.5</v>
      </c>
      <c r="K4" s="391">
        <f>'Period Store Scorecards '!T5</f>
        <v>0.0264</v>
      </c>
      <c r="L4" s="392">
        <f>'Period Store Scorecards '!W5</f>
        <v>0.59</v>
      </c>
      <c r="M4" s="393">
        <f>'Period Store Scorecards '!AC5</f>
        <v>91</v>
      </c>
      <c r="N4" s="393">
        <f>'Period Store Scorecards '!AF5</f>
        <v>93</v>
      </c>
      <c r="O4" s="394">
        <f>'Period Store Scorecards '!AI5</f>
        <v>0.93</v>
      </c>
    </row>
    <row r="5">
      <c r="A5" s="13" t="s">
        <v>133</v>
      </c>
      <c r="B5" s="384">
        <f>'Period Store Scorecards '!AJ6</f>
        <v>3.0625</v>
      </c>
      <c r="C5" s="385" t="str">
        <f t="shared" si="1"/>
        <v>Contributor</v>
      </c>
      <c r="D5" s="386">
        <f>'Period Store Scorecards '!B6</f>
        <v>1.217244909</v>
      </c>
      <c r="E5" s="386">
        <f>'Period Store Scorecards '!E6</f>
        <v>1.428578772</v>
      </c>
      <c r="F5" s="387" t="str">
        <f>'Period Store Scorecards '!H6</f>
        <v>#DIV/0!</v>
      </c>
      <c r="G5" s="388">
        <f>'Period Store Scorecards '!K6</f>
        <v>-4.1</v>
      </c>
      <c r="H5" s="388">
        <f>'Period Store Scorecards '!N6</f>
        <v>0.2</v>
      </c>
      <c r="I5" s="389">
        <f>'Period Store Scorecards '!Q6</f>
        <v>4.33</v>
      </c>
      <c r="J5" s="390">
        <f>'Period Store Scorecards '!Z6</f>
        <v>4.3</v>
      </c>
      <c r="K5" s="391">
        <f>'Period Store Scorecards '!T6</f>
        <v>0.0315</v>
      </c>
      <c r="L5" s="392">
        <f>'Period Store Scorecards '!W6</f>
        <v>1.14</v>
      </c>
      <c r="M5" s="393">
        <f>'Period Store Scorecards '!AC6</f>
        <v>78</v>
      </c>
      <c r="N5" s="393">
        <f>'Period Store Scorecards '!AF6</f>
        <v>75</v>
      </c>
      <c r="O5" s="394">
        <f>'Period Store Scorecards '!AI6</f>
        <v>0.8</v>
      </c>
    </row>
    <row r="6">
      <c r="A6" s="24" t="s">
        <v>134</v>
      </c>
      <c r="B6" s="384">
        <f>'Period Store Scorecards '!AJ7</f>
        <v>2.364</v>
      </c>
      <c r="C6" s="385" t="str">
        <f t="shared" si="1"/>
        <v>Low</v>
      </c>
      <c r="D6" s="386">
        <f>'Period Store Scorecards '!B7</f>
        <v>0.8707731308</v>
      </c>
      <c r="E6" s="386">
        <f>'Period Store Scorecards '!E7</f>
        <v>1.089097662</v>
      </c>
      <c r="F6" s="387" t="str">
        <f>'Period Store Scorecards '!H7</f>
        <v>#DIV/0!</v>
      </c>
      <c r="G6" s="388">
        <f>'Period Store Scorecards '!K7</f>
        <v>-0.7</v>
      </c>
      <c r="H6" s="388">
        <f>'Period Store Scorecards '!N7</f>
        <v>3.3</v>
      </c>
      <c r="I6" s="389">
        <f>'Period Store Scorecards '!Q7</f>
        <v>4.47</v>
      </c>
      <c r="J6" s="390">
        <f>'Period Store Scorecards '!Z7</f>
        <v>4.3</v>
      </c>
      <c r="K6" s="391">
        <f>'Period Store Scorecards '!T7</f>
        <v>0.045</v>
      </c>
      <c r="L6" s="392">
        <f>'Period Store Scorecards '!W7</f>
        <v>2.03</v>
      </c>
      <c r="M6" s="393">
        <f>'Period Store Scorecards '!AC7</f>
        <v>77</v>
      </c>
      <c r="N6" s="393">
        <f>'Period Store Scorecards '!AF7</f>
        <v>74</v>
      </c>
      <c r="O6" s="394">
        <f>'Period Store Scorecards '!AI7</f>
        <v>0.78</v>
      </c>
    </row>
    <row r="7">
      <c r="A7" s="395" t="s">
        <v>135</v>
      </c>
      <c r="B7" s="396">
        <f>'Period Store Scorecards '!AJ8</f>
        <v>2.9465</v>
      </c>
      <c r="C7" s="397" t="str">
        <f t="shared" si="1"/>
        <v>Contributor</v>
      </c>
      <c r="D7" s="398">
        <f>'Period Store Scorecards '!B8</f>
        <v>0.8524253197</v>
      </c>
      <c r="E7" s="398">
        <f>'Period Store Scorecards '!E8</f>
        <v>1.064243935</v>
      </c>
      <c r="F7" s="399" t="str">
        <f>'Period Store Scorecards '!H8</f>
        <v>#DIV/0!</v>
      </c>
      <c r="G7" s="400">
        <f>'Period Store Scorecards '!K8</f>
        <v>-1.9</v>
      </c>
      <c r="H7" s="400">
        <f>'Period Store Scorecards '!N8</f>
        <v>-0.1</v>
      </c>
      <c r="I7" s="401">
        <f>'Period Store Scorecards '!Q8</f>
        <v>4.294</v>
      </c>
      <c r="J7" s="402">
        <f>'Period Store Scorecards '!Z8</f>
        <v>4.3</v>
      </c>
      <c r="K7" s="403">
        <f>'Period Store Scorecards '!T8</f>
        <v>0.03498</v>
      </c>
      <c r="L7" s="404">
        <f>'Period Store Scorecards '!W8</f>
        <v>1.19</v>
      </c>
      <c r="M7" s="405">
        <f>'Period Store Scorecards '!AC8</f>
        <v>85.2</v>
      </c>
      <c r="N7" s="405">
        <f>'Period Store Scorecards '!AF8</f>
        <v>83.6</v>
      </c>
      <c r="O7" s="406">
        <f>'Period Store Scorecards '!AI8</f>
        <v>0.846</v>
      </c>
    </row>
    <row r="8">
      <c r="A8" s="3"/>
      <c r="B8" s="177"/>
      <c r="C8" s="177"/>
      <c r="D8" s="391"/>
      <c r="E8" s="177"/>
      <c r="F8" s="177"/>
      <c r="G8" s="177"/>
      <c r="H8" s="177"/>
    </row>
    <row r="9">
      <c r="A9" s="179"/>
      <c r="B9" s="180"/>
      <c r="C9" s="177"/>
      <c r="D9" s="391"/>
      <c r="E9" s="177"/>
      <c r="F9" s="177"/>
      <c r="G9" s="177"/>
      <c r="H9" s="177"/>
    </row>
    <row r="10">
      <c r="A10" s="181"/>
      <c r="B10" s="407"/>
      <c r="C10" s="185"/>
      <c r="D10" s="408"/>
      <c r="E10" s="185"/>
      <c r="F10" s="185"/>
      <c r="G10" s="185"/>
      <c r="H10" s="185"/>
    </row>
    <row r="11">
      <c r="D11" s="258"/>
      <c r="F11" s="190"/>
      <c r="N11" s="260"/>
      <c r="O11" s="260"/>
    </row>
    <row r="12">
      <c r="B12" s="185"/>
      <c r="C12" s="185"/>
      <c r="D12" s="408"/>
      <c r="E12" s="185"/>
      <c r="F12" s="185"/>
      <c r="G12" s="185"/>
      <c r="H12" s="185"/>
    </row>
    <row r="13">
      <c r="B13" s="185"/>
      <c r="C13" s="185"/>
      <c r="D13" s="408"/>
      <c r="E13" s="185"/>
      <c r="F13" s="185"/>
      <c r="G13" s="185"/>
      <c r="H13" s="185"/>
    </row>
    <row r="14">
      <c r="B14" s="185"/>
      <c r="C14" s="185"/>
      <c r="D14" s="408"/>
      <c r="E14" s="185"/>
      <c r="F14" s="185"/>
      <c r="G14" s="185"/>
      <c r="H14" s="185"/>
    </row>
    <row r="15">
      <c r="B15" s="185"/>
      <c r="C15" s="185"/>
      <c r="D15" s="408"/>
      <c r="E15" s="185"/>
      <c r="F15" s="185"/>
      <c r="G15" s="185"/>
      <c r="H15" s="185"/>
    </row>
    <row r="16">
      <c r="B16" s="185"/>
      <c r="C16" s="185"/>
      <c r="D16" s="408"/>
      <c r="E16" s="185"/>
      <c r="F16" s="185"/>
      <c r="G16" s="185"/>
      <c r="H16" s="185"/>
    </row>
    <row r="17">
      <c r="D17" s="258"/>
    </row>
    <row r="18">
      <c r="D18" s="258"/>
    </row>
    <row r="19">
      <c r="D19" s="258"/>
    </row>
    <row r="20">
      <c r="D20" s="258"/>
    </row>
    <row r="21" ht="15.75" customHeight="1">
      <c r="D21" s="258"/>
    </row>
    <row r="22" ht="15.75" customHeight="1">
      <c r="D22" s="258"/>
    </row>
    <row r="23" ht="15.75" customHeight="1">
      <c r="D23" s="258"/>
    </row>
    <row r="24" ht="15.75" customHeight="1">
      <c r="D24" s="258"/>
    </row>
    <row r="25" ht="15.75" customHeight="1">
      <c r="D25" s="258"/>
    </row>
    <row r="26" ht="15.75" customHeight="1">
      <c r="D26" s="258"/>
    </row>
    <row r="27" ht="15.75" customHeight="1">
      <c r="D27" s="258"/>
    </row>
    <row r="28" ht="15.75" customHeight="1">
      <c r="D28" s="258"/>
    </row>
    <row r="29" ht="15.75" customHeight="1">
      <c r="D29" s="258"/>
    </row>
    <row r="30" ht="15.75" customHeight="1">
      <c r="D30" s="258"/>
    </row>
    <row r="31" ht="15.75" customHeight="1">
      <c r="D31" s="258"/>
    </row>
    <row r="32" ht="15.75" customHeight="1">
      <c r="D32" s="258"/>
    </row>
    <row r="33" ht="15.75" customHeight="1">
      <c r="D33" s="258"/>
    </row>
    <row r="34" ht="15.75" customHeight="1">
      <c r="D34" s="258"/>
    </row>
    <row r="35" ht="15.75" customHeight="1">
      <c r="D35" s="258"/>
    </row>
    <row r="36" ht="15.75" customHeight="1">
      <c r="D36" s="258"/>
    </row>
    <row r="37" ht="15.75" customHeight="1">
      <c r="D37" s="258"/>
    </row>
    <row r="38" ht="15.75" customHeight="1">
      <c r="D38" s="258"/>
    </row>
    <row r="39" ht="15.75" customHeight="1">
      <c r="D39" s="258"/>
    </row>
    <row r="40" ht="15.75" customHeight="1">
      <c r="D40" s="258"/>
    </row>
    <row r="41" ht="15.75" customHeight="1">
      <c r="D41" s="258"/>
    </row>
    <row r="42" ht="15.75" customHeight="1">
      <c r="D42" s="258"/>
    </row>
    <row r="43" ht="15.75" customHeight="1">
      <c r="D43" s="258"/>
    </row>
    <row r="44" ht="15.75" customHeight="1">
      <c r="D44" s="258"/>
    </row>
    <row r="45" ht="15.75" customHeight="1">
      <c r="D45" s="258"/>
    </row>
    <row r="46" ht="15.75" customHeight="1">
      <c r="D46" s="258"/>
    </row>
    <row r="47" ht="15.75" customHeight="1">
      <c r="D47" s="258"/>
    </row>
    <row r="48" ht="15.75" customHeight="1">
      <c r="D48" s="258"/>
    </row>
    <row r="49" ht="15.75" customHeight="1">
      <c r="D49" s="258"/>
    </row>
    <row r="50" ht="15.75" customHeight="1">
      <c r="D50" s="258"/>
    </row>
    <row r="51" ht="15.75" customHeight="1">
      <c r="D51" s="258"/>
    </row>
    <row r="52" ht="15.75" customHeight="1">
      <c r="D52" s="258"/>
    </row>
    <row r="53" ht="15.75" customHeight="1">
      <c r="D53" s="258"/>
    </row>
    <row r="54" ht="15.75" customHeight="1">
      <c r="D54" s="258"/>
    </row>
    <row r="55" ht="15.75" customHeight="1">
      <c r="D55" s="258"/>
    </row>
    <row r="56" ht="15.75" customHeight="1">
      <c r="D56" s="258"/>
    </row>
    <row r="57" ht="15.75" customHeight="1">
      <c r="D57" s="258"/>
    </row>
    <row r="58" ht="15.75" customHeight="1">
      <c r="D58" s="258"/>
    </row>
    <row r="59" ht="15.75" customHeight="1">
      <c r="D59" s="258"/>
    </row>
    <row r="60" ht="15.75" customHeight="1">
      <c r="D60" s="258"/>
    </row>
    <row r="61" ht="15.75" customHeight="1">
      <c r="D61" s="258"/>
    </row>
    <row r="62" ht="15.75" customHeight="1">
      <c r="D62" s="258"/>
    </row>
    <row r="63" ht="15.75" customHeight="1">
      <c r="D63" s="258"/>
    </row>
    <row r="64" ht="15.75" customHeight="1">
      <c r="D64" s="258"/>
    </row>
    <row r="65" ht="15.75" customHeight="1">
      <c r="D65" s="258"/>
    </row>
    <row r="66" ht="15.75" customHeight="1">
      <c r="D66" s="258"/>
    </row>
    <row r="67" ht="15.75" customHeight="1">
      <c r="D67" s="258"/>
    </row>
    <row r="68" ht="15.75" customHeight="1">
      <c r="D68" s="258"/>
    </row>
    <row r="69" ht="15.75" customHeight="1">
      <c r="D69" s="258"/>
    </row>
    <row r="70" ht="15.75" customHeight="1">
      <c r="D70" s="258"/>
    </row>
    <row r="71" ht="15.75" customHeight="1">
      <c r="D71" s="258"/>
    </row>
    <row r="72" ht="15.75" customHeight="1">
      <c r="D72" s="258"/>
    </row>
    <row r="73" ht="15.75" customHeight="1">
      <c r="D73" s="258"/>
    </row>
    <row r="74" ht="15.75" customHeight="1">
      <c r="D74" s="258"/>
    </row>
    <row r="75" ht="15.75" customHeight="1">
      <c r="D75" s="258"/>
    </row>
    <row r="76" ht="15.75" customHeight="1">
      <c r="D76" s="258"/>
    </row>
    <row r="77" ht="15.75" customHeight="1">
      <c r="D77" s="258"/>
    </row>
    <row r="78" ht="15.75" customHeight="1">
      <c r="D78" s="258"/>
    </row>
    <row r="79" ht="15.75" customHeight="1">
      <c r="D79" s="258"/>
    </row>
    <row r="80" ht="15.75" customHeight="1">
      <c r="D80" s="258"/>
    </row>
    <row r="81" ht="15.75" customHeight="1">
      <c r="D81" s="258"/>
    </row>
    <row r="82" ht="15.75" customHeight="1">
      <c r="D82" s="258"/>
    </row>
    <row r="83" ht="15.75" customHeight="1">
      <c r="D83" s="258"/>
    </row>
    <row r="84" ht="15.75" customHeight="1">
      <c r="D84" s="258"/>
    </row>
    <row r="85" ht="15.75" customHeight="1">
      <c r="D85" s="258"/>
    </row>
    <row r="86" ht="15.75" customHeight="1">
      <c r="D86" s="258"/>
    </row>
    <row r="87" ht="15.75" customHeight="1">
      <c r="D87" s="258"/>
    </row>
    <row r="88" ht="15.75" customHeight="1">
      <c r="D88" s="258"/>
    </row>
    <row r="89" ht="15.75" customHeight="1">
      <c r="D89" s="258"/>
    </row>
    <row r="90" ht="15.75" customHeight="1">
      <c r="D90" s="258"/>
    </row>
    <row r="91" ht="15.75" customHeight="1">
      <c r="D91" s="258"/>
    </row>
    <row r="92" ht="15.75" customHeight="1">
      <c r="D92" s="258"/>
    </row>
    <row r="93" ht="15.75" customHeight="1">
      <c r="D93" s="258"/>
    </row>
    <row r="94" ht="15.75" customHeight="1">
      <c r="D94" s="258"/>
    </row>
    <row r="95" ht="15.75" customHeight="1">
      <c r="D95" s="258"/>
    </row>
    <row r="96" ht="15.75" customHeight="1">
      <c r="D96" s="258"/>
    </row>
    <row r="97" ht="15.75" customHeight="1">
      <c r="D97" s="258"/>
    </row>
    <row r="98" ht="15.75" customHeight="1">
      <c r="D98" s="258"/>
    </row>
    <row r="99" ht="15.75" customHeight="1">
      <c r="D99" s="258"/>
    </row>
    <row r="100" ht="15.75" customHeight="1">
      <c r="D100" s="258"/>
    </row>
    <row r="101" ht="15.75" customHeight="1">
      <c r="D101" s="258"/>
    </row>
    <row r="102" ht="15.75" customHeight="1">
      <c r="D102" s="258"/>
    </row>
    <row r="103" ht="15.75" customHeight="1">
      <c r="D103" s="258"/>
    </row>
    <row r="104" ht="15.75" customHeight="1">
      <c r="D104" s="258"/>
    </row>
    <row r="105" ht="15.75" customHeight="1">
      <c r="D105" s="258"/>
    </row>
    <row r="106" ht="15.75" customHeight="1">
      <c r="D106" s="258"/>
    </row>
    <row r="107" ht="15.75" customHeight="1">
      <c r="D107" s="258"/>
    </row>
    <row r="108" ht="15.75" customHeight="1">
      <c r="D108" s="258"/>
    </row>
    <row r="109" ht="15.75" customHeight="1">
      <c r="D109" s="258"/>
    </row>
    <row r="110" ht="15.75" customHeight="1">
      <c r="D110" s="258"/>
    </row>
    <row r="111" ht="15.75" customHeight="1">
      <c r="D111" s="258"/>
    </row>
    <row r="112" ht="15.75" customHeight="1">
      <c r="D112" s="258"/>
    </row>
    <row r="113" ht="15.75" customHeight="1">
      <c r="D113" s="258"/>
    </row>
    <row r="114" ht="15.75" customHeight="1">
      <c r="D114" s="258"/>
    </row>
    <row r="115" ht="15.75" customHeight="1">
      <c r="D115" s="258"/>
    </row>
    <row r="116" ht="15.75" customHeight="1">
      <c r="D116" s="258"/>
    </row>
    <row r="117" ht="15.75" customHeight="1">
      <c r="D117" s="258"/>
    </row>
    <row r="118" ht="15.75" customHeight="1">
      <c r="D118" s="258"/>
    </row>
    <row r="119" ht="15.75" customHeight="1">
      <c r="D119" s="258"/>
    </row>
    <row r="120" ht="15.75" customHeight="1">
      <c r="D120" s="258"/>
    </row>
    <row r="121" ht="15.75" customHeight="1">
      <c r="D121" s="258"/>
    </row>
    <row r="122" ht="15.75" customHeight="1">
      <c r="D122" s="258"/>
    </row>
    <row r="123" ht="15.75" customHeight="1">
      <c r="D123" s="258"/>
    </row>
    <row r="124" ht="15.75" customHeight="1">
      <c r="D124" s="258"/>
    </row>
    <row r="125" ht="15.75" customHeight="1">
      <c r="D125" s="258"/>
    </row>
    <row r="126" ht="15.75" customHeight="1">
      <c r="D126" s="258"/>
    </row>
    <row r="127" ht="15.75" customHeight="1">
      <c r="D127" s="258"/>
    </row>
    <row r="128" ht="15.75" customHeight="1">
      <c r="D128" s="258"/>
    </row>
    <row r="129" ht="15.75" customHeight="1">
      <c r="D129" s="258"/>
    </row>
    <row r="130" ht="15.75" customHeight="1">
      <c r="D130" s="258"/>
    </row>
    <row r="131" ht="15.75" customHeight="1">
      <c r="D131" s="258"/>
    </row>
    <row r="132" ht="15.75" customHeight="1">
      <c r="D132" s="258"/>
    </row>
    <row r="133" ht="15.75" customHeight="1">
      <c r="D133" s="258"/>
    </row>
    <row r="134" ht="15.75" customHeight="1">
      <c r="D134" s="258"/>
    </row>
    <row r="135" ht="15.75" customHeight="1">
      <c r="D135" s="258"/>
    </row>
    <row r="136" ht="15.75" customHeight="1">
      <c r="D136" s="258"/>
    </row>
    <row r="137" ht="15.75" customHeight="1">
      <c r="D137" s="258"/>
    </row>
    <row r="138" ht="15.75" customHeight="1">
      <c r="D138" s="258"/>
    </row>
    <row r="139" ht="15.75" customHeight="1">
      <c r="D139" s="258"/>
    </row>
    <row r="140" ht="15.75" customHeight="1">
      <c r="D140" s="258"/>
    </row>
    <row r="141" ht="15.75" customHeight="1">
      <c r="D141" s="258"/>
    </row>
    <row r="142" ht="15.75" customHeight="1">
      <c r="D142" s="258"/>
    </row>
    <row r="143" ht="15.75" customHeight="1">
      <c r="D143" s="258"/>
    </row>
    <row r="144" ht="15.75" customHeight="1">
      <c r="D144" s="258"/>
    </row>
    <row r="145" ht="15.75" customHeight="1">
      <c r="D145" s="258"/>
    </row>
    <row r="146" ht="15.75" customHeight="1">
      <c r="D146" s="258"/>
    </row>
    <row r="147" ht="15.75" customHeight="1">
      <c r="D147" s="258"/>
    </row>
    <row r="148" ht="15.75" customHeight="1">
      <c r="D148" s="258"/>
    </row>
    <row r="149" ht="15.75" customHeight="1">
      <c r="D149" s="258"/>
    </row>
    <row r="150" ht="15.75" customHeight="1">
      <c r="D150" s="258"/>
    </row>
    <row r="151" ht="15.75" customHeight="1">
      <c r="D151" s="258"/>
    </row>
    <row r="152" ht="15.75" customHeight="1">
      <c r="D152" s="258"/>
    </row>
    <row r="153" ht="15.75" customHeight="1">
      <c r="D153" s="258"/>
    </row>
    <row r="154" ht="15.75" customHeight="1">
      <c r="D154" s="258"/>
    </row>
    <row r="155" ht="15.75" customHeight="1">
      <c r="D155" s="258"/>
    </row>
    <row r="156" ht="15.75" customHeight="1">
      <c r="D156" s="258"/>
    </row>
    <row r="157" ht="15.75" customHeight="1">
      <c r="D157" s="258"/>
    </row>
    <row r="158" ht="15.75" customHeight="1">
      <c r="D158" s="258"/>
    </row>
    <row r="159" ht="15.75" customHeight="1">
      <c r="D159" s="258"/>
    </row>
    <row r="160" ht="15.75" customHeight="1">
      <c r="D160" s="258"/>
    </row>
    <row r="161" ht="15.75" customHeight="1">
      <c r="D161" s="258"/>
    </row>
    <row r="162" ht="15.75" customHeight="1">
      <c r="D162" s="258"/>
    </row>
    <row r="163" ht="15.75" customHeight="1">
      <c r="D163" s="258"/>
    </row>
    <row r="164" ht="15.75" customHeight="1">
      <c r="D164" s="258"/>
    </row>
    <row r="165" ht="15.75" customHeight="1">
      <c r="D165" s="258"/>
    </row>
    <row r="166" ht="15.75" customHeight="1">
      <c r="D166" s="258"/>
    </row>
    <row r="167" ht="15.75" customHeight="1">
      <c r="D167" s="258"/>
    </row>
    <row r="168" ht="15.75" customHeight="1">
      <c r="D168" s="258"/>
    </row>
    <row r="169" ht="15.75" customHeight="1">
      <c r="D169" s="258"/>
    </row>
    <row r="170" ht="15.75" customHeight="1">
      <c r="D170" s="258"/>
    </row>
    <row r="171" ht="15.75" customHeight="1">
      <c r="D171" s="258"/>
    </row>
    <row r="172" ht="15.75" customHeight="1">
      <c r="D172" s="258"/>
    </row>
    <row r="173" ht="15.75" customHeight="1">
      <c r="D173" s="258"/>
    </row>
    <row r="174" ht="15.75" customHeight="1">
      <c r="D174" s="258"/>
    </row>
    <row r="175" ht="15.75" customHeight="1">
      <c r="D175" s="258"/>
    </row>
    <row r="176" ht="15.75" customHeight="1">
      <c r="D176" s="258"/>
    </row>
    <row r="177" ht="15.75" customHeight="1">
      <c r="D177" s="258"/>
    </row>
    <row r="178" ht="15.75" customHeight="1">
      <c r="D178" s="258"/>
    </row>
    <row r="179" ht="15.75" customHeight="1">
      <c r="D179" s="258"/>
    </row>
    <row r="180" ht="15.75" customHeight="1">
      <c r="D180" s="258"/>
    </row>
    <row r="181" ht="15.75" customHeight="1">
      <c r="D181" s="258"/>
    </row>
    <row r="182" ht="15.75" customHeight="1">
      <c r="D182" s="258"/>
    </row>
    <row r="183" ht="15.75" customHeight="1">
      <c r="D183" s="258"/>
    </row>
    <row r="184" ht="15.75" customHeight="1">
      <c r="D184" s="258"/>
    </row>
    <row r="185" ht="15.75" customHeight="1">
      <c r="D185" s="258"/>
    </row>
    <row r="186" ht="15.75" customHeight="1">
      <c r="D186" s="258"/>
    </row>
    <row r="187" ht="15.75" customHeight="1">
      <c r="D187" s="258"/>
    </row>
    <row r="188" ht="15.75" customHeight="1">
      <c r="D188" s="258"/>
    </row>
    <row r="189" ht="15.75" customHeight="1">
      <c r="D189" s="258"/>
    </row>
    <row r="190" ht="15.75" customHeight="1">
      <c r="D190" s="258"/>
    </row>
    <row r="191" ht="15.75" customHeight="1">
      <c r="D191" s="258"/>
    </row>
    <row r="192" ht="15.75" customHeight="1">
      <c r="D192" s="258"/>
    </row>
    <row r="193" ht="15.75" customHeight="1">
      <c r="D193" s="258"/>
    </row>
    <row r="194" ht="15.75" customHeight="1">
      <c r="D194" s="258"/>
    </row>
    <row r="195" ht="15.75" customHeight="1">
      <c r="D195" s="258"/>
    </row>
    <row r="196" ht="15.75" customHeight="1">
      <c r="D196" s="258"/>
    </row>
    <row r="197" ht="15.75" customHeight="1">
      <c r="D197" s="258"/>
    </row>
    <row r="198" ht="15.75" customHeight="1">
      <c r="D198" s="258"/>
    </row>
    <row r="199" ht="15.75" customHeight="1">
      <c r="D199" s="258"/>
    </row>
    <row r="200" ht="15.75" customHeight="1">
      <c r="D200" s="258"/>
    </row>
    <row r="201" ht="15.75" customHeight="1">
      <c r="D201" s="258"/>
    </row>
    <row r="202" ht="15.75" customHeight="1">
      <c r="D202" s="258"/>
    </row>
    <row r="203" ht="15.75" customHeight="1">
      <c r="D203" s="258"/>
    </row>
    <row r="204" ht="15.75" customHeight="1">
      <c r="D204" s="258"/>
    </row>
    <row r="205" ht="15.75" customHeight="1">
      <c r="D205" s="258"/>
    </row>
    <row r="206" ht="15.75" customHeight="1">
      <c r="D206" s="258"/>
    </row>
    <row r="207" ht="15.75" customHeight="1">
      <c r="D207" s="258"/>
    </row>
    <row r="208" ht="15.75" customHeight="1">
      <c r="D208" s="258"/>
    </row>
    <row r="209" ht="15.75" customHeight="1">
      <c r="D209" s="258"/>
    </row>
    <row r="210" ht="15.75" customHeight="1">
      <c r="D210" s="258"/>
    </row>
    <row r="211" ht="15.75" customHeight="1">
      <c r="D211" s="258"/>
    </row>
    <row r="212" ht="15.75" customHeight="1">
      <c r="D212" s="258"/>
    </row>
    <row r="213" ht="15.75" customHeight="1">
      <c r="D213" s="258"/>
    </row>
    <row r="214" ht="15.75" customHeight="1">
      <c r="D214" s="258"/>
    </row>
    <row r="215" ht="15.75" customHeight="1">
      <c r="D215" s="258"/>
    </row>
    <row r="216" ht="15.75" customHeight="1">
      <c r="D216" s="258"/>
    </row>
    <row r="217" ht="15.75" customHeight="1">
      <c r="D217" s="258"/>
    </row>
    <row r="218" ht="15.75" customHeight="1">
      <c r="D218" s="258"/>
    </row>
    <row r="219" ht="15.75" customHeight="1">
      <c r="D219" s="258"/>
    </row>
    <row r="220" ht="15.75" customHeight="1">
      <c r="D220" s="258"/>
    </row>
    <row r="221" ht="15.75" customHeight="1">
      <c r="D221" s="258"/>
    </row>
    <row r="222" ht="15.75" customHeight="1">
      <c r="D222" s="258"/>
    </row>
    <row r="223" ht="15.75" customHeight="1">
      <c r="D223" s="258"/>
    </row>
    <row r="224" ht="15.75" customHeight="1">
      <c r="D224" s="258"/>
    </row>
    <row r="225" ht="15.75" customHeight="1">
      <c r="D225" s="258"/>
    </row>
    <row r="226" ht="15.75" customHeight="1">
      <c r="D226" s="258"/>
    </row>
    <row r="227" ht="15.75" customHeight="1">
      <c r="D227" s="258"/>
    </row>
    <row r="228" ht="15.75" customHeight="1">
      <c r="D228" s="258"/>
    </row>
    <row r="229" ht="15.75" customHeight="1">
      <c r="D229" s="258"/>
    </row>
    <row r="230" ht="15.75" customHeight="1">
      <c r="D230" s="258"/>
    </row>
    <row r="231" ht="15.75" customHeight="1">
      <c r="D231" s="258"/>
    </row>
    <row r="232" ht="15.75" customHeight="1">
      <c r="D232" s="258"/>
    </row>
    <row r="233" ht="15.75" customHeight="1">
      <c r="D233" s="258"/>
    </row>
    <row r="234" ht="15.75" customHeight="1">
      <c r="D234" s="258"/>
    </row>
    <row r="235" ht="15.75" customHeight="1">
      <c r="D235" s="258"/>
    </row>
    <row r="236" ht="15.75" customHeight="1">
      <c r="D236" s="258"/>
    </row>
    <row r="237" ht="15.75" customHeight="1">
      <c r="D237" s="258"/>
    </row>
    <row r="238" ht="15.75" customHeight="1">
      <c r="D238" s="258"/>
    </row>
    <row r="239" ht="15.75" customHeight="1">
      <c r="D239" s="258"/>
    </row>
    <row r="240" ht="15.75" customHeight="1">
      <c r="D240" s="258"/>
    </row>
    <row r="241" ht="15.75" customHeight="1">
      <c r="D241" s="258"/>
    </row>
    <row r="242" ht="15.75" customHeight="1">
      <c r="D242" s="258"/>
    </row>
    <row r="243" ht="15.75" customHeight="1">
      <c r="D243" s="258"/>
    </row>
    <row r="244" ht="15.75" customHeight="1">
      <c r="D244" s="258"/>
    </row>
    <row r="245" ht="15.75" customHeight="1">
      <c r="D245" s="258"/>
    </row>
    <row r="246" ht="15.75" customHeight="1">
      <c r="D246" s="258"/>
    </row>
    <row r="247" ht="15.75" customHeight="1">
      <c r="D247" s="258"/>
    </row>
    <row r="248" ht="15.75" customHeight="1">
      <c r="D248" s="258"/>
    </row>
    <row r="249" ht="15.75" customHeight="1">
      <c r="D249" s="258"/>
    </row>
    <row r="250" ht="15.75" customHeight="1">
      <c r="D250" s="258"/>
    </row>
    <row r="251" ht="15.75" customHeight="1">
      <c r="D251" s="258"/>
    </row>
    <row r="252" ht="15.75" customHeight="1">
      <c r="D252" s="258"/>
    </row>
    <row r="253" ht="15.75" customHeight="1">
      <c r="D253" s="258"/>
    </row>
    <row r="254" ht="15.75" customHeight="1">
      <c r="D254" s="258"/>
    </row>
    <row r="255" ht="15.75" customHeight="1">
      <c r="D255" s="258"/>
    </row>
    <row r="256" ht="15.75" customHeight="1">
      <c r="D256" s="258"/>
    </row>
    <row r="257" ht="15.75" customHeight="1">
      <c r="D257" s="258"/>
    </row>
    <row r="258" ht="15.75" customHeight="1">
      <c r="D258" s="258"/>
    </row>
    <row r="259" ht="15.75" customHeight="1">
      <c r="D259" s="258"/>
    </row>
    <row r="260" ht="15.75" customHeight="1">
      <c r="D260" s="258"/>
    </row>
    <row r="261" ht="15.75" customHeight="1">
      <c r="D261" s="258"/>
    </row>
    <row r="262" ht="15.75" customHeight="1">
      <c r="D262" s="258"/>
    </row>
    <row r="263" ht="15.75" customHeight="1">
      <c r="D263" s="258"/>
    </row>
    <row r="264" ht="15.75" customHeight="1">
      <c r="D264" s="258"/>
    </row>
    <row r="265" ht="15.75" customHeight="1">
      <c r="D265" s="258"/>
    </row>
    <row r="266" ht="15.75" customHeight="1">
      <c r="D266" s="258"/>
    </row>
    <row r="267" ht="15.75" customHeight="1">
      <c r="D267" s="258"/>
    </row>
    <row r="268" ht="15.75" customHeight="1">
      <c r="D268" s="258"/>
    </row>
    <row r="269" ht="15.75" customHeight="1">
      <c r="D269" s="258"/>
    </row>
    <row r="270" ht="15.75" customHeight="1">
      <c r="D270" s="258"/>
    </row>
    <row r="271" ht="15.75" customHeight="1">
      <c r="D271" s="258"/>
    </row>
    <row r="272" ht="15.75" customHeight="1">
      <c r="D272" s="258"/>
    </row>
    <row r="273" ht="15.75" customHeight="1">
      <c r="D273" s="258"/>
    </row>
    <row r="274" ht="15.75" customHeight="1">
      <c r="D274" s="258"/>
    </row>
    <row r="275" ht="15.75" customHeight="1">
      <c r="D275" s="258"/>
    </row>
    <row r="276" ht="15.75" customHeight="1">
      <c r="D276" s="258"/>
    </row>
    <row r="277" ht="15.75" customHeight="1">
      <c r="D277" s="258"/>
    </row>
    <row r="278" ht="15.75" customHeight="1">
      <c r="D278" s="258"/>
    </row>
    <row r="279" ht="15.75" customHeight="1">
      <c r="D279" s="258"/>
    </row>
    <row r="280" ht="15.75" customHeight="1">
      <c r="D280" s="258"/>
    </row>
    <row r="281" ht="15.75" customHeight="1">
      <c r="D281" s="258"/>
    </row>
    <row r="282" ht="15.75" customHeight="1">
      <c r="D282" s="258"/>
    </row>
    <row r="283" ht="15.75" customHeight="1">
      <c r="D283" s="258"/>
    </row>
    <row r="284" ht="15.75" customHeight="1">
      <c r="D284" s="258"/>
    </row>
    <row r="285" ht="15.75" customHeight="1">
      <c r="D285" s="258"/>
    </row>
    <row r="286" ht="15.75" customHeight="1">
      <c r="D286" s="258"/>
    </row>
    <row r="287" ht="15.75" customHeight="1">
      <c r="D287" s="258"/>
    </row>
    <row r="288" ht="15.75" customHeight="1">
      <c r="D288" s="258"/>
    </row>
    <row r="289" ht="15.75" customHeight="1">
      <c r="D289" s="258"/>
    </row>
    <row r="290" ht="15.75" customHeight="1">
      <c r="D290" s="258"/>
    </row>
    <row r="291" ht="15.75" customHeight="1">
      <c r="D291" s="258"/>
    </row>
    <row r="292" ht="15.75" customHeight="1">
      <c r="D292" s="258"/>
    </row>
    <row r="293" ht="15.75" customHeight="1">
      <c r="D293" s="258"/>
    </row>
    <row r="294" ht="15.75" customHeight="1">
      <c r="D294" s="258"/>
    </row>
    <row r="295" ht="15.75" customHeight="1">
      <c r="D295" s="258"/>
    </row>
    <row r="296" ht="15.75" customHeight="1">
      <c r="D296" s="258"/>
    </row>
    <row r="297" ht="15.75" customHeight="1">
      <c r="D297" s="258"/>
    </row>
    <row r="298" ht="15.75" customHeight="1">
      <c r="D298" s="258"/>
    </row>
    <row r="299" ht="15.75" customHeight="1">
      <c r="D299" s="258"/>
    </row>
    <row r="300" ht="15.75" customHeight="1">
      <c r="D300" s="258"/>
    </row>
    <row r="301" ht="15.75" customHeight="1">
      <c r="D301" s="258"/>
    </row>
    <row r="302" ht="15.75" customHeight="1">
      <c r="D302" s="258"/>
    </row>
    <row r="303" ht="15.75" customHeight="1">
      <c r="D303" s="258"/>
    </row>
    <row r="304" ht="15.75" customHeight="1">
      <c r="D304" s="258"/>
    </row>
    <row r="305" ht="15.75" customHeight="1">
      <c r="D305" s="258"/>
    </row>
    <row r="306" ht="15.75" customHeight="1">
      <c r="D306" s="258"/>
    </row>
    <row r="307" ht="15.75" customHeight="1">
      <c r="D307" s="258"/>
    </row>
    <row r="308" ht="15.75" customHeight="1">
      <c r="D308" s="258"/>
    </row>
    <row r="309" ht="15.75" customHeight="1">
      <c r="D309" s="258"/>
    </row>
    <row r="310" ht="15.75" customHeight="1">
      <c r="D310" s="258"/>
    </row>
    <row r="311" ht="15.75" customHeight="1">
      <c r="D311" s="258"/>
    </row>
    <row r="312" ht="15.75" customHeight="1">
      <c r="D312" s="258"/>
    </row>
    <row r="313" ht="15.75" customHeight="1">
      <c r="D313" s="258"/>
    </row>
    <row r="314" ht="15.75" customHeight="1">
      <c r="D314" s="258"/>
    </row>
    <row r="315" ht="15.75" customHeight="1">
      <c r="D315" s="258"/>
    </row>
    <row r="316" ht="15.75" customHeight="1">
      <c r="D316" s="258"/>
    </row>
    <row r="317" ht="15.75" customHeight="1">
      <c r="D317" s="258"/>
    </row>
    <row r="318" ht="15.75" customHeight="1">
      <c r="D318" s="258"/>
    </row>
    <row r="319" ht="15.75" customHeight="1">
      <c r="D319" s="258"/>
    </row>
    <row r="320" ht="15.75" customHeight="1">
      <c r="D320" s="258"/>
    </row>
    <row r="321" ht="15.75" customHeight="1">
      <c r="D321" s="258"/>
    </row>
    <row r="322" ht="15.75" customHeight="1">
      <c r="D322" s="258"/>
    </row>
    <row r="323" ht="15.75" customHeight="1">
      <c r="D323" s="258"/>
    </row>
    <row r="324" ht="15.75" customHeight="1">
      <c r="D324" s="258"/>
    </row>
    <row r="325" ht="15.75" customHeight="1">
      <c r="D325" s="258"/>
    </row>
    <row r="326" ht="15.75" customHeight="1">
      <c r="D326" s="258"/>
    </row>
    <row r="327" ht="15.75" customHeight="1">
      <c r="D327" s="258"/>
    </row>
    <row r="328" ht="15.75" customHeight="1">
      <c r="D328" s="258"/>
    </row>
    <row r="329" ht="15.75" customHeight="1">
      <c r="D329" s="258"/>
    </row>
    <row r="330" ht="15.75" customHeight="1">
      <c r="D330" s="258"/>
    </row>
    <row r="331" ht="15.75" customHeight="1">
      <c r="D331" s="258"/>
    </row>
    <row r="332" ht="15.75" customHeight="1">
      <c r="D332" s="258"/>
    </row>
    <row r="333" ht="15.75" customHeight="1">
      <c r="D333" s="258"/>
    </row>
    <row r="334" ht="15.75" customHeight="1">
      <c r="D334" s="258"/>
    </row>
    <row r="335" ht="15.75" customHeight="1">
      <c r="D335" s="258"/>
    </row>
    <row r="336" ht="15.75" customHeight="1">
      <c r="D336" s="258"/>
    </row>
    <row r="337" ht="15.75" customHeight="1">
      <c r="D337" s="258"/>
    </row>
    <row r="338" ht="15.75" customHeight="1">
      <c r="D338" s="258"/>
    </row>
    <row r="339" ht="15.75" customHeight="1">
      <c r="D339" s="258"/>
    </row>
    <row r="340" ht="15.75" customHeight="1">
      <c r="D340" s="258"/>
    </row>
    <row r="341" ht="15.75" customHeight="1">
      <c r="D341" s="258"/>
    </row>
    <row r="342" ht="15.75" customHeight="1">
      <c r="D342" s="258"/>
    </row>
    <row r="343" ht="15.75" customHeight="1">
      <c r="D343" s="258"/>
    </row>
    <row r="344" ht="15.75" customHeight="1">
      <c r="D344" s="258"/>
    </row>
    <row r="345" ht="15.75" customHeight="1">
      <c r="D345" s="258"/>
    </row>
    <row r="346" ht="15.75" customHeight="1">
      <c r="D346" s="258"/>
    </row>
    <row r="347" ht="15.75" customHeight="1">
      <c r="D347" s="258"/>
    </row>
    <row r="348" ht="15.75" customHeight="1">
      <c r="D348" s="258"/>
    </row>
    <row r="349" ht="15.75" customHeight="1">
      <c r="D349" s="258"/>
    </row>
    <row r="350" ht="15.75" customHeight="1">
      <c r="D350" s="258"/>
    </row>
    <row r="351" ht="15.75" customHeight="1">
      <c r="D351" s="258"/>
    </row>
    <row r="352" ht="15.75" customHeight="1">
      <c r="D352" s="258"/>
    </row>
    <row r="353" ht="15.75" customHeight="1">
      <c r="D353" s="258"/>
    </row>
    <row r="354" ht="15.75" customHeight="1">
      <c r="D354" s="258"/>
    </row>
    <row r="355" ht="15.75" customHeight="1">
      <c r="D355" s="258"/>
    </row>
    <row r="356" ht="15.75" customHeight="1">
      <c r="D356" s="258"/>
    </row>
    <row r="357" ht="15.75" customHeight="1">
      <c r="D357" s="258"/>
    </row>
    <row r="358" ht="15.75" customHeight="1">
      <c r="D358" s="258"/>
    </row>
    <row r="359" ht="15.75" customHeight="1">
      <c r="D359" s="258"/>
    </row>
    <row r="360" ht="15.75" customHeight="1">
      <c r="D360" s="258"/>
    </row>
    <row r="361" ht="15.75" customHeight="1">
      <c r="D361" s="258"/>
    </row>
    <row r="362" ht="15.75" customHeight="1">
      <c r="D362" s="258"/>
    </row>
    <row r="363" ht="15.75" customHeight="1">
      <c r="D363" s="258"/>
    </row>
    <row r="364" ht="15.75" customHeight="1">
      <c r="D364" s="258"/>
    </row>
    <row r="365" ht="15.75" customHeight="1">
      <c r="D365" s="258"/>
    </row>
    <row r="366" ht="15.75" customHeight="1">
      <c r="D366" s="258"/>
    </row>
    <row r="367" ht="15.75" customHeight="1">
      <c r="D367" s="258"/>
    </row>
    <row r="368" ht="15.75" customHeight="1">
      <c r="D368" s="258"/>
    </row>
    <row r="369" ht="15.75" customHeight="1">
      <c r="D369" s="258"/>
    </row>
    <row r="370" ht="15.75" customHeight="1">
      <c r="D370" s="258"/>
    </row>
    <row r="371" ht="15.75" customHeight="1">
      <c r="D371" s="258"/>
    </row>
    <row r="372" ht="15.75" customHeight="1">
      <c r="D372" s="258"/>
    </row>
    <row r="373" ht="15.75" customHeight="1">
      <c r="D373" s="258"/>
    </row>
    <row r="374" ht="15.75" customHeight="1">
      <c r="D374" s="258"/>
    </row>
    <row r="375" ht="15.75" customHeight="1">
      <c r="D375" s="258"/>
    </row>
    <row r="376" ht="15.75" customHeight="1">
      <c r="D376" s="258"/>
    </row>
    <row r="377" ht="15.75" customHeight="1">
      <c r="D377" s="258"/>
    </row>
    <row r="378" ht="15.75" customHeight="1">
      <c r="D378" s="258"/>
    </row>
    <row r="379" ht="15.75" customHeight="1">
      <c r="D379" s="258"/>
    </row>
    <row r="380" ht="15.75" customHeight="1">
      <c r="D380" s="258"/>
    </row>
    <row r="381" ht="15.75" customHeight="1">
      <c r="D381" s="258"/>
    </row>
    <row r="382" ht="15.75" customHeight="1">
      <c r="D382" s="258"/>
    </row>
    <row r="383" ht="15.75" customHeight="1">
      <c r="D383" s="258"/>
    </row>
    <row r="384" ht="15.75" customHeight="1">
      <c r="D384" s="258"/>
    </row>
    <row r="385" ht="15.75" customHeight="1">
      <c r="D385" s="258"/>
    </row>
    <row r="386" ht="15.75" customHeight="1">
      <c r="D386" s="258"/>
    </row>
    <row r="387" ht="15.75" customHeight="1">
      <c r="D387" s="258"/>
    </row>
    <row r="388" ht="15.75" customHeight="1">
      <c r="D388" s="258"/>
    </row>
    <row r="389" ht="15.75" customHeight="1">
      <c r="D389" s="258"/>
    </row>
    <row r="390" ht="15.75" customHeight="1">
      <c r="D390" s="258"/>
    </row>
    <row r="391" ht="15.75" customHeight="1">
      <c r="D391" s="258"/>
    </row>
    <row r="392" ht="15.75" customHeight="1">
      <c r="D392" s="258"/>
    </row>
    <row r="393" ht="15.75" customHeight="1">
      <c r="D393" s="258"/>
    </row>
    <row r="394" ht="15.75" customHeight="1">
      <c r="D394" s="258"/>
    </row>
    <row r="395" ht="15.75" customHeight="1">
      <c r="D395" s="258"/>
    </row>
    <row r="396" ht="15.75" customHeight="1">
      <c r="D396" s="258"/>
    </row>
    <row r="397" ht="15.75" customHeight="1">
      <c r="D397" s="258"/>
    </row>
    <row r="398" ht="15.75" customHeight="1">
      <c r="D398" s="258"/>
    </row>
    <row r="399" ht="15.75" customHeight="1">
      <c r="D399" s="258"/>
    </row>
    <row r="400" ht="15.75" customHeight="1">
      <c r="D400" s="258"/>
    </row>
    <row r="401" ht="15.75" customHeight="1">
      <c r="D401" s="258"/>
    </row>
    <row r="402" ht="15.75" customHeight="1">
      <c r="D402" s="258"/>
    </row>
    <row r="403" ht="15.75" customHeight="1">
      <c r="D403" s="258"/>
    </row>
    <row r="404" ht="15.75" customHeight="1">
      <c r="D404" s="258"/>
    </row>
    <row r="405" ht="15.75" customHeight="1">
      <c r="D405" s="258"/>
    </row>
    <row r="406" ht="15.75" customHeight="1">
      <c r="D406" s="258"/>
    </row>
    <row r="407" ht="15.75" customHeight="1">
      <c r="D407" s="258"/>
    </row>
    <row r="408" ht="15.75" customHeight="1">
      <c r="D408" s="258"/>
    </row>
    <row r="409" ht="15.75" customHeight="1">
      <c r="D409" s="258"/>
    </row>
    <row r="410" ht="15.75" customHeight="1">
      <c r="D410" s="258"/>
    </row>
    <row r="411" ht="15.75" customHeight="1">
      <c r="D411" s="258"/>
    </row>
    <row r="412" ht="15.75" customHeight="1">
      <c r="D412" s="258"/>
    </row>
    <row r="413" ht="15.75" customHeight="1">
      <c r="D413" s="258"/>
    </row>
    <row r="414" ht="15.75" customHeight="1">
      <c r="D414" s="258"/>
    </row>
    <row r="415" ht="15.75" customHeight="1">
      <c r="D415" s="258"/>
    </row>
    <row r="416" ht="15.75" customHeight="1">
      <c r="D416" s="258"/>
    </row>
    <row r="417" ht="15.75" customHeight="1">
      <c r="D417" s="258"/>
    </row>
    <row r="418" ht="15.75" customHeight="1">
      <c r="D418" s="258"/>
    </row>
    <row r="419" ht="15.75" customHeight="1">
      <c r="D419" s="258"/>
    </row>
    <row r="420" ht="15.75" customHeight="1">
      <c r="D420" s="258"/>
    </row>
    <row r="421" ht="15.75" customHeight="1">
      <c r="D421" s="258"/>
    </row>
    <row r="422" ht="15.75" customHeight="1">
      <c r="D422" s="258"/>
    </row>
    <row r="423" ht="15.75" customHeight="1">
      <c r="D423" s="258"/>
    </row>
    <row r="424" ht="15.75" customHeight="1">
      <c r="D424" s="258"/>
    </row>
    <row r="425" ht="15.75" customHeight="1">
      <c r="D425" s="258"/>
    </row>
    <row r="426" ht="15.75" customHeight="1">
      <c r="D426" s="258"/>
    </row>
    <row r="427" ht="15.75" customHeight="1">
      <c r="D427" s="258"/>
    </row>
    <row r="428" ht="15.75" customHeight="1">
      <c r="D428" s="258"/>
    </row>
    <row r="429" ht="15.75" customHeight="1">
      <c r="D429" s="258"/>
    </row>
    <row r="430" ht="15.75" customHeight="1">
      <c r="D430" s="258"/>
    </row>
    <row r="431" ht="15.75" customHeight="1">
      <c r="D431" s="258"/>
    </row>
    <row r="432" ht="15.75" customHeight="1">
      <c r="D432" s="258"/>
    </row>
    <row r="433" ht="15.75" customHeight="1">
      <c r="D433" s="258"/>
    </row>
    <row r="434" ht="15.75" customHeight="1">
      <c r="D434" s="258"/>
    </row>
    <row r="435" ht="15.75" customHeight="1">
      <c r="D435" s="258"/>
    </row>
    <row r="436" ht="15.75" customHeight="1">
      <c r="D436" s="258"/>
    </row>
    <row r="437" ht="15.75" customHeight="1">
      <c r="D437" s="258"/>
    </row>
    <row r="438" ht="15.75" customHeight="1">
      <c r="D438" s="258"/>
    </row>
    <row r="439" ht="15.75" customHeight="1">
      <c r="D439" s="258"/>
    </row>
    <row r="440" ht="15.75" customHeight="1">
      <c r="D440" s="258"/>
    </row>
    <row r="441" ht="15.75" customHeight="1">
      <c r="D441" s="258"/>
    </row>
    <row r="442" ht="15.75" customHeight="1">
      <c r="D442" s="258"/>
    </row>
    <row r="443" ht="15.75" customHeight="1">
      <c r="D443" s="258"/>
    </row>
    <row r="444" ht="15.75" customHeight="1">
      <c r="D444" s="258"/>
    </row>
    <row r="445" ht="15.75" customHeight="1">
      <c r="D445" s="258"/>
    </row>
    <row r="446" ht="15.75" customHeight="1">
      <c r="D446" s="258"/>
    </row>
    <row r="447" ht="15.75" customHeight="1">
      <c r="D447" s="258"/>
    </row>
    <row r="448" ht="15.75" customHeight="1">
      <c r="D448" s="258"/>
    </row>
    <row r="449" ht="15.75" customHeight="1">
      <c r="D449" s="258"/>
    </row>
    <row r="450" ht="15.75" customHeight="1">
      <c r="D450" s="258"/>
    </row>
    <row r="451" ht="15.75" customHeight="1">
      <c r="D451" s="258"/>
    </row>
    <row r="452" ht="15.75" customHeight="1">
      <c r="D452" s="258"/>
    </row>
    <row r="453" ht="15.75" customHeight="1">
      <c r="D453" s="258"/>
    </row>
    <row r="454" ht="15.75" customHeight="1">
      <c r="D454" s="258"/>
    </row>
    <row r="455" ht="15.75" customHeight="1">
      <c r="D455" s="258"/>
    </row>
    <row r="456" ht="15.75" customHeight="1">
      <c r="D456" s="258"/>
    </row>
    <row r="457" ht="15.75" customHeight="1">
      <c r="D457" s="258"/>
    </row>
    <row r="458" ht="15.75" customHeight="1">
      <c r="D458" s="258"/>
    </row>
    <row r="459" ht="15.75" customHeight="1">
      <c r="D459" s="258"/>
    </row>
    <row r="460" ht="15.75" customHeight="1">
      <c r="D460" s="258"/>
    </row>
    <row r="461" ht="15.75" customHeight="1">
      <c r="D461" s="258"/>
    </row>
    <row r="462" ht="15.75" customHeight="1">
      <c r="D462" s="258"/>
    </row>
    <row r="463" ht="15.75" customHeight="1">
      <c r="D463" s="258"/>
    </row>
    <row r="464" ht="15.75" customHeight="1">
      <c r="D464" s="258"/>
    </row>
    <row r="465" ht="15.75" customHeight="1">
      <c r="D465" s="258"/>
    </row>
    <row r="466" ht="15.75" customHeight="1">
      <c r="D466" s="258"/>
    </row>
    <row r="467" ht="15.75" customHeight="1">
      <c r="D467" s="258"/>
    </row>
    <row r="468" ht="15.75" customHeight="1">
      <c r="D468" s="258"/>
    </row>
    <row r="469" ht="15.75" customHeight="1">
      <c r="D469" s="258"/>
    </row>
    <row r="470" ht="15.75" customHeight="1">
      <c r="D470" s="258"/>
    </row>
    <row r="471" ht="15.75" customHeight="1">
      <c r="D471" s="258"/>
    </row>
    <row r="472" ht="15.75" customHeight="1">
      <c r="D472" s="258"/>
    </row>
    <row r="473" ht="15.75" customHeight="1">
      <c r="D473" s="258"/>
    </row>
    <row r="474" ht="15.75" customHeight="1">
      <c r="D474" s="258"/>
    </row>
    <row r="475" ht="15.75" customHeight="1">
      <c r="D475" s="258"/>
    </row>
    <row r="476" ht="15.75" customHeight="1">
      <c r="D476" s="258"/>
    </row>
    <row r="477" ht="15.75" customHeight="1">
      <c r="D477" s="258"/>
    </row>
    <row r="478" ht="15.75" customHeight="1">
      <c r="D478" s="258"/>
    </row>
    <row r="479" ht="15.75" customHeight="1">
      <c r="D479" s="258"/>
    </row>
    <row r="480" ht="15.75" customHeight="1">
      <c r="D480" s="258"/>
    </row>
    <row r="481" ht="15.75" customHeight="1">
      <c r="D481" s="258"/>
    </row>
    <row r="482" ht="15.75" customHeight="1">
      <c r="D482" s="258"/>
    </row>
    <row r="483" ht="15.75" customHeight="1">
      <c r="D483" s="258"/>
    </row>
    <row r="484" ht="15.75" customHeight="1">
      <c r="D484" s="258"/>
    </row>
    <row r="485" ht="15.75" customHeight="1">
      <c r="D485" s="258"/>
    </row>
    <row r="486" ht="15.75" customHeight="1">
      <c r="D486" s="258"/>
    </row>
    <row r="487" ht="15.75" customHeight="1">
      <c r="D487" s="258"/>
    </row>
    <row r="488" ht="15.75" customHeight="1">
      <c r="D488" s="258"/>
    </row>
    <row r="489" ht="15.75" customHeight="1">
      <c r="D489" s="258"/>
    </row>
    <row r="490" ht="15.75" customHeight="1">
      <c r="D490" s="258"/>
    </row>
    <row r="491" ht="15.75" customHeight="1">
      <c r="D491" s="258"/>
    </row>
    <row r="492" ht="15.75" customHeight="1">
      <c r="D492" s="258"/>
    </row>
    <row r="493" ht="15.75" customHeight="1">
      <c r="D493" s="258"/>
    </row>
    <row r="494" ht="15.75" customHeight="1">
      <c r="D494" s="258"/>
    </row>
    <row r="495" ht="15.75" customHeight="1">
      <c r="D495" s="258"/>
    </row>
    <row r="496" ht="15.75" customHeight="1">
      <c r="D496" s="258"/>
    </row>
    <row r="497" ht="15.75" customHeight="1">
      <c r="D497" s="258"/>
    </row>
    <row r="498" ht="15.75" customHeight="1">
      <c r="D498" s="258"/>
    </row>
    <row r="499" ht="15.75" customHeight="1">
      <c r="D499" s="258"/>
    </row>
    <row r="500" ht="15.75" customHeight="1">
      <c r="D500" s="258"/>
    </row>
    <row r="501" ht="15.75" customHeight="1">
      <c r="D501" s="258"/>
    </row>
    <row r="502" ht="15.75" customHeight="1">
      <c r="D502" s="258"/>
    </row>
    <row r="503" ht="15.75" customHeight="1">
      <c r="D503" s="258"/>
    </row>
    <row r="504" ht="15.75" customHeight="1">
      <c r="D504" s="258"/>
    </row>
    <row r="505" ht="15.75" customHeight="1">
      <c r="D505" s="258"/>
    </row>
    <row r="506" ht="15.75" customHeight="1">
      <c r="D506" s="258"/>
    </row>
    <row r="507" ht="15.75" customHeight="1">
      <c r="D507" s="258"/>
    </row>
    <row r="508" ht="15.75" customHeight="1">
      <c r="D508" s="258"/>
    </row>
    <row r="509" ht="15.75" customHeight="1">
      <c r="D509" s="258"/>
    </row>
    <row r="510" ht="15.75" customHeight="1">
      <c r="D510" s="258"/>
    </row>
    <row r="511" ht="15.75" customHeight="1">
      <c r="D511" s="258"/>
    </row>
    <row r="512" ht="15.75" customHeight="1">
      <c r="D512" s="258"/>
    </row>
    <row r="513" ht="15.75" customHeight="1">
      <c r="D513" s="258"/>
    </row>
    <row r="514" ht="15.75" customHeight="1">
      <c r="D514" s="258"/>
    </row>
    <row r="515" ht="15.75" customHeight="1">
      <c r="D515" s="258"/>
    </row>
    <row r="516" ht="15.75" customHeight="1">
      <c r="D516" s="258"/>
    </row>
    <row r="517" ht="15.75" customHeight="1">
      <c r="D517" s="258"/>
    </row>
    <row r="518" ht="15.75" customHeight="1">
      <c r="D518" s="258"/>
    </row>
    <row r="519" ht="15.75" customHeight="1">
      <c r="D519" s="258"/>
    </row>
    <row r="520" ht="15.75" customHeight="1">
      <c r="D520" s="258"/>
    </row>
    <row r="521" ht="15.75" customHeight="1">
      <c r="D521" s="258"/>
    </row>
    <row r="522" ht="15.75" customHeight="1">
      <c r="D522" s="258"/>
    </row>
    <row r="523" ht="15.75" customHeight="1">
      <c r="D523" s="258"/>
    </row>
    <row r="524" ht="15.75" customHeight="1">
      <c r="D524" s="258"/>
    </row>
    <row r="525" ht="15.75" customHeight="1">
      <c r="D525" s="258"/>
    </row>
    <row r="526" ht="15.75" customHeight="1">
      <c r="D526" s="258"/>
    </row>
    <row r="527" ht="15.75" customHeight="1">
      <c r="D527" s="258"/>
    </row>
    <row r="528" ht="15.75" customHeight="1">
      <c r="D528" s="258"/>
    </row>
    <row r="529" ht="15.75" customHeight="1">
      <c r="D529" s="258"/>
    </row>
    <row r="530" ht="15.75" customHeight="1">
      <c r="D530" s="258"/>
    </row>
    <row r="531" ht="15.75" customHeight="1">
      <c r="D531" s="258"/>
    </row>
    <row r="532" ht="15.75" customHeight="1">
      <c r="D532" s="258"/>
    </row>
    <row r="533" ht="15.75" customHeight="1">
      <c r="D533" s="258"/>
    </row>
    <row r="534" ht="15.75" customHeight="1">
      <c r="D534" s="258"/>
    </row>
    <row r="535" ht="15.75" customHeight="1">
      <c r="D535" s="258"/>
    </row>
    <row r="536" ht="15.75" customHeight="1">
      <c r="D536" s="258"/>
    </row>
    <row r="537" ht="15.75" customHeight="1">
      <c r="D537" s="258"/>
    </row>
    <row r="538" ht="15.75" customHeight="1">
      <c r="D538" s="258"/>
    </row>
    <row r="539" ht="15.75" customHeight="1">
      <c r="D539" s="258"/>
    </row>
    <row r="540" ht="15.75" customHeight="1">
      <c r="D540" s="258"/>
    </row>
    <row r="541" ht="15.75" customHeight="1">
      <c r="D541" s="258"/>
    </row>
    <row r="542" ht="15.75" customHeight="1">
      <c r="D542" s="258"/>
    </row>
    <row r="543" ht="15.75" customHeight="1">
      <c r="D543" s="258"/>
    </row>
    <row r="544" ht="15.75" customHeight="1">
      <c r="D544" s="258"/>
    </row>
    <row r="545" ht="15.75" customHeight="1">
      <c r="D545" s="258"/>
    </row>
    <row r="546" ht="15.75" customHeight="1">
      <c r="D546" s="258"/>
    </row>
    <row r="547" ht="15.75" customHeight="1">
      <c r="D547" s="258"/>
    </row>
    <row r="548" ht="15.75" customHeight="1">
      <c r="D548" s="258"/>
    </row>
    <row r="549" ht="15.75" customHeight="1">
      <c r="D549" s="258"/>
    </row>
    <row r="550" ht="15.75" customHeight="1">
      <c r="D550" s="258"/>
    </row>
    <row r="551" ht="15.75" customHeight="1">
      <c r="D551" s="258"/>
    </row>
    <row r="552" ht="15.75" customHeight="1">
      <c r="D552" s="258"/>
    </row>
    <row r="553" ht="15.75" customHeight="1">
      <c r="D553" s="258"/>
    </row>
    <row r="554" ht="15.75" customHeight="1">
      <c r="D554" s="258"/>
    </row>
    <row r="555" ht="15.75" customHeight="1">
      <c r="D555" s="258"/>
    </row>
    <row r="556" ht="15.75" customHeight="1">
      <c r="D556" s="258"/>
    </row>
    <row r="557" ht="15.75" customHeight="1">
      <c r="D557" s="258"/>
    </row>
    <row r="558" ht="15.75" customHeight="1">
      <c r="D558" s="258"/>
    </row>
    <row r="559" ht="15.75" customHeight="1">
      <c r="D559" s="258"/>
    </row>
    <row r="560" ht="15.75" customHeight="1">
      <c r="D560" s="258"/>
    </row>
    <row r="561" ht="15.75" customHeight="1">
      <c r="D561" s="258"/>
    </row>
    <row r="562" ht="15.75" customHeight="1">
      <c r="D562" s="258"/>
    </row>
    <row r="563" ht="15.75" customHeight="1">
      <c r="D563" s="258"/>
    </row>
    <row r="564" ht="15.75" customHeight="1">
      <c r="D564" s="258"/>
    </row>
    <row r="565" ht="15.75" customHeight="1">
      <c r="D565" s="258"/>
    </row>
    <row r="566" ht="15.75" customHeight="1">
      <c r="D566" s="258"/>
    </row>
    <row r="567" ht="15.75" customHeight="1">
      <c r="D567" s="258"/>
    </row>
    <row r="568" ht="15.75" customHeight="1">
      <c r="D568" s="258"/>
    </row>
    <row r="569" ht="15.75" customHeight="1">
      <c r="D569" s="258"/>
    </row>
    <row r="570" ht="15.75" customHeight="1">
      <c r="D570" s="258"/>
    </row>
    <row r="571" ht="15.75" customHeight="1">
      <c r="D571" s="258"/>
    </row>
    <row r="572" ht="15.75" customHeight="1">
      <c r="D572" s="258"/>
    </row>
    <row r="573" ht="15.75" customHeight="1">
      <c r="D573" s="258"/>
    </row>
    <row r="574" ht="15.75" customHeight="1">
      <c r="D574" s="258"/>
    </row>
    <row r="575" ht="15.75" customHeight="1">
      <c r="D575" s="258"/>
    </row>
    <row r="576" ht="15.75" customHeight="1">
      <c r="D576" s="258"/>
    </row>
    <row r="577" ht="15.75" customHeight="1">
      <c r="D577" s="258"/>
    </row>
    <row r="578" ht="15.75" customHeight="1">
      <c r="D578" s="258"/>
    </row>
    <row r="579" ht="15.75" customHeight="1">
      <c r="D579" s="258"/>
    </row>
    <row r="580" ht="15.75" customHeight="1">
      <c r="D580" s="258"/>
    </row>
    <row r="581" ht="15.75" customHeight="1">
      <c r="D581" s="258"/>
    </row>
    <row r="582" ht="15.75" customHeight="1">
      <c r="D582" s="258"/>
    </row>
    <row r="583" ht="15.75" customHeight="1">
      <c r="D583" s="258"/>
    </row>
    <row r="584" ht="15.75" customHeight="1">
      <c r="D584" s="258"/>
    </row>
    <row r="585" ht="15.75" customHeight="1">
      <c r="D585" s="258"/>
    </row>
    <row r="586" ht="15.75" customHeight="1">
      <c r="D586" s="258"/>
    </row>
    <row r="587" ht="15.75" customHeight="1">
      <c r="D587" s="258"/>
    </row>
    <row r="588" ht="15.75" customHeight="1">
      <c r="D588" s="258"/>
    </row>
    <row r="589" ht="15.75" customHeight="1">
      <c r="D589" s="258"/>
    </row>
    <row r="590" ht="15.75" customHeight="1">
      <c r="D590" s="258"/>
    </row>
    <row r="591" ht="15.75" customHeight="1">
      <c r="D591" s="258"/>
    </row>
    <row r="592" ht="15.75" customHeight="1">
      <c r="D592" s="258"/>
    </row>
    <row r="593" ht="15.75" customHeight="1">
      <c r="D593" s="258"/>
    </row>
    <row r="594" ht="15.75" customHeight="1">
      <c r="D594" s="258"/>
    </row>
    <row r="595" ht="15.75" customHeight="1">
      <c r="D595" s="258"/>
    </row>
    <row r="596" ht="15.75" customHeight="1">
      <c r="D596" s="258"/>
    </row>
    <row r="597" ht="15.75" customHeight="1">
      <c r="D597" s="258"/>
    </row>
    <row r="598" ht="15.75" customHeight="1">
      <c r="D598" s="258"/>
    </row>
    <row r="599" ht="15.75" customHeight="1">
      <c r="D599" s="258"/>
    </row>
    <row r="600" ht="15.75" customHeight="1">
      <c r="D600" s="258"/>
    </row>
    <row r="601" ht="15.75" customHeight="1">
      <c r="D601" s="258"/>
    </row>
    <row r="602" ht="15.75" customHeight="1">
      <c r="D602" s="258"/>
    </row>
    <row r="603" ht="15.75" customHeight="1">
      <c r="D603" s="258"/>
    </row>
    <row r="604" ht="15.75" customHeight="1">
      <c r="D604" s="258"/>
    </row>
    <row r="605" ht="15.75" customHeight="1">
      <c r="D605" s="258"/>
    </row>
    <row r="606" ht="15.75" customHeight="1">
      <c r="D606" s="258"/>
    </row>
    <row r="607" ht="15.75" customHeight="1">
      <c r="D607" s="258"/>
    </row>
    <row r="608" ht="15.75" customHeight="1">
      <c r="D608" s="258"/>
    </row>
    <row r="609" ht="15.75" customHeight="1">
      <c r="D609" s="258"/>
    </row>
    <row r="610" ht="15.75" customHeight="1">
      <c r="D610" s="258"/>
    </row>
    <row r="611" ht="15.75" customHeight="1">
      <c r="D611" s="258"/>
    </row>
    <row r="612" ht="15.75" customHeight="1">
      <c r="D612" s="258"/>
    </row>
    <row r="613" ht="15.75" customHeight="1">
      <c r="D613" s="258"/>
    </row>
    <row r="614" ht="15.75" customHeight="1">
      <c r="D614" s="258"/>
    </row>
    <row r="615" ht="15.75" customHeight="1">
      <c r="D615" s="258"/>
    </row>
    <row r="616" ht="15.75" customHeight="1">
      <c r="D616" s="258"/>
    </row>
    <row r="617" ht="15.75" customHeight="1">
      <c r="D617" s="258"/>
    </row>
    <row r="618" ht="15.75" customHeight="1">
      <c r="D618" s="258"/>
    </row>
    <row r="619" ht="15.75" customHeight="1">
      <c r="D619" s="258"/>
    </row>
    <row r="620" ht="15.75" customHeight="1">
      <c r="D620" s="258"/>
    </row>
    <row r="621" ht="15.75" customHeight="1">
      <c r="D621" s="258"/>
    </row>
    <row r="622" ht="15.75" customHeight="1">
      <c r="D622" s="258"/>
    </row>
    <row r="623" ht="15.75" customHeight="1">
      <c r="D623" s="258"/>
    </row>
    <row r="624" ht="15.75" customHeight="1">
      <c r="D624" s="258"/>
    </row>
    <row r="625" ht="15.75" customHeight="1">
      <c r="D625" s="258"/>
    </row>
    <row r="626" ht="15.75" customHeight="1">
      <c r="D626" s="258"/>
    </row>
    <row r="627" ht="15.75" customHeight="1">
      <c r="D627" s="258"/>
    </row>
    <row r="628" ht="15.75" customHeight="1">
      <c r="D628" s="258"/>
    </row>
    <row r="629" ht="15.75" customHeight="1">
      <c r="D629" s="258"/>
    </row>
    <row r="630" ht="15.75" customHeight="1">
      <c r="D630" s="258"/>
    </row>
    <row r="631" ht="15.75" customHeight="1">
      <c r="D631" s="258"/>
    </row>
    <row r="632" ht="15.75" customHeight="1">
      <c r="D632" s="258"/>
    </row>
    <row r="633" ht="15.75" customHeight="1">
      <c r="D633" s="258"/>
    </row>
    <row r="634" ht="15.75" customHeight="1">
      <c r="D634" s="258"/>
    </row>
    <row r="635" ht="15.75" customHeight="1">
      <c r="D635" s="258"/>
    </row>
    <row r="636" ht="15.75" customHeight="1">
      <c r="D636" s="258"/>
    </row>
    <row r="637" ht="15.75" customHeight="1">
      <c r="D637" s="258"/>
    </row>
    <row r="638" ht="15.75" customHeight="1">
      <c r="D638" s="258"/>
    </row>
    <row r="639" ht="15.75" customHeight="1">
      <c r="D639" s="258"/>
    </row>
    <row r="640" ht="15.75" customHeight="1">
      <c r="D640" s="258"/>
    </row>
    <row r="641" ht="15.75" customHeight="1">
      <c r="D641" s="258"/>
    </row>
    <row r="642" ht="15.75" customHeight="1">
      <c r="D642" s="258"/>
    </row>
    <row r="643" ht="15.75" customHeight="1">
      <c r="D643" s="258"/>
    </row>
    <row r="644" ht="15.75" customHeight="1">
      <c r="D644" s="258"/>
    </row>
    <row r="645" ht="15.75" customHeight="1">
      <c r="D645" s="258"/>
    </row>
    <row r="646" ht="15.75" customHeight="1">
      <c r="D646" s="258"/>
    </row>
    <row r="647" ht="15.75" customHeight="1">
      <c r="D647" s="258"/>
    </row>
    <row r="648" ht="15.75" customHeight="1">
      <c r="D648" s="258"/>
    </row>
    <row r="649" ht="15.75" customHeight="1">
      <c r="D649" s="258"/>
    </row>
    <row r="650" ht="15.75" customHeight="1">
      <c r="D650" s="258"/>
    </row>
    <row r="651" ht="15.75" customHeight="1">
      <c r="D651" s="258"/>
    </row>
    <row r="652" ht="15.75" customHeight="1">
      <c r="D652" s="258"/>
    </row>
    <row r="653" ht="15.75" customHeight="1">
      <c r="D653" s="258"/>
    </row>
    <row r="654" ht="15.75" customHeight="1">
      <c r="D654" s="258"/>
    </row>
    <row r="655" ht="15.75" customHeight="1">
      <c r="D655" s="258"/>
    </row>
    <row r="656" ht="15.75" customHeight="1">
      <c r="D656" s="258"/>
    </row>
    <row r="657" ht="15.75" customHeight="1">
      <c r="D657" s="258"/>
    </row>
    <row r="658" ht="15.75" customHeight="1">
      <c r="D658" s="258"/>
    </row>
    <row r="659" ht="15.75" customHeight="1">
      <c r="D659" s="258"/>
    </row>
    <row r="660" ht="15.75" customHeight="1">
      <c r="D660" s="258"/>
    </row>
    <row r="661" ht="15.75" customHeight="1">
      <c r="D661" s="258"/>
    </row>
    <row r="662" ht="15.75" customHeight="1">
      <c r="D662" s="258"/>
    </row>
    <row r="663" ht="15.75" customHeight="1">
      <c r="D663" s="258"/>
    </row>
    <row r="664" ht="15.75" customHeight="1">
      <c r="D664" s="258"/>
    </row>
    <row r="665" ht="15.75" customHeight="1">
      <c r="D665" s="258"/>
    </row>
    <row r="666" ht="15.75" customHeight="1">
      <c r="D666" s="258"/>
    </row>
    <row r="667" ht="15.75" customHeight="1">
      <c r="D667" s="258"/>
    </row>
    <row r="668" ht="15.75" customHeight="1">
      <c r="D668" s="258"/>
    </row>
    <row r="669" ht="15.75" customHeight="1">
      <c r="D669" s="258"/>
    </row>
    <row r="670" ht="15.75" customHeight="1">
      <c r="D670" s="258"/>
    </row>
    <row r="671" ht="15.75" customHeight="1">
      <c r="D671" s="258"/>
    </row>
    <row r="672" ht="15.75" customHeight="1">
      <c r="D672" s="258"/>
    </row>
    <row r="673" ht="15.75" customHeight="1">
      <c r="D673" s="258"/>
    </row>
    <row r="674" ht="15.75" customHeight="1">
      <c r="D674" s="258"/>
    </row>
    <row r="675" ht="15.75" customHeight="1">
      <c r="D675" s="258"/>
    </row>
    <row r="676" ht="15.75" customHeight="1">
      <c r="D676" s="258"/>
    </row>
    <row r="677" ht="15.75" customHeight="1">
      <c r="D677" s="258"/>
    </row>
    <row r="678" ht="15.75" customHeight="1">
      <c r="D678" s="258"/>
    </row>
    <row r="679" ht="15.75" customHeight="1">
      <c r="D679" s="258"/>
    </row>
    <row r="680" ht="15.75" customHeight="1">
      <c r="D680" s="258"/>
    </row>
    <row r="681" ht="15.75" customHeight="1">
      <c r="D681" s="258"/>
    </row>
    <row r="682" ht="15.75" customHeight="1">
      <c r="D682" s="258"/>
    </row>
    <row r="683" ht="15.75" customHeight="1">
      <c r="D683" s="258"/>
    </row>
    <row r="684" ht="15.75" customHeight="1">
      <c r="D684" s="258"/>
    </row>
    <row r="685" ht="15.75" customHeight="1">
      <c r="D685" s="258"/>
    </row>
    <row r="686" ht="15.75" customHeight="1">
      <c r="D686" s="258"/>
    </row>
    <row r="687" ht="15.75" customHeight="1">
      <c r="D687" s="258"/>
    </row>
    <row r="688" ht="15.75" customHeight="1">
      <c r="D688" s="258"/>
    </row>
    <row r="689" ht="15.75" customHeight="1">
      <c r="D689" s="258"/>
    </row>
    <row r="690" ht="15.75" customHeight="1">
      <c r="D690" s="258"/>
    </row>
    <row r="691" ht="15.75" customHeight="1">
      <c r="D691" s="258"/>
    </row>
    <row r="692" ht="15.75" customHeight="1">
      <c r="D692" s="258"/>
    </row>
    <row r="693" ht="15.75" customHeight="1">
      <c r="D693" s="258"/>
    </row>
    <row r="694" ht="15.75" customHeight="1">
      <c r="D694" s="258"/>
    </row>
    <row r="695" ht="15.75" customHeight="1">
      <c r="D695" s="258"/>
    </row>
    <row r="696" ht="15.75" customHeight="1">
      <c r="D696" s="258"/>
    </row>
    <row r="697" ht="15.75" customHeight="1">
      <c r="D697" s="258"/>
    </row>
    <row r="698" ht="15.75" customHeight="1">
      <c r="D698" s="258"/>
    </row>
    <row r="699" ht="15.75" customHeight="1">
      <c r="D699" s="258"/>
    </row>
    <row r="700" ht="15.75" customHeight="1">
      <c r="D700" s="258"/>
    </row>
    <row r="701" ht="15.75" customHeight="1">
      <c r="D701" s="258"/>
    </row>
    <row r="702" ht="15.75" customHeight="1">
      <c r="D702" s="258"/>
    </row>
    <row r="703" ht="15.75" customHeight="1">
      <c r="D703" s="258"/>
    </row>
    <row r="704" ht="15.75" customHeight="1">
      <c r="D704" s="258"/>
    </row>
    <row r="705" ht="15.75" customHeight="1">
      <c r="D705" s="258"/>
    </row>
    <row r="706" ht="15.75" customHeight="1">
      <c r="D706" s="258"/>
    </row>
    <row r="707" ht="15.75" customHeight="1">
      <c r="D707" s="258"/>
    </row>
    <row r="708" ht="15.75" customHeight="1">
      <c r="D708" s="258"/>
    </row>
    <row r="709" ht="15.75" customHeight="1">
      <c r="D709" s="258"/>
    </row>
    <row r="710" ht="15.75" customHeight="1">
      <c r="D710" s="258"/>
    </row>
    <row r="711" ht="15.75" customHeight="1">
      <c r="D711" s="258"/>
    </row>
    <row r="712" ht="15.75" customHeight="1">
      <c r="D712" s="258"/>
    </row>
    <row r="713" ht="15.75" customHeight="1">
      <c r="D713" s="258"/>
    </row>
    <row r="714" ht="15.75" customHeight="1">
      <c r="D714" s="258"/>
    </row>
    <row r="715" ht="15.75" customHeight="1">
      <c r="D715" s="258"/>
    </row>
    <row r="716" ht="15.75" customHeight="1">
      <c r="D716" s="258"/>
    </row>
    <row r="717" ht="15.75" customHeight="1">
      <c r="D717" s="258"/>
    </row>
    <row r="718" ht="15.75" customHeight="1">
      <c r="D718" s="258"/>
    </row>
    <row r="719" ht="15.75" customHeight="1">
      <c r="D719" s="258"/>
    </row>
    <row r="720" ht="15.75" customHeight="1">
      <c r="D720" s="258"/>
    </row>
    <row r="721" ht="15.75" customHeight="1">
      <c r="D721" s="258"/>
    </row>
    <row r="722" ht="15.75" customHeight="1">
      <c r="D722" s="258"/>
    </row>
    <row r="723" ht="15.75" customHeight="1">
      <c r="D723" s="258"/>
    </row>
    <row r="724" ht="15.75" customHeight="1">
      <c r="D724" s="258"/>
    </row>
    <row r="725" ht="15.75" customHeight="1">
      <c r="D725" s="258"/>
    </row>
    <row r="726" ht="15.75" customHeight="1">
      <c r="D726" s="258"/>
    </row>
    <row r="727" ht="15.75" customHeight="1">
      <c r="D727" s="258"/>
    </row>
    <row r="728" ht="15.75" customHeight="1">
      <c r="D728" s="258"/>
    </row>
    <row r="729" ht="15.75" customHeight="1">
      <c r="D729" s="258"/>
    </row>
    <row r="730" ht="15.75" customHeight="1">
      <c r="D730" s="258"/>
    </row>
    <row r="731" ht="15.75" customHeight="1">
      <c r="D731" s="258"/>
    </row>
    <row r="732" ht="15.75" customHeight="1">
      <c r="D732" s="258"/>
    </row>
    <row r="733" ht="15.75" customHeight="1">
      <c r="D733" s="258"/>
    </row>
    <row r="734" ht="15.75" customHeight="1">
      <c r="D734" s="258"/>
    </row>
    <row r="735" ht="15.75" customHeight="1">
      <c r="D735" s="258"/>
    </row>
    <row r="736" ht="15.75" customHeight="1">
      <c r="D736" s="258"/>
    </row>
    <row r="737" ht="15.75" customHeight="1">
      <c r="D737" s="258"/>
    </row>
    <row r="738" ht="15.75" customHeight="1">
      <c r="D738" s="258"/>
    </row>
    <row r="739" ht="15.75" customHeight="1">
      <c r="D739" s="258"/>
    </row>
    <row r="740" ht="15.75" customHeight="1">
      <c r="D740" s="258"/>
    </row>
    <row r="741" ht="15.75" customHeight="1">
      <c r="D741" s="258"/>
    </row>
    <row r="742" ht="15.75" customHeight="1">
      <c r="D742" s="258"/>
    </row>
    <row r="743" ht="15.75" customHeight="1">
      <c r="D743" s="258"/>
    </row>
    <row r="744" ht="15.75" customHeight="1">
      <c r="D744" s="258"/>
    </row>
    <row r="745" ht="15.75" customHeight="1">
      <c r="D745" s="258"/>
    </row>
    <row r="746" ht="15.75" customHeight="1">
      <c r="D746" s="258"/>
    </row>
    <row r="747" ht="15.75" customHeight="1">
      <c r="D747" s="258"/>
    </row>
    <row r="748" ht="15.75" customHeight="1">
      <c r="D748" s="258"/>
    </row>
    <row r="749" ht="15.75" customHeight="1">
      <c r="D749" s="258"/>
    </row>
    <row r="750" ht="15.75" customHeight="1">
      <c r="D750" s="258"/>
    </row>
    <row r="751" ht="15.75" customHeight="1">
      <c r="D751" s="258"/>
    </row>
    <row r="752" ht="15.75" customHeight="1">
      <c r="D752" s="258"/>
    </row>
    <row r="753" ht="15.75" customHeight="1">
      <c r="D753" s="258"/>
    </row>
    <row r="754" ht="15.75" customHeight="1">
      <c r="D754" s="258"/>
    </row>
    <row r="755" ht="15.75" customHeight="1">
      <c r="D755" s="258"/>
    </row>
    <row r="756" ht="15.75" customHeight="1">
      <c r="D756" s="258"/>
    </row>
    <row r="757" ht="15.75" customHeight="1">
      <c r="D757" s="258"/>
    </row>
    <row r="758" ht="15.75" customHeight="1">
      <c r="D758" s="258"/>
    </row>
    <row r="759" ht="15.75" customHeight="1">
      <c r="D759" s="258"/>
    </row>
    <row r="760" ht="15.75" customHeight="1">
      <c r="D760" s="258"/>
    </row>
    <row r="761" ht="15.75" customHeight="1">
      <c r="D761" s="258"/>
    </row>
    <row r="762" ht="15.75" customHeight="1">
      <c r="D762" s="258"/>
    </row>
    <row r="763" ht="15.75" customHeight="1">
      <c r="D763" s="258"/>
    </row>
    <row r="764" ht="15.75" customHeight="1">
      <c r="D764" s="258"/>
    </row>
    <row r="765" ht="15.75" customHeight="1">
      <c r="D765" s="258"/>
    </row>
    <row r="766" ht="15.75" customHeight="1">
      <c r="D766" s="258"/>
    </row>
    <row r="767" ht="15.75" customHeight="1">
      <c r="D767" s="258"/>
    </row>
    <row r="768" ht="15.75" customHeight="1">
      <c r="D768" s="258"/>
    </row>
    <row r="769" ht="15.75" customHeight="1">
      <c r="D769" s="258"/>
    </row>
    <row r="770" ht="15.75" customHeight="1">
      <c r="D770" s="258"/>
    </row>
    <row r="771" ht="15.75" customHeight="1">
      <c r="D771" s="258"/>
    </row>
    <row r="772" ht="15.75" customHeight="1">
      <c r="D772" s="258"/>
    </row>
    <row r="773" ht="15.75" customHeight="1">
      <c r="D773" s="258"/>
    </row>
    <row r="774" ht="15.75" customHeight="1">
      <c r="D774" s="258"/>
    </row>
    <row r="775" ht="15.75" customHeight="1">
      <c r="D775" s="258"/>
    </row>
    <row r="776" ht="15.75" customHeight="1">
      <c r="D776" s="258"/>
    </row>
    <row r="777" ht="15.75" customHeight="1">
      <c r="D777" s="258"/>
    </row>
    <row r="778" ht="15.75" customHeight="1">
      <c r="D778" s="258"/>
    </row>
    <row r="779" ht="15.75" customHeight="1">
      <c r="D779" s="258"/>
    </row>
    <row r="780" ht="15.75" customHeight="1">
      <c r="D780" s="258"/>
    </row>
    <row r="781" ht="15.75" customHeight="1">
      <c r="D781" s="258"/>
    </row>
    <row r="782" ht="15.75" customHeight="1">
      <c r="D782" s="258"/>
    </row>
    <row r="783" ht="15.75" customHeight="1">
      <c r="D783" s="258"/>
    </row>
    <row r="784" ht="15.75" customHeight="1">
      <c r="D784" s="258"/>
    </row>
    <row r="785" ht="15.75" customHeight="1">
      <c r="D785" s="258"/>
    </row>
    <row r="786" ht="15.75" customHeight="1">
      <c r="D786" s="258"/>
    </row>
    <row r="787" ht="15.75" customHeight="1">
      <c r="D787" s="258"/>
    </row>
    <row r="788" ht="15.75" customHeight="1">
      <c r="D788" s="258"/>
    </row>
    <row r="789" ht="15.75" customHeight="1">
      <c r="D789" s="258"/>
    </row>
    <row r="790" ht="15.75" customHeight="1">
      <c r="D790" s="258"/>
    </row>
    <row r="791" ht="15.75" customHeight="1">
      <c r="D791" s="258"/>
    </row>
    <row r="792" ht="15.75" customHeight="1">
      <c r="D792" s="258"/>
    </row>
    <row r="793" ht="15.75" customHeight="1">
      <c r="D793" s="258"/>
    </row>
    <row r="794" ht="15.75" customHeight="1">
      <c r="D794" s="258"/>
    </row>
    <row r="795" ht="15.75" customHeight="1">
      <c r="D795" s="258"/>
    </row>
    <row r="796" ht="15.75" customHeight="1">
      <c r="D796" s="258"/>
    </row>
    <row r="797" ht="15.75" customHeight="1">
      <c r="D797" s="258"/>
    </row>
    <row r="798" ht="15.75" customHeight="1">
      <c r="D798" s="258"/>
    </row>
    <row r="799" ht="15.75" customHeight="1">
      <c r="D799" s="258"/>
    </row>
    <row r="800" ht="15.75" customHeight="1">
      <c r="D800" s="258"/>
    </row>
    <row r="801" ht="15.75" customHeight="1">
      <c r="D801" s="258"/>
    </row>
    <row r="802" ht="15.75" customHeight="1">
      <c r="D802" s="258"/>
    </row>
    <row r="803" ht="15.75" customHeight="1">
      <c r="D803" s="258"/>
    </row>
    <row r="804" ht="15.75" customHeight="1">
      <c r="D804" s="258"/>
    </row>
    <row r="805" ht="15.75" customHeight="1">
      <c r="D805" s="258"/>
    </row>
    <row r="806" ht="15.75" customHeight="1">
      <c r="D806" s="258"/>
    </row>
    <row r="807" ht="15.75" customHeight="1">
      <c r="D807" s="258"/>
    </row>
    <row r="808" ht="15.75" customHeight="1">
      <c r="D808" s="258"/>
    </row>
    <row r="809" ht="15.75" customHeight="1">
      <c r="D809" s="258"/>
    </row>
    <row r="810" ht="15.75" customHeight="1">
      <c r="D810" s="258"/>
    </row>
    <row r="811" ht="15.75" customHeight="1">
      <c r="D811" s="258"/>
    </row>
    <row r="812" ht="15.75" customHeight="1">
      <c r="D812" s="258"/>
    </row>
    <row r="813" ht="15.75" customHeight="1">
      <c r="D813" s="258"/>
    </row>
    <row r="814" ht="15.75" customHeight="1">
      <c r="D814" s="258"/>
    </row>
    <row r="815" ht="15.75" customHeight="1">
      <c r="D815" s="258"/>
    </row>
    <row r="816" ht="15.75" customHeight="1">
      <c r="D816" s="258"/>
    </row>
    <row r="817" ht="15.75" customHeight="1">
      <c r="D817" s="258"/>
    </row>
    <row r="818" ht="15.75" customHeight="1">
      <c r="D818" s="258"/>
    </row>
    <row r="819" ht="15.75" customHeight="1">
      <c r="D819" s="258"/>
    </row>
    <row r="820" ht="15.75" customHeight="1">
      <c r="D820" s="258"/>
    </row>
    <row r="821" ht="15.75" customHeight="1">
      <c r="D821" s="258"/>
    </row>
    <row r="822" ht="15.75" customHeight="1">
      <c r="D822" s="258"/>
    </row>
    <row r="823" ht="15.75" customHeight="1">
      <c r="D823" s="258"/>
    </row>
    <row r="824" ht="15.75" customHeight="1">
      <c r="D824" s="258"/>
    </row>
    <row r="825" ht="15.75" customHeight="1">
      <c r="D825" s="258"/>
    </row>
    <row r="826" ht="15.75" customHeight="1">
      <c r="D826" s="258"/>
    </row>
    <row r="827" ht="15.75" customHeight="1">
      <c r="D827" s="258"/>
    </row>
    <row r="828" ht="15.75" customHeight="1">
      <c r="D828" s="258"/>
    </row>
    <row r="829" ht="15.75" customHeight="1">
      <c r="D829" s="258"/>
    </row>
    <row r="830" ht="15.75" customHeight="1">
      <c r="D830" s="258"/>
    </row>
    <row r="831" ht="15.75" customHeight="1">
      <c r="D831" s="258"/>
    </row>
    <row r="832" ht="15.75" customHeight="1">
      <c r="D832" s="258"/>
    </row>
    <row r="833" ht="15.75" customHeight="1">
      <c r="D833" s="258"/>
    </row>
    <row r="834" ht="15.75" customHeight="1">
      <c r="D834" s="258"/>
    </row>
    <row r="835" ht="15.75" customHeight="1">
      <c r="D835" s="258"/>
    </row>
    <row r="836" ht="15.75" customHeight="1">
      <c r="D836" s="258"/>
    </row>
    <row r="837" ht="15.75" customHeight="1">
      <c r="D837" s="258"/>
    </row>
    <row r="838" ht="15.75" customHeight="1">
      <c r="D838" s="258"/>
    </row>
    <row r="839" ht="15.75" customHeight="1">
      <c r="D839" s="258"/>
    </row>
    <row r="840" ht="15.75" customHeight="1">
      <c r="D840" s="258"/>
    </row>
    <row r="841" ht="15.75" customHeight="1">
      <c r="D841" s="258"/>
    </row>
    <row r="842" ht="15.75" customHeight="1">
      <c r="D842" s="258"/>
    </row>
    <row r="843" ht="15.75" customHeight="1">
      <c r="D843" s="258"/>
    </row>
    <row r="844" ht="15.75" customHeight="1">
      <c r="D844" s="258"/>
    </row>
    <row r="845" ht="15.75" customHeight="1">
      <c r="D845" s="258"/>
    </row>
    <row r="846" ht="15.75" customHeight="1">
      <c r="D846" s="258"/>
    </row>
    <row r="847" ht="15.75" customHeight="1">
      <c r="D847" s="258"/>
    </row>
    <row r="848" ht="15.75" customHeight="1">
      <c r="D848" s="258"/>
    </row>
    <row r="849" ht="15.75" customHeight="1">
      <c r="D849" s="258"/>
    </row>
    <row r="850" ht="15.75" customHeight="1">
      <c r="D850" s="258"/>
    </row>
    <row r="851" ht="15.75" customHeight="1">
      <c r="D851" s="258"/>
    </row>
    <row r="852" ht="15.75" customHeight="1">
      <c r="D852" s="258"/>
    </row>
    <row r="853" ht="15.75" customHeight="1">
      <c r="D853" s="258"/>
    </row>
    <row r="854" ht="15.75" customHeight="1">
      <c r="D854" s="258"/>
    </row>
    <row r="855" ht="15.75" customHeight="1">
      <c r="D855" s="258"/>
    </row>
    <row r="856" ht="15.75" customHeight="1">
      <c r="D856" s="258"/>
    </row>
    <row r="857" ht="15.75" customHeight="1">
      <c r="D857" s="258"/>
    </row>
    <row r="858" ht="15.75" customHeight="1">
      <c r="D858" s="258"/>
    </row>
    <row r="859" ht="15.75" customHeight="1">
      <c r="D859" s="258"/>
    </row>
    <row r="860" ht="15.75" customHeight="1">
      <c r="D860" s="258"/>
    </row>
    <row r="861" ht="15.75" customHeight="1">
      <c r="D861" s="258"/>
    </row>
    <row r="862" ht="15.75" customHeight="1">
      <c r="D862" s="258"/>
    </row>
    <row r="863" ht="15.75" customHeight="1">
      <c r="D863" s="258"/>
    </row>
    <row r="864" ht="15.75" customHeight="1">
      <c r="D864" s="258"/>
    </row>
    <row r="865" ht="15.75" customHeight="1">
      <c r="D865" s="258"/>
    </row>
    <row r="866" ht="15.75" customHeight="1">
      <c r="D866" s="258"/>
    </row>
    <row r="867" ht="15.75" customHeight="1">
      <c r="D867" s="258"/>
    </row>
    <row r="868" ht="15.75" customHeight="1">
      <c r="D868" s="258"/>
    </row>
    <row r="869" ht="15.75" customHeight="1">
      <c r="D869" s="258"/>
    </row>
    <row r="870" ht="15.75" customHeight="1">
      <c r="D870" s="258"/>
    </row>
    <row r="871" ht="15.75" customHeight="1">
      <c r="D871" s="258"/>
    </row>
    <row r="872" ht="15.75" customHeight="1">
      <c r="D872" s="258"/>
    </row>
    <row r="873" ht="15.75" customHeight="1">
      <c r="D873" s="258"/>
    </row>
    <row r="874" ht="15.75" customHeight="1">
      <c r="D874" s="258"/>
    </row>
    <row r="875" ht="15.75" customHeight="1">
      <c r="D875" s="258"/>
    </row>
    <row r="876" ht="15.75" customHeight="1">
      <c r="D876" s="258"/>
    </row>
    <row r="877" ht="15.75" customHeight="1">
      <c r="D877" s="258"/>
    </row>
    <row r="878" ht="15.75" customHeight="1">
      <c r="D878" s="258"/>
    </row>
    <row r="879" ht="15.75" customHeight="1">
      <c r="D879" s="258"/>
    </row>
    <row r="880" ht="15.75" customHeight="1">
      <c r="D880" s="258"/>
    </row>
    <row r="881" ht="15.75" customHeight="1">
      <c r="D881" s="258"/>
    </row>
    <row r="882" ht="15.75" customHeight="1">
      <c r="D882" s="258"/>
    </row>
    <row r="883" ht="15.75" customHeight="1">
      <c r="D883" s="258"/>
    </row>
    <row r="884" ht="15.75" customHeight="1">
      <c r="D884" s="258"/>
    </row>
    <row r="885" ht="15.75" customHeight="1">
      <c r="D885" s="258"/>
    </row>
    <row r="886" ht="15.75" customHeight="1">
      <c r="D886" s="258"/>
    </row>
    <row r="887" ht="15.75" customHeight="1">
      <c r="D887" s="258"/>
    </row>
    <row r="888" ht="15.75" customHeight="1">
      <c r="D888" s="258"/>
    </row>
    <row r="889" ht="15.75" customHeight="1">
      <c r="D889" s="258"/>
    </row>
    <row r="890" ht="15.75" customHeight="1">
      <c r="D890" s="258"/>
    </row>
    <row r="891" ht="15.75" customHeight="1">
      <c r="D891" s="258"/>
    </row>
    <row r="892" ht="15.75" customHeight="1">
      <c r="D892" s="258"/>
    </row>
    <row r="893" ht="15.75" customHeight="1">
      <c r="D893" s="258"/>
    </row>
    <row r="894" ht="15.75" customHeight="1">
      <c r="D894" s="258"/>
    </row>
    <row r="895" ht="15.75" customHeight="1">
      <c r="D895" s="258"/>
    </row>
    <row r="896" ht="15.75" customHeight="1">
      <c r="D896" s="258"/>
    </row>
    <row r="897" ht="15.75" customHeight="1">
      <c r="D897" s="258"/>
    </row>
    <row r="898" ht="15.75" customHeight="1">
      <c r="D898" s="258"/>
    </row>
    <row r="899" ht="15.75" customHeight="1">
      <c r="D899" s="258"/>
    </row>
    <row r="900" ht="15.75" customHeight="1">
      <c r="D900" s="258"/>
    </row>
    <row r="901" ht="15.75" customHeight="1">
      <c r="D901" s="258"/>
    </row>
    <row r="902" ht="15.75" customHeight="1">
      <c r="D902" s="258"/>
    </row>
    <row r="903" ht="15.75" customHeight="1">
      <c r="D903" s="258"/>
    </row>
    <row r="904" ht="15.75" customHeight="1">
      <c r="D904" s="258"/>
    </row>
    <row r="905" ht="15.75" customHeight="1">
      <c r="D905" s="258"/>
    </row>
    <row r="906" ht="15.75" customHeight="1">
      <c r="D906" s="258"/>
    </row>
    <row r="907" ht="15.75" customHeight="1">
      <c r="D907" s="258"/>
    </row>
    <row r="908" ht="15.75" customHeight="1">
      <c r="D908" s="258"/>
    </row>
    <row r="909" ht="15.75" customHeight="1">
      <c r="D909" s="258"/>
    </row>
    <row r="910" ht="15.75" customHeight="1">
      <c r="D910" s="258"/>
    </row>
    <row r="911" ht="15.75" customHeight="1">
      <c r="D911" s="258"/>
    </row>
    <row r="912" ht="15.75" customHeight="1">
      <c r="D912" s="258"/>
    </row>
    <row r="913" ht="15.75" customHeight="1">
      <c r="D913" s="258"/>
    </row>
    <row r="914" ht="15.75" customHeight="1">
      <c r="D914" s="258"/>
    </row>
    <row r="915" ht="15.75" customHeight="1">
      <c r="D915" s="258"/>
    </row>
    <row r="916" ht="15.75" customHeight="1">
      <c r="D916" s="258"/>
    </row>
    <row r="917" ht="15.75" customHeight="1">
      <c r="D917" s="258"/>
    </row>
    <row r="918" ht="15.75" customHeight="1">
      <c r="D918" s="258"/>
    </row>
    <row r="919" ht="15.75" customHeight="1">
      <c r="D919" s="258"/>
    </row>
    <row r="920" ht="15.75" customHeight="1">
      <c r="D920" s="258"/>
    </row>
    <row r="921" ht="15.75" customHeight="1">
      <c r="D921" s="258"/>
    </row>
    <row r="922" ht="15.75" customHeight="1">
      <c r="D922" s="258"/>
    </row>
    <row r="923" ht="15.75" customHeight="1">
      <c r="D923" s="258"/>
    </row>
    <row r="924" ht="15.75" customHeight="1">
      <c r="D924" s="258"/>
    </row>
    <row r="925" ht="15.75" customHeight="1">
      <c r="D925" s="258"/>
    </row>
    <row r="926" ht="15.75" customHeight="1">
      <c r="D926" s="258"/>
    </row>
    <row r="927" ht="15.75" customHeight="1">
      <c r="D927" s="258"/>
    </row>
    <row r="928" ht="15.75" customHeight="1">
      <c r="D928" s="258"/>
    </row>
    <row r="929" ht="15.75" customHeight="1">
      <c r="D929" s="258"/>
    </row>
    <row r="930" ht="15.75" customHeight="1">
      <c r="D930" s="258"/>
    </row>
    <row r="931" ht="15.75" customHeight="1">
      <c r="D931" s="258"/>
    </row>
    <row r="932" ht="15.75" customHeight="1">
      <c r="D932" s="258"/>
    </row>
    <row r="933" ht="15.75" customHeight="1">
      <c r="D933" s="258"/>
    </row>
    <row r="934" ht="15.75" customHeight="1">
      <c r="D934" s="258"/>
    </row>
    <row r="935" ht="15.75" customHeight="1">
      <c r="D935" s="258"/>
    </row>
    <row r="936" ht="15.75" customHeight="1">
      <c r="D936" s="258"/>
    </row>
    <row r="937" ht="15.75" customHeight="1">
      <c r="D937" s="258"/>
    </row>
    <row r="938" ht="15.75" customHeight="1">
      <c r="D938" s="258"/>
    </row>
    <row r="939" ht="15.75" customHeight="1">
      <c r="D939" s="258"/>
    </row>
    <row r="940" ht="15.75" customHeight="1">
      <c r="D940" s="258"/>
    </row>
    <row r="941" ht="15.75" customHeight="1">
      <c r="D941" s="258"/>
    </row>
    <row r="942" ht="15.75" customHeight="1">
      <c r="D942" s="258"/>
    </row>
    <row r="943" ht="15.75" customHeight="1">
      <c r="D943" s="258"/>
    </row>
    <row r="944" ht="15.75" customHeight="1">
      <c r="D944" s="258"/>
    </row>
    <row r="945" ht="15.75" customHeight="1">
      <c r="D945" s="258"/>
    </row>
    <row r="946" ht="15.75" customHeight="1">
      <c r="D946" s="258"/>
    </row>
    <row r="947" ht="15.75" customHeight="1">
      <c r="D947" s="258"/>
    </row>
    <row r="948" ht="15.75" customHeight="1">
      <c r="D948" s="258"/>
    </row>
    <row r="949" ht="15.75" customHeight="1">
      <c r="D949" s="258"/>
    </row>
    <row r="950" ht="15.75" customHeight="1">
      <c r="D950" s="258"/>
    </row>
    <row r="951" ht="15.75" customHeight="1">
      <c r="D951" s="258"/>
    </row>
    <row r="952" ht="15.75" customHeight="1">
      <c r="D952" s="258"/>
    </row>
    <row r="953" ht="15.75" customHeight="1">
      <c r="D953" s="258"/>
    </row>
    <row r="954" ht="15.75" customHeight="1">
      <c r="D954" s="258"/>
    </row>
    <row r="955" ht="15.75" customHeight="1">
      <c r="D955" s="258"/>
    </row>
    <row r="956" ht="15.75" customHeight="1">
      <c r="D956" s="258"/>
    </row>
    <row r="957" ht="15.75" customHeight="1">
      <c r="D957" s="258"/>
    </row>
    <row r="958" ht="15.75" customHeight="1">
      <c r="D958" s="258"/>
    </row>
    <row r="959" ht="15.75" customHeight="1">
      <c r="D959" s="258"/>
    </row>
    <row r="960" ht="15.75" customHeight="1">
      <c r="D960" s="258"/>
    </row>
    <row r="961" ht="15.75" customHeight="1">
      <c r="D961" s="258"/>
    </row>
    <row r="962" ht="15.75" customHeight="1">
      <c r="D962" s="258"/>
    </row>
    <row r="963" ht="15.75" customHeight="1">
      <c r="D963" s="258"/>
    </row>
    <row r="964" ht="15.75" customHeight="1">
      <c r="D964" s="258"/>
    </row>
    <row r="965" ht="15.75" customHeight="1">
      <c r="D965" s="258"/>
    </row>
    <row r="966" ht="15.75" customHeight="1">
      <c r="D966" s="258"/>
    </row>
    <row r="967" ht="15.75" customHeight="1">
      <c r="D967" s="258"/>
    </row>
    <row r="968" ht="15.75" customHeight="1">
      <c r="D968" s="258"/>
    </row>
    <row r="969" ht="15.75" customHeight="1">
      <c r="D969" s="258"/>
    </row>
    <row r="970" ht="15.75" customHeight="1">
      <c r="D970" s="258"/>
    </row>
    <row r="971" ht="15.75" customHeight="1">
      <c r="D971" s="258"/>
    </row>
    <row r="972" ht="15.75" customHeight="1">
      <c r="D972" s="258"/>
    </row>
    <row r="973" ht="15.75" customHeight="1">
      <c r="D973" s="258"/>
    </row>
    <row r="974" ht="15.75" customHeight="1">
      <c r="D974" s="258"/>
    </row>
    <row r="975" ht="15.75" customHeight="1">
      <c r="D975" s="258"/>
    </row>
    <row r="976" ht="15.75" customHeight="1">
      <c r="D976" s="258"/>
    </row>
    <row r="977" ht="15.75" customHeight="1">
      <c r="D977" s="258"/>
    </row>
    <row r="978" ht="15.75" customHeight="1">
      <c r="D978" s="258"/>
    </row>
    <row r="979" ht="15.75" customHeight="1">
      <c r="D979" s="258"/>
    </row>
    <row r="980" ht="15.75" customHeight="1">
      <c r="D980" s="258"/>
    </row>
    <row r="981" ht="15.75" customHeight="1">
      <c r="D981" s="258"/>
    </row>
    <row r="982" ht="15.75" customHeight="1">
      <c r="D982" s="258"/>
    </row>
    <row r="983" ht="15.75" customHeight="1">
      <c r="D983" s="258"/>
    </row>
    <row r="984" ht="15.75" customHeight="1">
      <c r="D984" s="258"/>
    </row>
    <row r="985" ht="15.75" customHeight="1">
      <c r="D985" s="258"/>
    </row>
    <row r="986" ht="15.75" customHeight="1">
      <c r="D986" s="258"/>
    </row>
    <row r="987" ht="15.75" customHeight="1">
      <c r="D987" s="258"/>
    </row>
    <row r="988" ht="15.75" customHeight="1">
      <c r="D988" s="258"/>
    </row>
    <row r="989" ht="15.75" customHeight="1">
      <c r="D989" s="258"/>
    </row>
    <row r="990" ht="15.75" customHeight="1">
      <c r="D990" s="258"/>
    </row>
    <row r="991" ht="15.75" customHeight="1">
      <c r="D991" s="258"/>
    </row>
    <row r="992" ht="15.75" customHeight="1">
      <c r="D992" s="258"/>
    </row>
    <row r="993" ht="15.75" customHeight="1">
      <c r="D993" s="258"/>
    </row>
    <row r="994" ht="15.75" customHeight="1">
      <c r="D994" s="258"/>
    </row>
    <row r="995" ht="15.75" customHeight="1">
      <c r="D995" s="258"/>
    </row>
    <row r="996" ht="15.75" customHeight="1">
      <c r="D996" s="258"/>
    </row>
    <row r="997" ht="15.75" customHeight="1">
      <c r="D997" s="258"/>
    </row>
    <row r="998" ht="15.75" customHeight="1">
      <c r="D998" s="258"/>
    </row>
    <row r="999" ht="15.75" customHeight="1">
      <c r="D999" s="258"/>
    </row>
    <row r="1000" ht="15.75" customHeight="1">
      <c r="D1000" s="258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6" t="s">
        <v>138</v>
      </c>
      <c r="B1" s="306" t="s">
        <v>10</v>
      </c>
      <c r="C1" s="306" t="s">
        <v>82</v>
      </c>
      <c r="D1" s="307" t="s">
        <v>130</v>
      </c>
      <c r="E1" s="306" t="s">
        <v>17</v>
      </c>
      <c r="F1" s="306" t="s">
        <v>82</v>
      </c>
      <c r="G1" s="307" t="s">
        <v>130</v>
      </c>
      <c r="H1" s="306" t="s">
        <v>25</v>
      </c>
      <c r="I1" s="306" t="s">
        <v>82</v>
      </c>
      <c r="J1" s="306" t="s">
        <v>130</v>
      </c>
      <c r="K1" s="308" t="s">
        <v>142</v>
      </c>
      <c r="L1" s="306" t="s">
        <v>82</v>
      </c>
      <c r="M1" s="306" t="s">
        <v>130</v>
      </c>
      <c r="N1" s="308" t="s">
        <v>143</v>
      </c>
      <c r="O1" s="306" t="s">
        <v>82</v>
      </c>
      <c r="P1" s="306" t="s">
        <v>130</v>
      </c>
      <c r="Q1" s="306" t="s">
        <v>44</v>
      </c>
      <c r="R1" s="306" t="s">
        <v>82</v>
      </c>
      <c r="S1" s="306" t="s">
        <v>130</v>
      </c>
      <c r="T1" s="306" t="s">
        <v>51</v>
      </c>
      <c r="U1" s="306" t="s">
        <v>82</v>
      </c>
      <c r="V1" s="306" t="s">
        <v>130</v>
      </c>
      <c r="W1" s="306" t="s">
        <v>52</v>
      </c>
      <c r="X1" s="306" t="s">
        <v>82</v>
      </c>
      <c r="Y1" s="306" t="s">
        <v>130</v>
      </c>
      <c r="Z1" s="309" t="s">
        <v>59</v>
      </c>
      <c r="AA1" s="306" t="s">
        <v>82</v>
      </c>
      <c r="AB1" s="306" t="s">
        <v>130</v>
      </c>
      <c r="AC1" s="306" t="s">
        <v>66</v>
      </c>
      <c r="AD1" s="306" t="s">
        <v>82</v>
      </c>
      <c r="AE1" s="306" t="s">
        <v>130</v>
      </c>
      <c r="AF1" s="306" t="s">
        <v>67</v>
      </c>
      <c r="AG1" s="306" t="s">
        <v>82</v>
      </c>
      <c r="AH1" s="306" t="s">
        <v>130</v>
      </c>
      <c r="AI1" s="306" t="s">
        <v>74</v>
      </c>
      <c r="AJ1" s="306" t="s">
        <v>82</v>
      </c>
      <c r="AK1" s="306" t="s">
        <v>130</v>
      </c>
      <c r="AL1" s="306" t="s">
        <v>144</v>
      </c>
      <c r="AM1" s="306" t="s">
        <v>82</v>
      </c>
      <c r="AN1" s="306" t="s">
        <v>130</v>
      </c>
      <c r="AO1" s="306" t="s">
        <v>145</v>
      </c>
      <c r="AP1" s="306" t="s">
        <v>146</v>
      </c>
      <c r="AQ1" s="306" t="s">
        <v>149</v>
      </c>
      <c r="AR1" s="306" t="s">
        <v>150</v>
      </c>
      <c r="AS1" s="306" t="s">
        <v>151</v>
      </c>
      <c r="AT1" s="306" t="s">
        <v>152</v>
      </c>
      <c r="AU1" s="306" t="s">
        <v>153</v>
      </c>
    </row>
    <row r="2">
      <c r="A2" s="310" t="s">
        <v>147</v>
      </c>
      <c r="B2" s="348" t="str">
        <f>100%+'Quaterly Tables'!I3</f>
        <v>#REF!</v>
      </c>
      <c r="C2" s="335" t="str">
        <f t="shared" ref="C2:C6" si="1">IFS(B2="", "", B2&lt;90%,0, B2&lt;95%,1, B2&lt;=98%,2, B2&lt;=101%,3, B2&lt;=105%,4, TRUE,5)</f>
        <v>#REF!</v>
      </c>
      <c r="D2" s="336" t="str">
        <f t="shared" ref="D2:D6" si="2">IF(C2="","",C2*5/100)</f>
        <v>#REF!</v>
      </c>
      <c r="E2" s="337" t="str">
        <f>100%+'Quaterly Tables'!F3</f>
        <v>#REF!</v>
      </c>
      <c r="F2" s="338" t="str">
        <f t="shared" ref="F2:F6" si="3">IFS(E2="", "", E2&lt;90%,0, E2&lt;95%,1, E2&lt;=98%,2, E2&lt;=101%,3, E2&lt;=105%,4, TRUE,5)</f>
        <v>#REF!</v>
      </c>
      <c r="G2" s="339" t="str">
        <f t="shared" ref="G2:G6" si="4">IF(F2="","",F2*5/100)</f>
        <v>#REF!</v>
      </c>
      <c r="H2" s="348" t="str">
        <f>100%+'Quaterly Tables'!V3</f>
        <v>#REF!</v>
      </c>
      <c r="I2" s="335" t="str">
        <f t="shared" ref="I2:I6" si="5">IFS(H2="", "", H2&lt;75%,0, H2&lt;85%,1, H2&lt;95%,2, H2&lt;=100%,3, H2&lt;=105%,4, TRUE,5)</f>
        <v>#REF!</v>
      </c>
      <c r="J2" s="346" t="str">
        <f t="shared" ref="J2:J6" si="6">IF(I2="","",I2*15/100)</f>
        <v>#REF!</v>
      </c>
      <c r="K2" s="343" t="str">
        <f>'Quaterly Tables'!L3*100</f>
        <v>#REF!</v>
      </c>
      <c r="L2" s="338" t="str">
        <f t="shared" ref="L2:L6" si="7">IFS(K2="", "", K2&gt;=3,0, K2&gt;=2,1, K2&gt;=1,2, K2&gt;=0,3, K2&lt;=-1,5, K2&lt;=-0.5,4, TRUE,3)</f>
        <v>#REF!</v>
      </c>
      <c r="M2" s="344" t="str">
        <f t="shared" ref="M2:M6" si="8">IF(L2="","",L2*12.5/100)</f>
        <v>#REF!</v>
      </c>
      <c r="N2" s="345" t="str">
        <f>'Quaterly Tables'!O3*100</f>
        <v>#REF!</v>
      </c>
      <c r="O2" s="335" t="str">
        <f t="shared" ref="O2:O6" si="9">IFS(N2="", "", N2&gt;=3,0, N2&gt;=2,1, N2&gt;=1,2, N2&gt;=0,3, N2&lt;=-1,5, N2&lt;=-0.5,4, TRUE,3)</f>
        <v>#REF!</v>
      </c>
      <c r="P2" s="346" t="str">
        <f t="shared" ref="P2:P6" si="10">IF(O2="","",O2*12.5/100)</f>
        <v>#REF!</v>
      </c>
      <c r="Q2" s="409">
        <f>'Quaterly Tables'!H12</f>
        <v>5</v>
      </c>
      <c r="R2" s="312">
        <f t="shared" ref="R2:R6" si="11">IFS(Q2="", "", Q2="NA","" ,Q2&lt;3.8,0, Q2&lt;4,1, Q2&lt;4.3,2, Q2&lt;4.5,3, Q2&lt;4.7,4, TRUE,5)</f>
        <v>5</v>
      </c>
      <c r="S2" s="344">
        <f t="shared" ref="S2:S6" si="12">IF(R2="","",R2*17.5/100)</f>
        <v>0.875</v>
      </c>
      <c r="T2" s="348" t="str">
        <f>'Quaterly Tables'!F12</f>
        <v>NA</v>
      </c>
      <c r="U2" s="335" t="str">
        <f t="shared" ref="U2:U6" si="13">IFS(T2="", "", T2="NA","" ,T2&lt;3.8,0, T2&lt;4,1, T2&lt;4.3,2, T2&lt;4.5,3, T2&lt;4.7,4, TRUE,5)</f>
        <v/>
      </c>
      <c r="V2" s="346" t="str">
        <f t="shared" ref="V2:V6" si="14">IF(U2="","",U2*7.5/100)</f>
        <v/>
      </c>
      <c r="W2" s="349">
        <f>'Quaterly Tables'!I20</f>
        <v>0.0405</v>
      </c>
      <c r="X2" s="338">
        <f t="shared" ref="X2:X6" si="15">IFS(W2="", "", W2&gt;6%,0, W2&gt;4%,1, W2&gt;2%,2, W2&gt;1.5%,3, W2&gt;1%,4, TRUE,5)</f>
        <v>1</v>
      </c>
      <c r="Y2" s="344">
        <f t="shared" ref="Y2:Y6" si="16">IF(X2="","",X2*10/100)</f>
        <v>0.1</v>
      </c>
      <c r="Z2" s="350">
        <f>'Quaterly Tables'!H31</f>
        <v>0.57</v>
      </c>
      <c r="AA2" s="335">
        <f t="shared" ref="AA2:AA6" si="17">IFS(Z2="","", VALUE(Z2)&gt;8,0, VALUE(Z2)&gt;5,1, VALUE(Z2)&gt;2,2, VALUE(Z2)&gt;1.5,3, VALUE(Z2)&gt;1,4, TRUE,5)</f>
        <v>5</v>
      </c>
      <c r="AB2" s="346">
        <f t="shared" ref="AB2:AB6" si="18">IF(AA2="","",AA2*7.5/100)</f>
        <v>0.375</v>
      </c>
      <c r="AC2" s="351">
        <f>'Quaterly Tables'!E20</f>
        <v>4</v>
      </c>
      <c r="AD2" s="338">
        <f t="shared" ref="AD2:AD6" si="19">IFS(AC2="", "", AC2&lt;3.8,0, AC2&lt;4,1, AC2&lt;4.3,2, AC2&lt;4.5,3, AC2&lt;4.7,4, TRUE,5)</f>
        <v>2</v>
      </c>
      <c r="AE2" s="344">
        <f t="shared" ref="AE2:AE6" si="20">IF(AD2="","",AD2*7.5/100)</f>
        <v>0.15</v>
      </c>
      <c r="AF2" s="352">
        <v>86.0</v>
      </c>
      <c r="AG2" s="335">
        <f t="shared" ref="AG2:AG6" si="21">IFS(AF2="", "", AF2&lt;70,0, AF2&lt;75,1, AF2&lt;83,2, AF2&lt;89,3, AF2&lt;94,4, TRUE,5)</f>
        <v>3</v>
      </c>
      <c r="AH2" s="346">
        <f t="shared" ref="AH2:AH6" si="22">IF(AG2="","",AG2*12.5/100)</f>
        <v>0.375</v>
      </c>
      <c r="AI2" s="353">
        <v>90.0</v>
      </c>
      <c r="AJ2" s="338">
        <f t="shared" ref="AJ2:AJ6" si="23">IFS(AI2="", "", AI2&lt;70,0, AI2&lt;75,1, AI2&lt;83,2, AI2&lt;89,3, AI2&lt;94,4, TRUE,5)</f>
        <v>4</v>
      </c>
      <c r="AK2" s="344">
        <f t="shared" ref="AK2:AK6" si="24">IF(AJ2="","",AJ2*6.25/100)</f>
        <v>0.25</v>
      </c>
      <c r="AL2" s="352">
        <v>95.0</v>
      </c>
      <c r="AM2" s="335">
        <f t="shared" ref="AM2:AM6" si="25">IFS(AL2="", "", AL2&lt;70,0, AL2&lt;75,1, AL2&lt;83,2, AL2&lt;89,3, AL2&lt;94,4, TRUE,5)</f>
        <v>5</v>
      </c>
      <c r="AN2" s="346">
        <f t="shared" ref="AN2:AN6" si="26">IF(AM2="","",AM2*6.25/100)</f>
        <v>0.3125</v>
      </c>
      <c r="AO2" s="410">
        <v>89.0</v>
      </c>
      <c r="AP2" s="332" t="str">
        <f t="shared" ref="AP2:AP6" si="27">SUM(D2,G2,J2,M2,P2,S2,V2,Y2,AB2,AE2,AH2,AK2,AN2)</f>
        <v>#REF!</v>
      </c>
      <c r="AQ2" s="411" t="str">
        <f t="shared" ref="AQ2:AQ6" si="28">IF(AND(AP2&gt;=2.7,AO2&gt;=87),"Eligible","Not Eligible")</f>
        <v>#REF!</v>
      </c>
      <c r="AR2" s="412" t="str">
        <f t="shared" ref="AR2:AR6" si="29">IF(AQ2&lt;&gt;"Eligible",0,IF(AP2&lt;3.7,0.5,IF(AP2&lt;4.7,0.75,1)))</f>
        <v>#REF!</v>
      </c>
      <c r="AS2" s="413">
        <v>10000.0</v>
      </c>
      <c r="AT2" s="414" t="str">
        <f t="shared" ref="AT2:AT6" si="30">AS2*AR2</f>
        <v>#REF!</v>
      </c>
      <c r="AU2" s="414" t="str">
        <f t="shared" ref="AU2:AU6" si="31">AT2/4</f>
        <v>#REF!</v>
      </c>
    </row>
    <row r="3">
      <c r="A3" s="333" t="s">
        <v>131</v>
      </c>
      <c r="B3" s="348" t="str">
        <f>100%+'Quaterly Tables'!I4</f>
        <v>#DIV/0!</v>
      </c>
      <c r="C3" s="335" t="str">
        <f t="shared" si="1"/>
        <v>#DIV/0!</v>
      </c>
      <c r="D3" s="336" t="str">
        <f t="shared" si="2"/>
        <v>#DIV/0!</v>
      </c>
      <c r="E3" s="337" t="str">
        <f>100%+'Quaterly Tables'!F4</f>
        <v>#DIV/0!</v>
      </c>
      <c r="F3" s="338" t="str">
        <f t="shared" si="3"/>
        <v>#DIV/0!</v>
      </c>
      <c r="G3" s="339" t="str">
        <f t="shared" si="4"/>
        <v>#DIV/0!</v>
      </c>
      <c r="H3" s="415">
        <f>100%+'Quaterly Tables'!V4</f>
        <v>1</v>
      </c>
      <c r="I3" s="335">
        <f t="shared" si="5"/>
        <v>3</v>
      </c>
      <c r="J3" s="346">
        <f t="shared" si="6"/>
        <v>0.45</v>
      </c>
      <c r="K3" s="343">
        <f>'Quaterly Tables'!L4*100</f>
        <v>0</v>
      </c>
      <c r="L3" s="338">
        <f t="shared" si="7"/>
        <v>3</v>
      </c>
      <c r="M3" s="344">
        <f t="shared" si="8"/>
        <v>0.375</v>
      </c>
      <c r="N3" s="345">
        <f>'Quaterly Tables'!O4*100</f>
        <v>0</v>
      </c>
      <c r="O3" s="335">
        <f t="shared" si="9"/>
        <v>3</v>
      </c>
      <c r="P3" s="346">
        <f t="shared" si="10"/>
        <v>0.375</v>
      </c>
      <c r="Q3" s="347">
        <f>'Quaterly Tables'!H15</f>
        <v>4.75</v>
      </c>
      <c r="R3" s="335">
        <f t="shared" si="11"/>
        <v>5</v>
      </c>
      <c r="S3" s="344">
        <f t="shared" si="12"/>
        <v>0.875</v>
      </c>
      <c r="T3" s="348">
        <f>'Quaterly Tables'!F15</f>
        <v>4</v>
      </c>
      <c r="U3" s="335">
        <f t="shared" si="13"/>
        <v>2</v>
      </c>
      <c r="V3" s="346">
        <f t="shared" si="14"/>
        <v>0.15</v>
      </c>
      <c r="W3" s="349">
        <f>'Quaterly Tables'!I23</f>
        <v>0.0315</v>
      </c>
      <c r="X3" s="338">
        <f t="shared" si="15"/>
        <v>2</v>
      </c>
      <c r="Y3" s="344">
        <f t="shared" si="16"/>
        <v>0.2</v>
      </c>
      <c r="Z3" s="350">
        <f>'Quaterly Tables'!H34</f>
        <v>1.48</v>
      </c>
      <c r="AA3" s="335">
        <f t="shared" si="17"/>
        <v>4</v>
      </c>
      <c r="AB3" s="346">
        <f t="shared" si="18"/>
        <v>0.3</v>
      </c>
      <c r="AC3" s="351">
        <f>'Quaterly Tables'!E23</f>
        <v>4.4</v>
      </c>
      <c r="AD3" s="338">
        <f t="shared" si="19"/>
        <v>3</v>
      </c>
      <c r="AE3" s="344">
        <f t="shared" si="20"/>
        <v>0.225</v>
      </c>
      <c r="AF3" s="352">
        <v>67.0</v>
      </c>
      <c r="AG3" s="335">
        <f t="shared" si="21"/>
        <v>0</v>
      </c>
      <c r="AH3" s="346">
        <f t="shared" si="22"/>
        <v>0</v>
      </c>
      <c r="AI3" s="353">
        <v>70.0</v>
      </c>
      <c r="AJ3" s="338">
        <f t="shared" si="23"/>
        <v>1</v>
      </c>
      <c r="AK3" s="344">
        <f t="shared" si="24"/>
        <v>0.0625</v>
      </c>
      <c r="AL3" s="352">
        <v>76.0</v>
      </c>
      <c r="AM3" s="335">
        <f t="shared" si="25"/>
        <v>2</v>
      </c>
      <c r="AN3" s="346">
        <f t="shared" si="26"/>
        <v>0.125</v>
      </c>
      <c r="AO3" s="354">
        <v>87.0</v>
      </c>
      <c r="AP3" s="332" t="str">
        <f t="shared" si="27"/>
        <v>#DIV/0!</v>
      </c>
      <c r="AQ3" s="411" t="str">
        <f t="shared" si="28"/>
        <v>#DIV/0!</v>
      </c>
      <c r="AR3" s="412" t="str">
        <f t="shared" si="29"/>
        <v>#DIV/0!</v>
      </c>
      <c r="AS3" s="413">
        <v>10000.0</v>
      </c>
      <c r="AT3" s="414" t="str">
        <f t="shared" si="30"/>
        <v>#DIV/0!</v>
      </c>
      <c r="AU3" s="414" t="str">
        <f t="shared" si="31"/>
        <v>#DIV/0!</v>
      </c>
    </row>
    <row r="4">
      <c r="A4" s="333" t="s">
        <v>132</v>
      </c>
      <c r="B4" s="348" t="str">
        <f>100%+'Quaterly Tables'!I5</f>
        <v>#DIV/0!</v>
      </c>
      <c r="C4" s="335" t="str">
        <f t="shared" si="1"/>
        <v>#DIV/0!</v>
      </c>
      <c r="D4" s="336" t="str">
        <f t="shared" si="2"/>
        <v>#DIV/0!</v>
      </c>
      <c r="E4" s="337" t="str">
        <f>100%+'Quaterly Tables'!F5</f>
        <v>#DIV/0!</v>
      </c>
      <c r="F4" s="338" t="str">
        <f t="shared" si="3"/>
        <v>#DIV/0!</v>
      </c>
      <c r="G4" s="339" t="str">
        <f t="shared" si="4"/>
        <v>#DIV/0!</v>
      </c>
      <c r="H4" s="415">
        <f>100%+'Quaterly Tables'!V5</f>
        <v>1</v>
      </c>
      <c r="I4" s="335">
        <f t="shared" si="5"/>
        <v>3</v>
      </c>
      <c r="J4" s="346">
        <f t="shared" si="6"/>
        <v>0.45</v>
      </c>
      <c r="K4" s="343">
        <f>'Quaterly Tables'!L5*100</f>
        <v>0</v>
      </c>
      <c r="L4" s="338">
        <f t="shared" si="7"/>
        <v>3</v>
      </c>
      <c r="M4" s="344">
        <f t="shared" si="8"/>
        <v>0.375</v>
      </c>
      <c r="N4" s="345">
        <f>'Quaterly Tables'!O5*100</f>
        <v>0</v>
      </c>
      <c r="O4" s="335">
        <f t="shared" si="9"/>
        <v>3</v>
      </c>
      <c r="P4" s="346">
        <f t="shared" si="10"/>
        <v>0.375</v>
      </c>
      <c r="Q4" s="347">
        <f>'Quaterly Tables'!H13</f>
        <v>3.97</v>
      </c>
      <c r="R4" s="335">
        <f t="shared" si="11"/>
        <v>1</v>
      </c>
      <c r="S4" s="344">
        <f t="shared" si="12"/>
        <v>0.175</v>
      </c>
      <c r="T4" s="348">
        <f>'Quaterly Tables'!F13</f>
        <v>1</v>
      </c>
      <c r="U4" s="335">
        <f t="shared" si="13"/>
        <v>0</v>
      </c>
      <c r="V4" s="346">
        <f t="shared" si="14"/>
        <v>0</v>
      </c>
      <c r="W4" s="349">
        <f>'Quaterly Tables'!I21</f>
        <v>0.0264</v>
      </c>
      <c r="X4" s="338">
        <f t="shared" si="15"/>
        <v>2</v>
      </c>
      <c r="Y4" s="344">
        <f t="shared" si="16"/>
        <v>0.2</v>
      </c>
      <c r="Z4" s="350">
        <f>'Quaterly Tables'!H32</f>
        <v>0.59</v>
      </c>
      <c r="AA4" s="335">
        <f t="shared" si="17"/>
        <v>5</v>
      </c>
      <c r="AB4" s="346">
        <f t="shared" si="18"/>
        <v>0.375</v>
      </c>
      <c r="AC4" s="351">
        <f>'Quaterly Tables'!E21</f>
        <v>4.5</v>
      </c>
      <c r="AD4" s="338">
        <f t="shared" si="19"/>
        <v>4</v>
      </c>
      <c r="AE4" s="344">
        <f t="shared" si="20"/>
        <v>0.3</v>
      </c>
      <c r="AF4" s="352">
        <v>72.0</v>
      </c>
      <c r="AG4" s="335">
        <f t="shared" si="21"/>
        <v>1</v>
      </c>
      <c r="AH4" s="346">
        <f t="shared" si="22"/>
        <v>0.125</v>
      </c>
      <c r="AI4" s="353">
        <v>76.0</v>
      </c>
      <c r="AJ4" s="338">
        <f t="shared" si="23"/>
        <v>2</v>
      </c>
      <c r="AK4" s="344">
        <f t="shared" si="24"/>
        <v>0.125</v>
      </c>
      <c r="AL4" s="352">
        <v>78.0</v>
      </c>
      <c r="AM4" s="335">
        <f t="shared" si="25"/>
        <v>2</v>
      </c>
      <c r="AN4" s="346">
        <f t="shared" si="26"/>
        <v>0.125</v>
      </c>
      <c r="AO4" s="354">
        <v>93.0</v>
      </c>
      <c r="AP4" s="332" t="str">
        <f t="shared" si="27"/>
        <v>#DIV/0!</v>
      </c>
      <c r="AQ4" s="411" t="str">
        <f t="shared" si="28"/>
        <v>#DIV/0!</v>
      </c>
      <c r="AR4" s="412" t="str">
        <f t="shared" si="29"/>
        <v>#DIV/0!</v>
      </c>
      <c r="AS4" s="413">
        <v>10000.0</v>
      </c>
      <c r="AT4" s="414" t="str">
        <f t="shared" si="30"/>
        <v>#DIV/0!</v>
      </c>
      <c r="AU4" s="414" t="str">
        <f t="shared" si="31"/>
        <v>#DIV/0!</v>
      </c>
    </row>
    <row r="5">
      <c r="A5" s="333" t="s">
        <v>133</v>
      </c>
      <c r="B5" s="348" t="str">
        <f>100%+'Quaterly Tables'!I6</f>
        <v>#DIV/0!</v>
      </c>
      <c r="C5" s="335" t="str">
        <f t="shared" si="1"/>
        <v>#DIV/0!</v>
      </c>
      <c r="D5" s="336" t="str">
        <f t="shared" si="2"/>
        <v>#DIV/0!</v>
      </c>
      <c r="E5" s="337" t="str">
        <f>100%+'Quaterly Tables'!F6</f>
        <v>#DIV/0!</v>
      </c>
      <c r="F5" s="338" t="str">
        <f t="shared" si="3"/>
        <v>#DIV/0!</v>
      </c>
      <c r="G5" s="339" t="str">
        <f t="shared" si="4"/>
        <v>#DIV/0!</v>
      </c>
      <c r="H5" s="415">
        <f>100%+'Quaterly Tables'!V6</f>
        <v>1</v>
      </c>
      <c r="I5" s="335">
        <f t="shared" si="5"/>
        <v>3</v>
      </c>
      <c r="J5" s="346">
        <f t="shared" si="6"/>
        <v>0.45</v>
      </c>
      <c r="K5" s="343">
        <f>'Quaterly Tables'!L6*100</f>
        <v>0</v>
      </c>
      <c r="L5" s="338">
        <f t="shared" si="7"/>
        <v>3</v>
      </c>
      <c r="M5" s="344">
        <f t="shared" si="8"/>
        <v>0.375</v>
      </c>
      <c r="N5" s="345">
        <f>'Quaterly Tables'!O6*100</f>
        <v>0</v>
      </c>
      <c r="O5" s="335">
        <f t="shared" si="9"/>
        <v>3</v>
      </c>
      <c r="P5" s="346">
        <f t="shared" si="10"/>
        <v>0.375</v>
      </c>
      <c r="Q5" s="347">
        <f>'Quaterly Tables'!H14</f>
        <v>4.33</v>
      </c>
      <c r="R5" s="335">
        <f t="shared" si="11"/>
        <v>3</v>
      </c>
      <c r="S5" s="344">
        <f t="shared" si="12"/>
        <v>0.525</v>
      </c>
      <c r="T5" s="348" t="str">
        <f>'Quaterly Tables'!F14</f>
        <v>NA</v>
      </c>
      <c r="U5" s="335" t="str">
        <f t="shared" si="13"/>
        <v/>
      </c>
      <c r="V5" s="346" t="str">
        <f t="shared" si="14"/>
        <v/>
      </c>
      <c r="W5" s="349">
        <f>'Quaterly Tables'!I22</f>
        <v>0.0315</v>
      </c>
      <c r="X5" s="338">
        <f t="shared" si="15"/>
        <v>2</v>
      </c>
      <c r="Y5" s="344">
        <f t="shared" si="16"/>
        <v>0.2</v>
      </c>
      <c r="Z5" s="350">
        <f>'Quaterly Tables'!H33</f>
        <v>1.14</v>
      </c>
      <c r="AA5" s="335">
        <f t="shared" si="17"/>
        <v>4</v>
      </c>
      <c r="AB5" s="346">
        <f t="shared" si="18"/>
        <v>0.3</v>
      </c>
      <c r="AC5" s="351">
        <f>'Quaterly Tables'!E22</f>
        <v>4.3</v>
      </c>
      <c r="AD5" s="338">
        <f t="shared" si="19"/>
        <v>3</v>
      </c>
      <c r="AE5" s="344">
        <f t="shared" si="20"/>
        <v>0.225</v>
      </c>
      <c r="AF5" s="352">
        <v>70.0</v>
      </c>
      <c r="AG5" s="335">
        <f t="shared" si="21"/>
        <v>1</v>
      </c>
      <c r="AH5" s="346">
        <f t="shared" si="22"/>
        <v>0.125</v>
      </c>
      <c r="AI5" s="353">
        <v>75.0</v>
      </c>
      <c r="AJ5" s="338">
        <f t="shared" si="23"/>
        <v>2</v>
      </c>
      <c r="AK5" s="344">
        <f t="shared" si="24"/>
        <v>0.125</v>
      </c>
      <c r="AL5" s="352">
        <v>71.0</v>
      </c>
      <c r="AM5" s="335">
        <f t="shared" si="25"/>
        <v>1</v>
      </c>
      <c r="AN5" s="346">
        <f t="shared" si="26"/>
        <v>0.0625</v>
      </c>
      <c r="AO5" s="355">
        <v>80.0</v>
      </c>
      <c r="AP5" s="332" t="str">
        <f t="shared" si="27"/>
        <v>#DIV/0!</v>
      </c>
      <c r="AQ5" s="411" t="str">
        <f t="shared" si="28"/>
        <v>#DIV/0!</v>
      </c>
      <c r="AR5" s="412" t="str">
        <f t="shared" si="29"/>
        <v>#DIV/0!</v>
      </c>
      <c r="AS5" s="413">
        <v>10000.0</v>
      </c>
      <c r="AT5" s="414" t="str">
        <f t="shared" si="30"/>
        <v>#DIV/0!</v>
      </c>
      <c r="AU5" s="414" t="str">
        <f t="shared" si="31"/>
        <v>#DIV/0!</v>
      </c>
    </row>
    <row r="6">
      <c r="A6" s="310" t="s">
        <v>134</v>
      </c>
      <c r="B6" s="370" t="str">
        <f>100%+'Quaterly Tables'!I7</f>
        <v>#DIV/0!</v>
      </c>
      <c r="C6" s="357" t="str">
        <f t="shared" si="1"/>
        <v>#DIV/0!</v>
      </c>
      <c r="D6" s="358" t="str">
        <f t="shared" si="2"/>
        <v>#DIV/0!</v>
      </c>
      <c r="E6" s="359" t="str">
        <f>100%+'Quaterly Tables'!F7</f>
        <v>#DIV/0!</v>
      </c>
      <c r="F6" s="360" t="str">
        <f t="shared" si="3"/>
        <v>#DIV/0!</v>
      </c>
      <c r="G6" s="361" t="str">
        <f t="shared" si="4"/>
        <v>#DIV/0!</v>
      </c>
      <c r="H6" s="416">
        <f>100%+'Quaterly Tables'!V7</f>
        <v>1</v>
      </c>
      <c r="I6" s="357">
        <f t="shared" si="5"/>
        <v>3</v>
      </c>
      <c r="J6" s="368">
        <f t="shared" si="6"/>
        <v>0.45</v>
      </c>
      <c r="K6" s="365">
        <f>'Quaterly Tables'!L7*100</f>
        <v>0</v>
      </c>
      <c r="L6" s="360">
        <f t="shared" si="7"/>
        <v>3</v>
      </c>
      <c r="M6" s="366">
        <f t="shared" si="8"/>
        <v>0.375</v>
      </c>
      <c r="N6" s="367">
        <f>'Quaterly Tables'!O7*100</f>
        <v>0</v>
      </c>
      <c r="O6" s="357">
        <f t="shared" si="9"/>
        <v>3</v>
      </c>
      <c r="P6" s="368">
        <f t="shared" si="10"/>
        <v>0.375</v>
      </c>
      <c r="Q6" s="369">
        <f>'Quaterly Tables'!H16</f>
        <v>4.47</v>
      </c>
      <c r="R6" s="357">
        <f t="shared" si="11"/>
        <v>3</v>
      </c>
      <c r="S6" s="366">
        <f t="shared" si="12"/>
        <v>0.525</v>
      </c>
      <c r="T6" s="370" t="str">
        <f>'Quaterly Tables'!F16</f>
        <v>NA</v>
      </c>
      <c r="U6" s="357" t="str">
        <f t="shared" si="13"/>
        <v/>
      </c>
      <c r="V6" s="368" t="str">
        <f t="shared" si="14"/>
        <v/>
      </c>
      <c r="W6" s="371">
        <f>'Quaterly Tables'!I24</f>
        <v>0.045</v>
      </c>
      <c r="X6" s="360">
        <f t="shared" si="15"/>
        <v>1</v>
      </c>
      <c r="Y6" s="366">
        <f t="shared" si="16"/>
        <v>0.1</v>
      </c>
      <c r="Z6" s="372">
        <f>'Quaterly Tables'!H30</f>
        <v>2.03</v>
      </c>
      <c r="AA6" s="357">
        <f t="shared" si="17"/>
        <v>2</v>
      </c>
      <c r="AB6" s="368">
        <f t="shared" si="18"/>
        <v>0.15</v>
      </c>
      <c r="AC6" s="373">
        <f>'Quaterly Tables'!E24</f>
        <v>4.3</v>
      </c>
      <c r="AD6" s="360">
        <f t="shared" si="19"/>
        <v>3</v>
      </c>
      <c r="AE6" s="366">
        <f t="shared" si="20"/>
        <v>0.225</v>
      </c>
      <c r="AF6" s="374">
        <v>56.0</v>
      </c>
      <c r="AG6" s="357">
        <f t="shared" si="21"/>
        <v>0</v>
      </c>
      <c r="AH6" s="368">
        <f t="shared" si="22"/>
        <v>0</v>
      </c>
      <c r="AI6" s="375">
        <v>60.0</v>
      </c>
      <c r="AJ6" s="360">
        <f t="shared" si="23"/>
        <v>0</v>
      </c>
      <c r="AK6" s="366">
        <f t="shared" si="24"/>
        <v>0</v>
      </c>
      <c r="AL6" s="374">
        <v>60.0</v>
      </c>
      <c r="AM6" s="357">
        <f t="shared" si="25"/>
        <v>0</v>
      </c>
      <c r="AN6" s="368">
        <f t="shared" si="26"/>
        <v>0</v>
      </c>
      <c r="AO6" s="376">
        <v>78.0</v>
      </c>
      <c r="AP6" s="332" t="str">
        <f t="shared" si="27"/>
        <v>#DIV/0!</v>
      </c>
      <c r="AQ6" s="411" t="str">
        <f t="shared" si="28"/>
        <v>#DIV/0!</v>
      </c>
      <c r="AR6" s="412" t="str">
        <f t="shared" si="29"/>
        <v>#DIV/0!</v>
      </c>
      <c r="AS6" s="413">
        <v>10000.0</v>
      </c>
      <c r="AT6" s="414" t="str">
        <f t="shared" si="30"/>
        <v>#DIV/0!</v>
      </c>
      <c r="AU6" s="414" t="str">
        <f t="shared" si="31"/>
        <v>#DIV/0!</v>
      </c>
    </row>
    <row r="7">
      <c r="D7" s="155"/>
      <c r="G7" s="155"/>
      <c r="K7" s="255"/>
      <c r="N7" s="255"/>
      <c r="T7" s="256"/>
      <c r="Z7" s="257"/>
    </row>
    <row r="8">
      <c r="D8" s="155"/>
      <c r="G8" s="155"/>
      <c r="K8" s="255"/>
      <c r="N8" s="255"/>
      <c r="T8" s="256"/>
      <c r="Z8" s="257"/>
    </row>
    <row r="9">
      <c r="D9" s="155"/>
      <c r="G9" s="155"/>
      <c r="K9" s="255"/>
      <c r="N9" s="255"/>
      <c r="T9" s="256"/>
      <c r="Z9" s="257"/>
    </row>
    <row r="10">
      <c r="D10" s="155"/>
      <c r="G10" s="155"/>
      <c r="K10" s="255"/>
      <c r="N10" s="255"/>
      <c r="T10" s="256"/>
      <c r="Z10" s="257"/>
    </row>
    <row r="11">
      <c r="D11" s="155"/>
      <c r="G11" s="155"/>
      <c r="K11" s="255"/>
      <c r="N11" s="255"/>
      <c r="T11" s="256"/>
      <c r="Z11" s="257"/>
    </row>
    <row r="12">
      <c r="D12" s="155"/>
      <c r="G12" s="155"/>
      <c r="K12" s="255"/>
      <c r="N12" s="255"/>
      <c r="T12" s="256"/>
      <c r="Z12" s="257"/>
    </row>
    <row r="13">
      <c r="D13" s="155"/>
      <c r="G13" s="155"/>
      <c r="K13" s="255"/>
      <c r="N13" s="255"/>
      <c r="T13" s="256"/>
      <c r="Z13" s="257"/>
    </row>
    <row r="14">
      <c r="D14" s="155"/>
      <c r="G14" s="155"/>
      <c r="K14" s="255"/>
      <c r="N14" s="255"/>
      <c r="T14" s="256"/>
      <c r="Z14" s="257"/>
    </row>
    <row r="15">
      <c r="D15" s="155"/>
      <c r="G15" s="155"/>
      <c r="K15" s="255"/>
      <c r="N15" s="255"/>
      <c r="T15" s="256"/>
      <c r="Z15" s="257"/>
    </row>
    <row r="16">
      <c r="D16" s="155"/>
      <c r="G16" s="155"/>
      <c r="K16" s="255"/>
      <c r="N16" s="255"/>
      <c r="T16" s="256"/>
      <c r="Z16" s="257"/>
    </row>
    <row r="17">
      <c r="D17" s="155"/>
      <c r="G17" s="155"/>
      <c r="K17" s="255"/>
      <c r="N17" s="255"/>
      <c r="T17" s="256"/>
      <c r="Z17" s="257"/>
    </row>
    <row r="18">
      <c r="D18" s="155"/>
      <c r="G18" s="155"/>
      <c r="K18" s="255"/>
      <c r="N18" s="255"/>
      <c r="T18" s="256"/>
      <c r="Z18" s="257"/>
    </row>
    <row r="19">
      <c r="D19" s="155"/>
      <c r="G19" s="155"/>
      <c r="K19" s="255"/>
      <c r="N19" s="255"/>
      <c r="T19" s="256"/>
      <c r="Z19" s="257"/>
    </row>
    <row r="20">
      <c r="D20" s="155"/>
      <c r="G20" s="155"/>
      <c r="K20" s="255"/>
      <c r="N20" s="255"/>
      <c r="T20" s="256"/>
      <c r="Z20" s="257"/>
    </row>
    <row r="21" ht="15.75" customHeight="1">
      <c r="D21" s="155"/>
      <c r="G21" s="155"/>
      <c r="K21" s="255"/>
      <c r="N21" s="255"/>
      <c r="T21" s="256"/>
      <c r="Z21" s="257"/>
    </row>
    <row r="22" ht="15.75" customHeight="1">
      <c r="D22" s="155"/>
      <c r="G22" s="155"/>
      <c r="K22" s="255"/>
      <c r="N22" s="255"/>
      <c r="T22" s="256"/>
      <c r="Z22" s="257"/>
    </row>
    <row r="23" ht="15.75" customHeight="1">
      <c r="D23" s="155"/>
      <c r="G23" s="155"/>
      <c r="K23" s="255"/>
      <c r="N23" s="255"/>
      <c r="T23" s="256"/>
      <c r="Z23" s="257"/>
    </row>
    <row r="24" ht="15.75" customHeight="1">
      <c r="D24" s="155"/>
      <c r="G24" s="155"/>
      <c r="K24" s="255"/>
      <c r="N24" s="255"/>
      <c r="T24" s="256"/>
      <c r="Z24" s="257"/>
    </row>
    <row r="25" ht="15.75" customHeight="1">
      <c r="D25" s="155"/>
      <c r="G25" s="155"/>
      <c r="K25" s="255"/>
      <c r="N25" s="255"/>
      <c r="T25" s="256"/>
      <c r="Z25" s="257"/>
    </row>
    <row r="26" ht="15.75" customHeight="1">
      <c r="D26" s="155"/>
      <c r="G26" s="155"/>
      <c r="K26" s="255"/>
      <c r="N26" s="255"/>
      <c r="T26" s="256"/>
      <c r="Z26" s="257"/>
    </row>
    <row r="27" ht="15.75" customHeight="1">
      <c r="D27" s="155"/>
      <c r="G27" s="155"/>
      <c r="K27" s="255"/>
      <c r="N27" s="255"/>
      <c r="T27" s="256"/>
      <c r="Z27" s="257"/>
    </row>
    <row r="28" ht="15.75" customHeight="1">
      <c r="D28" s="155"/>
      <c r="G28" s="155"/>
      <c r="K28" s="255"/>
      <c r="N28" s="255"/>
      <c r="T28" s="256"/>
      <c r="Z28" s="257"/>
    </row>
    <row r="29" ht="15.75" customHeight="1">
      <c r="D29" s="155"/>
      <c r="G29" s="155"/>
      <c r="K29" s="255"/>
      <c r="N29" s="255"/>
      <c r="T29" s="256"/>
      <c r="Z29" s="257"/>
    </row>
    <row r="30" ht="15.75" customHeight="1">
      <c r="D30" s="155"/>
      <c r="G30" s="155"/>
      <c r="K30" s="255"/>
      <c r="N30" s="255"/>
      <c r="T30" s="256"/>
      <c r="Z30" s="257"/>
    </row>
    <row r="31" ht="15.75" customHeight="1">
      <c r="D31" s="155"/>
      <c r="G31" s="155"/>
      <c r="K31" s="255"/>
      <c r="N31" s="255"/>
      <c r="T31" s="256"/>
      <c r="Z31" s="257"/>
    </row>
    <row r="32" ht="15.75" customHeight="1">
      <c r="D32" s="155"/>
      <c r="G32" s="155"/>
      <c r="K32" s="255"/>
      <c r="N32" s="255"/>
      <c r="T32" s="256"/>
      <c r="Z32" s="257"/>
    </row>
    <row r="33" ht="15.75" customHeight="1">
      <c r="D33" s="155"/>
      <c r="G33" s="155"/>
      <c r="K33" s="255"/>
      <c r="N33" s="255"/>
      <c r="T33" s="256"/>
      <c r="Z33" s="257"/>
    </row>
    <row r="34" ht="15.75" customHeight="1">
      <c r="D34" s="155"/>
      <c r="G34" s="155"/>
      <c r="K34" s="255"/>
      <c r="N34" s="255"/>
      <c r="T34" s="256"/>
      <c r="Z34" s="257"/>
    </row>
    <row r="35" ht="15.75" customHeight="1">
      <c r="D35" s="155"/>
      <c r="G35" s="155"/>
      <c r="K35" s="255"/>
      <c r="N35" s="255"/>
      <c r="T35" s="256"/>
      <c r="Z35" s="257"/>
    </row>
    <row r="36" ht="15.75" customHeight="1">
      <c r="D36" s="155"/>
      <c r="G36" s="155"/>
      <c r="K36" s="255"/>
      <c r="N36" s="255"/>
      <c r="T36" s="256"/>
      <c r="Z36" s="257"/>
    </row>
    <row r="37" ht="15.75" customHeight="1">
      <c r="D37" s="155"/>
      <c r="G37" s="155"/>
      <c r="K37" s="255"/>
      <c r="N37" s="255"/>
      <c r="T37" s="256"/>
      <c r="Z37" s="257"/>
    </row>
    <row r="38" ht="15.75" customHeight="1">
      <c r="D38" s="155"/>
      <c r="G38" s="155"/>
      <c r="K38" s="255"/>
      <c r="N38" s="255"/>
      <c r="T38" s="256"/>
      <c r="Z38" s="257"/>
    </row>
    <row r="39" ht="15.75" customHeight="1">
      <c r="D39" s="155"/>
      <c r="G39" s="155"/>
      <c r="K39" s="255"/>
      <c r="N39" s="255"/>
      <c r="T39" s="256"/>
      <c r="Z39" s="257"/>
    </row>
    <row r="40" ht="15.75" customHeight="1">
      <c r="D40" s="155"/>
      <c r="G40" s="155"/>
      <c r="K40" s="255"/>
      <c r="N40" s="255"/>
      <c r="T40" s="256"/>
      <c r="Z40" s="257"/>
    </row>
    <row r="41" ht="15.75" customHeight="1">
      <c r="D41" s="155"/>
      <c r="G41" s="155"/>
      <c r="K41" s="255"/>
      <c r="N41" s="255"/>
      <c r="T41" s="256"/>
      <c r="Z41" s="257"/>
    </row>
    <row r="42" ht="15.75" customHeight="1">
      <c r="D42" s="155"/>
      <c r="G42" s="155"/>
      <c r="K42" s="255"/>
      <c r="N42" s="255"/>
      <c r="T42" s="256"/>
      <c r="Z42" s="257"/>
    </row>
    <row r="43" ht="15.75" customHeight="1">
      <c r="D43" s="155"/>
      <c r="G43" s="155"/>
      <c r="K43" s="255"/>
      <c r="N43" s="255"/>
      <c r="T43" s="256"/>
      <c r="Z43" s="257"/>
    </row>
    <row r="44" ht="15.75" customHeight="1">
      <c r="D44" s="155"/>
      <c r="G44" s="155"/>
      <c r="K44" s="255"/>
      <c r="N44" s="255"/>
      <c r="T44" s="256"/>
      <c r="Z44" s="257"/>
    </row>
    <row r="45" ht="15.75" customHeight="1">
      <c r="D45" s="155"/>
      <c r="G45" s="155"/>
      <c r="K45" s="255"/>
      <c r="N45" s="255"/>
      <c r="T45" s="256"/>
      <c r="Z45" s="257"/>
    </row>
    <row r="46" ht="15.75" customHeight="1">
      <c r="D46" s="155"/>
      <c r="G46" s="155"/>
      <c r="K46" s="255"/>
      <c r="N46" s="255"/>
      <c r="T46" s="256"/>
      <c r="Z46" s="257"/>
    </row>
    <row r="47" ht="15.75" customHeight="1">
      <c r="D47" s="155"/>
      <c r="G47" s="155"/>
      <c r="K47" s="255"/>
      <c r="N47" s="255"/>
      <c r="T47" s="256"/>
      <c r="Z47" s="257"/>
    </row>
    <row r="48" ht="15.75" customHeight="1">
      <c r="D48" s="155"/>
      <c r="G48" s="155"/>
      <c r="K48" s="255"/>
      <c r="N48" s="255"/>
      <c r="T48" s="256"/>
      <c r="Z48" s="257"/>
    </row>
    <row r="49" ht="15.75" customHeight="1">
      <c r="D49" s="155"/>
      <c r="G49" s="155"/>
      <c r="K49" s="255"/>
      <c r="N49" s="255"/>
      <c r="T49" s="256"/>
      <c r="Z49" s="257"/>
    </row>
    <row r="50" ht="15.75" customHeight="1">
      <c r="D50" s="155"/>
      <c r="G50" s="155"/>
      <c r="K50" s="255"/>
      <c r="N50" s="255"/>
      <c r="T50" s="256"/>
      <c r="Z50" s="257"/>
    </row>
    <row r="51" ht="15.75" customHeight="1">
      <c r="D51" s="155"/>
      <c r="G51" s="155"/>
      <c r="K51" s="255"/>
      <c r="N51" s="255"/>
      <c r="T51" s="256"/>
      <c r="Z51" s="257"/>
    </row>
    <row r="52" ht="15.75" customHeight="1">
      <c r="D52" s="155"/>
      <c r="G52" s="155"/>
      <c r="K52" s="255"/>
      <c r="N52" s="255"/>
      <c r="T52" s="256"/>
      <c r="Z52" s="257"/>
    </row>
    <row r="53" ht="15.75" customHeight="1">
      <c r="D53" s="155"/>
      <c r="G53" s="155"/>
      <c r="K53" s="255"/>
      <c r="N53" s="255"/>
      <c r="T53" s="256"/>
      <c r="Z53" s="257"/>
    </row>
    <row r="54" ht="15.75" customHeight="1">
      <c r="D54" s="155"/>
      <c r="G54" s="155"/>
      <c r="K54" s="255"/>
      <c r="N54" s="255"/>
      <c r="T54" s="256"/>
      <c r="Z54" s="257"/>
    </row>
    <row r="55" ht="15.75" customHeight="1">
      <c r="D55" s="155"/>
      <c r="G55" s="155"/>
      <c r="K55" s="255"/>
      <c r="N55" s="255"/>
      <c r="T55" s="256"/>
      <c r="Z55" s="257"/>
    </row>
    <row r="56" ht="15.75" customHeight="1">
      <c r="D56" s="155"/>
      <c r="G56" s="155"/>
      <c r="K56" s="255"/>
      <c r="N56" s="255"/>
      <c r="T56" s="256"/>
      <c r="Z56" s="257"/>
    </row>
    <row r="57" ht="15.75" customHeight="1">
      <c r="D57" s="155"/>
      <c r="G57" s="155"/>
      <c r="K57" s="255"/>
      <c r="N57" s="255"/>
      <c r="T57" s="256"/>
      <c r="Z57" s="257"/>
    </row>
    <row r="58" ht="15.75" customHeight="1">
      <c r="D58" s="155"/>
      <c r="G58" s="155"/>
      <c r="K58" s="255"/>
      <c r="N58" s="255"/>
      <c r="T58" s="256"/>
      <c r="Z58" s="257"/>
    </row>
    <row r="59" ht="15.75" customHeight="1">
      <c r="D59" s="155"/>
      <c r="G59" s="155"/>
      <c r="K59" s="255"/>
      <c r="N59" s="255"/>
      <c r="T59" s="256"/>
      <c r="Z59" s="257"/>
    </row>
    <row r="60" ht="15.75" customHeight="1">
      <c r="D60" s="155"/>
      <c r="G60" s="155"/>
      <c r="K60" s="255"/>
      <c r="N60" s="255"/>
      <c r="T60" s="256"/>
      <c r="Z60" s="257"/>
    </row>
    <row r="61" ht="15.75" customHeight="1">
      <c r="D61" s="155"/>
      <c r="G61" s="155"/>
      <c r="K61" s="255"/>
      <c r="N61" s="255"/>
      <c r="T61" s="256"/>
      <c r="Z61" s="257"/>
    </row>
    <row r="62" ht="15.75" customHeight="1">
      <c r="D62" s="155"/>
      <c r="G62" s="155"/>
      <c r="K62" s="255"/>
      <c r="N62" s="255"/>
      <c r="T62" s="256"/>
      <c r="Z62" s="257"/>
    </row>
    <row r="63" ht="15.75" customHeight="1">
      <c r="D63" s="155"/>
      <c r="G63" s="155"/>
      <c r="K63" s="255"/>
      <c r="N63" s="255"/>
      <c r="T63" s="256"/>
      <c r="Z63" s="257"/>
    </row>
    <row r="64" ht="15.75" customHeight="1">
      <c r="D64" s="155"/>
      <c r="G64" s="155"/>
      <c r="K64" s="255"/>
      <c r="N64" s="255"/>
      <c r="T64" s="256"/>
      <c r="Z64" s="257"/>
    </row>
    <row r="65" ht="15.75" customHeight="1">
      <c r="D65" s="155"/>
      <c r="G65" s="155"/>
      <c r="K65" s="255"/>
      <c r="N65" s="255"/>
      <c r="T65" s="256"/>
      <c r="Z65" s="257"/>
    </row>
    <row r="66" ht="15.75" customHeight="1">
      <c r="D66" s="155"/>
      <c r="G66" s="155"/>
      <c r="K66" s="255"/>
      <c r="N66" s="255"/>
      <c r="T66" s="256"/>
      <c r="Z66" s="257"/>
    </row>
    <row r="67" ht="15.75" customHeight="1">
      <c r="D67" s="155"/>
      <c r="G67" s="155"/>
      <c r="K67" s="255"/>
      <c r="N67" s="255"/>
      <c r="T67" s="256"/>
      <c r="Z67" s="257"/>
    </row>
    <row r="68" ht="15.75" customHeight="1">
      <c r="D68" s="155"/>
      <c r="G68" s="155"/>
      <c r="K68" s="255"/>
      <c r="N68" s="255"/>
      <c r="T68" s="256"/>
      <c r="Z68" s="257"/>
    </row>
    <row r="69" ht="15.75" customHeight="1">
      <c r="D69" s="155"/>
      <c r="G69" s="155"/>
      <c r="K69" s="255"/>
      <c r="N69" s="255"/>
      <c r="T69" s="256"/>
      <c r="Z69" s="257"/>
    </row>
    <row r="70" ht="15.75" customHeight="1">
      <c r="D70" s="155"/>
      <c r="G70" s="155"/>
      <c r="K70" s="255"/>
      <c r="N70" s="255"/>
      <c r="T70" s="256"/>
      <c r="Z70" s="257"/>
    </row>
    <row r="71" ht="15.75" customHeight="1">
      <c r="D71" s="155"/>
      <c r="G71" s="155"/>
      <c r="K71" s="255"/>
      <c r="N71" s="255"/>
      <c r="T71" s="256"/>
      <c r="Z71" s="257"/>
    </row>
    <row r="72" ht="15.75" customHeight="1">
      <c r="D72" s="155"/>
      <c r="G72" s="155"/>
      <c r="K72" s="255"/>
      <c r="N72" s="255"/>
      <c r="T72" s="256"/>
      <c r="Z72" s="257"/>
    </row>
    <row r="73" ht="15.75" customHeight="1">
      <c r="D73" s="155"/>
      <c r="G73" s="155"/>
      <c r="K73" s="255"/>
      <c r="N73" s="255"/>
      <c r="T73" s="256"/>
      <c r="Z73" s="257"/>
    </row>
    <row r="74" ht="15.75" customHeight="1">
      <c r="D74" s="155"/>
      <c r="G74" s="155"/>
      <c r="K74" s="255"/>
      <c r="N74" s="255"/>
      <c r="T74" s="256"/>
      <c r="Z74" s="257"/>
    </row>
    <row r="75" ht="15.75" customHeight="1">
      <c r="D75" s="155"/>
      <c r="G75" s="155"/>
      <c r="K75" s="255"/>
      <c r="N75" s="255"/>
      <c r="T75" s="256"/>
      <c r="Z75" s="257"/>
    </row>
    <row r="76" ht="15.75" customHeight="1">
      <c r="D76" s="155"/>
      <c r="G76" s="155"/>
      <c r="K76" s="255"/>
      <c r="N76" s="255"/>
      <c r="T76" s="256"/>
      <c r="Z76" s="257"/>
    </row>
    <row r="77" ht="15.75" customHeight="1">
      <c r="D77" s="155"/>
      <c r="G77" s="155"/>
      <c r="K77" s="255"/>
      <c r="N77" s="255"/>
      <c r="T77" s="256"/>
      <c r="Z77" s="257"/>
    </row>
    <row r="78" ht="15.75" customHeight="1">
      <c r="D78" s="155"/>
      <c r="G78" s="155"/>
      <c r="K78" s="255"/>
      <c r="N78" s="255"/>
      <c r="T78" s="256"/>
      <c r="Z78" s="257"/>
    </row>
    <row r="79" ht="15.75" customHeight="1">
      <c r="D79" s="155"/>
      <c r="G79" s="155"/>
      <c r="K79" s="255"/>
      <c r="N79" s="255"/>
      <c r="T79" s="256"/>
      <c r="Z79" s="257"/>
    </row>
    <row r="80" ht="15.75" customHeight="1">
      <c r="D80" s="155"/>
      <c r="G80" s="155"/>
      <c r="K80" s="255"/>
      <c r="N80" s="255"/>
      <c r="T80" s="256"/>
      <c r="Z80" s="257"/>
    </row>
    <row r="81" ht="15.75" customHeight="1">
      <c r="D81" s="155"/>
      <c r="G81" s="155"/>
      <c r="K81" s="255"/>
      <c r="N81" s="255"/>
      <c r="T81" s="256"/>
      <c r="Z81" s="257"/>
    </row>
    <row r="82" ht="15.75" customHeight="1">
      <c r="D82" s="155"/>
      <c r="G82" s="155"/>
      <c r="K82" s="255"/>
      <c r="N82" s="255"/>
      <c r="T82" s="256"/>
      <c r="Z82" s="257"/>
    </row>
    <row r="83" ht="15.75" customHeight="1">
      <c r="D83" s="155"/>
      <c r="G83" s="155"/>
      <c r="K83" s="255"/>
      <c r="N83" s="255"/>
      <c r="T83" s="256"/>
      <c r="Z83" s="257"/>
    </row>
    <row r="84" ht="15.75" customHeight="1">
      <c r="D84" s="155"/>
      <c r="G84" s="155"/>
      <c r="K84" s="255"/>
      <c r="N84" s="255"/>
      <c r="T84" s="256"/>
      <c r="Z84" s="257"/>
    </row>
    <row r="85" ht="15.75" customHeight="1">
      <c r="D85" s="155"/>
      <c r="G85" s="155"/>
      <c r="K85" s="255"/>
      <c r="N85" s="255"/>
      <c r="T85" s="256"/>
      <c r="Z85" s="257"/>
    </row>
    <row r="86" ht="15.75" customHeight="1">
      <c r="D86" s="155"/>
      <c r="G86" s="155"/>
      <c r="K86" s="255"/>
      <c r="N86" s="255"/>
      <c r="T86" s="256"/>
      <c r="Z86" s="257"/>
    </row>
    <row r="87" ht="15.75" customHeight="1">
      <c r="D87" s="155"/>
      <c r="G87" s="155"/>
      <c r="K87" s="255"/>
      <c r="N87" s="255"/>
      <c r="T87" s="256"/>
      <c r="Z87" s="257"/>
    </row>
    <row r="88" ht="15.75" customHeight="1">
      <c r="D88" s="155"/>
      <c r="G88" s="155"/>
      <c r="K88" s="255"/>
      <c r="N88" s="255"/>
      <c r="T88" s="256"/>
      <c r="Z88" s="257"/>
    </row>
    <row r="89" ht="15.75" customHeight="1">
      <c r="D89" s="155"/>
      <c r="G89" s="155"/>
      <c r="K89" s="255"/>
      <c r="N89" s="255"/>
      <c r="T89" s="256"/>
      <c r="Z89" s="257"/>
    </row>
    <row r="90" ht="15.75" customHeight="1">
      <c r="D90" s="155"/>
      <c r="G90" s="155"/>
      <c r="K90" s="255"/>
      <c r="N90" s="255"/>
      <c r="T90" s="256"/>
      <c r="Z90" s="257"/>
    </row>
    <row r="91" ht="15.75" customHeight="1">
      <c r="D91" s="155"/>
      <c r="G91" s="155"/>
      <c r="K91" s="255"/>
      <c r="N91" s="255"/>
      <c r="T91" s="256"/>
      <c r="Z91" s="257"/>
    </row>
    <row r="92" ht="15.75" customHeight="1">
      <c r="D92" s="155"/>
      <c r="G92" s="155"/>
      <c r="K92" s="255"/>
      <c r="N92" s="255"/>
      <c r="T92" s="256"/>
      <c r="Z92" s="257"/>
    </row>
    <row r="93" ht="15.75" customHeight="1">
      <c r="D93" s="155"/>
      <c r="G93" s="155"/>
      <c r="K93" s="255"/>
      <c r="N93" s="255"/>
      <c r="T93" s="256"/>
      <c r="Z93" s="257"/>
    </row>
    <row r="94" ht="15.75" customHeight="1">
      <c r="D94" s="155"/>
      <c r="G94" s="155"/>
      <c r="K94" s="255"/>
      <c r="N94" s="255"/>
      <c r="T94" s="256"/>
      <c r="Z94" s="257"/>
    </row>
    <row r="95" ht="15.75" customHeight="1">
      <c r="D95" s="155"/>
      <c r="G95" s="155"/>
      <c r="K95" s="255"/>
      <c r="N95" s="255"/>
      <c r="T95" s="256"/>
      <c r="Z95" s="257"/>
    </row>
    <row r="96" ht="15.75" customHeight="1">
      <c r="D96" s="155"/>
      <c r="G96" s="155"/>
      <c r="K96" s="255"/>
      <c r="N96" s="255"/>
      <c r="T96" s="256"/>
      <c r="Z96" s="257"/>
    </row>
    <row r="97" ht="15.75" customHeight="1">
      <c r="D97" s="155"/>
      <c r="G97" s="155"/>
      <c r="K97" s="255"/>
      <c r="N97" s="255"/>
      <c r="T97" s="256"/>
      <c r="Z97" s="257"/>
    </row>
    <row r="98" ht="15.75" customHeight="1">
      <c r="D98" s="155"/>
      <c r="G98" s="155"/>
      <c r="K98" s="255"/>
      <c r="N98" s="255"/>
      <c r="T98" s="256"/>
      <c r="Z98" s="257"/>
    </row>
    <row r="99" ht="15.75" customHeight="1">
      <c r="D99" s="155"/>
      <c r="G99" s="155"/>
      <c r="K99" s="255"/>
      <c r="N99" s="255"/>
      <c r="T99" s="256"/>
      <c r="Z99" s="257"/>
    </row>
    <row r="100" ht="15.75" customHeight="1">
      <c r="D100" s="155"/>
      <c r="G100" s="155"/>
      <c r="K100" s="255"/>
      <c r="N100" s="255"/>
      <c r="T100" s="256"/>
      <c r="Z100" s="257"/>
    </row>
    <row r="101" ht="15.75" customHeight="1">
      <c r="D101" s="155"/>
      <c r="G101" s="155"/>
      <c r="K101" s="255"/>
      <c r="N101" s="255"/>
      <c r="T101" s="256"/>
      <c r="Z101" s="257"/>
    </row>
    <row r="102" ht="15.75" customHeight="1">
      <c r="D102" s="155"/>
      <c r="G102" s="155"/>
      <c r="K102" s="255"/>
      <c r="N102" s="255"/>
      <c r="T102" s="256"/>
      <c r="Z102" s="257"/>
    </row>
    <row r="103" ht="15.75" customHeight="1">
      <c r="D103" s="155"/>
      <c r="G103" s="155"/>
      <c r="K103" s="255"/>
      <c r="N103" s="255"/>
      <c r="T103" s="256"/>
      <c r="Z103" s="257"/>
    </row>
    <row r="104" ht="15.75" customHeight="1">
      <c r="D104" s="155"/>
      <c r="G104" s="155"/>
      <c r="K104" s="255"/>
      <c r="N104" s="255"/>
      <c r="T104" s="256"/>
      <c r="Z104" s="257"/>
    </row>
    <row r="105" ht="15.75" customHeight="1">
      <c r="D105" s="155"/>
      <c r="G105" s="155"/>
      <c r="K105" s="255"/>
      <c r="N105" s="255"/>
      <c r="T105" s="256"/>
      <c r="Z105" s="257"/>
    </row>
    <row r="106" ht="15.75" customHeight="1">
      <c r="D106" s="155"/>
      <c r="G106" s="155"/>
      <c r="K106" s="255"/>
      <c r="N106" s="255"/>
      <c r="T106" s="256"/>
      <c r="Z106" s="257"/>
    </row>
    <row r="107" ht="15.75" customHeight="1">
      <c r="D107" s="155"/>
      <c r="G107" s="155"/>
      <c r="K107" s="255"/>
      <c r="N107" s="255"/>
      <c r="T107" s="256"/>
      <c r="Z107" s="257"/>
    </row>
    <row r="108" ht="15.75" customHeight="1">
      <c r="D108" s="155"/>
      <c r="G108" s="155"/>
      <c r="K108" s="255"/>
      <c r="N108" s="255"/>
      <c r="T108" s="256"/>
      <c r="Z108" s="257"/>
    </row>
    <row r="109" ht="15.75" customHeight="1">
      <c r="D109" s="155"/>
      <c r="G109" s="155"/>
      <c r="K109" s="255"/>
      <c r="N109" s="255"/>
      <c r="T109" s="256"/>
      <c r="Z109" s="257"/>
    </row>
    <row r="110" ht="15.75" customHeight="1">
      <c r="D110" s="155"/>
      <c r="G110" s="155"/>
      <c r="K110" s="255"/>
      <c r="N110" s="255"/>
      <c r="T110" s="256"/>
      <c r="Z110" s="257"/>
    </row>
    <row r="111" ht="15.75" customHeight="1">
      <c r="D111" s="155"/>
      <c r="G111" s="155"/>
      <c r="K111" s="255"/>
      <c r="N111" s="255"/>
      <c r="T111" s="256"/>
      <c r="Z111" s="257"/>
    </row>
    <row r="112" ht="15.75" customHeight="1">
      <c r="D112" s="155"/>
      <c r="G112" s="155"/>
      <c r="K112" s="255"/>
      <c r="N112" s="255"/>
      <c r="T112" s="256"/>
      <c r="Z112" s="257"/>
    </row>
    <row r="113" ht="15.75" customHeight="1">
      <c r="D113" s="155"/>
      <c r="G113" s="155"/>
      <c r="K113" s="255"/>
      <c r="N113" s="255"/>
      <c r="T113" s="256"/>
      <c r="Z113" s="257"/>
    </row>
    <row r="114" ht="15.75" customHeight="1">
      <c r="D114" s="155"/>
      <c r="G114" s="155"/>
      <c r="K114" s="255"/>
      <c r="N114" s="255"/>
      <c r="T114" s="256"/>
      <c r="Z114" s="257"/>
    </row>
    <row r="115" ht="15.75" customHeight="1">
      <c r="D115" s="155"/>
      <c r="G115" s="155"/>
      <c r="K115" s="255"/>
      <c r="N115" s="255"/>
      <c r="T115" s="256"/>
      <c r="Z115" s="257"/>
    </row>
    <row r="116" ht="15.75" customHeight="1">
      <c r="D116" s="155"/>
      <c r="G116" s="155"/>
      <c r="K116" s="255"/>
      <c r="N116" s="255"/>
      <c r="T116" s="256"/>
      <c r="Z116" s="257"/>
    </row>
    <row r="117" ht="15.75" customHeight="1">
      <c r="D117" s="155"/>
      <c r="G117" s="155"/>
      <c r="K117" s="255"/>
      <c r="N117" s="255"/>
      <c r="T117" s="256"/>
      <c r="Z117" s="257"/>
    </row>
    <row r="118" ht="15.75" customHeight="1">
      <c r="D118" s="155"/>
      <c r="G118" s="155"/>
      <c r="K118" s="255"/>
      <c r="N118" s="255"/>
      <c r="T118" s="256"/>
      <c r="Z118" s="257"/>
    </row>
    <row r="119" ht="15.75" customHeight="1">
      <c r="D119" s="155"/>
      <c r="G119" s="155"/>
      <c r="K119" s="255"/>
      <c r="N119" s="255"/>
      <c r="T119" s="256"/>
      <c r="Z119" s="257"/>
    </row>
    <row r="120" ht="15.75" customHeight="1">
      <c r="D120" s="155"/>
      <c r="G120" s="155"/>
      <c r="K120" s="255"/>
      <c r="N120" s="255"/>
      <c r="T120" s="256"/>
      <c r="Z120" s="257"/>
    </row>
    <row r="121" ht="15.75" customHeight="1">
      <c r="D121" s="155"/>
      <c r="G121" s="155"/>
      <c r="K121" s="255"/>
      <c r="N121" s="255"/>
      <c r="T121" s="256"/>
      <c r="Z121" s="257"/>
    </row>
    <row r="122" ht="15.75" customHeight="1">
      <c r="D122" s="155"/>
      <c r="G122" s="155"/>
      <c r="K122" s="255"/>
      <c r="N122" s="255"/>
      <c r="T122" s="256"/>
      <c r="Z122" s="257"/>
    </row>
    <row r="123" ht="15.75" customHeight="1">
      <c r="D123" s="155"/>
      <c r="G123" s="155"/>
      <c r="K123" s="255"/>
      <c r="N123" s="255"/>
      <c r="T123" s="256"/>
      <c r="Z123" s="257"/>
    </row>
    <row r="124" ht="15.75" customHeight="1">
      <c r="D124" s="155"/>
      <c r="G124" s="155"/>
      <c r="K124" s="255"/>
      <c r="N124" s="255"/>
      <c r="T124" s="256"/>
      <c r="Z124" s="257"/>
    </row>
    <row r="125" ht="15.75" customHeight="1">
      <c r="D125" s="155"/>
      <c r="G125" s="155"/>
      <c r="K125" s="255"/>
      <c r="N125" s="255"/>
      <c r="T125" s="256"/>
      <c r="Z125" s="257"/>
    </row>
    <row r="126" ht="15.75" customHeight="1">
      <c r="D126" s="155"/>
      <c r="G126" s="155"/>
      <c r="K126" s="255"/>
      <c r="N126" s="255"/>
      <c r="T126" s="256"/>
      <c r="Z126" s="257"/>
    </row>
    <row r="127" ht="15.75" customHeight="1">
      <c r="D127" s="155"/>
      <c r="G127" s="155"/>
      <c r="K127" s="255"/>
      <c r="N127" s="255"/>
      <c r="T127" s="256"/>
      <c r="Z127" s="257"/>
    </row>
    <row r="128" ht="15.75" customHeight="1">
      <c r="D128" s="155"/>
      <c r="G128" s="155"/>
      <c r="K128" s="255"/>
      <c r="N128" s="255"/>
      <c r="T128" s="256"/>
      <c r="Z128" s="257"/>
    </row>
    <row r="129" ht="15.75" customHeight="1">
      <c r="D129" s="155"/>
      <c r="G129" s="155"/>
      <c r="K129" s="255"/>
      <c r="N129" s="255"/>
      <c r="T129" s="256"/>
      <c r="Z129" s="257"/>
    </row>
    <row r="130" ht="15.75" customHeight="1">
      <c r="D130" s="155"/>
      <c r="G130" s="155"/>
      <c r="K130" s="255"/>
      <c r="N130" s="255"/>
      <c r="T130" s="256"/>
      <c r="Z130" s="257"/>
    </row>
    <row r="131" ht="15.75" customHeight="1">
      <c r="D131" s="155"/>
      <c r="G131" s="155"/>
      <c r="K131" s="255"/>
      <c r="N131" s="255"/>
      <c r="T131" s="256"/>
      <c r="Z131" s="257"/>
    </row>
    <row r="132" ht="15.75" customHeight="1">
      <c r="D132" s="155"/>
      <c r="G132" s="155"/>
      <c r="K132" s="255"/>
      <c r="N132" s="255"/>
      <c r="T132" s="256"/>
      <c r="Z132" s="257"/>
    </row>
    <row r="133" ht="15.75" customHeight="1">
      <c r="D133" s="155"/>
      <c r="G133" s="155"/>
      <c r="K133" s="255"/>
      <c r="N133" s="255"/>
      <c r="T133" s="256"/>
      <c r="Z133" s="257"/>
    </row>
    <row r="134" ht="15.75" customHeight="1">
      <c r="D134" s="155"/>
      <c r="G134" s="155"/>
      <c r="K134" s="255"/>
      <c r="N134" s="255"/>
      <c r="T134" s="256"/>
      <c r="Z134" s="257"/>
    </row>
    <row r="135" ht="15.75" customHeight="1">
      <c r="D135" s="155"/>
      <c r="G135" s="155"/>
      <c r="K135" s="255"/>
      <c r="N135" s="255"/>
      <c r="T135" s="256"/>
      <c r="Z135" s="257"/>
    </row>
    <row r="136" ht="15.75" customHeight="1">
      <c r="D136" s="155"/>
      <c r="G136" s="155"/>
      <c r="K136" s="255"/>
      <c r="N136" s="255"/>
      <c r="T136" s="256"/>
      <c r="Z136" s="257"/>
    </row>
    <row r="137" ht="15.75" customHeight="1">
      <c r="D137" s="155"/>
      <c r="G137" s="155"/>
      <c r="K137" s="255"/>
      <c r="N137" s="255"/>
      <c r="T137" s="256"/>
      <c r="Z137" s="257"/>
    </row>
    <row r="138" ht="15.75" customHeight="1">
      <c r="D138" s="155"/>
      <c r="G138" s="155"/>
      <c r="K138" s="255"/>
      <c r="N138" s="255"/>
      <c r="T138" s="256"/>
      <c r="Z138" s="257"/>
    </row>
    <row r="139" ht="15.75" customHeight="1">
      <c r="D139" s="155"/>
      <c r="G139" s="155"/>
      <c r="K139" s="255"/>
      <c r="N139" s="255"/>
      <c r="T139" s="256"/>
      <c r="Z139" s="257"/>
    </row>
    <row r="140" ht="15.75" customHeight="1">
      <c r="D140" s="155"/>
      <c r="G140" s="155"/>
      <c r="K140" s="255"/>
      <c r="N140" s="255"/>
      <c r="T140" s="256"/>
      <c r="Z140" s="257"/>
    </row>
    <row r="141" ht="15.75" customHeight="1">
      <c r="D141" s="155"/>
      <c r="G141" s="155"/>
      <c r="K141" s="255"/>
      <c r="N141" s="255"/>
      <c r="T141" s="256"/>
      <c r="Z141" s="257"/>
    </row>
    <row r="142" ht="15.75" customHeight="1">
      <c r="D142" s="155"/>
      <c r="G142" s="155"/>
      <c r="K142" s="255"/>
      <c r="N142" s="255"/>
      <c r="T142" s="256"/>
      <c r="Z142" s="257"/>
    </row>
    <row r="143" ht="15.75" customHeight="1">
      <c r="D143" s="155"/>
      <c r="G143" s="155"/>
      <c r="K143" s="255"/>
      <c r="N143" s="255"/>
      <c r="T143" s="256"/>
      <c r="Z143" s="257"/>
    </row>
    <row r="144" ht="15.75" customHeight="1">
      <c r="D144" s="155"/>
      <c r="G144" s="155"/>
      <c r="K144" s="255"/>
      <c r="N144" s="255"/>
      <c r="T144" s="256"/>
      <c r="Z144" s="257"/>
    </row>
    <row r="145" ht="15.75" customHeight="1">
      <c r="D145" s="155"/>
      <c r="G145" s="155"/>
      <c r="K145" s="255"/>
      <c r="N145" s="255"/>
      <c r="T145" s="256"/>
      <c r="Z145" s="257"/>
    </row>
    <row r="146" ht="15.75" customHeight="1">
      <c r="D146" s="155"/>
      <c r="G146" s="155"/>
      <c r="K146" s="255"/>
      <c r="N146" s="255"/>
      <c r="T146" s="256"/>
      <c r="Z146" s="257"/>
    </row>
    <row r="147" ht="15.75" customHeight="1">
      <c r="D147" s="155"/>
      <c r="G147" s="155"/>
      <c r="K147" s="255"/>
      <c r="N147" s="255"/>
      <c r="T147" s="256"/>
      <c r="Z147" s="257"/>
    </row>
    <row r="148" ht="15.75" customHeight="1">
      <c r="D148" s="155"/>
      <c r="G148" s="155"/>
      <c r="K148" s="255"/>
      <c r="N148" s="255"/>
      <c r="T148" s="256"/>
      <c r="Z148" s="257"/>
    </row>
    <row r="149" ht="15.75" customHeight="1">
      <c r="D149" s="155"/>
      <c r="G149" s="155"/>
      <c r="K149" s="255"/>
      <c r="N149" s="255"/>
      <c r="T149" s="256"/>
      <c r="Z149" s="257"/>
    </row>
    <row r="150" ht="15.75" customHeight="1">
      <c r="D150" s="155"/>
      <c r="G150" s="155"/>
      <c r="K150" s="255"/>
      <c r="N150" s="255"/>
      <c r="T150" s="256"/>
      <c r="Z150" s="257"/>
    </row>
    <row r="151" ht="15.75" customHeight="1">
      <c r="D151" s="155"/>
      <c r="G151" s="155"/>
      <c r="K151" s="255"/>
      <c r="N151" s="255"/>
      <c r="T151" s="256"/>
      <c r="Z151" s="257"/>
    </row>
    <row r="152" ht="15.75" customHeight="1">
      <c r="D152" s="155"/>
      <c r="G152" s="155"/>
      <c r="K152" s="255"/>
      <c r="N152" s="255"/>
      <c r="T152" s="256"/>
      <c r="Z152" s="257"/>
    </row>
    <row r="153" ht="15.75" customHeight="1">
      <c r="D153" s="155"/>
      <c r="G153" s="155"/>
      <c r="K153" s="255"/>
      <c r="N153" s="255"/>
      <c r="T153" s="256"/>
      <c r="Z153" s="257"/>
    </row>
    <row r="154" ht="15.75" customHeight="1">
      <c r="D154" s="155"/>
      <c r="G154" s="155"/>
      <c r="K154" s="255"/>
      <c r="N154" s="255"/>
      <c r="T154" s="256"/>
      <c r="Z154" s="257"/>
    </row>
    <row r="155" ht="15.75" customHeight="1">
      <c r="D155" s="155"/>
      <c r="G155" s="155"/>
      <c r="K155" s="255"/>
      <c r="N155" s="255"/>
      <c r="T155" s="256"/>
      <c r="Z155" s="257"/>
    </row>
    <row r="156" ht="15.75" customHeight="1">
      <c r="D156" s="155"/>
      <c r="G156" s="155"/>
      <c r="K156" s="255"/>
      <c r="N156" s="255"/>
      <c r="T156" s="256"/>
      <c r="Z156" s="257"/>
    </row>
    <row r="157" ht="15.75" customHeight="1">
      <c r="D157" s="155"/>
      <c r="G157" s="155"/>
      <c r="K157" s="255"/>
      <c r="N157" s="255"/>
      <c r="T157" s="256"/>
      <c r="Z157" s="257"/>
    </row>
    <row r="158" ht="15.75" customHeight="1">
      <c r="D158" s="155"/>
      <c r="G158" s="155"/>
      <c r="K158" s="255"/>
      <c r="N158" s="255"/>
      <c r="T158" s="256"/>
      <c r="Z158" s="257"/>
    </row>
    <row r="159" ht="15.75" customHeight="1">
      <c r="D159" s="155"/>
      <c r="G159" s="155"/>
      <c r="K159" s="255"/>
      <c r="N159" s="255"/>
      <c r="T159" s="256"/>
      <c r="Z159" s="257"/>
    </row>
    <row r="160" ht="15.75" customHeight="1">
      <c r="D160" s="155"/>
      <c r="G160" s="155"/>
      <c r="K160" s="255"/>
      <c r="N160" s="255"/>
      <c r="T160" s="256"/>
      <c r="Z160" s="257"/>
    </row>
    <row r="161" ht="15.75" customHeight="1">
      <c r="D161" s="155"/>
      <c r="G161" s="155"/>
      <c r="K161" s="255"/>
      <c r="N161" s="255"/>
      <c r="T161" s="256"/>
      <c r="Z161" s="257"/>
    </row>
    <row r="162" ht="15.75" customHeight="1">
      <c r="D162" s="155"/>
      <c r="G162" s="155"/>
      <c r="K162" s="255"/>
      <c r="N162" s="255"/>
      <c r="T162" s="256"/>
      <c r="Z162" s="257"/>
    </row>
    <row r="163" ht="15.75" customHeight="1">
      <c r="D163" s="155"/>
      <c r="G163" s="155"/>
      <c r="K163" s="255"/>
      <c r="N163" s="255"/>
      <c r="T163" s="256"/>
      <c r="Z163" s="257"/>
    </row>
    <row r="164" ht="15.75" customHeight="1">
      <c r="D164" s="155"/>
      <c r="G164" s="155"/>
      <c r="K164" s="255"/>
      <c r="N164" s="255"/>
      <c r="T164" s="256"/>
      <c r="Z164" s="257"/>
    </row>
    <row r="165" ht="15.75" customHeight="1">
      <c r="D165" s="155"/>
      <c r="G165" s="155"/>
      <c r="K165" s="255"/>
      <c r="N165" s="255"/>
      <c r="T165" s="256"/>
      <c r="Z165" s="257"/>
    </row>
    <row r="166" ht="15.75" customHeight="1">
      <c r="D166" s="155"/>
      <c r="G166" s="155"/>
      <c r="K166" s="255"/>
      <c r="N166" s="255"/>
      <c r="T166" s="256"/>
      <c r="Z166" s="257"/>
    </row>
    <row r="167" ht="15.75" customHeight="1">
      <c r="D167" s="155"/>
      <c r="G167" s="155"/>
      <c r="K167" s="255"/>
      <c r="N167" s="255"/>
      <c r="T167" s="256"/>
      <c r="Z167" s="257"/>
    </row>
    <row r="168" ht="15.75" customHeight="1">
      <c r="D168" s="155"/>
      <c r="G168" s="155"/>
      <c r="K168" s="255"/>
      <c r="N168" s="255"/>
      <c r="T168" s="256"/>
      <c r="Z168" s="257"/>
    </row>
    <row r="169" ht="15.75" customHeight="1">
      <c r="D169" s="155"/>
      <c r="G169" s="155"/>
      <c r="K169" s="255"/>
      <c r="N169" s="255"/>
      <c r="T169" s="256"/>
      <c r="Z169" s="257"/>
    </row>
    <row r="170" ht="15.75" customHeight="1">
      <c r="D170" s="155"/>
      <c r="G170" s="155"/>
      <c r="K170" s="255"/>
      <c r="N170" s="255"/>
      <c r="T170" s="256"/>
      <c r="Z170" s="257"/>
    </row>
    <row r="171" ht="15.75" customHeight="1">
      <c r="D171" s="155"/>
      <c r="G171" s="155"/>
      <c r="K171" s="255"/>
      <c r="N171" s="255"/>
      <c r="T171" s="256"/>
      <c r="Z171" s="257"/>
    </row>
    <row r="172" ht="15.75" customHeight="1">
      <c r="D172" s="155"/>
      <c r="G172" s="155"/>
      <c r="K172" s="255"/>
      <c r="N172" s="255"/>
      <c r="T172" s="256"/>
      <c r="Z172" s="257"/>
    </row>
    <row r="173" ht="15.75" customHeight="1">
      <c r="D173" s="155"/>
      <c r="G173" s="155"/>
      <c r="K173" s="255"/>
      <c r="N173" s="255"/>
      <c r="T173" s="256"/>
      <c r="Z173" s="257"/>
    </row>
    <row r="174" ht="15.75" customHeight="1">
      <c r="D174" s="155"/>
      <c r="G174" s="155"/>
      <c r="K174" s="255"/>
      <c r="N174" s="255"/>
      <c r="T174" s="256"/>
      <c r="Z174" s="257"/>
    </row>
    <row r="175" ht="15.75" customHeight="1">
      <c r="D175" s="155"/>
      <c r="G175" s="155"/>
      <c r="K175" s="255"/>
      <c r="N175" s="255"/>
      <c r="T175" s="256"/>
      <c r="Z175" s="257"/>
    </row>
    <row r="176" ht="15.75" customHeight="1">
      <c r="D176" s="155"/>
      <c r="G176" s="155"/>
      <c r="K176" s="255"/>
      <c r="N176" s="255"/>
      <c r="T176" s="256"/>
      <c r="Z176" s="257"/>
    </row>
    <row r="177" ht="15.75" customHeight="1">
      <c r="D177" s="155"/>
      <c r="G177" s="155"/>
      <c r="K177" s="255"/>
      <c r="N177" s="255"/>
      <c r="T177" s="256"/>
      <c r="Z177" s="257"/>
    </row>
    <row r="178" ht="15.75" customHeight="1">
      <c r="D178" s="155"/>
      <c r="G178" s="155"/>
      <c r="K178" s="255"/>
      <c r="N178" s="255"/>
      <c r="T178" s="256"/>
      <c r="Z178" s="257"/>
    </row>
    <row r="179" ht="15.75" customHeight="1">
      <c r="D179" s="155"/>
      <c r="G179" s="155"/>
      <c r="K179" s="255"/>
      <c r="N179" s="255"/>
      <c r="T179" s="256"/>
      <c r="Z179" s="257"/>
    </row>
    <row r="180" ht="15.75" customHeight="1">
      <c r="D180" s="155"/>
      <c r="G180" s="155"/>
      <c r="K180" s="255"/>
      <c r="N180" s="255"/>
      <c r="T180" s="256"/>
      <c r="Z180" s="257"/>
    </row>
    <row r="181" ht="15.75" customHeight="1">
      <c r="D181" s="155"/>
      <c r="G181" s="155"/>
      <c r="K181" s="255"/>
      <c r="N181" s="255"/>
      <c r="T181" s="256"/>
      <c r="Z181" s="257"/>
    </row>
    <row r="182" ht="15.75" customHeight="1">
      <c r="D182" s="155"/>
      <c r="G182" s="155"/>
      <c r="K182" s="255"/>
      <c r="N182" s="255"/>
      <c r="T182" s="256"/>
      <c r="Z182" s="257"/>
    </row>
    <row r="183" ht="15.75" customHeight="1">
      <c r="D183" s="155"/>
      <c r="G183" s="155"/>
      <c r="K183" s="255"/>
      <c r="N183" s="255"/>
      <c r="T183" s="256"/>
      <c r="Z183" s="257"/>
    </row>
    <row r="184" ht="15.75" customHeight="1">
      <c r="D184" s="155"/>
      <c r="G184" s="155"/>
      <c r="K184" s="255"/>
      <c r="N184" s="255"/>
      <c r="T184" s="256"/>
      <c r="Z184" s="257"/>
    </row>
    <row r="185" ht="15.75" customHeight="1">
      <c r="D185" s="155"/>
      <c r="G185" s="155"/>
      <c r="K185" s="255"/>
      <c r="N185" s="255"/>
      <c r="T185" s="256"/>
      <c r="Z185" s="257"/>
    </row>
    <row r="186" ht="15.75" customHeight="1">
      <c r="D186" s="155"/>
      <c r="G186" s="155"/>
      <c r="K186" s="255"/>
      <c r="N186" s="255"/>
      <c r="T186" s="256"/>
      <c r="Z186" s="257"/>
    </row>
    <row r="187" ht="15.75" customHeight="1">
      <c r="D187" s="155"/>
      <c r="G187" s="155"/>
      <c r="K187" s="255"/>
      <c r="N187" s="255"/>
      <c r="T187" s="256"/>
      <c r="Z187" s="257"/>
    </row>
    <row r="188" ht="15.75" customHeight="1">
      <c r="D188" s="155"/>
      <c r="G188" s="155"/>
      <c r="K188" s="255"/>
      <c r="N188" s="255"/>
      <c r="T188" s="256"/>
      <c r="Z188" s="257"/>
    </row>
    <row r="189" ht="15.75" customHeight="1">
      <c r="D189" s="155"/>
      <c r="G189" s="155"/>
      <c r="K189" s="255"/>
      <c r="N189" s="255"/>
      <c r="T189" s="256"/>
      <c r="Z189" s="257"/>
    </row>
    <row r="190" ht="15.75" customHeight="1">
      <c r="D190" s="155"/>
      <c r="G190" s="155"/>
      <c r="K190" s="255"/>
      <c r="N190" s="255"/>
      <c r="T190" s="256"/>
      <c r="Z190" s="257"/>
    </row>
    <row r="191" ht="15.75" customHeight="1">
      <c r="D191" s="155"/>
      <c r="G191" s="155"/>
      <c r="K191" s="255"/>
      <c r="N191" s="255"/>
      <c r="T191" s="256"/>
      <c r="Z191" s="257"/>
    </row>
    <row r="192" ht="15.75" customHeight="1">
      <c r="D192" s="155"/>
      <c r="G192" s="155"/>
      <c r="K192" s="255"/>
      <c r="N192" s="255"/>
      <c r="T192" s="256"/>
      <c r="Z192" s="257"/>
    </row>
    <row r="193" ht="15.75" customHeight="1">
      <c r="D193" s="155"/>
      <c r="G193" s="155"/>
      <c r="K193" s="255"/>
      <c r="N193" s="255"/>
      <c r="T193" s="256"/>
      <c r="Z193" s="257"/>
    </row>
    <row r="194" ht="15.75" customHeight="1">
      <c r="D194" s="155"/>
      <c r="G194" s="155"/>
      <c r="K194" s="255"/>
      <c r="N194" s="255"/>
      <c r="T194" s="256"/>
      <c r="Z194" s="257"/>
    </row>
    <row r="195" ht="15.75" customHeight="1">
      <c r="D195" s="155"/>
      <c r="G195" s="155"/>
      <c r="K195" s="255"/>
      <c r="N195" s="255"/>
      <c r="T195" s="256"/>
      <c r="Z195" s="257"/>
    </row>
    <row r="196" ht="15.75" customHeight="1">
      <c r="D196" s="155"/>
      <c r="G196" s="155"/>
      <c r="K196" s="255"/>
      <c r="N196" s="255"/>
      <c r="T196" s="256"/>
      <c r="Z196" s="257"/>
    </row>
    <row r="197" ht="15.75" customHeight="1">
      <c r="D197" s="155"/>
      <c r="G197" s="155"/>
      <c r="K197" s="255"/>
      <c r="N197" s="255"/>
      <c r="T197" s="256"/>
      <c r="Z197" s="257"/>
    </row>
    <row r="198" ht="15.75" customHeight="1">
      <c r="D198" s="155"/>
      <c r="G198" s="155"/>
      <c r="K198" s="255"/>
      <c r="N198" s="255"/>
      <c r="T198" s="256"/>
      <c r="Z198" s="257"/>
    </row>
    <row r="199" ht="15.75" customHeight="1">
      <c r="D199" s="155"/>
      <c r="G199" s="155"/>
      <c r="K199" s="255"/>
      <c r="N199" s="255"/>
      <c r="T199" s="256"/>
      <c r="Z199" s="257"/>
    </row>
    <row r="200" ht="15.75" customHeight="1">
      <c r="D200" s="155"/>
      <c r="G200" s="155"/>
      <c r="K200" s="255"/>
      <c r="N200" s="255"/>
      <c r="T200" s="256"/>
      <c r="Z200" s="257"/>
    </row>
    <row r="201" ht="15.75" customHeight="1">
      <c r="D201" s="155"/>
      <c r="G201" s="155"/>
      <c r="K201" s="255"/>
      <c r="N201" s="255"/>
      <c r="T201" s="256"/>
      <c r="Z201" s="257"/>
    </row>
    <row r="202" ht="15.75" customHeight="1">
      <c r="D202" s="155"/>
      <c r="G202" s="155"/>
      <c r="K202" s="255"/>
      <c r="N202" s="255"/>
      <c r="T202" s="256"/>
      <c r="Z202" s="257"/>
    </row>
    <row r="203" ht="15.75" customHeight="1">
      <c r="D203" s="155"/>
      <c r="G203" s="155"/>
      <c r="K203" s="255"/>
      <c r="N203" s="255"/>
      <c r="T203" s="256"/>
      <c r="Z203" s="257"/>
    </row>
    <row r="204" ht="15.75" customHeight="1">
      <c r="D204" s="155"/>
      <c r="G204" s="155"/>
      <c r="K204" s="255"/>
      <c r="N204" s="255"/>
      <c r="T204" s="256"/>
      <c r="Z204" s="257"/>
    </row>
    <row r="205" ht="15.75" customHeight="1">
      <c r="D205" s="155"/>
      <c r="G205" s="155"/>
      <c r="K205" s="255"/>
      <c r="N205" s="255"/>
      <c r="T205" s="256"/>
      <c r="Z205" s="257"/>
    </row>
    <row r="206" ht="15.75" customHeight="1">
      <c r="D206" s="155"/>
      <c r="G206" s="155"/>
      <c r="K206" s="255"/>
      <c r="N206" s="255"/>
      <c r="T206" s="256"/>
      <c r="Z206" s="257"/>
    </row>
    <row r="207" ht="15.75" customHeight="1">
      <c r="D207" s="155"/>
      <c r="G207" s="155"/>
      <c r="K207" s="255"/>
      <c r="N207" s="255"/>
      <c r="T207" s="256"/>
      <c r="Z207" s="257"/>
    </row>
    <row r="208" ht="15.75" customHeight="1">
      <c r="D208" s="155"/>
      <c r="G208" s="155"/>
      <c r="K208" s="255"/>
      <c r="N208" s="255"/>
      <c r="T208" s="256"/>
      <c r="Z208" s="257"/>
    </row>
    <row r="209" ht="15.75" customHeight="1">
      <c r="D209" s="155"/>
      <c r="G209" s="155"/>
      <c r="K209" s="255"/>
      <c r="N209" s="255"/>
      <c r="T209" s="256"/>
      <c r="Z209" s="257"/>
    </row>
    <row r="210" ht="15.75" customHeight="1">
      <c r="D210" s="155"/>
      <c r="G210" s="155"/>
      <c r="K210" s="255"/>
      <c r="N210" s="255"/>
      <c r="T210" s="256"/>
      <c r="Z210" s="257"/>
    </row>
    <row r="211" ht="15.75" customHeight="1">
      <c r="D211" s="155"/>
      <c r="G211" s="155"/>
      <c r="K211" s="255"/>
      <c r="N211" s="255"/>
      <c r="T211" s="256"/>
      <c r="Z211" s="257"/>
    </row>
    <row r="212" ht="15.75" customHeight="1">
      <c r="D212" s="155"/>
      <c r="G212" s="155"/>
      <c r="K212" s="255"/>
      <c r="N212" s="255"/>
      <c r="T212" s="256"/>
      <c r="Z212" s="257"/>
    </row>
    <row r="213" ht="15.75" customHeight="1">
      <c r="D213" s="155"/>
      <c r="G213" s="155"/>
      <c r="K213" s="255"/>
      <c r="N213" s="255"/>
      <c r="T213" s="256"/>
      <c r="Z213" s="257"/>
    </row>
    <row r="214" ht="15.75" customHeight="1">
      <c r="D214" s="155"/>
      <c r="G214" s="155"/>
      <c r="K214" s="255"/>
      <c r="N214" s="255"/>
      <c r="T214" s="256"/>
      <c r="Z214" s="257"/>
    </row>
    <row r="215" ht="15.75" customHeight="1">
      <c r="D215" s="155"/>
      <c r="G215" s="155"/>
      <c r="K215" s="255"/>
      <c r="N215" s="255"/>
      <c r="T215" s="256"/>
      <c r="Z215" s="257"/>
    </row>
    <row r="216" ht="15.75" customHeight="1">
      <c r="D216" s="155"/>
      <c r="G216" s="155"/>
      <c r="K216" s="255"/>
      <c r="N216" s="255"/>
      <c r="T216" s="256"/>
      <c r="Z216" s="257"/>
    </row>
    <row r="217" ht="15.75" customHeight="1">
      <c r="D217" s="155"/>
      <c r="G217" s="155"/>
      <c r="K217" s="255"/>
      <c r="N217" s="255"/>
      <c r="T217" s="256"/>
      <c r="Z217" s="257"/>
    </row>
    <row r="218" ht="15.75" customHeight="1">
      <c r="D218" s="155"/>
      <c r="G218" s="155"/>
      <c r="K218" s="255"/>
      <c r="N218" s="255"/>
      <c r="T218" s="256"/>
      <c r="Z218" s="257"/>
    </row>
    <row r="219" ht="15.75" customHeight="1">
      <c r="D219" s="155"/>
      <c r="G219" s="155"/>
      <c r="K219" s="255"/>
      <c r="N219" s="255"/>
      <c r="T219" s="256"/>
      <c r="Z219" s="257"/>
    </row>
    <row r="220" ht="15.75" customHeight="1">
      <c r="D220" s="155"/>
      <c r="G220" s="155"/>
      <c r="K220" s="255"/>
      <c r="N220" s="255"/>
      <c r="T220" s="256"/>
      <c r="Z220" s="257"/>
    </row>
    <row r="221" ht="15.75" customHeight="1">
      <c r="D221" s="155"/>
      <c r="G221" s="155"/>
      <c r="K221" s="255"/>
      <c r="N221" s="255"/>
      <c r="T221" s="256"/>
      <c r="Z221" s="257"/>
    </row>
    <row r="222" ht="15.75" customHeight="1">
      <c r="D222" s="155"/>
      <c r="G222" s="155"/>
      <c r="K222" s="255"/>
      <c r="N222" s="255"/>
      <c r="T222" s="256"/>
      <c r="Z222" s="257"/>
    </row>
    <row r="223" ht="15.75" customHeight="1">
      <c r="D223" s="155"/>
      <c r="G223" s="155"/>
      <c r="K223" s="255"/>
      <c r="N223" s="255"/>
      <c r="T223" s="256"/>
      <c r="Z223" s="257"/>
    </row>
    <row r="224" ht="15.75" customHeight="1">
      <c r="D224" s="155"/>
      <c r="G224" s="155"/>
      <c r="K224" s="255"/>
      <c r="N224" s="255"/>
      <c r="T224" s="256"/>
      <c r="Z224" s="257"/>
    </row>
    <row r="225" ht="15.75" customHeight="1">
      <c r="D225" s="155"/>
      <c r="G225" s="155"/>
      <c r="K225" s="255"/>
      <c r="N225" s="255"/>
      <c r="T225" s="256"/>
      <c r="Z225" s="257"/>
    </row>
    <row r="226" ht="15.75" customHeight="1">
      <c r="D226" s="155"/>
      <c r="G226" s="155"/>
      <c r="K226" s="255"/>
      <c r="N226" s="255"/>
      <c r="T226" s="256"/>
      <c r="Z226" s="257"/>
    </row>
    <row r="227" ht="15.75" customHeight="1">
      <c r="D227" s="155"/>
      <c r="G227" s="155"/>
      <c r="K227" s="255"/>
      <c r="N227" s="255"/>
      <c r="T227" s="256"/>
      <c r="Z227" s="257"/>
    </row>
    <row r="228" ht="15.75" customHeight="1">
      <c r="D228" s="155"/>
      <c r="G228" s="155"/>
      <c r="K228" s="255"/>
      <c r="N228" s="255"/>
      <c r="T228" s="256"/>
      <c r="Z228" s="257"/>
    </row>
    <row r="229" ht="15.75" customHeight="1">
      <c r="D229" s="155"/>
      <c r="G229" s="155"/>
      <c r="K229" s="255"/>
      <c r="N229" s="255"/>
      <c r="T229" s="256"/>
      <c r="Z229" s="257"/>
    </row>
    <row r="230" ht="15.75" customHeight="1">
      <c r="D230" s="155"/>
      <c r="G230" s="155"/>
      <c r="K230" s="255"/>
      <c r="N230" s="255"/>
      <c r="T230" s="256"/>
      <c r="Z230" s="257"/>
    </row>
    <row r="231" ht="15.75" customHeight="1">
      <c r="D231" s="155"/>
      <c r="G231" s="155"/>
      <c r="K231" s="255"/>
      <c r="N231" s="255"/>
      <c r="T231" s="256"/>
      <c r="Z231" s="257"/>
    </row>
    <row r="232" ht="15.75" customHeight="1">
      <c r="D232" s="155"/>
      <c r="G232" s="155"/>
      <c r="K232" s="255"/>
      <c r="N232" s="255"/>
      <c r="T232" s="256"/>
      <c r="Z232" s="257"/>
    </row>
    <row r="233" ht="15.75" customHeight="1">
      <c r="D233" s="155"/>
      <c r="G233" s="155"/>
      <c r="K233" s="255"/>
      <c r="N233" s="255"/>
      <c r="T233" s="256"/>
      <c r="Z233" s="257"/>
    </row>
    <row r="234" ht="15.75" customHeight="1">
      <c r="D234" s="155"/>
      <c r="G234" s="155"/>
      <c r="K234" s="255"/>
      <c r="N234" s="255"/>
      <c r="T234" s="256"/>
      <c r="Z234" s="257"/>
    </row>
    <row r="235" ht="15.75" customHeight="1">
      <c r="D235" s="155"/>
      <c r="G235" s="155"/>
      <c r="K235" s="255"/>
      <c r="N235" s="255"/>
      <c r="T235" s="256"/>
      <c r="Z235" s="257"/>
    </row>
    <row r="236" ht="15.75" customHeight="1">
      <c r="D236" s="155"/>
      <c r="G236" s="155"/>
      <c r="K236" s="255"/>
      <c r="N236" s="255"/>
      <c r="T236" s="256"/>
      <c r="Z236" s="257"/>
    </row>
    <row r="237" ht="15.75" customHeight="1">
      <c r="D237" s="155"/>
      <c r="G237" s="155"/>
      <c r="K237" s="255"/>
      <c r="N237" s="255"/>
      <c r="T237" s="256"/>
      <c r="Z237" s="257"/>
    </row>
    <row r="238" ht="15.75" customHeight="1">
      <c r="D238" s="155"/>
      <c r="G238" s="155"/>
      <c r="K238" s="255"/>
      <c r="N238" s="255"/>
      <c r="T238" s="256"/>
      <c r="Z238" s="257"/>
    </row>
    <row r="239" ht="15.75" customHeight="1">
      <c r="D239" s="155"/>
      <c r="G239" s="155"/>
      <c r="K239" s="255"/>
      <c r="N239" s="255"/>
      <c r="T239" s="256"/>
      <c r="Z239" s="257"/>
    </row>
    <row r="240" ht="15.75" customHeight="1">
      <c r="D240" s="155"/>
      <c r="G240" s="155"/>
      <c r="K240" s="255"/>
      <c r="N240" s="255"/>
      <c r="T240" s="256"/>
      <c r="Z240" s="257"/>
    </row>
    <row r="241" ht="15.75" customHeight="1">
      <c r="D241" s="155"/>
      <c r="G241" s="155"/>
      <c r="K241" s="255"/>
      <c r="N241" s="255"/>
      <c r="T241" s="256"/>
      <c r="Z241" s="257"/>
    </row>
    <row r="242" ht="15.75" customHeight="1">
      <c r="D242" s="155"/>
      <c r="G242" s="155"/>
      <c r="K242" s="255"/>
      <c r="N242" s="255"/>
      <c r="T242" s="256"/>
      <c r="Z242" s="257"/>
    </row>
    <row r="243" ht="15.75" customHeight="1">
      <c r="D243" s="155"/>
      <c r="G243" s="155"/>
      <c r="K243" s="255"/>
      <c r="N243" s="255"/>
      <c r="T243" s="256"/>
      <c r="Z243" s="257"/>
    </row>
    <row r="244" ht="15.75" customHeight="1">
      <c r="D244" s="155"/>
      <c r="G244" s="155"/>
      <c r="K244" s="255"/>
      <c r="N244" s="255"/>
      <c r="T244" s="256"/>
      <c r="Z244" s="257"/>
    </row>
    <row r="245" ht="15.75" customHeight="1">
      <c r="D245" s="155"/>
      <c r="G245" s="155"/>
      <c r="K245" s="255"/>
      <c r="N245" s="255"/>
      <c r="T245" s="256"/>
      <c r="Z245" s="257"/>
    </row>
    <row r="246" ht="15.75" customHeight="1">
      <c r="D246" s="155"/>
      <c r="G246" s="155"/>
      <c r="K246" s="255"/>
      <c r="N246" s="255"/>
      <c r="T246" s="256"/>
      <c r="Z246" s="257"/>
    </row>
    <row r="247" ht="15.75" customHeight="1">
      <c r="D247" s="155"/>
      <c r="G247" s="155"/>
      <c r="K247" s="255"/>
      <c r="N247" s="255"/>
      <c r="T247" s="256"/>
      <c r="Z247" s="257"/>
    </row>
    <row r="248" ht="15.75" customHeight="1">
      <c r="D248" s="155"/>
      <c r="G248" s="155"/>
      <c r="K248" s="255"/>
      <c r="N248" s="255"/>
      <c r="T248" s="256"/>
      <c r="Z248" s="257"/>
    </row>
    <row r="249" ht="15.75" customHeight="1">
      <c r="D249" s="155"/>
      <c r="G249" s="155"/>
      <c r="K249" s="255"/>
      <c r="N249" s="255"/>
      <c r="T249" s="256"/>
      <c r="Z249" s="257"/>
    </row>
    <row r="250" ht="15.75" customHeight="1">
      <c r="D250" s="155"/>
      <c r="G250" s="155"/>
      <c r="K250" s="255"/>
      <c r="N250" s="255"/>
      <c r="T250" s="256"/>
      <c r="Z250" s="257"/>
    </row>
    <row r="251" ht="15.75" customHeight="1">
      <c r="D251" s="155"/>
      <c r="G251" s="155"/>
      <c r="K251" s="255"/>
      <c r="N251" s="255"/>
      <c r="T251" s="256"/>
      <c r="Z251" s="257"/>
    </row>
    <row r="252" ht="15.75" customHeight="1">
      <c r="D252" s="155"/>
      <c r="G252" s="155"/>
      <c r="K252" s="255"/>
      <c r="N252" s="255"/>
      <c r="T252" s="256"/>
      <c r="Z252" s="257"/>
    </row>
    <row r="253" ht="15.75" customHeight="1">
      <c r="D253" s="155"/>
      <c r="G253" s="155"/>
      <c r="K253" s="255"/>
      <c r="N253" s="255"/>
      <c r="T253" s="256"/>
      <c r="Z253" s="257"/>
    </row>
    <row r="254" ht="15.75" customHeight="1">
      <c r="D254" s="155"/>
      <c r="G254" s="155"/>
      <c r="K254" s="255"/>
      <c r="N254" s="255"/>
      <c r="T254" s="256"/>
      <c r="Z254" s="257"/>
    </row>
    <row r="255" ht="15.75" customHeight="1">
      <c r="D255" s="155"/>
      <c r="G255" s="155"/>
      <c r="K255" s="255"/>
      <c r="N255" s="255"/>
      <c r="T255" s="256"/>
      <c r="Z255" s="257"/>
    </row>
    <row r="256" ht="15.75" customHeight="1">
      <c r="D256" s="155"/>
      <c r="G256" s="155"/>
      <c r="K256" s="255"/>
      <c r="N256" s="255"/>
      <c r="T256" s="256"/>
      <c r="Z256" s="257"/>
    </row>
    <row r="257" ht="15.75" customHeight="1">
      <c r="D257" s="155"/>
      <c r="G257" s="155"/>
      <c r="K257" s="255"/>
      <c r="N257" s="255"/>
      <c r="T257" s="256"/>
      <c r="Z257" s="257"/>
    </row>
    <row r="258" ht="15.75" customHeight="1">
      <c r="D258" s="155"/>
      <c r="G258" s="155"/>
      <c r="K258" s="255"/>
      <c r="N258" s="255"/>
      <c r="T258" s="256"/>
      <c r="Z258" s="257"/>
    </row>
    <row r="259" ht="15.75" customHeight="1">
      <c r="D259" s="155"/>
      <c r="G259" s="155"/>
      <c r="K259" s="255"/>
      <c r="N259" s="255"/>
      <c r="T259" s="256"/>
      <c r="Z259" s="257"/>
    </row>
    <row r="260" ht="15.75" customHeight="1">
      <c r="D260" s="155"/>
      <c r="G260" s="155"/>
      <c r="K260" s="255"/>
      <c r="N260" s="255"/>
      <c r="T260" s="256"/>
      <c r="Z260" s="257"/>
    </row>
    <row r="261" ht="15.75" customHeight="1">
      <c r="D261" s="155"/>
      <c r="G261" s="155"/>
      <c r="K261" s="255"/>
      <c r="N261" s="255"/>
      <c r="T261" s="256"/>
      <c r="Z261" s="257"/>
    </row>
    <row r="262" ht="15.75" customHeight="1">
      <c r="D262" s="155"/>
      <c r="G262" s="155"/>
      <c r="K262" s="255"/>
      <c r="N262" s="255"/>
      <c r="T262" s="256"/>
      <c r="Z262" s="257"/>
    </row>
    <row r="263" ht="15.75" customHeight="1">
      <c r="D263" s="155"/>
      <c r="G263" s="155"/>
      <c r="K263" s="255"/>
      <c r="N263" s="255"/>
      <c r="T263" s="256"/>
      <c r="Z263" s="257"/>
    </row>
    <row r="264" ht="15.75" customHeight="1">
      <c r="D264" s="155"/>
      <c r="G264" s="155"/>
      <c r="K264" s="255"/>
      <c r="N264" s="255"/>
      <c r="T264" s="256"/>
      <c r="Z264" s="257"/>
    </row>
    <row r="265" ht="15.75" customHeight="1">
      <c r="D265" s="155"/>
      <c r="G265" s="155"/>
      <c r="K265" s="255"/>
      <c r="N265" s="255"/>
      <c r="T265" s="256"/>
      <c r="Z265" s="257"/>
    </row>
    <row r="266" ht="15.75" customHeight="1">
      <c r="D266" s="155"/>
      <c r="G266" s="155"/>
      <c r="K266" s="255"/>
      <c r="N266" s="255"/>
      <c r="T266" s="256"/>
      <c r="Z266" s="257"/>
    </row>
    <row r="267" ht="15.75" customHeight="1">
      <c r="D267" s="155"/>
      <c r="G267" s="155"/>
      <c r="K267" s="255"/>
      <c r="N267" s="255"/>
      <c r="T267" s="256"/>
      <c r="Z267" s="257"/>
    </row>
    <row r="268" ht="15.75" customHeight="1">
      <c r="D268" s="155"/>
      <c r="G268" s="155"/>
      <c r="K268" s="255"/>
      <c r="N268" s="255"/>
      <c r="T268" s="256"/>
      <c r="Z268" s="257"/>
    </row>
    <row r="269" ht="15.75" customHeight="1">
      <c r="D269" s="155"/>
      <c r="G269" s="155"/>
      <c r="K269" s="255"/>
      <c r="N269" s="255"/>
      <c r="T269" s="256"/>
      <c r="Z269" s="257"/>
    </row>
    <row r="270" ht="15.75" customHeight="1">
      <c r="D270" s="155"/>
      <c r="G270" s="155"/>
      <c r="K270" s="255"/>
      <c r="N270" s="255"/>
      <c r="T270" s="256"/>
      <c r="Z270" s="257"/>
    </row>
    <row r="271" ht="15.75" customHeight="1">
      <c r="D271" s="155"/>
      <c r="G271" s="155"/>
      <c r="K271" s="255"/>
      <c r="N271" s="255"/>
      <c r="T271" s="256"/>
      <c r="Z271" s="257"/>
    </row>
    <row r="272" ht="15.75" customHeight="1">
      <c r="D272" s="155"/>
      <c r="G272" s="155"/>
      <c r="K272" s="255"/>
      <c r="N272" s="255"/>
      <c r="T272" s="256"/>
      <c r="Z272" s="257"/>
    </row>
    <row r="273" ht="15.75" customHeight="1">
      <c r="D273" s="155"/>
      <c r="G273" s="155"/>
      <c r="K273" s="255"/>
      <c r="N273" s="255"/>
      <c r="T273" s="256"/>
      <c r="Z273" s="257"/>
    </row>
    <row r="274" ht="15.75" customHeight="1">
      <c r="D274" s="155"/>
      <c r="G274" s="155"/>
      <c r="K274" s="255"/>
      <c r="N274" s="255"/>
      <c r="T274" s="256"/>
      <c r="Z274" s="257"/>
    </row>
    <row r="275" ht="15.75" customHeight="1">
      <c r="D275" s="155"/>
      <c r="G275" s="155"/>
      <c r="K275" s="255"/>
      <c r="N275" s="255"/>
      <c r="T275" s="256"/>
      <c r="Z275" s="257"/>
    </row>
    <row r="276" ht="15.75" customHeight="1">
      <c r="D276" s="155"/>
      <c r="G276" s="155"/>
      <c r="K276" s="255"/>
      <c r="N276" s="255"/>
      <c r="T276" s="256"/>
      <c r="Z276" s="257"/>
    </row>
    <row r="277" ht="15.75" customHeight="1">
      <c r="D277" s="155"/>
      <c r="G277" s="155"/>
      <c r="K277" s="255"/>
      <c r="N277" s="255"/>
      <c r="T277" s="256"/>
      <c r="Z277" s="257"/>
    </row>
    <row r="278" ht="15.75" customHeight="1">
      <c r="D278" s="155"/>
      <c r="G278" s="155"/>
      <c r="K278" s="255"/>
      <c r="N278" s="255"/>
      <c r="T278" s="256"/>
      <c r="Z278" s="257"/>
    </row>
    <row r="279" ht="15.75" customHeight="1">
      <c r="D279" s="155"/>
      <c r="G279" s="155"/>
      <c r="K279" s="255"/>
      <c r="N279" s="255"/>
      <c r="T279" s="256"/>
      <c r="Z279" s="257"/>
    </row>
    <row r="280" ht="15.75" customHeight="1">
      <c r="D280" s="155"/>
      <c r="G280" s="155"/>
      <c r="K280" s="255"/>
      <c r="N280" s="255"/>
      <c r="T280" s="256"/>
      <c r="Z280" s="257"/>
    </row>
    <row r="281" ht="15.75" customHeight="1">
      <c r="D281" s="155"/>
      <c r="G281" s="155"/>
      <c r="K281" s="255"/>
      <c r="N281" s="255"/>
      <c r="T281" s="256"/>
      <c r="Z281" s="257"/>
    </row>
    <row r="282" ht="15.75" customHeight="1">
      <c r="D282" s="155"/>
      <c r="G282" s="155"/>
      <c r="K282" s="255"/>
      <c r="N282" s="255"/>
      <c r="T282" s="256"/>
      <c r="Z282" s="257"/>
    </row>
    <row r="283" ht="15.75" customHeight="1">
      <c r="D283" s="155"/>
      <c r="G283" s="155"/>
      <c r="K283" s="255"/>
      <c r="N283" s="255"/>
      <c r="T283" s="256"/>
      <c r="Z283" s="257"/>
    </row>
    <row r="284" ht="15.75" customHeight="1">
      <c r="D284" s="155"/>
      <c r="G284" s="155"/>
      <c r="K284" s="255"/>
      <c r="N284" s="255"/>
      <c r="T284" s="256"/>
      <c r="Z284" s="257"/>
    </row>
    <row r="285" ht="15.75" customHeight="1">
      <c r="D285" s="155"/>
      <c r="G285" s="155"/>
      <c r="K285" s="255"/>
      <c r="N285" s="255"/>
      <c r="T285" s="256"/>
      <c r="Z285" s="257"/>
    </row>
    <row r="286" ht="15.75" customHeight="1">
      <c r="D286" s="155"/>
      <c r="G286" s="155"/>
      <c r="K286" s="255"/>
      <c r="N286" s="255"/>
      <c r="T286" s="256"/>
      <c r="Z286" s="257"/>
    </row>
    <row r="287" ht="15.75" customHeight="1">
      <c r="D287" s="155"/>
      <c r="G287" s="155"/>
      <c r="K287" s="255"/>
      <c r="N287" s="255"/>
      <c r="T287" s="256"/>
      <c r="Z287" s="257"/>
    </row>
    <row r="288" ht="15.75" customHeight="1">
      <c r="D288" s="155"/>
      <c r="G288" s="155"/>
      <c r="K288" s="255"/>
      <c r="N288" s="255"/>
      <c r="T288" s="256"/>
      <c r="Z288" s="257"/>
    </row>
    <row r="289" ht="15.75" customHeight="1">
      <c r="D289" s="155"/>
      <c r="G289" s="155"/>
      <c r="K289" s="255"/>
      <c r="N289" s="255"/>
      <c r="T289" s="256"/>
      <c r="Z289" s="257"/>
    </row>
    <row r="290" ht="15.75" customHeight="1">
      <c r="D290" s="155"/>
      <c r="G290" s="155"/>
      <c r="K290" s="255"/>
      <c r="N290" s="255"/>
      <c r="T290" s="256"/>
      <c r="Z290" s="257"/>
    </row>
    <row r="291" ht="15.75" customHeight="1">
      <c r="D291" s="155"/>
      <c r="G291" s="155"/>
      <c r="K291" s="255"/>
      <c r="N291" s="255"/>
      <c r="T291" s="256"/>
      <c r="Z291" s="257"/>
    </row>
    <row r="292" ht="15.75" customHeight="1">
      <c r="D292" s="155"/>
      <c r="G292" s="155"/>
      <c r="K292" s="255"/>
      <c r="N292" s="255"/>
      <c r="T292" s="256"/>
      <c r="Z292" s="257"/>
    </row>
    <row r="293" ht="15.75" customHeight="1">
      <c r="D293" s="155"/>
      <c r="G293" s="155"/>
      <c r="K293" s="255"/>
      <c r="N293" s="255"/>
      <c r="T293" s="256"/>
      <c r="Z293" s="257"/>
    </row>
    <row r="294" ht="15.75" customHeight="1">
      <c r="D294" s="155"/>
      <c r="G294" s="155"/>
      <c r="K294" s="255"/>
      <c r="N294" s="255"/>
      <c r="T294" s="256"/>
      <c r="Z294" s="257"/>
    </row>
    <row r="295" ht="15.75" customHeight="1">
      <c r="D295" s="155"/>
      <c r="G295" s="155"/>
      <c r="K295" s="255"/>
      <c r="N295" s="255"/>
      <c r="T295" s="256"/>
      <c r="Z295" s="257"/>
    </row>
    <row r="296" ht="15.75" customHeight="1">
      <c r="D296" s="155"/>
      <c r="G296" s="155"/>
      <c r="K296" s="255"/>
      <c r="N296" s="255"/>
      <c r="T296" s="256"/>
      <c r="Z296" s="257"/>
    </row>
    <row r="297" ht="15.75" customHeight="1">
      <c r="D297" s="155"/>
      <c r="G297" s="155"/>
      <c r="K297" s="255"/>
      <c r="N297" s="255"/>
      <c r="T297" s="256"/>
      <c r="Z297" s="257"/>
    </row>
    <row r="298" ht="15.75" customHeight="1">
      <c r="D298" s="155"/>
      <c r="G298" s="155"/>
      <c r="K298" s="255"/>
      <c r="N298" s="255"/>
      <c r="T298" s="256"/>
      <c r="Z298" s="257"/>
    </row>
    <row r="299" ht="15.75" customHeight="1">
      <c r="D299" s="155"/>
      <c r="G299" s="155"/>
      <c r="K299" s="255"/>
      <c r="N299" s="255"/>
      <c r="T299" s="256"/>
      <c r="Z299" s="257"/>
    </row>
    <row r="300" ht="15.75" customHeight="1">
      <c r="D300" s="155"/>
      <c r="G300" s="155"/>
      <c r="K300" s="255"/>
      <c r="N300" s="255"/>
      <c r="T300" s="256"/>
      <c r="Z300" s="257"/>
    </row>
    <row r="301" ht="15.75" customHeight="1">
      <c r="D301" s="155"/>
      <c r="G301" s="155"/>
      <c r="K301" s="255"/>
      <c r="N301" s="255"/>
      <c r="T301" s="256"/>
      <c r="Z301" s="257"/>
    </row>
    <row r="302" ht="15.75" customHeight="1">
      <c r="D302" s="155"/>
      <c r="G302" s="155"/>
      <c r="K302" s="255"/>
      <c r="N302" s="255"/>
      <c r="T302" s="256"/>
      <c r="Z302" s="257"/>
    </row>
    <row r="303" ht="15.75" customHeight="1">
      <c r="D303" s="155"/>
      <c r="G303" s="155"/>
      <c r="K303" s="255"/>
      <c r="N303" s="255"/>
      <c r="T303" s="256"/>
      <c r="Z303" s="257"/>
    </row>
    <row r="304" ht="15.75" customHeight="1">
      <c r="D304" s="155"/>
      <c r="G304" s="155"/>
      <c r="K304" s="255"/>
      <c r="N304" s="255"/>
      <c r="T304" s="256"/>
      <c r="Z304" s="257"/>
    </row>
    <row r="305" ht="15.75" customHeight="1">
      <c r="D305" s="155"/>
      <c r="G305" s="155"/>
      <c r="K305" s="255"/>
      <c r="N305" s="255"/>
      <c r="T305" s="256"/>
      <c r="Z305" s="257"/>
    </row>
    <row r="306" ht="15.75" customHeight="1">
      <c r="D306" s="155"/>
      <c r="G306" s="155"/>
      <c r="K306" s="255"/>
      <c r="N306" s="255"/>
      <c r="T306" s="256"/>
      <c r="Z306" s="257"/>
    </row>
    <row r="307" ht="15.75" customHeight="1">
      <c r="D307" s="155"/>
      <c r="G307" s="155"/>
      <c r="K307" s="255"/>
      <c r="N307" s="255"/>
      <c r="T307" s="256"/>
      <c r="Z307" s="257"/>
    </row>
    <row r="308" ht="15.75" customHeight="1">
      <c r="D308" s="155"/>
      <c r="G308" s="155"/>
      <c r="K308" s="255"/>
      <c r="N308" s="255"/>
      <c r="T308" s="256"/>
      <c r="Z308" s="257"/>
    </row>
    <row r="309" ht="15.75" customHeight="1">
      <c r="D309" s="155"/>
      <c r="G309" s="155"/>
      <c r="K309" s="255"/>
      <c r="N309" s="255"/>
      <c r="T309" s="256"/>
      <c r="Z309" s="257"/>
    </row>
    <row r="310" ht="15.75" customHeight="1">
      <c r="D310" s="155"/>
      <c r="G310" s="155"/>
      <c r="K310" s="255"/>
      <c r="N310" s="255"/>
      <c r="T310" s="256"/>
      <c r="Z310" s="257"/>
    </row>
    <row r="311" ht="15.75" customHeight="1">
      <c r="D311" s="155"/>
      <c r="G311" s="155"/>
      <c r="K311" s="255"/>
      <c r="N311" s="255"/>
      <c r="T311" s="256"/>
      <c r="Z311" s="257"/>
    </row>
    <row r="312" ht="15.75" customHeight="1">
      <c r="D312" s="155"/>
      <c r="G312" s="155"/>
      <c r="K312" s="255"/>
      <c r="N312" s="255"/>
      <c r="T312" s="256"/>
      <c r="Z312" s="257"/>
    </row>
    <row r="313" ht="15.75" customHeight="1">
      <c r="D313" s="155"/>
      <c r="G313" s="155"/>
      <c r="K313" s="255"/>
      <c r="N313" s="255"/>
      <c r="T313" s="256"/>
      <c r="Z313" s="257"/>
    </row>
    <row r="314" ht="15.75" customHeight="1">
      <c r="D314" s="155"/>
      <c r="G314" s="155"/>
      <c r="K314" s="255"/>
      <c r="N314" s="255"/>
      <c r="T314" s="256"/>
      <c r="Z314" s="257"/>
    </row>
    <row r="315" ht="15.75" customHeight="1">
      <c r="D315" s="155"/>
      <c r="G315" s="155"/>
      <c r="K315" s="255"/>
      <c r="N315" s="255"/>
      <c r="T315" s="256"/>
      <c r="Z315" s="257"/>
    </row>
    <row r="316" ht="15.75" customHeight="1">
      <c r="D316" s="155"/>
      <c r="G316" s="155"/>
      <c r="K316" s="255"/>
      <c r="N316" s="255"/>
      <c r="T316" s="256"/>
      <c r="Z316" s="257"/>
    </row>
    <row r="317" ht="15.75" customHeight="1">
      <c r="D317" s="155"/>
      <c r="G317" s="155"/>
      <c r="K317" s="255"/>
      <c r="N317" s="255"/>
      <c r="T317" s="256"/>
      <c r="Z317" s="257"/>
    </row>
    <row r="318" ht="15.75" customHeight="1">
      <c r="D318" s="155"/>
      <c r="G318" s="155"/>
      <c r="K318" s="255"/>
      <c r="N318" s="255"/>
      <c r="T318" s="256"/>
      <c r="Z318" s="257"/>
    </row>
    <row r="319" ht="15.75" customHeight="1">
      <c r="D319" s="155"/>
      <c r="G319" s="155"/>
      <c r="K319" s="255"/>
      <c r="N319" s="255"/>
      <c r="T319" s="256"/>
      <c r="Z319" s="257"/>
    </row>
    <row r="320" ht="15.75" customHeight="1">
      <c r="D320" s="155"/>
      <c r="G320" s="155"/>
      <c r="K320" s="255"/>
      <c r="N320" s="255"/>
      <c r="T320" s="256"/>
      <c r="Z320" s="257"/>
    </row>
    <row r="321" ht="15.75" customHeight="1">
      <c r="D321" s="155"/>
      <c r="G321" s="155"/>
      <c r="K321" s="255"/>
      <c r="N321" s="255"/>
      <c r="T321" s="256"/>
      <c r="Z321" s="257"/>
    </row>
    <row r="322" ht="15.75" customHeight="1">
      <c r="D322" s="155"/>
      <c r="G322" s="155"/>
      <c r="K322" s="255"/>
      <c r="N322" s="255"/>
      <c r="T322" s="256"/>
      <c r="Z322" s="257"/>
    </row>
    <row r="323" ht="15.75" customHeight="1">
      <c r="D323" s="155"/>
      <c r="G323" s="155"/>
      <c r="K323" s="255"/>
      <c r="N323" s="255"/>
      <c r="T323" s="256"/>
      <c r="Z323" s="257"/>
    </row>
    <row r="324" ht="15.75" customHeight="1">
      <c r="D324" s="155"/>
      <c r="G324" s="155"/>
      <c r="K324" s="255"/>
      <c r="N324" s="255"/>
      <c r="T324" s="256"/>
      <c r="Z324" s="257"/>
    </row>
    <row r="325" ht="15.75" customHeight="1">
      <c r="D325" s="155"/>
      <c r="G325" s="155"/>
      <c r="K325" s="255"/>
      <c r="N325" s="255"/>
      <c r="T325" s="256"/>
      <c r="Z325" s="257"/>
    </row>
    <row r="326" ht="15.75" customHeight="1">
      <c r="D326" s="155"/>
      <c r="G326" s="155"/>
      <c r="K326" s="255"/>
      <c r="N326" s="255"/>
      <c r="T326" s="256"/>
      <c r="Z326" s="257"/>
    </row>
    <row r="327" ht="15.75" customHeight="1">
      <c r="D327" s="155"/>
      <c r="G327" s="155"/>
      <c r="K327" s="255"/>
      <c r="N327" s="255"/>
      <c r="T327" s="256"/>
      <c r="Z327" s="257"/>
    </row>
    <row r="328" ht="15.75" customHeight="1">
      <c r="D328" s="155"/>
      <c r="G328" s="155"/>
      <c r="K328" s="255"/>
      <c r="N328" s="255"/>
      <c r="T328" s="256"/>
      <c r="Z328" s="257"/>
    </row>
    <row r="329" ht="15.75" customHeight="1">
      <c r="D329" s="155"/>
      <c r="G329" s="155"/>
      <c r="K329" s="255"/>
      <c r="N329" s="255"/>
      <c r="T329" s="256"/>
      <c r="Z329" s="257"/>
    </row>
    <row r="330" ht="15.75" customHeight="1">
      <c r="D330" s="155"/>
      <c r="G330" s="155"/>
      <c r="K330" s="255"/>
      <c r="N330" s="255"/>
      <c r="T330" s="256"/>
      <c r="Z330" s="257"/>
    </row>
    <row r="331" ht="15.75" customHeight="1">
      <c r="D331" s="155"/>
      <c r="G331" s="155"/>
      <c r="K331" s="255"/>
      <c r="N331" s="255"/>
      <c r="T331" s="256"/>
      <c r="Z331" s="257"/>
    </row>
    <row r="332" ht="15.75" customHeight="1">
      <c r="D332" s="155"/>
      <c r="G332" s="155"/>
      <c r="K332" s="255"/>
      <c r="N332" s="255"/>
      <c r="T332" s="256"/>
      <c r="Z332" s="257"/>
    </row>
    <row r="333" ht="15.75" customHeight="1">
      <c r="D333" s="155"/>
      <c r="G333" s="155"/>
      <c r="K333" s="255"/>
      <c r="N333" s="255"/>
      <c r="T333" s="256"/>
      <c r="Z333" s="257"/>
    </row>
    <row r="334" ht="15.75" customHeight="1">
      <c r="D334" s="155"/>
      <c r="G334" s="155"/>
      <c r="K334" s="255"/>
      <c r="N334" s="255"/>
      <c r="T334" s="256"/>
      <c r="Z334" s="257"/>
    </row>
    <row r="335" ht="15.75" customHeight="1">
      <c r="D335" s="155"/>
      <c r="G335" s="155"/>
      <c r="K335" s="255"/>
      <c r="N335" s="255"/>
      <c r="T335" s="256"/>
      <c r="Z335" s="257"/>
    </row>
    <row r="336" ht="15.75" customHeight="1">
      <c r="D336" s="155"/>
      <c r="G336" s="155"/>
      <c r="K336" s="255"/>
      <c r="N336" s="255"/>
      <c r="T336" s="256"/>
      <c r="Z336" s="257"/>
    </row>
    <row r="337" ht="15.75" customHeight="1">
      <c r="D337" s="155"/>
      <c r="G337" s="155"/>
      <c r="K337" s="255"/>
      <c r="N337" s="255"/>
      <c r="T337" s="256"/>
      <c r="Z337" s="257"/>
    </row>
    <row r="338" ht="15.75" customHeight="1">
      <c r="D338" s="155"/>
      <c r="G338" s="155"/>
      <c r="K338" s="255"/>
      <c r="N338" s="255"/>
      <c r="T338" s="256"/>
      <c r="Z338" s="257"/>
    </row>
    <row r="339" ht="15.75" customHeight="1">
      <c r="D339" s="155"/>
      <c r="G339" s="155"/>
      <c r="K339" s="255"/>
      <c r="N339" s="255"/>
      <c r="T339" s="256"/>
      <c r="Z339" s="257"/>
    </row>
    <row r="340" ht="15.75" customHeight="1">
      <c r="D340" s="155"/>
      <c r="G340" s="155"/>
      <c r="K340" s="255"/>
      <c r="N340" s="255"/>
      <c r="T340" s="256"/>
      <c r="Z340" s="257"/>
    </row>
    <row r="341" ht="15.75" customHeight="1">
      <c r="D341" s="155"/>
      <c r="G341" s="155"/>
      <c r="K341" s="255"/>
      <c r="N341" s="255"/>
      <c r="T341" s="256"/>
      <c r="Z341" s="257"/>
    </row>
    <row r="342" ht="15.75" customHeight="1">
      <c r="D342" s="155"/>
      <c r="G342" s="155"/>
      <c r="K342" s="255"/>
      <c r="N342" s="255"/>
      <c r="T342" s="256"/>
      <c r="Z342" s="257"/>
    </row>
    <row r="343" ht="15.75" customHeight="1">
      <c r="D343" s="155"/>
      <c r="G343" s="155"/>
      <c r="K343" s="255"/>
      <c r="N343" s="255"/>
      <c r="T343" s="256"/>
      <c r="Z343" s="257"/>
    </row>
    <row r="344" ht="15.75" customHeight="1">
      <c r="D344" s="155"/>
      <c r="G344" s="155"/>
      <c r="K344" s="255"/>
      <c r="N344" s="255"/>
      <c r="T344" s="256"/>
      <c r="Z344" s="257"/>
    </row>
    <row r="345" ht="15.75" customHeight="1">
      <c r="D345" s="155"/>
      <c r="G345" s="155"/>
      <c r="K345" s="255"/>
      <c r="N345" s="255"/>
      <c r="T345" s="256"/>
      <c r="Z345" s="257"/>
    </row>
    <row r="346" ht="15.75" customHeight="1">
      <c r="D346" s="155"/>
      <c r="G346" s="155"/>
      <c r="K346" s="255"/>
      <c r="N346" s="255"/>
      <c r="T346" s="256"/>
      <c r="Z346" s="257"/>
    </row>
    <row r="347" ht="15.75" customHeight="1">
      <c r="D347" s="155"/>
      <c r="G347" s="155"/>
      <c r="K347" s="255"/>
      <c r="N347" s="255"/>
      <c r="T347" s="256"/>
      <c r="Z347" s="257"/>
    </row>
    <row r="348" ht="15.75" customHeight="1">
      <c r="D348" s="155"/>
      <c r="G348" s="155"/>
      <c r="K348" s="255"/>
      <c r="N348" s="255"/>
      <c r="T348" s="256"/>
      <c r="Z348" s="257"/>
    </row>
    <row r="349" ht="15.75" customHeight="1">
      <c r="D349" s="155"/>
      <c r="G349" s="155"/>
      <c r="K349" s="255"/>
      <c r="N349" s="255"/>
      <c r="T349" s="256"/>
      <c r="Z349" s="257"/>
    </row>
    <row r="350" ht="15.75" customHeight="1">
      <c r="D350" s="155"/>
      <c r="G350" s="155"/>
      <c r="K350" s="255"/>
      <c r="N350" s="255"/>
      <c r="T350" s="256"/>
      <c r="Z350" s="257"/>
    </row>
    <row r="351" ht="15.75" customHeight="1">
      <c r="D351" s="155"/>
      <c r="G351" s="155"/>
      <c r="K351" s="255"/>
      <c r="N351" s="255"/>
      <c r="T351" s="256"/>
      <c r="Z351" s="257"/>
    </row>
    <row r="352" ht="15.75" customHeight="1">
      <c r="D352" s="155"/>
      <c r="G352" s="155"/>
      <c r="K352" s="255"/>
      <c r="N352" s="255"/>
      <c r="T352" s="256"/>
      <c r="Z352" s="257"/>
    </row>
    <row r="353" ht="15.75" customHeight="1">
      <c r="D353" s="155"/>
      <c r="G353" s="155"/>
      <c r="K353" s="255"/>
      <c r="N353" s="255"/>
      <c r="T353" s="256"/>
      <c r="Z353" s="257"/>
    </row>
    <row r="354" ht="15.75" customHeight="1">
      <c r="D354" s="155"/>
      <c r="G354" s="155"/>
      <c r="K354" s="255"/>
      <c r="N354" s="255"/>
      <c r="T354" s="256"/>
      <c r="Z354" s="257"/>
    </row>
    <row r="355" ht="15.75" customHeight="1">
      <c r="D355" s="155"/>
      <c r="G355" s="155"/>
      <c r="K355" s="255"/>
      <c r="N355" s="255"/>
      <c r="T355" s="256"/>
      <c r="Z355" s="257"/>
    </row>
    <row r="356" ht="15.75" customHeight="1">
      <c r="D356" s="155"/>
      <c r="G356" s="155"/>
      <c r="K356" s="255"/>
      <c r="N356" s="255"/>
      <c r="T356" s="256"/>
      <c r="Z356" s="257"/>
    </row>
    <row r="357" ht="15.75" customHeight="1">
      <c r="D357" s="155"/>
      <c r="G357" s="155"/>
      <c r="K357" s="255"/>
      <c r="N357" s="255"/>
      <c r="T357" s="256"/>
      <c r="Z357" s="257"/>
    </row>
    <row r="358" ht="15.75" customHeight="1">
      <c r="D358" s="155"/>
      <c r="G358" s="155"/>
      <c r="K358" s="255"/>
      <c r="N358" s="255"/>
      <c r="T358" s="256"/>
      <c r="Z358" s="257"/>
    </row>
    <row r="359" ht="15.75" customHeight="1">
      <c r="D359" s="155"/>
      <c r="G359" s="155"/>
      <c r="K359" s="255"/>
      <c r="N359" s="255"/>
      <c r="T359" s="256"/>
      <c r="Z359" s="257"/>
    </row>
    <row r="360" ht="15.75" customHeight="1">
      <c r="D360" s="155"/>
      <c r="G360" s="155"/>
      <c r="K360" s="255"/>
      <c r="N360" s="255"/>
      <c r="T360" s="256"/>
      <c r="Z360" s="257"/>
    </row>
    <row r="361" ht="15.75" customHeight="1">
      <c r="D361" s="155"/>
      <c r="G361" s="155"/>
      <c r="K361" s="255"/>
      <c r="N361" s="255"/>
      <c r="T361" s="256"/>
      <c r="Z361" s="257"/>
    </row>
    <row r="362" ht="15.75" customHeight="1">
      <c r="D362" s="155"/>
      <c r="G362" s="155"/>
      <c r="K362" s="255"/>
      <c r="N362" s="255"/>
      <c r="T362" s="256"/>
      <c r="Z362" s="257"/>
    </row>
    <row r="363" ht="15.75" customHeight="1">
      <c r="D363" s="155"/>
      <c r="G363" s="155"/>
      <c r="K363" s="255"/>
      <c r="N363" s="255"/>
      <c r="T363" s="256"/>
      <c r="Z363" s="257"/>
    </row>
    <row r="364" ht="15.75" customHeight="1">
      <c r="D364" s="155"/>
      <c r="G364" s="155"/>
      <c r="K364" s="255"/>
      <c r="N364" s="255"/>
      <c r="T364" s="256"/>
      <c r="Z364" s="257"/>
    </row>
    <row r="365" ht="15.75" customHeight="1">
      <c r="D365" s="155"/>
      <c r="G365" s="155"/>
      <c r="K365" s="255"/>
      <c r="N365" s="255"/>
      <c r="T365" s="256"/>
      <c r="Z365" s="257"/>
    </row>
    <row r="366" ht="15.75" customHeight="1">
      <c r="D366" s="155"/>
      <c r="G366" s="155"/>
      <c r="K366" s="255"/>
      <c r="N366" s="255"/>
      <c r="T366" s="256"/>
      <c r="Z366" s="257"/>
    </row>
    <row r="367" ht="15.75" customHeight="1">
      <c r="D367" s="155"/>
      <c r="G367" s="155"/>
      <c r="K367" s="255"/>
      <c r="N367" s="255"/>
      <c r="T367" s="256"/>
      <c r="Z367" s="257"/>
    </row>
    <row r="368" ht="15.75" customHeight="1">
      <c r="D368" s="155"/>
      <c r="G368" s="155"/>
      <c r="K368" s="255"/>
      <c r="N368" s="255"/>
      <c r="T368" s="256"/>
      <c r="Z368" s="257"/>
    </row>
    <row r="369" ht="15.75" customHeight="1">
      <c r="D369" s="155"/>
      <c r="G369" s="155"/>
      <c r="K369" s="255"/>
      <c r="N369" s="255"/>
      <c r="T369" s="256"/>
      <c r="Z369" s="257"/>
    </row>
    <row r="370" ht="15.75" customHeight="1">
      <c r="D370" s="155"/>
      <c r="G370" s="155"/>
      <c r="K370" s="255"/>
      <c r="N370" s="255"/>
      <c r="T370" s="256"/>
      <c r="Z370" s="257"/>
    </row>
    <row r="371" ht="15.75" customHeight="1">
      <c r="D371" s="155"/>
      <c r="G371" s="155"/>
      <c r="K371" s="255"/>
      <c r="N371" s="255"/>
      <c r="T371" s="256"/>
      <c r="Z371" s="257"/>
    </row>
    <row r="372" ht="15.75" customHeight="1">
      <c r="D372" s="155"/>
      <c r="G372" s="155"/>
      <c r="K372" s="255"/>
      <c r="N372" s="255"/>
      <c r="T372" s="256"/>
      <c r="Z372" s="257"/>
    </row>
    <row r="373" ht="15.75" customHeight="1">
      <c r="D373" s="155"/>
      <c r="G373" s="155"/>
      <c r="K373" s="255"/>
      <c r="N373" s="255"/>
      <c r="T373" s="256"/>
      <c r="Z373" s="257"/>
    </row>
    <row r="374" ht="15.75" customHeight="1">
      <c r="D374" s="155"/>
      <c r="G374" s="155"/>
      <c r="K374" s="255"/>
      <c r="N374" s="255"/>
      <c r="T374" s="256"/>
      <c r="Z374" s="257"/>
    </row>
    <row r="375" ht="15.75" customHeight="1">
      <c r="D375" s="155"/>
      <c r="G375" s="155"/>
      <c r="K375" s="255"/>
      <c r="N375" s="255"/>
      <c r="T375" s="256"/>
      <c r="Z375" s="257"/>
    </row>
    <row r="376" ht="15.75" customHeight="1">
      <c r="D376" s="155"/>
      <c r="G376" s="155"/>
      <c r="K376" s="255"/>
      <c r="N376" s="255"/>
      <c r="T376" s="256"/>
      <c r="Z376" s="257"/>
    </row>
    <row r="377" ht="15.75" customHeight="1">
      <c r="D377" s="155"/>
      <c r="G377" s="155"/>
      <c r="K377" s="255"/>
      <c r="N377" s="255"/>
      <c r="T377" s="256"/>
      <c r="Z377" s="257"/>
    </row>
    <row r="378" ht="15.75" customHeight="1">
      <c r="D378" s="155"/>
      <c r="G378" s="155"/>
      <c r="K378" s="255"/>
      <c r="N378" s="255"/>
      <c r="T378" s="256"/>
      <c r="Z378" s="257"/>
    </row>
    <row r="379" ht="15.75" customHeight="1">
      <c r="D379" s="155"/>
      <c r="G379" s="155"/>
      <c r="K379" s="255"/>
      <c r="N379" s="255"/>
      <c r="T379" s="256"/>
      <c r="Z379" s="257"/>
    </row>
    <row r="380" ht="15.75" customHeight="1">
      <c r="D380" s="155"/>
      <c r="G380" s="155"/>
      <c r="K380" s="255"/>
      <c r="N380" s="255"/>
      <c r="T380" s="256"/>
      <c r="Z380" s="257"/>
    </row>
    <row r="381" ht="15.75" customHeight="1">
      <c r="D381" s="155"/>
      <c r="G381" s="155"/>
      <c r="K381" s="255"/>
      <c r="N381" s="255"/>
      <c r="T381" s="256"/>
      <c r="Z381" s="257"/>
    </row>
    <row r="382" ht="15.75" customHeight="1">
      <c r="D382" s="155"/>
      <c r="G382" s="155"/>
      <c r="K382" s="255"/>
      <c r="N382" s="255"/>
      <c r="T382" s="256"/>
      <c r="Z382" s="257"/>
    </row>
    <row r="383" ht="15.75" customHeight="1">
      <c r="D383" s="155"/>
      <c r="G383" s="155"/>
      <c r="K383" s="255"/>
      <c r="N383" s="255"/>
      <c r="T383" s="256"/>
      <c r="Z383" s="257"/>
    </row>
    <row r="384" ht="15.75" customHeight="1">
      <c r="D384" s="155"/>
      <c r="G384" s="155"/>
      <c r="K384" s="255"/>
      <c r="N384" s="255"/>
      <c r="T384" s="256"/>
      <c r="Z384" s="257"/>
    </row>
    <row r="385" ht="15.75" customHeight="1">
      <c r="D385" s="155"/>
      <c r="G385" s="155"/>
      <c r="K385" s="255"/>
      <c r="N385" s="255"/>
      <c r="T385" s="256"/>
      <c r="Z385" s="257"/>
    </row>
    <row r="386" ht="15.75" customHeight="1">
      <c r="D386" s="155"/>
      <c r="G386" s="155"/>
      <c r="K386" s="255"/>
      <c r="N386" s="255"/>
      <c r="T386" s="256"/>
      <c r="Z386" s="257"/>
    </row>
    <row r="387" ht="15.75" customHeight="1">
      <c r="D387" s="155"/>
      <c r="G387" s="155"/>
      <c r="K387" s="255"/>
      <c r="N387" s="255"/>
      <c r="T387" s="256"/>
      <c r="Z387" s="257"/>
    </row>
    <row r="388" ht="15.75" customHeight="1">
      <c r="D388" s="155"/>
      <c r="G388" s="155"/>
      <c r="K388" s="255"/>
      <c r="N388" s="255"/>
      <c r="T388" s="256"/>
      <c r="Z388" s="257"/>
    </row>
    <row r="389" ht="15.75" customHeight="1">
      <c r="D389" s="155"/>
      <c r="G389" s="155"/>
      <c r="K389" s="255"/>
      <c r="N389" s="255"/>
      <c r="T389" s="256"/>
      <c r="Z389" s="257"/>
    </row>
    <row r="390" ht="15.75" customHeight="1">
      <c r="D390" s="155"/>
      <c r="G390" s="155"/>
      <c r="K390" s="255"/>
      <c r="N390" s="255"/>
      <c r="T390" s="256"/>
      <c r="Z390" s="257"/>
    </row>
    <row r="391" ht="15.75" customHeight="1">
      <c r="D391" s="155"/>
      <c r="G391" s="155"/>
      <c r="K391" s="255"/>
      <c r="N391" s="255"/>
      <c r="T391" s="256"/>
      <c r="Z391" s="257"/>
    </row>
    <row r="392" ht="15.75" customHeight="1">
      <c r="D392" s="155"/>
      <c r="G392" s="155"/>
      <c r="K392" s="255"/>
      <c r="N392" s="255"/>
      <c r="T392" s="256"/>
      <c r="Z392" s="257"/>
    </row>
    <row r="393" ht="15.75" customHeight="1">
      <c r="D393" s="155"/>
      <c r="G393" s="155"/>
      <c r="K393" s="255"/>
      <c r="N393" s="255"/>
      <c r="T393" s="256"/>
      <c r="Z393" s="257"/>
    </row>
    <row r="394" ht="15.75" customHeight="1">
      <c r="D394" s="155"/>
      <c r="G394" s="155"/>
      <c r="K394" s="255"/>
      <c r="N394" s="255"/>
      <c r="T394" s="256"/>
      <c r="Z394" s="257"/>
    </row>
    <row r="395" ht="15.75" customHeight="1">
      <c r="D395" s="155"/>
      <c r="G395" s="155"/>
      <c r="K395" s="255"/>
      <c r="N395" s="255"/>
      <c r="T395" s="256"/>
      <c r="Z395" s="257"/>
    </row>
    <row r="396" ht="15.75" customHeight="1">
      <c r="D396" s="155"/>
      <c r="G396" s="155"/>
      <c r="K396" s="255"/>
      <c r="N396" s="255"/>
      <c r="T396" s="256"/>
      <c r="Z396" s="257"/>
    </row>
    <row r="397" ht="15.75" customHeight="1">
      <c r="D397" s="155"/>
      <c r="G397" s="155"/>
      <c r="K397" s="255"/>
      <c r="N397" s="255"/>
      <c r="T397" s="256"/>
      <c r="Z397" s="257"/>
    </row>
    <row r="398" ht="15.75" customHeight="1">
      <c r="D398" s="155"/>
      <c r="G398" s="155"/>
      <c r="K398" s="255"/>
      <c r="N398" s="255"/>
      <c r="T398" s="256"/>
      <c r="Z398" s="257"/>
    </row>
    <row r="399" ht="15.75" customHeight="1">
      <c r="D399" s="155"/>
      <c r="G399" s="155"/>
      <c r="K399" s="255"/>
      <c r="N399" s="255"/>
      <c r="T399" s="256"/>
      <c r="Z399" s="257"/>
    </row>
    <row r="400" ht="15.75" customHeight="1">
      <c r="D400" s="155"/>
      <c r="G400" s="155"/>
      <c r="K400" s="255"/>
      <c r="N400" s="255"/>
      <c r="T400" s="256"/>
      <c r="Z400" s="257"/>
    </row>
    <row r="401" ht="15.75" customHeight="1">
      <c r="D401" s="155"/>
      <c r="G401" s="155"/>
      <c r="K401" s="255"/>
      <c r="N401" s="255"/>
      <c r="T401" s="256"/>
      <c r="Z401" s="257"/>
    </row>
    <row r="402" ht="15.75" customHeight="1">
      <c r="D402" s="155"/>
      <c r="G402" s="155"/>
      <c r="K402" s="255"/>
      <c r="N402" s="255"/>
      <c r="T402" s="256"/>
      <c r="Z402" s="257"/>
    </row>
    <row r="403" ht="15.75" customHeight="1">
      <c r="D403" s="155"/>
      <c r="G403" s="155"/>
      <c r="K403" s="255"/>
      <c r="N403" s="255"/>
      <c r="T403" s="256"/>
      <c r="Z403" s="257"/>
    </row>
    <row r="404" ht="15.75" customHeight="1">
      <c r="D404" s="155"/>
      <c r="G404" s="155"/>
      <c r="K404" s="255"/>
      <c r="N404" s="255"/>
      <c r="T404" s="256"/>
      <c r="Z404" s="257"/>
    </row>
    <row r="405" ht="15.75" customHeight="1">
      <c r="D405" s="155"/>
      <c r="G405" s="155"/>
      <c r="K405" s="255"/>
      <c r="N405" s="255"/>
      <c r="T405" s="256"/>
      <c r="Z405" s="257"/>
    </row>
    <row r="406" ht="15.75" customHeight="1">
      <c r="D406" s="155"/>
      <c r="G406" s="155"/>
      <c r="K406" s="255"/>
      <c r="N406" s="255"/>
      <c r="T406" s="256"/>
      <c r="Z406" s="257"/>
    </row>
    <row r="407" ht="15.75" customHeight="1">
      <c r="D407" s="155"/>
      <c r="G407" s="155"/>
      <c r="K407" s="255"/>
      <c r="N407" s="255"/>
      <c r="T407" s="256"/>
      <c r="Z407" s="257"/>
    </row>
    <row r="408" ht="15.75" customHeight="1">
      <c r="D408" s="155"/>
      <c r="G408" s="155"/>
      <c r="K408" s="255"/>
      <c r="N408" s="255"/>
      <c r="T408" s="256"/>
      <c r="Z408" s="257"/>
    </row>
    <row r="409" ht="15.75" customHeight="1">
      <c r="D409" s="155"/>
      <c r="G409" s="155"/>
      <c r="K409" s="255"/>
      <c r="N409" s="255"/>
      <c r="T409" s="256"/>
      <c r="Z409" s="257"/>
    </row>
    <row r="410" ht="15.75" customHeight="1">
      <c r="D410" s="155"/>
      <c r="G410" s="155"/>
      <c r="K410" s="255"/>
      <c r="N410" s="255"/>
      <c r="T410" s="256"/>
      <c r="Z410" s="257"/>
    </row>
    <row r="411" ht="15.75" customHeight="1">
      <c r="D411" s="155"/>
      <c r="G411" s="155"/>
      <c r="K411" s="255"/>
      <c r="N411" s="255"/>
      <c r="T411" s="256"/>
      <c r="Z411" s="257"/>
    </row>
    <row r="412" ht="15.75" customHeight="1">
      <c r="D412" s="155"/>
      <c r="G412" s="155"/>
      <c r="K412" s="255"/>
      <c r="N412" s="255"/>
      <c r="T412" s="256"/>
      <c r="Z412" s="257"/>
    </row>
    <row r="413" ht="15.75" customHeight="1">
      <c r="D413" s="155"/>
      <c r="G413" s="155"/>
      <c r="K413" s="255"/>
      <c r="N413" s="255"/>
      <c r="T413" s="256"/>
      <c r="Z413" s="257"/>
    </row>
    <row r="414" ht="15.75" customHeight="1">
      <c r="D414" s="155"/>
      <c r="G414" s="155"/>
      <c r="K414" s="255"/>
      <c r="N414" s="255"/>
      <c r="T414" s="256"/>
      <c r="Z414" s="257"/>
    </row>
    <row r="415" ht="15.75" customHeight="1">
      <c r="D415" s="155"/>
      <c r="G415" s="155"/>
      <c r="K415" s="255"/>
      <c r="N415" s="255"/>
      <c r="T415" s="256"/>
      <c r="Z415" s="257"/>
    </row>
    <row r="416" ht="15.75" customHeight="1">
      <c r="D416" s="155"/>
      <c r="G416" s="155"/>
      <c r="K416" s="255"/>
      <c r="N416" s="255"/>
      <c r="T416" s="256"/>
      <c r="Z416" s="257"/>
    </row>
    <row r="417" ht="15.75" customHeight="1">
      <c r="D417" s="155"/>
      <c r="G417" s="155"/>
      <c r="K417" s="255"/>
      <c r="N417" s="255"/>
      <c r="T417" s="256"/>
      <c r="Z417" s="257"/>
    </row>
    <row r="418" ht="15.75" customHeight="1">
      <c r="D418" s="155"/>
      <c r="G418" s="155"/>
      <c r="K418" s="255"/>
      <c r="N418" s="255"/>
      <c r="T418" s="256"/>
      <c r="Z418" s="257"/>
    </row>
    <row r="419" ht="15.75" customHeight="1">
      <c r="D419" s="155"/>
      <c r="G419" s="155"/>
      <c r="K419" s="255"/>
      <c r="N419" s="255"/>
      <c r="T419" s="256"/>
      <c r="Z419" s="257"/>
    </row>
    <row r="420" ht="15.75" customHeight="1">
      <c r="D420" s="155"/>
      <c r="G420" s="155"/>
      <c r="K420" s="255"/>
      <c r="N420" s="255"/>
      <c r="T420" s="256"/>
      <c r="Z420" s="257"/>
    </row>
    <row r="421" ht="15.75" customHeight="1">
      <c r="D421" s="155"/>
      <c r="G421" s="155"/>
      <c r="K421" s="255"/>
      <c r="N421" s="255"/>
      <c r="T421" s="256"/>
      <c r="Z421" s="257"/>
    </row>
    <row r="422" ht="15.75" customHeight="1">
      <c r="D422" s="155"/>
      <c r="G422" s="155"/>
      <c r="K422" s="255"/>
      <c r="N422" s="255"/>
      <c r="T422" s="256"/>
      <c r="Z422" s="257"/>
    </row>
    <row r="423" ht="15.75" customHeight="1">
      <c r="D423" s="155"/>
      <c r="G423" s="155"/>
      <c r="K423" s="255"/>
      <c r="N423" s="255"/>
      <c r="T423" s="256"/>
      <c r="Z423" s="257"/>
    </row>
    <row r="424" ht="15.75" customHeight="1">
      <c r="D424" s="155"/>
      <c r="G424" s="155"/>
      <c r="K424" s="255"/>
      <c r="N424" s="255"/>
      <c r="T424" s="256"/>
      <c r="Z424" s="257"/>
    </row>
    <row r="425" ht="15.75" customHeight="1">
      <c r="D425" s="155"/>
      <c r="G425" s="155"/>
      <c r="K425" s="255"/>
      <c r="N425" s="255"/>
      <c r="T425" s="256"/>
      <c r="Z425" s="257"/>
    </row>
    <row r="426" ht="15.75" customHeight="1">
      <c r="D426" s="155"/>
      <c r="G426" s="155"/>
      <c r="K426" s="255"/>
      <c r="N426" s="255"/>
      <c r="T426" s="256"/>
      <c r="Z426" s="257"/>
    </row>
    <row r="427" ht="15.75" customHeight="1">
      <c r="D427" s="155"/>
      <c r="G427" s="155"/>
      <c r="K427" s="255"/>
      <c r="N427" s="255"/>
      <c r="T427" s="256"/>
      <c r="Z427" s="257"/>
    </row>
    <row r="428" ht="15.75" customHeight="1">
      <c r="D428" s="155"/>
      <c r="G428" s="155"/>
      <c r="K428" s="255"/>
      <c r="N428" s="255"/>
      <c r="T428" s="256"/>
      <c r="Z428" s="257"/>
    </row>
    <row r="429" ht="15.75" customHeight="1">
      <c r="D429" s="155"/>
      <c r="G429" s="155"/>
      <c r="K429" s="255"/>
      <c r="N429" s="255"/>
      <c r="T429" s="256"/>
      <c r="Z429" s="257"/>
    </row>
    <row r="430" ht="15.75" customHeight="1">
      <c r="D430" s="155"/>
      <c r="G430" s="155"/>
      <c r="K430" s="255"/>
      <c r="N430" s="255"/>
      <c r="T430" s="256"/>
      <c r="Z430" s="257"/>
    </row>
    <row r="431" ht="15.75" customHeight="1">
      <c r="D431" s="155"/>
      <c r="G431" s="155"/>
      <c r="K431" s="255"/>
      <c r="N431" s="255"/>
      <c r="T431" s="256"/>
      <c r="Z431" s="257"/>
    </row>
    <row r="432" ht="15.75" customHeight="1">
      <c r="D432" s="155"/>
      <c r="G432" s="155"/>
      <c r="K432" s="255"/>
      <c r="N432" s="255"/>
      <c r="T432" s="256"/>
      <c r="Z432" s="257"/>
    </row>
    <row r="433" ht="15.75" customHeight="1">
      <c r="D433" s="155"/>
      <c r="G433" s="155"/>
      <c r="K433" s="255"/>
      <c r="N433" s="255"/>
      <c r="T433" s="256"/>
      <c r="Z433" s="257"/>
    </row>
    <row r="434" ht="15.75" customHeight="1">
      <c r="D434" s="155"/>
      <c r="G434" s="155"/>
      <c r="K434" s="255"/>
      <c r="N434" s="255"/>
      <c r="T434" s="256"/>
      <c r="Z434" s="257"/>
    </row>
    <row r="435" ht="15.75" customHeight="1">
      <c r="D435" s="155"/>
      <c r="G435" s="155"/>
      <c r="K435" s="255"/>
      <c r="N435" s="255"/>
      <c r="T435" s="256"/>
      <c r="Z435" s="257"/>
    </row>
    <row r="436" ht="15.75" customHeight="1">
      <c r="D436" s="155"/>
      <c r="G436" s="155"/>
      <c r="K436" s="255"/>
      <c r="N436" s="255"/>
      <c r="T436" s="256"/>
      <c r="Z436" s="257"/>
    </row>
    <row r="437" ht="15.75" customHeight="1">
      <c r="D437" s="155"/>
      <c r="G437" s="155"/>
      <c r="K437" s="255"/>
      <c r="N437" s="255"/>
      <c r="T437" s="256"/>
      <c r="Z437" s="257"/>
    </row>
    <row r="438" ht="15.75" customHeight="1">
      <c r="D438" s="155"/>
      <c r="G438" s="155"/>
      <c r="K438" s="255"/>
      <c r="N438" s="255"/>
      <c r="T438" s="256"/>
      <c r="Z438" s="257"/>
    </row>
    <row r="439" ht="15.75" customHeight="1">
      <c r="D439" s="155"/>
      <c r="G439" s="155"/>
      <c r="K439" s="255"/>
      <c r="N439" s="255"/>
      <c r="T439" s="256"/>
      <c r="Z439" s="257"/>
    </row>
    <row r="440" ht="15.75" customHeight="1">
      <c r="D440" s="155"/>
      <c r="G440" s="155"/>
      <c r="K440" s="255"/>
      <c r="N440" s="255"/>
      <c r="T440" s="256"/>
      <c r="Z440" s="257"/>
    </row>
    <row r="441" ht="15.75" customHeight="1">
      <c r="D441" s="155"/>
      <c r="G441" s="155"/>
      <c r="K441" s="255"/>
      <c r="N441" s="255"/>
      <c r="T441" s="256"/>
      <c r="Z441" s="257"/>
    </row>
    <row r="442" ht="15.75" customHeight="1">
      <c r="D442" s="155"/>
      <c r="G442" s="155"/>
      <c r="K442" s="255"/>
      <c r="N442" s="255"/>
      <c r="T442" s="256"/>
      <c r="Z442" s="257"/>
    </row>
    <row r="443" ht="15.75" customHeight="1">
      <c r="D443" s="155"/>
      <c r="G443" s="155"/>
      <c r="K443" s="255"/>
      <c r="N443" s="255"/>
      <c r="T443" s="256"/>
      <c r="Z443" s="257"/>
    </row>
    <row r="444" ht="15.75" customHeight="1">
      <c r="D444" s="155"/>
      <c r="G444" s="155"/>
      <c r="K444" s="255"/>
      <c r="N444" s="255"/>
      <c r="T444" s="256"/>
      <c r="Z444" s="257"/>
    </row>
    <row r="445" ht="15.75" customHeight="1">
      <c r="D445" s="155"/>
      <c r="G445" s="155"/>
      <c r="K445" s="255"/>
      <c r="N445" s="255"/>
      <c r="T445" s="256"/>
      <c r="Z445" s="257"/>
    </row>
    <row r="446" ht="15.75" customHeight="1">
      <c r="D446" s="155"/>
      <c r="G446" s="155"/>
      <c r="K446" s="255"/>
      <c r="N446" s="255"/>
      <c r="T446" s="256"/>
      <c r="Z446" s="257"/>
    </row>
    <row r="447" ht="15.75" customHeight="1">
      <c r="D447" s="155"/>
      <c r="G447" s="155"/>
      <c r="K447" s="255"/>
      <c r="N447" s="255"/>
      <c r="T447" s="256"/>
      <c r="Z447" s="257"/>
    </row>
    <row r="448" ht="15.75" customHeight="1">
      <c r="D448" s="155"/>
      <c r="G448" s="155"/>
      <c r="K448" s="255"/>
      <c r="N448" s="255"/>
      <c r="T448" s="256"/>
      <c r="Z448" s="257"/>
    </row>
    <row r="449" ht="15.75" customHeight="1">
      <c r="D449" s="155"/>
      <c r="G449" s="155"/>
      <c r="K449" s="255"/>
      <c r="N449" s="255"/>
      <c r="T449" s="256"/>
      <c r="Z449" s="257"/>
    </row>
    <row r="450" ht="15.75" customHeight="1">
      <c r="D450" s="155"/>
      <c r="G450" s="155"/>
      <c r="K450" s="255"/>
      <c r="N450" s="255"/>
      <c r="T450" s="256"/>
      <c r="Z450" s="257"/>
    </row>
    <row r="451" ht="15.75" customHeight="1">
      <c r="D451" s="155"/>
      <c r="G451" s="155"/>
      <c r="K451" s="255"/>
      <c r="N451" s="255"/>
      <c r="T451" s="256"/>
      <c r="Z451" s="257"/>
    </row>
    <row r="452" ht="15.75" customHeight="1">
      <c r="D452" s="155"/>
      <c r="G452" s="155"/>
      <c r="K452" s="255"/>
      <c r="N452" s="255"/>
      <c r="T452" s="256"/>
      <c r="Z452" s="257"/>
    </row>
    <row r="453" ht="15.75" customHeight="1">
      <c r="D453" s="155"/>
      <c r="G453" s="155"/>
      <c r="K453" s="255"/>
      <c r="N453" s="255"/>
      <c r="T453" s="256"/>
      <c r="Z453" s="257"/>
    </row>
    <row r="454" ht="15.75" customHeight="1">
      <c r="D454" s="155"/>
      <c r="G454" s="155"/>
      <c r="K454" s="255"/>
      <c r="N454" s="255"/>
      <c r="T454" s="256"/>
      <c r="Z454" s="257"/>
    </row>
    <row r="455" ht="15.75" customHeight="1">
      <c r="D455" s="155"/>
      <c r="G455" s="155"/>
      <c r="K455" s="255"/>
      <c r="N455" s="255"/>
      <c r="T455" s="256"/>
      <c r="Z455" s="257"/>
    </row>
    <row r="456" ht="15.75" customHeight="1">
      <c r="D456" s="155"/>
      <c r="G456" s="155"/>
      <c r="K456" s="255"/>
      <c r="N456" s="255"/>
      <c r="T456" s="256"/>
      <c r="Z456" s="257"/>
    </row>
    <row r="457" ht="15.75" customHeight="1">
      <c r="D457" s="155"/>
      <c r="G457" s="155"/>
      <c r="K457" s="255"/>
      <c r="N457" s="255"/>
      <c r="T457" s="256"/>
      <c r="Z457" s="257"/>
    </row>
    <row r="458" ht="15.75" customHeight="1">
      <c r="D458" s="155"/>
      <c r="G458" s="155"/>
      <c r="K458" s="255"/>
      <c r="N458" s="255"/>
      <c r="T458" s="256"/>
      <c r="Z458" s="257"/>
    </row>
    <row r="459" ht="15.75" customHeight="1">
      <c r="D459" s="155"/>
      <c r="G459" s="155"/>
      <c r="K459" s="255"/>
      <c r="N459" s="255"/>
      <c r="T459" s="256"/>
      <c r="Z459" s="257"/>
    </row>
    <row r="460" ht="15.75" customHeight="1">
      <c r="D460" s="155"/>
      <c r="G460" s="155"/>
      <c r="K460" s="255"/>
      <c r="N460" s="255"/>
      <c r="T460" s="256"/>
      <c r="Z460" s="257"/>
    </row>
    <row r="461" ht="15.75" customHeight="1">
      <c r="D461" s="155"/>
      <c r="G461" s="155"/>
      <c r="K461" s="255"/>
      <c r="N461" s="255"/>
      <c r="T461" s="256"/>
      <c r="Z461" s="257"/>
    </row>
    <row r="462" ht="15.75" customHeight="1">
      <c r="D462" s="155"/>
      <c r="G462" s="155"/>
      <c r="K462" s="255"/>
      <c r="N462" s="255"/>
      <c r="T462" s="256"/>
      <c r="Z462" s="257"/>
    </row>
    <row r="463" ht="15.75" customHeight="1">
      <c r="D463" s="155"/>
      <c r="G463" s="155"/>
      <c r="K463" s="255"/>
      <c r="N463" s="255"/>
      <c r="T463" s="256"/>
      <c r="Z463" s="257"/>
    </row>
    <row r="464" ht="15.75" customHeight="1">
      <c r="D464" s="155"/>
      <c r="G464" s="155"/>
      <c r="K464" s="255"/>
      <c r="N464" s="255"/>
      <c r="T464" s="256"/>
      <c r="Z464" s="257"/>
    </row>
    <row r="465" ht="15.75" customHeight="1">
      <c r="D465" s="155"/>
      <c r="G465" s="155"/>
      <c r="K465" s="255"/>
      <c r="N465" s="255"/>
      <c r="T465" s="256"/>
      <c r="Z465" s="257"/>
    </row>
    <row r="466" ht="15.75" customHeight="1">
      <c r="D466" s="155"/>
      <c r="G466" s="155"/>
      <c r="K466" s="255"/>
      <c r="N466" s="255"/>
      <c r="T466" s="256"/>
      <c r="Z466" s="257"/>
    </row>
    <row r="467" ht="15.75" customHeight="1">
      <c r="D467" s="155"/>
      <c r="G467" s="155"/>
      <c r="K467" s="255"/>
      <c r="N467" s="255"/>
      <c r="T467" s="256"/>
      <c r="Z467" s="257"/>
    </row>
    <row r="468" ht="15.75" customHeight="1">
      <c r="D468" s="155"/>
      <c r="G468" s="155"/>
      <c r="K468" s="255"/>
      <c r="N468" s="255"/>
      <c r="T468" s="256"/>
      <c r="Z468" s="257"/>
    </row>
    <row r="469" ht="15.75" customHeight="1">
      <c r="D469" s="155"/>
      <c r="G469" s="155"/>
      <c r="K469" s="255"/>
      <c r="N469" s="255"/>
      <c r="T469" s="256"/>
      <c r="Z469" s="257"/>
    </row>
    <row r="470" ht="15.75" customHeight="1">
      <c r="D470" s="155"/>
      <c r="G470" s="155"/>
      <c r="K470" s="255"/>
      <c r="N470" s="255"/>
      <c r="T470" s="256"/>
      <c r="Z470" s="257"/>
    </row>
    <row r="471" ht="15.75" customHeight="1">
      <c r="D471" s="155"/>
      <c r="G471" s="155"/>
      <c r="K471" s="255"/>
      <c r="N471" s="255"/>
      <c r="T471" s="256"/>
      <c r="Z471" s="257"/>
    </row>
    <row r="472" ht="15.75" customHeight="1">
      <c r="D472" s="155"/>
      <c r="G472" s="155"/>
      <c r="K472" s="255"/>
      <c r="N472" s="255"/>
      <c r="T472" s="256"/>
      <c r="Z472" s="257"/>
    </row>
    <row r="473" ht="15.75" customHeight="1">
      <c r="D473" s="155"/>
      <c r="G473" s="155"/>
      <c r="K473" s="255"/>
      <c r="N473" s="255"/>
      <c r="T473" s="256"/>
      <c r="Z473" s="257"/>
    </row>
    <row r="474" ht="15.75" customHeight="1">
      <c r="D474" s="155"/>
      <c r="G474" s="155"/>
      <c r="K474" s="255"/>
      <c r="N474" s="255"/>
      <c r="T474" s="256"/>
      <c r="Z474" s="257"/>
    </row>
    <row r="475" ht="15.75" customHeight="1">
      <c r="D475" s="155"/>
      <c r="G475" s="155"/>
      <c r="K475" s="255"/>
      <c r="N475" s="255"/>
      <c r="T475" s="256"/>
      <c r="Z475" s="257"/>
    </row>
    <row r="476" ht="15.75" customHeight="1">
      <c r="D476" s="155"/>
      <c r="G476" s="155"/>
      <c r="K476" s="255"/>
      <c r="N476" s="255"/>
      <c r="T476" s="256"/>
      <c r="Z476" s="257"/>
    </row>
    <row r="477" ht="15.75" customHeight="1">
      <c r="D477" s="155"/>
      <c r="G477" s="155"/>
      <c r="K477" s="255"/>
      <c r="N477" s="255"/>
      <c r="T477" s="256"/>
      <c r="Z477" s="257"/>
    </row>
    <row r="478" ht="15.75" customHeight="1">
      <c r="D478" s="155"/>
      <c r="G478" s="155"/>
      <c r="K478" s="255"/>
      <c r="N478" s="255"/>
      <c r="T478" s="256"/>
      <c r="Z478" s="257"/>
    </row>
    <row r="479" ht="15.75" customHeight="1">
      <c r="D479" s="155"/>
      <c r="G479" s="155"/>
      <c r="K479" s="255"/>
      <c r="N479" s="255"/>
      <c r="T479" s="256"/>
      <c r="Z479" s="257"/>
    </row>
    <row r="480" ht="15.75" customHeight="1">
      <c r="D480" s="155"/>
      <c r="G480" s="155"/>
      <c r="K480" s="255"/>
      <c r="N480" s="255"/>
      <c r="T480" s="256"/>
      <c r="Z480" s="257"/>
    </row>
    <row r="481" ht="15.75" customHeight="1">
      <c r="D481" s="155"/>
      <c r="G481" s="155"/>
      <c r="K481" s="255"/>
      <c r="N481" s="255"/>
      <c r="T481" s="256"/>
      <c r="Z481" s="257"/>
    </row>
    <row r="482" ht="15.75" customHeight="1">
      <c r="D482" s="155"/>
      <c r="G482" s="155"/>
      <c r="K482" s="255"/>
      <c r="N482" s="255"/>
      <c r="T482" s="256"/>
      <c r="Z482" s="257"/>
    </row>
    <row r="483" ht="15.75" customHeight="1">
      <c r="D483" s="155"/>
      <c r="G483" s="155"/>
      <c r="K483" s="255"/>
      <c r="N483" s="255"/>
      <c r="T483" s="256"/>
      <c r="Z483" s="257"/>
    </row>
    <row r="484" ht="15.75" customHeight="1">
      <c r="D484" s="155"/>
      <c r="G484" s="155"/>
      <c r="K484" s="255"/>
      <c r="N484" s="255"/>
      <c r="T484" s="256"/>
      <c r="Z484" s="257"/>
    </row>
    <row r="485" ht="15.75" customHeight="1">
      <c r="D485" s="155"/>
      <c r="G485" s="155"/>
      <c r="K485" s="255"/>
      <c r="N485" s="255"/>
      <c r="T485" s="256"/>
      <c r="Z485" s="257"/>
    </row>
    <row r="486" ht="15.75" customHeight="1">
      <c r="D486" s="155"/>
      <c r="G486" s="155"/>
      <c r="K486" s="255"/>
      <c r="N486" s="255"/>
      <c r="T486" s="256"/>
      <c r="Z486" s="257"/>
    </row>
    <row r="487" ht="15.75" customHeight="1">
      <c r="D487" s="155"/>
      <c r="G487" s="155"/>
      <c r="K487" s="255"/>
      <c r="N487" s="255"/>
      <c r="T487" s="256"/>
      <c r="Z487" s="257"/>
    </row>
    <row r="488" ht="15.75" customHeight="1">
      <c r="D488" s="155"/>
      <c r="G488" s="155"/>
      <c r="K488" s="255"/>
      <c r="N488" s="255"/>
      <c r="T488" s="256"/>
      <c r="Z488" s="257"/>
    </row>
    <row r="489" ht="15.75" customHeight="1">
      <c r="D489" s="155"/>
      <c r="G489" s="155"/>
      <c r="K489" s="255"/>
      <c r="N489" s="255"/>
      <c r="T489" s="256"/>
      <c r="Z489" s="257"/>
    </row>
    <row r="490" ht="15.75" customHeight="1">
      <c r="D490" s="155"/>
      <c r="G490" s="155"/>
      <c r="K490" s="255"/>
      <c r="N490" s="255"/>
      <c r="T490" s="256"/>
      <c r="Z490" s="257"/>
    </row>
    <row r="491" ht="15.75" customHeight="1">
      <c r="D491" s="155"/>
      <c r="G491" s="155"/>
      <c r="K491" s="255"/>
      <c r="N491" s="255"/>
      <c r="T491" s="256"/>
      <c r="Z491" s="257"/>
    </row>
    <row r="492" ht="15.75" customHeight="1">
      <c r="D492" s="155"/>
      <c r="G492" s="155"/>
      <c r="K492" s="255"/>
      <c r="N492" s="255"/>
      <c r="T492" s="256"/>
      <c r="Z492" s="257"/>
    </row>
    <row r="493" ht="15.75" customHeight="1">
      <c r="D493" s="155"/>
      <c r="G493" s="155"/>
      <c r="K493" s="255"/>
      <c r="N493" s="255"/>
      <c r="T493" s="256"/>
      <c r="Z493" s="257"/>
    </row>
    <row r="494" ht="15.75" customHeight="1">
      <c r="D494" s="155"/>
      <c r="G494" s="155"/>
      <c r="K494" s="255"/>
      <c r="N494" s="255"/>
      <c r="T494" s="256"/>
      <c r="Z494" s="257"/>
    </row>
    <row r="495" ht="15.75" customHeight="1">
      <c r="D495" s="155"/>
      <c r="G495" s="155"/>
      <c r="K495" s="255"/>
      <c r="N495" s="255"/>
      <c r="T495" s="256"/>
      <c r="Z495" s="257"/>
    </row>
    <row r="496" ht="15.75" customHeight="1">
      <c r="D496" s="155"/>
      <c r="G496" s="155"/>
      <c r="K496" s="255"/>
      <c r="N496" s="255"/>
      <c r="T496" s="256"/>
      <c r="Z496" s="257"/>
    </row>
    <row r="497" ht="15.75" customHeight="1">
      <c r="D497" s="155"/>
      <c r="G497" s="155"/>
      <c r="K497" s="255"/>
      <c r="N497" s="255"/>
      <c r="T497" s="256"/>
      <c r="Z497" s="257"/>
    </row>
    <row r="498" ht="15.75" customHeight="1">
      <c r="D498" s="155"/>
      <c r="G498" s="155"/>
      <c r="K498" s="255"/>
      <c r="N498" s="255"/>
      <c r="T498" s="256"/>
      <c r="Z498" s="257"/>
    </row>
    <row r="499" ht="15.75" customHeight="1">
      <c r="D499" s="155"/>
      <c r="G499" s="155"/>
      <c r="K499" s="255"/>
      <c r="N499" s="255"/>
      <c r="T499" s="256"/>
      <c r="Z499" s="257"/>
    </row>
    <row r="500" ht="15.75" customHeight="1">
      <c r="D500" s="155"/>
      <c r="G500" s="155"/>
      <c r="K500" s="255"/>
      <c r="N500" s="255"/>
      <c r="T500" s="256"/>
      <c r="Z500" s="257"/>
    </row>
    <row r="501" ht="15.75" customHeight="1">
      <c r="D501" s="155"/>
      <c r="G501" s="155"/>
      <c r="K501" s="255"/>
      <c r="N501" s="255"/>
      <c r="T501" s="256"/>
      <c r="Z501" s="257"/>
    </row>
    <row r="502" ht="15.75" customHeight="1">
      <c r="D502" s="155"/>
      <c r="G502" s="155"/>
      <c r="K502" s="255"/>
      <c r="N502" s="255"/>
      <c r="T502" s="256"/>
      <c r="Z502" s="257"/>
    </row>
    <row r="503" ht="15.75" customHeight="1">
      <c r="D503" s="155"/>
      <c r="G503" s="155"/>
      <c r="K503" s="255"/>
      <c r="N503" s="255"/>
      <c r="T503" s="256"/>
      <c r="Z503" s="257"/>
    </row>
    <row r="504" ht="15.75" customHeight="1">
      <c r="D504" s="155"/>
      <c r="G504" s="155"/>
      <c r="K504" s="255"/>
      <c r="N504" s="255"/>
      <c r="T504" s="256"/>
      <c r="Z504" s="257"/>
    </row>
    <row r="505" ht="15.75" customHeight="1">
      <c r="D505" s="155"/>
      <c r="G505" s="155"/>
      <c r="K505" s="255"/>
      <c r="N505" s="255"/>
      <c r="T505" s="256"/>
      <c r="Z505" s="257"/>
    </row>
    <row r="506" ht="15.75" customHeight="1">
      <c r="D506" s="155"/>
      <c r="G506" s="155"/>
      <c r="K506" s="255"/>
      <c r="N506" s="255"/>
      <c r="T506" s="256"/>
      <c r="Z506" s="257"/>
    </row>
    <row r="507" ht="15.75" customHeight="1">
      <c r="D507" s="155"/>
      <c r="G507" s="155"/>
      <c r="K507" s="255"/>
      <c r="N507" s="255"/>
      <c r="T507" s="256"/>
      <c r="Z507" s="257"/>
    </row>
    <row r="508" ht="15.75" customHeight="1">
      <c r="D508" s="155"/>
      <c r="G508" s="155"/>
      <c r="K508" s="255"/>
      <c r="N508" s="255"/>
      <c r="T508" s="256"/>
      <c r="Z508" s="257"/>
    </row>
    <row r="509" ht="15.75" customHeight="1">
      <c r="D509" s="155"/>
      <c r="G509" s="155"/>
      <c r="K509" s="255"/>
      <c r="N509" s="255"/>
      <c r="T509" s="256"/>
      <c r="Z509" s="257"/>
    </row>
    <row r="510" ht="15.75" customHeight="1">
      <c r="D510" s="155"/>
      <c r="G510" s="155"/>
      <c r="K510" s="255"/>
      <c r="N510" s="255"/>
      <c r="T510" s="256"/>
      <c r="Z510" s="257"/>
    </row>
    <row r="511" ht="15.75" customHeight="1">
      <c r="D511" s="155"/>
      <c r="G511" s="155"/>
      <c r="K511" s="255"/>
      <c r="N511" s="255"/>
      <c r="T511" s="256"/>
      <c r="Z511" s="257"/>
    </row>
    <row r="512" ht="15.75" customHeight="1">
      <c r="D512" s="155"/>
      <c r="G512" s="155"/>
      <c r="K512" s="255"/>
      <c r="N512" s="255"/>
      <c r="T512" s="256"/>
      <c r="Z512" s="257"/>
    </row>
    <row r="513" ht="15.75" customHeight="1">
      <c r="D513" s="155"/>
      <c r="G513" s="155"/>
      <c r="K513" s="255"/>
      <c r="N513" s="255"/>
      <c r="T513" s="256"/>
      <c r="Z513" s="257"/>
    </row>
    <row r="514" ht="15.75" customHeight="1">
      <c r="D514" s="155"/>
      <c r="G514" s="155"/>
      <c r="K514" s="255"/>
      <c r="N514" s="255"/>
      <c r="T514" s="256"/>
      <c r="Z514" s="257"/>
    </row>
    <row r="515" ht="15.75" customHeight="1">
      <c r="D515" s="155"/>
      <c r="G515" s="155"/>
      <c r="K515" s="255"/>
      <c r="N515" s="255"/>
      <c r="T515" s="256"/>
      <c r="Z515" s="257"/>
    </row>
    <row r="516" ht="15.75" customHeight="1">
      <c r="D516" s="155"/>
      <c r="G516" s="155"/>
      <c r="K516" s="255"/>
      <c r="N516" s="255"/>
      <c r="T516" s="256"/>
      <c r="Z516" s="257"/>
    </row>
    <row r="517" ht="15.75" customHeight="1">
      <c r="D517" s="155"/>
      <c r="G517" s="155"/>
      <c r="K517" s="255"/>
      <c r="N517" s="255"/>
      <c r="T517" s="256"/>
      <c r="Z517" s="257"/>
    </row>
    <row r="518" ht="15.75" customHeight="1">
      <c r="D518" s="155"/>
      <c r="G518" s="155"/>
      <c r="K518" s="255"/>
      <c r="N518" s="255"/>
      <c r="T518" s="256"/>
      <c r="Z518" s="257"/>
    </row>
    <row r="519" ht="15.75" customHeight="1">
      <c r="D519" s="155"/>
      <c r="G519" s="155"/>
      <c r="K519" s="255"/>
      <c r="N519" s="255"/>
      <c r="T519" s="256"/>
      <c r="Z519" s="257"/>
    </row>
    <row r="520" ht="15.75" customHeight="1">
      <c r="D520" s="155"/>
      <c r="G520" s="155"/>
      <c r="K520" s="255"/>
      <c r="N520" s="255"/>
      <c r="T520" s="256"/>
      <c r="Z520" s="257"/>
    </row>
    <row r="521" ht="15.75" customHeight="1">
      <c r="D521" s="155"/>
      <c r="G521" s="155"/>
      <c r="K521" s="255"/>
      <c r="N521" s="255"/>
      <c r="T521" s="256"/>
      <c r="Z521" s="257"/>
    </row>
    <row r="522" ht="15.75" customHeight="1">
      <c r="D522" s="155"/>
      <c r="G522" s="155"/>
      <c r="K522" s="255"/>
      <c r="N522" s="255"/>
      <c r="T522" s="256"/>
      <c r="Z522" s="257"/>
    </row>
    <row r="523" ht="15.75" customHeight="1">
      <c r="D523" s="155"/>
      <c r="G523" s="155"/>
      <c r="K523" s="255"/>
      <c r="N523" s="255"/>
      <c r="T523" s="256"/>
      <c r="Z523" s="257"/>
    </row>
    <row r="524" ht="15.75" customHeight="1">
      <c r="D524" s="155"/>
      <c r="G524" s="155"/>
      <c r="K524" s="255"/>
      <c r="N524" s="255"/>
      <c r="T524" s="256"/>
      <c r="Z524" s="257"/>
    </row>
    <row r="525" ht="15.75" customHeight="1">
      <c r="D525" s="155"/>
      <c r="G525" s="155"/>
      <c r="K525" s="255"/>
      <c r="N525" s="255"/>
      <c r="T525" s="256"/>
      <c r="Z525" s="257"/>
    </row>
    <row r="526" ht="15.75" customHeight="1">
      <c r="D526" s="155"/>
      <c r="G526" s="155"/>
      <c r="K526" s="255"/>
      <c r="N526" s="255"/>
      <c r="T526" s="256"/>
      <c r="Z526" s="257"/>
    </row>
    <row r="527" ht="15.75" customHeight="1">
      <c r="D527" s="155"/>
      <c r="G527" s="155"/>
      <c r="K527" s="255"/>
      <c r="N527" s="255"/>
      <c r="T527" s="256"/>
      <c r="Z527" s="257"/>
    </row>
    <row r="528" ht="15.75" customHeight="1">
      <c r="D528" s="155"/>
      <c r="G528" s="155"/>
      <c r="K528" s="255"/>
      <c r="N528" s="255"/>
      <c r="T528" s="256"/>
      <c r="Z528" s="257"/>
    </row>
    <row r="529" ht="15.75" customHeight="1">
      <c r="D529" s="155"/>
      <c r="G529" s="155"/>
      <c r="K529" s="255"/>
      <c r="N529" s="255"/>
      <c r="T529" s="256"/>
      <c r="Z529" s="257"/>
    </row>
    <row r="530" ht="15.75" customHeight="1">
      <c r="D530" s="155"/>
      <c r="G530" s="155"/>
      <c r="K530" s="255"/>
      <c r="N530" s="255"/>
      <c r="T530" s="256"/>
      <c r="Z530" s="257"/>
    </row>
    <row r="531" ht="15.75" customHeight="1">
      <c r="D531" s="155"/>
      <c r="G531" s="155"/>
      <c r="K531" s="255"/>
      <c r="N531" s="255"/>
      <c r="T531" s="256"/>
      <c r="Z531" s="257"/>
    </row>
    <row r="532" ht="15.75" customHeight="1">
      <c r="D532" s="155"/>
      <c r="G532" s="155"/>
      <c r="K532" s="255"/>
      <c r="N532" s="255"/>
      <c r="T532" s="256"/>
      <c r="Z532" s="257"/>
    </row>
    <row r="533" ht="15.75" customHeight="1">
      <c r="D533" s="155"/>
      <c r="G533" s="155"/>
      <c r="K533" s="255"/>
      <c r="N533" s="255"/>
      <c r="T533" s="256"/>
      <c r="Z533" s="257"/>
    </row>
    <row r="534" ht="15.75" customHeight="1">
      <c r="D534" s="155"/>
      <c r="G534" s="155"/>
      <c r="K534" s="255"/>
      <c r="N534" s="255"/>
      <c r="T534" s="256"/>
      <c r="Z534" s="257"/>
    </row>
    <row r="535" ht="15.75" customHeight="1">
      <c r="D535" s="155"/>
      <c r="G535" s="155"/>
      <c r="K535" s="255"/>
      <c r="N535" s="255"/>
      <c r="T535" s="256"/>
      <c r="Z535" s="257"/>
    </row>
    <row r="536" ht="15.75" customHeight="1">
      <c r="D536" s="155"/>
      <c r="G536" s="155"/>
      <c r="K536" s="255"/>
      <c r="N536" s="255"/>
      <c r="T536" s="256"/>
      <c r="Z536" s="257"/>
    </row>
    <row r="537" ht="15.75" customHeight="1">
      <c r="D537" s="155"/>
      <c r="G537" s="155"/>
      <c r="K537" s="255"/>
      <c r="N537" s="255"/>
      <c r="T537" s="256"/>
      <c r="Z537" s="257"/>
    </row>
    <row r="538" ht="15.75" customHeight="1">
      <c r="D538" s="155"/>
      <c r="G538" s="155"/>
      <c r="K538" s="255"/>
      <c r="N538" s="255"/>
      <c r="T538" s="256"/>
      <c r="Z538" s="257"/>
    </row>
    <row r="539" ht="15.75" customHeight="1">
      <c r="D539" s="155"/>
      <c r="G539" s="155"/>
      <c r="K539" s="255"/>
      <c r="N539" s="255"/>
      <c r="T539" s="256"/>
      <c r="Z539" s="257"/>
    </row>
    <row r="540" ht="15.75" customHeight="1">
      <c r="D540" s="155"/>
      <c r="G540" s="155"/>
      <c r="K540" s="255"/>
      <c r="N540" s="255"/>
      <c r="T540" s="256"/>
      <c r="Z540" s="257"/>
    </row>
    <row r="541" ht="15.75" customHeight="1">
      <c r="D541" s="155"/>
      <c r="G541" s="155"/>
      <c r="K541" s="255"/>
      <c r="N541" s="255"/>
      <c r="T541" s="256"/>
      <c r="Z541" s="257"/>
    </row>
    <row r="542" ht="15.75" customHeight="1">
      <c r="D542" s="155"/>
      <c r="G542" s="155"/>
      <c r="K542" s="255"/>
      <c r="N542" s="255"/>
      <c r="T542" s="256"/>
      <c r="Z542" s="257"/>
    </row>
    <row r="543" ht="15.75" customHeight="1">
      <c r="D543" s="155"/>
      <c r="G543" s="155"/>
      <c r="K543" s="255"/>
      <c r="N543" s="255"/>
      <c r="T543" s="256"/>
      <c r="Z543" s="257"/>
    </row>
    <row r="544" ht="15.75" customHeight="1">
      <c r="D544" s="155"/>
      <c r="G544" s="155"/>
      <c r="K544" s="255"/>
      <c r="N544" s="255"/>
      <c r="T544" s="256"/>
      <c r="Z544" s="257"/>
    </row>
    <row r="545" ht="15.75" customHeight="1">
      <c r="D545" s="155"/>
      <c r="G545" s="155"/>
      <c r="K545" s="255"/>
      <c r="N545" s="255"/>
      <c r="T545" s="256"/>
      <c r="Z545" s="257"/>
    </row>
    <row r="546" ht="15.75" customHeight="1">
      <c r="D546" s="155"/>
      <c r="G546" s="155"/>
      <c r="K546" s="255"/>
      <c r="N546" s="255"/>
      <c r="T546" s="256"/>
      <c r="Z546" s="257"/>
    </row>
    <row r="547" ht="15.75" customHeight="1">
      <c r="D547" s="155"/>
      <c r="G547" s="155"/>
      <c r="K547" s="255"/>
      <c r="N547" s="255"/>
      <c r="T547" s="256"/>
      <c r="Z547" s="257"/>
    </row>
    <row r="548" ht="15.75" customHeight="1">
      <c r="D548" s="155"/>
      <c r="G548" s="155"/>
      <c r="K548" s="255"/>
      <c r="N548" s="255"/>
      <c r="T548" s="256"/>
      <c r="Z548" s="257"/>
    </row>
    <row r="549" ht="15.75" customHeight="1">
      <c r="D549" s="155"/>
      <c r="G549" s="155"/>
      <c r="K549" s="255"/>
      <c r="N549" s="255"/>
      <c r="T549" s="256"/>
      <c r="Z549" s="257"/>
    </row>
    <row r="550" ht="15.75" customHeight="1">
      <c r="D550" s="155"/>
      <c r="G550" s="155"/>
      <c r="K550" s="255"/>
      <c r="N550" s="255"/>
      <c r="T550" s="256"/>
      <c r="Z550" s="257"/>
    </row>
    <row r="551" ht="15.75" customHeight="1">
      <c r="D551" s="155"/>
      <c r="G551" s="155"/>
      <c r="K551" s="255"/>
      <c r="N551" s="255"/>
      <c r="T551" s="256"/>
      <c r="Z551" s="257"/>
    </row>
    <row r="552" ht="15.75" customHeight="1">
      <c r="D552" s="155"/>
      <c r="G552" s="155"/>
      <c r="K552" s="255"/>
      <c r="N552" s="255"/>
      <c r="T552" s="256"/>
      <c r="Z552" s="257"/>
    </row>
    <row r="553" ht="15.75" customHeight="1">
      <c r="D553" s="155"/>
      <c r="G553" s="155"/>
      <c r="K553" s="255"/>
      <c r="N553" s="255"/>
      <c r="T553" s="256"/>
      <c r="Z553" s="257"/>
    </row>
    <row r="554" ht="15.75" customHeight="1">
      <c r="D554" s="155"/>
      <c r="G554" s="155"/>
      <c r="K554" s="255"/>
      <c r="N554" s="255"/>
      <c r="T554" s="256"/>
      <c r="Z554" s="257"/>
    </row>
    <row r="555" ht="15.75" customHeight="1">
      <c r="D555" s="155"/>
      <c r="G555" s="155"/>
      <c r="K555" s="255"/>
      <c r="N555" s="255"/>
      <c r="T555" s="256"/>
      <c r="Z555" s="257"/>
    </row>
    <row r="556" ht="15.75" customHeight="1">
      <c r="D556" s="155"/>
      <c r="G556" s="155"/>
      <c r="K556" s="255"/>
      <c r="N556" s="255"/>
      <c r="T556" s="256"/>
      <c r="Z556" s="257"/>
    </row>
    <row r="557" ht="15.75" customHeight="1">
      <c r="D557" s="155"/>
      <c r="G557" s="155"/>
      <c r="K557" s="255"/>
      <c r="N557" s="255"/>
      <c r="T557" s="256"/>
      <c r="Z557" s="257"/>
    </row>
    <row r="558" ht="15.75" customHeight="1">
      <c r="D558" s="155"/>
      <c r="G558" s="155"/>
      <c r="K558" s="255"/>
      <c r="N558" s="255"/>
      <c r="T558" s="256"/>
      <c r="Z558" s="257"/>
    </row>
    <row r="559" ht="15.75" customHeight="1">
      <c r="D559" s="155"/>
      <c r="G559" s="155"/>
      <c r="K559" s="255"/>
      <c r="N559" s="255"/>
      <c r="T559" s="256"/>
      <c r="Z559" s="257"/>
    </row>
    <row r="560" ht="15.75" customHeight="1">
      <c r="D560" s="155"/>
      <c r="G560" s="155"/>
      <c r="K560" s="255"/>
      <c r="N560" s="255"/>
      <c r="T560" s="256"/>
      <c r="Z560" s="257"/>
    </row>
    <row r="561" ht="15.75" customHeight="1">
      <c r="D561" s="155"/>
      <c r="G561" s="155"/>
      <c r="K561" s="255"/>
      <c r="N561" s="255"/>
      <c r="T561" s="256"/>
      <c r="Z561" s="257"/>
    </row>
    <row r="562" ht="15.75" customHeight="1">
      <c r="D562" s="155"/>
      <c r="G562" s="155"/>
      <c r="K562" s="255"/>
      <c r="N562" s="255"/>
      <c r="T562" s="256"/>
      <c r="Z562" s="257"/>
    </row>
    <row r="563" ht="15.75" customHeight="1">
      <c r="D563" s="155"/>
      <c r="G563" s="155"/>
      <c r="K563" s="255"/>
      <c r="N563" s="255"/>
      <c r="T563" s="256"/>
      <c r="Z563" s="257"/>
    </row>
    <row r="564" ht="15.75" customHeight="1">
      <c r="D564" s="155"/>
      <c r="G564" s="155"/>
      <c r="K564" s="255"/>
      <c r="N564" s="255"/>
      <c r="T564" s="256"/>
      <c r="Z564" s="257"/>
    </row>
    <row r="565" ht="15.75" customHeight="1">
      <c r="D565" s="155"/>
      <c r="G565" s="155"/>
      <c r="K565" s="255"/>
      <c r="N565" s="255"/>
      <c r="T565" s="256"/>
      <c r="Z565" s="257"/>
    </row>
    <row r="566" ht="15.75" customHeight="1">
      <c r="D566" s="155"/>
      <c r="G566" s="155"/>
      <c r="K566" s="255"/>
      <c r="N566" s="255"/>
      <c r="T566" s="256"/>
      <c r="Z566" s="257"/>
    </row>
    <row r="567" ht="15.75" customHeight="1">
      <c r="D567" s="155"/>
      <c r="G567" s="155"/>
      <c r="K567" s="255"/>
      <c r="N567" s="255"/>
      <c r="T567" s="256"/>
      <c r="Z567" s="257"/>
    </row>
    <row r="568" ht="15.75" customHeight="1">
      <c r="D568" s="155"/>
      <c r="G568" s="155"/>
      <c r="K568" s="255"/>
      <c r="N568" s="255"/>
      <c r="T568" s="256"/>
      <c r="Z568" s="257"/>
    </row>
    <row r="569" ht="15.75" customHeight="1">
      <c r="D569" s="155"/>
      <c r="G569" s="155"/>
      <c r="K569" s="255"/>
      <c r="N569" s="255"/>
      <c r="T569" s="256"/>
      <c r="Z569" s="257"/>
    </row>
    <row r="570" ht="15.75" customHeight="1">
      <c r="D570" s="155"/>
      <c r="G570" s="155"/>
      <c r="K570" s="255"/>
      <c r="N570" s="255"/>
      <c r="T570" s="256"/>
      <c r="Z570" s="257"/>
    </row>
    <row r="571" ht="15.75" customHeight="1">
      <c r="D571" s="155"/>
      <c r="G571" s="155"/>
      <c r="K571" s="255"/>
      <c r="N571" s="255"/>
      <c r="T571" s="256"/>
      <c r="Z571" s="257"/>
    </row>
    <row r="572" ht="15.75" customHeight="1">
      <c r="D572" s="155"/>
      <c r="G572" s="155"/>
      <c r="K572" s="255"/>
      <c r="N572" s="255"/>
      <c r="T572" s="256"/>
      <c r="Z572" s="257"/>
    </row>
    <row r="573" ht="15.75" customHeight="1">
      <c r="D573" s="155"/>
      <c r="G573" s="155"/>
      <c r="K573" s="255"/>
      <c r="N573" s="255"/>
      <c r="T573" s="256"/>
      <c r="Z573" s="257"/>
    </row>
    <row r="574" ht="15.75" customHeight="1">
      <c r="D574" s="155"/>
      <c r="G574" s="155"/>
      <c r="K574" s="255"/>
      <c r="N574" s="255"/>
      <c r="T574" s="256"/>
      <c r="Z574" s="257"/>
    </row>
    <row r="575" ht="15.75" customHeight="1">
      <c r="D575" s="155"/>
      <c r="G575" s="155"/>
      <c r="K575" s="255"/>
      <c r="N575" s="255"/>
      <c r="T575" s="256"/>
      <c r="Z575" s="257"/>
    </row>
    <row r="576" ht="15.75" customHeight="1">
      <c r="D576" s="155"/>
      <c r="G576" s="155"/>
      <c r="K576" s="255"/>
      <c r="N576" s="255"/>
      <c r="T576" s="256"/>
      <c r="Z576" s="257"/>
    </row>
    <row r="577" ht="15.75" customHeight="1">
      <c r="D577" s="155"/>
      <c r="G577" s="155"/>
      <c r="K577" s="255"/>
      <c r="N577" s="255"/>
      <c r="T577" s="256"/>
      <c r="Z577" s="257"/>
    </row>
    <row r="578" ht="15.75" customHeight="1">
      <c r="D578" s="155"/>
      <c r="G578" s="155"/>
      <c r="K578" s="255"/>
      <c r="N578" s="255"/>
      <c r="T578" s="256"/>
      <c r="Z578" s="257"/>
    </row>
    <row r="579" ht="15.75" customHeight="1">
      <c r="D579" s="155"/>
      <c r="G579" s="155"/>
      <c r="K579" s="255"/>
      <c r="N579" s="255"/>
      <c r="T579" s="256"/>
      <c r="Z579" s="257"/>
    </row>
    <row r="580" ht="15.75" customHeight="1">
      <c r="D580" s="155"/>
      <c r="G580" s="155"/>
      <c r="K580" s="255"/>
      <c r="N580" s="255"/>
      <c r="T580" s="256"/>
      <c r="Z580" s="257"/>
    </row>
    <row r="581" ht="15.75" customHeight="1">
      <c r="D581" s="155"/>
      <c r="G581" s="155"/>
      <c r="K581" s="255"/>
      <c r="N581" s="255"/>
      <c r="T581" s="256"/>
      <c r="Z581" s="257"/>
    </row>
    <row r="582" ht="15.75" customHeight="1">
      <c r="D582" s="155"/>
      <c r="G582" s="155"/>
      <c r="K582" s="255"/>
      <c r="N582" s="255"/>
      <c r="T582" s="256"/>
      <c r="Z582" s="257"/>
    </row>
    <row r="583" ht="15.75" customHeight="1">
      <c r="D583" s="155"/>
      <c r="G583" s="155"/>
      <c r="K583" s="255"/>
      <c r="N583" s="255"/>
      <c r="T583" s="256"/>
      <c r="Z583" s="257"/>
    </row>
    <row r="584" ht="15.75" customHeight="1">
      <c r="D584" s="155"/>
      <c r="G584" s="155"/>
      <c r="K584" s="255"/>
      <c r="N584" s="255"/>
      <c r="T584" s="256"/>
      <c r="Z584" s="257"/>
    </row>
    <row r="585" ht="15.75" customHeight="1">
      <c r="D585" s="155"/>
      <c r="G585" s="155"/>
      <c r="K585" s="255"/>
      <c r="N585" s="255"/>
      <c r="T585" s="256"/>
      <c r="Z585" s="257"/>
    </row>
    <row r="586" ht="15.75" customHeight="1">
      <c r="D586" s="155"/>
      <c r="G586" s="155"/>
      <c r="K586" s="255"/>
      <c r="N586" s="255"/>
      <c r="T586" s="256"/>
      <c r="Z586" s="257"/>
    </row>
    <row r="587" ht="15.75" customHeight="1">
      <c r="D587" s="155"/>
      <c r="G587" s="155"/>
      <c r="K587" s="255"/>
      <c r="N587" s="255"/>
      <c r="T587" s="256"/>
      <c r="Z587" s="257"/>
    </row>
    <row r="588" ht="15.75" customHeight="1">
      <c r="D588" s="155"/>
      <c r="G588" s="155"/>
      <c r="K588" s="255"/>
      <c r="N588" s="255"/>
      <c r="T588" s="256"/>
      <c r="Z588" s="257"/>
    </row>
    <row r="589" ht="15.75" customHeight="1">
      <c r="D589" s="155"/>
      <c r="G589" s="155"/>
      <c r="K589" s="255"/>
      <c r="N589" s="255"/>
      <c r="T589" s="256"/>
      <c r="Z589" s="257"/>
    </row>
    <row r="590" ht="15.75" customHeight="1">
      <c r="D590" s="155"/>
      <c r="G590" s="155"/>
      <c r="K590" s="255"/>
      <c r="N590" s="255"/>
      <c r="T590" s="256"/>
      <c r="Z590" s="257"/>
    </row>
    <row r="591" ht="15.75" customHeight="1">
      <c r="D591" s="155"/>
      <c r="G591" s="155"/>
      <c r="K591" s="255"/>
      <c r="N591" s="255"/>
      <c r="T591" s="256"/>
      <c r="Z591" s="257"/>
    </row>
    <row r="592" ht="15.75" customHeight="1">
      <c r="D592" s="155"/>
      <c r="G592" s="155"/>
      <c r="K592" s="255"/>
      <c r="N592" s="255"/>
      <c r="T592" s="256"/>
      <c r="Z592" s="257"/>
    </row>
    <row r="593" ht="15.75" customHeight="1">
      <c r="D593" s="155"/>
      <c r="G593" s="155"/>
      <c r="K593" s="255"/>
      <c r="N593" s="255"/>
      <c r="T593" s="256"/>
      <c r="Z593" s="257"/>
    </row>
    <row r="594" ht="15.75" customHeight="1">
      <c r="D594" s="155"/>
      <c r="G594" s="155"/>
      <c r="K594" s="255"/>
      <c r="N594" s="255"/>
      <c r="T594" s="256"/>
      <c r="Z594" s="257"/>
    </row>
    <row r="595" ht="15.75" customHeight="1">
      <c r="D595" s="155"/>
      <c r="G595" s="155"/>
      <c r="K595" s="255"/>
      <c r="N595" s="255"/>
      <c r="T595" s="256"/>
      <c r="Z595" s="257"/>
    </row>
    <row r="596" ht="15.75" customHeight="1">
      <c r="D596" s="155"/>
      <c r="G596" s="155"/>
      <c r="K596" s="255"/>
      <c r="N596" s="255"/>
      <c r="T596" s="256"/>
      <c r="Z596" s="257"/>
    </row>
    <row r="597" ht="15.75" customHeight="1">
      <c r="D597" s="155"/>
      <c r="G597" s="155"/>
      <c r="K597" s="255"/>
      <c r="N597" s="255"/>
      <c r="T597" s="256"/>
      <c r="Z597" s="257"/>
    </row>
    <row r="598" ht="15.75" customHeight="1">
      <c r="D598" s="155"/>
      <c r="G598" s="155"/>
      <c r="K598" s="255"/>
      <c r="N598" s="255"/>
      <c r="T598" s="256"/>
      <c r="Z598" s="257"/>
    </row>
    <row r="599" ht="15.75" customHeight="1">
      <c r="D599" s="155"/>
      <c r="G599" s="155"/>
      <c r="K599" s="255"/>
      <c r="N599" s="255"/>
      <c r="T599" s="256"/>
      <c r="Z599" s="257"/>
    </row>
    <row r="600" ht="15.75" customHeight="1">
      <c r="D600" s="155"/>
      <c r="G600" s="155"/>
      <c r="K600" s="255"/>
      <c r="N600" s="255"/>
      <c r="T600" s="256"/>
      <c r="Z600" s="257"/>
    </row>
    <row r="601" ht="15.75" customHeight="1">
      <c r="D601" s="155"/>
      <c r="G601" s="155"/>
      <c r="K601" s="255"/>
      <c r="N601" s="255"/>
      <c r="T601" s="256"/>
      <c r="Z601" s="257"/>
    </row>
    <row r="602" ht="15.75" customHeight="1">
      <c r="D602" s="155"/>
      <c r="G602" s="155"/>
      <c r="K602" s="255"/>
      <c r="N602" s="255"/>
      <c r="T602" s="256"/>
      <c r="Z602" s="257"/>
    </row>
    <row r="603" ht="15.75" customHeight="1">
      <c r="D603" s="155"/>
      <c r="G603" s="155"/>
      <c r="K603" s="255"/>
      <c r="N603" s="255"/>
      <c r="T603" s="256"/>
      <c r="Z603" s="257"/>
    </row>
    <row r="604" ht="15.75" customHeight="1">
      <c r="D604" s="155"/>
      <c r="G604" s="155"/>
      <c r="K604" s="255"/>
      <c r="N604" s="255"/>
      <c r="T604" s="256"/>
      <c r="Z604" s="257"/>
    </row>
    <row r="605" ht="15.75" customHeight="1">
      <c r="D605" s="155"/>
      <c r="G605" s="155"/>
      <c r="K605" s="255"/>
      <c r="N605" s="255"/>
      <c r="T605" s="256"/>
      <c r="Z605" s="257"/>
    </row>
    <row r="606" ht="15.75" customHeight="1">
      <c r="D606" s="155"/>
      <c r="G606" s="155"/>
      <c r="K606" s="255"/>
      <c r="N606" s="255"/>
      <c r="T606" s="256"/>
      <c r="Z606" s="257"/>
    </row>
    <row r="607" ht="15.75" customHeight="1">
      <c r="D607" s="155"/>
      <c r="G607" s="155"/>
      <c r="K607" s="255"/>
      <c r="N607" s="255"/>
      <c r="T607" s="256"/>
      <c r="Z607" s="257"/>
    </row>
    <row r="608" ht="15.75" customHeight="1">
      <c r="D608" s="155"/>
      <c r="G608" s="155"/>
      <c r="K608" s="255"/>
      <c r="N608" s="255"/>
      <c r="T608" s="256"/>
      <c r="Z608" s="257"/>
    </row>
    <row r="609" ht="15.75" customHeight="1">
      <c r="D609" s="155"/>
      <c r="G609" s="155"/>
      <c r="K609" s="255"/>
      <c r="N609" s="255"/>
      <c r="T609" s="256"/>
      <c r="Z609" s="257"/>
    </row>
    <row r="610" ht="15.75" customHeight="1">
      <c r="D610" s="155"/>
      <c r="G610" s="155"/>
      <c r="K610" s="255"/>
      <c r="N610" s="255"/>
      <c r="T610" s="256"/>
      <c r="Z610" s="257"/>
    </row>
    <row r="611" ht="15.75" customHeight="1">
      <c r="D611" s="155"/>
      <c r="G611" s="155"/>
      <c r="K611" s="255"/>
      <c r="N611" s="255"/>
      <c r="T611" s="256"/>
      <c r="Z611" s="257"/>
    </row>
    <row r="612" ht="15.75" customHeight="1">
      <c r="D612" s="155"/>
      <c r="G612" s="155"/>
      <c r="K612" s="255"/>
      <c r="N612" s="255"/>
      <c r="T612" s="256"/>
      <c r="Z612" s="257"/>
    </row>
    <row r="613" ht="15.75" customHeight="1">
      <c r="D613" s="155"/>
      <c r="G613" s="155"/>
      <c r="K613" s="255"/>
      <c r="N613" s="255"/>
      <c r="T613" s="256"/>
      <c r="Z613" s="257"/>
    </row>
    <row r="614" ht="15.75" customHeight="1">
      <c r="D614" s="155"/>
      <c r="G614" s="155"/>
      <c r="K614" s="255"/>
      <c r="N614" s="255"/>
      <c r="T614" s="256"/>
      <c r="Z614" s="257"/>
    </row>
    <row r="615" ht="15.75" customHeight="1">
      <c r="D615" s="155"/>
      <c r="G615" s="155"/>
      <c r="K615" s="255"/>
      <c r="N615" s="255"/>
      <c r="T615" s="256"/>
      <c r="Z615" s="257"/>
    </row>
    <row r="616" ht="15.75" customHeight="1">
      <c r="D616" s="155"/>
      <c r="G616" s="155"/>
      <c r="K616" s="255"/>
      <c r="N616" s="255"/>
      <c r="T616" s="256"/>
      <c r="Z616" s="257"/>
    </row>
    <row r="617" ht="15.75" customHeight="1">
      <c r="D617" s="155"/>
      <c r="G617" s="155"/>
      <c r="K617" s="255"/>
      <c r="N617" s="255"/>
      <c r="T617" s="256"/>
      <c r="Z617" s="257"/>
    </row>
    <row r="618" ht="15.75" customHeight="1">
      <c r="D618" s="155"/>
      <c r="G618" s="155"/>
      <c r="K618" s="255"/>
      <c r="N618" s="255"/>
      <c r="T618" s="256"/>
      <c r="Z618" s="257"/>
    </row>
    <row r="619" ht="15.75" customHeight="1">
      <c r="D619" s="155"/>
      <c r="G619" s="155"/>
      <c r="K619" s="255"/>
      <c r="N619" s="255"/>
      <c r="T619" s="256"/>
      <c r="Z619" s="257"/>
    </row>
    <row r="620" ht="15.75" customHeight="1">
      <c r="D620" s="155"/>
      <c r="G620" s="155"/>
      <c r="K620" s="255"/>
      <c r="N620" s="255"/>
      <c r="T620" s="256"/>
      <c r="Z620" s="257"/>
    </row>
    <row r="621" ht="15.75" customHeight="1">
      <c r="D621" s="155"/>
      <c r="G621" s="155"/>
      <c r="K621" s="255"/>
      <c r="N621" s="255"/>
      <c r="T621" s="256"/>
      <c r="Z621" s="257"/>
    </row>
    <row r="622" ht="15.75" customHeight="1">
      <c r="D622" s="155"/>
      <c r="G622" s="155"/>
      <c r="K622" s="255"/>
      <c r="N622" s="255"/>
      <c r="T622" s="256"/>
      <c r="Z622" s="257"/>
    </row>
    <row r="623" ht="15.75" customHeight="1">
      <c r="D623" s="155"/>
      <c r="G623" s="155"/>
      <c r="K623" s="255"/>
      <c r="N623" s="255"/>
      <c r="T623" s="256"/>
      <c r="Z623" s="257"/>
    </row>
    <row r="624" ht="15.75" customHeight="1">
      <c r="D624" s="155"/>
      <c r="G624" s="155"/>
      <c r="K624" s="255"/>
      <c r="N624" s="255"/>
      <c r="T624" s="256"/>
      <c r="Z624" s="257"/>
    </row>
    <row r="625" ht="15.75" customHeight="1">
      <c r="D625" s="155"/>
      <c r="G625" s="155"/>
      <c r="K625" s="255"/>
      <c r="N625" s="255"/>
      <c r="T625" s="256"/>
      <c r="Z625" s="257"/>
    </row>
    <row r="626" ht="15.75" customHeight="1">
      <c r="D626" s="155"/>
      <c r="G626" s="155"/>
      <c r="K626" s="255"/>
      <c r="N626" s="255"/>
      <c r="T626" s="256"/>
      <c r="Z626" s="257"/>
    </row>
    <row r="627" ht="15.75" customHeight="1">
      <c r="D627" s="155"/>
      <c r="G627" s="155"/>
      <c r="K627" s="255"/>
      <c r="N627" s="255"/>
      <c r="T627" s="256"/>
      <c r="Z627" s="257"/>
    </row>
    <row r="628" ht="15.75" customHeight="1">
      <c r="D628" s="155"/>
      <c r="G628" s="155"/>
      <c r="K628" s="255"/>
      <c r="N628" s="255"/>
      <c r="T628" s="256"/>
      <c r="Z628" s="257"/>
    </row>
    <row r="629" ht="15.75" customHeight="1">
      <c r="D629" s="155"/>
      <c r="G629" s="155"/>
      <c r="K629" s="255"/>
      <c r="N629" s="255"/>
      <c r="T629" s="256"/>
      <c r="Z629" s="257"/>
    </row>
    <row r="630" ht="15.75" customHeight="1">
      <c r="D630" s="155"/>
      <c r="G630" s="155"/>
      <c r="K630" s="255"/>
      <c r="N630" s="255"/>
      <c r="T630" s="256"/>
      <c r="Z630" s="257"/>
    </row>
    <row r="631" ht="15.75" customHeight="1">
      <c r="D631" s="155"/>
      <c r="G631" s="155"/>
      <c r="K631" s="255"/>
      <c r="N631" s="255"/>
      <c r="T631" s="256"/>
      <c r="Z631" s="257"/>
    </row>
    <row r="632" ht="15.75" customHeight="1">
      <c r="D632" s="155"/>
      <c r="G632" s="155"/>
      <c r="K632" s="255"/>
      <c r="N632" s="255"/>
      <c r="T632" s="256"/>
      <c r="Z632" s="257"/>
    </row>
    <row r="633" ht="15.75" customHeight="1">
      <c r="D633" s="155"/>
      <c r="G633" s="155"/>
      <c r="K633" s="255"/>
      <c r="N633" s="255"/>
      <c r="T633" s="256"/>
      <c r="Z633" s="257"/>
    </row>
    <row r="634" ht="15.75" customHeight="1">
      <c r="D634" s="155"/>
      <c r="G634" s="155"/>
      <c r="K634" s="255"/>
      <c r="N634" s="255"/>
      <c r="T634" s="256"/>
      <c r="Z634" s="257"/>
    </row>
    <row r="635" ht="15.75" customHeight="1">
      <c r="D635" s="155"/>
      <c r="G635" s="155"/>
      <c r="K635" s="255"/>
      <c r="N635" s="255"/>
      <c r="T635" s="256"/>
      <c r="Z635" s="257"/>
    </row>
    <row r="636" ht="15.75" customHeight="1">
      <c r="D636" s="155"/>
      <c r="G636" s="155"/>
      <c r="K636" s="255"/>
      <c r="N636" s="255"/>
      <c r="T636" s="256"/>
      <c r="Z636" s="257"/>
    </row>
    <row r="637" ht="15.75" customHeight="1">
      <c r="D637" s="155"/>
      <c r="G637" s="155"/>
      <c r="K637" s="255"/>
      <c r="N637" s="255"/>
      <c r="T637" s="256"/>
      <c r="Z637" s="257"/>
    </row>
    <row r="638" ht="15.75" customHeight="1">
      <c r="D638" s="155"/>
      <c r="G638" s="155"/>
      <c r="K638" s="255"/>
      <c r="N638" s="255"/>
      <c r="T638" s="256"/>
      <c r="Z638" s="257"/>
    </row>
    <row r="639" ht="15.75" customHeight="1">
      <c r="D639" s="155"/>
      <c r="G639" s="155"/>
      <c r="K639" s="255"/>
      <c r="N639" s="255"/>
      <c r="T639" s="256"/>
      <c r="Z639" s="257"/>
    </row>
    <row r="640" ht="15.75" customHeight="1">
      <c r="D640" s="155"/>
      <c r="G640" s="155"/>
      <c r="K640" s="255"/>
      <c r="N640" s="255"/>
      <c r="T640" s="256"/>
      <c r="Z640" s="257"/>
    </row>
    <row r="641" ht="15.75" customHeight="1">
      <c r="D641" s="155"/>
      <c r="G641" s="155"/>
      <c r="K641" s="255"/>
      <c r="N641" s="255"/>
      <c r="T641" s="256"/>
      <c r="Z641" s="257"/>
    </row>
    <row r="642" ht="15.75" customHeight="1">
      <c r="D642" s="155"/>
      <c r="G642" s="155"/>
      <c r="K642" s="255"/>
      <c r="N642" s="255"/>
      <c r="T642" s="256"/>
      <c r="Z642" s="257"/>
    </row>
    <row r="643" ht="15.75" customHeight="1">
      <c r="D643" s="155"/>
      <c r="G643" s="155"/>
      <c r="K643" s="255"/>
      <c r="N643" s="255"/>
      <c r="T643" s="256"/>
      <c r="Z643" s="257"/>
    </row>
    <row r="644" ht="15.75" customHeight="1">
      <c r="D644" s="155"/>
      <c r="G644" s="155"/>
      <c r="K644" s="255"/>
      <c r="N644" s="255"/>
      <c r="T644" s="256"/>
      <c r="Z644" s="257"/>
    </row>
    <row r="645" ht="15.75" customHeight="1">
      <c r="D645" s="155"/>
      <c r="G645" s="155"/>
      <c r="K645" s="255"/>
      <c r="N645" s="255"/>
      <c r="T645" s="256"/>
      <c r="Z645" s="257"/>
    </row>
    <row r="646" ht="15.75" customHeight="1">
      <c r="D646" s="155"/>
      <c r="G646" s="155"/>
      <c r="K646" s="255"/>
      <c r="N646" s="255"/>
      <c r="T646" s="256"/>
      <c r="Z646" s="257"/>
    </row>
    <row r="647" ht="15.75" customHeight="1">
      <c r="D647" s="155"/>
      <c r="G647" s="155"/>
      <c r="K647" s="255"/>
      <c r="N647" s="255"/>
      <c r="T647" s="256"/>
      <c r="Z647" s="257"/>
    </row>
    <row r="648" ht="15.75" customHeight="1">
      <c r="D648" s="155"/>
      <c r="G648" s="155"/>
      <c r="K648" s="255"/>
      <c r="N648" s="255"/>
      <c r="T648" s="256"/>
      <c r="Z648" s="257"/>
    </row>
    <row r="649" ht="15.75" customHeight="1">
      <c r="D649" s="155"/>
      <c r="G649" s="155"/>
      <c r="K649" s="255"/>
      <c r="N649" s="255"/>
      <c r="T649" s="256"/>
      <c r="Z649" s="257"/>
    </row>
    <row r="650" ht="15.75" customHeight="1">
      <c r="D650" s="155"/>
      <c r="G650" s="155"/>
      <c r="K650" s="255"/>
      <c r="N650" s="255"/>
      <c r="T650" s="256"/>
      <c r="Z650" s="257"/>
    </row>
    <row r="651" ht="15.75" customHeight="1">
      <c r="D651" s="155"/>
      <c r="G651" s="155"/>
      <c r="K651" s="255"/>
      <c r="N651" s="255"/>
      <c r="T651" s="256"/>
      <c r="Z651" s="257"/>
    </row>
    <row r="652" ht="15.75" customHeight="1">
      <c r="D652" s="155"/>
      <c r="G652" s="155"/>
      <c r="K652" s="255"/>
      <c r="N652" s="255"/>
      <c r="T652" s="256"/>
      <c r="Z652" s="257"/>
    </row>
    <row r="653" ht="15.75" customHeight="1">
      <c r="D653" s="155"/>
      <c r="G653" s="155"/>
      <c r="K653" s="255"/>
      <c r="N653" s="255"/>
      <c r="T653" s="256"/>
      <c r="Z653" s="257"/>
    </row>
    <row r="654" ht="15.75" customHeight="1">
      <c r="D654" s="155"/>
      <c r="G654" s="155"/>
      <c r="K654" s="255"/>
      <c r="N654" s="255"/>
      <c r="T654" s="256"/>
      <c r="Z654" s="257"/>
    </row>
    <row r="655" ht="15.75" customHeight="1">
      <c r="D655" s="155"/>
      <c r="G655" s="155"/>
      <c r="K655" s="255"/>
      <c r="N655" s="255"/>
      <c r="T655" s="256"/>
      <c r="Z655" s="257"/>
    </row>
    <row r="656" ht="15.75" customHeight="1">
      <c r="D656" s="155"/>
      <c r="G656" s="155"/>
      <c r="K656" s="255"/>
      <c r="N656" s="255"/>
      <c r="T656" s="256"/>
      <c r="Z656" s="257"/>
    </row>
    <row r="657" ht="15.75" customHeight="1">
      <c r="D657" s="155"/>
      <c r="G657" s="155"/>
      <c r="K657" s="255"/>
      <c r="N657" s="255"/>
      <c r="T657" s="256"/>
      <c r="Z657" s="257"/>
    </row>
    <row r="658" ht="15.75" customHeight="1">
      <c r="D658" s="155"/>
      <c r="G658" s="155"/>
      <c r="K658" s="255"/>
      <c r="N658" s="255"/>
      <c r="T658" s="256"/>
      <c r="Z658" s="257"/>
    </row>
    <row r="659" ht="15.75" customHeight="1">
      <c r="D659" s="155"/>
      <c r="G659" s="155"/>
      <c r="K659" s="255"/>
      <c r="N659" s="255"/>
      <c r="T659" s="256"/>
      <c r="Z659" s="257"/>
    </row>
    <row r="660" ht="15.75" customHeight="1">
      <c r="D660" s="155"/>
      <c r="G660" s="155"/>
      <c r="K660" s="255"/>
      <c r="N660" s="255"/>
      <c r="T660" s="256"/>
      <c r="Z660" s="257"/>
    </row>
    <row r="661" ht="15.75" customHeight="1">
      <c r="D661" s="155"/>
      <c r="G661" s="155"/>
      <c r="K661" s="255"/>
      <c r="N661" s="255"/>
      <c r="T661" s="256"/>
      <c r="Z661" s="257"/>
    </row>
    <row r="662" ht="15.75" customHeight="1">
      <c r="D662" s="155"/>
      <c r="G662" s="155"/>
      <c r="K662" s="255"/>
      <c r="N662" s="255"/>
      <c r="T662" s="256"/>
      <c r="Z662" s="257"/>
    </row>
    <row r="663" ht="15.75" customHeight="1">
      <c r="D663" s="155"/>
      <c r="G663" s="155"/>
      <c r="K663" s="255"/>
      <c r="N663" s="255"/>
      <c r="T663" s="256"/>
      <c r="Z663" s="257"/>
    </row>
    <row r="664" ht="15.75" customHeight="1">
      <c r="D664" s="155"/>
      <c r="G664" s="155"/>
      <c r="K664" s="255"/>
      <c r="N664" s="255"/>
      <c r="T664" s="256"/>
      <c r="Z664" s="257"/>
    </row>
    <row r="665" ht="15.75" customHeight="1">
      <c r="D665" s="155"/>
      <c r="G665" s="155"/>
      <c r="K665" s="255"/>
      <c r="N665" s="255"/>
      <c r="T665" s="256"/>
      <c r="Z665" s="257"/>
    </row>
    <row r="666" ht="15.75" customHeight="1">
      <c r="D666" s="155"/>
      <c r="G666" s="155"/>
      <c r="K666" s="255"/>
      <c r="N666" s="255"/>
      <c r="T666" s="256"/>
      <c r="Z666" s="257"/>
    </row>
    <row r="667" ht="15.75" customHeight="1">
      <c r="D667" s="155"/>
      <c r="G667" s="155"/>
      <c r="K667" s="255"/>
      <c r="N667" s="255"/>
      <c r="T667" s="256"/>
      <c r="Z667" s="257"/>
    </row>
    <row r="668" ht="15.75" customHeight="1">
      <c r="D668" s="155"/>
      <c r="G668" s="155"/>
      <c r="K668" s="255"/>
      <c r="N668" s="255"/>
      <c r="T668" s="256"/>
      <c r="Z668" s="257"/>
    </row>
    <row r="669" ht="15.75" customHeight="1">
      <c r="D669" s="155"/>
      <c r="G669" s="155"/>
      <c r="K669" s="255"/>
      <c r="N669" s="255"/>
      <c r="T669" s="256"/>
      <c r="Z669" s="257"/>
    </row>
    <row r="670" ht="15.75" customHeight="1">
      <c r="D670" s="155"/>
      <c r="G670" s="155"/>
      <c r="K670" s="255"/>
      <c r="N670" s="255"/>
      <c r="T670" s="256"/>
      <c r="Z670" s="257"/>
    </row>
    <row r="671" ht="15.75" customHeight="1">
      <c r="D671" s="155"/>
      <c r="G671" s="155"/>
      <c r="K671" s="255"/>
      <c r="N671" s="255"/>
      <c r="T671" s="256"/>
      <c r="Z671" s="257"/>
    </row>
    <row r="672" ht="15.75" customHeight="1">
      <c r="D672" s="155"/>
      <c r="G672" s="155"/>
      <c r="K672" s="255"/>
      <c r="N672" s="255"/>
      <c r="T672" s="256"/>
      <c r="Z672" s="257"/>
    </row>
    <row r="673" ht="15.75" customHeight="1">
      <c r="D673" s="155"/>
      <c r="G673" s="155"/>
      <c r="K673" s="255"/>
      <c r="N673" s="255"/>
      <c r="T673" s="256"/>
      <c r="Z673" s="257"/>
    </row>
    <row r="674" ht="15.75" customHeight="1">
      <c r="D674" s="155"/>
      <c r="G674" s="155"/>
      <c r="K674" s="255"/>
      <c r="N674" s="255"/>
      <c r="T674" s="256"/>
      <c r="Z674" s="257"/>
    </row>
    <row r="675" ht="15.75" customHeight="1">
      <c r="D675" s="155"/>
      <c r="G675" s="155"/>
      <c r="K675" s="255"/>
      <c r="N675" s="255"/>
      <c r="T675" s="256"/>
      <c r="Z675" s="257"/>
    </row>
    <row r="676" ht="15.75" customHeight="1">
      <c r="D676" s="155"/>
      <c r="G676" s="155"/>
      <c r="K676" s="255"/>
      <c r="N676" s="255"/>
      <c r="T676" s="256"/>
      <c r="Z676" s="257"/>
    </row>
    <row r="677" ht="15.75" customHeight="1">
      <c r="D677" s="155"/>
      <c r="G677" s="155"/>
      <c r="K677" s="255"/>
      <c r="N677" s="255"/>
      <c r="T677" s="256"/>
      <c r="Z677" s="257"/>
    </row>
    <row r="678" ht="15.75" customHeight="1">
      <c r="D678" s="155"/>
      <c r="G678" s="155"/>
      <c r="K678" s="255"/>
      <c r="N678" s="255"/>
      <c r="T678" s="256"/>
      <c r="Z678" s="257"/>
    </row>
    <row r="679" ht="15.75" customHeight="1">
      <c r="D679" s="155"/>
      <c r="G679" s="155"/>
      <c r="K679" s="255"/>
      <c r="N679" s="255"/>
      <c r="T679" s="256"/>
      <c r="Z679" s="257"/>
    </row>
    <row r="680" ht="15.75" customHeight="1">
      <c r="D680" s="155"/>
      <c r="G680" s="155"/>
      <c r="K680" s="255"/>
      <c r="N680" s="255"/>
      <c r="T680" s="256"/>
      <c r="Z680" s="257"/>
    </row>
    <row r="681" ht="15.75" customHeight="1">
      <c r="D681" s="155"/>
      <c r="G681" s="155"/>
      <c r="K681" s="255"/>
      <c r="N681" s="255"/>
      <c r="T681" s="256"/>
      <c r="Z681" s="257"/>
    </row>
    <row r="682" ht="15.75" customHeight="1">
      <c r="D682" s="155"/>
      <c r="G682" s="155"/>
      <c r="K682" s="255"/>
      <c r="N682" s="255"/>
      <c r="T682" s="256"/>
      <c r="Z682" s="257"/>
    </row>
    <row r="683" ht="15.75" customHeight="1">
      <c r="D683" s="155"/>
      <c r="G683" s="155"/>
      <c r="K683" s="255"/>
      <c r="N683" s="255"/>
      <c r="T683" s="256"/>
      <c r="Z683" s="257"/>
    </row>
    <row r="684" ht="15.75" customHeight="1">
      <c r="D684" s="155"/>
      <c r="G684" s="155"/>
      <c r="K684" s="255"/>
      <c r="N684" s="255"/>
      <c r="T684" s="256"/>
      <c r="Z684" s="257"/>
    </row>
    <row r="685" ht="15.75" customHeight="1">
      <c r="D685" s="155"/>
      <c r="G685" s="155"/>
      <c r="K685" s="255"/>
      <c r="N685" s="255"/>
      <c r="T685" s="256"/>
      <c r="Z685" s="257"/>
    </row>
    <row r="686" ht="15.75" customHeight="1">
      <c r="D686" s="155"/>
      <c r="G686" s="155"/>
      <c r="K686" s="255"/>
      <c r="N686" s="255"/>
      <c r="T686" s="256"/>
      <c r="Z686" s="257"/>
    </row>
    <row r="687" ht="15.75" customHeight="1">
      <c r="D687" s="155"/>
      <c r="G687" s="155"/>
      <c r="K687" s="255"/>
      <c r="N687" s="255"/>
      <c r="T687" s="256"/>
      <c r="Z687" s="257"/>
    </row>
    <row r="688" ht="15.75" customHeight="1">
      <c r="D688" s="155"/>
      <c r="G688" s="155"/>
      <c r="K688" s="255"/>
      <c r="N688" s="255"/>
      <c r="T688" s="256"/>
      <c r="Z688" s="257"/>
    </row>
    <row r="689" ht="15.75" customHeight="1">
      <c r="D689" s="155"/>
      <c r="G689" s="155"/>
      <c r="K689" s="255"/>
      <c r="N689" s="255"/>
      <c r="T689" s="256"/>
      <c r="Z689" s="257"/>
    </row>
    <row r="690" ht="15.75" customHeight="1">
      <c r="D690" s="155"/>
      <c r="G690" s="155"/>
      <c r="K690" s="255"/>
      <c r="N690" s="255"/>
      <c r="T690" s="256"/>
      <c r="Z690" s="257"/>
    </row>
    <row r="691" ht="15.75" customHeight="1">
      <c r="D691" s="155"/>
      <c r="G691" s="155"/>
      <c r="K691" s="255"/>
      <c r="N691" s="255"/>
      <c r="T691" s="256"/>
      <c r="Z691" s="257"/>
    </row>
    <row r="692" ht="15.75" customHeight="1">
      <c r="D692" s="155"/>
      <c r="G692" s="155"/>
      <c r="K692" s="255"/>
      <c r="N692" s="255"/>
      <c r="T692" s="256"/>
      <c r="Z692" s="257"/>
    </row>
    <row r="693" ht="15.75" customHeight="1">
      <c r="D693" s="155"/>
      <c r="G693" s="155"/>
      <c r="K693" s="255"/>
      <c r="N693" s="255"/>
      <c r="T693" s="256"/>
      <c r="Z693" s="257"/>
    </row>
    <row r="694" ht="15.75" customHeight="1">
      <c r="D694" s="155"/>
      <c r="G694" s="155"/>
      <c r="K694" s="255"/>
      <c r="N694" s="255"/>
      <c r="T694" s="256"/>
      <c r="Z694" s="257"/>
    </row>
    <row r="695" ht="15.75" customHeight="1">
      <c r="D695" s="155"/>
      <c r="G695" s="155"/>
      <c r="K695" s="255"/>
      <c r="N695" s="255"/>
      <c r="T695" s="256"/>
      <c r="Z695" s="257"/>
    </row>
    <row r="696" ht="15.75" customHeight="1">
      <c r="D696" s="155"/>
      <c r="G696" s="155"/>
      <c r="K696" s="255"/>
      <c r="N696" s="255"/>
      <c r="T696" s="256"/>
      <c r="Z696" s="257"/>
    </row>
    <row r="697" ht="15.75" customHeight="1">
      <c r="D697" s="155"/>
      <c r="G697" s="155"/>
      <c r="K697" s="255"/>
      <c r="N697" s="255"/>
      <c r="T697" s="256"/>
      <c r="Z697" s="257"/>
    </row>
    <row r="698" ht="15.75" customHeight="1">
      <c r="D698" s="155"/>
      <c r="G698" s="155"/>
      <c r="K698" s="255"/>
      <c r="N698" s="255"/>
      <c r="T698" s="256"/>
      <c r="Z698" s="257"/>
    </row>
    <row r="699" ht="15.75" customHeight="1">
      <c r="D699" s="155"/>
      <c r="G699" s="155"/>
      <c r="K699" s="255"/>
      <c r="N699" s="255"/>
      <c r="T699" s="256"/>
      <c r="Z699" s="257"/>
    </row>
    <row r="700" ht="15.75" customHeight="1">
      <c r="D700" s="155"/>
      <c r="G700" s="155"/>
      <c r="K700" s="255"/>
      <c r="N700" s="255"/>
      <c r="T700" s="256"/>
      <c r="Z700" s="257"/>
    </row>
    <row r="701" ht="15.75" customHeight="1">
      <c r="D701" s="155"/>
      <c r="G701" s="155"/>
      <c r="K701" s="255"/>
      <c r="N701" s="255"/>
      <c r="T701" s="256"/>
      <c r="Z701" s="257"/>
    </row>
    <row r="702" ht="15.75" customHeight="1">
      <c r="D702" s="155"/>
      <c r="G702" s="155"/>
      <c r="K702" s="255"/>
      <c r="N702" s="255"/>
      <c r="T702" s="256"/>
      <c r="Z702" s="257"/>
    </row>
    <row r="703" ht="15.75" customHeight="1">
      <c r="D703" s="155"/>
      <c r="G703" s="155"/>
      <c r="K703" s="255"/>
      <c r="N703" s="255"/>
      <c r="T703" s="256"/>
      <c r="Z703" s="257"/>
    </row>
    <row r="704" ht="15.75" customHeight="1">
      <c r="D704" s="155"/>
      <c r="G704" s="155"/>
      <c r="K704" s="255"/>
      <c r="N704" s="255"/>
      <c r="T704" s="256"/>
      <c r="Z704" s="257"/>
    </row>
    <row r="705" ht="15.75" customHeight="1">
      <c r="D705" s="155"/>
      <c r="G705" s="155"/>
      <c r="K705" s="255"/>
      <c r="N705" s="255"/>
      <c r="T705" s="256"/>
      <c r="Z705" s="257"/>
    </row>
    <row r="706" ht="15.75" customHeight="1">
      <c r="D706" s="155"/>
      <c r="G706" s="155"/>
      <c r="K706" s="255"/>
      <c r="N706" s="255"/>
      <c r="T706" s="256"/>
      <c r="Z706" s="257"/>
    </row>
    <row r="707" ht="15.75" customHeight="1">
      <c r="D707" s="155"/>
      <c r="G707" s="155"/>
      <c r="K707" s="255"/>
      <c r="N707" s="255"/>
      <c r="T707" s="256"/>
      <c r="Z707" s="257"/>
    </row>
    <row r="708" ht="15.75" customHeight="1">
      <c r="D708" s="155"/>
      <c r="G708" s="155"/>
      <c r="K708" s="255"/>
      <c r="N708" s="255"/>
      <c r="T708" s="256"/>
      <c r="Z708" s="257"/>
    </row>
    <row r="709" ht="15.75" customHeight="1">
      <c r="D709" s="155"/>
      <c r="G709" s="155"/>
      <c r="K709" s="255"/>
      <c r="N709" s="255"/>
      <c r="T709" s="256"/>
      <c r="Z709" s="257"/>
    </row>
    <row r="710" ht="15.75" customHeight="1">
      <c r="D710" s="155"/>
      <c r="G710" s="155"/>
      <c r="K710" s="255"/>
      <c r="N710" s="255"/>
      <c r="T710" s="256"/>
      <c r="Z710" s="257"/>
    </row>
    <row r="711" ht="15.75" customHeight="1">
      <c r="D711" s="155"/>
      <c r="G711" s="155"/>
      <c r="K711" s="255"/>
      <c r="N711" s="255"/>
      <c r="T711" s="256"/>
      <c r="Z711" s="257"/>
    </row>
    <row r="712" ht="15.75" customHeight="1">
      <c r="D712" s="155"/>
      <c r="G712" s="155"/>
      <c r="K712" s="255"/>
      <c r="N712" s="255"/>
      <c r="T712" s="256"/>
      <c r="Z712" s="257"/>
    </row>
    <row r="713" ht="15.75" customHeight="1">
      <c r="D713" s="155"/>
      <c r="G713" s="155"/>
      <c r="K713" s="255"/>
      <c r="N713" s="255"/>
      <c r="T713" s="256"/>
      <c r="Z713" s="257"/>
    </row>
    <row r="714" ht="15.75" customHeight="1">
      <c r="D714" s="155"/>
      <c r="G714" s="155"/>
      <c r="K714" s="255"/>
      <c r="N714" s="255"/>
      <c r="T714" s="256"/>
      <c r="Z714" s="257"/>
    </row>
    <row r="715" ht="15.75" customHeight="1">
      <c r="D715" s="155"/>
      <c r="G715" s="155"/>
      <c r="K715" s="255"/>
      <c r="N715" s="255"/>
      <c r="T715" s="256"/>
      <c r="Z715" s="257"/>
    </row>
    <row r="716" ht="15.75" customHeight="1">
      <c r="D716" s="155"/>
      <c r="G716" s="155"/>
      <c r="K716" s="255"/>
      <c r="N716" s="255"/>
      <c r="T716" s="256"/>
      <c r="Z716" s="257"/>
    </row>
    <row r="717" ht="15.75" customHeight="1">
      <c r="D717" s="155"/>
      <c r="G717" s="155"/>
      <c r="K717" s="255"/>
      <c r="N717" s="255"/>
      <c r="T717" s="256"/>
      <c r="Z717" s="257"/>
    </row>
    <row r="718" ht="15.75" customHeight="1">
      <c r="D718" s="155"/>
      <c r="G718" s="155"/>
      <c r="K718" s="255"/>
      <c r="N718" s="255"/>
      <c r="T718" s="256"/>
      <c r="Z718" s="257"/>
    </row>
    <row r="719" ht="15.75" customHeight="1">
      <c r="D719" s="155"/>
      <c r="G719" s="155"/>
      <c r="K719" s="255"/>
      <c r="N719" s="255"/>
      <c r="T719" s="256"/>
      <c r="Z719" s="257"/>
    </row>
    <row r="720" ht="15.75" customHeight="1">
      <c r="D720" s="155"/>
      <c r="G720" s="155"/>
      <c r="K720" s="255"/>
      <c r="N720" s="255"/>
      <c r="T720" s="256"/>
      <c r="Z720" s="257"/>
    </row>
    <row r="721" ht="15.75" customHeight="1">
      <c r="D721" s="155"/>
      <c r="G721" s="155"/>
      <c r="K721" s="255"/>
      <c r="N721" s="255"/>
      <c r="T721" s="256"/>
      <c r="Z721" s="257"/>
    </row>
    <row r="722" ht="15.75" customHeight="1">
      <c r="D722" s="155"/>
      <c r="G722" s="155"/>
      <c r="K722" s="255"/>
      <c r="N722" s="255"/>
      <c r="T722" s="256"/>
      <c r="Z722" s="257"/>
    </row>
    <row r="723" ht="15.75" customHeight="1">
      <c r="D723" s="155"/>
      <c r="G723" s="155"/>
      <c r="K723" s="255"/>
      <c r="N723" s="255"/>
      <c r="T723" s="256"/>
      <c r="Z723" s="257"/>
    </row>
    <row r="724" ht="15.75" customHeight="1">
      <c r="D724" s="155"/>
      <c r="G724" s="155"/>
      <c r="K724" s="255"/>
      <c r="N724" s="255"/>
      <c r="T724" s="256"/>
      <c r="Z724" s="257"/>
    </row>
    <row r="725" ht="15.75" customHeight="1">
      <c r="D725" s="155"/>
      <c r="G725" s="155"/>
      <c r="K725" s="255"/>
      <c r="N725" s="255"/>
      <c r="T725" s="256"/>
      <c r="Z725" s="257"/>
    </row>
    <row r="726" ht="15.75" customHeight="1">
      <c r="D726" s="155"/>
      <c r="G726" s="155"/>
      <c r="K726" s="255"/>
      <c r="N726" s="255"/>
      <c r="T726" s="256"/>
      <c r="Z726" s="257"/>
    </row>
    <row r="727" ht="15.75" customHeight="1">
      <c r="D727" s="155"/>
      <c r="G727" s="155"/>
      <c r="K727" s="255"/>
      <c r="N727" s="255"/>
      <c r="T727" s="256"/>
      <c r="Z727" s="257"/>
    </row>
    <row r="728" ht="15.75" customHeight="1">
      <c r="D728" s="155"/>
      <c r="G728" s="155"/>
      <c r="K728" s="255"/>
      <c r="N728" s="255"/>
      <c r="T728" s="256"/>
      <c r="Z728" s="257"/>
    </row>
    <row r="729" ht="15.75" customHeight="1">
      <c r="D729" s="155"/>
      <c r="G729" s="155"/>
      <c r="K729" s="255"/>
      <c r="N729" s="255"/>
      <c r="T729" s="256"/>
      <c r="Z729" s="257"/>
    </row>
    <row r="730" ht="15.75" customHeight="1">
      <c r="D730" s="155"/>
      <c r="G730" s="155"/>
      <c r="K730" s="255"/>
      <c r="N730" s="255"/>
      <c r="T730" s="256"/>
      <c r="Z730" s="257"/>
    </row>
    <row r="731" ht="15.75" customHeight="1">
      <c r="D731" s="155"/>
      <c r="G731" s="155"/>
      <c r="K731" s="255"/>
      <c r="N731" s="255"/>
      <c r="T731" s="256"/>
      <c r="Z731" s="257"/>
    </row>
    <row r="732" ht="15.75" customHeight="1">
      <c r="D732" s="155"/>
      <c r="G732" s="155"/>
      <c r="K732" s="255"/>
      <c r="N732" s="255"/>
      <c r="T732" s="256"/>
      <c r="Z732" s="257"/>
    </row>
    <row r="733" ht="15.75" customHeight="1">
      <c r="D733" s="155"/>
      <c r="G733" s="155"/>
      <c r="K733" s="255"/>
      <c r="N733" s="255"/>
      <c r="T733" s="256"/>
      <c r="Z733" s="257"/>
    </row>
    <row r="734" ht="15.75" customHeight="1">
      <c r="D734" s="155"/>
      <c r="G734" s="155"/>
      <c r="K734" s="255"/>
      <c r="N734" s="255"/>
      <c r="T734" s="256"/>
      <c r="Z734" s="257"/>
    </row>
    <row r="735" ht="15.75" customHeight="1">
      <c r="D735" s="155"/>
      <c r="G735" s="155"/>
      <c r="K735" s="255"/>
      <c r="N735" s="255"/>
      <c r="T735" s="256"/>
      <c r="Z735" s="257"/>
    </row>
    <row r="736" ht="15.75" customHeight="1">
      <c r="D736" s="155"/>
      <c r="G736" s="155"/>
      <c r="K736" s="255"/>
      <c r="N736" s="255"/>
      <c r="T736" s="256"/>
      <c r="Z736" s="257"/>
    </row>
    <row r="737" ht="15.75" customHeight="1">
      <c r="D737" s="155"/>
      <c r="G737" s="155"/>
      <c r="K737" s="255"/>
      <c r="N737" s="255"/>
      <c r="T737" s="256"/>
      <c r="Z737" s="257"/>
    </row>
    <row r="738" ht="15.75" customHeight="1">
      <c r="D738" s="155"/>
      <c r="G738" s="155"/>
      <c r="K738" s="255"/>
      <c r="N738" s="255"/>
      <c r="T738" s="256"/>
      <c r="Z738" s="257"/>
    </row>
    <row r="739" ht="15.75" customHeight="1">
      <c r="D739" s="155"/>
      <c r="G739" s="155"/>
      <c r="K739" s="255"/>
      <c r="N739" s="255"/>
      <c r="T739" s="256"/>
      <c r="Z739" s="257"/>
    </row>
    <row r="740" ht="15.75" customHeight="1">
      <c r="D740" s="155"/>
      <c r="G740" s="155"/>
      <c r="K740" s="255"/>
      <c r="N740" s="255"/>
      <c r="T740" s="256"/>
      <c r="Z740" s="257"/>
    </row>
    <row r="741" ht="15.75" customHeight="1">
      <c r="D741" s="155"/>
      <c r="G741" s="155"/>
      <c r="K741" s="255"/>
      <c r="N741" s="255"/>
      <c r="T741" s="256"/>
      <c r="Z741" s="257"/>
    </row>
    <row r="742" ht="15.75" customHeight="1">
      <c r="D742" s="155"/>
      <c r="G742" s="155"/>
      <c r="K742" s="255"/>
      <c r="N742" s="255"/>
      <c r="T742" s="256"/>
      <c r="Z742" s="257"/>
    </row>
    <row r="743" ht="15.75" customHeight="1">
      <c r="D743" s="155"/>
      <c r="G743" s="155"/>
      <c r="K743" s="255"/>
      <c r="N743" s="255"/>
      <c r="T743" s="256"/>
      <c r="Z743" s="257"/>
    </row>
    <row r="744" ht="15.75" customHeight="1">
      <c r="D744" s="155"/>
      <c r="G744" s="155"/>
      <c r="K744" s="255"/>
      <c r="N744" s="255"/>
      <c r="T744" s="256"/>
      <c r="Z744" s="257"/>
    </row>
    <row r="745" ht="15.75" customHeight="1">
      <c r="D745" s="155"/>
      <c r="G745" s="155"/>
      <c r="K745" s="255"/>
      <c r="N745" s="255"/>
      <c r="T745" s="256"/>
      <c r="Z745" s="257"/>
    </row>
    <row r="746" ht="15.75" customHeight="1">
      <c r="D746" s="155"/>
      <c r="G746" s="155"/>
      <c r="K746" s="255"/>
      <c r="N746" s="255"/>
      <c r="T746" s="256"/>
      <c r="Z746" s="257"/>
    </row>
    <row r="747" ht="15.75" customHeight="1">
      <c r="D747" s="155"/>
      <c r="G747" s="155"/>
      <c r="K747" s="255"/>
      <c r="N747" s="255"/>
      <c r="T747" s="256"/>
      <c r="Z747" s="257"/>
    </row>
    <row r="748" ht="15.75" customHeight="1">
      <c r="D748" s="155"/>
      <c r="G748" s="155"/>
      <c r="K748" s="255"/>
      <c r="N748" s="255"/>
      <c r="T748" s="256"/>
      <c r="Z748" s="257"/>
    </row>
    <row r="749" ht="15.75" customHeight="1">
      <c r="D749" s="155"/>
      <c r="G749" s="155"/>
      <c r="K749" s="255"/>
      <c r="N749" s="255"/>
      <c r="T749" s="256"/>
      <c r="Z749" s="257"/>
    </row>
    <row r="750" ht="15.75" customHeight="1">
      <c r="D750" s="155"/>
      <c r="G750" s="155"/>
      <c r="K750" s="255"/>
      <c r="N750" s="255"/>
      <c r="T750" s="256"/>
      <c r="Z750" s="257"/>
    </row>
    <row r="751" ht="15.75" customHeight="1">
      <c r="D751" s="155"/>
      <c r="G751" s="155"/>
      <c r="K751" s="255"/>
      <c r="N751" s="255"/>
      <c r="T751" s="256"/>
      <c r="Z751" s="257"/>
    </row>
    <row r="752" ht="15.75" customHeight="1">
      <c r="D752" s="155"/>
      <c r="G752" s="155"/>
      <c r="K752" s="255"/>
      <c r="N752" s="255"/>
      <c r="T752" s="256"/>
      <c r="Z752" s="257"/>
    </row>
    <row r="753" ht="15.75" customHeight="1">
      <c r="D753" s="155"/>
      <c r="G753" s="155"/>
      <c r="K753" s="255"/>
      <c r="N753" s="255"/>
      <c r="T753" s="256"/>
      <c r="Z753" s="257"/>
    </row>
    <row r="754" ht="15.75" customHeight="1">
      <c r="D754" s="155"/>
      <c r="G754" s="155"/>
      <c r="K754" s="255"/>
      <c r="N754" s="255"/>
      <c r="T754" s="256"/>
      <c r="Z754" s="257"/>
    </row>
    <row r="755" ht="15.75" customHeight="1">
      <c r="D755" s="155"/>
      <c r="G755" s="155"/>
      <c r="K755" s="255"/>
      <c r="N755" s="255"/>
      <c r="T755" s="256"/>
      <c r="Z755" s="257"/>
    </row>
    <row r="756" ht="15.75" customHeight="1">
      <c r="D756" s="155"/>
      <c r="G756" s="155"/>
      <c r="K756" s="255"/>
      <c r="N756" s="255"/>
      <c r="T756" s="256"/>
      <c r="Z756" s="257"/>
    </row>
    <row r="757" ht="15.75" customHeight="1">
      <c r="D757" s="155"/>
      <c r="G757" s="155"/>
      <c r="K757" s="255"/>
      <c r="N757" s="255"/>
      <c r="T757" s="256"/>
      <c r="Z757" s="257"/>
    </row>
    <row r="758" ht="15.75" customHeight="1">
      <c r="D758" s="155"/>
      <c r="G758" s="155"/>
      <c r="K758" s="255"/>
      <c r="N758" s="255"/>
      <c r="T758" s="256"/>
      <c r="Z758" s="257"/>
    </row>
    <row r="759" ht="15.75" customHeight="1">
      <c r="D759" s="155"/>
      <c r="G759" s="155"/>
      <c r="K759" s="255"/>
      <c r="N759" s="255"/>
      <c r="T759" s="256"/>
      <c r="Z759" s="257"/>
    </row>
    <row r="760" ht="15.75" customHeight="1">
      <c r="D760" s="155"/>
      <c r="G760" s="155"/>
      <c r="K760" s="255"/>
      <c r="N760" s="255"/>
      <c r="T760" s="256"/>
      <c r="Z760" s="257"/>
    </row>
    <row r="761" ht="15.75" customHeight="1">
      <c r="D761" s="155"/>
      <c r="G761" s="155"/>
      <c r="K761" s="255"/>
      <c r="N761" s="255"/>
      <c r="T761" s="256"/>
      <c r="Z761" s="257"/>
    </row>
    <row r="762" ht="15.75" customHeight="1">
      <c r="D762" s="155"/>
      <c r="G762" s="155"/>
      <c r="K762" s="255"/>
      <c r="N762" s="255"/>
      <c r="T762" s="256"/>
      <c r="Z762" s="257"/>
    </row>
    <row r="763" ht="15.75" customHeight="1">
      <c r="D763" s="155"/>
      <c r="G763" s="155"/>
      <c r="K763" s="255"/>
      <c r="N763" s="255"/>
      <c r="T763" s="256"/>
      <c r="Z763" s="257"/>
    </row>
    <row r="764" ht="15.75" customHeight="1">
      <c r="D764" s="155"/>
      <c r="G764" s="155"/>
      <c r="K764" s="255"/>
      <c r="N764" s="255"/>
      <c r="T764" s="256"/>
      <c r="Z764" s="257"/>
    </row>
    <row r="765" ht="15.75" customHeight="1">
      <c r="D765" s="155"/>
      <c r="G765" s="155"/>
      <c r="K765" s="255"/>
      <c r="N765" s="255"/>
      <c r="T765" s="256"/>
      <c r="Z765" s="257"/>
    </row>
    <row r="766" ht="15.75" customHeight="1">
      <c r="D766" s="155"/>
      <c r="G766" s="155"/>
      <c r="K766" s="255"/>
      <c r="N766" s="255"/>
      <c r="T766" s="256"/>
      <c r="Z766" s="257"/>
    </row>
    <row r="767" ht="15.75" customHeight="1">
      <c r="D767" s="155"/>
      <c r="G767" s="155"/>
      <c r="K767" s="255"/>
      <c r="N767" s="255"/>
      <c r="T767" s="256"/>
      <c r="Z767" s="257"/>
    </row>
    <row r="768" ht="15.75" customHeight="1">
      <c r="D768" s="155"/>
      <c r="G768" s="155"/>
      <c r="K768" s="255"/>
      <c r="N768" s="255"/>
      <c r="T768" s="256"/>
      <c r="Z768" s="257"/>
    </row>
    <row r="769" ht="15.75" customHeight="1">
      <c r="D769" s="155"/>
      <c r="G769" s="155"/>
      <c r="K769" s="255"/>
      <c r="N769" s="255"/>
      <c r="T769" s="256"/>
      <c r="Z769" s="257"/>
    </row>
    <row r="770" ht="15.75" customHeight="1">
      <c r="D770" s="155"/>
      <c r="G770" s="155"/>
      <c r="K770" s="255"/>
      <c r="N770" s="255"/>
      <c r="T770" s="256"/>
      <c r="Z770" s="257"/>
    </row>
    <row r="771" ht="15.75" customHeight="1">
      <c r="D771" s="155"/>
      <c r="G771" s="155"/>
      <c r="K771" s="255"/>
      <c r="N771" s="255"/>
      <c r="T771" s="256"/>
      <c r="Z771" s="257"/>
    </row>
    <row r="772" ht="15.75" customHeight="1">
      <c r="D772" s="155"/>
      <c r="G772" s="155"/>
      <c r="K772" s="255"/>
      <c r="N772" s="255"/>
      <c r="T772" s="256"/>
      <c r="Z772" s="257"/>
    </row>
    <row r="773" ht="15.75" customHeight="1">
      <c r="D773" s="155"/>
      <c r="G773" s="155"/>
      <c r="K773" s="255"/>
      <c r="N773" s="255"/>
      <c r="T773" s="256"/>
      <c r="Z773" s="257"/>
    </row>
    <row r="774" ht="15.75" customHeight="1">
      <c r="D774" s="155"/>
      <c r="G774" s="155"/>
      <c r="K774" s="255"/>
      <c r="N774" s="255"/>
      <c r="T774" s="256"/>
      <c r="Z774" s="257"/>
    </row>
    <row r="775" ht="15.75" customHeight="1">
      <c r="D775" s="155"/>
      <c r="G775" s="155"/>
      <c r="K775" s="255"/>
      <c r="N775" s="255"/>
      <c r="T775" s="256"/>
      <c r="Z775" s="257"/>
    </row>
    <row r="776" ht="15.75" customHeight="1">
      <c r="D776" s="155"/>
      <c r="G776" s="155"/>
      <c r="K776" s="255"/>
      <c r="N776" s="255"/>
      <c r="T776" s="256"/>
      <c r="Z776" s="257"/>
    </row>
    <row r="777" ht="15.75" customHeight="1">
      <c r="D777" s="155"/>
      <c r="G777" s="155"/>
      <c r="K777" s="255"/>
      <c r="N777" s="255"/>
      <c r="T777" s="256"/>
      <c r="Z777" s="257"/>
    </row>
    <row r="778" ht="15.75" customHeight="1">
      <c r="D778" s="155"/>
      <c r="G778" s="155"/>
      <c r="K778" s="255"/>
      <c r="N778" s="255"/>
      <c r="T778" s="256"/>
      <c r="Z778" s="257"/>
    </row>
    <row r="779" ht="15.75" customHeight="1">
      <c r="D779" s="155"/>
      <c r="G779" s="155"/>
      <c r="K779" s="255"/>
      <c r="N779" s="255"/>
      <c r="T779" s="256"/>
      <c r="Z779" s="257"/>
    </row>
    <row r="780" ht="15.75" customHeight="1">
      <c r="D780" s="155"/>
      <c r="G780" s="155"/>
      <c r="K780" s="255"/>
      <c r="N780" s="255"/>
      <c r="T780" s="256"/>
      <c r="Z780" s="257"/>
    </row>
    <row r="781" ht="15.75" customHeight="1">
      <c r="D781" s="155"/>
      <c r="G781" s="155"/>
      <c r="K781" s="255"/>
      <c r="N781" s="255"/>
      <c r="T781" s="256"/>
      <c r="Z781" s="257"/>
    </row>
    <row r="782" ht="15.75" customHeight="1">
      <c r="D782" s="155"/>
      <c r="G782" s="155"/>
      <c r="K782" s="255"/>
      <c r="N782" s="255"/>
      <c r="T782" s="256"/>
      <c r="Z782" s="257"/>
    </row>
    <row r="783" ht="15.75" customHeight="1">
      <c r="D783" s="155"/>
      <c r="G783" s="155"/>
      <c r="K783" s="255"/>
      <c r="N783" s="255"/>
      <c r="T783" s="256"/>
      <c r="Z783" s="257"/>
    </row>
    <row r="784" ht="15.75" customHeight="1">
      <c r="D784" s="155"/>
      <c r="G784" s="155"/>
      <c r="K784" s="255"/>
      <c r="N784" s="255"/>
      <c r="T784" s="256"/>
      <c r="Z784" s="257"/>
    </row>
    <row r="785" ht="15.75" customHeight="1">
      <c r="D785" s="155"/>
      <c r="G785" s="155"/>
      <c r="K785" s="255"/>
      <c r="N785" s="255"/>
      <c r="T785" s="256"/>
      <c r="Z785" s="257"/>
    </row>
    <row r="786" ht="15.75" customHeight="1">
      <c r="D786" s="155"/>
      <c r="G786" s="155"/>
      <c r="K786" s="255"/>
      <c r="N786" s="255"/>
      <c r="T786" s="256"/>
      <c r="Z786" s="257"/>
    </row>
    <row r="787" ht="15.75" customHeight="1">
      <c r="D787" s="155"/>
      <c r="G787" s="155"/>
      <c r="K787" s="255"/>
      <c r="N787" s="255"/>
      <c r="T787" s="256"/>
      <c r="Z787" s="257"/>
    </row>
    <row r="788" ht="15.75" customHeight="1">
      <c r="D788" s="155"/>
      <c r="G788" s="155"/>
      <c r="K788" s="255"/>
      <c r="N788" s="255"/>
      <c r="T788" s="256"/>
      <c r="Z788" s="257"/>
    </row>
    <row r="789" ht="15.75" customHeight="1">
      <c r="D789" s="155"/>
      <c r="G789" s="155"/>
      <c r="K789" s="255"/>
      <c r="N789" s="255"/>
      <c r="T789" s="256"/>
      <c r="Z789" s="257"/>
    </row>
    <row r="790" ht="15.75" customHeight="1">
      <c r="D790" s="155"/>
      <c r="G790" s="155"/>
      <c r="K790" s="255"/>
      <c r="N790" s="255"/>
      <c r="T790" s="256"/>
      <c r="Z790" s="257"/>
    </row>
    <row r="791" ht="15.75" customHeight="1">
      <c r="D791" s="155"/>
      <c r="G791" s="155"/>
      <c r="K791" s="255"/>
      <c r="N791" s="255"/>
      <c r="T791" s="256"/>
      <c r="Z791" s="257"/>
    </row>
    <row r="792" ht="15.75" customHeight="1">
      <c r="D792" s="155"/>
      <c r="G792" s="155"/>
      <c r="K792" s="255"/>
      <c r="N792" s="255"/>
      <c r="T792" s="256"/>
      <c r="Z792" s="257"/>
    </row>
    <row r="793" ht="15.75" customHeight="1">
      <c r="D793" s="155"/>
      <c r="G793" s="155"/>
      <c r="K793" s="255"/>
      <c r="N793" s="255"/>
      <c r="T793" s="256"/>
      <c r="Z793" s="257"/>
    </row>
    <row r="794" ht="15.75" customHeight="1">
      <c r="D794" s="155"/>
      <c r="G794" s="155"/>
      <c r="K794" s="255"/>
      <c r="N794" s="255"/>
      <c r="T794" s="256"/>
      <c r="Z794" s="257"/>
    </row>
    <row r="795" ht="15.75" customHeight="1">
      <c r="D795" s="155"/>
      <c r="G795" s="155"/>
      <c r="K795" s="255"/>
      <c r="N795" s="255"/>
      <c r="T795" s="256"/>
      <c r="Z795" s="257"/>
    </row>
    <row r="796" ht="15.75" customHeight="1">
      <c r="D796" s="155"/>
      <c r="G796" s="155"/>
      <c r="K796" s="255"/>
      <c r="N796" s="255"/>
      <c r="T796" s="256"/>
      <c r="Z796" s="257"/>
    </row>
    <row r="797" ht="15.75" customHeight="1">
      <c r="D797" s="155"/>
      <c r="G797" s="155"/>
      <c r="K797" s="255"/>
      <c r="N797" s="255"/>
      <c r="T797" s="256"/>
      <c r="Z797" s="257"/>
    </row>
    <row r="798" ht="15.75" customHeight="1">
      <c r="D798" s="155"/>
      <c r="G798" s="155"/>
      <c r="K798" s="255"/>
      <c r="N798" s="255"/>
      <c r="T798" s="256"/>
      <c r="Z798" s="257"/>
    </row>
    <row r="799" ht="15.75" customHeight="1">
      <c r="D799" s="155"/>
      <c r="G799" s="155"/>
      <c r="K799" s="255"/>
      <c r="N799" s="255"/>
      <c r="T799" s="256"/>
      <c r="Z799" s="257"/>
    </row>
    <row r="800" ht="15.75" customHeight="1">
      <c r="D800" s="155"/>
      <c r="G800" s="155"/>
      <c r="K800" s="255"/>
      <c r="N800" s="255"/>
      <c r="T800" s="256"/>
      <c r="Z800" s="257"/>
    </row>
    <row r="801" ht="15.75" customHeight="1">
      <c r="D801" s="155"/>
      <c r="G801" s="155"/>
      <c r="K801" s="255"/>
      <c r="N801" s="255"/>
      <c r="T801" s="256"/>
      <c r="Z801" s="257"/>
    </row>
    <row r="802" ht="15.75" customHeight="1">
      <c r="D802" s="155"/>
      <c r="G802" s="155"/>
      <c r="K802" s="255"/>
      <c r="N802" s="255"/>
      <c r="T802" s="256"/>
      <c r="Z802" s="257"/>
    </row>
    <row r="803" ht="15.75" customHeight="1">
      <c r="D803" s="155"/>
      <c r="G803" s="155"/>
      <c r="K803" s="255"/>
      <c r="N803" s="255"/>
      <c r="T803" s="256"/>
      <c r="Z803" s="257"/>
    </row>
    <row r="804" ht="15.75" customHeight="1">
      <c r="D804" s="155"/>
      <c r="G804" s="155"/>
      <c r="K804" s="255"/>
      <c r="N804" s="255"/>
      <c r="T804" s="256"/>
      <c r="Z804" s="257"/>
    </row>
    <row r="805" ht="15.75" customHeight="1">
      <c r="D805" s="155"/>
      <c r="G805" s="155"/>
      <c r="K805" s="255"/>
      <c r="N805" s="255"/>
      <c r="T805" s="256"/>
      <c r="Z805" s="257"/>
    </row>
    <row r="806" ht="15.75" customHeight="1">
      <c r="D806" s="155"/>
      <c r="G806" s="155"/>
      <c r="K806" s="255"/>
      <c r="N806" s="255"/>
      <c r="T806" s="256"/>
      <c r="Z806" s="257"/>
    </row>
    <row r="807" ht="15.75" customHeight="1">
      <c r="D807" s="155"/>
      <c r="G807" s="155"/>
      <c r="K807" s="255"/>
      <c r="N807" s="255"/>
      <c r="T807" s="256"/>
      <c r="Z807" s="257"/>
    </row>
    <row r="808" ht="15.75" customHeight="1">
      <c r="D808" s="155"/>
      <c r="G808" s="155"/>
      <c r="K808" s="255"/>
      <c r="N808" s="255"/>
      <c r="T808" s="256"/>
      <c r="Z808" s="257"/>
    </row>
    <row r="809" ht="15.75" customHeight="1">
      <c r="D809" s="155"/>
      <c r="G809" s="155"/>
      <c r="K809" s="255"/>
      <c r="N809" s="255"/>
      <c r="T809" s="256"/>
      <c r="Z809" s="257"/>
    </row>
    <row r="810" ht="15.75" customHeight="1">
      <c r="D810" s="155"/>
      <c r="G810" s="155"/>
      <c r="K810" s="255"/>
      <c r="N810" s="255"/>
      <c r="T810" s="256"/>
      <c r="Z810" s="257"/>
    </row>
    <row r="811" ht="15.75" customHeight="1">
      <c r="D811" s="155"/>
      <c r="G811" s="155"/>
      <c r="K811" s="255"/>
      <c r="N811" s="255"/>
      <c r="T811" s="256"/>
      <c r="Z811" s="257"/>
    </row>
    <row r="812" ht="15.75" customHeight="1">
      <c r="D812" s="155"/>
      <c r="G812" s="155"/>
      <c r="K812" s="255"/>
      <c r="N812" s="255"/>
      <c r="T812" s="256"/>
      <c r="Z812" s="257"/>
    </row>
    <row r="813" ht="15.75" customHeight="1">
      <c r="D813" s="155"/>
      <c r="G813" s="155"/>
      <c r="K813" s="255"/>
      <c r="N813" s="255"/>
      <c r="T813" s="256"/>
      <c r="Z813" s="257"/>
    </row>
    <row r="814" ht="15.75" customHeight="1">
      <c r="D814" s="155"/>
      <c r="G814" s="155"/>
      <c r="K814" s="255"/>
      <c r="N814" s="255"/>
      <c r="T814" s="256"/>
      <c r="Z814" s="257"/>
    </row>
    <row r="815" ht="15.75" customHeight="1">
      <c r="D815" s="155"/>
      <c r="G815" s="155"/>
      <c r="K815" s="255"/>
      <c r="N815" s="255"/>
      <c r="T815" s="256"/>
      <c r="Z815" s="257"/>
    </row>
    <row r="816" ht="15.75" customHeight="1">
      <c r="D816" s="155"/>
      <c r="G816" s="155"/>
      <c r="K816" s="255"/>
      <c r="N816" s="255"/>
      <c r="T816" s="256"/>
      <c r="Z816" s="257"/>
    </row>
    <row r="817" ht="15.75" customHeight="1">
      <c r="D817" s="155"/>
      <c r="G817" s="155"/>
      <c r="K817" s="255"/>
      <c r="N817" s="255"/>
      <c r="T817" s="256"/>
      <c r="Z817" s="257"/>
    </row>
    <row r="818" ht="15.75" customHeight="1">
      <c r="D818" s="155"/>
      <c r="G818" s="155"/>
      <c r="K818" s="255"/>
      <c r="N818" s="255"/>
      <c r="T818" s="256"/>
      <c r="Z818" s="257"/>
    </row>
    <row r="819" ht="15.75" customHeight="1">
      <c r="D819" s="155"/>
      <c r="G819" s="155"/>
      <c r="K819" s="255"/>
      <c r="N819" s="255"/>
      <c r="T819" s="256"/>
      <c r="Z819" s="257"/>
    </row>
    <row r="820" ht="15.75" customHeight="1">
      <c r="D820" s="155"/>
      <c r="G820" s="155"/>
      <c r="K820" s="255"/>
      <c r="N820" s="255"/>
      <c r="T820" s="256"/>
      <c r="Z820" s="257"/>
    </row>
    <row r="821" ht="15.75" customHeight="1">
      <c r="D821" s="155"/>
      <c r="G821" s="155"/>
      <c r="K821" s="255"/>
      <c r="N821" s="255"/>
      <c r="T821" s="256"/>
      <c r="Z821" s="257"/>
    </row>
    <row r="822" ht="15.75" customHeight="1">
      <c r="D822" s="155"/>
      <c r="G822" s="155"/>
      <c r="K822" s="255"/>
      <c r="N822" s="255"/>
      <c r="T822" s="256"/>
      <c r="Z822" s="257"/>
    </row>
    <row r="823" ht="15.75" customHeight="1">
      <c r="D823" s="155"/>
      <c r="G823" s="155"/>
      <c r="K823" s="255"/>
      <c r="N823" s="255"/>
      <c r="T823" s="256"/>
      <c r="Z823" s="257"/>
    </row>
    <row r="824" ht="15.75" customHeight="1">
      <c r="D824" s="155"/>
      <c r="G824" s="155"/>
      <c r="K824" s="255"/>
      <c r="N824" s="255"/>
      <c r="T824" s="256"/>
      <c r="Z824" s="257"/>
    </row>
    <row r="825" ht="15.75" customHeight="1">
      <c r="D825" s="155"/>
      <c r="G825" s="155"/>
      <c r="K825" s="255"/>
      <c r="N825" s="255"/>
      <c r="T825" s="256"/>
      <c r="Z825" s="257"/>
    </row>
    <row r="826" ht="15.75" customHeight="1">
      <c r="D826" s="155"/>
      <c r="G826" s="155"/>
      <c r="K826" s="255"/>
      <c r="N826" s="255"/>
      <c r="T826" s="256"/>
      <c r="Z826" s="257"/>
    </row>
    <row r="827" ht="15.75" customHeight="1">
      <c r="D827" s="155"/>
      <c r="G827" s="155"/>
      <c r="K827" s="255"/>
      <c r="N827" s="255"/>
      <c r="T827" s="256"/>
      <c r="Z827" s="257"/>
    </row>
    <row r="828" ht="15.75" customHeight="1">
      <c r="D828" s="155"/>
      <c r="G828" s="155"/>
      <c r="K828" s="255"/>
      <c r="N828" s="255"/>
      <c r="T828" s="256"/>
      <c r="Z828" s="257"/>
    </row>
    <row r="829" ht="15.75" customHeight="1">
      <c r="D829" s="155"/>
      <c r="G829" s="155"/>
      <c r="K829" s="255"/>
      <c r="N829" s="255"/>
      <c r="T829" s="256"/>
      <c r="Z829" s="257"/>
    </row>
    <row r="830" ht="15.75" customHeight="1">
      <c r="D830" s="155"/>
      <c r="G830" s="155"/>
      <c r="K830" s="255"/>
      <c r="N830" s="255"/>
      <c r="T830" s="256"/>
      <c r="Z830" s="257"/>
    </row>
    <row r="831" ht="15.75" customHeight="1">
      <c r="D831" s="155"/>
      <c r="G831" s="155"/>
      <c r="K831" s="255"/>
      <c r="N831" s="255"/>
      <c r="T831" s="256"/>
      <c r="Z831" s="257"/>
    </row>
    <row r="832" ht="15.75" customHeight="1">
      <c r="D832" s="155"/>
      <c r="G832" s="155"/>
      <c r="K832" s="255"/>
      <c r="N832" s="255"/>
      <c r="T832" s="256"/>
      <c r="Z832" s="257"/>
    </row>
    <row r="833" ht="15.75" customHeight="1">
      <c r="D833" s="155"/>
      <c r="G833" s="155"/>
      <c r="K833" s="255"/>
      <c r="N833" s="255"/>
      <c r="T833" s="256"/>
      <c r="Z833" s="257"/>
    </row>
    <row r="834" ht="15.75" customHeight="1">
      <c r="D834" s="155"/>
      <c r="G834" s="155"/>
      <c r="K834" s="255"/>
      <c r="N834" s="255"/>
      <c r="T834" s="256"/>
      <c r="Z834" s="257"/>
    </row>
    <row r="835" ht="15.75" customHeight="1">
      <c r="D835" s="155"/>
      <c r="G835" s="155"/>
      <c r="K835" s="255"/>
      <c r="N835" s="255"/>
      <c r="T835" s="256"/>
      <c r="Z835" s="257"/>
    </row>
    <row r="836" ht="15.75" customHeight="1">
      <c r="D836" s="155"/>
      <c r="G836" s="155"/>
      <c r="K836" s="255"/>
      <c r="N836" s="255"/>
      <c r="T836" s="256"/>
      <c r="Z836" s="257"/>
    </row>
    <row r="837" ht="15.75" customHeight="1">
      <c r="D837" s="155"/>
      <c r="G837" s="155"/>
      <c r="K837" s="255"/>
      <c r="N837" s="255"/>
      <c r="T837" s="256"/>
      <c r="Z837" s="257"/>
    </row>
    <row r="838" ht="15.75" customHeight="1">
      <c r="D838" s="155"/>
      <c r="G838" s="155"/>
      <c r="K838" s="255"/>
      <c r="N838" s="255"/>
      <c r="T838" s="256"/>
      <c r="Z838" s="257"/>
    </row>
    <row r="839" ht="15.75" customHeight="1">
      <c r="D839" s="155"/>
      <c r="G839" s="155"/>
      <c r="K839" s="255"/>
      <c r="N839" s="255"/>
      <c r="T839" s="256"/>
      <c r="Z839" s="257"/>
    </row>
    <row r="840" ht="15.75" customHeight="1">
      <c r="D840" s="155"/>
      <c r="G840" s="155"/>
      <c r="K840" s="255"/>
      <c r="N840" s="255"/>
      <c r="T840" s="256"/>
      <c r="Z840" s="257"/>
    </row>
    <row r="841" ht="15.75" customHeight="1">
      <c r="D841" s="155"/>
      <c r="G841" s="155"/>
      <c r="K841" s="255"/>
      <c r="N841" s="255"/>
      <c r="T841" s="256"/>
      <c r="Z841" s="257"/>
    </row>
    <row r="842" ht="15.75" customHeight="1">
      <c r="D842" s="155"/>
      <c r="G842" s="155"/>
      <c r="K842" s="255"/>
      <c r="N842" s="255"/>
      <c r="T842" s="256"/>
      <c r="Z842" s="257"/>
    </row>
    <row r="843" ht="15.75" customHeight="1">
      <c r="D843" s="155"/>
      <c r="G843" s="155"/>
      <c r="K843" s="255"/>
      <c r="N843" s="255"/>
      <c r="T843" s="256"/>
      <c r="Z843" s="257"/>
    </row>
    <row r="844" ht="15.75" customHeight="1">
      <c r="D844" s="155"/>
      <c r="G844" s="155"/>
      <c r="K844" s="255"/>
      <c r="N844" s="255"/>
      <c r="T844" s="256"/>
      <c r="Z844" s="257"/>
    </row>
    <row r="845" ht="15.75" customHeight="1">
      <c r="D845" s="155"/>
      <c r="G845" s="155"/>
      <c r="K845" s="255"/>
      <c r="N845" s="255"/>
      <c r="T845" s="256"/>
      <c r="Z845" s="257"/>
    </row>
    <row r="846" ht="15.75" customHeight="1">
      <c r="D846" s="155"/>
      <c r="G846" s="155"/>
      <c r="K846" s="255"/>
      <c r="N846" s="255"/>
      <c r="T846" s="256"/>
      <c r="Z846" s="257"/>
    </row>
    <row r="847" ht="15.75" customHeight="1">
      <c r="D847" s="155"/>
      <c r="G847" s="155"/>
      <c r="K847" s="255"/>
      <c r="N847" s="255"/>
      <c r="T847" s="256"/>
      <c r="Z847" s="257"/>
    </row>
    <row r="848" ht="15.75" customHeight="1">
      <c r="D848" s="155"/>
      <c r="G848" s="155"/>
      <c r="K848" s="255"/>
      <c r="N848" s="255"/>
      <c r="T848" s="256"/>
      <c r="Z848" s="257"/>
    </row>
    <row r="849" ht="15.75" customHeight="1">
      <c r="D849" s="155"/>
      <c r="G849" s="155"/>
      <c r="K849" s="255"/>
      <c r="N849" s="255"/>
      <c r="T849" s="256"/>
      <c r="Z849" s="257"/>
    </row>
    <row r="850" ht="15.75" customHeight="1">
      <c r="D850" s="155"/>
      <c r="G850" s="155"/>
      <c r="K850" s="255"/>
      <c r="N850" s="255"/>
      <c r="T850" s="256"/>
      <c r="Z850" s="257"/>
    </row>
    <row r="851" ht="15.75" customHeight="1">
      <c r="D851" s="155"/>
      <c r="G851" s="155"/>
      <c r="K851" s="255"/>
      <c r="N851" s="255"/>
      <c r="T851" s="256"/>
      <c r="Z851" s="257"/>
    </row>
    <row r="852" ht="15.75" customHeight="1">
      <c r="D852" s="155"/>
      <c r="G852" s="155"/>
      <c r="K852" s="255"/>
      <c r="N852" s="255"/>
      <c r="T852" s="256"/>
      <c r="Z852" s="257"/>
    </row>
    <row r="853" ht="15.75" customHeight="1">
      <c r="D853" s="155"/>
      <c r="G853" s="155"/>
      <c r="K853" s="255"/>
      <c r="N853" s="255"/>
      <c r="T853" s="256"/>
      <c r="Z853" s="257"/>
    </row>
    <row r="854" ht="15.75" customHeight="1">
      <c r="D854" s="155"/>
      <c r="G854" s="155"/>
      <c r="K854" s="255"/>
      <c r="N854" s="255"/>
      <c r="T854" s="256"/>
      <c r="Z854" s="257"/>
    </row>
    <row r="855" ht="15.75" customHeight="1">
      <c r="D855" s="155"/>
      <c r="G855" s="155"/>
      <c r="K855" s="255"/>
      <c r="N855" s="255"/>
      <c r="T855" s="256"/>
      <c r="Z855" s="257"/>
    </row>
    <row r="856" ht="15.75" customHeight="1">
      <c r="D856" s="155"/>
      <c r="G856" s="155"/>
      <c r="K856" s="255"/>
      <c r="N856" s="255"/>
      <c r="T856" s="256"/>
      <c r="Z856" s="257"/>
    </row>
    <row r="857" ht="15.75" customHeight="1">
      <c r="D857" s="155"/>
      <c r="G857" s="155"/>
      <c r="K857" s="255"/>
      <c r="N857" s="255"/>
      <c r="T857" s="256"/>
      <c r="Z857" s="257"/>
    </row>
    <row r="858" ht="15.75" customHeight="1">
      <c r="D858" s="155"/>
      <c r="G858" s="155"/>
      <c r="K858" s="255"/>
      <c r="N858" s="255"/>
      <c r="T858" s="256"/>
      <c r="Z858" s="257"/>
    </row>
    <row r="859" ht="15.75" customHeight="1">
      <c r="D859" s="155"/>
      <c r="G859" s="155"/>
      <c r="K859" s="255"/>
      <c r="N859" s="255"/>
      <c r="T859" s="256"/>
      <c r="Z859" s="257"/>
    </row>
    <row r="860" ht="15.75" customHeight="1">
      <c r="D860" s="155"/>
      <c r="G860" s="155"/>
      <c r="K860" s="255"/>
      <c r="N860" s="255"/>
      <c r="T860" s="256"/>
      <c r="Z860" s="257"/>
    </row>
    <row r="861" ht="15.75" customHeight="1">
      <c r="D861" s="155"/>
      <c r="G861" s="155"/>
      <c r="K861" s="255"/>
      <c r="N861" s="255"/>
      <c r="T861" s="256"/>
      <c r="Z861" s="257"/>
    </row>
    <row r="862" ht="15.75" customHeight="1">
      <c r="D862" s="155"/>
      <c r="G862" s="155"/>
      <c r="K862" s="255"/>
      <c r="N862" s="255"/>
      <c r="T862" s="256"/>
      <c r="Z862" s="257"/>
    </row>
    <row r="863" ht="15.75" customHeight="1">
      <c r="D863" s="155"/>
      <c r="G863" s="155"/>
      <c r="K863" s="255"/>
      <c r="N863" s="255"/>
      <c r="T863" s="256"/>
      <c r="Z863" s="257"/>
    </row>
    <row r="864" ht="15.75" customHeight="1">
      <c r="D864" s="155"/>
      <c r="G864" s="155"/>
      <c r="K864" s="255"/>
      <c r="N864" s="255"/>
      <c r="T864" s="256"/>
      <c r="Z864" s="257"/>
    </row>
    <row r="865" ht="15.75" customHeight="1">
      <c r="D865" s="155"/>
      <c r="G865" s="155"/>
      <c r="K865" s="255"/>
      <c r="N865" s="255"/>
      <c r="T865" s="256"/>
      <c r="Z865" s="257"/>
    </row>
    <row r="866" ht="15.75" customHeight="1">
      <c r="D866" s="155"/>
      <c r="G866" s="155"/>
      <c r="K866" s="255"/>
      <c r="N866" s="255"/>
      <c r="T866" s="256"/>
      <c r="Z866" s="257"/>
    </row>
    <row r="867" ht="15.75" customHeight="1">
      <c r="D867" s="155"/>
      <c r="G867" s="155"/>
      <c r="K867" s="255"/>
      <c r="N867" s="255"/>
      <c r="T867" s="256"/>
      <c r="Z867" s="257"/>
    </row>
    <row r="868" ht="15.75" customHeight="1">
      <c r="D868" s="155"/>
      <c r="G868" s="155"/>
      <c r="K868" s="255"/>
      <c r="N868" s="255"/>
      <c r="T868" s="256"/>
      <c r="Z868" s="257"/>
    </row>
    <row r="869" ht="15.75" customHeight="1">
      <c r="D869" s="155"/>
      <c r="G869" s="155"/>
      <c r="K869" s="255"/>
      <c r="N869" s="255"/>
      <c r="T869" s="256"/>
      <c r="Z869" s="257"/>
    </row>
    <row r="870" ht="15.75" customHeight="1">
      <c r="D870" s="155"/>
      <c r="G870" s="155"/>
      <c r="K870" s="255"/>
      <c r="N870" s="255"/>
      <c r="T870" s="256"/>
      <c r="Z870" s="257"/>
    </row>
    <row r="871" ht="15.75" customHeight="1">
      <c r="D871" s="155"/>
      <c r="G871" s="155"/>
      <c r="K871" s="255"/>
      <c r="N871" s="255"/>
      <c r="T871" s="256"/>
      <c r="Z871" s="257"/>
    </row>
    <row r="872" ht="15.75" customHeight="1">
      <c r="D872" s="155"/>
      <c r="G872" s="155"/>
      <c r="K872" s="255"/>
      <c r="N872" s="255"/>
      <c r="T872" s="256"/>
      <c r="Z872" s="257"/>
    </row>
    <row r="873" ht="15.75" customHeight="1">
      <c r="D873" s="155"/>
      <c r="G873" s="155"/>
      <c r="K873" s="255"/>
      <c r="N873" s="255"/>
      <c r="T873" s="256"/>
      <c r="Z873" s="257"/>
    </row>
    <row r="874" ht="15.75" customHeight="1">
      <c r="D874" s="155"/>
      <c r="G874" s="155"/>
      <c r="K874" s="255"/>
      <c r="N874" s="255"/>
      <c r="T874" s="256"/>
      <c r="Z874" s="257"/>
    </row>
    <row r="875" ht="15.75" customHeight="1">
      <c r="D875" s="155"/>
      <c r="G875" s="155"/>
      <c r="K875" s="255"/>
      <c r="N875" s="255"/>
      <c r="T875" s="256"/>
      <c r="Z875" s="257"/>
    </row>
    <row r="876" ht="15.75" customHeight="1">
      <c r="D876" s="155"/>
      <c r="G876" s="155"/>
      <c r="K876" s="255"/>
      <c r="N876" s="255"/>
      <c r="T876" s="256"/>
      <c r="Z876" s="257"/>
    </row>
    <row r="877" ht="15.75" customHeight="1">
      <c r="D877" s="155"/>
      <c r="G877" s="155"/>
      <c r="K877" s="255"/>
      <c r="N877" s="255"/>
      <c r="T877" s="256"/>
      <c r="Z877" s="257"/>
    </row>
    <row r="878" ht="15.75" customHeight="1">
      <c r="D878" s="155"/>
      <c r="G878" s="155"/>
      <c r="K878" s="255"/>
      <c r="N878" s="255"/>
      <c r="T878" s="256"/>
      <c r="Z878" s="257"/>
    </row>
    <row r="879" ht="15.75" customHeight="1">
      <c r="D879" s="155"/>
      <c r="G879" s="155"/>
      <c r="K879" s="255"/>
      <c r="N879" s="255"/>
      <c r="T879" s="256"/>
      <c r="Z879" s="257"/>
    </row>
    <row r="880" ht="15.75" customHeight="1">
      <c r="D880" s="155"/>
      <c r="G880" s="155"/>
      <c r="K880" s="255"/>
      <c r="N880" s="255"/>
      <c r="T880" s="256"/>
      <c r="Z880" s="257"/>
    </row>
    <row r="881" ht="15.75" customHeight="1">
      <c r="D881" s="155"/>
      <c r="G881" s="155"/>
      <c r="K881" s="255"/>
      <c r="N881" s="255"/>
      <c r="T881" s="256"/>
      <c r="Z881" s="257"/>
    </row>
    <row r="882" ht="15.75" customHeight="1">
      <c r="D882" s="155"/>
      <c r="G882" s="155"/>
      <c r="K882" s="255"/>
      <c r="N882" s="255"/>
      <c r="T882" s="256"/>
      <c r="Z882" s="257"/>
    </row>
    <row r="883" ht="15.75" customHeight="1">
      <c r="D883" s="155"/>
      <c r="G883" s="155"/>
      <c r="K883" s="255"/>
      <c r="N883" s="255"/>
      <c r="T883" s="256"/>
      <c r="Z883" s="257"/>
    </row>
    <row r="884" ht="15.75" customHeight="1">
      <c r="D884" s="155"/>
      <c r="G884" s="155"/>
      <c r="K884" s="255"/>
      <c r="N884" s="255"/>
      <c r="T884" s="256"/>
      <c r="Z884" s="257"/>
    </row>
    <row r="885" ht="15.75" customHeight="1">
      <c r="D885" s="155"/>
      <c r="G885" s="155"/>
      <c r="K885" s="255"/>
      <c r="N885" s="255"/>
      <c r="T885" s="256"/>
      <c r="Z885" s="257"/>
    </row>
    <row r="886" ht="15.75" customHeight="1">
      <c r="D886" s="155"/>
      <c r="G886" s="155"/>
      <c r="K886" s="255"/>
      <c r="N886" s="255"/>
      <c r="T886" s="256"/>
      <c r="Z886" s="257"/>
    </row>
    <row r="887" ht="15.75" customHeight="1">
      <c r="D887" s="155"/>
      <c r="G887" s="155"/>
      <c r="K887" s="255"/>
      <c r="N887" s="255"/>
      <c r="T887" s="256"/>
      <c r="Z887" s="257"/>
    </row>
    <row r="888" ht="15.75" customHeight="1">
      <c r="D888" s="155"/>
      <c r="G888" s="155"/>
      <c r="K888" s="255"/>
      <c r="N888" s="255"/>
      <c r="T888" s="256"/>
      <c r="Z888" s="257"/>
    </row>
    <row r="889" ht="15.75" customHeight="1">
      <c r="D889" s="155"/>
      <c r="G889" s="155"/>
      <c r="K889" s="255"/>
      <c r="N889" s="255"/>
      <c r="T889" s="256"/>
      <c r="Z889" s="257"/>
    </row>
    <row r="890" ht="15.75" customHeight="1">
      <c r="D890" s="155"/>
      <c r="G890" s="155"/>
      <c r="K890" s="255"/>
      <c r="N890" s="255"/>
      <c r="T890" s="256"/>
      <c r="Z890" s="257"/>
    </row>
    <row r="891" ht="15.75" customHeight="1">
      <c r="D891" s="155"/>
      <c r="G891" s="155"/>
      <c r="K891" s="255"/>
      <c r="N891" s="255"/>
      <c r="T891" s="256"/>
      <c r="Z891" s="257"/>
    </row>
    <row r="892" ht="15.75" customHeight="1">
      <c r="D892" s="155"/>
      <c r="G892" s="155"/>
      <c r="K892" s="255"/>
      <c r="N892" s="255"/>
      <c r="T892" s="256"/>
      <c r="Z892" s="257"/>
    </row>
    <row r="893" ht="15.75" customHeight="1">
      <c r="D893" s="155"/>
      <c r="G893" s="155"/>
      <c r="K893" s="255"/>
      <c r="N893" s="255"/>
      <c r="T893" s="256"/>
      <c r="Z893" s="257"/>
    </row>
    <row r="894" ht="15.75" customHeight="1">
      <c r="D894" s="155"/>
      <c r="G894" s="155"/>
      <c r="K894" s="255"/>
      <c r="N894" s="255"/>
      <c r="T894" s="256"/>
      <c r="Z894" s="257"/>
    </row>
    <row r="895" ht="15.75" customHeight="1">
      <c r="D895" s="155"/>
      <c r="G895" s="155"/>
      <c r="K895" s="255"/>
      <c r="N895" s="255"/>
      <c r="T895" s="256"/>
      <c r="Z895" s="257"/>
    </row>
    <row r="896" ht="15.75" customHeight="1">
      <c r="D896" s="155"/>
      <c r="G896" s="155"/>
      <c r="K896" s="255"/>
      <c r="N896" s="255"/>
      <c r="T896" s="256"/>
      <c r="Z896" s="257"/>
    </row>
    <row r="897" ht="15.75" customHeight="1">
      <c r="D897" s="155"/>
      <c r="G897" s="155"/>
      <c r="K897" s="255"/>
      <c r="N897" s="255"/>
      <c r="T897" s="256"/>
      <c r="Z897" s="257"/>
    </row>
    <row r="898" ht="15.75" customHeight="1">
      <c r="D898" s="155"/>
      <c r="G898" s="155"/>
      <c r="K898" s="255"/>
      <c r="N898" s="255"/>
      <c r="T898" s="256"/>
      <c r="Z898" s="257"/>
    </row>
    <row r="899" ht="15.75" customHeight="1">
      <c r="D899" s="155"/>
      <c r="G899" s="155"/>
      <c r="K899" s="255"/>
      <c r="N899" s="255"/>
      <c r="T899" s="256"/>
      <c r="Z899" s="257"/>
    </row>
    <row r="900" ht="15.75" customHeight="1">
      <c r="D900" s="155"/>
      <c r="G900" s="155"/>
      <c r="K900" s="255"/>
      <c r="N900" s="255"/>
      <c r="T900" s="256"/>
      <c r="Z900" s="257"/>
    </row>
    <row r="901" ht="15.75" customHeight="1">
      <c r="D901" s="155"/>
      <c r="G901" s="155"/>
      <c r="K901" s="255"/>
      <c r="N901" s="255"/>
      <c r="T901" s="256"/>
      <c r="Z901" s="257"/>
    </row>
    <row r="902" ht="15.75" customHeight="1">
      <c r="D902" s="155"/>
      <c r="G902" s="155"/>
      <c r="K902" s="255"/>
      <c r="N902" s="255"/>
      <c r="T902" s="256"/>
      <c r="Z902" s="257"/>
    </row>
    <row r="903" ht="15.75" customHeight="1">
      <c r="D903" s="155"/>
      <c r="G903" s="155"/>
      <c r="K903" s="255"/>
      <c r="N903" s="255"/>
      <c r="T903" s="256"/>
      <c r="Z903" s="257"/>
    </row>
    <row r="904" ht="15.75" customHeight="1">
      <c r="D904" s="155"/>
      <c r="G904" s="155"/>
      <c r="K904" s="255"/>
      <c r="N904" s="255"/>
      <c r="T904" s="256"/>
      <c r="Z904" s="257"/>
    </row>
    <row r="905" ht="15.75" customHeight="1">
      <c r="D905" s="155"/>
      <c r="G905" s="155"/>
      <c r="K905" s="255"/>
      <c r="N905" s="255"/>
      <c r="T905" s="256"/>
      <c r="Z905" s="257"/>
    </row>
    <row r="906" ht="15.75" customHeight="1">
      <c r="D906" s="155"/>
      <c r="G906" s="155"/>
      <c r="K906" s="255"/>
      <c r="N906" s="255"/>
      <c r="T906" s="256"/>
      <c r="Z906" s="257"/>
    </row>
    <row r="907" ht="15.75" customHeight="1">
      <c r="D907" s="155"/>
      <c r="G907" s="155"/>
      <c r="K907" s="255"/>
      <c r="N907" s="255"/>
      <c r="T907" s="256"/>
      <c r="Z907" s="257"/>
    </row>
    <row r="908" ht="15.75" customHeight="1">
      <c r="D908" s="155"/>
      <c r="G908" s="155"/>
      <c r="K908" s="255"/>
      <c r="N908" s="255"/>
      <c r="T908" s="256"/>
      <c r="Z908" s="257"/>
    </row>
    <row r="909" ht="15.75" customHeight="1">
      <c r="D909" s="155"/>
      <c r="G909" s="155"/>
      <c r="K909" s="255"/>
      <c r="N909" s="255"/>
      <c r="T909" s="256"/>
      <c r="Z909" s="257"/>
    </row>
    <row r="910" ht="15.75" customHeight="1">
      <c r="D910" s="155"/>
      <c r="G910" s="155"/>
      <c r="K910" s="255"/>
      <c r="N910" s="255"/>
      <c r="T910" s="256"/>
      <c r="Z910" s="257"/>
    </row>
    <row r="911" ht="15.75" customHeight="1">
      <c r="D911" s="155"/>
      <c r="G911" s="155"/>
      <c r="K911" s="255"/>
      <c r="N911" s="255"/>
      <c r="T911" s="256"/>
      <c r="Z911" s="257"/>
    </row>
    <row r="912" ht="15.75" customHeight="1">
      <c r="D912" s="155"/>
      <c r="G912" s="155"/>
      <c r="K912" s="255"/>
      <c r="N912" s="255"/>
      <c r="T912" s="256"/>
      <c r="Z912" s="257"/>
    </row>
    <row r="913" ht="15.75" customHeight="1">
      <c r="D913" s="155"/>
      <c r="G913" s="155"/>
      <c r="K913" s="255"/>
      <c r="N913" s="255"/>
      <c r="T913" s="256"/>
      <c r="Z913" s="257"/>
    </row>
    <row r="914" ht="15.75" customHeight="1">
      <c r="D914" s="155"/>
      <c r="G914" s="155"/>
      <c r="K914" s="255"/>
      <c r="N914" s="255"/>
      <c r="T914" s="256"/>
      <c r="Z914" s="257"/>
    </row>
    <row r="915" ht="15.75" customHeight="1">
      <c r="D915" s="155"/>
      <c r="G915" s="155"/>
      <c r="K915" s="255"/>
      <c r="N915" s="255"/>
      <c r="T915" s="256"/>
      <c r="Z915" s="257"/>
    </row>
    <row r="916" ht="15.75" customHeight="1">
      <c r="D916" s="155"/>
      <c r="G916" s="155"/>
      <c r="K916" s="255"/>
      <c r="N916" s="255"/>
      <c r="T916" s="256"/>
      <c r="Z916" s="257"/>
    </row>
    <row r="917" ht="15.75" customHeight="1">
      <c r="D917" s="155"/>
      <c r="G917" s="155"/>
      <c r="K917" s="255"/>
      <c r="N917" s="255"/>
      <c r="T917" s="256"/>
      <c r="Z917" s="257"/>
    </row>
    <row r="918" ht="15.75" customHeight="1">
      <c r="D918" s="155"/>
      <c r="G918" s="155"/>
      <c r="K918" s="255"/>
      <c r="N918" s="255"/>
      <c r="T918" s="256"/>
      <c r="Z918" s="257"/>
    </row>
    <row r="919" ht="15.75" customHeight="1">
      <c r="D919" s="155"/>
      <c r="G919" s="155"/>
      <c r="K919" s="255"/>
      <c r="N919" s="255"/>
      <c r="T919" s="256"/>
      <c r="Z919" s="257"/>
    </row>
    <row r="920" ht="15.75" customHeight="1">
      <c r="D920" s="155"/>
      <c r="G920" s="155"/>
      <c r="K920" s="255"/>
      <c r="N920" s="255"/>
      <c r="T920" s="256"/>
      <c r="Z920" s="257"/>
    </row>
    <row r="921" ht="15.75" customHeight="1">
      <c r="D921" s="155"/>
      <c r="G921" s="155"/>
      <c r="K921" s="255"/>
      <c r="N921" s="255"/>
      <c r="T921" s="256"/>
      <c r="Z921" s="257"/>
    </row>
    <row r="922" ht="15.75" customHeight="1">
      <c r="D922" s="155"/>
      <c r="G922" s="155"/>
      <c r="K922" s="255"/>
      <c r="N922" s="255"/>
      <c r="T922" s="256"/>
      <c r="Z922" s="257"/>
    </row>
    <row r="923" ht="15.75" customHeight="1">
      <c r="D923" s="155"/>
      <c r="G923" s="155"/>
      <c r="K923" s="255"/>
      <c r="N923" s="255"/>
      <c r="T923" s="256"/>
      <c r="Z923" s="257"/>
    </row>
    <row r="924" ht="15.75" customHeight="1">
      <c r="D924" s="155"/>
      <c r="G924" s="155"/>
      <c r="K924" s="255"/>
      <c r="N924" s="255"/>
      <c r="T924" s="256"/>
      <c r="Z924" s="257"/>
    </row>
    <row r="925" ht="15.75" customHeight="1">
      <c r="D925" s="155"/>
      <c r="G925" s="155"/>
      <c r="K925" s="255"/>
      <c r="N925" s="255"/>
      <c r="T925" s="256"/>
      <c r="Z925" s="257"/>
    </row>
    <row r="926" ht="15.75" customHeight="1">
      <c r="D926" s="155"/>
      <c r="G926" s="155"/>
      <c r="K926" s="255"/>
      <c r="N926" s="255"/>
      <c r="T926" s="256"/>
      <c r="Z926" s="257"/>
    </row>
    <row r="927" ht="15.75" customHeight="1">
      <c r="D927" s="155"/>
      <c r="G927" s="155"/>
      <c r="K927" s="255"/>
      <c r="N927" s="255"/>
      <c r="T927" s="256"/>
      <c r="Z927" s="257"/>
    </row>
    <row r="928" ht="15.75" customHeight="1">
      <c r="D928" s="155"/>
      <c r="G928" s="155"/>
      <c r="K928" s="255"/>
      <c r="N928" s="255"/>
      <c r="T928" s="256"/>
      <c r="Z928" s="257"/>
    </row>
    <row r="929" ht="15.75" customHeight="1">
      <c r="D929" s="155"/>
      <c r="G929" s="155"/>
      <c r="K929" s="255"/>
      <c r="N929" s="255"/>
      <c r="T929" s="256"/>
      <c r="Z929" s="257"/>
    </row>
    <row r="930" ht="15.75" customHeight="1">
      <c r="D930" s="155"/>
      <c r="G930" s="155"/>
      <c r="K930" s="255"/>
      <c r="N930" s="255"/>
      <c r="T930" s="256"/>
      <c r="Z930" s="257"/>
    </row>
    <row r="931" ht="15.75" customHeight="1">
      <c r="D931" s="155"/>
      <c r="G931" s="155"/>
      <c r="K931" s="255"/>
      <c r="N931" s="255"/>
      <c r="T931" s="256"/>
      <c r="Z931" s="257"/>
    </row>
    <row r="932" ht="15.75" customHeight="1">
      <c r="D932" s="155"/>
      <c r="G932" s="155"/>
      <c r="K932" s="255"/>
      <c r="N932" s="255"/>
      <c r="T932" s="256"/>
      <c r="Z932" s="257"/>
    </row>
    <row r="933" ht="15.75" customHeight="1">
      <c r="D933" s="155"/>
      <c r="G933" s="155"/>
      <c r="K933" s="255"/>
      <c r="N933" s="255"/>
      <c r="T933" s="256"/>
      <c r="Z933" s="257"/>
    </row>
    <row r="934" ht="15.75" customHeight="1">
      <c r="D934" s="155"/>
      <c r="G934" s="155"/>
      <c r="K934" s="255"/>
      <c r="N934" s="255"/>
      <c r="T934" s="256"/>
      <c r="Z934" s="257"/>
    </row>
    <row r="935" ht="15.75" customHeight="1">
      <c r="D935" s="155"/>
      <c r="G935" s="155"/>
      <c r="K935" s="255"/>
      <c r="N935" s="255"/>
      <c r="T935" s="256"/>
      <c r="Z935" s="257"/>
    </row>
    <row r="936" ht="15.75" customHeight="1">
      <c r="D936" s="155"/>
      <c r="G936" s="155"/>
      <c r="K936" s="255"/>
      <c r="N936" s="255"/>
      <c r="T936" s="256"/>
      <c r="Z936" s="257"/>
    </row>
    <row r="937" ht="15.75" customHeight="1">
      <c r="D937" s="155"/>
      <c r="G937" s="155"/>
      <c r="K937" s="255"/>
      <c r="N937" s="255"/>
      <c r="T937" s="256"/>
      <c r="Z937" s="257"/>
    </row>
    <row r="938" ht="15.75" customHeight="1">
      <c r="D938" s="155"/>
      <c r="G938" s="155"/>
      <c r="K938" s="255"/>
      <c r="N938" s="255"/>
      <c r="T938" s="256"/>
      <c r="Z938" s="257"/>
    </row>
    <row r="939" ht="15.75" customHeight="1">
      <c r="D939" s="155"/>
      <c r="G939" s="155"/>
      <c r="K939" s="255"/>
      <c r="N939" s="255"/>
      <c r="T939" s="256"/>
      <c r="Z939" s="257"/>
    </row>
    <row r="940" ht="15.75" customHeight="1">
      <c r="D940" s="155"/>
      <c r="G940" s="155"/>
      <c r="K940" s="255"/>
      <c r="N940" s="255"/>
      <c r="T940" s="256"/>
      <c r="Z940" s="257"/>
    </row>
    <row r="941" ht="15.75" customHeight="1">
      <c r="D941" s="155"/>
      <c r="G941" s="155"/>
      <c r="K941" s="255"/>
      <c r="N941" s="255"/>
      <c r="T941" s="256"/>
      <c r="Z941" s="257"/>
    </row>
    <row r="942" ht="15.75" customHeight="1">
      <c r="D942" s="155"/>
      <c r="G942" s="155"/>
      <c r="K942" s="255"/>
      <c r="N942" s="255"/>
      <c r="T942" s="256"/>
      <c r="Z942" s="257"/>
    </row>
    <row r="943" ht="15.75" customHeight="1">
      <c r="D943" s="155"/>
      <c r="G943" s="155"/>
      <c r="K943" s="255"/>
      <c r="N943" s="255"/>
      <c r="T943" s="256"/>
      <c r="Z943" s="257"/>
    </row>
    <row r="944" ht="15.75" customHeight="1">
      <c r="D944" s="155"/>
      <c r="G944" s="155"/>
      <c r="K944" s="255"/>
      <c r="N944" s="255"/>
      <c r="T944" s="256"/>
      <c r="Z944" s="257"/>
    </row>
    <row r="945" ht="15.75" customHeight="1">
      <c r="D945" s="155"/>
      <c r="G945" s="155"/>
      <c r="K945" s="255"/>
      <c r="N945" s="255"/>
      <c r="T945" s="256"/>
      <c r="Z945" s="257"/>
    </row>
    <row r="946" ht="15.75" customHeight="1">
      <c r="D946" s="155"/>
      <c r="G946" s="155"/>
      <c r="K946" s="255"/>
      <c r="N946" s="255"/>
      <c r="T946" s="256"/>
      <c r="Z946" s="257"/>
    </row>
    <row r="947" ht="15.75" customHeight="1">
      <c r="D947" s="155"/>
      <c r="G947" s="155"/>
      <c r="K947" s="255"/>
      <c r="N947" s="255"/>
      <c r="T947" s="256"/>
      <c r="Z947" s="257"/>
    </row>
    <row r="948" ht="15.75" customHeight="1">
      <c r="D948" s="155"/>
      <c r="G948" s="155"/>
      <c r="K948" s="255"/>
      <c r="N948" s="255"/>
      <c r="T948" s="256"/>
      <c r="Z948" s="257"/>
    </row>
    <row r="949" ht="15.75" customHeight="1">
      <c r="D949" s="155"/>
      <c r="G949" s="155"/>
      <c r="K949" s="255"/>
      <c r="N949" s="255"/>
      <c r="T949" s="256"/>
      <c r="Z949" s="257"/>
    </row>
    <row r="950" ht="15.75" customHeight="1">
      <c r="D950" s="155"/>
      <c r="G950" s="155"/>
      <c r="K950" s="255"/>
      <c r="N950" s="255"/>
      <c r="T950" s="256"/>
      <c r="Z950" s="257"/>
    </row>
    <row r="951" ht="15.75" customHeight="1">
      <c r="D951" s="155"/>
      <c r="G951" s="155"/>
      <c r="K951" s="255"/>
      <c r="N951" s="255"/>
      <c r="T951" s="256"/>
      <c r="Z951" s="257"/>
    </row>
    <row r="952" ht="15.75" customHeight="1">
      <c r="D952" s="155"/>
      <c r="G952" s="155"/>
      <c r="K952" s="255"/>
      <c r="N952" s="255"/>
      <c r="T952" s="256"/>
      <c r="Z952" s="257"/>
    </row>
    <row r="953" ht="15.75" customHeight="1">
      <c r="D953" s="155"/>
      <c r="G953" s="155"/>
      <c r="K953" s="255"/>
      <c r="N953" s="255"/>
      <c r="T953" s="256"/>
      <c r="Z953" s="257"/>
    </row>
    <row r="954" ht="15.75" customHeight="1">
      <c r="D954" s="155"/>
      <c r="G954" s="155"/>
      <c r="K954" s="255"/>
      <c r="N954" s="255"/>
      <c r="T954" s="256"/>
      <c r="Z954" s="257"/>
    </row>
    <row r="955" ht="15.75" customHeight="1">
      <c r="D955" s="155"/>
      <c r="G955" s="155"/>
      <c r="K955" s="255"/>
      <c r="N955" s="255"/>
      <c r="T955" s="256"/>
      <c r="Z955" s="257"/>
    </row>
    <row r="956" ht="15.75" customHeight="1">
      <c r="D956" s="155"/>
      <c r="G956" s="155"/>
      <c r="K956" s="255"/>
      <c r="N956" s="255"/>
      <c r="T956" s="256"/>
      <c r="Z956" s="257"/>
    </row>
    <row r="957" ht="15.75" customHeight="1">
      <c r="D957" s="155"/>
      <c r="G957" s="155"/>
      <c r="K957" s="255"/>
      <c r="N957" s="255"/>
      <c r="T957" s="256"/>
      <c r="Z957" s="257"/>
    </row>
    <row r="958" ht="15.75" customHeight="1">
      <c r="D958" s="155"/>
      <c r="G958" s="155"/>
      <c r="K958" s="255"/>
      <c r="N958" s="255"/>
      <c r="T958" s="256"/>
      <c r="Z958" s="257"/>
    </row>
    <row r="959" ht="15.75" customHeight="1">
      <c r="D959" s="155"/>
      <c r="G959" s="155"/>
      <c r="K959" s="255"/>
      <c r="N959" s="255"/>
      <c r="T959" s="256"/>
      <c r="Z959" s="257"/>
    </row>
    <row r="960" ht="15.75" customHeight="1">
      <c r="D960" s="155"/>
      <c r="G960" s="155"/>
      <c r="K960" s="255"/>
      <c r="N960" s="255"/>
      <c r="T960" s="256"/>
      <c r="Z960" s="257"/>
    </row>
    <row r="961" ht="15.75" customHeight="1">
      <c r="D961" s="155"/>
      <c r="G961" s="155"/>
      <c r="K961" s="255"/>
      <c r="N961" s="255"/>
      <c r="T961" s="256"/>
      <c r="Z961" s="257"/>
    </row>
    <row r="962" ht="15.75" customHeight="1">
      <c r="D962" s="155"/>
      <c r="G962" s="155"/>
      <c r="K962" s="255"/>
      <c r="N962" s="255"/>
      <c r="T962" s="256"/>
      <c r="Z962" s="257"/>
    </row>
    <row r="963" ht="15.75" customHeight="1">
      <c r="D963" s="155"/>
      <c r="G963" s="155"/>
      <c r="K963" s="255"/>
      <c r="N963" s="255"/>
      <c r="T963" s="256"/>
      <c r="Z963" s="257"/>
    </row>
    <row r="964" ht="15.75" customHeight="1">
      <c r="D964" s="155"/>
      <c r="G964" s="155"/>
      <c r="K964" s="255"/>
      <c r="N964" s="255"/>
      <c r="T964" s="256"/>
      <c r="Z964" s="257"/>
    </row>
    <row r="965" ht="15.75" customHeight="1">
      <c r="D965" s="155"/>
      <c r="G965" s="155"/>
      <c r="K965" s="255"/>
      <c r="N965" s="255"/>
      <c r="T965" s="256"/>
      <c r="Z965" s="257"/>
    </row>
    <row r="966" ht="15.75" customHeight="1">
      <c r="D966" s="155"/>
      <c r="G966" s="155"/>
      <c r="K966" s="255"/>
      <c r="N966" s="255"/>
      <c r="T966" s="256"/>
      <c r="Z966" s="257"/>
    </row>
    <row r="967" ht="15.75" customHeight="1">
      <c r="D967" s="155"/>
      <c r="G967" s="155"/>
      <c r="K967" s="255"/>
      <c r="N967" s="255"/>
      <c r="T967" s="256"/>
      <c r="Z967" s="257"/>
    </row>
    <row r="968" ht="15.75" customHeight="1">
      <c r="D968" s="155"/>
      <c r="G968" s="155"/>
      <c r="K968" s="255"/>
      <c r="N968" s="255"/>
      <c r="T968" s="256"/>
      <c r="Z968" s="257"/>
    </row>
    <row r="969" ht="15.75" customHeight="1">
      <c r="D969" s="155"/>
      <c r="G969" s="155"/>
      <c r="K969" s="255"/>
      <c r="N969" s="255"/>
      <c r="T969" s="256"/>
      <c r="Z969" s="257"/>
    </row>
    <row r="970" ht="15.75" customHeight="1">
      <c r="D970" s="155"/>
      <c r="G970" s="155"/>
      <c r="K970" s="255"/>
      <c r="N970" s="255"/>
      <c r="T970" s="256"/>
      <c r="Z970" s="257"/>
    </row>
    <row r="971" ht="15.75" customHeight="1">
      <c r="D971" s="155"/>
      <c r="G971" s="155"/>
      <c r="K971" s="255"/>
      <c r="N971" s="255"/>
      <c r="T971" s="256"/>
      <c r="Z971" s="257"/>
    </row>
    <row r="972" ht="15.75" customHeight="1">
      <c r="D972" s="155"/>
      <c r="G972" s="155"/>
      <c r="K972" s="255"/>
      <c r="N972" s="255"/>
      <c r="T972" s="256"/>
      <c r="Z972" s="257"/>
    </row>
    <row r="973" ht="15.75" customHeight="1">
      <c r="D973" s="155"/>
      <c r="G973" s="155"/>
      <c r="K973" s="255"/>
      <c r="N973" s="255"/>
      <c r="T973" s="256"/>
      <c r="Z973" s="257"/>
    </row>
    <row r="974" ht="15.75" customHeight="1">
      <c r="D974" s="155"/>
      <c r="G974" s="155"/>
      <c r="K974" s="255"/>
      <c r="N974" s="255"/>
      <c r="T974" s="256"/>
      <c r="Z974" s="257"/>
    </row>
    <row r="975" ht="15.75" customHeight="1">
      <c r="D975" s="155"/>
      <c r="G975" s="155"/>
      <c r="K975" s="255"/>
      <c r="N975" s="255"/>
      <c r="T975" s="256"/>
      <c r="Z975" s="257"/>
    </row>
    <row r="976" ht="15.75" customHeight="1">
      <c r="D976" s="155"/>
      <c r="G976" s="155"/>
      <c r="K976" s="255"/>
      <c r="N976" s="255"/>
      <c r="T976" s="256"/>
      <c r="Z976" s="257"/>
    </row>
    <row r="977" ht="15.75" customHeight="1">
      <c r="D977" s="155"/>
      <c r="G977" s="155"/>
      <c r="K977" s="255"/>
      <c r="N977" s="255"/>
      <c r="T977" s="256"/>
      <c r="Z977" s="257"/>
    </row>
    <row r="978" ht="15.75" customHeight="1">
      <c r="D978" s="155"/>
      <c r="G978" s="155"/>
      <c r="K978" s="255"/>
      <c r="N978" s="255"/>
      <c r="T978" s="256"/>
      <c r="Z978" s="257"/>
    </row>
    <row r="979" ht="15.75" customHeight="1">
      <c r="D979" s="155"/>
      <c r="G979" s="155"/>
      <c r="K979" s="255"/>
      <c r="N979" s="255"/>
      <c r="T979" s="256"/>
      <c r="Z979" s="257"/>
    </row>
    <row r="980" ht="15.75" customHeight="1">
      <c r="D980" s="155"/>
      <c r="G980" s="155"/>
      <c r="K980" s="255"/>
      <c r="N980" s="255"/>
      <c r="T980" s="256"/>
      <c r="Z980" s="257"/>
    </row>
    <row r="981" ht="15.75" customHeight="1">
      <c r="D981" s="155"/>
      <c r="G981" s="155"/>
      <c r="K981" s="255"/>
      <c r="N981" s="255"/>
      <c r="T981" s="256"/>
      <c r="Z981" s="257"/>
    </row>
    <row r="982" ht="15.75" customHeight="1">
      <c r="D982" s="155"/>
      <c r="G982" s="155"/>
      <c r="K982" s="255"/>
      <c r="N982" s="255"/>
      <c r="T982" s="256"/>
      <c r="Z982" s="257"/>
    </row>
    <row r="983" ht="15.75" customHeight="1">
      <c r="D983" s="155"/>
      <c r="G983" s="155"/>
      <c r="K983" s="255"/>
      <c r="N983" s="255"/>
      <c r="T983" s="256"/>
      <c r="Z983" s="257"/>
    </row>
    <row r="984" ht="15.75" customHeight="1">
      <c r="D984" s="155"/>
      <c r="G984" s="155"/>
      <c r="K984" s="255"/>
      <c r="N984" s="255"/>
      <c r="T984" s="256"/>
      <c r="Z984" s="257"/>
    </row>
    <row r="985" ht="15.75" customHeight="1">
      <c r="D985" s="155"/>
      <c r="G985" s="155"/>
      <c r="K985" s="255"/>
      <c r="N985" s="255"/>
      <c r="T985" s="256"/>
      <c r="Z985" s="257"/>
    </row>
    <row r="986" ht="15.75" customHeight="1">
      <c r="D986" s="155"/>
      <c r="G986" s="155"/>
      <c r="K986" s="255"/>
      <c r="N986" s="255"/>
      <c r="T986" s="256"/>
      <c r="Z986" s="257"/>
    </row>
    <row r="987" ht="15.75" customHeight="1">
      <c r="D987" s="155"/>
      <c r="G987" s="155"/>
      <c r="K987" s="255"/>
      <c r="N987" s="255"/>
      <c r="T987" s="256"/>
      <c r="Z987" s="257"/>
    </row>
    <row r="988" ht="15.75" customHeight="1">
      <c r="D988" s="155"/>
      <c r="G988" s="155"/>
      <c r="K988" s="255"/>
      <c r="N988" s="255"/>
      <c r="T988" s="256"/>
      <c r="Z988" s="257"/>
    </row>
    <row r="989" ht="15.75" customHeight="1">
      <c r="D989" s="155"/>
      <c r="G989" s="155"/>
      <c r="K989" s="255"/>
      <c r="N989" s="255"/>
      <c r="T989" s="256"/>
      <c r="Z989" s="257"/>
    </row>
    <row r="990" ht="15.75" customHeight="1">
      <c r="D990" s="155"/>
      <c r="G990" s="155"/>
      <c r="K990" s="255"/>
      <c r="N990" s="255"/>
      <c r="T990" s="256"/>
      <c r="Z990" s="257"/>
    </row>
    <row r="991" ht="15.75" customHeight="1">
      <c r="D991" s="155"/>
      <c r="G991" s="155"/>
      <c r="K991" s="255"/>
      <c r="N991" s="255"/>
      <c r="T991" s="256"/>
      <c r="Z991" s="257"/>
    </row>
    <row r="992" ht="15.75" customHeight="1">
      <c r="D992" s="155"/>
      <c r="G992" s="155"/>
      <c r="K992" s="255"/>
      <c r="N992" s="255"/>
      <c r="T992" s="256"/>
      <c r="Z992" s="257"/>
    </row>
    <row r="993" ht="15.75" customHeight="1">
      <c r="D993" s="155"/>
      <c r="G993" s="155"/>
      <c r="K993" s="255"/>
      <c r="N993" s="255"/>
      <c r="T993" s="256"/>
      <c r="Z993" s="257"/>
    </row>
    <row r="994" ht="15.75" customHeight="1">
      <c r="D994" s="155"/>
      <c r="G994" s="155"/>
      <c r="K994" s="255"/>
      <c r="N994" s="255"/>
      <c r="T994" s="256"/>
      <c r="Z994" s="257"/>
    </row>
    <row r="995" ht="15.75" customHeight="1">
      <c r="D995" s="155"/>
      <c r="G995" s="155"/>
      <c r="K995" s="255"/>
      <c r="N995" s="255"/>
      <c r="T995" s="256"/>
      <c r="Z995" s="257"/>
    </row>
    <row r="996" ht="15.75" customHeight="1">
      <c r="D996" s="155"/>
      <c r="G996" s="155"/>
      <c r="K996" s="255"/>
      <c r="N996" s="255"/>
      <c r="T996" s="256"/>
      <c r="Z996" s="257"/>
    </row>
    <row r="997" ht="15.75" customHeight="1">
      <c r="D997" s="155"/>
      <c r="G997" s="155"/>
      <c r="K997" s="255"/>
      <c r="N997" s="255"/>
      <c r="T997" s="256"/>
      <c r="Z997" s="257"/>
    </row>
    <row r="998" ht="15.75" customHeight="1">
      <c r="D998" s="155"/>
      <c r="G998" s="155"/>
      <c r="K998" s="255"/>
      <c r="N998" s="255"/>
      <c r="T998" s="256"/>
      <c r="Z998" s="257"/>
    </row>
    <row r="999" ht="15.75" customHeight="1">
      <c r="D999" s="155"/>
      <c r="G999" s="155"/>
      <c r="K999" s="255"/>
      <c r="N999" s="255"/>
      <c r="T999" s="256"/>
      <c r="Z999" s="257"/>
    </row>
    <row r="1000" ht="15.75" customHeight="1">
      <c r="D1000" s="155"/>
      <c r="G1000" s="155"/>
      <c r="K1000" s="255"/>
      <c r="N1000" s="255"/>
      <c r="T1000" s="256"/>
      <c r="Z1000" s="257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65" t="s">
        <v>10</v>
      </c>
      <c r="C1" s="92"/>
      <c r="D1" s="93"/>
      <c r="E1" s="265" t="s">
        <v>17</v>
      </c>
      <c r="F1" s="92"/>
      <c r="G1" s="93"/>
      <c r="H1" s="266" t="s">
        <v>25</v>
      </c>
      <c r="I1" s="92"/>
      <c r="J1" s="93"/>
      <c r="K1" s="267" t="s">
        <v>33</v>
      </c>
      <c r="L1" s="92"/>
      <c r="M1" s="93"/>
      <c r="N1" s="267" t="s">
        <v>41</v>
      </c>
      <c r="O1" s="92"/>
      <c r="P1" s="93"/>
      <c r="Q1" s="268" t="s">
        <v>154</v>
      </c>
      <c r="R1" s="92"/>
      <c r="S1" s="93"/>
      <c r="T1" s="269" t="s">
        <v>52</v>
      </c>
      <c r="U1" s="92"/>
      <c r="V1" s="93"/>
      <c r="W1" s="269" t="s">
        <v>59</v>
      </c>
      <c r="X1" s="92"/>
      <c r="Y1" s="93"/>
      <c r="Z1" s="269" t="s">
        <v>66</v>
      </c>
      <c r="AA1" s="92"/>
      <c r="AB1" s="93"/>
      <c r="AC1" s="269" t="s">
        <v>67</v>
      </c>
      <c r="AD1" s="92"/>
      <c r="AE1" s="93"/>
      <c r="AF1" s="269" t="s">
        <v>74</v>
      </c>
      <c r="AG1" s="92"/>
      <c r="AH1" s="93"/>
      <c r="AI1" s="270" t="s">
        <v>76</v>
      </c>
      <c r="AJ1" s="98" t="s">
        <v>128</v>
      </c>
      <c r="AK1" s="417" t="s">
        <v>149</v>
      </c>
      <c r="AL1" s="417" t="s">
        <v>150</v>
      </c>
      <c r="AM1" s="417" t="s">
        <v>151</v>
      </c>
      <c r="AN1" s="417" t="s">
        <v>152</v>
      </c>
      <c r="AO1" s="417" t="s">
        <v>153</v>
      </c>
    </row>
    <row r="2" ht="24.0" customHeight="1">
      <c r="A2" s="99"/>
      <c r="B2" s="271" t="s">
        <v>129</v>
      </c>
      <c r="C2" s="272" t="s">
        <v>82</v>
      </c>
      <c r="D2" s="273" t="s">
        <v>130</v>
      </c>
      <c r="E2" s="271" t="s">
        <v>129</v>
      </c>
      <c r="F2" s="272" t="s">
        <v>82</v>
      </c>
      <c r="G2" s="273" t="s">
        <v>130</v>
      </c>
      <c r="H2" s="271" t="s">
        <v>129</v>
      </c>
      <c r="I2" s="272" t="s">
        <v>82</v>
      </c>
      <c r="J2" s="273" t="s">
        <v>130</v>
      </c>
      <c r="K2" s="271" t="s">
        <v>129</v>
      </c>
      <c r="L2" s="272" t="s">
        <v>82</v>
      </c>
      <c r="M2" s="273" t="s">
        <v>130</v>
      </c>
      <c r="N2" s="271" t="s">
        <v>129</v>
      </c>
      <c r="O2" s="272" t="s">
        <v>82</v>
      </c>
      <c r="P2" s="273" t="s">
        <v>130</v>
      </c>
      <c r="Q2" s="271" t="s">
        <v>129</v>
      </c>
      <c r="R2" s="272" t="s">
        <v>82</v>
      </c>
      <c r="S2" s="273" t="s">
        <v>130</v>
      </c>
      <c r="T2" s="271" t="s">
        <v>129</v>
      </c>
      <c r="U2" s="272" t="s">
        <v>82</v>
      </c>
      <c r="V2" s="273" t="s">
        <v>130</v>
      </c>
      <c r="W2" s="271" t="s">
        <v>129</v>
      </c>
      <c r="X2" s="272" t="s">
        <v>82</v>
      </c>
      <c r="Y2" s="273" t="s">
        <v>130</v>
      </c>
      <c r="Z2" s="271" t="s">
        <v>129</v>
      </c>
      <c r="AA2" s="272" t="s">
        <v>82</v>
      </c>
      <c r="AB2" s="273" t="s">
        <v>130</v>
      </c>
      <c r="AC2" s="271" t="s">
        <v>129</v>
      </c>
      <c r="AD2" s="272" t="s">
        <v>82</v>
      </c>
      <c r="AE2" s="273" t="s">
        <v>130</v>
      </c>
      <c r="AF2" s="271" t="s">
        <v>129</v>
      </c>
      <c r="AG2" s="272" t="s">
        <v>82</v>
      </c>
      <c r="AH2" s="273" t="s">
        <v>130</v>
      </c>
      <c r="AI2" s="271" t="s">
        <v>129</v>
      </c>
      <c r="AJ2" s="418" t="s">
        <v>82</v>
      </c>
      <c r="AK2" s="419"/>
      <c r="AL2" s="419"/>
      <c r="AM2" s="419"/>
      <c r="AN2" s="419"/>
      <c r="AO2" s="419"/>
    </row>
    <row r="3" ht="21.75" customHeight="1">
      <c r="A3" s="104" t="s">
        <v>147</v>
      </c>
      <c r="B3" s="274" t="str">
        <f>100%+'Quaterly Tables'!I3</f>
        <v>#REF!</v>
      </c>
      <c r="C3" s="275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76" t="str">
        <f>100%+'Quaterly Tables'!F3</f>
        <v>#REF!</v>
      </c>
      <c r="F3" s="275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77" t="str">
        <f>100%+'Quaterly Tables'!V3</f>
        <v>#REF!</v>
      </c>
      <c r="I3" s="275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78" t="str">
        <f>'Quaterly Tables'!L3*100</f>
        <v>#REF!</v>
      </c>
      <c r="L3" s="275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279" t="str">
        <f>'Quaterly Tables'!O3*100</f>
        <v>#REF!</v>
      </c>
      <c r="O3" s="275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280">
        <f>'Quaterly Tables'!E12</f>
        <v>5</v>
      </c>
      <c r="R3" s="275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1">
        <f>'Quaterly Tables'!I20</f>
        <v>0.0405</v>
      </c>
      <c r="U3" s="275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2">
        <f>'Quaterly Tables'!H31</f>
        <v>0.57</v>
      </c>
      <c r="X3" s="275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3">
        <f>'Quaterly Tables'!E20</f>
        <v>4</v>
      </c>
      <c r="AA3" s="275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20">
        <v>92.0</v>
      </c>
      <c r="AD3" s="275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5">
        <v>90.0</v>
      </c>
      <c r="AG3" s="275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21">
        <v>0.89</v>
      </c>
      <c r="AJ3" s="422">
        <f t="shared" ref="AJ3:AJ8" si="23">SUM(D3,G3,J3,M3,P3,S3,V3,Y3,AB3,AE3,AH3)</f>
        <v>2.389</v>
      </c>
      <c r="AK3" s="423" t="str">
        <f t="shared" ref="AK3:AK7" si="24">IF(AND(AJ3&gt;=2.7,AI3&gt;=87%),"Eligible","Not Eligible")</f>
        <v>Not Eligible</v>
      </c>
      <c r="AL3" s="424">
        <f t="shared" ref="AL3:AL7" si="25">IF(AK3&lt;&gt;"Eligible",0,IF(AJ3&lt;3.7,0.5,IF(AJ3&lt;4.7,0.75,1)))</f>
        <v>0</v>
      </c>
      <c r="AM3" s="425">
        <v>10000.0</v>
      </c>
      <c r="AN3" s="426">
        <f t="shared" ref="AN3:AN7" si="26">AM3*AL3</f>
        <v>0</v>
      </c>
      <c r="AO3" s="426">
        <f t="shared" ref="AO3:AO8" si="27">AN3/4</f>
        <v>0</v>
      </c>
    </row>
    <row r="4" ht="21.75" customHeight="1">
      <c r="A4" s="104" t="s">
        <v>131</v>
      </c>
      <c r="B4" s="274" t="str">
        <f>100%+'Quaterly Tables'!I4</f>
        <v>#DIV/0!</v>
      </c>
      <c r="C4" s="275" t="str">
        <f t="shared" si="1"/>
        <v/>
      </c>
      <c r="D4" s="107" t="str">
        <f t="shared" si="2"/>
        <v/>
      </c>
      <c r="E4" s="276" t="str">
        <f>100%+'Quaterly Tables'!F4</f>
        <v>#DIV/0!</v>
      </c>
      <c r="F4" s="275" t="str">
        <f t="shared" si="3"/>
        <v/>
      </c>
      <c r="G4" s="107" t="str">
        <f t="shared" si="4"/>
        <v/>
      </c>
      <c r="H4" s="277">
        <f>100%+'Quaterly Tables'!V4</f>
        <v>1</v>
      </c>
      <c r="I4" s="275">
        <f t="shared" si="5"/>
        <v>3.8</v>
      </c>
      <c r="J4" s="107">
        <f t="shared" si="6"/>
        <v>0.475</v>
      </c>
      <c r="K4" s="278">
        <f>'Quaterly Tables'!L4*100</f>
        <v>0</v>
      </c>
      <c r="L4" s="275">
        <f t="shared" si="7"/>
        <v>4</v>
      </c>
      <c r="M4" s="107">
        <f t="shared" si="8"/>
        <v>0.42</v>
      </c>
      <c r="N4" s="279">
        <f>'Quaterly Tables'!O4*100</f>
        <v>0</v>
      </c>
      <c r="O4" s="275">
        <f t="shared" si="9"/>
        <v>4</v>
      </c>
      <c r="P4" s="107">
        <f t="shared" si="10"/>
        <v>0.42</v>
      </c>
      <c r="Q4" s="280">
        <f>'Quaterly Tables'!E13</f>
        <v>3</v>
      </c>
      <c r="R4" s="275">
        <f t="shared" si="11"/>
        <v>0</v>
      </c>
      <c r="S4" s="107">
        <f t="shared" si="12"/>
        <v>0</v>
      </c>
      <c r="T4" s="281">
        <f>'Quaterly Tables'!I23</f>
        <v>0.0315</v>
      </c>
      <c r="U4" s="275">
        <f t="shared" si="13"/>
        <v>2.4</v>
      </c>
      <c r="V4" s="107">
        <f t="shared" si="14"/>
        <v>0.204</v>
      </c>
      <c r="W4" s="282">
        <f>'Quaterly Tables'!H34</f>
        <v>1.48</v>
      </c>
      <c r="X4" s="275">
        <f t="shared" si="15"/>
        <v>4</v>
      </c>
      <c r="Y4" s="107">
        <f t="shared" si="16"/>
        <v>0.26</v>
      </c>
      <c r="Z4" s="283">
        <f>'Quaterly Tables'!E23</f>
        <v>4.4</v>
      </c>
      <c r="AA4" s="275">
        <f t="shared" si="17"/>
        <v>3.5</v>
      </c>
      <c r="AB4" s="107">
        <f t="shared" si="18"/>
        <v>0.2275</v>
      </c>
      <c r="AC4" s="420">
        <v>88.0</v>
      </c>
      <c r="AD4" s="275">
        <f t="shared" si="19"/>
        <v>3.8</v>
      </c>
      <c r="AE4" s="107">
        <f t="shared" si="20"/>
        <v>0.399</v>
      </c>
      <c r="AF4" s="285">
        <v>86.0</v>
      </c>
      <c r="AG4" s="275">
        <f t="shared" si="21"/>
        <v>3.5</v>
      </c>
      <c r="AH4" s="107">
        <f t="shared" si="22"/>
        <v>0.1925</v>
      </c>
      <c r="AI4" s="421">
        <v>0.87</v>
      </c>
      <c r="AJ4" s="422">
        <f t="shared" si="23"/>
        <v>2.598</v>
      </c>
      <c r="AK4" s="423" t="str">
        <f t="shared" si="24"/>
        <v>Not Eligible</v>
      </c>
      <c r="AL4" s="424">
        <f t="shared" si="25"/>
        <v>0</v>
      </c>
      <c r="AM4" s="425">
        <v>10000.0</v>
      </c>
      <c r="AN4" s="426">
        <f t="shared" si="26"/>
        <v>0</v>
      </c>
      <c r="AO4" s="426">
        <f t="shared" si="27"/>
        <v>0</v>
      </c>
    </row>
    <row r="5" ht="21.75" customHeight="1">
      <c r="A5" s="104" t="s">
        <v>132</v>
      </c>
      <c r="B5" s="274" t="str">
        <f>100%+'Quaterly Tables'!I5</f>
        <v>#DIV/0!</v>
      </c>
      <c r="C5" s="275" t="str">
        <f t="shared" si="1"/>
        <v/>
      </c>
      <c r="D5" s="107" t="str">
        <f t="shared" si="2"/>
        <v/>
      </c>
      <c r="E5" s="276" t="str">
        <f>100%+'Quaterly Tables'!F5</f>
        <v>#DIV/0!</v>
      </c>
      <c r="F5" s="275" t="str">
        <f t="shared" si="3"/>
        <v/>
      </c>
      <c r="G5" s="107" t="str">
        <f t="shared" si="4"/>
        <v/>
      </c>
      <c r="H5" s="277">
        <f>100%+'Quaterly Tables'!V5</f>
        <v>1</v>
      </c>
      <c r="I5" s="275">
        <f t="shared" si="5"/>
        <v>3.8</v>
      </c>
      <c r="J5" s="107">
        <f t="shared" si="6"/>
        <v>0.475</v>
      </c>
      <c r="K5" s="278">
        <f>'Quaterly Tables'!L5*100</f>
        <v>0</v>
      </c>
      <c r="L5" s="275">
        <f t="shared" si="7"/>
        <v>4</v>
      </c>
      <c r="M5" s="107">
        <f t="shared" si="8"/>
        <v>0.42</v>
      </c>
      <c r="N5" s="279">
        <f>'Quaterly Tables'!O5*100</f>
        <v>0</v>
      </c>
      <c r="O5" s="275">
        <f t="shared" si="9"/>
        <v>4</v>
      </c>
      <c r="P5" s="107">
        <f t="shared" si="10"/>
        <v>0.42</v>
      </c>
      <c r="Q5" s="280">
        <f>'Quaterly Tables'!E14</f>
        <v>4.33</v>
      </c>
      <c r="R5" s="275">
        <f t="shared" si="11"/>
        <v>3.2</v>
      </c>
      <c r="S5" s="107">
        <f t="shared" si="12"/>
        <v>0.672</v>
      </c>
      <c r="T5" s="281">
        <f>'Quaterly Tables'!I21</f>
        <v>0.0264</v>
      </c>
      <c r="U5" s="275">
        <f t="shared" si="13"/>
        <v>2.7</v>
      </c>
      <c r="V5" s="107">
        <f t="shared" si="14"/>
        <v>0.2295</v>
      </c>
      <c r="W5" s="282">
        <f>'Quaterly Tables'!H32</f>
        <v>0.59</v>
      </c>
      <c r="X5" s="275">
        <f t="shared" si="15"/>
        <v>5</v>
      </c>
      <c r="Y5" s="107">
        <f t="shared" si="16"/>
        <v>0.325</v>
      </c>
      <c r="Z5" s="283">
        <f>'Quaterly Tables'!E21</f>
        <v>4.5</v>
      </c>
      <c r="AA5" s="275">
        <f t="shared" si="17"/>
        <v>4</v>
      </c>
      <c r="AB5" s="107">
        <f t="shared" si="18"/>
        <v>0.26</v>
      </c>
      <c r="AC5" s="420">
        <v>91.0</v>
      </c>
      <c r="AD5" s="275">
        <f t="shared" si="19"/>
        <v>4.4</v>
      </c>
      <c r="AE5" s="107">
        <f t="shared" si="20"/>
        <v>0.462</v>
      </c>
      <c r="AF5" s="285">
        <v>93.0</v>
      </c>
      <c r="AG5" s="275">
        <f t="shared" si="21"/>
        <v>4.8</v>
      </c>
      <c r="AH5" s="107">
        <f t="shared" si="22"/>
        <v>0.264</v>
      </c>
      <c r="AI5" s="421">
        <v>0.93</v>
      </c>
      <c r="AJ5" s="422">
        <f t="shared" si="23"/>
        <v>3.5275</v>
      </c>
      <c r="AK5" s="423" t="str">
        <f t="shared" si="24"/>
        <v>Eligible</v>
      </c>
      <c r="AL5" s="424">
        <f t="shared" si="25"/>
        <v>0.5</v>
      </c>
      <c r="AM5" s="425">
        <v>10000.0</v>
      </c>
      <c r="AN5" s="426">
        <f t="shared" si="26"/>
        <v>5000</v>
      </c>
      <c r="AO5" s="426">
        <f t="shared" si="27"/>
        <v>1250</v>
      </c>
    </row>
    <row r="6" ht="21.75" customHeight="1">
      <c r="A6" s="104" t="s">
        <v>133</v>
      </c>
      <c r="B6" s="274" t="str">
        <f>100%+'Quaterly Tables'!I6</f>
        <v>#DIV/0!</v>
      </c>
      <c r="C6" s="275" t="str">
        <f t="shared" si="1"/>
        <v/>
      </c>
      <c r="D6" s="107" t="str">
        <f t="shared" si="2"/>
        <v/>
      </c>
      <c r="E6" s="276" t="str">
        <f>100%+'Quaterly Tables'!F6</f>
        <v>#DIV/0!</v>
      </c>
      <c r="F6" s="275" t="str">
        <f t="shared" si="3"/>
        <v/>
      </c>
      <c r="G6" s="107" t="str">
        <f t="shared" si="4"/>
        <v/>
      </c>
      <c r="H6" s="277">
        <f>100%+'Quaterly Tables'!V6</f>
        <v>1</v>
      </c>
      <c r="I6" s="275">
        <f t="shared" si="5"/>
        <v>3.8</v>
      </c>
      <c r="J6" s="107">
        <f t="shared" si="6"/>
        <v>0.475</v>
      </c>
      <c r="K6" s="278">
        <f>'Quaterly Tables'!L6*100</f>
        <v>0</v>
      </c>
      <c r="L6" s="275">
        <f t="shared" si="7"/>
        <v>4</v>
      </c>
      <c r="M6" s="107">
        <f t="shared" si="8"/>
        <v>0.42</v>
      </c>
      <c r="N6" s="279">
        <f>'Quaterly Tables'!O6*100</f>
        <v>0</v>
      </c>
      <c r="O6" s="275">
        <f t="shared" si="9"/>
        <v>4</v>
      </c>
      <c r="P6" s="107">
        <f t="shared" si="10"/>
        <v>0.42</v>
      </c>
      <c r="Q6" s="280">
        <f>'Quaterly Tables'!E15</f>
        <v>4.67</v>
      </c>
      <c r="R6" s="275">
        <f t="shared" si="11"/>
        <v>4.9</v>
      </c>
      <c r="S6" s="107">
        <f t="shared" si="12"/>
        <v>1.029</v>
      </c>
      <c r="T6" s="281">
        <f>'Quaterly Tables'!I22</f>
        <v>0.0315</v>
      </c>
      <c r="U6" s="275">
        <f t="shared" si="13"/>
        <v>2.4</v>
      </c>
      <c r="V6" s="107">
        <f t="shared" si="14"/>
        <v>0.204</v>
      </c>
      <c r="W6" s="282">
        <f>'Quaterly Tables'!H33</f>
        <v>1.14</v>
      </c>
      <c r="X6" s="275">
        <f t="shared" si="15"/>
        <v>4.7</v>
      </c>
      <c r="Y6" s="107">
        <f t="shared" si="16"/>
        <v>0.3055</v>
      </c>
      <c r="Z6" s="283">
        <f>'Quaterly Tables'!E22</f>
        <v>4.3</v>
      </c>
      <c r="AA6" s="275">
        <f t="shared" si="17"/>
        <v>3</v>
      </c>
      <c r="AB6" s="107">
        <f t="shared" si="18"/>
        <v>0.195</v>
      </c>
      <c r="AC6" s="420">
        <v>78.0</v>
      </c>
      <c r="AD6" s="275">
        <f t="shared" si="19"/>
        <v>2.4</v>
      </c>
      <c r="AE6" s="107">
        <f t="shared" si="20"/>
        <v>0.252</v>
      </c>
      <c r="AF6" s="285">
        <v>75.0</v>
      </c>
      <c r="AG6" s="275">
        <f t="shared" si="21"/>
        <v>2</v>
      </c>
      <c r="AH6" s="107">
        <f t="shared" si="22"/>
        <v>0.11</v>
      </c>
      <c r="AI6" s="421">
        <v>0.88</v>
      </c>
      <c r="AJ6" s="422">
        <f t="shared" si="23"/>
        <v>3.4105</v>
      </c>
      <c r="AK6" s="423" t="str">
        <f t="shared" si="24"/>
        <v>Eligible</v>
      </c>
      <c r="AL6" s="424">
        <f t="shared" si="25"/>
        <v>0.5</v>
      </c>
      <c r="AM6" s="425">
        <v>10000.0</v>
      </c>
      <c r="AN6" s="426">
        <f t="shared" si="26"/>
        <v>5000</v>
      </c>
      <c r="AO6" s="426">
        <f t="shared" si="27"/>
        <v>1250</v>
      </c>
    </row>
    <row r="7" ht="21.75" customHeight="1">
      <c r="A7" s="125" t="s">
        <v>134</v>
      </c>
      <c r="B7" s="274" t="str">
        <f>100%+'Quaterly Tables'!I7</f>
        <v>#DIV/0!</v>
      </c>
      <c r="C7" s="275" t="str">
        <f t="shared" si="1"/>
        <v/>
      </c>
      <c r="D7" s="107" t="str">
        <f t="shared" si="2"/>
        <v/>
      </c>
      <c r="E7" s="276" t="str">
        <f>100%+'Quaterly Tables'!F7</f>
        <v>#DIV/0!</v>
      </c>
      <c r="F7" s="275" t="str">
        <f t="shared" si="3"/>
        <v/>
      </c>
      <c r="G7" s="107" t="str">
        <f t="shared" si="4"/>
        <v/>
      </c>
      <c r="H7" s="277">
        <f>100%+'Quaterly Tables'!V7</f>
        <v>1</v>
      </c>
      <c r="I7" s="275">
        <f t="shared" si="5"/>
        <v>3.8</v>
      </c>
      <c r="J7" s="107">
        <f t="shared" si="6"/>
        <v>0.475</v>
      </c>
      <c r="K7" s="278">
        <f>'Quaterly Tables'!L7*100</f>
        <v>0</v>
      </c>
      <c r="L7" s="275">
        <f t="shared" si="7"/>
        <v>4</v>
      </c>
      <c r="M7" s="107">
        <f t="shared" si="8"/>
        <v>0.42</v>
      </c>
      <c r="N7" s="279">
        <f>'Quaterly Tables'!O7*100</f>
        <v>0</v>
      </c>
      <c r="O7" s="275">
        <f t="shared" si="9"/>
        <v>4</v>
      </c>
      <c r="P7" s="107">
        <f t="shared" si="10"/>
        <v>0.42</v>
      </c>
      <c r="Q7" s="280">
        <f>'Quaterly Tables'!E16</f>
        <v>4.47</v>
      </c>
      <c r="R7" s="275">
        <f t="shared" si="11"/>
        <v>3.9</v>
      </c>
      <c r="S7" s="107">
        <f t="shared" si="12"/>
        <v>0.819</v>
      </c>
      <c r="T7" s="281">
        <f>'Quaterly Tables'!I24</f>
        <v>0.045</v>
      </c>
      <c r="U7" s="275">
        <f t="shared" si="13"/>
        <v>1.8</v>
      </c>
      <c r="V7" s="107">
        <f t="shared" si="14"/>
        <v>0.153</v>
      </c>
      <c r="W7" s="282">
        <f>'Quaterly Tables'!H30</f>
        <v>2.03</v>
      </c>
      <c r="X7" s="275">
        <f t="shared" si="15"/>
        <v>3</v>
      </c>
      <c r="Y7" s="107">
        <f t="shared" si="16"/>
        <v>0.195</v>
      </c>
      <c r="Z7" s="283">
        <f>'Quaterly Tables'!E24</f>
        <v>4.3</v>
      </c>
      <c r="AA7" s="275">
        <f t="shared" si="17"/>
        <v>3</v>
      </c>
      <c r="AB7" s="107">
        <f t="shared" si="18"/>
        <v>0.195</v>
      </c>
      <c r="AC7" s="420">
        <v>77.0</v>
      </c>
      <c r="AD7" s="275">
        <f t="shared" si="19"/>
        <v>2.3</v>
      </c>
      <c r="AE7" s="107">
        <f t="shared" si="20"/>
        <v>0.2415</v>
      </c>
      <c r="AF7" s="285">
        <v>74.0</v>
      </c>
      <c r="AG7" s="275">
        <f t="shared" si="21"/>
        <v>1.8</v>
      </c>
      <c r="AH7" s="107">
        <f t="shared" si="22"/>
        <v>0.099</v>
      </c>
      <c r="AI7" s="421">
        <v>0.78</v>
      </c>
      <c r="AJ7" s="422">
        <f t="shared" si="23"/>
        <v>3.0175</v>
      </c>
      <c r="AK7" s="423" t="str">
        <f t="shared" si="24"/>
        <v>Not Eligible</v>
      </c>
      <c r="AL7" s="424">
        <f t="shared" si="25"/>
        <v>0</v>
      </c>
      <c r="AM7" s="425">
        <v>10000.0</v>
      </c>
      <c r="AN7" s="426">
        <f t="shared" si="26"/>
        <v>0</v>
      </c>
      <c r="AO7" s="426">
        <f t="shared" si="27"/>
        <v>0</v>
      </c>
    </row>
    <row r="8" ht="21.75" customHeight="1">
      <c r="A8" s="129" t="s">
        <v>135</v>
      </c>
      <c r="B8" s="291" t="str">
        <f>100%+'Quaterly Tables'!I8</f>
        <v>#DIV/0!</v>
      </c>
      <c r="C8" s="292" t="str">
        <f t="shared" si="1"/>
        <v/>
      </c>
      <c r="D8" s="132" t="str">
        <f t="shared" si="2"/>
        <v/>
      </c>
      <c r="E8" s="293" t="str">
        <f>100%+'Quaterly Tables'!F8</f>
        <v>#DIV/0!</v>
      </c>
      <c r="F8" s="292" t="str">
        <f t="shared" si="3"/>
        <v/>
      </c>
      <c r="G8" s="132" t="str">
        <f t="shared" si="4"/>
        <v/>
      </c>
      <c r="H8" s="294">
        <f>100%+'Quaterly Tables'!V8</f>
        <v>1</v>
      </c>
      <c r="I8" s="292">
        <f t="shared" si="5"/>
        <v>3.8</v>
      </c>
      <c r="J8" s="132">
        <f t="shared" si="6"/>
        <v>0.475</v>
      </c>
      <c r="K8" s="295">
        <f>'Quaterly Tables'!L8*100</f>
        <v>0</v>
      </c>
      <c r="L8" s="292">
        <f t="shared" si="7"/>
        <v>4</v>
      </c>
      <c r="M8" s="132">
        <f t="shared" si="8"/>
        <v>0.42</v>
      </c>
      <c r="N8" s="296">
        <f>'Quaterly Tables'!O8*100</f>
        <v>0</v>
      </c>
      <c r="O8" s="292">
        <f t="shared" si="9"/>
        <v>4</v>
      </c>
      <c r="P8" s="132">
        <f t="shared" si="10"/>
        <v>0.42</v>
      </c>
      <c r="Q8" s="297">
        <f>'Quaterly Tables'!E17</f>
        <v>4.294</v>
      </c>
      <c r="R8" s="292">
        <f t="shared" si="11"/>
        <v>3</v>
      </c>
      <c r="S8" s="132">
        <f t="shared" si="12"/>
        <v>0.63</v>
      </c>
      <c r="T8" s="298">
        <f>'Quaterly Tables'!I25</f>
        <v>0.03498</v>
      </c>
      <c r="U8" s="292">
        <f t="shared" si="13"/>
        <v>2.3</v>
      </c>
      <c r="V8" s="132">
        <f t="shared" si="14"/>
        <v>0.1955</v>
      </c>
      <c r="W8" s="299">
        <f>'Quaterly Tables'!H35</f>
        <v>1.19</v>
      </c>
      <c r="X8" s="292">
        <f t="shared" si="15"/>
        <v>4.6</v>
      </c>
      <c r="Y8" s="132">
        <f t="shared" si="16"/>
        <v>0.299</v>
      </c>
      <c r="Z8" s="300">
        <f>'Quaterly Tables'!E25</f>
        <v>4.3</v>
      </c>
      <c r="AA8" s="292">
        <f t="shared" si="17"/>
        <v>3</v>
      </c>
      <c r="AB8" s="132">
        <f t="shared" si="18"/>
        <v>0.195</v>
      </c>
      <c r="AC8" s="301">
        <f>AVERAGE(AC3:AC7)</f>
        <v>85.2</v>
      </c>
      <c r="AD8" s="292">
        <f t="shared" si="19"/>
        <v>3.4</v>
      </c>
      <c r="AE8" s="132">
        <f t="shared" si="20"/>
        <v>0.357</v>
      </c>
      <c r="AF8" s="301">
        <f>AVERAGE(AF3:AF7)</f>
        <v>83.6</v>
      </c>
      <c r="AG8" s="292">
        <f t="shared" si="21"/>
        <v>3.1</v>
      </c>
      <c r="AH8" s="132">
        <f t="shared" si="22"/>
        <v>0.1705</v>
      </c>
      <c r="AI8" s="427">
        <f>AVERAGE(AI3:AI7)</f>
        <v>0.87</v>
      </c>
      <c r="AJ8" s="422">
        <f t="shared" si="23"/>
        <v>3.162</v>
      </c>
      <c r="AK8" s="423"/>
      <c r="AL8" s="424"/>
      <c r="AM8" s="425">
        <f t="shared" ref="AM8:AN8" si="28">SUM(AM3:AM7)</f>
        <v>50000</v>
      </c>
      <c r="AN8" s="426">
        <f t="shared" si="28"/>
        <v>10000</v>
      </c>
      <c r="AO8" s="426">
        <f t="shared" si="27"/>
        <v>2500</v>
      </c>
    </row>
    <row r="9" ht="19.5" customHeight="1">
      <c r="A9" s="428" t="s">
        <v>136</v>
      </c>
      <c r="B9" s="429"/>
      <c r="C9" s="304">
        <f>'Scoring Matrix'!C72</f>
        <v>0.04</v>
      </c>
      <c r="D9" s="430"/>
      <c r="E9" s="429"/>
      <c r="F9" s="304">
        <f>'Scoring Matrix'!C74</f>
        <v>0.04</v>
      </c>
      <c r="G9" s="430"/>
      <c r="H9" s="429"/>
      <c r="I9" s="304">
        <f>'Scoring Matrix'!C76</f>
        <v>0.125</v>
      </c>
      <c r="J9" s="430"/>
      <c r="K9" s="429"/>
      <c r="L9" s="304">
        <f>'Scoring Matrix'!C78</f>
        <v>0.105</v>
      </c>
      <c r="M9" s="430"/>
      <c r="N9" s="429"/>
      <c r="O9" s="304">
        <f>'Scoring Matrix'!C80</f>
        <v>0.105</v>
      </c>
      <c r="P9" s="430"/>
      <c r="Q9" s="429"/>
      <c r="R9" s="304">
        <f>'Scoring Matrix'!C82</f>
        <v>0.21</v>
      </c>
      <c r="S9" s="430"/>
      <c r="T9" s="429"/>
      <c r="U9" s="304">
        <f>'Scoring Matrix'!C84</f>
        <v>0.085</v>
      </c>
      <c r="V9" s="430"/>
      <c r="W9" s="429"/>
      <c r="X9" s="304">
        <f>'Scoring Matrix'!C86</f>
        <v>0.065</v>
      </c>
      <c r="Y9" s="430"/>
      <c r="Z9" s="429"/>
      <c r="AA9" s="304">
        <f>'Scoring Matrix'!C88</f>
        <v>0.065</v>
      </c>
      <c r="AB9" s="430"/>
      <c r="AC9" s="429"/>
      <c r="AD9" s="304">
        <f>'Scoring Matrix'!C90</f>
        <v>0.105</v>
      </c>
      <c r="AE9" s="430"/>
      <c r="AF9" s="429"/>
      <c r="AG9" s="304">
        <f>'Scoring Matrix'!C92</f>
        <v>0.055</v>
      </c>
      <c r="AH9" s="430"/>
      <c r="AI9" s="429"/>
      <c r="AJ9" s="431"/>
      <c r="AK9" s="432"/>
      <c r="AL9" s="432"/>
      <c r="AM9" s="432"/>
      <c r="AN9" s="432"/>
      <c r="AO9" s="43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33" t="s">
        <v>138</v>
      </c>
      <c r="B1" s="433" t="s">
        <v>139</v>
      </c>
      <c r="C1" s="433" t="s">
        <v>140</v>
      </c>
      <c r="D1" s="434" t="s">
        <v>10</v>
      </c>
      <c r="E1" s="433" t="s">
        <v>17</v>
      </c>
      <c r="F1" s="433" t="s">
        <v>148</v>
      </c>
      <c r="G1" s="433" t="s">
        <v>33</v>
      </c>
      <c r="H1" s="433" t="s">
        <v>41</v>
      </c>
      <c r="I1" s="433" t="s">
        <v>155</v>
      </c>
      <c r="J1" s="435" t="s">
        <v>127</v>
      </c>
      <c r="K1" s="433" t="s">
        <v>66</v>
      </c>
      <c r="L1" s="433" t="s">
        <v>141</v>
      </c>
      <c r="M1" s="433" t="s">
        <v>59</v>
      </c>
      <c r="N1" s="433" t="s">
        <v>67</v>
      </c>
      <c r="O1" s="433" t="s">
        <v>74</v>
      </c>
      <c r="P1" s="433" t="s">
        <v>76</v>
      </c>
      <c r="Q1" s="381" t="s">
        <v>149</v>
      </c>
      <c r="R1" s="381" t="s">
        <v>150</v>
      </c>
      <c r="S1" s="381" t="s">
        <v>153</v>
      </c>
    </row>
    <row r="2">
      <c r="A2" s="436" t="s">
        <v>147</v>
      </c>
      <c r="B2" s="437">
        <f>'Quaterly Store Scorecards '!AJ3</f>
        <v>2.389</v>
      </c>
      <c r="C2" s="438" t="str">
        <f t="shared" ref="C2:C7" si="1">IFS(B2&lt;1.7,"Non", B2&lt;2.7,"Low", B2&lt;3.7,"Contributor", B2&lt;4.7,"High", TRUE,"STAR")</f>
        <v>Low</v>
      </c>
      <c r="D2" s="439" t="str">
        <f>'Quaterly Store Scorecards '!B3</f>
        <v>#REF!</v>
      </c>
      <c r="E2" s="439" t="str">
        <f>'Quaterly Store Scorecards '!E3</f>
        <v>#REF!</v>
      </c>
      <c r="F2" s="440" t="str">
        <f>'Quaterly Store Scorecards '!H3</f>
        <v>#REF!</v>
      </c>
      <c r="G2" s="441" t="str">
        <f>'Quaterly Store Scorecards '!K3</f>
        <v>#REF!</v>
      </c>
      <c r="H2" s="441" t="str">
        <f>'Quaterly Store Scorecards '!N3</f>
        <v>#REF!</v>
      </c>
      <c r="I2" s="441" t="str">
        <f>AVERAGE('Quaterly Store Scorecards '!K3,'Quaterly Store Scorecards '!N3)</f>
        <v>#REF!</v>
      </c>
      <c r="J2" s="438">
        <f>'Quaterly Store Scorecards '!Q3</f>
        <v>5</v>
      </c>
      <c r="K2" s="442">
        <f>'Quaterly Store Scorecards '!Z3</f>
        <v>4</v>
      </c>
      <c r="L2" s="439">
        <f>'Quaterly Store Scorecards '!T3</f>
        <v>0.0405</v>
      </c>
      <c r="M2" s="443">
        <f>'Quaterly Store Scorecards '!W3</f>
        <v>0.57</v>
      </c>
      <c r="N2" s="444">
        <f>'Quaterly Store Scorecards '!AC3</f>
        <v>92</v>
      </c>
      <c r="O2" s="444">
        <f>'Quaterly Store Scorecards '!AF3</f>
        <v>90</v>
      </c>
      <c r="P2" s="445">
        <f>'Quaterly Store Scorecards '!AI3</f>
        <v>0.89</v>
      </c>
      <c r="Q2" s="446" t="str">
        <f>'Quaterly Store Scorecards '!AK3</f>
        <v>Not Eligible</v>
      </c>
      <c r="R2" s="447">
        <f>'Quaterly Store Scorecards '!AL3</f>
        <v>0</v>
      </c>
      <c r="S2" s="448">
        <f>'Quaterly Store Scorecards '!AO3</f>
        <v>0</v>
      </c>
    </row>
    <row r="3">
      <c r="A3" s="436" t="s">
        <v>131</v>
      </c>
      <c r="B3" s="449">
        <f>'Quaterly Store Scorecards '!AJ4</f>
        <v>2.598</v>
      </c>
      <c r="C3" s="438" t="str">
        <f t="shared" si="1"/>
        <v>Low</v>
      </c>
      <c r="D3" s="439" t="str">
        <f>'Quaterly Store Scorecards '!B4</f>
        <v>#DIV/0!</v>
      </c>
      <c r="E3" s="439" t="str">
        <f>'Quaterly Store Scorecards '!E4</f>
        <v>#DIV/0!</v>
      </c>
      <c r="F3" s="440">
        <f>'Quaterly Store Scorecards '!H4</f>
        <v>1</v>
      </c>
      <c r="G3" s="441">
        <f>'Quaterly Store Scorecards '!K4</f>
        <v>0</v>
      </c>
      <c r="H3" s="441">
        <f>'Quaterly Store Scorecards '!N4</f>
        <v>0</v>
      </c>
      <c r="I3" s="441">
        <f>AVERAGE('Quaterly Store Scorecards '!K4,'Quaterly Store Scorecards '!N4)</f>
        <v>0</v>
      </c>
      <c r="J3" s="438">
        <f>'Quaterly Store Scorecards '!Q4</f>
        <v>3</v>
      </c>
      <c r="K3" s="442">
        <f>'Quaterly Store Scorecards '!Z4</f>
        <v>4.4</v>
      </c>
      <c r="L3" s="439">
        <f>'Quaterly Store Scorecards '!T4</f>
        <v>0.0315</v>
      </c>
      <c r="M3" s="443">
        <f>'Quaterly Store Scorecards '!W4</f>
        <v>1.48</v>
      </c>
      <c r="N3" s="444">
        <f>'Quaterly Store Scorecards '!AC4</f>
        <v>88</v>
      </c>
      <c r="O3" s="444">
        <f>'Quaterly Store Scorecards '!AF4</f>
        <v>86</v>
      </c>
      <c r="P3" s="445">
        <f>'Quaterly Store Scorecards '!AI4</f>
        <v>0.87</v>
      </c>
      <c r="Q3" s="446" t="str">
        <f>'Quaterly Store Scorecards '!AK4</f>
        <v>Not Eligible</v>
      </c>
      <c r="R3" s="447">
        <f>'Quaterly Store Scorecards '!AL4</f>
        <v>0</v>
      </c>
      <c r="S3" s="448">
        <f>'Quaterly Store Scorecards '!AO4</f>
        <v>0</v>
      </c>
    </row>
    <row r="4">
      <c r="A4" s="436" t="s">
        <v>132</v>
      </c>
      <c r="B4" s="450">
        <f>'Quaterly Store Scorecards '!AJ5</f>
        <v>3.5275</v>
      </c>
      <c r="C4" s="438" t="str">
        <f t="shared" si="1"/>
        <v>Contributor</v>
      </c>
      <c r="D4" s="439" t="str">
        <f>'Quaterly Store Scorecards '!B5</f>
        <v>#DIV/0!</v>
      </c>
      <c r="E4" s="439" t="str">
        <f>'Quaterly Store Scorecards '!E5</f>
        <v>#DIV/0!</v>
      </c>
      <c r="F4" s="440">
        <f>'Quaterly Store Scorecards '!H5</f>
        <v>1</v>
      </c>
      <c r="G4" s="441">
        <f>'Quaterly Store Scorecards '!K5</f>
        <v>0</v>
      </c>
      <c r="H4" s="441">
        <f>'Quaterly Store Scorecards '!N5</f>
        <v>0</v>
      </c>
      <c r="I4" s="441">
        <f>AVERAGE('Quaterly Store Scorecards '!K5,'Quaterly Store Scorecards '!N5)</f>
        <v>0</v>
      </c>
      <c r="J4" s="438">
        <f>'Quaterly Store Scorecards '!Q5</f>
        <v>4.33</v>
      </c>
      <c r="K4" s="442">
        <f>'Quaterly Store Scorecards '!Z5</f>
        <v>4.5</v>
      </c>
      <c r="L4" s="439">
        <f>'Quaterly Store Scorecards '!T5</f>
        <v>0.0264</v>
      </c>
      <c r="M4" s="443">
        <f>'Quaterly Store Scorecards '!W5</f>
        <v>0.59</v>
      </c>
      <c r="N4" s="444">
        <f>'Quaterly Store Scorecards '!AC5</f>
        <v>91</v>
      </c>
      <c r="O4" s="444">
        <f>'Quaterly Store Scorecards '!AF5</f>
        <v>93</v>
      </c>
      <c r="P4" s="445">
        <f>'Quaterly Store Scorecards '!AI5</f>
        <v>0.93</v>
      </c>
      <c r="Q4" s="446" t="str">
        <f>'Quaterly Store Scorecards '!AK5</f>
        <v>Eligible</v>
      </c>
      <c r="R4" s="447">
        <f>'Quaterly Store Scorecards '!AL5</f>
        <v>0.5</v>
      </c>
      <c r="S4" s="448">
        <f>'Quaterly Store Scorecards '!AO5</f>
        <v>1250</v>
      </c>
    </row>
    <row r="5">
      <c r="A5" s="436" t="s">
        <v>133</v>
      </c>
      <c r="B5" s="451">
        <f>'Quaterly Store Scorecards '!AJ6</f>
        <v>3.4105</v>
      </c>
      <c r="C5" s="438" t="str">
        <f t="shared" si="1"/>
        <v>Contributor</v>
      </c>
      <c r="D5" s="439" t="str">
        <f>'Quaterly Store Scorecards '!B6</f>
        <v>#DIV/0!</v>
      </c>
      <c r="E5" s="439" t="str">
        <f>'Quaterly Store Scorecards '!E6</f>
        <v>#DIV/0!</v>
      </c>
      <c r="F5" s="440">
        <f>'Quaterly Store Scorecards '!H6</f>
        <v>1</v>
      </c>
      <c r="G5" s="441">
        <f>'Quaterly Store Scorecards '!K6</f>
        <v>0</v>
      </c>
      <c r="H5" s="441">
        <f>'Quaterly Store Scorecards '!N6</f>
        <v>0</v>
      </c>
      <c r="I5" s="441">
        <f>AVERAGE('Quaterly Store Scorecards '!K6,'Quaterly Store Scorecards '!N6)</f>
        <v>0</v>
      </c>
      <c r="J5" s="438">
        <f>'Quaterly Store Scorecards '!Q6</f>
        <v>4.67</v>
      </c>
      <c r="K5" s="442">
        <f>'Quaterly Store Scorecards '!Z6</f>
        <v>4.3</v>
      </c>
      <c r="L5" s="439">
        <f>'Quaterly Store Scorecards '!T6</f>
        <v>0.0315</v>
      </c>
      <c r="M5" s="443">
        <f>'Quaterly Store Scorecards '!W6</f>
        <v>1.14</v>
      </c>
      <c r="N5" s="444">
        <f>'Quaterly Store Scorecards '!AC6</f>
        <v>78</v>
      </c>
      <c r="O5" s="444">
        <f>'Quaterly Store Scorecards '!AF6</f>
        <v>75</v>
      </c>
      <c r="P5" s="445">
        <f>'Quaterly Store Scorecards '!AI6</f>
        <v>0.88</v>
      </c>
      <c r="Q5" s="446" t="str">
        <f>'Quaterly Store Scorecards '!AK6</f>
        <v>Eligible</v>
      </c>
      <c r="R5" s="447">
        <f>'Quaterly Store Scorecards '!AL6</f>
        <v>0.5</v>
      </c>
      <c r="S5" s="448">
        <f>'Quaterly Store Scorecards '!AO6</f>
        <v>1250</v>
      </c>
    </row>
    <row r="6">
      <c r="A6" s="436" t="s">
        <v>134</v>
      </c>
      <c r="B6" s="452">
        <f>'Quaterly Store Scorecards '!AJ7</f>
        <v>3.0175</v>
      </c>
      <c r="C6" s="438" t="str">
        <f t="shared" si="1"/>
        <v>Contributor</v>
      </c>
      <c r="D6" s="439" t="str">
        <f>'Quaterly Store Scorecards '!B7</f>
        <v>#DIV/0!</v>
      </c>
      <c r="E6" s="439" t="str">
        <f>'Quaterly Store Scorecards '!E7</f>
        <v>#DIV/0!</v>
      </c>
      <c r="F6" s="440">
        <f>'Quaterly Store Scorecards '!H7</f>
        <v>1</v>
      </c>
      <c r="G6" s="441">
        <f>'Quaterly Store Scorecards '!K7</f>
        <v>0</v>
      </c>
      <c r="H6" s="441">
        <f>'Quaterly Store Scorecards '!N7</f>
        <v>0</v>
      </c>
      <c r="I6" s="441">
        <f>AVERAGE('Quaterly Store Scorecards '!K7,'Quaterly Store Scorecards '!N7)</f>
        <v>0</v>
      </c>
      <c r="J6" s="438">
        <f>'Quaterly Store Scorecards '!Q7</f>
        <v>4.47</v>
      </c>
      <c r="K6" s="442">
        <f>'Quaterly Store Scorecards '!Z7</f>
        <v>4.3</v>
      </c>
      <c r="L6" s="439">
        <f>'Quaterly Store Scorecards '!T7</f>
        <v>0.045</v>
      </c>
      <c r="M6" s="443">
        <f>'Quaterly Store Scorecards '!W7</f>
        <v>2.03</v>
      </c>
      <c r="N6" s="444">
        <f>'Quaterly Store Scorecards '!AC7</f>
        <v>77</v>
      </c>
      <c r="O6" s="444">
        <f>'Quaterly Store Scorecards '!AF7</f>
        <v>74</v>
      </c>
      <c r="P6" s="445">
        <f>'Quaterly Store Scorecards '!AI7</f>
        <v>0.78</v>
      </c>
      <c r="Q6" s="446" t="str">
        <f>'Quaterly Store Scorecards '!AK7</f>
        <v>Not Eligible</v>
      </c>
      <c r="R6" s="447">
        <f>'Quaterly Store Scorecards '!AL7</f>
        <v>0</v>
      </c>
      <c r="S6" s="448">
        <f>'Quaterly Store Scorecards '!AO7</f>
        <v>0</v>
      </c>
    </row>
    <row r="7">
      <c r="A7" s="453" t="s">
        <v>135</v>
      </c>
      <c r="B7" s="454">
        <f>'Quaterly Store Scorecards '!AJ8</f>
        <v>3.162</v>
      </c>
      <c r="C7" s="455" t="str">
        <f t="shared" si="1"/>
        <v>Contributor</v>
      </c>
      <c r="D7" s="456" t="str">
        <f>'Quaterly Store Scorecards '!B8</f>
        <v>#DIV/0!</v>
      </c>
      <c r="E7" s="456" t="str">
        <f>'Quaterly Store Scorecards '!E8</f>
        <v>#DIV/0!</v>
      </c>
      <c r="F7" s="457">
        <f>'Quaterly Store Scorecards '!H8</f>
        <v>1</v>
      </c>
      <c r="G7" s="458">
        <f>'Quaterly Store Scorecards '!K8</f>
        <v>0</v>
      </c>
      <c r="H7" s="458">
        <f>'Quaterly Store Scorecards '!N8</f>
        <v>0</v>
      </c>
      <c r="I7" s="458">
        <f>AVERAGE('Quaterly Store Scorecards '!K8,'Quaterly Store Scorecards '!N8)</f>
        <v>0</v>
      </c>
      <c r="J7" s="455">
        <f>'Quaterly Store Scorecards '!Q8</f>
        <v>4.294</v>
      </c>
      <c r="K7" s="459">
        <f>'Quaterly Store Scorecards '!Z8</f>
        <v>4.3</v>
      </c>
      <c r="L7" s="456">
        <f>'Quaterly Store Scorecards '!T8</f>
        <v>0.03498</v>
      </c>
      <c r="M7" s="460">
        <f>'Quaterly Store Scorecards '!W8</f>
        <v>1.19</v>
      </c>
      <c r="N7" s="461">
        <f>'Quaterly Store Scorecards '!AC8</f>
        <v>85.2</v>
      </c>
      <c r="O7" s="461">
        <f>'Quaterly Store Scorecards '!AF8</f>
        <v>83.6</v>
      </c>
      <c r="P7" s="462">
        <f>'Quaterly Store Scorecards '!AI8</f>
        <v>0.87</v>
      </c>
      <c r="Q7" s="463" t="str">
        <f>'Quaterly Store Scorecards '!AK8</f>
        <v/>
      </c>
      <c r="R7" s="464" t="str">
        <f>'Quaterly Store Scorecards '!AL8</f>
        <v/>
      </c>
      <c r="S7" s="465">
        <f>'Quaterly Store Scorecards '!AO8</f>
        <v>2500</v>
      </c>
    </row>
    <row r="8">
      <c r="A8" s="3"/>
      <c r="B8" s="177"/>
      <c r="C8" s="177"/>
      <c r="D8" s="177"/>
      <c r="E8" s="177"/>
      <c r="F8" s="177"/>
      <c r="G8" s="177"/>
      <c r="H8" s="177"/>
      <c r="I8" s="177"/>
      <c r="J8" s="177"/>
      <c r="K8" s="177"/>
    </row>
    <row r="9">
      <c r="A9" s="179"/>
      <c r="B9" s="180"/>
      <c r="C9" s="177"/>
      <c r="D9" s="177"/>
      <c r="E9" s="177"/>
      <c r="F9" s="177"/>
      <c r="G9" s="177"/>
      <c r="H9" s="177"/>
      <c r="I9" s="177"/>
      <c r="J9" s="177"/>
      <c r="K9" s="177"/>
    </row>
    <row r="10">
      <c r="A10" s="466"/>
      <c r="B10" s="467"/>
      <c r="C10" s="177"/>
      <c r="D10" s="177"/>
      <c r="E10" s="177"/>
      <c r="F10" s="177"/>
      <c r="G10" s="177"/>
      <c r="H10" s="177"/>
      <c r="I10" s="177"/>
      <c r="J10" s="177"/>
      <c r="K10" s="17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57"/>
    </row>
    <row r="2">
      <c r="B2" s="468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69" t="str">
        <f>IFERROR(__xludf.DUMMYFUNCTION("""COMPUTED_VALUE"""),"Sales")</f>
        <v>Sales</v>
      </c>
      <c r="D2" s="469" t="str">
        <f>IFERROR(__xludf.DUMMYFUNCTION("""COMPUTED_VALUE"""),"Same Week LY")</f>
        <v>Same Week LY</v>
      </c>
      <c r="E2" s="469" t="str">
        <f>IFERROR(__xludf.DUMMYFUNCTION("""COMPUTED_VALUE"""),"Dollar Change")</f>
        <v>Dollar Change</v>
      </c>
      <c r="F2" s="470" t="str">
        <f>IFERROR(__xludf.DUMMYFUNCTION("""COMPUTED_VALUE"""),"Percent Change")</f>
        <v>Percent Change</v>
      </c>
      <c r="G2" s="469" t="str">
        <f>IFERROR(__xludf.DUMMYFUNCTION("""COMPUTED_VALUE"""),"Weekly Budget")</f>
        <v>Weekly Budget</v>
      </c>
      <c r="H2" s="469" t="str">
        <f>IFERROR(__xludf.DUMMYFUNCTION("""COMPUTED_VALUE"""),"Var to Bud +/-")</f>
        <v>Var to Bud +/-</v>
      </c>
      <c r="I2" s="469" t="str">
        <f>IFERROR(__xludf.DUMMYFUNCTION("""COMPUTED_VALUE"""),"Var to Bud")</f>
        <v>Var to Bud</v>
      </c>
      <c r="J2" s="469" t="str">
        <f>IFERROR(__xludf.DUMMYFUNCTION("""COMPUTED_VALUE"""),"Total Labor ")</f>
        <v>Total Labor </v>
      </c>
      <c r="K2" s="469" t="str">
        <f>IFERROR(__xludf.DUMMYFUNCTION("""COMPUTED_VALUE"""),"Bud Labor")</f>
        <v>Bud Labor</v>
      </c>
      <c r="L2" s="469" t="str">
        <f>IFERROR(__xludf.DUMMYFUNCTION("""COMPUTED_VALUE"""),"Var Lbr to Bud")</f>
        <v>Var Lbr to Bud</v>
      </c>
      <c r="M2" s="469" t="str">
        <f>IFERROR(__xludf.DUMMYFUNCTION("""COMPUTED_VALUE"""),"Total COGS")</f>
        <v>Total COGS</v>
      </c>
      <c r="N2" s="469" t="str">
        <f>IFERROR(__xludf.DUMMYFUNCTION("""COMPUTED_VALUE"""),"Bud COGS")</f>
        <v>Bud COGS</v>
      </c>
      <c r="O2" s="469" t="str">
        <f>IFERROR(__xludf.DUMMYFUNCTION("""COMPUTED_VALUE"""),"Var COGS to Bud")</f>
        <v>Var COGS to Bud</v>
      </c>
      <c r="P2" s="469" t="str">
        <f>IFERROR(__xludf.DUMMYFUNCTION("""COMPUTED_VALUE"""),"Total PC ")</f>
        <v>Total PC </v>
      </c>
      <c r="Q2" s="469" t="str">
        <f>IFERROR(__xludf.DUMMYFUNCTION("""COMPUTED_VALUE"""),"Bud PC ")</f>
        <v>Bud PC </v>
      </c>
      <c r="R2" s="469" t="str">
        <f>IFERROR(__xludf.DUMMYFUNCTION("""COMPUTED_VALUE"""),"Var PC to Bud")</f>
        <v>Var PC to Bud</v>
      </c>
      <c r="S2" s="471"/>
      <c r="T2" s="471"/>
      <c r="U2" s="471"/>
      <c r="V2" s="471"/>
      <c r="W2" s="472"/>
      <c r="X2" s="472"/>
    </row>
    <row r="3">
      <c r="B3" s="473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74">
        <f>IFERROR(__xludf.DUMMYFUNCTION("""COMPUTED_VALUE"""),26903.0)</f>
        <v>26903</v>
      </c>
      <c r="D3" s="474">
        <f>IFERROR(__xludf.DUMMYFUNCTION("""COMPUTED_VALUE"""),24535.0)</f>
        <v>24535</v>
      </c>
      <c r="E3" s="475">
        <f>IFERROR(__xludf.DUMMYFUNCTION("""COMPUTED_VALUE"""),2368.0)</f>
        <v>2368</v>
      </c>
      <c r="F3" s="476">
        <f>IFERROR(__xludf.DUMMYFUNCTION("""COMPUTED_VALUE"""),0.09651518239250051)</f>
        <v>0.09651518239</v>
      </c>
      <c r="G3" s="474">
        <f>IFERROR(__xludf.DUMMYFUNCTION("""COMPUTED_VALUE"""),28417.46)</f>
        <v>28417.46</v>
      </c>
      <c r="H3" s="475">
        <f>IFERROR(__xludf.DUMMYFUNCTION("""COMPUTED_VALUE"""),-1514.4599999999991)</f>
        <v>-1514.46</v>
      </c>
      <c r="I3" s="476">
        <f>IFERROR(__xludf.DUMMYFUNCTION("""COMPUTED_VALUE"""),-0.05329329222245757)</f>
        <v>-0.05329329222</v>
      </c>
      <c r="J3" s="477">
        <f>IFERROR(__xludf.DUMMYFUNCTION("""COMPUTED_VALUE"""),0.231)</f>
        <v>0.231</v>
      </c>
      <c r="K3" s="477">
        <f>IFERROR(__xludf.DUMMYFUNCTION("""COMPUTED_VALUE"""),0.258)</f>
        <v>0.258</v>
      </c>
      <c r="L3" s="478">
        <f>IFERROR(__xludf.DUMMYFUNCTION("""COMPUTED_VALUE"""),-0.026999999999999996)</f>
        <v>-0.027</v>
      </c>
      <c r="M3" s="479">
        <f>IFERROR(__xludf.DUMMYFUNCTION("""COMPUTED_VALUE"""),0.233)</f>
        <v>0.233</v>
      </c>
      <c r="N3" s="477">
        <f>IFERROR(__xludf.DUMMYFUNCTION("""COMPUTED_VALUE"""),0.267)</f>
        <v>0.267</v>
      </c>
      <c r="O3" s="476">
        <f>IFERROR(__xludf.DUMMYFUNCTION("""COMPUTED_VALUE"""),-0.034)</f>
        <v>-0.034</v>
      </c>
      <c r="P3" s="477">
        <f>IFERROR(__xludf.DUMMYFUNCTION("""COMPUTED_VALUE"""),0.464)</f>
        <v>0.464</v>
      </c>
      <c r="Q3" s="477">
        <f>IFERROR(__xludf.DUMMYFUNCTION("""COMPUTED_VALUE"""),0.525)</f>
        <v>0.525</v>
      </c>
      <c r="R3" s="476">
        <f>IFERROR(__xludf.DUMMYFUNCTION("""COMPUTED_VALUE"""),-0.061)</f>
        <v>-0.061</v>
      </c>
      <c r="S3" s="480"/>
      <c r="T3" s="480"/>
      <c r="U3" s="480"/>
      <c r="V3" s="480"/>
      <c r="W3" s="481"/>
      <c r="X3" s="481"/>
    </row>
    <row r="4">
      <c r="B4" s="473" t="str">
        <f>IFERROR(__xludf.DUMMYFUNCTION("""COMPUTED_VALUE"""),"MVT")</f>
        <v>MVT</v>
      </c>
      <c r="C4" s="474">
        <f>IFERROR(__xludf.DUMMYFUNCTION("""COMPUTED_VALUE"""),42457.0)</f>
        <v>42457</v>
      </c>
      <c r="D4" s="474">
        <f>IFERROR(__xludf.DUMMYFUNCTION("""COMPUTED_VALUE"""),30853.0)</f>
        <v>30853</v>
      </c>
      <c r="E4" s="475">
        <f>IFERROR(__xludf.DUMMYFUNCTION("""COMPUTED_VALUE"""),11604.0)</f>
        <v>11604</v>
      </c>
      <c r="F4" s="476">
        <f>IFERROR(__xludf.DUMMYFUNCTION("""COMPUTED_VALUE"""),0.3761060512754027)</f>
        <v>0.3761060513</v>
      </c>
      <c r="G4" s="474">
        <f>IFERROR(__xludf.DUMMYFUNCTION("""COMPUTED_VALUE"""),41662.65)</f>
        <v>41662.65</v>
      </c>
      <c r="H4" s="475">
        <f>IFERROR(__xludf.DUMMYFUNCTION("""COMPUTED_VALUE"""),794.3499999999985)</f>
        <v>794.35</v>
      </c>
      <c r="I4" s="476">
        <f>IFERROR(__xludf.DUMMYFUNCTION("""COMPUTED_VALUE"""),0.019066237985341752)</f>
        <v>0.01906623799</v>
      </c>
      <c r="J4" s="477">
        <f>IFERROR(__xludf.DUMMYFUNCTION("""COMPUTED_VALUE"""),0.273)</f>
        <v>0.273</v>
      </c>
      <c r="K4" s="477">
        <f>IFERROR(__xludf.DUMMYFUNCTION("""COMPUTED_VALUE"""),0.249)</f>
        <v>0.249</v>
      </c>
      <c r="L4" s="478">
        <f>IFERROR(__xludf.DUMMYFUNCTION("""COMPUTED_VALUE"""),0.02400000000000002)</f>
        <v>0.024</v>
      </c>
      <c r="M4" s="479">
        <f>IFERROR(__xludf.DUMMYFUNCTION("""COMPUTED_VALUE"""),0.265)</f>
        <v>0.265</v>
      </c>
      <c r="N4" s="477">
        <f>IFERROR(__xludf.DUMMYFUNCTION("""COMPUTED_VALUE"""),0.254)</f>
        <v>0.254</v>
      </c>
      <c r="O4" s="476">
        <f>IFERROR(__xludf.DUMMYFUNCTION("""COMPUTED_VALUE"""),0.01100000000000001)</f>
        <v>0.011</v>
      </c>
      <c r="P4" s="477">
        <f>IFERROR(__xludf.DUMMYFUNCTION("""COMPUTED_VALUE"""),0.538)</f>
        <v>0.538</v>
      </c>
      <c r="Q4" s="477">
        <f>IFERROR(__xludf.DUMMYFUNCTION("""COMPUTED_VALUE"""),0.503)</f>
        <v>0.503</v>
      </c>
      <c r="R4" s="476">
        <f>IFERROR(__xludf.DUMMYFUNCTION("""COMPUTED_VALUE"""),0.03500000000000003)</f>
        <v>0.035</v>
      </c>
      <c r="S4" s="480"/>
      <c r="T4" s="480"/>
      <c r="U4" s="480"/>
      <c r="V4" s="480"/>
      <c r="W4" s="481"/>
      <c r="X4" s="481"/>
    </row>
    <row r="5">
      <c r="B5" s="473" t="str">
        <f>IFERROR(__xludf.DUMMYFUNCTION("""COMPUTED_VALUE"""),"National Landing")</f>
        <v>National Landing</v>
      </c>
      <c r="C5" s="474">
        <f>IFERROR(__xludf.DUMMYFUNCTION("""COMPUTED_VALUE"""),27793.0)</f>
        <v>27793</v>
      </c>
      <c r="D5" s="474">
        <f>IFERROR(__xludf.DUMMYFUNCTION("""COMPUTED_VALUE"""),19455.0)</f>
        <v>19455</v>
      </c>
      <c r="E5" s="475">
        <f>IFERROR(__xludf.DUMMYFUNCTION("""COMPUTED_VALUE"""),8338.0)</f>
        <v>8338</v>
      </c>
      <c r="F5" s="476">
        <f>IFERROR(__xludf.DUMMYFUNCTION("""COMPUTED_VALUE"""),0.4285787715240298)</f>
        <v>0.4285787715</v>
      </c>
      <c r="G5" s="474">
        <f>IFERROR(__xludf.DUMMYFUNCTION("""COMPUTED_VALUE"""),22832.71)</f>
        <v>22832.71</v>
      </c>
      <c r="H5" s="475">
        <f>IFERROR(__xludf.DUMMYFUNCTION("""COMPUTED_VALUE"""),4960.290000000001)</f>
        <v>4960.29</v>
      </c>
      <c r="I5" s="476">
        <f>IFERROR(__xludf.DUMMYFUNCTION("""COMPUTED_VALUE"""),0.2172449087296252)</f>
        <v>0.2172449087</v>
      </c>
      <c r="J5" s="477">
        <f>IFERROR(__xludf.DUMMYFUNCTION("""COMPUTED_VALUE"""),0.251)</f>
        <v>0.251</v>
      </c>
      <c r="K5" s="477">
        <f>IFERROR(__xludf.DUMMYFUNCTION("""COMPUTED_VALUE"""),0.292)</f>
        <v>0.292</v>
      </c>
      <c r="L5" s="478">
        <f>IFERROR(__xludf.DUMMYFUNCTION("""COMPUTED_VALUE"""),-0.04099999999999998)</f>
        <v>-0.041</v>
      </c>
      <c r="M5" s="479">
        <f>IFERROR(__xludf.DUMMYFUNCTION("""COMPUTED_VALUE"""),0.266)</f>
        <v>0.266</v>
      </c>
      <c r="N5" s="477">
        <f>IFERROR(__xludf.DUMMYFUNCTION("""COMPUTED_VALUE"""),0.264)</f>
        <v>0.264</v>
      </c>
      <c r="O5" s="476">
        <f>IFERROR(__xludf.DUMMYFUNCTION("""COMPUTED_VALUE"""),0.0020000000000000018)</f>
        <v>0.002</v>
      </c>
      <c r="P5" s="477">
        <f>IFERROR(__xludf.DUMMYFUNCTION("""COMPUTED_VALUE"""),0.517)</f>
        <v>0.517</v>
      </c>
      <c r="Q5" s="477">
        <f>IFERROR(__xludf.DUMMYFUNCTION("""COMPUTED_VALUE"""),0.556)</f>
        <v>0.556</v>
      </c>
      <c r="R5" s="476">
        <f>IFERROR(__xludf.DUMMYFUNCTION("""COMPUTED_VALUE"""),-0.039000000000000035)</f>
        <v>-0.039</v>
      </c>
      <c r="S5" s="480"/>
      <c r="T5" s="480"/>
      <c r="U5" s="480"/>
      <c r="V5" s="480"/>
      <c r="W5" s="481"/>
      <c r="X5" s="481"/>
    </row>
    <row r="6">
      <c r="B6" s="473" t="str">
        <f>IFERROR(__xludf.DUMMYFUNCTION("""COMPUTED_VALUE"""),"Rockville")</f>
        <v>Rockville</v>
      </c>
      <c r="C6" s="474">
        <f>IFERROR(__xludf.DUMMYFUNCTION("""COMPUTED_VALUE"""),24924.0)</f>
        <v>24924</v>
      </c>
      <c r="D6" s="474">
        <f>IFERROR(__xludf.DUMMYFUNCTION("""COMPUTED_VALUE"""),22885.0)</f>
        <v>22885</v>
      </c>
      <c r="E6" s="475">
        <f>IFERROR(__xludf.DUMMYFUNCTION("""COMPUTED_VALUE"""),2039.0)</f>
        <v>2039</v>
      </c>
      <c r="F6" s="476">
        <f>IFERROR(__xludf.DUMMYFUNCTION("""COMPUTED_VALUE"""),0.0890976622241643)</f>
        <v>0.08909766222</v>
      </c>
      <c r="G6" s="474">
        <f>IFERROR(__xludf.DUMMYFUNCTION("""COMPUTED_VALUE"""),28622.84)</f>
        <v>28622.84</v>
      </c>
      <c r="H6" s="475">
        <f>IFERROR(__xludf.DUMMYFUNCTION("""COMPUTED_VALUE"""),-3698.84)</f>
        <v>-3698.84</v>
      </c>
      <c r="I6" s="476">
        <f>IFERROR(__xludf.DUMMYFUNCTION("""COMPUTED_VALUE"""),-0.1292268691716126)</f>
        <v>-0.1292268692</v>
      </c>
      <c r="J6" s="477">
        <f>IFERROR(__xludf.DUMMYFUNCTION("""COMPUTED_VALUE"""),0.281)</f>
        <v>0.281</v>
      </c>
      <c r="K6" s="477">
        <f>IFERROR(__xludf.DUMMYFUNCTION("""COMPUTED_VALUE"""),0.288)</f>
        <v>0.288</v>
      </c>
      <c r="L6" s="478">
        <f>IFERROR(__xludf.DUMMYFUNCTION("""COMPUTED_VALUE"""),-0.006999999999999951)</f>
        <v>-0.007</v>
      </c>
      <c r="M6" s="479">
        <f>IFERROR(__xludf.DUMMYFUNCTION("""COMPUTED_VALUE"""),0.3)</f>
        <v>0.3</v>
      </c>
      <c r="N6" s="477">
        <f>IFERROR(__xludf.DUMMYFUNCTION("""COMPUTED_VALUE"""),0.267)</f>
        <v>0.267</v>
      </c>
      <c r="O6" s="476">
        <f>IFERROR(__xludf.DUMMYFUNCTION("""COMPUTED_VALUE"""),0.032999999999999974)</f>
        <v>0.033</v>
      </c>
      <c r="P6" s="477">
        <f>IFERROR(__xludf.DUMMYFUNCTION("""COMPUTED_VALUE"""),0.581)</f>
        <v>0.581</v>
      </c>
      <c r="Q6" s="477">
        <f>IFERROR(__xludf.DUMMYFUNCTION("""COMPUTED_VALUE"""),0.5549999999999999)</f>
        <v>0.555</v>
      </c>
      <c r="R6" s="476">
        <f>IFERROR(__xludf.DUMMYFUNCTION("""COMPUTED_VALUE"""),0.026000000000000023)</f>
        <v>0.026</v>
      </c>
      <c r="S6" s="480"/>
      <c r="T6" s="480"/>
      <c r="U6" s="480"/>
      <c r="V6" s="480"/>
      <c r="W6" s="481"/>
      <c r="X6" s="481"/>
    </row>
    <row r="7">
      <c r="B7" s="482" t="str">
        <f>IFERROR(__xludf.DUMMYFUNCTION("""COMPUTED_VALUE"""),"Totals")</f>
        <v>Totals</v>
      </c>
      <c r="C7" s="483">
        <f>IFERROR(__xludf.DUMMYFUNCTION("""COMPUTED_VALUE"""),122089.0)</f>
        <v>122089</v>
      </c>
      <c r="D7" s="483">
        <f>IFERROR(__xludf.DUMMYFUNCTION("""COMPUTED_VALUE"""),114719.0)</f>
        <v>114719</v>
      </c>
      <c r="E7" s="484">
        <f>IFERROR(__xludf.DUMMYFUNCTION("""COMPUTED_VALUE"""),7370.0)</f>
        <v>7370</v>
      </c>
      <c r="F7" s="470">
        <f>IFERROR(__xludf.DUMMYFUNCTION("""COMPUTED_VALUE"""),0.064243935180746)</f>
        <v>0.06424393518</v>
      </c>
      <c r="G7" s="483">
        <f>IFERROR(__xludf.DUMMYFUNCTION("""COMPUTED_VALUE"""),143225.44999999998)</f>
        <v>143225.45</v>
      </c>
      <c r="H7" s="485">
        <f>IFERROR(__xludf.DUMMYFUNCTION("""COMPUTED_VALUE"""),-21136.45)</f>
        <v>-21136.45</v>
      </c>
      <c r="I7" s="470">
        <f>IFERROR(__xludf.DUMMYFUNCTION("""COMPUTED_VALUE"""),-0.1475746803378869)</f>
        <v>-0.1475746803</v>
      </c>
      <c r="J7" s="486">
        <f>IFERROR(__xludf.DUMMYFUNCTION("""COMPUTED_VALUE"""),0.255)</f>
        <v>0.255</v>
      </c>
      <c r="K7" s="487">
        <f>IFERROR(__xludf.DUMMYFUNCTION("""COMPUTED_VALUE"""),0.274)</f>
        <v>0.274</v>
      </c>
      <c r="L7" s="488">
        <f>IFERROR(__xludf.DUMMYFUNCTION("""COMPUTED_VALUE"""),-0.019000000000000017)</f>
        <v>-0.019</v>
      </c>
      <c r="M7" s="486">
        <f>IFERROR(__xludf.DUMMYFUNCTION("""COMPUTED_VALUE"""),0.261)</f>
        <v>0.261</v>
      </c>
      <c r="N7" s="487">
        <f>IFERROR(__xludf.DUMMYFUNCTION("""COMPUTED_VALUE"""),0.262)</f>
        <v>0.262</v>
      </c>
      <c r="O7" s="470">
        <f>IFERROR(__xludf.DUMMYFUNCTION("""COMPUTED_VALUE"""),-0.0010000000000000009)</f>
        <v>-0.001</v>
      </c>
      <c r="P7" s="487">
        <f>IFERROR(__xludf.DUMMYFUNCTION("""COMPUTED_VALUE"""),0.516)</f>
        <v>0.516</v>
      </c>
      <c r="Q7" s="487">
        <f>IFERROR(__xludf.DUMMYFUNCTION("""COMPUTED_VALUE"""),0.536)</f>
        <v>0.536</v>
      </c>
      <c r="R7" s="470">
        <f>IFERROR(__xludf.DUMMYFUNCTION("""COMPUTED_VALUE"""),-0.020000000000000018)</f>
        <v>-0.02</v>
      </c>
      <c r="S7" s="489"/>
      <c r="T7" s="489"/>
      <c r="U7" s="489"/>
      <c r="V7" s="489"/>
      <c r="W7" s="481"/>
      <c r="X7" s="481"/>
    </row>
    <row r="8">
      <c r="C8" s="260"/>
      <c r="D8" s="260"/>
      <c r="E8" s="260"/>
      <c r="F8" s="260"/>
      <c r="G8" s="260"/>
      <c r="L8" s="490"/>
      <c r="W8" s="491"/>
      <c r="X8" s="491"/>
    </row>
    <row r="9">
      <c r="C9" s="260"/>
      <c r="D9" s="260"/>
      <c r="E9" s="260"/>
      <c r="F9" s="260"/>
      <c r="G9" s="260"/>
    </row>
    <row r="10">
      <c r="Y10" s="257"/>
      <c r="AA10" s="472"/>
    </row>
    <row r="11">
      <c r="B11" s="492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68" t="str">
        <f>IFERROR(__xludf.DUMMYFUNCTION("""COMPUTED_VALUE"""),"Location")</f>
        <v>Location</v>
      </c>
      <c r="D11" s="469" t="str">
        <f>IFERROR(__xludf.DUMMYFUNCTION("""COMPUTED_VALUE"""),"# Reviews")</f>
        <v># Reviews</v>
      </c>
      <c r="E11" s="469" t="str">
        <f>IFERROR(__xludf.DUMMYFUNCTION("""COMPUTED_VALUE"""),"Rating")</f>
        <v>Rating</v>
      </c>
      <c r="F11" s="469" t="str">
        <f>IFERROR(__xludf.DUMMYFUNCTION("""COMPUTED_VALUE"""),"5 Star")</f>
        <v>5 Star</v>
      </c>
      <c r="G11" s="469" t="str">
        <f>IFERROR(__xludf.DUMMYFUNCTION("""COMPUTED_VALUE"""),"4 Star")</f>
        <v>4 Star</v>
      </c>
      <c r="H11" s="469" t="str">
        <f>IFERROR(__xludf.DUMMYFUNCTION("""COMPUTED_VALUE"""),"3 Star")</f>
        <v>3 Star</v>
      </c>
      <c r="I11" s="469" t="str">
        <f>IFERROR(__xludf.DUMMYFUNCTION("""COMPUTED_VALUE"""),"2 Star")</f>
        <v>2 Star</v>
      </c>
      <c r="J11" s="469" t="str">
        <f>IFERROR(__xludf.DUMMYFUNCTION("""COMPUTED_VALUE"""),"1 Star")</f>
        <v>1 Star</v>
      </c>
      <c r="K11" s="469" t="str">
        <f>IFERROR(__xludf.DUMMYFUNCTION("""COMPUTED_VALUE"""),"Yelp")</f>
        <v>Yelp</v>
      </c>
      <c r="L11" s="469" t="str">
        <f>IFERROR(__xludf.DUMMYFUNCTION("""COMPUTED_VALUE"""),"Yelp #")</f>
        <v>Yelp #</v>
      </c>
      <c r="M11" s="469" t="str">
        <f>IFERROR(__xludf.DUMMYFUNCTION("""COMPUTED_VALUE"""),"Google")</f>
        <v>Google</v>
      </c>
      <c r="N11" s="469" t="str">
        <f>IFERROR(__xludf.DUMMYFUNCTION("""COMPUTED_VALUE"""),"Google #")</f>
        <v>Google #</v>
      </c>
      <c r="U11" s="471"/>
      <c r="V11" s="471"/>
      <c r="W11" s="471"/>
      <c r="Y11" s="257"/>
    </row>
    <row r="12">
      <c r="B12" s="259" t="str">
        <f>IFERROR(__xludf.DUMMYFUNCTION("""COMPUTED_VALUE"""),"Weekly")</f>
        <v>Weekly</v>
      </c>
      <c r="C12" s="493" t="str">
        <f>IFERROR(__xludf.DUMMYFUNCTION("""COMPUTED_VALUE"""),"MVT")</f>
        <v>MVT</v>
      </c>
      <c r="D12" s="494">
        <f>IFERROR(__xludf.DUMMYFUNCTION("""COMPUTED_VALUE"""),0.0)</f>
        <v>0</v>
      </c>
      <c r="E12" s="495" t="str">
        <f>IFERROR(__xludf.DUMMYFUNCTION("""COMPUTED_VALUE"""),"NA")</f>
        <v>NA</v>
      </c>
      <c r="F12" s="494">
        <f>IFERROR(__xludf.DUMMYFUNCTION("""COMPUTED_VALUE"""),0.0)</f>
        <v>0</v>
      </c>
      <c r="G12" s="494">
        <f>IFERROR(__xludf.DUMMYFUNCTION("""COMPUTED_VALUE"""),0.0)</f>
        <v>0</v>
      </c>
      <c r="H12" s="494">
        <f>IFERROR(__xludf.DUMMYFUNCTION("""COMPUTED_VALUE"""),0.0)</f>
        <v>0</v>
      </c>
      <c r="I12" s="494">
        <f>IFERROR(__xludf.DUMMYFUNCTION("""COMPUTED_VALUE"""),0.0)</f>
        <v>0</v>
      </c>
      <c r="J12" s="494">
        <f>IFERROR(__xludf.DUMMYFUNCTION("""COMPUTED_VALUE"""),0.0)</f>
        <v>0</v>
      </c>
      <c r="K12" s="496" t="str">
        <f>IFERROR(__xludf.DUMMYFUNCTION("""COMPUTED_VALUE"""),"NA")</f>
        <v>NA</v>
      </c>
      <c r="L12" s="494">
        <f>IFERROR(__xludf.DUMMYFUNCTION("""COMPUTED_VALUE"""),0.0)</f>
        <v>0</v>
      </c>
      <c r="M12" s="496" t="str">
        <f>IFERROR(__xludf.DUMMYFUNCTION("""COMPUTED_VALUE"""),"NA")</f>
        <v>NA</v>
      </c>
      <c r="N12" s="494">
        <f>IFERROR(__xludf.DUMMYFUNCTION("""COMPUTED_VALUE"""),0.0)</f>
        <v>0</v>
      </c>
      <c r="U12" s="480"/>
      <c r="V12" s="480"/>
      <c r="W12" s="480"/>
    </row>
    <row r="13">
      <c r="B13" s="259" t="str">
        <f>IFERROR(__xludf.DUMMYFUNCTION("""COMPUTED_VALUE"""),"Yelp and Google")</f>
        <v>Yelp and Google</v>
      </c>
      <c r="C13" s="493" t="str">
        <f>IFERROR(__xludf.DUMMYFUNCTION("""COMPUTED_VALUE"""),"NL")</f>
        <v>NL</v>
      </c>
      <c r="D13" s="494">
        <f>IFERROR(__xludf.DUMMYFUNCTION("""COMPUTED_VALUE"""),1.0)</f>
        <v>1</v>
      </c>
      <c r="E13" s="495">
        <f>IFERROR(__xludf.DUMMYFUNCTION("""COMPUTED_VALUE"""),4.0)</f>
        <v>4</v>
      </c>
      <c r="F13" s="494">
        <f>IFERROR(__xludf.DUMMYFUNCTION("""COMPUTED_VALUE"""),0.0)</f>
        <v>0</v>
      </c>
      <c r="G13" s="494">
        <f>IFERROR(__xludf.DUMMYFUNCTION("""COMPUTED_VALUE"""),1.0)</f>
        <v>1</v>
      </c>
      <c r="H13" s="494">
        <f>IFERROR(__xludf.DUMMYFUNCTION("""COMPUTED_VALUE"""),0.0)</f>
        <v>0</v>
      </c>
      <c r="I13" s="494">
        <f>IFERROR(__xludf.DUMMYFUNCTION("""COMPUTED_VALUE"""),0.0)</f>
        <v>0</v>
      </c>
      <c r="J13" s="494">
        <f>IFERROR(__xludf.DUMMYFUNCTION("""COMPUTED_VALUE"""),0.0)</f>
        <v>0</v>
      </c>
      <c r="K13" s="496" t="str">
        <f>IFERROR(__xludf.DUMMYFUNCTION("""COMPUTED_VALUE"""),"NA")</f>
        <v>NA</v>
      </c>
      <c r="L13" s="494">
        <f>IFERROR(__xludf.DUMMYFUNCTION("""COMPUTED_VALUE"""),0.0)</f>
        <v>0</v>
      </c>
      <c r="M13" s="496">
        <f>IFERROR(__xludf.DUMMYFUNCTION("""COMPUTED_VALUE"""),4.0)</f>
        <v>4</v>
      </c>
      <c r="N13" s="494">
        <f>IFERROR(__xludf.DUMMYFUNCTION("""COMPUTED_VALUE"""),1.0)</f>
        <v>1</v>
      </c>
      <c r="U13" s="480"/>
      <c r="V13" s="480"/>
      <c r="W13" s="480"/>
    </row>
    <row r="14">
      <c r="B14" s="259"/>
      <c r="C14" s="493" t="str">
        <f>IFERROR(__xludf.DUMMYFUNCTION("""COMPUTED_VALUE"""),"Mosaic")</f>
        <v>Mosaic</v>
      </c>
      <c r="D14" s="494">
        <f>IFERROR(__xludf.DUMMYFUNCTION("""COMPUTED_VALUE"""),3.0)</f>
        <v>3</v>
      </c>
      <c r="E14" s="495">
        <f>IFERROR(__xludf.DUMMYFUNCTION("""COMPUTED_VALUE"""),3.33)</f>
        <v>3.33</v>
      </c>
      <c r="F14" s="494">
        <f>IFERROR(__xludf.DUMMYFUNCTION("""COMPUTED_VALUE"""),1.0)</f>
        <v>1</v>
      </c>
      <c r="G14" s="494">
        <f>IFERROR(__xludf.DUMMYFUNCTION("""COMPUTED_VALUE"""),1.0)</f>
        <v>1</v>
      </c>
      <c r="H14" s="494">
        <f>IFERROR(__xludf.DUMMYFUNCTION("""COMPUTED_VALUE"""),0.0)</f>
        <v>0</v>
      </c>
      <c r="I14" s="494">
        <f>IFERROR(__xludf.DUMMYFUNCTION("""COMPUTED_VALUE"""),0.0)</f>
        <v>0</v>
      </c>
      <c r="J14" s="494">
        <f>IFERROR(__xludf.DUMMYFUNCTION("""COMPUTED_VALUE"""),1.0)</f>
        <v>1</v>
      </c>
      <c r="K14" s="496" t="str">
        <f>IFERROR(__xludf.DUMMYFUNCTION("""COMPUTED_VALUE"""),"NA")</f>
        <v>NA</v>
      </c>
      <c r="L14" s="494">
        <f>IFERROR(__xludf.DUMMYFUNCTION("""COMPUTED_VALUE"""),0.0)</f>
        <v>0</v>
      </c>
      <c r="M14" s="496">
        <f>IFERROR(__xludf.DUMMYFUNCTION("""COMPUTED_VALUE"""),3.33)</f>
        <v>3.33</v>
      </c>
      <c r="N14" s="494">
        <f>IFERROR(__xludf.DUMMYFUNCTION("""COMPUTED_VALUE"""),3.0)</f>
        <v>3</v>
      </c>
      <c r="U14" s="480"/>
      <c r="V14" s="480"/>
      <c r="W14" s="480"/>
    </row>
    <row r="15">
      <c r="B15" s="259"/>
      <c r="C15" s="493" t="str">
        <f>IFERROR(__xludf.DUMMYFUNCTION("""COMPUTED_VALUE"""),"Rockville")</f>
        <v>Rockville</v>
      </c>
      <c r="D15" s="494">
        <f>IFERROR(__xludf.DUMMYFUNCTION("""COMPUTED_VALUE"""),4.0)</f>
        <v>4</v>
      </c>
      <c r="E15" s="495">
        <f>IFERROR(__xludf.DUMMYFUNCTION("""COMPUTED_VALUE"""),4.25)</f>
        <v>4.25</v>
      </c>
      <c r="F15" s="494">
        <f>IFERROR(__xludf.DUMMYFUNCTION("""COMPUTED_VALUE"""),3.0)</f>
        <v>3</v>
      </c>
      <c r="G15" s="494">
        <f>IFERROR(__xludf.DUMMYFUNCTION("""COMPUTED_VALUE"""),0.0)</f>
        <v>0</v>
      </c>
      <c r="H15" s="494">
        <f>IFERROR(__xludf.DUMMYFUNCTION("""COMPUTED_VALUE"""),0.0)</f>
        <v>0</v>
      </c>
      <c r="I15" s="494">
        <f>IFERROR(__xludf.DUMMYFUNCTION("""COMPUTED_VALUE"""),1.0)</f>
        <v>1</v>
      </c>
      <c r="J15" s="494">
        <f>IFERROR(__xludf.DUMMYFUNCTION("""COMPUTED_VALUE"""),0.0)</f>
        <v>0</v>
      </c>
      <c r="K15" s="496">
        <f>IFERROR(__xludf.DUMMYFUNCTION("""COMPUTED_VALUE"""),2.0)</f>
        <v>2</v>
      </c>
      <c r="L15" s="494">
        <f>IFERROR(__xludf.DUMMYFUNCTION("""COMPUTED_VALUE"""),1.0)</f>
        <v>1</v>
      </c>
      <c r="M15" s="496">
        <f>IFERROR(__xludf.DUMMYFUNCTION("""COMPUTED_VALUE"""),5.0)</f>
        <v>5</v>
      </c>
      <c r="N15" s="494">
        <f>IFERROR(__xludf.DUMMYFUNCTION("""COMPUTED_VALUE"""),3.0)</f>
        <v>3</v>
      </c>
      <c r="U15" s="480"/>
      <c r="V15" s="480"/>
      <c r="W15" s="480"/>
    </row>
    <row r="16">
      <c r="B16" s="259"/>
      <c r="C16" s="468" t="str">
        <f>IFERROR(__xludf.DUMMYFUNCTION("""COMPUTED_VALUE"""),"Total")</f>
        <v>Total</v>
      </c>
      <c r="D16" s="497">
        <f>IFERROR(__xludf.DUMMYFUNCTION("""COMPUTED_VALUE"""),8.0)</f>
        <v>8</v>
      </c>
      <c r="E16" s="498">
        <f>IFERROR(__xludf.DUMMYFUNCTION("""COMPUTED_VALUE"""),3.88)</f>
        <v>3.88</v>
      </c>
      <c r="F16" s="497">
        <f>IFERROR(__xludf.DUMMYFUNCTION("""COMPUTED_VALUE"""),4.0)</f>
        <v>4</v>
      </c>
      <c r="G16" s="497">
        <f>IFERROR(__xludf.DUMMYFUNCTION("""COMPUTED_VALUE"""),2.0)</f>
        <v>2</v>
      </c>
      <c r="H16" s="497">
        <f>IFERROR(__xludf.DUMMYFUNCTION("""COMPUTED_VALUE"""),0.0)</f>
        <v>0</v>
      </c>
      <c r="I16" s="497">
        <f>IFERROR(__xludf.DUMMYFUNCTION("""COMPUTED_VALUE"""),1.0)</f>
        <v>1</v>
      </c>
      <c r="J16" s="497">
        <f>IFERROR(__xludf.DUMMYFUNCTION("""COMPUTED_VALUE"""),1.0)</f>
        <v>1</v>
      </c>
      <c r="K16" s="498">
        <f>IFERROR(__xludf.DUMMYFUNCTION("""COMPUTED_VALUE"""),2.0)</f>
        <v>2</v>
      </c>
      <c r="L16" s="469">
        <f>IFERROR(__xludf.DUMMYFUNCTION("""COMPUTED_VALUE"""),1.0)</f>
        <v>1</v>
      </c>
      <c r="M16" s="498">
        <f>IFERROR(__xludf.DUMMYFUNCTION("""COMPUTED_VALUE"""),4.14)</f>
        <v>4.14</v>
      </c>
      <c r="N16" s="469">
        <f>IFERROR(__xludf.DUMMYFUNCTION("""COMPUTED_VALUE"""),7.0)</f>
        <v>7</v>
      </c>
      <c r="U16" s="480"/>
      <c r="V16" s="480"/>
      <c r="W16" s="480"/>
    </row>
    <row r="17">
      <c r="B17" s="49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</row>
    <row r="18">
      <c r="B18" s="492" t="str">
        <f>IFERROR(__xludf.DUMMYFUNCTION("""COMPUTED_VALUE"""),"3rd Party Metrics")</f>
        <v>3rd Party Metrics</v>
      </c>
      <c r="C18" s="468" t="str">
        <f>IFERROR(__xludf.DUMMYFUNCTION("""COMPUTED_VALUE"""),"Location")</f>
        <v>Location</v>
      </c>
      <c r="D18" s="469" t="str">
        <f>IFERROR(__xludf.DUMMYFUNCTION("""COMPUTED_VALUE"""),"# Reviews")</f>
        <v># Reviews</v>
      </c>
      <c r="E18" s="500" t="str">
        <f>IFERROR(__xludf.DUMMYFUNCTION("""COMPUTED_VALUE"""),"Rating")</f>
        <v>Rating</v>
      </c>
      <c r="F18" s="469" t="str">
        <f>IFERROR(__xludf.DUMMYFUNCTION("""COMPUTED_VALUE"""),"5 Star")</f>
        <v>5 Star</v>
      </c>
      <c r="G18" s="469" t="str">
        <f>IFERROR(__xludf.DUMMYFUNCTION("""COMPUTED_VALUE"""),"4 Star")</f>
        <v>4 Star</v>
      </c>
      <c r="H18" s="469" t="str">
        <f>IFERROR(__xludf.DUMMYFUNCTION("""COMPUTED_VALUE"""),"3 Star")</f>
        <v>3 Star</v>
      </c>
      <c r="I18" s="469" t="str">
        <f>IFERROR(__xludf.DUMMYFUNCTION("""COMPUTED_VALUE"""),"2 Star")</f>
        <v>2 Star</v>
      </c>
      <c r="J18" s="469" t="str">
        <f>IFERROR(__xludf.DUMMYFUNCTION("""COMPUTED_VALUE"""),"1 Star")</f>
        <v>1 Star</v>
      </c>
      <c r="K18" s="498" t="str">
        <f>IFERROR(__xludf.DUMMYFUNCTION("""COMPUTED_VALUE"""),"Uber")</f>
        <v>Uber</v>
      </c>
      <c r="L18" s="498" t="str">
        <f>IFERROR(__xludf.DUMMYFUNCTION("""COMPUTED_VALUE"""),"DD")</f>
        <v>DD</v>
      </c>
      <c r="M18" s="469" t="str">
        <f>IFERROR(__xludf.DUMMYFUNCTION("""COMPUTED_VALUE"""),"GH")</f>
        <v>GH</v>
      </c>
      <c r="N18" s="487" t="str">
        <f>IFERROR(__xludf.DUMMYFUNCTION("""COMPUTED_VALUE"""),"Error Rate")</f>
        <v>Error Rate</v>
      </c>
    </row>
    <row r="19">
      <c r="B19" s="259" t="str">
        <f>IFERROR(__xludf.DUMMYFUNCTION("""COMPUTED_VALUE"""),"Weekly")</f>
        <v>Weekly</v>
      </c>
      <c r="C19" s="493" t="str">
        <f>IFERROR(__xludf.DUMMYFUNCTION("""COMPUTED_VALUE"""),"MVT")</f>
        <v>MVT</v>
      </c>
      <c r="D19" s="494">
        <f>IFERROR(__xludf.DUMMYFUNCTION("""COMPUTED_VALUE"""),52.0)</f>
        <v>52</v>
      </c>
      <c r="E19" s="501">
        <f>IFERROR(__xludf.DUMMYFUNCTION("""COMPUTED_VALUE"""),4.5)</f>
        <v>4.5</v>
      </c>
      <c r="F19" s="494">
        <f>IFERROR(__xludf.DUMMYFUNCTION("""COMPUTED_VALUE"""),37.0)</f>
        <v>37</v>
      </c>
      <c r="G19" s="494">
        <f>IFERROR(__xludf.DUMMYFUNCTION("""COMPUTED_VALUE"""),9.0)</f>
        <v>9</v>
      </c>
      <c r="H19" s="494">
        <f>IFERROR(__xludf.DUMMYFUNCTION("""COMPUTED_VALUE"""),2.0)</f>
        <v>2</v>
      </c>
      <c r="I19" s="494">
        <f>IFERROR(__xludf.DUMMYFUNCTION("""COMPUTED_VALUE"""),2.0)</f>
        <v>2</v>
      </c>
      <c r="J19" s="494">
        <f>IFERROR(__xludf.DUMMYFUNCTION("""COMPUTED_VALUE"""),2.0)</f>
        <v>2</v>
      </c>
      <c r="K19" s="502">
        <f>IFERROR(__xludf.DUMMYFUNCTION("""COMPUTED_VALUE"""),4.67)</f>
        <v>4.67</v>
      </c>
      <c r="L19" s="502">
        <f>IFERROR(__xludf.DUMMYFUNCTION("""COMPUTED_VALUE"""),3.83)</f>
        <v>3.83</v>
      </c>
      <c r="M19" s="503" t="str">
        <f>IFERROR(__xludf.DUMMYFUNCTION("""COMPUTED_VALUE"""),"NA")</f>
        <v>NA</v>
      </c>
      <c r="N19" s="477">
        <f>IFERROR(__xludf.DUMMYFUNCTION("""COMPUTED_VALUE"""),0.0209)</f>
        <v>0.0209</v>
      </c>
      <c r="Y19" s="257"/>
    </row>
    <row r="20">
      <c r="B20" s="259" t="str">
        <f>IFERROR(__xludf.DUMMYFUNCTION("""COMPUTED_VALUE"""),"UE / DD / GH")</f>
        <v>UE / DD / GH</v>
      </c>
      <c r="C20" s="493" t="str">
        <f>IFERROR(__xludf.DUMMYFUNCTION("""COMPUTED_VALUE"""),"NL")</f>
        <v>NL</v>
      </c>
      <c r="D20" s="494">
        <f>IFERROR(__xludf.DUMMYFUNCTION("""COMPUTED_VALUE"""),28.0)</f>
        <v>28</v>
      </c>
      <c r="E20" s="501">
        <f>IFERROR(__xludf.DUMMYFUNCTION("""COMPUTED_VALUE"""),4.5)</f>
        <v>4.5</v>
      </c>
      <c r="F20" s="494">
        <f>IFERROR(__xludf.DUMMYFUNCTION("""COMPUTED_VALUE"""),20.0)</f>
        <v>20</v>
      </c>
      <c r="G20" s="494">
        <f>IFERROR(__xludf.DUMMYFUNCTION("""COMPUTED_VALUE"""),5.0)</f>
        <v>5</v>
      </c>
      <c r="H20" s="494">
        <f>IFERROR(__xludf.DUMMYFUNCTION("""COMPUTED_VALUE"""),0.0)</f>
        <v>0</v>
      </c>
      <c r="I20" s="494">
        <f>IFERROR(__xludf.DUMMYFUNCTION("""COMPUTED_VALUE"""),3.0)</f>
        <v>3</v>
      </c>
      <c r="J20" s="494">
        <f>IFERROR(__xludf.DUMMYFUNCTION("""COMPUTED_VALUE"""),0.0)</f>
        <v>0</v>
      </c>
      <c r="K20" s="502">
        <f>IFERROR(__xludf.DUMMYFUNCTION("""COMPUTED_VALUE"""),5.0)</f>
        <v>5</v>
      </c>
      <c r="L20" s="502">
        <f>IFERROR(__xludf.DUMMYFUNCTION("""COMPUTED_VALUE"""),3.62)</f>
        <v>3.62</v>
      </c>
      <c r="M20" s="503" t="str">
        <f>IFERROR(__xludf.DUMMYFUNCTION("""COMPUTED_VALUE"""),"NA")</f>
        <v>NA</v>
      </c>
      <c r="N20" s="477">
        <f>IFERROR(__xludf.DUMMYFUNCTION("""COMPUTED_VALUE"""),0.0408)</f>
        <v>0.0408</v>
      </c>
      <c r="Y20" s="257"/>
    </row>
    <row r="21">
      <c r="B21" s="259"/>
      <c r="C21" s="493" t="str">
        <f>IFERROR(__xludf.DUMMYFUNCTION("""COMPUTED_VALUE"""),"Mosaic")</f>
        <v>Mosaic</v>
      </c>
      <c r="D21" s="494">
        <f>IFERROR(__xludf.DUMMYFUNCTION("""COMPUTED_VALUE"""),19.0)</f>
        <v>19</v>
      </c>
      <c r="E21" s="501">
        <f>IFERROR(__xludf.DUMMYFUNCTION("""COMPUTED_VALUE"""),4.3)</f>
        <v>4.3</v>
      </c>
      <c r="F21" s="494">
        <f>IFERROR(__xludf.DUMMYFUNCTION("""COMPUTED_VALUE"""),13.0)</f>
        <v>13</v>
      </c>
      <c r="G21" s="494">
        <f>IFERROR(__xludf.DUMMYFUNCTION("""COMPUTED_VALUE"""),3.0)</f>
        <v>3</v>
      </c>
      <c r="H21" s="494">
        <f>IFERROR(__xludf.DUMMYFUNCTION("""COMPUTED_VALUE"""),0.0)</f>
        <v>0</v>
      </c>
      <c r="I21" s="494">
        <f>IFERROR(__xludf.DUMMYFUNCTION("""COMPUTED_VALUE"""),1.0)</f>
        <v>1</v>
      </c>
      <c r="J21" s="494">
        <f>IFERROR(__xludf.DUMMYFUNCTION("""COMPUTED_VALUE"""),2.0)</f>
        <v>2</v>
      </c>
      <c r="K21" s="502">
        <f>IFERROR(__xludf.DUMMYFUNCTION("""COMPUTED_VALUE"""),4.1)</f>
        <v>4.1</v>
      </c>
      <c r="L21" s="502">
        <f>IFERROR(__xludf.DUMMYFUNCTION("""COMPUTED_VALUE"""),4.67)</f>
        <v>4.67</v>
      </c>
      <c r="M21" s="503" t="str">
        <f>IFERROR(__xludf.DUMMYFUNCTION("""COMPUTED_VALUE"""),"NA")</f>
        <v>NA</v>
      </c>
      <c r="N21" s="477">
        <f>IFERROR(__xludf.DUMMYFUNCTION("""COMPUTED_VALUE"""),0.0372)</f>
        <v>0.0372</v>
      </c>
      <c r="Y21" s="257"/>
    </row>
    <row r="22">
      <c r="B22" s="259"/>
      <c r="C22" s="493" t="str">
        <f>IFERROR(__xludf.DUMMYFUNCTION("""COMPUTED_VALUE"""),"Rockville")</f>
        <v>Rockville</v>
      </c>
      <c r="D22" s="494">
        <f>IFERROR(__xludf.DUMMYFUNCTION("""COMPUTED_VALUE"""),19.0)</f>
        <v>19</v>
      </c>
      <c r="E22" s="501">
        <f>IFERROR(__xludf.DUMMYFUNCTION("""COMPUTED_VALUE"""),4.2)</f>
        <v>4.2</v>
      </c>
      <c r="F22" s="494">
        <f>IFERROR(__xludf.DUMMYFUNCTION("""COMPUTED_VALUE"""),12.0)</f>
        <v>12</v>
      </c>
      <c r="G22" s="494">
        <f>IFERROR(__xludf.DUMMYFUNCTION("""COMPUTED_VALUE"""),2.0)</f>
        <v>2</v>
      </c>
      <c r="H22" s="494">
        <f>IFERROR(__xludf.DUMMYFUNCTION("""COMPUTED_VALUE"""),3.0)</f>
        <v>3</v>
      </c>
      <c r="I22" s="494">
        <f>IFERROR(__xludf.DUMMYFUNCTION("""COMPUTED_VALUE"""),1.0)</f>
        <v>1</v>
      </c>
      <c r="J22" s="494">
        <f>IFERROR(__xludf.DUMMYFUNCTION("""COMPUTED_VALUE"""),1.0)</f>
        <v>1</v>
      </c>
      <c r="K22" s="502">
        <f>IFERROR(__xludf.DUMMYFUNCTION("""COMPUTED_VALUE"""),4.17)</f>
        <v>4.17</v>
      </c>
      <c r="L22" s="502">
        <f>IFERROR(__xludf.DUMMYFUNCTION("""COMPUTED_VALUE"""),3.67)</f>
        <v>3.67</v>
      </c>
      <c r="M22" s="503" t="str">
        <f>IFERROR(__xludf.DUMMYFUNCTION("""COMPUTED_VALUE"""),"NA")</f>
        <v>NA</v>
      </c>
      <c r="N22" s="477">
        <f>IFERROR(__xludf.DUMMYFUNCTION("""COMPUTED_VALUE"""),0.0294)</f>
        <v>0.0294</v>
      </c>
      <c r="Y22" s="257"/>
    </row>
    <row r="23">
      <c r="B23" s="259"/>
      <c r="C23" s="468" t="str">
        <f>IFERROR(__xludf.DUMMYFUNCTION("""COMPUTED_VALUE"""),"Total")</f>
        <v>Total</v>
      </c>
      <c r="D23" s="497">
        <f>IFERROR(__xludf.DUMMYFUNCTION("""COMPUTED_VALUE"""),118.0)</f>
        <v>118</v>
      </c>
      <c r="E23" s="500">
        <f>IFERROR(__xludf.DUMMYFUNCTION("""COMPUTED_VALUE"""),4.375)</f>
        <v>4.375</v>
      </c>
      <c r="F23" s="497">
        <f>IFERROR(__xludf.DUMMYFUNCTION("""COMPUTED_VALUE"""),82.0)</f>
        <v>82</v>
      </c>
      <c r="G23" s="497">
        <f>IFERROR(__xludf.DUMMYFUNCTION("""COMPUTED_VALUE"""),19.0)</f>
        <v>19</v>
      </c>
      <c r="H23" s="497">
        <f>IFERROR(__xludf.DUMMYFUNCTION("""COMPUTED_VALUE"""),5.0)</f>
        <v>5</v>
      </c>
      <c r="I23" s="497">
        <f>IFERROR(__xludf.DUMMYFUNCTION("""COMPUTED_VALUE"""),7.0)</f>
        <v>7</v>
      </c>
      <c r="J23" s="497">
        <f>IFERROR(__xludf.DUMMYFUNCTION("""COMPUTED_VALUE"""),5.0)</f>
        <v>5</v>
      </c>
      <c r="K23" s="498">
        <f>IFERROR(__xludf.DUMMYFUNCTION("""COMPUTED_VALUE"""),4.57)</f>
        <v>4.57</v>
      </c>
      <c r="L23" s="498">
        <f>IFERROR(__xludf.DUMMYFUNCTION("""COMPUTED_VALUE"""),3.85)</f>
        <v>3.85</v>
      </c>
      <c r="M23" s="469" t="str">
        <f>IFERROR(__xludf.DUMMYFUNCTION("""COMPUTED_VALUE"""),"NA")</f>
        <v>NA</v>
      </c>
      <c r="N23" s="487">
        <f>IFERROR(__xludf.DUMMYFUNCTION("""COMPUTED_VALUE"""),0.032075)</f>
        <v>0.032075</v>
      </c>
      <c r="Y23" s="257"/>
    </row>
    <row r="24"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Y24" s="257"/>
    </row>
    <row r="25">
      <c r="B25" s="49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Y25" s="257"/>
    </row>
    <row r="26">
      <c r="Y26" s="257"/>
    </row>
    <row r="27">
      <c r="B27" s="504" t="s">
        <v>156</v>
      </c>
      <c r="J27" s="472"/>
      <c r="K27" s="472"/>
      <c r="Y27" s="257"/>
    </row>
    <row r="28">
      <c r="C28" s="505" t="s">
        <v>157</v>
      </c>
      <c r="D28" s="32"/>
      <c r="E28" s="505" t="s">
        <v>158</v>
      </c>
      <c r="F28" s="32"/>
      <c r="H28" s="506"/>
      <c r="J28" s="472"/>
      <c r="K28" s="472"/>
      <c r="Y28" s="257"/>
    </row>
    <row r="29">
      <c r="B29" s="468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69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69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69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7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7" t="s">
        <v>159</v>
      </c>
      <c r="H29" s="507" t="s">
        <v>160</v>
      </c>
      <c r="J29" s="471"/>
      <c r="K29" s="508"/>
      <c r="Y29" s="257"/>
    </row>
    <row r="30">
      <c r="B30" s="509" t="str">
        <f>IFERROR(__xludf.DUMMYFUNCTION("""COMPUTED_VALUE"""),"Rockville")</f>
        <v>Rockville</v>
      </c>
      <c r="C30" s="494" t="str">
        <f>IFERROR(__xludf.DUMMYFUNCTION("""COMPUTED_VALUE"""),"0 min 49 sec")</f>
        <v>0 min 49 sec</v>
      </c>
      <c r="D30" s="494">
        <f>IFERROR(__xludf.DUMMYFUNCTION("""COMPUTED_VALUE"""),166.0)</f>
        <v>166</v>
      </c>
      <c r="E30" s="494" t="str">
        <f>IFERROR(__xludf.DUMMYFUNCTION("""COMPUTED_VALUE"""),"3 min 00 sec")</f>
        <v>3 min 00 sec</v>
      </c>
      <c r="F30" s="503">
        <f>IFERROR(__xludf.DUMMYFUNCTION("""COMPUTED_VALUE"""),65.0)</f>
        <v>65</v>
      </c>
      <c r="G30" s="494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26 sec</v>
      </c>
      <c r="H30" s="510">
        <f t="shared" ref="H30:H34" si="2">ROUND(VALUE(LEFT(G30,FIND(" min",G30)-1)) + VALUE(MID(G30,FIND("min",G30)+4,FIND("sec",G30)-FIND("min",G30)-4))/60, 2)</f>
        <v>1.43</v>
      </c>
      <c r="J30" s="480"/>
      <c r="K30" s="511"/>
      <c r="Y30" s="257"/>
    </row>
    <row r="31">
      <c r="B31" s="509" t="str">
        <f>IFERROR(__xludf.DUMMYFUNCTION("""COMPUTED_VALUE"""),"MVT")</f>
        <v>MVT</v>
      </c>
      <c r="C31" s="494" t="str">
        <f>IFERROR(__xludf.DUMMYFUNCTION("""COMPUTED_VALUE"""),"0 min 31 sec")</f>
        <v>0 min 31 sec</v>
      </c>
      <c r="D31" s="494">
        <f>IFERROR(__xludf.DUMMYFUNCTION("""COMPUTED_VALUE"""),392.0)</f>
        <v>392</v>
      </c>
      <c r="E31" s="494" t="str">
        <f>IFERROR(__xludf.DUMMYFUNCTION("""COMPUTED_VALUE"""),"2 min 07 sec")</f>
        <v>2 min 07 sec</v>
      </c>
      <c r="F31" s="503">
        <f>IFERROR(__xludf.DUMMYFUNCTION("""COMPUTED_VALUE"""),174.0)</f>
        <v>174</v>
      </c>
      <c r="G31" s="494" t="str">
        <f t="shared" si="1"/>
        <v>1 min 1 sec</v>
      </c>
      <c r="H31" s="510">
        <f t="shared" si="2"/>
        <v>1.02</v>
      </c>
      <c r="J31" s="480"/>
      <c r="K31" s="511"/>
      <c r="Y31" s="257"/>
    </row>
    <row r="32">
      <c r="B32" s="509" t="str">
        <f>IFERROR(__xludf.DUMMYFUNCTION("""COMPUTED_VALUE"""),"National Landing")</f>
        <v>National Landing</v>
      </c>
      <c r="C32" s="494" t="str">
        <f>IFERROR(__xludf.DUMMYFUNCTION("""COMPUTED_VALUE"""),"0 min 34 sec")</f>
        <v>0 min 34 sec</v>
      </c>
      <c r="D32" s="494">
        <f>IFERROR(__xludf.DUMMYFUNCTION("""COMPUTED_VALUE"""),176.0)</f>
        <v>176</v>
      </c>
      <c r="E32" s="494" t="str">
        <f>IFERROR(__xludf.DUMMYFUNCTION("""COMPUTED_VALUE"""),"1 min 50 sec")</f>
        <v>1 min 50 sec</v>
      </c>
      <c r="F32" s="503">
        <f>IFERROR(__xludf.DUMMYFUNCTION("""COMPUTED_VALUE"""),106.0)</f>
        <v>106</v>
      </c>
      <c r="G32" s="494" t="str">
        <f t="shared" si="1"/>
        <v>1 min 3 sec</v>
      </c>
      <c r="H32" s="510">
        <f t="shared" si="2"/>
        <v>1.05</v>
      </c>
      <c r="J32" s="480"/>
      <c r="K32" s="511"/>
      <c r="Y32" s="257"/>
    </row>
    <row r="33">
      <c r="B33" s="509" t="str">
        <f>IFERROR(__xludf.DUMMYFUNCTION("""COMPUTED_VALUE"""),"Mosaic")</f>
        <v>Mosaic</v>
      </c>
      <c r="C33" s="494" t="str">
        <f>IFERROR(__xludf.DUMMYFUNCTION("""COMPUTED_VALUE"""),"0 min 55 sec")</f>
        <v>0 min 55 sec</v>
      </c>
      <c r="D33" s="494">
        <f>IFERROR(__xludf.DUMMYFUNCTION("""COMPUTED_VALUE"""),154.0)</f>
        <v>154</v>
      </c>
      <c r="E33" s="494" t="str">
        <f>IFERROR(__xludf.DUMMYFUNCTION("""COMPUTED_VALUE"""),"2 min 52 sec")</f>
        <v>2 min 52 sec</v>
      </c>
      <c r="F33" s="503">
        <f>IFERROR(__xludf.DUMMYFUNCTION("""COMPUTED_VALUE"""),84.0)</f>
        <v>84</v>
      </c>
      <c r="G33" s="494" t="str">
        <f t="shared" si="1"/>
        <v>1 min 36 sec</v>
      </c>
      <c r="H33" s="510">
        <f t="shared" si="2"/>
        <v>1.6</v>
      </c>
      <c r="J33" s="480"/>
      <c r="K33" s="511"/>
      <c r="Y33" s="257"/>
    </row>
    <row r="34">
      <c r="B34" s="468" t="str">
        <f>IFERROR(__xludf.DUMMYFUNCTION("""COMPUTED_VALUE"""),"All Stores")</f>
        <v>All Stores</v>
      </c>
      <c r="C34" s="469" t="str">
        <f>IFERROR(__xludf.DUMMYFUNCTION("""COMPUTED_VALUE"""),"0 min 38 sec")</f>
        <v>0 min 38 sec</v>
      </c>
      <c r="D34" s="497">
        <f>IFERROR(__xludf.DUMMYFUNCTION("""COMPUTED_VALUE"""),888.0)</f>
        <v>888</v>
      </c>
      <c r="E34" s="469" t="str">
        <f>IFERROR(__xludf.DUMMYFUNCTION("""COMPUTED_VALUE"""),"2 min 21 sec")</f>
        <v>2 min 21 sec</v>
      </c>
      <c r="F34" s="497">
        <f>IFERROR(__xludf.DUMMYFUNCTION("""COMPUTED_VALUE"""),429.0)</f>
        <v>429</v>
      </c>
      <c r="G34" s="469" t="str">
        <f t="shared" si="1"/>
        <v>1 min 12 sec</v>
      </c>
      <c r="H34" s="512">
        <f t="shared" si="2"/>
        <v>1.2</v>
      </c>
      <c r="J34" s="480"/>
      <c r="K34" s="511"/>
      <c r="Y34" s="257"/>
    </row>
    <row r="35">
      <c r="B35" s="259"/>
      <c r="C35" s="259"/>
      <c r="D35" s="259"/>
      <c r="E35" s="259"/>
      <c r="F35" s="259"/>
      <c r="H35" s="155"/>
      <c r="J35" s="489"/>
      <c r="K35" s="513"/>
      <c r="Y35" s="257"/>
    </row>
    <row r="36">
      <c r="J36" s="472"/>
      <c r="K36" s="472"/>
      <c r="Y36" s="257"/>
    </row>
    <row r="37">
      <c r="Y37" s="257"/>
    </row>
    <row r="38">
      <c r="Y38" s="257"/>
    </row>
    <row r="39">
      <c r="Y39" s="257"/>
    </row>
    <row r="40">
      <c r="Y40" s="257"/>
    </row>
    <row r="41">
      <c r="Y41" s="257"/>
    </row>
    <row r="42">
      <c r="Y42" s="257"/>
    </row>
    <row r="43">
      <c r="Y43" s="257"/>
    </row>
    <row r="44">
      <c r="Y44" s="257"/>
    </row>
    <row r="45">
      <c r="Y45" s="257"/>
    </row>
    <row r="46">
      <c r="Y46" s="257"/>
    </row>
    <row r="47">
      <c r="Y47" s="257"/>
    </row>
    <row r="48">
      <c r="Y48" s="257"/>
    </row>
    <row r="49">
      <c r="Y49" s="257"/>
    </row>
    <row r="50">
      <c r="Y50" s="257"/>
    </row>
    <row r="51">
      <c r="Y51" s="257"/>
    </row>
    <row r="52">
      <c r="Y52" s="257"/>
    </row>
    <row r="53">
      <c r="Y53" s="257"/>
    </row>
    <row r="54">
      <c r="Y54" s="257"/>
    </row>
    <row r="55">
      <c r="Y55" s="257"/>
    </row>
    <row r="56">
      <c r="Y56" s="257"/>
    </row>
    <row r="57">
      <c r="Y57" s="257"/>
    </row>
    <row r="58">
      <c r="Y58" s="257"/>
    </row>
    <row r="59">
      <c r="Y59" s="257"/>
    </row>
    <row r="60">
      <c r="Y60" s="257"/>
    </row>
    <row r="61">
      <c r="Y61" s="257"/>
    </row>
    <row r="62">
      <c r="Y62" s="257"/>
    </row>
    <row r="63">
      <c r="Y63" s="257"/>
    </row>
    <row r="64">
      <c r="Y64" s="257"/>
    </row>
    <row r="65">
      <c r="Y65" s="257"/>
    </row>
    <row r="66">
      <c r="Y66" s="257"/>
    </row>
    <row r="67">
      <c r="Y67" s="257"/>
    </row>
    <row r="68">
      <c r="Y68" s="257"/>
    </row>
    <row r="69">
      <c r="Y69" s="257"/>
    </row>
    <row r="70">
      <c r="Y70" s="257"/>
    </row>
    <row r="71">
      <c r="Y71" s="257"/>
    </row>
    <row r="72">
      <c r="Y72" s="257"/>
    </row>
    <row r="73">
      <c r="Y73" s="257"/>
    </row>
    <row r="74">
      <c r="Y74" s="257"/>
    </row>
    <row r="75">
      <c r="Y75" s="257"/>
    </row>
    <row r="76">
      <c r="Y76" s="257"/>
    </row>
    <row r="77">
      <c r="Y77" s="257"/>
    </row>
    <row r="78">
      <c r="Y78" s="257"/>
    </row>
    <row r="79">
      <c r="Y79" s="257"/>
    </row>
    <row r="80">
      <c r="Y80" s="257"/>
    </row>
    <row r="81">
      <c r="Y81" s="257"/>
    </row>
    <row r="82">
      <c r="Y82" s="257"/>
    </row>
    <row r="83">
      <c r="Y83" s="257"/>
    </row>
    <row r="84">
      <c r="Y84" s="257"/>
    </row>
    <row r="85">
      <c r="Y85" s="257"/>
    </row>
    <row r="86">
      <c r="Y86" s="257"/>
    </row>
    <row r="87">
      <c r="Y87" s="257"/>
    </row>
    <row r="88">
      <c r="Y88" s="257"/>
    </row>
    <row r="89">
      <c r="Y89" s="257"/>
    </row>
    <row r="90">
      <c r="Y90" s="257"/>
    </row>
    <row r="91">
      <c r="Y91" s="257"/>
    </row>
    <row r="92">
      <c r="Y92" s="257"/>
    </row>
    <row r="93">
      <c r="Y93" s="257"/>
    </row>
    <row r="94">
      <c r="Y94" s="257"/>
    </row>
    <row r="95">
      <c r="Y95" s="257"/>
    </row>
    <row r="96">
      <c r="Y96" s="257"/>
    </row>
    <row r="97">
      <c r="Y97" s="257"/>
    </row>
    <row r="98">
      <c r="Y98" s="257"/>
    </row>
    <row r="99">
      <c r="Y99" s="257"/>
    </row>
    <row r="100">
      <c r="Y100" s="257"/>
    </row>
    <row r="101">
      <c r="Y101" s="257"/>
    </row>
    <row r="102">
      <c r="Y102" s="257"/>
    </row>
    <row r="103">
      <c r="Y103" s="257"/>
    </row>
    <row r="104">
      <c r="Y104" s="257"/>
    </row>
    <row r="105">
      <c r="Y105" s="257"/>
    </row>
    <row r="106">
      <c r="Y106" s="257"/>
    </row>
    <row r="107">
      <c r="Y107" s="257"/>
    </row>
    <row r="108">
      <c r="Y108" s="257"/>
    </row>
    <row r="109">
      <c r="Y109" s="257"/>
    </row>
    <row r="110">
      <c r="Y110" s="257"/>
    </row>
    <row r="111">
      <c r="Y111" s="257"/>
    </row>
    <row r="112">
      <c r="Y112" s="257"/>
    </row>
    <row r="113">
      <c r="Y113" s="257"/>
    </row>
    <row r="114">
      <c r="Y114" s="257"/>
    </row>
    <row r="115">
      <c r="Y115" s="257"/>
    </row>
    <row r="116">
      <c r="Y116" s="257"/>
    </row>
    <row r="117">
      <c r="Y117" s="257"/>
    </row>
    <row r="118">
      <c r="Y118" s="257"/>
    </row>
    <row r="119">
      <c r="Y119" s="257"/>
    </row>
    <row r="120">
      <c r="Y120" s="257"/>
    </row>
    <row r="121">
      <c r="Y121" s="257"/>
    </row>
    <row r="122">
      <c r="Y122" s="257"/>
    </row>
    <row r="123">
      <c r="Y123" s="257"/>
    </row>
    <row r="124">
      <c r="Y124" s="257"/>
    </row>
    <row r="125">
      <c r="Y125" s="257"/>
    </row>
    <row r="126">
      <c r="Y126" s="257"/>
    </row>
    <row r="127">
      <c r="Y127" s="257"/>
    </row>
    <row r="128">
      <c r="Y128" s="257"/>
    </row>
    <row r="129">
      <c r="Y129" s="257"/>
    </row>
    <row r="130">
      <c r="Y130" s="257"/>
    </row>
    <row r="131">
      <c r="Y131" s="257"/>
    </row>
    <row r="132">
      <c r="Y132" s="257"/>
    </row>
    <row r="133">
      <c r="Y133" s="257"/>
    </row>
    <row r="134">
      <c r="Y134" s="257"/>
    </row>
    <row r="135">
      <c r="Y135" s="257"/>
    </row>
    <row r="136">
      <c r="Y136" s="257"/>
    </row>
    <row r="137">
      <c r="Y137" s="257"/>
    </row>
    <row r="138">
      <c r="Y138" s="257"/>
    </row>
    <row r="139">
      <c r="Y139" s="257"/>
    </row>
    <row r="140">
      <c r="Y140" s="257"/>
    </row>
    <row r="141">
      <c r="Y141" s="257"/>
    </row>
    <row r="142">
      <c r="Y142" s="257"/>
    </row>
    <row r="143">
      <c r="Y143" s="257"/>
    </row>
    <row r="144">
      <c r="Y144" s="257"/>
    </row>
    <row r="145">
      <c r="Y145" s="257"/>
    </row>
    <row r="146">
      <c r="Y146" s="257"/>
    </row>
    <row r="147">
      <c r="Y147" s="257"/>
    </row>
    <row r="148">
      <c r="Y148" s="257"/>
    </row>
    <row r="149">
      <c r="Y149" s="257"/>
    </row>
    <row r="150">
      <c r="Y150" s="257"/>
    </row>
    <row r="151">
      <c r="Y151" s="257"/>
    </row>
    <row r="152">
      <c r="Y152" s="257"/>
    </row>
    <row r="153">
      <c r="Y153" s="257"/>
    </row>
    <row r="154">
      <c r="Y154" s="257"/>
    </row>
    <row r="155">
      <c r="Y155" s="257"/>
    </row>
    <row r="156">
      <c r="Y156" s="257"/>
    </row>
    <row r="157">
      <c r="Y157" s="257"/>
    </row>
    <row r="158">
      <c r="Y158" s="257"/>
    </row>
    <row r="159">
      <c r="Y159" s="257"/>
    </row>
    <row r="160">
      <c r="Y160" s="257"/>
    </row>
    <row r="161">
      <c r="Y161" s="257"/>
    </row>
    <row r="162">
      <c r="Y162" s="257"/>
    </row>
    <row r="163">
      <c r="Y163" s="257"/>
    </row>
    <row r="164">
      <c r="Y164" s="257"/>
    </row>
    <row r="165">
      <c r="Y165" s="257"/>
    </row>
    <row r="166">
      <c r="Y166" s="257"/>
    </row>
    <row r="167">
      <c r="Y167" s="257"/>
    </row>
    <row r="168">
      <c r="Y168" s="257"/>
    </row>
    <row r="169">
      <c r="Y169" s="257"/>
    </row>
    <row r="170">
      <c r="Y170" s="257"/>
    </row>
    <row r="171">
      <c r="Y171" s="257"/>
    </row>
    <row r="172">
      <c r="Y172" s="257"/>
    </row>
    <row r="173">
      <c r="Y173" s="257"/>
    </row>
    <row r="174">
      <c r="Y174" s="257"/>
    </row>
    <row r="175">
      <c r="Y175" s="257"/>
    </row>
    <row r="176">
      <c r="Y176" s="257"/>
    </row>
    <row r="177">
      <c r="Y177" s="257"/>
    </row>
    <row r="178">
      <c r="Y178" s="257"/>
    </row>
    <row r="179">
      <c r="Y179" s="257"/>
    </row>
    <row r="180">
      <c r="Y180" s="257"/>
    </row>
    <row r="181">
      <c r="Y181" s="257"/>
    </row>
    <row r="182">
      <c r="Y182" s="257"/>
    </row>
    <row r="183">
      <c r="Y183" s="257"/>
    </row>
    <row r="184">
      <c r="Y184" s="257"/>
    </row>
    <row r="185">
      <c r="Y185" s="257"/>
    </row>
    <row r="186">
      <c r="Y186" s="257"/>
    </row>
    <row r="187">
      <c r="Y187" s="257"/>
    </row>
    <row r="188">
      <c r="Y188" s="257"/>
    </row>
    <row r="189">
      <c r="Y189" s="257"/>
    </row>
    <row r="190">
      <c r="Y190" s="257"/>
    </row>
    <row r="191">
      <c r="Y191" s="257"/>
    </row>
    <row r="192">
      <c r="Y192" s="257"/>
    </row>
    <row r="193">
      <c r="Y193" s="257"/>
    </row>
    <row r="194">
      <c r="Y194" s="257"/>
    </row>
    <row r="195">
      <c r="Y195" s="257"/>
    </row>
    <row r="196">
      <c r="Y196" s="257"/>
    </row>
    <row r="197">
      <c r="Y197" s="257"/>
    </row>
    <row r="198">
      <c r="Y198" s="257"/>
    </row>
    <row r="199">
      <c r="Y199" s="257"/>
    </row>
    <row r="200">
      <c r="Y200" s="257"/>
    </row>
    <row r="201">
      <c r="Y201" s="257"/>
    </row>
    <row r="202">
      <c r="Y202" s="257"/>
    </row>
    <row r="203">
      <c r="Y203" s="257"/>
    </row>
    <row r="204">
      <c r="Y204" s="257"/>
    </row>
    <row r="205">
      <c r="Y205" s="257"/>
    </row>
    <row r="206">
      <c r="Y206" s="257"/>
    </row>
    <row r="207">
      <c r="Y207" s="257"/>
    </row>
    <row r="208">
      <c r="Y208" s="257"/>
    </row>
    <row r="209">
      <c r="Y209" s="257"/>
    </row>
    <row r="210">
      <c r="Y210" s="257"/>
    </row>
    <row r="211">
      <c r="Y211" s="257"/>
    </row>
    <row r="212">
      <c r="Y212" s="257"/>
    </row>
    <row r="213">
      <c r="Y213" s="257"/>
    </row>
    <row r="214">
      <c r="Y214" s="257"/>
    </row>
    <row r="215">
      <c r="Y215" s="257"/>
    </row>
    <row r="216">
      <c r="Y216" s="257"/>
    </row>
    <row r="217">
      <c r="Y217" s="257"/>
    </row>
    <row r="218">
      <c r="Y218" s="257"/>
    </row>
    <row r="219">
      <c r="Y219" s="257"/>
    </row>
    <row r="220">
      <c r="Y220" s="257"/>
    </row>
    <row r="221">
      <c r="Y221" s="257"/>
    </row>
    <row r="222">
      <c r="Y222" s="257"/>
    </row>
    <row r="223">
      <c r="Y223" s="257"/>
    </row>
    <row r="224">
      <c r="Y224" s="257"/>
    </row>
    <row r="225">
      <c r="Y225" s="257"/>
    </row>
    <row r="226">
      <c r="Y226" s="257"/>
    </row>
    <row r="227">
      <c r="Y227" s="257"/>
    </row>
    <row r="228">
      <c r="Y228" s="257"/>
    </row>
    <row r="229">
      <c r="Y229" s="257"/>
    </row>
    <row r="230">
      <c r="Y230" s="257"/>
    </row>
    <row r="231">
      <c r="Y231" s="257"/>
    </row>
    <row r="232">
      <c r="Y232" s="257"/>
    </row>
    <row r="233">
      <c r="Y233" s="257"/>
    </row>
    <row r="234">
      <c r="Y234" s="257"/>
    </row>
    <row r="235">
      <c r="Y235" s="257"/>
    </row>
    <row r="236">
      <c r="Y236" s="257"/>
    </row>
    <row r="237">
      <c r="Y237" s="257"/>
    </row>
    <row r="238">
      <c r="Y238" s="257"/>
    </row>
    <row r="239">
      <c r="Y239" s="257"/>
    </row>
    <row r="240">
      <c r="Y240" s="257"/>
    </row>
    <row r="241">
      <c r="Y241" s="257"/>
    </row>
    <row r="242">
      <c r="Y242" s="257"/>
    </row>
    <row r="243">
      <c r="Y243" s="257"/>
    </row>
    <row r="244">
      <c r="Y244" s="257"/>
    </row>
    <row r="245">
      <c r="Y245" s="257"/>
    </row>
    <row r="246">
      <c r="Y246" s="257"/>
    </row>
    <row r="247">
      <c r="Y247" s="257"/>
    </row>
    <row r="248">
      <c r="Y248" s="257"/>
    </row>
    <row r="249">
      <c r="Y249" s="257"/>
    </row>
    <row r="250">
      <c r="Y250" s="257"/>
    </row>
    <row r="251">
      <c r="Y251" s="257"/>
    </row>
    <row r="252">
      <c r="Y252" s="257"/>
    </row>
    <row r="253">
      <c r="Y253" s="257"/>
    </row>
    <row r="254">
      <c r="Y254" s="257"/>
    </row>
    <row r="255">
      <c r="Y255" s="257"/>
    </row>
    <row r="256">
      <c r="Y256" s="257"/>
    </row>
    <row r="257">
      <c r="Y257" s="257"/>
    </row>
    <row r="258">
      <c r="Y258" s="257"/>
    </row>
    <row r="259">
      <c r="Y259" s="257"/>
    </row>
    <row r="260">
      <c r="Y260" s="257"/>
    </row>
    <row r="261">
      <c r="Y261" s="257"/>
    </row>
    <row r="262">
      <c r="Y262" s="257"/>
    </row>
    <row r="263">
      <c r="Y263" s="257"/>
    </row>
    <row r="264">
      <c r="Y264" s="257"/>
    </row>
    <row r="265">
      <c r="Y265" s="257"/>
    </row>
    <row r="266">
      <c r="Y266" s="257"/>
    </row>
    <row r="267">
      <c r="Y267" s="257"/>
    </row>
    <row r="268">
      <c r="Y268" s="257"/>
    </row>
    <row r="269">
      <c r="Y269" s="257"/>
    </row>
    <row r="270">
      <c r="Y270" s="257"/>
    </row>
    <row r="271">
      <c r="Y271" s="257"/>
    </row>
    <row r="272">
      <c r="Y272" s="257"/>
    </row>
    <row r="273">
      <c r="Y273" s="257"/>
    </row>
    <row r="274">
      <c r="Y274" s="257"/>
    </row>
    <row r="275">
      <c r="Y275" s="257"/>
    </row>
    <row r="276">
      <c r="Y276" s="257"/>
    </row>
    <row r="277">
      <c r="Y277" s="257"/>
    </row>
    <row r="278">
      <c r="Y278" s="257"/>
    </row>
    <row r="279">
      <c r="Y279" s="257"/>
    </row>
    <row r="280">
      <c r="Y280" s="257"/>
    </row>
    <row r="281">
      <c r="Y281" s="257"/>
    </row>
    <row r="282">
      <c r="Y282" s="257"/>
    </row>
    <row r="283">
      <c r="Y283" s="257"/>
    </row>
    <row r="284">
      <c r="Y284" s="257"/>
    </row>
    <row r="285">
      <c r="Y285" s="257"/>
    </row>
    <row r="286">
      <c r="Y286" s="257"/>
    </row>
    <row r="287">
      <c r="Y287" s="257"/>
    </row>
    <row r="288">
      <c r="Y288" s="257"/>
    </row>
    <row r="289">
      <c r="Y289" s="257"/>
    </row>
    <row r="290">
      <c r="Y290" s="257"/>
    </row>
    <row r="291">
      <c r="Y291" s="257"/>
    </row>
    <row r="292">
      <c r="Y292" s="257"/>
    </row>
    <row r="293">
      <c r="Y293" s="257"/>
    </row>
    <row r="294">
      <c r="Y294" s="257"/>
    </row>
    <row r="295">
      <c r="Y295" s="257"/>
    </row>
    <row r="296">
      <c r="Y296" s="257"/>
    </row>
    <row r="297">
      <c r="Y297" s="257"/>
    </row>
    <row r="298">
      <c r="Y298" s="257"/>
    </row>
    <row r="299">
      <c r="Y299" s="257"/>
    </row>
    <row r="300">
      <c r="Y300" s="257"/>
    </row>
    <row r="301">
      <c r="Y301" s="257"/>
    </row>
    <row r="302">
      <c r="Y302" s="257"/>
    </row>
    <row r="303">
      <c r="Y303" s="257"/>
    </row>
    <row r="304">
      <c r="Y304" s="257"/>
    </row>
    <row r="305">
      <c r="Y305" s="257"/>
    </row>
    <row r="306">
      <c r="Y306" s="257"/>
    </row>
    <row r="307">
      <c r="Y307" s="257"/>
    </row>
    <row r="308">
      <c r="Y308" s="257"/>
    </row>
    <row r="309">
      <c r="Y309" s="257"/>
    </row>
    <row r="310">
      <c r="Y310" s="257"/>
    </row>
    <row r="311">
      <c r="Y311" s="257"/>
    </row>
    <row r="312">
      <c r="Y312" s="257"/>
    </row>
    <row r="313">
      <c r="Y313" s="257"/>
    </row>
    <row r="314">
      <c r="Y314" s="257"/>
    </row>
    <row r="315">
      <c r="Y315" s="257"/>
    </row>
    <row r="316">
      <c r="Y316" s="257"/>
    </row>
    <row r="317">
      <c r="Y317" s="257"/>
    </row>
    <row r="318">
      <c r="Y318" s="257"/>
    </row>
    <row r="319">
      <c r="Y319" s="257"/>
    </row>
    <row r="320">
      <c r="Y320" s="257"/>
    </row>
    <row r="321">
      <c r="Y321" s="257"/>
    </row>
    <row r="322">
      <c r="Y322" s="257"/>
    </row>
    <row r="323">
      <c r="Y323" s="257"/>
    </row>
    <row r="324">
      <c r="Y324" s="257"/>
    </row>
    <row r="325">
      <c r="Y325" s="257"/>
    </row>
    <row r="326">
      <c r="Y326" s="257"/>
    </row>
    <row r="327">
      <c r="Y327" s="257"/>
    </row>
    <row r="328">
      <c r="Y328" s="257"/>
    </row>
    <row r="329">
      <c r="Y329" s="257"/>
    </row>
    <row r="330">
      <c r="Y330" s="257"/>
    </row>
    <row r="331">
      <c r="Y331" s="257"/>
    </row>
    <row r="332">
      <c r="Y332" s="257"/>
    </row>
    <row r="333">
      <c r="Y333" s="257"/>
    </row>
    <row r="334">
      <c r="Y334" s="257"/>
    </row>
    <row r="335">
      <c r="Y335" s="257"/>
    </row>
    <row r="336">
      <c r="Y336" s="257"/>
    </row>
    <row r="337">
      <c r="Y337" s="257"/>
    </row>
    <row r="338">
      <c r="Y338" s="257"/>
    </row>
    <row r="339">
      <c r="Y339" s="257"/>
    </row>
    <row r="340">
      <c r="Y340" s="257"/>
    </row>
    <row r="341">
      <c r="Y341" s="257"/>
    </row>
    <row r="342">
      <c r="Y342" s="257"/>
    </row>
    <row r="343">
      <c r="Y343" s="257"/>
    </row>
    <row r="344">
      <c r="Y344" s="257"/>
    </row>
    <row r="345">
      <c r="Y345" s="257"/>
    </row>
    <row r="346">
      <c r="Y346" s="257"/>
    </row>
    <row r="347">
      <c r="Y347" s="257"/>
    </row>
    <row r="348">
      <c r="Y348" s="257"/>
    </row>
    <row r="349">
      <c r="Y349" s="257"/>
    </row>
    <row r="350">
      <c r="Y350" s="257"/>
    </row>
    <row r="351">
      <c r="Y351" s="257"/>
    </row>
    <row r="352">
      <c r="Y352" s="257"/>
    </row>
    <row r="353">
      <c r="Y353" s="257"/>
    </row>
    <row r="354">
      <c r="Y354" s="257"/>
    </row>
    <row r="355">
      <c r="Y355" s="257"/>
    </row>
    <row r="356">
      <c r="Y356" s="257"/>
    </row>
    <row r="357">
      <c r="Y357" s="257"/>
    </row>
    <row r="358">
      <c r="Y358" s="257"/>
    </row>
    <row r="359">
      <c r="Y359" s="257"/>
    </row>
    <row r="360">
      <c r="Y360" s="257"/>
    </row>
    <row r="361">
      <c r="Y361" s="257"/>
    </row>
    <row r="362">
      <c r="Y362" s="257"/>
    </row>
    <row r="363">
      <c r="Y363" s="257"/>
    </row>
    <row r="364">
      <c r="Y364" s="257"/>
    </row>
    <row r="365">
      <c r="Y365" s="257"/>
    </row>
    <row r="366">
      <c r="Y366" s="257"/>
    </row>
    <row r="367">
      <c r="Y367" s="257"/>
    </row>
    <row r="368">
      <c r="Y368" s="257"/>
    </row>
    <row r="369">
      <c r="Y369" s="257"/>
    </row>
    <row r="370">
      <c r="Y370" s="257"/>
    </row>
    <row r="371">
      <c r="Y371" s="257"/>
    </row>
    <row r="372">
      <c r="Y372" s="257"/>
    </row>
    <row r="373">
      <c r="Y373" s="257"/>
    </row>
    <row r="374">
      <c r="Y374" s="257"/>
    </row>
    <row r="375">
      <c r="Y375" s="257"/>
    </row>
    <row r="376">
      <c r="Y376" s="257"/>
    </row>
    <row r="377">
      <c r="Y377" s="257"/>
    </row>
    <row r="378">
      <c r="Y378" s="257"/>
    </row>
    <row r="379">
      <c r="Y379" s="257"/>
    </row>
    <row r="380">
      <c r="Y380" s="257"/>
    </row>
    <row r="381">
      <c r="Y381" s="257"/>
    </row>
    <row r="382">
      <c r="Y382" s="257"/>
    </row>
    <row r="383">
      <c r="Y383" s="257"/>
    </row>
    <row r="384">
      <c r="Y384" s="257"/>
    </row>
    <row r="385">
      <c r="Y385" s="257"/>
    </row>
    <row r="386">
      <c r="Y386" s="257"/>
    </row>
    <row r="387">
      <c r="Y387" s="257"/>
    </row>
    <row r="388">
      <c r="Y388" s="257"/>
    </row>
    <row r="389">
      <c r="Y389" s="257"/>
    </row>
    <row r="390">
      <c r="Y390" s="257"/>
    </row>
    <row r="391">
      <c r="Y391" s="257"/>
    </row>
    <row r="392">
      <c r="Y392" s="257"/>
    </row>
    <row r="393">
      <c r="Y393" s="257"/>
    </row>
    <row r="394">
      <c r="Y394" s="257"/>
    </row>
    <row r="395">
      <c r="Y395" s="257"/>
    </row>
    <row r="396">
      <c r="Y396" s="257"/>
    </row>
    <row r="397">
      <c r="Y397" s="257"/>
    </row>
    <row r="398">
      <c r="Y398" s="257"/>
    </row>
    <row r="399">
      <c r="Y399" s="257"/>
    </row>
    <row r="400">
      <c r="Y400" s="257"/>
    </row>
    <row r="401">
      <c r="Y401" s="257"/>
    </row>
    <row r="402">
      <c r="Y402" s="257"/>
    </row>
    <row r="403">
      <c r="Y403" s="257"/>
    </row>
    <row r="404">
      <c r="Y404" s="257"/>
    </row>
    <row r="405">
      <c r="Y405" s="257"/>
    </row>
    <row r="406">
      <c r="Y406" s="257"/>
    </row>
    <row r="407">
      <c r="Y407" s="257"/>
    </row>
    <row r="408">
      <c r="Y408" s="257"/>
    </row>
    <row r="409">
      <c r="Y409" s="257"/>
    </row>
    <row r="410">
      <c r="Y410" s="257"/>
    </row>
    <row r="411">
      <c r="Y411" s="257"/>
    </row>
    <row r="412">
      <c r="Y412" s="257"/>
    </row>
    <row r="413">
      <c r="Y413" s="257"/>
    </row>
    <row r="414">
      <c r="Y414" s="257"/>
    </row>
    <row r="415">
      <c r="Y415" s="257"/>
    </row>
    <row r="416">
      <c r="Y416" s="257"/>
    </row>
    <row r="417">
      <c r="Y417" s="257"/>
    </row>
    <row r="418">
      <c r="Y418" s="257"/>
    </row>
    <row r="419">
      <c r="Y419" s="257"/>
    </row>
    <row r="420">
      <c r="Y420" s="257"/>
    </row>
    <row r="421">
      <c r="Y421" s="257"/>
    </row>
    <row r="422">
      <c r="Y422" s="257"/>
    </row>
    <row r="423">
      <c r="Y423" s="257"/>
    </row>
    <row r="424">
      <c r="Y424" s="257"/>
    </row>
    <row r="425">
      <c r="Y425" s="257"/>
    </row>
    <row r="426">
      <c r="Y426" s="257"/>
    </row>
    <row r="427">
      <c r="Y427" s="257"/>
    </row>
    <row r="428">
      <c r="Y428" s="257"/>
    </row>
    <row r="429">
      <c r="Y429" s="257"/>
    </row>
    <row r="430">
      <c r="Y430" s="257"/>
    </row>
    <row r="431">
      <c r="Y431" s="257"/>
    </row>
    <row r="432">
      <c r="Y432" s="257"/>
    </row>
    <row r="433">
      <c r="Y433" s="257"/>
    </row>
    <row r="434">
      <c r="Y434" s="257"/>
    </row>
    <row r="435">
      <c r="Y435" s="257"/>
    </row>
    <row r="436">
      <c r="Y436" s="257"/>
    </row>
    <row r="437">
      <c r="Y437" s="257"/>
    </row>
    <row r="438">
      <c r="Y438" s="257"/>
    </row>
    <row r="439">
      <c r="Y439" s="257"/>
    </row>
    <row r="440">
      <c r="Y440" s="257"/>
    </row>
    <row r="441">
      <c r="Y441" s="257"/>
    </row>
    <row r="442">
      <c r="Y442" s="257"/>
    </row>
    <row r="443">
      <c r="Y443" s="257"/>
    </row>
    <row r="444">
      <c r="Y444" s="257"/>
    </row>
    <row r="445">
      <c r="Y445" s="257"/>
    </row>
    <row r="446">
      <c r="Y446" s="257"/>
    </row>
    <row r="447">
      <c r="Y447" s="257"/>
    </row>
    <row r="448">
      <c r="Y448" s="257"/>
    </row>
    <row r="449">
      <c r="Y449" s="257"/>
    </row>
    <row r="450">
      <c r="Y450" s="257"/>
    </row>
    <row r="451">
      <c r="Y451" s="257"/>
    </row>
    <row r="452">
      <c r="Y452" s="257"/>
    </row>
    <row r="453">
      <c r="Y453" s="257"/>
    </row>
    <row r="454">
      <c r="Y454" s="257"/>
    </row>
    <row r="455">
      <c r="Y455" s="257"/>
    </row>
    <row r="456">
      <c r="Y456" s="257"/>
    </row>
    <row r="457">
      <c r="Y457" s="257"/>
    </row>
    <row r="458">
      <c r="Y458" s="257"/>
    </row>
    <row r="459">
      <c r="Y459" s="257"/>
    </row>
    <row r="460">
      <c r="Y460" s="257"/>
    </row>
    <row r="461">
      <c r="Y461" s="257"/>
    </row>
    <row r="462">
      <c r="Y462" s="257"/>
    </row>
    <row r="463">
      <c r="Y463" s="257"/>
    </row>
    <row r="464">
      <c r="Y464" s="257"/>
    </row>
    <row r="465">
      <c r="Y465" s="257"/>
    </row>
    <row r="466">
      <c r="Y466" s="257"/>
    </row>
    <row r="467">
      <c r="Y467" s="257"/>
    </row>
    <row r="468">
      <c r="Y468" s="257"/>
    </row>
    <row r="469">
      <c r="Y469" s="257"/>
    </row>
    <row r="470">
      <c r="Y470" s="257"/>
    </row>
    <row r="471">
      <c r="Y471" s="257"/>
    </row>
    <row r="472">
      <c r="Y472" s="257"/>
    </row>
    <row r="473">
      <c r="Y473" s="257"/>
    </row>
    <row r="474">
      <c r="Y474" s="257"/>
    </row>
    <row r="475">
      <c r="Y475" s="257"/>
    </row>
    <row r="476">
      <c r="Y476" s="257"/>
    </row>
    <row r="477">
      <c r="Y477" s="257"/>
    </row>
    <row r="478">
      <c r="Y478" s="257"/>
    </row>
    <row r="479">
      <c r="Y479" s="257"/>
    </row>
    <row r="480">
      <c r="Y480" s="257"/>
    </row>
    <row r="481">
      <c r="Y481" s="257"/>
    </row>
    <row r="482">
      <c r="Y482" s="257"/>
    </row>
    <row r="483">
      <c r="Y483" s="257"/>
    </row>
    <row r="484">
      <c r="Y484" s="257"/>
    </row>
    <row r="485">
      <c r="Y485" s="257"/>
    </row>
    <row r="486">
      <c r="Y486" s="257"/>
    </row>
    <row r="487">
      <c r="Y487" s="257"/>
    </row>
    <row r="488">
      <c r="Y488" s="257"/>
    </row>
    <row r="489">
      <c r="Y489" s="257"/>
    </row>
    <row r="490">
      <c r="Y490" s="257"/>
    </row>
    <row r="491">
      <c r="Y491" s="257"/>
    </row>
    <row r="492">
      <c r="Y492" s="257"/>
    </row>
    <row r="493">
      <c r="Y493" s="257"/>
    </row>
    <row r="494">
      <c r="Y494" s="257"/>
    </row>
    <row r="495">
      <c r="Y495" s="257"/>
    </row>
    <row r="496">
      <c r="Y496" s="257"/>
    </row>
    <row r="497">
      <c r="Y497" s="257"/>
    </row>
    <row r="498">
      <c r="Y498" s="257"/>
    </row>
    <row r="499">
      <c r="Y499" s="257"/>
    </row>
    <row r="500">
      <c r="Y500" s="257"/>
    </row>
    <row r="501">
      <c r="Y501" s="257"/>
    </row>
    <row r="502">
      <c r="Y502" s="257"/>
    </row>
    <row r="503">
      <c r="Y503" s="257"/>
    </row>
    <row r="504">
      <c r="Y504" s="257"/>
    </row>
    <row r="505">
      <c r="Y505" s="257"/>
    </row>
    <row r="506">
      <c r="Y506" s="257"/>
    </row>
    <row r="507">
      <c r="Y507" s="257"/>
    </row>
    <row r="508">
      <c r="Y508" s="257"/>
    </row>
    <row r="509">
      <c r="Y509" s="257"/>
    </row>
    <row r="510">
      <c r="Y510" s="257"/>
    </row>
    <row r="511">
      <c r="Y511" s="257"/>
    </row>
    <row r="512">
      <c r="Y512" s="257"/>
    </row>
    <row r="513">
      <c r="Y513" s="257"/>
    </row>
    <row r="514">
      <c r="Y514" s="257"/>
    </row>
    <row r="515">
      <c r="Y515" s="257"/>
    </row>
    <row r="516">
      <c r="Y516" s="257"/>
    </row>
    <row r="517">
      <c r="Y517" s="257"/>
    </row>
    <row r="518">
      <c r="Y518" s="257"/>
    </row>
    <row r="519">
      <c r="Y519" s="257"/>
    </row>
    <row r="520">
      <c r="Y520" s="257"/>
    </row>
    <row r="521">
      <c r="Y521" s="257"/>
    </row>
    <row r="522">
      <c r="Y522" s="257"/>
    </row>
    <row r="523">
      <c r="Y523" s="257"/>
    </row>
    <row r="524">
      <c r="Y524" s="257"/>
    </row>
    <row r="525">
      <c r="Y525" s="257"/>
    </row>
    <row r="526">
      <c r="Y526" s="257"/>
    </row>
    <row r="527">
      <c r="Y527" s="257"/>
    </row>
    <row r="528">
      <c r="Y528" s="257"/>
    </row>
    <row r="529">
      <c r="Y529" s="257"/>
    </row>
    <row r="530">
      <c r="Y530" s="257"/>
    </row>
    <row r="531">
      <c r="Y531" s="257"/>
    </row>
    <row r="532">
      <c r="Y532" s="257"/>
    </row>
    <row r="533">
      <c r="Y533" s="257"/>
    </row>
    <row r="534">
      <c r="Y534" s="257"/>
    </row>
    <row r="535">
      <c r="Y535" s="257"/>
    </row>
    <row r="536">
      <c r="Y536" s="257"/>
    </row>
    <row r="537">
      <c r="Y537" s="257"/>
    </row>
    <row r="538">
      <c r="Y538" s="257"/>
    </row>
    <row r="539">
      <c r="Y539" s="257"/>
    </row>
    <row r="540">
      <c r="Y540" s="257"/>
    </row>
    <row r="541">
      <c r="Y541" s="257"/>
    </row>
    <row r="542">
      <c r="Y542" s="257"/>
    </row>
    <row r="543">
      <c r="Y543" s="257"/>
    </row>
    <row r="544">
      <c r="Y544" s="257"/>
    </row>
    <row r="545">
      <c r="Y545" s="257"/>
    </row>
    <row r="546">
      <c r="Y546" s="257"/>
    </row>
    <row r="547">
      <c r="Y547" s="257"/>
    </row>
    <row r="548">
      <c r="Y548" s="257"/>
    </row>
    <row r="549">
      <c r="Y549" s="257"/>
    </row>
    <row r="550">
      <c r="Y550" s="257"/>
    </row>
    <row r="551">
      <c r="Y551" s="257"/>
    </row>
    <row r="552">
      <c r="Y552" s="257"/>
    </row>
    <row r="553">
      <c r="Y553" s="257"/>
    </row>
    <row r="554">
      <c r="Y554" s="257"/>
    </row>
    <row r="555">
      <c r="Y555" s="257"/>
    </row>
    <row r="556">
      <c r="Y556" s="257"/>
    </row>
    <row r="557">
      <c r="Y557" s="257"/>
    </row>
    <row r="558">
      <c r="Y558" s="257"/>
    </row>
    <row r="559">
      <c r="Y559" s="257"/>
    </row>
    <row r="560">
      <c r="Y560" s="257"/>
    </row>
    <row r="561">
      <c r="Y561" s="257"/>
    </row>
    <row r="562">
      <c r="Y562" s="257"/>
    </row>
    <row r="563">
      <c r="Y563" s="257"/>
    </row>
    <row r="564">
      <c r="Y564" s="257"/>
    </row>
    <row r="565">
      <c r="Y565" s="257"/>
    </row>
    <row r="566">
      <c r="Y566" s="257"/>
    </row>
    <row r="567">
      <c r="Y567" s="257"/>
    </row>
    <row r="568">
      <c r="Y568" s="257"/>
    </row>
    <row r="569">
      <c r="Y569" s="257"/>
    </row>
    <row r="570">
      <c r="Y570" s="257"/>
    </row>
    <row r="571">
      <c r="Y571" s="257"/>
    </row>
    <row r="572">
      <c r="Y572" s="257"/>
    </row>
    <row r="573">
      <c r="Y573" s="257"/>
    </row>
    <row r="574">
      <c r="Y574" s="257"/>
    </row>
    <row r="575">
      <c r="Y575" s="257"/>
    </row>
    <row r="576">
      <c r="Y576" s="257"/>
    </row>
    <row r="577">
      <c r="Y577" s="257"/>
    </row>
    <row r="578">
      <c r="Y578" s="257"/>
    </row>
    <row r="579">
      <c r="Y579" s="257"/>
    </row>
    <row r="580">
      <c r="Y580" s="257"/>
    </row>
    <row r="581">
      <c r="Y581" s="257"/>
    </row>
    <row r="582">
      <c r="Y582" s="257"/>
    </row>
    <row r="583">
      <c r="Y583" s="257"/>
    </row>
    <row r="584">
      <c r="Y584" s="257"/>
    </row>
    <row r="585">
      <c r="Y585" s="257"/>
    </row>
    <row r="586">
      <c r="Y586" s="257"/>
    </row>
    <row r="587">
      <c r="Y587" s="257"/>
    </row>
    <row r="588">
      <c r="Y588" s="257"/>
    </row>
    <row r="589">
      <c r="Y589" s="257"/>
    </row>
    <row r="590">
      <c r="Y590" s="257"/>
    </row>
    <row r="591">
      <c r="Y591" s="257"/>
    </row>
    <row r="592">
      <c r="Y592" s="257"/>
    </row>
    <row r="593">
      <c r="Y593" s="257"/>
    </row>
    <row r="594">
      <c r="Y594" s="257"/>
    </row>
    <row r="595">
      <c r="Y595" s="257"/>
    </row>
    <row r="596">
      <c r="Y596" s="257"/>
    </row>
    <row r="597">
      <c r="Y597" s="257"/>
    </row>
    <row r="598">
      <c r="Y598" s="257"/>
    </row>
    <row r="599">
      <c r="Y599" s="257"/>
    </row>
    <row r="600">
      <c r="Y600" s="257"/>
    </row>
    <row r="601">
      <c r="Y601" s="257"/>
    </row>
    <row r="602">
      <c r="Y602" s="257"/>
    </row>
    <row r="603">
      <c r="Y603" s="257"/>
    </row>
    <row r="604">
      <c r="Y604" s="257"/>
    </row>
    <row r="605">
      <c r="Y605" s="257"/>
    </row>
    <row r="606">
      <c r="Y606" s="257"/>
    </row>
    <row r="607">
      <c r="Y607" s="257"/>
    </row>
    <row r="608">
      <c r="Y608" s="257"/>
    </row>
    <row r="609">
      <c r="Y609" s="257"/>
    </row>
    <row r="610">
      <c r="Y610" s="257"/>
    </row>
    <row r="611">
      <c r="Y611" s="257"/>
    </row>
    <row r="612">
      <c r="Y612" s="257"/>
    </row>
    <row r="613">
      <c r="Y613" s="257"/>
    </row>
    <row r="614">
      <c r="Y614" s="257"/>
    </row>
    <row r="615">
      <c r="Y615" s="257"/>
    </row>
    <row r="616">
      <c r="Y616" s="257"/>
    </row>
    <row r="617">
      <c r="Y617" s="257"/>
    </row>
    <row r="618">
      <c r="Y618" s="257"/>
    </row>
    <row r="619">
      <c r="Y619" s="257"/>
    </row>
    <row r="620">
      <c r="Y620" s="257"/>
    </row>
    <row r="621">
      <c r="Y621" s="257"/>
    </row>
    <row r="622">
      <c r="Y622" s="257"/>
    </row>
    <row r="623">
      <c r="Y623" s="257"/>
    </row>
    <row r="624">
      <c r="Y624" s="257"/>
    </row>
    <row r="625">
      <c r="Y625" s="257"/>
    </row>
    <row r="626">
      <c r="Y626" s="257"/>
    </row>
    <row r="627">
      <c r="Y627" s="257"/>
    </row>
    <row r="628">
      <c r="Y628" s="257"/>
    </row>
    <row r="629">
      <c r="Y629" s="257"/>
    </row>
    <row r="630">
      <c r="Y630" s="257"/>
    </row>
    <row r="631">
      <c r="Y631" s="257"/>
    </row>
    <row r="632">
      <c r="Y632" s="257"/>
    </row>
    <row r="633">
      <c r="Y633" s="257"/>
    </row>
    <row r="634">
      <c r="Y634" s="257"/>
    </row>
    <row r="635">
      <c r="Y635" s="257"/>
    </row>
    <row r="636">
      <c r="Y636" s="257"/>
    </row>
    <row r="637">
      <c r="Y637" s="257"/>
    </row>
    <row r="638">
      <c r="Y638" s="257"/>
    </row>
    <row r="639">
      <c r="Y639" s="257"/>
    </row>
    <row r="640">
      <c r="Y640" s="257"/>
    </row>
    <row r="641">
      <c r="Y641" s="257"/>
    </row>
    <row r="642">
      <c r="Y642" s="257"/>
    </row>
    <row r="643">
      <c r="Y643" s="257"/>
    </row>
    <row r="644">
      <c r="Y644" s="257"/>
    </row>
    <row r="645">
      <c r="Y645" s="257"/>
    </row>
    <row r="646">
      <c r="Y646" s="257"/>
    </row>
    <row r="647">
      <c r="Y647" s="257"/>
    </row>
    <row r="648">
      <c r="Y648" s="257"/>
    </row>
    <row r="649">
      <c r="Y649" s="257"/>
    </row>
    <row r="650">
      <c r="Y650" s="257"/>
    </row>
    <row r="651">
      <c r="Y651" s="257"/>
    </row>
    <row r="652">
      <c r="Y652" s="257"/>
    </row>
    <row r="653">
      <c r="Y653" s="257"/>
    </row>
    <row r="654">
      <c r="Y654" s="257"/>
    </row>
    <row r="655">
      <c r="Y655" s="257"/>
    </row>
    <row r="656">
      <c r="Y656" s="257"/>
    </row>
    <row r="657">
      <c r="Y657" s="257"/>
    </row>
    <row r="658">
      <c r="Y658" s="257"/>
    </row>
    <row r="659">
      <c r="Y659" s="257"/>
    </row>
    <row r="660">
      <c r="Y660" s="257"/>
    </row>
    <row r="661">
      <c r="Y661" s="257"/>
    </row>
    <row r="662">
      <c r="Y662" s="257"/>
    </row>
    <row r="663">
      <c r="Y663" s="257"/>
    </row>
    <row r="664">
      <c r="Y664" s="257"/>
    </row>
    <row r="665">
      <c r="Y665" s="257"/>
    </row>
    <row r="666">
      <c r="Y666" s="257"/>
    </row>
    <row r="667">
      <c r="Y667" s="257"/>
    </row>
    <row r="668">
      <c r="Y668" s="257"/>
    </row>
    <row r="669">
      <c r="Y669" s="257"/>
    </row>
    <row r="670">
      <c r="Y670" s="257"/>
    </row>
    <row r="671">
      <c r="Y671" s="257"/>
    </row>
    <row r="672">
      <c r="Y672" s="257"/>
    </row>
    <row r="673">
      <c r="Y673" s="257"/>
    </row>
    <row r="674">
      <c r="Y674" s="257"/>
    </row>
    <row r="675">
      <c r="Y675" s="257"/>
    </row>
    <row r="676">
      <c r="Y676" s="257"/>
    </row>
    <row r="677">
      <c r="Y677" s="257"/>
    </row>
    <row r="678">
      <c r="Y678" s="257"/>
    </row>
    <row r="679">
      <c r="Y679" s="257"/>
    </row>
    <row r="680">
      <c r="Y680" s="257"/>
    </row>
    <row r="681">
      <c r="Y681" s="257"/>
    </row>
    <row r="682">
      <c r="Y682" s="257"/>
    </row>
    <row r="683">
      <c r="Y683" s="257"/>
    </row>
    <row r="684">
      <c r="Y684" s="257"/>
    </row>
    <row r="685">
      <c r="Y685" s="257"/>
    </row>
    <row r="686">
      <c r="Y686" s="257"/>
    </row>
    <row r="687">
      <c r="Y687" s="257"/>
    </row>
    <row r="688">
      <c r="Y688" s="257"/>
    </row>
    <row r="689">
      <c r="Y689" s="257"/>
    </row>
    <row r="690">
      <c r="Y690" s="257"/>
    </row>
    <row r="691">
      <c r="Y691" s="257"/>
    </row>
    <row r="692">
      <c r="Y692" s="257"/>
    </row>
    <row r="693">
      <c r="Y693" s="257"/>
    </row>
    <row r="694">
      <c r="Y694" s="257"/>
    </row>
    <row r="695">
      <c r="Y695" s="257"/>
    </row>
    <row r="696">
      <c r="Y696" s="257"/>
    </row>
    <row r="697">
      <c r="Y697" s="257"/>
    </row>
    <row r="698">
      <c r="Y698" s="257"/>
    </row>
    <row r="699">
      <c r="Y699" s="257"/>
    </row>
    <row r="700">
      <c r="Y700" s="257"/>
    </row>
    <row r="701">
      <c r="Y701" s="257"/>
    </row>
    <row r="702">
      <c r="Y702" s="257"/>
    </row>
    <row r="703">
      <c r="Y703" s="257"/>
    </row>
    <row r="704">
      <c r="Y704" s="257"/>
    </row>
    <row r="705">
      <c r="Y705" s="257"/>
    </row>
    <row r="706">
      <c r="Y706" s="257"/>
    </row>
    <row r="707">
      <c r="Y707" s="257"/>
    </row>
    <row r="708">
      <c r="Y708" s="257"/>
    </row>
    <row r="709">
      <c r="Y709" s="257"/>
    </row>
    <row r="710">
      <c r="Y710" s="257"/>
    </row>
    <row r="711">
      <c r="Y711" s="257"/>
    </row>
    <row r="712">
      <c r="Y712" s="257"/>
    </row>
    <row r="713">
      <c r="Y713" s="257"/>
    </row>
    <row r="714">
      <c r="Y714" s="257"/>
    </row>
    <row r="715">
      <c r="Y715" s="257"/>
    </row>
    <row r="716">
      <c r="Y716" s="257"/>
    </row>
    <row r="717">
      <c r="Y717" s="257"/>
    </row>
    <row r="718">
      <c r="Y718" s="257"/>
    </row>
    <row r="719">
      <c r="Y719" s="257"/>
    </row>
    <row r="720">
      <c r="Y720" s="257"/>
    </row>
    <row r="721">
      <c r="Y721" s="257"/>
    </row>
    <row r="722">
      <c r="Y722" s="257"/>
    </row>
    <row r="723">
      <c r="Y723" s="257"/>
    </row>
    <row r="724">
      <c r="Y724" s="257"/>
    </row>
    <row r="725">
      <c r="Y725" s="257"/>
    </row>
    <row r="726">
      <c r="Y726" s="257"/>
    </row>
    <row r="727">
      <c r="Y727" s="257"/>
    </row>
    <row r="728">
      <c r="Y728" s="257"/>
    </row>
    <row r="729">
      <c r="Y729" s="257"/>
    </row>
    <row r="730">
      <c r="Y730" s="257"/>
    </row>
    <row r="731">
      <c r="Y731" s="257"/>
    </row>
    <row r="732">
      <c r="Y732" s="257"/>
    </row>
    <row r="733">
      <c r="Y733" s="257"/>
    </row>
    <row r="734">
      <c r="Y734" s="257"/>
    </row>
    <row r="735">
      <c r="Y735" s="257"/>
    </row>
    <row r="736">
      <c r="Y736" s="257"/>
    </row>
    <row r="737">
      <c r="Y737" s="257"/>
    </row>
    <row r="738">
      <c r="Y738" s="257"/>
    </row>
    <row r="739">
      <c r="Y739" s="257"/>
    </row>
    <row r="740">
      <c r="Y740" s="257"/>
    </row>
    <row r="741">
      <c r="Y741" s="257"/>
    </row>
    <row r="742">
      <c r="Y742" s="257"/>
    </row>
    <row r="743">
      <c r="Y743" s="257"/>
    </row>
    <row r="744">
      <c r="Y744" s="257"/>
    </row>
    <row r="745">
      <c r="Y745" s="257"/>
    </row>
    <row r="746">
      <c r="Y746" s="257"/>
    </row>
    <row r="747">
      <c r="Y747" s="257"/>
    </row>
    <row r="748">
      <c r="Y748" s="257"/>
    </row>
    <row r="749">
      <c r="Y749" s="257"/>
    </row>
    <row r="750">
      <c r="Y750" s="257"/>
    </row>
    <row r="751">
      <c r="Y751" s="257"/>
    </row>
    <row r="752">
      <c r="Y752" s="257"/>
    </row>
    <row r="753">
      <c r="Y753" s="257"/>
    </row>
    <row r="754">
      <c r="Y754" s="257"/>
    </row>
    <row r="755">
      <c r="Y755" s="257"/>
    </row>
    <row r="756">
      <c r="Y756" s="257"/>
    </row>
    <row r="757">
      <c r="Y757" s="257"/>
    </row>
    <row r="758">
      <c r="Y758" s="257"/>
    </row>
    <row r="759">
      <c r="Y759" s="257"/>
    </row>
    <row r="760">
      <c r="Y760" s="257"/>
    </row>
    <row r="761">
      <c r="Y761" s="257"/>
    </row>
    <row r="762">
      <c r="Y762" s="257"/>
    </row>
    <row r="763">
      <c r="Y763" s="257"/>
    </row>
    <row r="764">
      <c r="Y764" s="257"/>
    </row>
    <row r="765">
      <c r="Y765" s="257"/>
    </row>
    <row r="766">
      <c r="Y766" s="257"/>
    </row>
    <row r="767">
      <c r="Y767" s="257"/>
    </row>
    <row r="768">
      <c r="Y768" s="257"/>
    </row>
    <row r="769">
      <c r="Y769" s="257"/>
    </row>
    <row r="770">
      <c r="Y770" s="257"/>
    </row>
    <row r="771">
      <c r="Y771" s="257"/>
    </row>
    <row r="772">
      <c r="Y772" s="257"/>
    </row>
    <row r="773">
      <c r="Y773" s="257"/>
    </row>
    <row r="774">
      <c r="Y774" s="257"/>
    </row>
    <row r="775">
      <c r="Y775" s="257"/>
    </row>
    <row r="776">
      <c r="Y776" s="257"/>
    </row>
    <row r="777">
      <c r="Y777" s="257"/>
    </row>
    <row r="778">
      <c r="Y778" s="257"/>
    </row>
    <row r="779">
      <c r="Y779" s="257"/>
    </row>
    <row r="780">
      <c r="Y780" s="257"/>
    </row>
    <row r="781">
      <c r="Y781" s="257"/>
    </row>
    <row r="782">
      <c r="Y782" s="257"/>
    </row>
    <row r="783">
      <c r="Y783" s="257"/>
    </row>
    <row r="784">
      <c r="Y784" s="257"/>
    </row>
    <row r="785">
      <c r="Y785" s="257"/>
    </row>
    <row r="786">
      <c r="Y786" s="257"/>
    </row>
    <row r="787">
      <c r="Y787" s="257"/>
    </row>
    <row r="788">
      <c r="Y788" s="257"/>
    </row>
    <row r="789">
      <c r="Y789" s="257"/>
    </row>
    <row r="790">
      <c r="Y790" s="257"/>
    </row>
    <row r="791">
      <c r="Y791" s="257"/>
    </row>
    <row r="792">
      <c r="Y792" s="257"/>
    </row>
    <row r="793">
      <c r="Y793" s="257"/>
    </row>
    <row r="794">
      <c r="Y794" s="257"/>
    </row>
    <row r="795">
      <c r="Y795" s="257"/>
    </row>
    <row r="796">
      <c r="Y796" s="257"/>
    </row>
    <row r="797">
      <c r="Y797" s="257"/>
    </row>
    <row r="798">
      <c r="Y798" s="257"/>
    </row>
    <row r="799">
      <c r="Y799" s="257"/>
    </row>
    <row r="800">
      <c r="Y800" s="257"/>
    </row>
    <row r="801">
      <c r="Y801" s="257"/>
    </row>
    <row r="802">
      <c r="Y802" s="257"/>
    </row>
    <row r="803">
      <c r="Y803" s="257"/>
    </row>
    <row r="804">
      <c r="Y804" s="257"/>
    </row>
    <row r="805">
      <c r="Y805" s="257"/>
    </row>
    <row r="806">
      <c r="Y806" s="257"/>
    </row>
    <row r="807">
      <c r="Y807" s="257"/>
    </row>
    <row r="808">
      <c r="Y808" s="257"/>
    </row>
    <row r="809">
      <c r="Y809" s="257"/>
    </row>
    <row r="810">
      <c r="Y810" s="257"/>
    </row>
    <row r="811">
      <c r="Y811" s="257"/>
    </row>
    <row r="812">
      <c r="Y812" s="257"/>
    </row>
    <row r="813">
      <c r="Y813" s="257"/>
    </row>
    <row r="814">
      <c r="Y814" s="257"/>
    </row>
    <row r="815">
      <c r="Y815" s="257"/>
    </row>
    <row r="816">
      <c r="Y816" s="257"/>
    </row>
    <row r="817">
      <c r="Y817" s="257"/>
    </row>
    <row r="818">
      <c r="Y818" s="257"/>
    </row>
    <row r="819">
      <c r="Y819" s="257"/>
    </row>
    <row r="820">
      <c r="Y820" s="257"/>
    </row>
    <row r="821">
      <c r="Y821" s="257"/>
    </row>
    <row r="822">
      <c r="Y822" s="257"/>
    </row>
    <row r="823">
      <c r="Y823" s="257"/>
    </row>
    <row r="824">
      <c r="Y824" s="257"/>
    </row>
    <row r="825">
      <c r="Y825" s="257"/>
    </row>
    <row r="826">
      <c r="Y826" s="257"/>
    </row>
    <row r="827">
      <c r="Y827" s="257"/>
    </row>
    <row r="828">
      <c r="Y828" s="257"/>
    </row>
    <row r="829">
      <c r="Y829" s="257"/>
    </row>
    <row r="830">
      <c r="Y830" s="257"/>
    </row>
    <row r="831">
      <c r="Y831" s="257"/>
    </row>
    <row r="832">
      <c r="Y832" s="257"/>
    </row>
    <row r="833">
      <c r="Y833" s="257"/>
    </row>
    <row r="834">
      <c r="Y834" s="257"/>
    </row>
    <row r="835">
      <c r="Y835" s="257"/>
    </row>
    <row r="836">
      <c r="Y836" s="257"/>
    </row>
    <row r="837">
      <c r="Y837" s="257"/>
    </row>
    <row r="838">
      <c r="Y838" s="257"/>
    </row>
    <row r="839">
      <c r="Y839" s="257"/>
    </row>
    <row r="840">
      <c r="Y840" s="257"/>
    </row>
    <row r="841">
      <c r="Y841" s="257"/>
    </row>
    <row r="842">
      <c r="Y842" s="257"/>
    </row>
    <row r="843">
      <c r="Y843" s="257"/>
    </row>
    <row r="844">
      <c r="Y844" s="257"/>
    </row>
    <row r="845">
      <c r="Y845" s="257"/>
    </row>
    <row r="846">
      <c r="Y846" s="257"/>
    </row>
    <row r="847">
      <c r="Y847" s="257"/>
    </row>
    <row r="848">
      <c r="Y848" s="257"/>
    </row>
    <row r="849">
      <c r="Y849" s="257"/>
    </row>
    <row r="850">
      <c r="Y850" s="257"/>
    </row>
    <row r="851">
      <c r="Y851" s="257"/>
    </row>
    <row r="852">
      <c r="Y852" s="257"/>
    </row>
    <row r="853">
      <c r="Y853" s="257"/>
    </row>
    <row r="854">
      <c r="Y854" s="257"/>
    </row>
    <row r="855">
      <c r="Y855" s="257"/>
    </row>
    <row r="856">
      <c r="Y856" s="257"/>
    </row>
    <row r="857">
      <c r="Y857" s="257"/>
    </row>
    <row r="858">
      <c r="Y858" s="257"/>
    </row>
    <row r="859">
      <c r="Y859" s="257"/>
    </row>
    <row r="860">
      <c r="Y860" s="257"/>
    </row>
    <row r="861">
      <c r="Y861" s="257"/>
    </row>
    <row r="862">
      <c r="Y862" s="257"/>
    </row>
    <row r="863">
      <c r="Y863" s="257"/>
    </row>
    <row r="864">
      <c r="Y864" s="257"/>
    </row>
    <row r="865">
      <c r="Y865" s="257"/>
    </row>
    <row r="866">
      <c r="Y866" s="257"/>
    </row>
    <row r="867">
      <c r="Y867" s="257"/>
    </row>
    <row r="868">
      <c r="Y868" s="257"/>
    </row>
    <row r="869">
      <c r="Y869" s="257"/>
    </row>
    <row r="870">
      <c r="Y870" s="257"/>
    </row>
    <row r="871">
      <c r="Y871" s="257"/>
    </row>
    <row r="872">
      <c r="Y872" s="257"/>
    </row>
    <row r="873">
      <c r="Y873" s="257"/>
    </row>
    <row r="874">
      <c r="Y874" s="257"/>
    </row>
    <row r="875">
      <c r="Y875" s="257"/>
    </row>
    <row r="876">
      <c r="Y876" s="257"/>
    </row>
    <row r="877">
      <c r="Y877" s="257"/>
    </row>
    <row r="878">
      <c r="Y878" s="257"/>
    </row>
    <row r="879">
      <c r="Y879" s="257"/>
    </row>
    <row r="880">
      <c r="Y880" s="257"/>
    </row>
    <row r="881">
      <c r="Y881" s="257"/>
    </row>
    <row r="882">
      <c r="Y882" s="257"/>
    </row>
    <row r="883">
      <c r="Y883" s="257"/>
    </row>
    <row r="884">
      <c r="Y884" s="257"/>
    </row>
    <row r="885">
      <c r="Y885" s="257"/>
    </row>
    <row r="886">
      <c r="Y886" s="257"/>
    </row>
    <row r="887">
      <c r="Y887" s="257"/>
    </row>
    <row r="888">
      <c r="Y888" s="257"/>
    </row>
    <row r="889">
      <c r="Y889" s="257"/>
    </row>
    <row r="890">
      <c r="Y890" s="257"/>
    </row>
    <row r="891">
      <c r="Y891" s="257"/>
    </row>
    <row r="892">
      <c r="Y892" s="257"/>
    </row>
    <row r="893">
      <c r="Y893" s="257"/>
    </row>
    <row r="894">
      <c r="Y894" s="257"/>
    </row>
    <row r="895">
      <c r="Y895" s="257"/>
    </row>
    <row r="896">
      <c r="Y896" s="257"/>
    </row>
    <row r="897">
      <c r="Y897" s="257"/>
    </row>
    <row r="898">
      <c r="Y898" s="257"/>
    </row>
    <row r="899">
      <c r="Y899" s="257"/>
    </row>
    <row r="900">
      <c r="Y900" s="257"/>
    </row>
    <row r="901">
      <c r="Y901" s="257"/>
    </row>
    <row r="902">
      <c r="Y902" s="257"/>
    </row>
    <row r="903">
      <c r="Y903" s="257"/>
    </row>
    <row r="904">
      <c r="Y904" s="257"/>
    </row>
    <row r="905">
      <c r="Y905" s="257"/>
    </row>
    <row r="906">
      <c r="Y906" s="257"/>
    </row>
    <row r="907">
      <c r="Y907" s="257"/>
    </row>
    <row r="908">
      <c r="Y908" s="257"/>
    </row>
    <row r="909">
      <c r="Y909" s="257"/>
    </row>
    <row r="910">
      <c r="Y910" s="257"/>
    </row>
    <row r="911">
      <c r="Y911" s="257"/>
    </row>
    <row r="912">
      <c r="Y912" s="257"/>
    </row>
    <row r="913">
      <c r="Y913" s="257"/>
    </row>
    <row r="914">
      <c r="Y914" s="257"/>
    </row>
    <row r="915">
      <c r="Y915" s="257"/>
    </row>
    <row r="916">
      <c r="Y916" s="257"/>
    </row>
    <row r="917">
      <c r="Y917" s="257"/>
    </row>
    <row r="918">
      <c r="Y918" s="257"/>
    </row>
    <row r="919">
      <c r="Y919" s="257"/>
    </row>
    <row r="920">
      <c r="Y920" s="257"/>
    </row>
    <row r="921">
      <c r="Y921" s="257"/>
    </row>
    <row r="922">
      <c r="Y922" s="257"/>
    </row>
    <row r="923">
      <c r="Y923" s="257"/>
    </row>
    <row r="924">
      <c r="Y924" s="257"/>
    </row>
    <row r="925">
      <c r="Y925" s="257"/>
    </row>
    <row r="926">
      <c r="Y926" s="257"/>
    </row>
    <row r="927">
      <c r="Y927" s="257"/>
    </row>
    <row r="928">
      <c r="Y928" s="257"/>
    </row>
    <row r="929">
      <c r="Y929" s="257"/>
    </row>
    <row r="930">
      <c r="Y930" s="257"/>
    </row>
    <row r="931">
      <c r="Y931" s="257"/>
    </row>
    <row r="932">
      <c r="Y932" s="257"/>
    </row>
    <row r="933">
      <c r="Y933" s="257"/>
    </row>
    <row r="934">
      <c r="Y934" s="257"/>
    </row>
    <row r="935">
      <c r="Y935" s="257"/>
    </row>
    <row r="936">
      <c r="Y936" s="257"/>
    </row>
    <row r="937">
      <c r="Y937" s="257"/>
    </row>
    <row r="938">
      <c r="Y938" s="257"/>
    </row>
    <row r="939">
      <c r="Y939" s="257"/>
    </row>
    <row r="940">
      <c r="Y940" s="257"/>
    </row>
    <row r="941">
      <c r="Y941" s="257"/>
    </row>
    <row r="942">
      <c r="Y942" s="257"/>
    </row>
    <row r="943">
      <c r="Y943" s="257"/>
    </row>
    <row r="944">
      <c r="Y944" s="257"/>
    </row>
    <row r="945">
      <c r="Y945" s="257"/>
    </row>
    <row r="946">
      <c r="Y946" s="257"/>
    </row>
    <row r="947">
      <c r="Y947" s="257"/>
    </row>
    <row r="948">
      <c r="Y948" s="257"/>
    </row>
    <row r="949">
      <c r="Y949" s="257"/>
    </row>
    <row r="950">
      <c r="Y950" s="257"/>
    </row>
    <row r="951">
      <c r="Y951" s="257"/>
    </row>
    <row r="952">
      <c r="Y952" s="257"/>
    </row>
    <row r="953">
      <c r="Y953" s="257"/>
    </row>
    <row r="954">
      <c r="Y954" s="257"/>
    </row>
    <row r="955">
      <c r="Y955" s="257"/>
    </row>
    <row r="956">
      <c r="Y956" s="257"/>
    </row>
    <row r="957">
      <c r="Y957" s="257"/>
    </row>
    <row r="958">
      <c r="Y958" s="257"/>
    </row>
    <row r="959">
      <c r="Y959" s="257"/>
    </row>
    <row r="960">
      <c r="Y960" s="257"/>
    </row>
    <row r="961">
      <c r="Y961" s="257"/>
    </row>
    <row r="962">
      <c r="Y962" s="257"/>
    </row>
    <row r="963">
      <c r="Y963" s="257"/>
    </row>
    <row r="964">
      <c r="Y964" s="257"/>
    </row>
    <row r="965">
      <c r="Y965" s="257"/>
    </row>
    <row r="966">
      <c r="Y966" s="257"/>
    </row>
    <row r="967">
      <c r="Y967" s="257"/>
    </row>
    <row r="968">
      <c r="Y968" s="257"/>
    </row>
    <row r="969">
      <c r="Y969" s="257"/>
    </row>
    <row r="970">
      <c r="Y970" s="257"/>
    </row>
    <row r="971">
      <c r="Y971" s="257"/>
    </row>
    <row r="972">
      <c r="Y972" s="257"/>
    </row>
    <row r="973">
      <c r="Y973" s="257"/>
    </row>
    <row r="974">
      <c r="Y974" s="257"/>
    </row>
    <row r="975">
      <c r="Y975" s="257"/>
    </row>
    <row r="976">
      <c r="Y976" s="257"/>
    </row>
    <row r="977">
      <c r="Y977" s="257"/>
    </row>
    <row r="978">
      <c r="Y978" s="257"/>
    </row>
    <row r="979">
      <c r="Y979" s="257"/>
    </row>
    <row r="980">
      <c r="Y980" s="257"/>
    </row>
    <row r="981">
      <c r="Y981" s="257"/>
    </row>
    <row r="982">
      <c r="Y982" s="257"/>
    </row>
    <row r="983">
      <c r="Y983" s="257"/>
    </row>
    <row r="984">
      <c r="Y984" s="257"/>
    </row>
    <row r="985">
      <c r="Y985" s="257"/>
    </row>
    <row r="986">
      <c r="Y986" s="257"/>
    </row>
    <row r="987">
      <c r="Y987" s="257"/>
    </row>
    <row r="988">
      <c r="Y988" s="257"/>
    </row>
    <row r="989">
      <c r="Y989" s="257"/>
    </row>
    <row r="990">
      <c r="Y990" s="257"/>
    </row>
    <row r="991">
      <c r="Y991" s="257"/>
    </row>
    <row r="992">
      <c r="Y992" s="257"/>
    </row>
    <row r="993">
      <c r="Y993" s="257"/>
    </row>
    <row r="994">
      <c r="Y994" s="257"/>
    </row>
    <row r="995">
      <c r="Y995" s="257"/>
    </row>
    <row r="996">
      <c r="Y996" s="257"/>
    </row>
    <row r="997">
      <c r="Y997" s="257"/>
    </row>
    <row r="998">
      <c r="Y998" s="257"/>
    </row>
    <row r="999">
      <c r="Y999" s="257"/>
    </row>
    <row r="1000">
      <c r="Y1000" s="257"/>
    </row>
    <row r="1001">
      <c r="Y1001" s="257"/>
    </row>
    <row r="1002">
      <c r="Y1002" s="257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72"/>
      <c r="C1" s="472"/>
      <c r="D1" s="472"/>
      <c r="E1" s="472"/>
      <c r="F1" s="472"/>
      <c r="G1" s="472"/>
    </row>
    <row r="2">
      <c r="B2" s="468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69" t="str">
        <f>IFERROR(__xludf.DUMMYFUNCTION("""COMPUTED_VALUE"""),"Sales")</f>
        <v>Sales</v>
      </c>
      <c r="D2" s="469" t="str">
        <f>IFERROR(__xludf.DUMMYFUNCTION("""COMPUTED_VALUE"""),"Same PD LY")</f>
        <v>Same PD LY</v>
      </c>
      <c r="E2" s="469" t="str">
        <f>IFERROR(__xludf.DUMMYFUNCTION("""COMPUTED_VALUE"""),"Dollar Change")</f>
        <v>Dollar Change</v>
      </c>
      <c r="F2" s="470" t="str">
        <f>IFERROR(__xludf.DUMMYFUNCTION("""COMPUTED_VALUE"""),"Percent Change")</f>
        <v>Percent Change</v>
      </c>
      <c r="G2" s="469" t="str">
        <f>IFERROR(__xludf.DUMMYFUNCTION("""COMPUTED_VALUE"""),"PD Budget")</f>
        <v>PD Budget</v>
      </c>
      <c r="H2" s="469" t="str">
        <f>IFERROR(__xludf.DUMMYFUNCTION("""COMPUTED_VALUE"""),"Var to Bud +/-")</f>
        <v>Var to Bud +/-</v>
      </c>
      <c r="I2" s="469" t="str">
        <f>IFERROR(__xludf.DUMMYFUNCTION("""COMPUTED_VALUE"""),"Var to Bud ")</f>
        <v>Var to Bud </v>
      </c>
      <c r="J2" s="469" t="str">
        <f>IFERROR(__xludf.DUMMYFUNCTION("""COMPUTED_VALUE"""),"Total Labor ")</f>
        <v>Total Labor </v>
      </c>
      <c r="K2" s="469" t="str">
        <f>IFERROR(__xludf.DUMMYFUNCTION("""COMPUTED_VALUE"""),"Bud Labor ")</f>
        <v>Bud Labor </v>
      </c>
      <c r="L2" s="469" t="str">
        <f>IFERROR(__xludf.DUMMYFUNCTION("""COMPUTED_VALUE"""),"Var Lbr to Bud")</f>
        <v>Var Lbr to Bud</v>
      </c>
      <c r="M2" s="469" t="str">
        <f>IFERROR(__xludf.DUMMYFUNCTION("""COMPUTED_VALUE"""),"Total COGS")</f>
        <v>Total COGS</v>
      </c>
      <c r="N2" s="487" t="str">
        <f>IFERROR(__xludf.DUMMYFUNCTION("""COMPUTED_VALUE"""),"Bud COGS")</f>
        <v>Bud COGS</v>
      </c>
      <c r="O2" s="469" t="str">
        <f>IFERROR(__xludf.DUMMYFUNCTION("""COMPUTED_VALUE"""),"Var COGS to Bud")</f>
        <v>Var COGS to Bud</v>
      </c>
      <c r="P2" s="469" t="str">
        <f>IFERROR(__xludf.DUMMYFUNCTION("""COMPUTED_VALUE"""),"Total PC ")</f>
        <v>Total PC </v>
      </c>
      <c r="Q2" s="469" t="str">
        <f>IFERROR(__xludf.DUMMYFUNCTION("""COMPUTED_VALUE"""),"Bud PC")</f>
        <v>Bud PC</v>
      </c>
      <c r="R2" s="469" t="str">
        <f>IFERROR(__xludf.DUMMYFUNCTION("""COMPUTED_VALUE"""),"Var PC to Bud")</f>
        <v>Var PC to Bud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2"/>
      <c r="Y2" s="515"/>
      <c r="Z2" s="472"/>
      <c r="AA2" s="472"/>
    </row>
    <row r="3">
      <c r="B3" s="516" t="str">
        <f>IFERROR(__xludf.DUMMYFUNCTION("""COMPUTED_VALUE"""),"Ballpark")</f>
        <v>Ballpark</v>
      </c>
      <c r="C3" s="474">
        <f>IFERROR(__xludf.DUMMYFUNCTION("""COMPUTED_VALUE"""),12.0)</f>
        <v>12</v>
      </c>
      <c r="D3" s="474">
        <f>IFERROR(__xludf.DUMMYFUNCTION("""COMPUTED_VALUE"""),16991.0)</f>
        <v>16991</v>
      </c>
      <c r="E3" s="475">
        <f>IFERROR(__xludf.DUMMYFUNCTION("""COMPUTED_VALUE"""),-16979.0)</f>
        <v>-16979</v>
      </c>
      <c r="F3" s="517">
        <f>IFERROR(__xludf.DUMMYFUNCTION("""COMPUTED_VALUE"""),-0.9992937437466894)</f>
        <v>-0.9992937437</v>
      </c>
      <c r="G3" s="474">
        <f>IFERROR(__xludf.DUMMYFUNCTION("""COMPUTED_VALUE"""),21689.79)</f>
        <v>21689.79</v>
      </c>
      <c r="H3" s="475">
        <f>IFERROR(__xludf.DUMMYFUNCTION("""COMPUTED_VALUE"""),-21677.79)</f>
        <v>-21677.79</v>
      </c>
      <c r="I3" s="517">
        <f>IFERROR(__xludf.DUMMYFUNCTION("""COMPUTED_VALUE"""),-0.9994467442976627)</f>
        <v>-0.9994467443</v>
      </c>
      <c r="J3" s="477">
        <f>IFERROR(__xludf.DUMMYFUNCTION("""COMPUTED_VALUE"""),0.0)</f>
        <v>0</v>
      </c>
      <c r="K3" s="477">
        <f>IFERROR(__xludf.DUMMYFUNCTION("""COMPUTED_VALUE"""),0.308)</f>
        <v>0.308</v>
      </c>
      <c r="L3" s="478">
        <f>IFERROR(__xludf.DUMMYFUNCTION("""COMPUTED_VALUE"""),-0.308)</f>
        <v>-0.308</v>
      </c>
      <c r="M3" s="479">
        <f>IFERROR(__xludf.DUMMYFUNCTION("""COMPUTED_VALUE"""),0.0)</f>
        <v>0</v>
      </c>
      <c r="N3" s="477">
        <f>IFERROR(__xludf.DUMMYFUNCTION("""COMPUTED_VALUE"""),0.264)</f>
        <v>0.264</v>
      </c>
      <c r="O3" s="476">
        <f>IFERROR(__xludf.DUMMYFUNCTION("""COMPUTED_VALUE"""),-0.264)</f>
        <v>-0.264</v>
      </c>
      <c r="P3" s="477">
        <f>IFERROR(__xludf.DUMMYFUNCTION("""COMPUTED_VALUE"""),0.0)</f>
        <v>0</v>
      </c>
      <c r="Q3" s="477">
        <f>IFERROR(__xludf.DUMMYFUNCTION("""COMPUTED_VALUE"""),0.5720000000000001)</f>
        <v>0.572</v>
      </c>
      <c r="R3" s="476">
        <f>IFERROR(__xludf.DUMMYFUNCTION("""COMPUTED_VALUE"""),-0.5720000000000001)</f>
        <v>-0.572</v>
      </c>
      <c r="S3" s="518" t="str">
        <f>IFERROR(__xludf.DUMMYFUNCTION("IMPORTRANGE(""https://docs.google.com/spreadsheets/d/1rvSw8TokJxxMPNo9zCeN0TVGCwqWJYqsUgV1Y381wpc/edit?gid=1529235844#gid=1529235844"",""Profit and Loss_Sas_BP!Q387"")"),"")</f>
        <v/>
      </c>
      <c r="T3" s="518">
        <f>IFERROR(__xludf.DUMMYFUNCTION("IMPORTRANGE(""https://docs.google.com/spreadsheets/d/1rvSw8TokJxxMPNo9zCeN0TVGCwqWJYqsUgV1Y381wpc/edit?gid=1529235844#gid=1529235844"",""Profit and Loss_Sas_BP!AA387"")"),0.0)</f>
        <v>0</v>
      </c>
      <c r="U3" s="518">
        <f t="shared" ref="U3:U8" si="1">S3-T3</f>
        <v>0</v>
      </c>
      <c r="V3" s="519" t="str">
        <f t="shared" ref="V3:V8" si="2">U3/T3</f>
        <v>#DIV/0!</v>
      </c>
      <c r="W3" s="489"/>
      <c r="X3" s="471"/>
      <c r="Y3" s="508"/>
      <c r="Z3" s="472"/>
      <c r="AA3" s="514"/>
    </row>
    <row r="4">
      <c r="B4" s="516" t="str">
        <f>IFERROR(__xludf.DUMMYFUNCTION("""COMPUTED_VALUE"""),"Mosaic")</f>
        <v>Mosaic</v>
      </c>
      <c r="C4" s="474">
        <f>IFERROR(__xludf.DUMMYFUNCTION("""COMPUTED_VALUE"""),26903.0)</f>
        <v>26903</v>
      </c>
      <c r="D4" s="474">
        <f>IFERROR(__xludf.DUMMYFUNCTION("""COMPUTED_VALUE"""),24535.0)</f>
        <v>24535</v>
      </c>
      <c r="E4" s="475">
        <f>IFERROR(__xludf.DUMMYFUNCTION("""COMPUTED_VALUE"""),2368.0)</f>
        <v>2368</v>
      </c>
      <c r="F4" s="517">
        <f>IFERROR(__xludf.DUMMYFUNCTION("""COMPUTED_VALUE"""),0.09651518239250051)</f>
        <v>0.09651518239</v>
      </c>
      <c r="G4" s="474">
        <f>IFERROR(__xludf.DUMMYFUNCTION("""COMPUTED_VALUE"""),28417.46)</f>
        <v>28417.46</v>
      </c>
      <c r="H4" s="475">
        <f>IFERROR(__xludf.DUMMYFUNCTION("""COMPUTED_VALUE"""),-1514.4599999999991)</f>
        <v>-1514.46</v>
      </c>
      <c r="I4" s="517">
        <f>IFERROR(__xludf.DUMMYFUNCTION("""COMPUTED_VALUE"""),-0.05329329222245757)</f>
        <v>-0.05329329222</v>
      </c>
      <c r="J4" s="477">
        <f>IFERROR(__xludf.DUMMYFUNCTION("""COMPUTED_VALUE"""),0.231)</f>
        <v>0.231</v>
      </c>
      <c r="K4" s="477">
        <f>IFERROR(__xludf.DUMMYFUNCTION("""COMPUTED_VALUE"""),0.258)</f>
        <v>0.258</v>
      </c>
      <c r="L4" s="478">
        <f>IFERROR(__xludf.DUMMYFUNCTION("""COMPUTED_VALUE"""),-0.026999999999999996)</f>
        <v>-0.027</v>
      </c>
      <c r="M4" s="479">
        <f>IFERROR(__xludf.DUMMYFUNCTION("""COMPUTED_VALUE"""),0.233)</f>
        <v>0.233</v>
      </c>
      <c r="N4" s="477">
        <f>IFERROR(__xludf.DUMMYFUNCTION("""COMPUTED_VALUE"""),0.267)</f>
        <v>0.267</v>
      </c>
      <c r="O4" s="476">
        <f>IFERROR(__xludf.DUMMYFUNCTION("""COMPUTED_VALUE"""),-0.034)</f>
        <v>-0.034</v>
      </c>
      <c r="P4" s="477">
        <f>IFERROR(__xludf.DUMMYFUNCTION("""COMPUTED_VALUE"""),0.464)</f>
        <v>0.464</v>
      </c>
      <c r="Q4" s="477">
        <f>IFERROR(__xludf.DUMMYFUNCTION("""COMPUTED_VALUE"""),0.525)</f>
        <v>0.525</v>
      </c>
      <c r="R4" s="476">
        <f>IFERROR(__xludf.DUMMYFUNCTION("""COMPUTED_VALUE"""),-0.061)</f>
        <v>-0.061</v>
      </c>
      <c r="S4" s="518" t="str">
        <f>IFERROR(__xludf.DUMMYFUNCTION("IMPORTRANGE(""https://docs.google.com/spreadsheets/d/1rvSw8TokJxxMPNo9zCeN0TVGCwqWJYqsUgV1Y381wpc/edit?gid=1529235844#gid=1529235844"",""Profit and Loss_Sas_MO!Q387"")"),"")</f>
        <v/>
      </c>
      <c r="T4" s="518">
        <f>IFERROR(__xludf.DUMMYFUNCTION("IMPORTRANGE(""https://docs.google.com/spreadsheets/d/1rvSw8TokJxxMPNo9zCeN0TVGCwqWJYqsUgV1Y381wpc/edit?gid=1529235844#gid=1529235844"",""Profit and Loss_Sas_MO!AA387"")"),0.0)</f>
        <v>0</v>
      </c>
      <c r="U4" s="518">
        <f t="shared" si="1"/>
        <v>0</v>
      </c>
      <c r="V4" s="519" t="str">
        <f t="shared" si="2"/>
        <v>#DIV/0!</v>
      </c>
      <c r="W4" s="480"/>
      <c r="X4" s="520"/>
      <c r="Y4" s="511"/>
      <c r="Z4" s="472"/>
      <c r="AA4" s="472"/>
    </row>
    <row r="5">
      <c r="B5" s="516" t="str">
        <f>IFERROR(__xludf.DUMMYFUNCTION("""COMPUTED_VALUE"""),"MVT")</f>
        <v>MVT</v>
      </c>
      <c r="C5" s="474">
        <f>IFERROR(__xludf.DUMMYFUNCTION("""COMPUTED_VALUE"""),42457.0)</f>
        <v>42457</v>
      </c>
      <c r="D5" s="474">
        <f>IFERROR(__xludf.DUMMYFUNCTION("""COMPUTED_VALUE"""),30853.0)</f>
        <v>30853</v>
      </c>
      <c r="E5" s="475">
        <f>IFERROR(__xludf.DUMMYFUNCTION("""COMPUTED_VALUE"""),11604.0)</f>
        <v>11604</v>
      </c>
      <c r="F5" s="517">
        <f>IFERROR(__xludf.DUMMYFUNCTION("""COMPUTED_VALUE"""),0.3761060512754027)</f>
        <v>0.3761060513</v>
      </c>
      <c r="G5" s="474">
        <f>IFERROR(__xludf.DUMMYFUNCTION("""COMPUTED_VALUE"""),41662.65)</f>
        <v>41662.65</v>
      </c>
      <c r="H5" s="475">
        <f>IFERROR(__xludf.DUMMYFUNCTION("""COMPUTED_VALUE"""),794.3499999999985)</f>
        <v>794.35</v>
      </c>
      <c r="I5" s="517">
        <f>IFERROR(__xludf.DUMMYFUNCTION("""COMPUTED_VALUE"""),0.019066237985341752)</f>
        <v>0.01906623799</v>
      </c>
      <c r="J5" s="477">
        <f>IFERROR(__xludf.DUMMYFUNCTION("""COMPUTED_VALUE"""),0.273)</f>
        <v>0.273</v>
      </c>
      <c r="K5" s="477">
        <f>IFERROR(__xludf.DUMMYFUNCTION("""COMPUTED_VALUE"""),0.249)</f>
        <v>0.249</v>
      </c>
      <c r="L5" s="478">
        <f>IFERROR(__xludf.DUMMYFUNCTION("""COMPUTED_VALUE"""),0.02400000000000002)</f>
        <v>0.024</v>
      </c>
      <c r="M5" s="479">
        <f>IFERROR(__xludf.DUMMYFUNCTION("""COMPUTED_VALUE"""),0.265)</f>
        <v>0.265</v>
      </c>
      <c r="N5" s="477">
        <f>IFERROR(__xludf.DUMMYFUNCTION("""COMPUTED_VALUE"""),0.254)</f>
        <v>0.254</v>
      </c>
      <c r="O5" s="476">
        <f>IFERROR(__xludf.DUMMYFUNCTION("""COMPUTED_VALUE"""),0.01100000000000001)</f>
        <v>0.011</v>
      </c>
      <c r="P5" s="477">
        <f>IFERROR(__xludf.DUMMYFUNCTION("""COMPUTED_VALUE"""),0.538)</f>
        <v>0.538</v>
      </c>
      <c r="Q5" s="477">
        <f>IFERROR(__xludf.DUMMYFUNCTION("""COMPUTED_VALUE"""),0.503)</f>
        <v>0.503</v>
      </c>
      <c r="R5" s="476">
        <f>IFERROR(__xludf.DUMMYFUNCTION("""COMPUTED_VALUE"""),0.03500000000000003)</f>
        <v>0.035</v>
      </c>
      <c r="S5" s="518" t="str">
        <f>IFERROR(__xludf.DUMMYFUNCTION("IMPORTRANGE(""https://docs.google.com/spreadsheets/d/1rvSw8TokJxxMPNo9zCeN0TVGCwqWJYqsUgV1Y381wpc/edit?gid=1529235844#gid=1529235844"",""Profit and Loss_Sas_MVT!Q387"")"),"")</f>
        <v/>
      </c>
      <c r="T5" s="518">
        <f>IFERROR(__xludf.DUMMYFUNCTION("IMPORTRANGE(""https://docs.google.com/spreadsheets/d/1rvSw8TokJxxMPNo9zCeN0TVGCwqWJYqsUgV1Y381wpc/edit?gid=1529235844#gid=1529235844"",""Profit and Loss_Sas_MVT!AA387"")"),0.0)</f>
        <v>0</v>
      </c>
      <c r="U5" s="518">
        <f t="shared" si="1"/>
        <v>0</v>
      </c>
      <c r="V5" s="519" t="str">
        <f t="shared" si="2"/>
        <v>#DIV/0!</v>
      </c>
      <c r="W5" s="480"/>
      <c r="X5" s="520"/>
      <c r="Y5" s="511"/>
      <c r="Z5" s="472"/>
      <c r="AA5" s="472"/>
    </row>
    <row r="6">
      <c r="B6" s="516" t="str">
        <f>IFERROR(__xludf.DUMMYFUNCTION("""COMPUTED_VALUE"""),"National Landing")</f>
        <v>National Landing</v>
      </c>
      <c r="C6" s="474">
        <f>IFERROR(__xludf.DUMMYFUNCTION("""COMPUTED_VALUE"""),27793.0)</f>
        <v>27793</v>
      </c>
      <c r="D6" s="474">
        <f>IFERROR(__xludf.DUMMYFUNCTION("""COMPUTED_VALUE"""),19455.0)</f>
        <v>19455</v>
      </c>
      <c r="E6" s="475">
        <f>IFERROR(__xludf.DUMMYFUNCTION("""COMPUTED_VALUE"""),8338.0)</f>
        <v>8338</v>
      </c>
      <c r="F6" s="517">
        <f>IFERROR(__xludf.DUMMYFUNCTION("""COMPUTED_VALUE"""),0.4285787715240298)</f>
        <v>0.4285787715</v>
      </c>
      <c r="G6" s="474">
        <f>IFERROR(__xludf.DUMMYFUNCTION("""COMPUTED_VALUE"""),22832.71)</f>
        <v>22832.71</v>
      </c>
      <c r="H6" s="475">
        <f>IFERROR(__xludf.DUMMYFUNCTION("""COMPUTED_VALUE"""),4960.290000000001)</f>
        <v>4960.29</v>
      </c>
      <c r="I6" s="517">
        <f>IFERROR(__xludf.DUMMYFUNCTION("""COMPUTED_VALUE"""),0.2172449087296252)</f>
        <v>0.2172449087</v>
      </c>
      <c r="J6" s="477">
        <f>IFERROR(__xludf.DUMMYFUNCTION("""COMPUTED_VALUE"""),0.251)</f>
        <v>0.251</v>
      </c>
      <c r="K6" s="477">
        <f>IFERROR(__xludf.DUMMYFUNCTION("""COMPUTED_VALUE"""),0.292)</f>
        <v>0.292</v>
      </c>
      <c r="L6" s="478">
        <f>IFERROR(__xludf.DUMMYFUNCTION("""COMPUTED_VALUE"""),-0.04099999999999998)</f>
        <v>-0.041</v>
      </c>
      <c r="M6" s="479">
        <f>IFERROR(__xludf.DUMMYFUNCTION("""COMPUTED_VALUE"""),0.266)</f>
        <v>0.266</v>
      </c>
      <c r="N6" s="477">
        <f>IFERROR(__xludf.DUMMYFUNCTION("""COMPUTED_VALUE"""),0.264)</f>
        <v>0.264</v>
      </c>
      <c r="O6" s="476">
        <f>IFERROR(__xludf.DUMMYFUNCTION("""COMPUTED_VALUE"""),0.0020000000000000018)</f>
        <v>0.002</v>
      </c>
      <c r="P6" s="477">
        <f>IFERROR(__xludf.DUMMYFUNCTION("""COMPUTED_VALUE"""),0.517)</f>
        <v>0.517</v>
      </c>
      <c r="Q6" s="477">
        <f>IFERROR(__xludf.DUMMYFUNCTION("""COMPUTED_VALUE"""),0.556)</f>
        <v>0.556</v>
      </c>
      <c r="R6" s="476">
        <f>IFERROR(__xludf.DUMMYFUNCTION("""COMPUTED_VALUE"""),-0.039000000000000035)</f>
        <v>-0.039</v>
      </c>
      <c r="S6" s="518" t="str">
        <f>IFERROR(__xludf.DUMMYFUNCTION("IMPORTRANGE(""https://docs.google.com/spreadsheets/d/1rvSw8TokJxxMPNo9zCeN0TVGCwqWJYqsUgV1Y381wpc/edit?gid=1529235844#gid=1529235844"",""Profit and Loss_Sas_NL!Q387"")"),"")</f>
        <v/>
      </c>
      <c r="T6" s="518">
        <f>IFERROR(__xludf.DUMMYFUNCTION("IMPORTRANGE(""https://docs.google.com/spreadsheets/d/1rvSw8TokJxxMPNo9zCeN0TVGCwqWJYqsUgV1Y381wpc/edit?gid=1529235844#gid=1529235844"",""Profit and Loss_Sas_NL!AA387"")"),0.0)</f>
        <v>0</v>
      </c>
      <c r="U6" s="518">
        <f t="shared" si="1"/>
        <v>0</v>
      </c>
      <c r="V6" s="519" t="str">
        <f t="shared" si="2"/>
        <v>#DIV/0!</v>
      </c>
      <c r="W6" s="480"/>
      <c r="X6" s="520"/>
      <c r="Y6" s="511"/>
      <c r="Z6" s="472"/>
      <c r="AA6" s="472"/>
    </row>
    <row r="7">
      <c r="B7" s="516" t="str">
        <f>IFERROR(__xludf.DUMMYFUNCTION("""COMPUTED_VALUE"""),"Rockville")</f>
        <v>Rockville</v>
      </c>
      <c r="C7" s="474">
        <f>IFERROR(__xludf.DUMMYFUNCTION("""COMPUTED_VALUE"""),24924.0)</f>
        <v>24924</v>
      </c>
      <c r="D7" s="474">
        <f>IFERROR(__xludf.DUMMYFUNCTION("""COMPUTED_VALUE"""),22885.0)</f>
        <v>22885</v>
      </c>
      <c r="E7" s="475">
        <f>IFERROR(__xludf.DUMMYFUNCTION("""COMPUTED_VALUE"""),2039.0)</f>
        <v>2039</v>
      </c>
      <c r="F7" s="517">
        <f>IFERROR(__xludf.DUMMYFUNCTION("""COMPUTED_VALUE"""),0.0890976622241643)</f>
        <v>0.08909766222</v>
      </c>
      <c r="G7" s="474">
        <f>IFERROR(__xludf.DUMMYFUNCTION("""COMPUTED_VALUE"""),28622.84)</f>
        <v>28622.84</v>
      </c>
      <c r="H7" s="475">
        <f>IFERROR(__xludf.DUMMYFUNCTION("""COMPUTED_VALUE"""),-3698.84)</f>
        <v>-3698.84</v>
      </c>
      <c r="I7" s="517">
        <f>IFERROR(__xludf.DUMMYFUNCTION("""COMPUTED_VALUE"""),-0.1292268691716126)</f>
        <v>-0.1292268692</v>
      </c>
      <c r="J7" s="477">
        <f>IFERROR(__xludf.DUMMYFUNCTION("""COMPUTED_VALUE"""),0.281)</f>
        <v>0.281</v>
      </c>
      <c r="K7" s="477">
        <f>IFERROR(__xludf.DUMMYFUNCTION("""COMPUTED_VALUE"""),0.288)</f>
        <v>0.288</v>
      </c>
      <c r="L7" s="478">
        <f>IFERROR(__xludf.DUMMYFUNCTION("""COMPUTED_VALUE"""),-0.006999999999999951)</f>
        <v>-0.007</v>
      </c>
      <c r="M7" s="479">
        <f>IFERROR(__xludf.DUMMYFUNCTION("""COMPUTED_VALUE"""),0.3)</f>
        <v>0.3</v>
      </c>
      <c r="N7" s="477">
        <f>IFERROR(__xludf.DUMMYFUNCTION("""COMPUTED_VALUE"""),0.267)</f>
        <v>0.267</v>
      </c>
      <c r="O7" s="476">
        <f>IFERROR(__xludf.DUMMYFUNCTION("""COMPUTED_VALUE"""),0.032999999999999974)</f>
        <v>0.033</v>
      </c>
      <c r="P7" s="477">
        <f>IFERROR(__xludf.DUMMYFUNCTION("""COMPUTED_VALUE"""),0.581)</f>
        <v>0.581</v>
      </c>
      <c r="Q7" s="477">
        <f>IFERROR(__xludf.DUMMYFUNCTION("""COMPUTED_VALUE"""),0.5549999999999999)</f>
        <v>0.555</v>
      </c>
      <c r="R7" s="476">
        <f>IFERROR(__xludf.DUMMYFUNCTION("""COMPUTED_VALUE"""),0.026000000000000023)</f>
        <v>0.026</v>
      </c>
      <c r="S7" s="518" t="str">
        <f>IFERROR(__xludf.DUMMYFUNCTION("IMPORTRANGE(""https://docs.google.com/spreadsheets/d/1rvSw8TokJxxMPNo9zCeN0TVGCwqWJYqsUgV1Y381wpc/edit?gid=1529235844#gid=1529235844"",""Profit and Loss_Sas_RV!Q387"")"),"")</f>
        <v/>
      </c>
      <c r="T7" s="518">
        <f>IFERROR(__xludf.DUMMYFUNCTION("IMPORTRANGE(""https://docs.google.com/spreadsheets/d/1rvSw8TokJxxMPNo9zCeN0TVGCwqWJYqsUgV1Y381wpc/edit?gid=1529235844#gid=1529235844"",""Profit and Loss_Sas_RV!AA387"")"),0.0)</f>
        <v>0</v>
      </c>
      <c r="U7" s="518">
        <f t="shared" si="1"/>
        <v>0</v>
      </c>
      <c r="V7" s="519" t="str">
        <f t="shared" si="2"/>
        <v>#DIV/0!</v>
      </c>
      <c r="W7" s="480"/>
      <c r="X7" s="520"/>
      <c r="Y7" s="511"/>
      <c r="Z7" s="472"/>
      <c r="AA7" s="472"/>
    </row>
    <row r="8">
      <c r="B8" s="482" t="str">
        <f>IFERROR(__xludf.DUMMYFUNCTION("""COMPUTED_VALUE"""),"Totals")</f>
        <v>Totals</v>
      </c>
      <c r="C8" s="483">
        <f>IFERROR(__xludf.DUMMYFUNCTION("""COMPUTED_VALUE"""),122089.0)</f>
        <v>122089</v>
      </c>
      <c r="D8" s="483">
        <f>IFERROR(__xludf.DUMMYFUNCTION("""COMPUTED_VALUE"""),114719.0)</f>
        <v>114719</v>
      </c>
      <c r="E8" s="484">
        <f>IFERROR(__xludf.DUMMYFUNCTION("""COMPUTED_VALUE"""),7370.0)</f>
        <v>7370</v>
      </c>
      <c r="F8" s="470">
        <f>IFERROR(__xludf.DUMMYFUNCTION("""COMPUTED_VALUE"""),0.064243935180746)</f>
        <v>0.06424393518</v>
      </c>
      <c r="G8" s="483">
        <f>IFERROR(__xludf.DUMMYFUNCTION("""COMPUTED_VALUE"""),143225.44999999998)</f>
        <v>143225.45</v>
      </c>
      <c r="H8" s="485">
        <f>IFERROR(__xludf.DUMMYFUNCTION("""COMPUTED_VALUE"""),-21136.45)</f>
        <v>-21136.45</v>
      </c>
      <c r="I8" s="470">
        <f>IFERROR(__xludf.DUMMYFUNCTION("""COMPUTED_VALUE"""),-0.1475746803378869)</f>
        <v>-0.1475746803</v>
      </c>
      <c r="J8" s="486">
        <f>IFERROR(__xludf.DUMMYFUNCTION("""COMPUTED_VALUE"""),0.255)</f>
        <v>0.255</v>
      </c>
      <c r="K8" s="487">
        <f>IFERROR(__xludf.DUMMYFUNCTION("""COMPUTED_VALUE"""),0.274)</f>
        <v>0.274</v>
      </c>
      <c r="L8" s="488">
        <f>IFERROR(__xludf.DUMMYFUNCTION("""COMPUTED_VALUE"""),-0.019000000000000017)</f>
        <v>-0.019</v>
      </c>
      <c r="M8" s="486">
        <f>IFERROR(__xludf.DUMMYFUNCTION("""COMPUTED_VALUE"""),0.261)</f>
        <v>0.261</v>
      </c>
      <c r="N8" s="487">
        <f>IFERROR(__xludf.DUMMYFUNCTION("""COMPUTED_VALUE"""),0.262)</f>
        <v>0.262</v>
      </c>
      <c r="O8" s="470">
        <f>IFERROR(__xludf.DUMMYFUNCTION("""COMPUTED_VALUE"""),-0.0010000000000000009)</f>
        <v>-0.001</v>
      </c>
      <c r="P8" s="487">
        <f>IFERROR(__xludf.DUMMYFUNCTION("""COMPUTED_VALUE"""),0.516)</f>
        <v>0.516</v>
      </c>
      <c r="Q8" s="487">
        <f>IFERROR(__xludf.DUMMYFUNCTION("""COMPUTED_VALUE"""),0.536)</f>
        <v>0.536</v>
      </c>
      <c r="R8" s="470">
        <f>IFERROR(__xludf.DUMMYFUNCTION("""COMPUTED_VALUE"""),-0.020000000000000018)</f>
        <v>-0.02</v>
      </c>
      <c r="S8" s="485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85">
        <f>IFERROR(__xludf.DUMMYFUNCTION("IMPORTRANGE(""https://docs.google.com/spreadsheets/d/1rvSw8TokJxxMPNo9zCeN0TVGCwqWJYqsUgV1Y381wpc/edit?gid=1529235844#gid=1529235844"",""Profit and Loss_Sas_Overall!AA387"")"),0.0)</f>
        <v>0</v>
      </c>
      <c r="U8" s="485">
        <f t="shared" si="1"/>
        <v>0</v>
      </c>
      <c r="V8" s="470" t="str">
        <f t="shared" si="2"/>
        <v>#DIV/0!</v>
      </c>
      <c r="W8" s="480"/>
      <c r="X8" s="520"/>
      <c r="Y8" s="511"/>
      <c r="Z8" s="472"/>
      <c r="AA8" s="472"/>
    </row>
    <row r="9">
      <c r="B9" s="472"/>
      <c r="C9" s="472"/>
      <c r="D9" s="472"/>
      <c r="E9" s="472"/>
      <c r="F9" s="472"/>
      <c r="G9" s="472"/>
      <c r="U9" s="472"/>
      <c r="V9" s="472"/>
      <c r="W9" s="472"/>
      <c r="X9" s="472"/>
      <c r="Y9" s="472"/>
      <c r="Z9" s="472"/>
    </row>
    <row r="10">
      <c r="U10" s="472"/>
      <c r="V10" s="472"/>
      <c r="W10" s="472"/>
      <c r="X10" s="472"/>
      <c r="Y10" s="472"/>
      <c r="Z10" s="472"/>
    </row>
    <row r="11">
      <c r="B11" s="492" t="s">
        <v>165</v>
      </c>
      <c r="C11" s="468" t="s">
        <v>126</v>
      </c>
      <c r="D11" s="469" t="s">
        <v>166</v>
      </c>
      <c r="E11" s="469" t="s">
        <v>167</v>
      </c>
      <c r="F11" s="469" t="s">
        <v>168</v>
      </c>
      <c r="G11" s="469" t="s">
        <v>169</v>
      </c>
      <c r="H11" s="469" t="s">
        <v>170</v>
      </c>
      <c r="I11" s="469" t="s">
        <v>171</v>
      </c>
    </row>
    <row r="12">
      <c r="B12" s="259" t="s">
        <v>172</v>
      </c>
      <c r="C12" s="521" t="s">
        <v>147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59" t="s">
        <v>174</v>
      </c>
      <c r="C13" s="521" t="s">
        <v>132</v>
      </c>
      <c r="D13" s="522">
        <v>4.0</v>
      </c>
      <c r="E13" s="523">
        <v>3.0</v>
      </c>
      <c r="F13" s="524">
        <v>1.0</v>
      </c>
      <c r="G13" s="522">
        <v>1.0</v>
      </c>
      <c r="H13" s="525">
        <v>3.67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131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134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68" t="s">
        <v>176</v>
      </c>
      <c r="D17" s="527">
        <f>SUM(D12:D16)</f>
        <v>36</v>
      </c>
      <c r="E17" s="528">
        <f t="shared" ref="E17:F17" si="3">AVERAGE(E12:E16)</f>
        <v>4.294</v>
      </c>
      <c r="F17" s="528">
        <f t="shared" si="3"/>
        <v>2.5</v>
      </c>
      <c r="G17" s="468"/>
      <c r="H17" s="528">
        <f>AVERAGE(H12:H16)</f>
        <v>4.444</v>
      </c>
      <c r="I17" s="468"/>
    </row>
    <row r="19">
      <c r="B19" s="492" t="s">
        <v>177</v>
      </c>
      <c r="C19" s="468" t="s">
        <v>126</v>
      </c>
      <c r="D19" s="469" t="s">
        <v>166</v>
      </c>
      <c r="E19" s="469" t="s">
        <v>167</v>
      </c>
      <c r="F19" s="469" t="s">
        <v>178</v>
      </c>
      <c r="G19" s="469" t="s">
        <v>179</v>
      </c>
      <c r="H19" s="469" t="s">
        <v>180</v>
      </c>
      <c r="I19" s="468" t="s">
        <v>181</v>
      </c>
    </row>
    <row r="20">
      <c r="B20" s="259" t="s">
        <v>172</v>
      </c>
      <c r="C20" s="521" t="s">
        <v>147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530">
        <v>0.0405</v>
      </c>
    </row>
    <row r="21">
      <c r="B21" s="259" t="s">
        <v>182</v>
      </c>
      <c r="C21" s="521" t="s">
        <v>132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530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530">
        <v>0.0315</v>
      </c>
    </row>
    <row r="23">
      <c r="C23" s="521" t="s">
        <v>131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530">
        <v>0.0315</v>
      </c>
    </row>
    <row r="24">
      <c r="C24" s="521" t="s">
        <v>134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530">
        <v>0.045</v>
      </c>
    </row>
    <row r="25">
      <c r="C25" s="468" t="s">
        <v>176</v>
      </c>
      <c r="D25" s="527">
        <f>SUM(D20:D24)</f>
        <v>281</v>
      </c>
      <c r="E25" s="528">
        <f>AVERAGE(E20:E24)</f>
        <v>4.3</v>
      </c>
      <c r="F25" s="531"/>
      <c r="G25" s="531"/>
      <c r="H25" s="468"/>
      <c r="I25" s="532"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68" t="s">
        <v>126</v>
      </c>
      <c r="C29" s="469" t="s">
        <v>185</v>
      </c>
      <c r="D29" s="469" t="s">
        <v>186</v>
      </c>
      <c r="E29" s="469" t="s">
        <v>185</v>
      </c>
      <c r="F29" s="507" t="s">
        <v>186</v>
      </c>
      <c r="G29" s="507" t="s">
        <v>159</v>
      </c>
      <c r="H29" s="507" t="s">
        <v>160</v>
      </c>
      <c r="I29" s="472"/>
      <c r="J29" s="472"/>
    </row>
    <row r="30">
      <c r="B30" s="468" t="s">
        <v>134</v>
      </c>
      <c r="C30" s="522" t="s">
        <v>187</v>
      </c>
      <c r="D30" s="522">
        <v>214.0</v>
      </c>
      <c r="E30" s="535" t="s">
        <v>188</v>
      </c>
      <c r="F30" s="536">
        <v>374.0</v>
      </c>
      <c r="G30" s="503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03">
        <f t="shared" ref="H30:H35" si="5">VALUE(LEFT(G30,FIND("min",G30)-1)) + VALUE(MID(G30,FIND("min",G30)+4,FIND("sec",G30)-FIND("min",G30)-4))/100</f>
        <v>2.03</v>
      </c>
      <c r="I30" s="472"/>
      <c r="J30" s="472"/>
    </row>
    <row r="31">
      <c r="B31" s="468" t="s">
        <v>147</v>
      </c>
      <c r="C31" s="522" t="s">
        <v>189</v>
      </c>
      <c r="D31" s="522">
        <v>361.0</v>
      </c>
      <c r="E31" s="535" t="s">
        <v>190</v>
      </c>
      <c r="F31" s="536">
        <v>263.0</v>
      </c>
      <c r="G31" s="503" t="str">
        <f t="shared" si="4"/>
        <v>0 min 57 sec</v>
      </c>
      <c r="H31" s="503">
        <f t="shared" si="5"/>
        <v>0.57</v>
      </c>
      <c r="I31" s="472"/>
      <c r="J31" s="472"/>
    </row>
    <row r="32">
      <c r="B32" s="468" t="s">
        <v>132</v>
      </c>
      <c r="C32" s="522" t="s">
        <v>191</v>
      </c>
      <c r="D32" s="522">
        <v>784.0</v>
      </c>
      <c r="E32" s="522" t="s">
        <v>192</v>
      </c>
      <c r="F32" s="536">
        <v>761.0</v>
      </c>
      <c r="G32" s="503" t="str">
        <f t="shared" si="4"/>
        <v>0 min 59 sec</v>
      </c>
      <c r="H32" s="503">
        <f t="shared" si="5"/>
        <v>0.59</v>
      </c>
      <c r="I32" s="472"/>
      <c r="J32" s="472"/>
    </row>
    <row r="33">
      <c r="B33" s="468" t="s">
        <v>133</v>
      </c>
      <c r="C33" s="522" t="s">
        <v>193</v>
      </c>
      <c r="D33" s="522">
        <v>439.0</v>
      </c>
      <c r="E33" s="522" t="s">
        <v>194</v>
      </c>
      <c r="F33" s="536">
        <v>483.0</v>
      </c>
      <c r="G33" s="503" t="str">
        <f t="shared" si="4"/>
        <v>1 min 14 sec</v>
      </c>
      <c r="H33" s="503">
        <f t="shared" si="5"/>
        <v>1.14</v>
      </c>
      <c r="I33" s="472"/>
      <c r="J33" s="472"/>
    </row>
    <row r="34">
      <c r="B34" s="468" t="s">
        <v>131</v>
      </c>
      <c r="C34" s="522" t="s">
        <v>195</v>
      </c>
      <c r="D34" s="522">
        <v>156.0</v>
      </c>
      <c r="E34" s="522" t="s">
        <v>196</v>
      </c>
      <c r="F34" s="537">
        <v>382.0</v>
      </c>
      <c r="G34" s="503" t="str">
        <f t="shared" si="4"/>
        <v>1 min 48 sec</v>
      </c>
      <c r="H34" s="503">
        <f t="shared" si="5"/>
        <v>1.48</v>
      </c>
      <c r="I34" s="538"/>
      <c r="J34" s="538"/>
    </row>
    <row r="35">
      <c r="B35" s="468" t="s">
        <v>135</v>
      </c>
      <c r="C35" s="507" t="s">
        <v>197</v>
      </c>
      <c r="D35" s="497">
        <f>sum(D30:D34)</f>
        <v>1954</v>
      </c>
      <c r="E35" s="507" t="s">
        <v>198</v>
      </c>
      <c r="F35" s="497">
        <f>SUM(F30:F34)</f>
        <v>2263</v>
      </c>
      <c r="G35" s="469" t="str">
        <f t="shared" si="4"/>
        <v>1 min 19 sec</v>
      </c>
      <c r="H35" s="469">
        <f t="shared" si="5"/>
        <v>1.19</v>
      </c>
      <c r="I35" s="472"/>
      <c r="J35" s="472"/>
    </row>
    <row r="36">
      <c r="F36" s="534" t="s">
        <v>199</v>
      </c>
      <c r="G36" s="534" t="s">
        <v>200</v>
      </c>
      <c r="H36" s="534"/>
      <c r="I36" s="534" t="s">
        <v>183</v>
      </c>
      <c r="J36" s="534" t="s">
        <v>184</v>
      </c>
    </row>
    <row r="37">
      <c r="F37" s="472"/>
      <c r="G37" s="472"/>
      <c r="H37" s="472"/>
      <c r="I37" s="472"/>
      <c r="J37" s="472"/>
    </row>
    <row r="38">
      <c r="F38" s="472"/>
      <c r="G38" s="472"/>
      <c r="H38" s="472"/>
      <c r="I38" s="472"/>
      <c r="J38" s="472"/>
    </row>
    <row r="39">
      <c r="F39" s="472"/>
      <c r="G39" s="472"/>
      <c r="H39" s="472"/>
      <c r="I39" s="472"/>
      <c r="J39" s="472"/>
    </row>
    <row r="40">
      <c r="F40" s="472"/>
      <c r="G40" s="472"/>
      <c r="H40" s="472"/>
      <c r="I40" s="472"/>
      <c r="J40" s="472"/>
    </row>
    <row r="41">
      <c r="F41" s="472"/>
      <c r="G41" s="472"/>
      <c r="H41" s="472"/>
      <c r="I41" s="472"/>
      <c r="J41" s="472"/>
    </row>
    <row r="42">
      <c r="F42" s="538"/>
      <c r="G42" s="538"/>
      <c r="H42" s="538"/>
      <c r="I42" s="538"/>
      <c r="J42" s="538"/>
    </row>
    <row r="43">
      <c r="F43" s="472"/>
      <c r="G43" s="472"/>
      <c r="H43" s="472"/>
      <c r="I43" s="472"/>
      <c r="J43" s="472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72"/>
      <c r="C1" s="472"/>
      <c r="D1" s="472"/>
      <c r="E1" s="472"/>
      <c r="F1" s="472"/>
      <c r="G1" s="472"/>
      <c r="U1" s="472"/>
      <c r="V1" s="472"/>
      <c r="W1" s="472"/>
      <c r="X1" s="472"/>
      <c r="Y1" s="472"/>
    </row>
    <row r="2">
      <c r="B2" s="468" t="s">
        <v>201</v>
      </c>
      <c r="C2" s="469" t="s">
        <v>9</v>
      </c>
      <c r="D2" s="507" t="s">
        <v>202</v>
      </c>
      <c r="E2" s="469" t="s">
        <v>203</v>
      </c>
      <c r="F2" s="470" t="s">
        <v>204</v>
      </c>
      <c r="G2" s="469" t="s">
        <v>205</v>
      </c>
      <c r="H2" s="469" t="s">
        <v>206</v>
      </c>
      <c r="I2" s="469" t="s">
        <v>207</v>
      </c>
      <c r="J2" s="469" t="s">
        <v>208</v>
      </c>
      <c r="K2" s="469" t="s">
        <v>209</v>
      </c>
      <c r="L2" s="469" t="s">
        <v>210</v>
      </c>
      <c r="M2" s="469" t="s">
        <v>211</v>
      </c>
      <c r="N2" s="487" t="s">
        <v>212</v>
      </c>
      <c r="O2" s="469" t="s">
        <v>213</v>
      </c>
      <c r="P2" s="469" t="s">
        <v>214</v>
      </c>
      <c r="Q2" s="469" t="s">
        <v>215</v>
      </c>
      <c r="R2" s="469" t="s">
        <v>216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2"/>
      <c r="Y2" s="515"/>
      <c r="AA2" s="472"/>
    </row>
    <row r="3">
      <c r="B3" s="516" t="s">
        <v>147</v>
      </c>
      <c r="C3" s="474" t="str">
        <f>IFERROR(__xludf.DUMMYFUNCTION("IMPORTRANGE(""https://docs.google.com/spreadsheets/d/1TW_RsaigtJP9yoaGaPBfE07-92H6VNOYrHbLByvNJmg/edit?gid=1646739031#gid=1646739031"",""Revenue Q4!D8:D13"")"),"#REF!")</f>
        <v>#REF!</v>
      </c>
      <c r="D3" s="474" t="str">
        <f>IFERROR(__xludf.DUMMYFUNCTION("IMPORTRANGE(""https://docs.google.com/spreadsheets/d/1TW_RsaigtJP9yoaGaPBfE07-92H6VNOYrHbLByvNJmg/edit?gid=1646739031#gid=1646739031"",""Revenue Q4!I8:I13"")"),"#REF!")</f>
        <v>#REF!</v>
      </c>
      <c r="E3" s="475" t="str">
        <f t="shared" ref="E3:E8" si="1">C3-D3</f>
        <v>#REF!</v>
      </c>
      <c r="F3" s="517" t="str">
        <f t="shared" ref="F3:F8" si="2">E3/D3</f>
        <v>#REF!</v>
      </c>
      <c r="G3" s="474" t="str">
        <f>IFERROR(__xludf.DUMMYFUNCTION("IMPORTRANGE(""https://docs.google.com/spreadsheets/d/1TW_RsaigtJP9yoaGaPBfE07-92H6VNOYrHbLByvNJmg/edit?gid=1646739031#gid=1646739031"",""Revenue Q4!F8:F13"")"),"#REF!")</f>
        <v>#REF!</v>
      </c>
      <c r="H3" s="475" t="str">
        <f t="shared" ref="H3:H8" si="3">C3-G3</f>
        <v>#REF!</v>
      </c>
      <c r="I3" s="517" t="str">
        <f t="shared" ref="I3:I8" si="4">H3/G3</f>
        <v>#REF!</v>
      </c>
      <c r="J3" s="477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77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39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77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77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77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77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77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77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75" t="str">
        <f>IFERROR(__xludf.DUMMYFUNCTION("IMPORTRANGE(""https://docs.google.com/spreadsheets/d/1TW_RsaigtJP9yoaGaPBfE07-92H6VNOYrHbLByvNJmg/edit?gid=1646739031#gid=1646739031"",""Q4 EBIDTA!B7:B12"")"),"#REF!")</f>
        <v>#REF!</v>
      </c>
      <c r="T3" s="475" t="str">
        <f>IFERROR(__xludf.DUMMYFUNCTION("IMPORTRANGE(""https://docs.google.com/spreadsheets/d/1TW_RsaigtJP9yoaGaPBfE07-92H6VNOYrHbLByvNJmg/edit?gid=1646739031#gid=1646739031"",""Q4 EBIDTA!C7:C12"")"),"#REF!")</f>
        <v>#REF!</v>
      </c>
      <c r="U3" s="475" t="str">
        <f>IFERROR(__xludf.DUMMYFUNCTION("IMPORTRANGE(""https://docs.google.com/spreadsheets/d/1TW_RsaigtJP9yoaGaPBfE07-92H6VNOYrHbLByvNJmg/edit?gid=1646739031#gid=1646739031"",""Q4 EBIDTA!D7:D12"")"),"#REF!")</f>
        <v>#REF!</v>
      </c>
      <c r="V3" s="539" t="str">
        <f>IFERROR(__xludf.DUMMYFUNCTION("IMPORTRANGE(""https://docs.google.com/spreadsheets/d/1TW_RsaigtJP9yoaGaPBfE07-92H6VNOYrHbLByvNJmg/edit?gid=1646739031#gid=1646739031"",""Q4 EBIDTA!E7:E12"")"),"#REF!")</f>
        <v>#REF!</v>
      </c>
      <c r="W3" s="489"/>
      <c r="X3" s="471"/>
      <c r="Y3" s="508"/>
      <c r="AA3" s="514"/>
    </row>
    <row r="4">
      <c r="B4" s="516" t="s">
        <v>131</v>
      </c>
      <c r="C4" s="474"/>
      <c r="D4" s="474"/>
      <c r="E4" s="475">
        <f t="shared" si="1"/>
        <v>0</v>
      </c>
      <c r="F4" s="517" t="str">
        <f t="shared" si="2"/>
        <v>#DIV/0!</v>
      </c>
      <c r="G4" s="474"/>
      <c r="H4" s="475">
        <f t="shared" si="3"/>
        <v>0</v>
      </c>
      <c r="I4" s="517" t="str">
        <f t="shared" si="4"/>
        <v>#DIV/0!</v>
      </c>
      <c r="J4" s="477"/>
      <c r="K4" s="477"/>
      <c r="L4" s="539"/>
      <c r="M4" s="477"/>
      <c r="N4" s="477"/>
      <c r="O4" s="477"/>
      <c r="P4" s="477"/>
      <c r="Q4" s="477"/>
      <c r="R4" s="477"/>
      <c r="S4" s="475"/>
      <c r="T4" s="475"/>
      <c r="U4" s="475"/>
      <c r="V4" s="539"/>
      <c r="W4" s="480"/>
      <c r="X4" s="520"/>
      <c r="Y4" s="511"/>
      <c r="AA4" s="472"/>
    </row>
    <row r="5">
      <c r="B5" s="516" t="s">
        <v>132</v>
      </c>
      <c r="C5" s="474"/>
      <c r="D5" s="474"/>
      <c r="E5" s="475">
        <f t="shared" si="1"/>
        <v>0</v>
      </c>
      <c r="F5" s="517" t="str">
        <f t="shared" si="2"/>
        <v>#DIV/0!</v>
      </c>
      <c r="G5" s="474"/>
      <c r="H5" s="475">
        <f t="shared" si="3"/>
        <v>0</v>
      </c>
      <c r="I5" s="517" t="str">
        <f t="shared" si="4"/>
        <v>#DIV/0!</v>
      </c>
      <c r="J5" s="477"/>
      <c r="K5" s="477"/>
      <c r="L5" s="539"/>
      <c r="M5" s="477"/>
      <c r="N5" s="477"/>
      <c r="O5" s="477"/>
      <c r="P5" s="477"/>
      <c r="Q5" s="477"/>
      <c r="R5" s="477"/>
      <c r="S5" s="475"/>
      <c r="T5" s="475"/>
      <c r="U5" s="475"/>
      <c r="V5" s="539"/>
      <c r="W5" s="480"/>
      <c r="X5" s="520"/>
      <c r="Y5" s="511"/>
      <c r="AA5" s="472"/>
    </row>
    <row r="6">
      <c r="B6" s="516" t="s">
        <v>133</v>
      </c>
      <c r="C6" s="474"/>
      <c r="D6" s="474"/>
      <c r="E6" s="475">
        <f t="shared" si="1"/>
        <v>0</v>
      </c>
      <c r="F6" s="517" t="str">
        <f t="shared" si="2"/>
        <v>#DIV/0!</v>
      </c>
      <c r="G6" s="474"/>
      <c r="H6" s="475">
        <f t="shared" si="3"/>
        <v>0</v>
      </c>
      <c r="I6" s="517" t="str">
        <f t="shared" si="4"/>
        <v>#DIV/0!</v>
      </c>
      <c r="J6" s="477"/>
      <c r="K6" s="477"/>
      <c r="L6" s="539"/>
      <c r="M6" s="477"/>
      <c r="N6" s="477"/>
      <c r="O6" s="477"/>
      <c r="P6" s="477"/>
      <c r="Q6" s="477"/>
      <c r="R6" s="477"/>
      <c r="S6" s="475"/>
      <c r="T6" s="475"/>
      <c r="U6" s="475"/>
      <c r="V6" s="539"/>
      <c r="W6" s="480"/>
      <c r="X6" s="520"/>
      <c r="Y6" s="511"/>
      <c r="AA6" s="472"/>
    </row>
    <row r="7">
      <c r="B7" s="516" t="s">
        <v>134</v>
      </c>
      <c r="C7" s="474"/>
      <c r="D7" s="474"/>
      <c r="E7" s="475">
        <f t="shared" si="1"/>
        <v>0</v>
      </c>
      <c r="F7" s="517" t="str">
        <f t="shared" si="2"/>
        <v>#DIV/0!</v>
      </c>
      <c r="G7" s="474"/>
      <c r="H7" s="475">
        <f t="shared" si="3"/>
        <v>0</v>
      </c>
      <c r="I7" s="517" t="str">
        <f t="shared" si="4"/>
        <v>#DIV/0!</v>
      </c>
      <c r="J7" s="477"/>
      <c r="K7" s="477"/>
      <c r="L7" s="539"/>
      <c r="M7" s="477"/>
      <c r="N7" s="477"/>
      <c r="O7" s="477"/>
      <c r="P7" s="477"/>
      <c r="Q7" s="477"/>
      <c r="R7" s="477"/>
      <c r="S7" s="475"/>
      <c r="T7" s="475"/>
      <c r="U7" s="475"/>
      <c r="V7" s="539"/>
      <c r="W7" s="480"/>
      <c r="X7" s="520"/>
      <c r="Y7" s="511"/>
      <c r="AA7" s="472"/>
    </row>
    <row r="8">
      <c r="B8" s="482" t="s">
        <v>217</v>
      </c>
      <c r="C8" s="483"/>
      <c r="D8" s="483"/>
      <c r="E8" s="485">
        <f t="shared" si="1"/>
        <v>0</v>
      </c>
      <c r="F8" s="470" t="str">
        <f t="shared" si="2"/>
        <v>#DIV/0!</v>
      </c>
      <c r="G8" s="483"/>
      <c r="H8" s="485">
        <f t="shared" si="3"/>
        <v>0</v>
      </c>
      <c r="I8" s="470" t="str">
        <f t="shared" si="4"/>
        <v>#DIV/0!</v>
      </c>
      <c r="J8" s="486"/>
      <c r="K8" s="486"/>
      <c r="L8" s="488"/>
      <c r="M8" s="486"/>
      <c r="N8" s="486"/>
      <c r="O8" s="486"/>
      <c r="P8" s="486"/>
      <c r="Q8" s="486"/>
      <c r="R8" s="486"/>
      <c r="S8" s="485"/>
      <c r="T8" s="485"/>
      <c r="U8" s="485"/>
      <c r="V8" s="488"/>
      <c r="W8" s="480"/>
      <c r="X8" s="520"/>
      <c r="Y8" s="511"/>
      <c r="AA8" s="472"/>
    </row>
    <row r="9">
      <c r="B9" s="472"/>
      <c r="C9" s="472"/>
      <c r="D9" s="472"/>
      <c r="E9" s="472"/>
      <c r="F9" s="472"/>
      <c r="G9" s="472"/>
      <c r="U9" s="472"/>
      <c r="V9" s="472"/>
      <c r="W9" s="472"/>
      <c r="X9" s="472"/>
      <c r="Y9" s="472"/>
    </row>
    <row r="10">
      <c r="U10" s="472"/>
      <c r="V10" s="472"/>
      <c r="W10" s="472"/>
      <c r="X10" s="472"/>
      <c r="Y10" s="472"/>
    </row>
    <row r="11">
      <c r="B11" s="492" t="s">
        <v>165</v>
      </c>
      <c r="C11" s="468" t="s">
        <v>126</v>
      </c>
      <c r="D11" s="469" t="s">
        <v>166</v>
      </c>
      <c r="E11" s="469" t="s">
        <v>167</v>
      </c>
      <c r="F11" s="469" t="s">
        <v>168</v>
      </c>
      <c r="G11" s="469" t="s">
        <v>169</v>
      </c>
      <c r="H11" s="469" t="s">
        <v>170</v>
      </c>
      <c r="I11" s="469" t="s">
        <v>171</v>
      </c>
      <c r="U11" s="472"/>
      <c r="V11" s="472"/>
      <c r="W11" s="472"/>
      <c r="X11" s="472"/>
      <c r="Y11" s="472"/>
    </row>
    <row r="12">
      <c r="B12" s="259" t="s">
        <v>172</v>
      </c>
      <c r="C12" s="521" t="s">
        <v>147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59" t="s">
        <v>174</v>
      </c>
      <c r="C13" s="521" t="s">
        <v>132</v>
      </c>
      <c r="D13" s="522">
        <v>4.0</v>
      </c>
      <c r="E13" s="523">
        <v>3.0</v>
      </c>
      <c r="F13" s="524">
        <v>1.0</v>
      </c>
      <c r="G13" s="522">
        <v>1.0</v>
      </c>
      <c r="H13" s="525">
        <v>3.97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131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134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68" t="s">
        <v>176</v>
      </c>
      <c r="D17" s="540">
        <f>SUM(D12:D16)</f>
        <v>36</v>
      </c>
      <c r="E17" s="541">
        <f t="shared" ref="E17:F17" si="5">AVERAGE(E12:E16)</f>
        <v>4.294</v>
      </c>
      <c r="F17" s="541">
        <f t="shared" si="5"/>
        <v>2.5</v>
      </c>
      <c r="G17" s="542"/>
      <c r="H17" s="541">
        <f>AVERAGE(H12:H16)</f>
        <v>4.504</v>
      </c>
      <c r="I17" s="542"/>
    </row>
    <row r="19">
      <c r="B19" s="492" t="s">
        <v>177</v>
      </c>
      <c r="C19" s="468" t="s">
        <v>126</v>
      </c>
      <c r="D19" s="469" t="s">
        <v>166</v>
      </c>
      <c r="E19" s="469" t="s">
        <v>167</v>
      </c>
      <c r="F19" s="469" t="s">
        <v>178</v>
      </c>
      <c r="G19" s="469" t="s">
        <v>179</v>
      </c>
      <c r="H19" s="469" t="s">
        <v>180</v>
      </c>
      <c r="I19" s="469" t="s">
        <v>181</v>
      </c>
    </row>
    <row r="20">
      <c r="B20" s="259" t="s">
        <v>172</v>
      </c>
      <c r="C20" s="521" t="s">
        <v>147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477">
        <v>0.0405</v>
      </c>
    </row>
    <row r="21">
      <c r="B21" s="259" t="s">
        <v>182</v>
      </c>
      <c r="C21" s="521" t="s">
        <v>132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477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477">
        <v>0.0315</v>
      </c>
    </row>
    <row r="23">
      <c r="C23" s="521" t="s">
        <v>131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477">
        <v>0.0315</v>
      </c>
    </row>
    <row r="24">
      <c r="C24" s="521" t="s">
        <v>134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477">
        <v>0.045</v>
      </c>
    </row>
    <row r="25">
      <c r="C25" s="468" t="s">
        <v>176</v>
      </c>
      <c r="D25" s="540">
        <f>SUM(D20:D24)</f>
        <v>281</v>
      </c>
      <c r="E25" s="541">
        <f>AVERAGE(E20:E24)</f>
        <v>4.3</v>
      </c>
      <c r="F25" s="543"/>
      <c r="G25" s="543"/>
      <c r="H25" s="542"/>
      <c r="I25" s="544">
        <f>AVERAGE(I20:I24)</f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68" t="s">
        <v>126</v>
      </c>
      <c r="C29" s="468" t="s">
        <v>185</v>
      </c>
      <c r="D29" s="468" t="s">
        <v>186</v>
      </c>
      <c r="E29" s="468" t="s">
        <v>185</v>
      </c>
      <c r="F29" s="545" t="s">
        <v>186</v>
      </c>
      <c r="G29" s="545" t="s">
        <v>159</v>
      </c>
      <c r="H29" s="545" t="s">
        <v>160</v>
      </c>
      <c r="I29" s="472"/>
      <c r="J29" s="472"/>
    </row>
    <row r="30">
      <c r="B30" s="516" t="s">
        <v>134</v>
      </c>
      <c r="C30" s="522" t="s">
        <v>187</v>
      </c>
      <c r="D30" s="522">
        <v>214.0</v>
      </c>
      <c r="E30" s="535" t="s">
        <v>188</v>
      </c>
      <c r="F30" s="536">
        <v>374.0</v>
      </c>
      <c r="G30" s="546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46">
        <f t="shared" ref="H30:H35" si="7">VALUE(LEFT(G30,FIND("min",G30)-1)) + VALUE(MID(G30,FIND("min",G30)+4,FIND("sec",G30)-FIND("min",G30)-4))/100</f>
        <v>2.03</v>
      </c>
      <c r="I30" s="472"/>
      <c r="J30" s="472"/>
    </row>
    <row r="31">
      <c r="B31" s="516" t="s">
        <v>147</v>
      </c>
      <c r="C31" s="522" t="s">
        <v>189</v>
      </c>
      <c r="D31" s="522">
        <v>361.0</v>
      </c>
      <c r="E31" s="535" t="s">
        <v>190</v>
      </c>
      <c r="F31" s="536">
        <v>263.0</v>
      </c>
      <c r="G31" s="546" t="str">
        <f t="shared" si="6"/>
        <v>0 min 57 sec</v>
      </c>
      <c r="H31" s="546">
        <f t="shared" si="7"/>
        <v>0.57</v>
      </c>
      <c r="I31" s="472"/>
      <c r="J31" s="472"/>
    </row>
    <row r="32">
      <c r="B32" s="516" t="s">
        <v>132</v>
      </c>
      <c r="C32" s="522" t="s">
        <v>191</v>
      </c>
      <c r="D32" s="522">
        <v>784.0</v>
      </c>
      <c r="E32" s="522" t="s">
        <v>192</v>
      </c>
      <c r="F32" s="536">
        <v>761.0</v>
      </c>
      <c r="G32" s="546" t="str">
        <f t="shared" si="6"/>
        <v>0 min 59 sec</v>
      </c>
      <c r="H32" s="546">
        <f t="shared" si="7"/>
        <v>0.59</v>
      </c>
      <c r="I32" s="472"/>
      <c r="J32" s="472"/>
    </row>
    <row r="33">
      <c r="B33" s="516" t="s">
        <v>133</v>
      </c>
      <c r="C33" s="522" t="s">
        <v>193</v>
      </c>
      <c r="D33" s="522">
        <v>439.0</v>
      </c>
      <c r="E33" s="522" t="s">
        <v>194</v>
      </c>
      <c r="F33" s="536">
        <v>483.0</v>
      </c>
      <c r="G33" s="546" t="str">
        <f t="shared" si="6"/>
        <v>1 min 14 sec</v>
      </c>
      <c r="H33" s="546">
        <f t="shared" si="7"/>
        <v>1.14</v>
      </c>
      <c r="I33" s="472"/>
      <c r="J33" s="472"/>
    </row>
    <row r="34">
      <c r="B34" s="516" t="s">
        <v>131</v>
      </c>
      <c r="C34" s="522" t="s">
        <v>195</v>
      </c>
      <c r="D34" s="522">
        <v>156.0</v>
      </c>
      <c r="E34" s="522" t="s">
        <v>196</v>
      </c>
      <c r="F34" s="537">
        <v>382.0</v>
      </c>
      <c r="G34" s="546" t="str">
        <f t="shared" si="6"/>
        <v>1 min 48 sec</v>
      </c>
      <c r="H34" s="546">
        <f t="shared" si="7"/>
        <v>1.48</v>
      </c>
      <c r="I34" s="538"/>
      <c r="J34" s="538"/>
    </row>
    <row r="35">
      <c r="B35" s="468" t="s">
        <v>135</v>
      </c>
      <c r="C35" s="507" t="s">
        <v>197</v>
      </c>
      <c r="D35" s="497">
        <f>sum(D30:D34)</f>
        <v>1954</v>
      </c>
      <c r="E35" s="507" t="s">
        <v>198</v>
      </c>
      <c r="F35" s="497">
        <f>SUM(F30:F34)</f>
        <v>2263</v>
      </c>
      <c r="G35" s="468" t="str">
        <f t="shared" si="6"/>
        <v>1 min 19 sec</v>
      </c>
      <c r="H35" s="468">
        <f t="shared" si="7"/>
        <v>1.19</v>
      </c>
      <c r="I35" s="472"/>
      <c r="J35" s="472"/>
    </row>
    <row r="36">
      <c r="F36" s="534" t="s">
        <v>199</v>
      </c>
      <c r="G36" s="534" t="s">
        <v>200</v>
      </c>
      <c r="H36" s="534" t="s">
        <v>218</v>
      </c>
      <c r="I36" s="534" t="s">
        <v>183</v>
      </c>
      <c r="J36" s="534" t="s">
        <v>184</v>
      </c>
    </row>
    <row r="37">
      <c r="F37" s="472"/>
      <c r="G37" s="472"/>
      <c r="H37" s="472"/>
      <c r="I37" s="472"/>
      <c r="J37" s="472"/>
    </row>
    <row r="38">
      <c r="F38" s="472"/>
      <c r="G38" s="472"/>
      <c r="H38" s="472"/>
      <c r="I38" s="472"/>
      <c r="J38" s="472"/>
    </row>
    <row r="39">
      <c r="F39" s="472"/>
      <c r="G39" s="472"/>
      <c r="H39" s="472"/>
      <c r="I39" s="472"/>
      <c r="J39" s="472"/>
    </row>
    <row r="40">
      <c r="F40" s="472"/>
      <c r="G40" s="472"/>
      <c r="H40" s="472"/>
      <c r="I40" s="472"/>
      <c r="J40" s="472"/>
    </row>
    <row r="41">
      <c r="F41" s="472"/>
      <c r="G41" s="472"/>
      <c r="H41" s="472"/>
      <c r="I41" s="472"/>
      <c r="J41" s="472"/>
    </row>
    <row r="42">
      <c r="F42" s="538"/>
      <c r="G42" s="538"/>
      <c r="H42" s="538"/>
      <c r="I42" s="538"/>
      <c r="J42" s="538"/>
    </row>
    <row r="43">
      <c r="F43" s="472"/>
      <c r="G43" s="472"/>
      <c r="H43" s="472"/>
      <c r="I43" s="472"/>
      <c r="J43" s="472"/>
    </row>
  </sheetData>
  <mergeCells count="2">
    <mergeCell ref="C28:D28"/>
    <mergeCell ref="E28:F28"/>
  </mergeCells>
  <drawing r:id="rId1"/>
</worksheet>
</file>