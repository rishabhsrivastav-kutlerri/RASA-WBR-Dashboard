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https://appriver3651009033.sharepoint.com/sites/DT-Rasa/Shared Documents/General/Weekly Prime Cost Reports/2026/"/>
    </mc:Choice>
  </mc:AlternateContent>
  <xr:revisionPtr revIDLastSave="12" documentId="8_{53304841-EAEA-4F01-856B-EA4A0C82FE5E}" xr6:coauthVersionLast="47" xr6:coauthVersionMax="47" xr10:uidLastSave="{D2E7BFD6-A30A-4593-8006-04F68A2B33E7}"/>
  <bookViews>
    <workbookView xWindow="28680" yWindow="-120" windowWidth="29040" windowHeight="15720" xr2:uid="{00000000-000D-0000-FFFF-FFFF00000000}"/>
  </bookViews>
  <sheets>
    <sheet name="Summary" sheetId="6" r:id="rId1"/>
    <sheet name="Comparison by Store" sheetId="7" r:id="rId2"/>
    <sheet name="Consolidated" sheetId="1" r:id="rId3"/>
    <sheet name="4 - RASA - MVT" sheetId="2" r:id="rId4"/>
    <sheet name="5 - RASA - National Landin" sheetId="3" r:id="rId5"/>
    <sheet name="6 - RASA - Mosaic" sheetId="4" r:id="rId6"/>
    <sheet name="7 - RASA - Rockville" sheetId="5" r:id="rId7"/>
  </sheets>
  <definedNames>
    <definedName name="_xlnm.Print_Titles" localSheetId="3">'4 - RASA - MVT'!$1:$5</definedName>
    <definedName name="_xlnm.Print_Titles" localSheetId="4">'5 - RASA - National Landin'!$1:$5</definedName>
    <definedName name="_xlnm.Print_Titles" localSheetId="5">'6 - RASA - Mosaic'!$1:$5</definedName>
    <definedName name="_xlnm.Print_Titles" localSheetId="6">'7 - RASA - Rockville'!$1:$5</definedName>
    <definedName name="_xlnm.Print_Titles" localSheetId="1">'Comparison by Store'!$1:$4</definedName>
    <definedName name="_xlnm.Print_Titles" localSheetId="2">Consolidated!$1:$5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2" i="7" l="1"/>
  <c r="D36" i="7"/>
  <c r="H37" i="7"/>
  <c r="D24" i="7"/>
  <c r="H58" i="7"/>
  <c r="B47" i="7"/>
  <c r="H51" i="7"/>
  <c r="F62" i="7"/>
  <c r="B64" i="7"/>
  <c r="F63" i="7"/>
  <c r="H6" i="7"/>
  <c r="H15" i="7"/>
  <c r="F53" i="7"/>
  <c r="F25" i="7"/>
  <c r="B27" i="7"/>
  <c r="H28" i="7"/>
  <c r="H47" i="7"/>
  <c r="B6" i="7"/>
  <c r="H50" i="7"/>
  <c r="H34" i="7"/>
  <c r="F9" i="7"/>
  <c r="B29" i="7"/>
  <c r="F16" i="7"/>
  <c r="H36" i="7"/>
  <c r="H49" i="7"/>
  <c r="B22" i="7"/>
  <c r="D33" i="7"/>
  <c r="D64" i="7"/>
  <c r="B8" i="7"/>
  <c r="H7" i="7"/>
  <c r="D11" i="7"/>
  <c r="F48" i="7"/>
  <c r="B11" i="7"/>
  <c r="H30" i="7"/>
  <c r="F46" i="7"/>
  <c r="F49" i="7"/>
  <c r="D13" i="7"/>
  <c r="H23" i="7"/>
  <c r="B12" i="7"/>
  <c r="H48" i="7"/>
  <c r="D63" i="7"/>
  <c r="D9" i="7"/>
  <c r="D38" i="7"/>
  <c r="F6" i="7"/>
  <c r="H12" i="7"/>
  <c r="D32" i="7"/>
  <c r="H55" i="7"/>
  <c r="B51" i="7"/>
  <c r="D40" i="7"/>
  <c r="B61" i="7"/>
  <c r="H62" i="7"/>
  <c r="B66" i="7"/>
  <c r="D60" i="7"/>
  <c r="F12" i="7"/>
  <c r="B46" i="7"/>
  <c r="H61" i="7"/>
  <c r="D14" i="7"/>
  <c r="F36" i="7"/>
  <c r="B28" i="7"/>
  <c r="D55" i="7"/>
  <c r="D49" i="7"/>
  <c r="D25" i="7"/>
  <c r="B60" i="7"/>
  <c r="B38" i="7"/>
  <c r="F34" i="7"/>
  <c r="D30" i="7"/>
  <c r="F33" i="7"/>
  <c r="B36" i="7"/>
  <c r="D47" i="7"/>
  <c r="F50" i="7"/>
  <c r="B53" i="7"/>
  <c r="D57" i="7"/>
  <c r="D22" i="7"/>
  <c r="F55" i="7"/>
  <c r="F29" i="7"/>
  <c r="H39" i="7"/>
  <c r="H9" i="7"/>
  <c r="F57" i="7"/>
  <c r="F11" i="7"/>
  <c r="F51" i="7"/>
  <c r="D56" i="7"/>
  <c r="F15" i="7"/>
  <c r="F60" i="7"/>
  <c r="F39" i="7"/>
  <c r="B23" i="7"/>
  <c r="D51" i="7"/>
  <c r="D41" i="7"/>
  <c r="F14" i="7"/>
  <c r="B25" i="7"/>
  <c r="B13" i="7"/>
  <c r="H8" i="7"/>
  <c r="H57" i="7"/>
  <c r="F7" i="7"/>
  <c r="F37" i="7"/>
  <c r="H42" i="7"/>
  <c r="F56" i="7"/>
  <c r="H63" i="7"/>
  <c r="B41" i="7"/>
  <c r="F8" i="7"/>
  <c r="B10" i="7"/>
  <c r="B55" i="7"/>
  <c r="B16" i="7"/>
  <c r="B33" i="7"/>
  <c r="H14" i="7"/>
  <c r="B42" i="7"/>
  <c r="D7" i="7"/>
  <c r="B30" i="7"/>
  <c r="B15" i="7"/>
  <c r="B58" i="7"/>
  <c r="H38" i="7"/>
  <c r="B37" i="7"/>
  <c r="H56" i="7"/>
  <c r="H22" i="7"/>
  <c r="B50" i="7"/>
  <c r="D16" i="7"/>
  <c r="B59" i="7"/>
  <c r="B39" i="7"/>
  <c r="D39" i="7"/>
  <c r="F47" i="7"/>
  <c r="F27" i="7"/>
  <c r="D34" i="7"/>
  <c r="D12" i="7"/>
  <c r="H53" i="7"/>
  <c r="B14" i="7"/>
  <c r="D10" i="7"/>
  <c r="H32" i="7"/>
  <c r="F40" i="7"/>
  <c r="H59" i="7"/>
  <c r="F64" i="7"/>
  <c r="H46" i="7"/>
  <c r="D61" i="7"/>
  <c r="B54" i="7"/>
  <c r="D23" i="7"/>
  <c r="D58" i="7"/>
  <c r="F41" i="7"/>
  <c r="F24" i="7"/>
  <c r="F38" i="7"/>
  <c r="H26" i="7"/>
  <c r="D59" i="7"/>
  <c r="B9" i="7"/>
  <c r="H11" i="7"/>
  <c r="F42" i="7"/>
  <c r="D26" i="7"/>
  <c r="D8" i="7"/>
  <c r="H25" i="7"/>
  <c r="D54" i="7"/>
  <c r="B24" i="7"/>
  <c r="H29" i="7"/>
  <c r="D31" i="7"/>
  <c r="F61" i="7"/>
  <c r="F58" i="7"/>
  <c r="B26" i="7"/>
  <c r="B40" i="7"/>
  <c r="D15" i="7"/>
  <c r="H40" i="7"/>
  <c r="D42" i="7"/>
  <c r="D62" i="7"/>
  <c r="D27" i="7"/>
  <c r="D48" i="7"/>
  <c r="F13" i="7"/>
  <c r="B63" i="7"/>
  <c r="B57" i="7"/>
  <c r="H27" i="7"/>
  <c r="H41" i="7"/>
  <c r="F28" i="7"/>
  <c r="H31" i="7"/>
  <c r="H10" i="7"/>
  <c r="F23" i="7"/>
  <c r="F30" i="7"/>
  <c r="B7" i="7"/>
  <c r="H16" i="7"/>
  <c r="H64" i="7"/>
  <c r="B31" i="7"/>
  <c r="D29" i="7"/>
  <c r="D46" i="7"/>
  <c r="F10" i="7"/>
  <c r="H54" i="7"/>
  <c r="B49" i="7"/>
  <c r="F31" i="7"/>
  <c r="H33" i="7"/>
  <c r="D37" i="7"/>
  <c r="H60" i="7"/>
  <c r="B48" i="7"/>
  <c r="F32" i="7"/>
  <c r="D50" i="7"/>
  <c r="F54" i="7"/>
  <c r="D53" i="7"/>
  <c r="D28" i="7"/>
  <c r="D6" i="7"/>
  <c r="B34" i="7"/>
  <c r="F59" i="7"/>
  <c r="B62" i="7"/>
  <c r="F22" i="7"/>
  <c r="F26" i="7"/>
  <c r="H13" i="7"/>
  <c r="H24" i="7"/>
  <c r="B56" i="7"/>
  <c r="B32" i="7"/>
  <c r="J48" i="7" l="1"/>
  <c r="I48" i="7"/>
  <c r="E64" i="7"/>
  <c r="E12" i="7"/>
  <c r="C47" i="7"/>
  <c r="I54" i="7"/>
  <c r="J54" i="7"/>
  <c r="I10" i="7"/>
  <c r="J10" i="7"/>
  <c r="E42" i="7"/>
  <c r="C9" i="7"/>
  <c r="E39" i="7"/>
  <c r="C30" i="7"/>
  <c r="G7" i="7"/>
  <c r="G15" i="7"/>
  <c r="G37" i="7"/>
  <c r="I13" i="7"/>
  <c r="J13" i="7"/>
  <c r="C64" i="7"/>
  <c r="I62" i="7"/>
  <c r="J62" i="7"/>
  <c r="C12" i="7"/>
  <c r="E33" i="7"/>
  <c r="G62" i="7"/>
  <c r="G54" i="7"/>
  <c r="G10" i="7"/>
  <c r="J31" i="7"/>
  <c r="I31" i="7"/>
  <c r="J40" i="7"/>
  <c r="I40" i="7"/>
  <c r="E59" i="7"/>
  <c r="C39" i="7"/>
  <c r="E7" i="7"/>
  <c r="J57" i="7"/>
  <c r="I57" i="7"/>
  <c r="E56" i="7"/>
  <c r="C56" i="7"/>
  <c r="E25" i="7"/>
  <c r="G42" i="7"/>
  <c r="C61" i="7"/>
  <c r="J23" i="7"/>
  <c r="I23" i="7"/>
  <c r="C22" i="7"/>
  <c r="G59" i="7"/>
  <c r="E50" i="7"/>
  <c r="I37" i="7"/>
  <c r="J37" i="7"/>
  <c r="G28" i="7"/>
  <c r="E15" i="7"/>
  <c r="J26" i="7"/>
  <c r="I26" i="7"/>
  <c r="C59" i="7"/>
  <c r="C42" i="7"/>
  <c r="I8" i="7"/>
  <c r="J8" i="7"/>
  <c r="G51" i="7"/>
  <c r="G34" i="7"/>
  <c r="G26" i="7"/>
  <c r="C62" i="7"/>
  <c r="E40" i="7"/>
  <c r="E13" i="7"/>
  <c r="I49" i="7"/>
  <c r="J49" i="7"/>
  <c r="E34" i="7"/>
  <c r="I58" i="7"/>
  <c r="J58" i="7"/>
  <c r="E46" i="7"/>
  <c r="J41" i="7"/>
  <c r="I41" i="7"/>
  <c r="C40" i="7"/>
  <c r="G38" i="7"/>
  <c r="E16" i="7"/>
  <c r="I14" i="7"/>
  <c r="J14" i="7"/>
  <c r="C13" i="7"/>
  <c r="G11" i="7"/>
  <c r="E8" i="7"/>
  <c r="J6" i="7"/>
  <c r="I6" i="7"/>
  <c r="I53" i="7"/>
  <c r="C51" i="7"/>
  <c r="G49" i="7"/>
  <c r="I36" i="7"/>
  <c r="C34" i="7"/>
  <c r="G32" i="7"/>
  <c r="E29" i="7"/>
  <c r="J27" i="7"/>
  <c r="I27" i="7"/>
  <c r="C26" i="7"/>
  <c r="G24" i="7"/>
  <c r="C50" i="7"/>
  <c r="C33" i="7"/>
  <c r="C25" i="7"/>
  <c r="G57" i="7"/>
  <c r="G40" i="7"/>
  <c r="E10" i="7"/>
  <c r="C28" i="7"/>
  <c r="J55" i="7"/>
  <c r="I55" i="7"/>
  <c r="G46" i="7"/>
  <c r="G16" i="7"/>
  <c r="J11" i="7"/>
  <c r="I11" i="7"/>
  <c r="C48" i="7"/>
  <c r="C31" i="7"/>
  <c r="C57" i="7"/>
  <c r="G58" i="7"/>
  <c r="G41" i="7"/>
  <c r="I22" i="7"/>
  <c r="C16" i="7"/>
  <c r="G14" i="7"/>
  <c r="I9" i="7"/>
  <c r="J9" i="7"/>
  <c r="G53" i="7"/>
  <c r="E49" i="7"/>
  <c r="G36" i="7"/>
  <c r="E32" i="7"/>
  <c r="I30" i="7"/>
  <c r="J30" i="7"/>
  <c r="C29" i="7"/>
  <c r="G27" i="7"/>
  <c r="E24" i="7"/>
  <c r="I64" i="7"/>
  <c r="J64" i="7"/>
  <c r="C63" i="7"/>
  <c r="G61" i="7"/>
  <c r="E58" i="7"/>
  <c r="I56" i="7"/>
  <c r="J56" i="7"/>
  <c r="C55" i="7"/>
  <c r="E41" i="7"/>
  <c r="I39" i="7"/>
  <c r="J39" i="7"/>
  <c r="C38" i="7"/>
  <c r="G22" i="7"/>
  <c r="E14" i="7"/>
  <c r="I12" i="7"/>
  <c r="J12" i="7"/>
  <c r="C11" i="7"/>
  <c r="G9" i="7"/>
  <c r="E6" i="7"/>
  <c r="I60" i="7"/>
  <c r="J60" i="7"/>
  <c r="I16" i="7"/>
  <c r="J16" i="7"/>
  <c r="G13" i="7"/>
  <c r="E31" i="7"/>
  <c r="E23" i="7"/>
  <c r="C37" i="7"/>
  <c r="C10" i="7"/>
  <c r="E51" i="7"/>
  <c r="G29" i="7"/>
  <c r="J24" i="7"/>
  <c r="I24" i="7"/>
  <c r="G63" i="7"/>
  <c r="J61" i="7"/>
  <c r="I61" i="7"/>
  <c r="G6" i="7"/>
  <c r="G48" i="7"/>
  <c r="J34" i="7"/>
  <c r="I34" i="7"/>
  <c r="E28" i="7"/>
  <c r="E37" i="7"/>
  <c r="C7" i="7"/>
  <c r="E48" i="7"/>
  <c r="I29" i="7"/>
  <c r="J29" i="7"/>
  <c r="C54" i="7"/>
  <c r="I38" i="7"/>
  <c r="J38" i="7"/>
  <c r="G8" i="7"/>
  <c r="C23" i="7"/>
  <c r="G55" i="7"/>
  <c r="C60" i="7"/>
  <c r="E55" i="7"/>
  <c r="C46" i="7"/>
  <c r="E38" i="7"/>
  <c r="E11" i="7"/>
  <c r="J50" i="7"/>
  <c r="I50" i="7"/>
  <c r="G47" i="7"/>
  <c r="I33" i="7"/>
  <c r="J33" i="7"/>
  <c r="G30" i="7"/>
  <c r="E27" i="7"/>
  <c r="C24" i="7"/>
  <c r="E61" i="7"/>
  <c r="C58" i="7"/>
  <c r="C41" i="7"/>
  <c r="G39" i="7"/>
  <c r="E22" i="7"/>
  <c r="I15" i="7"/>
  <c r="J15" i="7"/>
  <c r="K15" i="7" s="1"/>
  <c r="C14" i="7"/>
  <c r="G12" i="7"/>
  <c r="E9" i="7"/>
  <c r="I7" i="7"/>
  <c r="J7" i="7"/>
  <c r="C6" i="7"/>
  <c r="I51" i="7"/>
  <c r="J51" i="7"/>
  <c r="G31" i="7"/>
  <c r="G23" i="7"/>
  <c r="E62" i="7"/>
  <c r="E54" i="7"/>
  <c r="I46" i="7"/>
  <c r="C15" i="7"/>
  <c r="J63" i="7"/>
  <c r="I63" i="7"/>
  <c r="G60" i="7"/>
  <c r="E57" i="7"/>
  <c r="I32" i="7"/>
  <c r="J32" i="7"/>
  <c r="E26" i="7"/>
  <c r="E60" i="7"/>
  <c r="E63" i="7"/>
  <c r="C8" i="7"/>
  <c r="I47" i="7"/>
  <c r="J47" i="7"/>
  <c r="E53" i="7"/>
  <c r="C49" i="7"/>
  <c r="E36" i="7"/>
  <c r="C32" i="7"/>
  <c r="I25" i="7"/>
  <c r="J25" i="7"/>
  <c r="K25" i="7" s="1"/>
  <c r="G64" i="7"/>
  <c r="I59" i="7"/>
  <c r="J59" i="7"/>
  <c r="G56" i="7"/>
  <c r="I42" i="7"/>
  <c r="J42" i="7"/>
  <c r="C53" i="7"/>
  <c r="G50" i="7"/>
  <c r="E47" i="7"/>
  <c r="C36" i="7"/>
  <c r="G33" i="7"/>
  <c r="E30" i="7"/>
  <c r="J28" i="7"/>
  <c r="I28" i="7"/>
  <c r="C27" i="7"/>
  <c r="G25" i="7"/>
  <c r="C66" i="7"/>
  <c r="D66" i="7"/>
  <c r="K63" i="7" l="1"/>
  <c r="K34" i="7"/>
  <c r="K40" i="7"/>
  <c r="K59" i="7"/>
  <c r="K60" i="7"/>
  <c r="K49" i="7"/>
  <c r="K37" i="7"/>
  <c r="K28" i="7"/>
  <c r="K6" i="7"/>
  <c r="K61" i="7"/>
  <c r="K64" i="7"/>
  <c r="K47" i="7"/>
  <c r="K31" i="7"/>
  <c r="K38" i="7"/>
  <c r="K51" i="7"/>
  <c r="K23" i="7"/>
  <c r="K33" i="7"/>
  <c r="K29" i="7"/>
  <c r="K30" i="7"/>
  <c r="K27" i="7"/>
  <c r="K8" i="7"/>
  <c r="K54" i="7"/>
  <c r="K7" i="7"/>
  <c r="K11" i="7"/>
  <c r="K12" i="7"/>
  <c r="K14" i="7"/>
  <c r="K24" i="7"/>
  <c r="K10" i="7"/>
  <c r="K42" i="7"/>
  <c r="K32" i="7"/>
  <c r="K39" i="7"/>
  <c r="K62" i="7"/>
  <c r="K50" i="7"/>
  <c r="K41" i="7"/>
  <c r="K55" i="7"/>
  <c r="K58" i="7"/>
  <c r="K26" i="7"/>
  <c r="K57" i="7"/>
  <c r="K13" i="7"/>
  <c r="K36" i="7"/>
  <c r="K53" i="7"/>
  <c r="K22" i="7"/>
  <c r="K46" i="7"/>
  <c r="K16" i="7"/>
  <c r="K56" i="7"/>
  <c r="K9" i="7"/>
  <c r="K48" i="7"/>
  <c r="E66" i="7"/>
  <c r="K72" i="7"/>
  <c r="K78" i="7"/>
  <c r="H81" i="7"/>
  <c r="D72" i="7"/>
  <c r="H75" i="7"/>
  <c r="H84" i="7"/>
  <c r="D85" i="7"/>
  <c r="B73" i="7"/>
  <c r="D77" i="7"/>
  <c r="D82" i="7"/>
  <c r="B79" i="7"/>
  <c r="F83" i="7"/>
  <c r="H85" i="7"/>
  <c r="D88" i="7"/>
  <c r="F73" i="7"/>
  <c r="B94" i="7"/>
  <c r="F78" i="7"/>
  <c r="H89" i="7"/>
  <c r="F81" i="7"/>
  <c r="D91" i="7"/>
  <c r="F72" i="7"/>
  <c r="F88" i="7"/>
  <c r="H72" i="7"/>
  <c r="B78" i="7"/>
  <c r="F82" i="7"/>
  <c r="B81" i="7"/>
  <c r="H82" i="7"/>
  <c r="B92" i="7"/>
  <c r="B87" i="7"/>
  <c r="B77" i="7"/>
  <c r="D74" i="7"/>
  <c r="D86" i="7"/>
  <c r="F77" i="7"/>
  <c r="D83" i="7"/>
  <c r="B90" i="7"/>
  <c r="D90" i="7"/>
  <c r="F85" i="7"/>
  <c r="F76" i="7"/>
  <c r="H88" i="7"/>
  <c r="D76" i="7"/>
  <c r="D87" i="7"/>
  <c r="F84" i="7"/>
  <c r="D89" i="7"/>
  <c r="F75" i="7"/>
  <c r="H78" i="7"/>
  <c r="F66" i="7"/>
  <c r="D79" i="7"/>
  <c r="B91" i="7"/>
  <c r="B85" i="7"/>
  <c r="B88" i="7"/>
  <c r="H91" i="7"/>
  <c r="B74" i="7"/>
  <c r="H74" i="7"/>
  <c r="H86" i="7"/>
  <c r="F91" i="7"/>
  <c r="D73" i="7"/>
  <c r="D84" i="7"/>
  <c r="H77" i="7"/>
  <c r="F79" i="7"/>
  <c r="D92" i="7"/>
  <c r="B72" i="7"/>
  <c r="H79" i="7"/>
  <c r="B86" i="7"/>
  <c r="B75" i="7"/>
  <c r="B89" i="7"/>
  <c r="F92" i="7"/>
  <c r="B82" i="7"/>
  <c r="H83" i="7"/>
  <c r="H66" i="7"/>
  <c r="F86" i="7"/>
  <c r="D81" i="7"/>
  <c r="B76" i="7"/>
  <c r="H73" i="7"/>
  <c r="D75" i="7"/>
  <c r="B83" i="7"/>
  <c r="F89" i="7"/>
  <c r="B84" i="7"/>
  <c r="F74" i="7"/>
  <c r="F90" i="7"/>
  <c r="H76" i="7"/>
  <c r="D78" i="7"/>
  <c r="F87" i="7"/>
  <c r="H92" i="7"/>
  <c r="H87" i="7"/>
  <c r="H90" i="7"/>
  <c r="J66" i="7" l="1"/>
  <c r="K66" i="7" s="1"/>
  <c r="I66" i="7"/>
  <c r="G66" i="7"/>
  <c r="C92" i="7"/>
  <c r="I85" i="7"/>
  <c r="J85" i="7"/>
  <c r="K85" i="7" s="1"/>
  <c r="E73" i="7"/>
  <c r="J88" i="7"/>
  <c r="K88" i="7" s="1"/>
  <c r="I88" i="7"/>
  <c r="E82" i="7"/>
  <c r="I74" i="7"/>
  <c r="J74" i="7"/>
  <c r="K74" i="7" s="1"/>
  <c r="J91" i="7"/>
  <c r="K91" i="7" s="1"/>
  <c r="I91" i="7"/>
  <c r="C90" i="7"/>
  <c r="G88" i="7"/>
  <c r="E85" i="7"/>
  <c r="I83" i="7"/>
  <c r="J83" i="7"/>
  <c r="K83" i="7" s="1"/>
  <c r="C82" i="7"/>
  <c r="G79" i="7"/>
  <c r="J77" i="7"/>
  <c r="K77" i="7" s="1"/>
  <c r="I77" i="7"/>
  <c r="C76" i="7"/>
  <c r="G74" i="7"/>
  <c r="J79" i="7"/>
  <c r="K79" i="7" s="1"/>
  <c r="I79" i="7"/>
  <c r="E87" i="7"/>
  <c r="E76" i="7"/>
  <c r="G91" i="7"/>
  <c r="I86" i="7"/>
  <c r="J86" i="7"/>
  <c r="K86" i="7" s="1"/>
  <c r="I72" i="7"/>
  <c r="C88" i="7"/>
  <c r="E83" i="7"/>
  <c r="G72" i="7"/>
  <c r="I84" i="7"/>
  <c r="J84" i="7"/>
  <c r="K84" i="7" s="1"/>
  <c r="I78" i="7"/>
  <c r="G75" i="7"/>
  <c r="G92" i="7"/>
  <c r="E89" i="7"/>
  <c r="J87" i="7"/>
  <c r="K87" i="7" s="1"/>
  <c r="I87" i="7"/>
  <c r="C86" i="7"/>
  <c r="G84" i="7"/>
  <c r="E81" i="7"/>
  <c r="C72" i="7"/>
  <c r="G82" i="7"/>
  <c r="C78" i="7"/>
  <c r="E90" i="7"/>
  <c r="C85" i="7"/>
  <c r="G77" i="7"/>
  <c r="E91" i="7"/>
  <c r="I75" i="7"/>
  <c r="J75" i="7"/>
  <c r="K75" i="7" s="1"/>
  <c r="J92" i="7"/>
  <c r="K92" i="7" s="1"/>
  <c r="I92" i="7"/>
  <c r="C77" i="7"/>
  <c r="E75" i="7"/>
  <c r="J73" i="7"/>
  <c r="K73" i="7" s="1"/>
  <c r="I73" i="7"/>
  <c r="G90" i="7"/>
  <c r="C87" i="7"/>
  <c r="E88" i="7"/>
  <c r="G83" i="7"/>
  <c r="G86" i="7"/>
  <c r="C79" i="7"/>
  <c r="E77" i="7"/>
  <c r="C74" i="7"/>
  <c r="C91" i="7"/>
  <c r="E86" i="7"/>
  <c r="G81" i="7"/>
  <c r="E72" i="7"/>
  <c r="G78" i="7"/>
  <c r="E92" i="7"/>
  <c r="I90" i="7"/>
  <c r="J90" i="7"/>
  <c r="K90" i="7" s="1"/>
  <c r="C89" i="7"/>
  <c r="G87" i="7"/>
  <c r="E84" i="7"/>
  <c r="I82" i="7"/>
  <c r="J82" i="7"/>
  <c r="K82" i="7" s="1"/>
  <c r="C81" i="7"/>
  <c r="C84" i="7"/>
  <c r="G76" i="7"/>
  <c r="G85" i="7"/>
  <c r="C73" i="7"/>
  <c r="E79" i="7"/>
  <c r="E74" i="7"/>
  <c r="J89" i="7"/>
  <c r="K89" i="7" s="1"/>
  <c r="I89" i="7"/>
  <c r="J81" i="7"/>
  <c r="K81" i="7" s="1"/>
  <c r="I81" i="7"/>
  <c r="G89" i="7"/>
  <c r="C83" i="7"/>
  <c r="E78" i="7"/>
  <c r="I76" i="7"/>
  <c r="J76" i="7"/>
  <c r="K76" i="7" s="1"/>
  <c r="C75" i="7"/>
  <c r="G73" i="7"/>
  <c r="C94" i="7"/>
  <c r="C1" i="6"/>
  <c r="D1" i="6" s="1"/>
  <c r="E1" i="6" s="1"/>
  <c r="F1" i="6" s="1"/>
  <c r="B5" i="6"/>
  <c r="AM5" i="6"/>
  <c r="AN5" i="6" s="1"/>
  <c r="AO5" i="6"/>
  <c r="B6" i="6"/>
  <c r="AM6" i="6"/>
  <c r="AN6" i="6" s="1"/>
  <c r="AO6" i="6"/>
  <c r="B7" i="6"/>
  <c r="AM7" i="6"/>
  <c r="AN7" i="6" s="1"/>
  <c r="AO7" i="6"/>
  <c r="B8" i="6"/>
  <c r="AM8" i="6"/>
  <c r="AN8" i="6" s="1"/>
  <c r="AO8" i="6"/>
  <c r="AM9" i="6"/>
  <c r="AN9" i="6"/>
  <c r="AO9" i="6"/>
  <c r="AM10" i="6"/>
  <c r="AN10" i="6"/>
  <c r="AO10" i="6"/>
  <c r="AM11" i="6"/>
  <c r="AN11" i="6"/>
  <c r="AO11" i="6"/>
  <c r="AM12" i="6"/>
  <c r="AN12" i="6"/>
  <c r="AO12" i="6"/>
  <c r="AM13" i="6"/>
  <c r="AN13" i="6"/>
  <c r="AO13" i="6"/>
  <c r="AM14" i="6"/>
  <c r="AN14" i="6"/>
  <c r="AO14" i="6"/>
  <c r="AM15" i="6"/>
  <c r="AN15" i="6" s="1"/>
  <c r="AO15" i="6"/>
  <c r="AM16" i="6"/>
  <c r="AN16" i="6"/>
  <c r="AO16" i="6"/>
  <c r="AM17" i="6"/>
  <c r="AN17" i="6"/>
  <c r="AO17" i="6"/>
  <c r="AM18" i="6"/>
  <c r="AN18" i="6" s="1"/>
  <c r="AO18" i="6"/>
  <c r="AM19" i="6"/>
  <c r="AN19" i="6" s="1"/>
  <c r="AO19" i="6"/>
  <c r="AM20" i="6"/>
  <c r="AN20" i="6" s="1"/>
  <c r="AO20" i="6"/>
  <c r="AM21" i="6"/>
  <c r="AN21" i="6"/>
  <c r="AO21" i="6"/>
  <c r="AM22" i="6"/>
  <c r="AN22" i="6"/>
  <c r="AO22" i="6"/>
  <c r="AM23" i="6"/>
  <c r="AN23" i="6"/>
  <c r="AO23" i="6"/>
  <c r="AM24" i="6"/>
  <c r="AN24" i="6"/>
  <c r="AO24" i="6"/>
  <c r="AM25" i="6"/>
  <c r="AN25" i="6"/>
  <c r="AO25" i="6"/>
  <c r="AM26" i="6"/>
  <c r="AN26" i="6"/>
  <c r="AO26" i="6"/>
  <c r="AM27" i="6"/>
  <c r="AN27" i="6"/>
  <c r="AO27" i="6"/>
  <c r="AM28" i="6"/>
  <c r="AN28" i="6"/>
  <c r="AO28" i="6"/>
  <c r="AM29" i="6"/>
  <c r="AN29" i="6" s="1"/>
  <c r="AO29" i="6"/>
  <c r="AM30" i="6"/>
  <c r="AN30" i="6" s="1"/>
  <c r="AO30" i="6"/>
  <c r="AM31" i="6"/>
  <c r="AN31" i="6" s="1"/>
  <c r="AO31" i="6"/>
  <c r="AM32" i="6"/>
  <c r="AN32" i="6"/>
  <c r="AO32" i="6"/>
  <c r="AM33" i="6"/>
  <c r="AN33" i="6"/>
  <c r="AO33" i="6"/>
  <c r="AM34" i="6"/>
  <c r="AN34" i="6" s="1"/>
  <c r="AO34" i="6"/>
  <c r="AM35" i="6"/>
  <c r="AN35" i="6"/>
  <c r="AO35" i="6"/>
  <c r="AM36" i="6"/>
  <c r="AN36" i="6" s="1"/>
  <c r="AO36" i="6"/>
  <c r="AM37" i="6"/>
  <c r="AN37" i="6"/>
  <c r="AO37" i="6"/>
  <c r="AM38" i="6"/>
  <c r="AN38" i="6"/>
  <c r="AO38" i="6"/>
  <c r="AM39" i="6"/>
  <c r="AN39" i="6"/>
  <c r="AO39" i="6"/>
  <c r="AM40" i="6"/>
  <c r="AN40" i="6"/>
  <c r="AO40" i="6"/>
  <c r="AM41" i="6"/>
  <c r="AN41" i="6"/>
  <c r="AO41" i="6"/>
  <c r="AM42" i="6"/>
  <c r="AN42" i="6"/>
  <c r="AO42" i="6"/>
  <c r="AM43" i="6"/>
  <c r="AN43" i="6"/>
  <c r="AO43" i="6"/>
  <c r="AM44" i="6"/>
  <c r="AN44" i="6"/>
  <c r="AO44" i="6"/>
  <c r="AM45" i="6"/>
  <c r="AN45" i="6" s="1"/>
  <c r="AO45" i="6"/>
  <c r="AM46" i="6"/>
  <c r="AN46" i="6" s="1"/>
  <c r="AO46" i="6"/>
  <c r="AM47" i="6"/>
  <c r="AN47" i="6" s="1"/>
  <c r="AO47" i="6"/>
  <c r="AM48" i="6"/>
  <c r="AN48" i="6"/>
  <c r="AO48" i="6"/>
  <c r="AM49" i="6"/>
  <c r="AN49" i="6"/>
  <c r="AO49" i="6"/>
  <c r="AM50" i="6"/>
  <c r="AN50" i="6" s="1"/>
  <c r="AO50" i="6"/>
  <c r="AM51" i="6"/>
  <c r="AN51" i="6"/>
  <c r="AO51" i="6"/>
  <c r="AG148" i="5"/>
  <c r="AK148" i="5" s="1"/>
  <c r="AB148" i="5"/>
  <c r="AA145" i="5"/>
  <c r="Z145" i="5"/>
  <c r="X145" i="5"/>
  <c r="V145" i="5"/>
  <c r="W145" i="5" s="1"/>
  <c r="T145" i="5"/>
  <c r="U145" i="5" s="1"/>
  <c r="S145" i="5"/>
  <c r="R145" i="5"/>
  <c r="P145" i="5"/>
  <c r="Q145" i="5" s="1"/>
  <c r="O145" i="5"/>
  <c r="N145" i="5"/>
  <c r="L145" i="5"/>
  <c r="M145" i="5" s="1"/>
  <c r="J145" i="5"/>
  <c r="H145" i="5"/>
  <c r="I145" i="5" s="1"/>
  <c r="F145" i="5"/>
  <c r="G145" i="5" s="1"/>
  <c r="E145" i="5"/>
  <c r="D145" i="5"/>
  <c r="B145" i="5"/>
  <c r="C145" i="5" s="1"/>
  <c r="AG144" i="5"/>
  <c r="AF144" i="5"/>
  <c r="AD144" i="5"/>
  <c r="AC144" i="5"/>
  <c r="AB144" i="5"/>
  <c r="AA144" i="5"/>
  <c r="Y144" i="5"/>
  <c r="W144" i="5"/>
  <c r="U144" i="5"/>
  <c r="S144" i="5"/>
  <c r="Q144" i="5"/>
  <c r="O144" i="5"/>
  <c r="M144" i="5"/>
  <c r="K144" i="5"/>
  <c r="I144" i="5"/>
  <c r="G144" i="5"/>
  <c r="E144" i="5"/>
  <c r="C144" i="5"/>
  <c r="AK141" i="5"/>
  <c r="AL141" i="5" s="1"/>
  <c r="AG141" i="5"/>
  <c r="AH141" i="5" s="1"/>
  <c r="AA141" i="5"/>
  <c r="Z141" i="5"/>
  <c r="Y141" i="5"/>
  <c r="X141" i="5"/>
  <c r="W141" i="5"/>
  <c r="V141" i="5"/>
  <c r="T141" i="5"/>
  <c r="U141" i="5" s="1"/>
  <c r="S141" i="5"/>
  <c r="R141" i="5"/>
  <c r="AB141" i="5" s="1"/>
  <c r="AC141" i="5" s="1"/>
  <c r="Q141" i="5"/>
  <c r="P141" i="5"/>
  <c r="O141" i="5"/>
  <c r="N141" i="5"/>
  <c r="L141" i="5"/>
  <c r="M141" i="5" s="1"/>
  <c r="K141" i="5"/>
  <c r="J141" i="5"/>
  <c r="I141" i="5"/>
  <c r="H141" i="5"/>
  <c r="G141" i="5"/>
  <c r="F141" i="5"/>
  <c r="D141" i="5"/>
  <c r="E141" i="5" s="1"/>
  <c r="B141" i="5"/>
  <c r="C141" i="5" s="1"/>
  <c r="AL140" i="5"/>
  <c r="AK140" i="5"/>
  <c r="AG140" i="5"/>
  <c r="AI140" i="5" s="1"/>
  <c r="AD140" i="5"/>
  <c r="AC140" i="5"/>
  <c r="AB140" i="5"/>
  <c r="AF140" i="5" s="1"/>
  <c r="AA140" i="5"/>
  <c r="Y140" i="5"/>
  <c r="W140" i="5"/>
  <c r="U140" i="5"/>
  <c r="S140" i="5"/>
  <c r="Q140" i="5"/>
  <c r="O140" i="5"/>
  <c r="M140" i="5"/>
  <c r="K140" i="5"/>
  <c r="I140" i="5"/>
  <c r="G140" i="5"/>
  <c r="E140" i="5"/>
  <c r="C140" i="5"/>
  <c r="Z135" i="5"/>
  <c r="AA135" i="5" s="1"/>
  <c r="Y135" i="5"/>
  <c r="X135" i="5"/>
  <c r="V135" i="5"/>
  <c r="W135" i="5" s="1"/>
  <c r="U135" i="5"/>
  <c r="T135" i="5"/>
  <c r="R135" i="5"/>
  <c r="Q135" i="5"/>
  <c r="P135" i="5"/>
  <c r="N135" i="5"/>
  <c r="O135" i="5" s="1"/>
  <c r="M135" i="5"/>
  <c r="L135" i="5"/>
  <c r="J135" i="5"/>
  <c r="AG135" i="5" s="1"/>
  <c r="AH135" i="5" s="1"/>
  <c r="I135" i="5"/>
  <c r="H135" i="5"/>
  <c r="F135" i="5"/>
  <c r="G135" i="5" s="1"/>
  <c r="D135" i="5"/>
  <c r="E135" i="5" s="1"/>
  <c r="B135" i="5"/>
  <c r="C135" i="5" s="1"/>
  <c r="AL134" i="5"/>
  <c r="AI134" i="5"/>
  <c r="AH134" i="5"/>
  <c r="AG134" i="5"/>
  <c r="AK134" i="5" s="1"/>
  <c r="AD134" i="5"/>
  <c r="AB134" i="5"/>
  <c r="AF134" i="5" s="1"/>
  <c r="AA134" i="5"/>
  <c r="Y134" i="5"/>
  <c r="W134" i="5"/>
  <c r="U134" i="5"/>
  <c r="S134" i="5"/>
  <c r="Q134" i="5"/>
  <c r="O134" i="5"/>
  <c r="M134" i="5"/>
  <c r="K134" i="5"/>
  <c r="I134" i="5"/>
  <c r="G134" i="5"/>
  <c r="E134" i="5"/>
  <c r="C134" i="5"/>
  <c r="AG133" i="5"/>
  <c r="AF133" i="5"/>
  <c r="AD133" i="5"/>
  <c r="AB133" i="5"/>
  <c r="AC133" i="5" s="1"/>
  <c r="AA133" i="5"/>
  <c r="Y133" i="5"/>
  <c r="W133" i="5"/>
  <c r="U133" i="5"/>
  <c r="S133" i="5"/>
  <c r="Q133" i="5"/>
  <c r="O133" i="5"/>
  <c r="M133" i="5"/>
  <c r="K133" i="5"/>
  <c r="I133" i="5"/>
  <c r="G133" i="5"/>
  <c r="E133" i="5"/>
  <c r="C133" i="5"/>
  <c r="AL132" i="5"/>
  <c r="AI132" i="5"/>
  <c r="AH132" i="5"/>
  <c r="AG132" i="5"/>
  <c r="AK132" i="5" s="1"/>
  <c r="AF132" i="5"/>
  <c r="AB132" i="5"/>
  <c r="AD132" i="5" s="1"/>
  <c r="AA132" i="5"/>
  <c r="Y132" i="5"/>
  <c r="W132" i="5"/>
  <c r="U132" i="5"/>
  <c r="S132" i="5"/>
  <c r="Q132" i="5"/>
  <c r="O132" i="5"/>
  <c r="M132" i="5"/>
  <c r="K132" i="5"/>
  <c r="I132" i="5"/>
  <c r="G132" i="5"/>
  <c r="E132" i="5"/>
  <c r="C132" i="5"/>
  <c r="AG131" i="5"/>
  <c r="AF131" i="5"/>
  <c r="AD131" i="5"/>
  <c r="AB131" i="5"/>
  <c r="AC131" i="5" s="1"/>
  <c r="AA131" i="5"/>
  <c r="Y131" i="5"/>
  <c r="W131" i="5"/>
  <c r="U131" i="5"/>
  <c r="S131" i="5"/>
  <c r="Q131" i="5"/>
  <c r="O131" i="5"/>
  <c r="M131" i="5"/>
  <c r="K131" i="5"/>
  <c r="I131" i="5"/>
  <c r="G131" i="5"/>
  <c r="E131" i="5"/>
  <c r="C131" i="5"/>
  <c r="AL130" i="5"/>
  <c r="AI130" i="5"/>
  <c r="AH130" i="5"/>
  <c r="AG130" i="5"/>
  <c r="AK130" i="5" s="1"/>
  <c r="AC130" i="5"/>
  <c r="AB130" i="5"/>
  <c r="AF130" i="5" s="1"/>
  <c r="AA130" i="5"/>
  <c r="Y130" i="5"/>
  <c r="W130" i="5"/>
  <c r="U130" i="5"/>
  <c r="S130" i="5"/>
  <c r="Q130" i="5"/>
  <c r="O130" i="5"/>
  <c r="M130" i="5"/>
  <c r="K130" i="5"/>
  <c r="I130" i="5"/>
  <c r="G130" i="5"/>
  <c r="E130" i="5"/>
  <c r="C130" i="5"/>
  <c r="AK129" i="5"/>
  <c r="AL129" i="5" s="1"/>
  <c r="AG129" i="5"/>
  <c r="AI129" i="5" s="1"/>
  <c r="AF129" i="5"/>
  <c r="AD129" i="5"/>
  <c r="AB129" i="5"/>
  <c r="AC129" i="5" s="1"/>
  <c r="AA129" i="5"/>
  <c r="Y129" i="5"/>
  <c r="W129" i="5"/>
  <c r="U129" i="5"/>
  <c r="S129" i="5"/>
  <c r="Q129" i="5"/>
  <c r="O129" i="5"/>
  <c r="M129" i="5"/>
  <c r="K129" i="5"/>
  <c r="I129" i="5"/>
  <c r="G129" i="5"/>
  <c r="E129" i="5"/>
  <c r="C129" i="5"/>
  <c r="AL128" i="5"/>
  <c r="AI128" i="5"/>
  <c r="AH128" i="5"/>
  <c r="AG128" i="5"/>
  <c r="AK128" i="5" s="1"/>
  <c r="AF128" i="5"/>
  <c r="AD128" i="5"/>
  <c r="AB128" i="5"/>
  <c r="AC128" i="5" s="1"/>
  <c r="AA128" i="5"/>
  <c r="Y128" i="5"/>
  <c r="W128" i="5"/>
  <c r="U128" i="5"/>
  <c r="S128" i="5"/>
  <c r="Q128" i="5"/>
  <c r="O128" i="5"/>
  <c r="M128" i="5"/>
  <c r="K128" i="5"/>
  <c r="I128" i="5"/>
  <c r="G128" i="5"/>
  <c r="E128" i="5"/>
  <c r="C128" i="5"/>
  <c r="AH127" i="5"/>
  <c r="AG127" i="5"/>
  <c r="AF127" i="5"/>
  <c r="AD127" i="5"/>
  <c r="AB127" i="5"/>
  <c r="AC127" i="5" s="1"/>
  <c r="AA127" i="5"/>
  <c r="Y127" i="5"/>
  <c r="W127" i="5"/>
  <c r="U127" i="5"/>
  <c r="S127" i="5"/>
  <c r="Q127" i="5"/>
  <c r="O127" i="5"/>
  <c r="M127" i="5"/>
  <c r="K127" i="5"/>
  <c r="I127" i="5"/>
  <c r="G127" i="5"/>
  <c r="E127" i="5"/>
  <c r="C127" i="5"/>
  <c r="AI126" i="5"/>
  <c r="AH126" i="5"/>
  <c r="AG126" i="5"/>
  <c r="AK126" i="5" s="1"/>
  <c r="AL126" i="5" s="1"/>
  <c r="AB126" i="5"/>
  <c r="AA126" i="5"/>
  <c r="Y126" i="5"/>
  <c r="W126" i="5"/>
  <c r="U126" i="5"/>
  <c r="S126" i="5"/>
  <c r="Q126" i="5"/>
  <c r="O126" i="5"/>
  <c r="M126" i="5"/>
  <c r="K126" i="5"/>
  <c r="I126" i="5"/>
  <c r="G126" i="5"/>
  <c r="E126" i="5"/>
  <c r="C126" i="5"/>
  <c r="AK125" i="5"/>
  <c r="AL125" i="5" s="1"/>
  <c r="AI125" i="5"/>
  <c r="AH125" i="5"/>
  <c r="AG125" i="5"/>
  <c r="AF125" i="5"/>
  <c r="AD125" i="5"/>
  <c r="AB125" i="5"/>
  <c r="AC125" i="5" s="1"/>
  <c r="AA125" i="5"/>
  <c r="Y125" i="5"/>
  <c r="W125" i="5"/>
  <c r="U125" i="5"/>
  <c r="S125" i="5"/>
  <c r="Q125" i="5"/>
  <c r="O125" i="5"/>
  <c r="M125" i="5"/>
  <c r="K125" i="5"/>
  <c r="I125" i="5"/>
  <c r="G125" i="5"/>
  <c r="E125" i="5"/>
  <c r="C125" i="5"/>
  <c r="AL124" i="5"/>
  <c r="AI124" i="5"/>
  <c r="AH124" i="5"/>
  <c r="AG124" i="5"/>
  <c r="AK124" i="5" s="1"/>
  <c r="AD124" i="5"/>
  <c r="AB124" i="5"/>
  <c r="AF124" i="5" s="1"/>
  <c r="AA124" i="5"/>
  <c r="Y124" i="5"/>
  <c r="W124" i="5"/>
  <c r="U124" i="5"/>
  <c r="S124" i="5"/>
  <c r="Q124" i="5"/>
  <c r="O124" i="5"/>
  <c r="M124" i="5"/>
  <c r="K124" i="5"/>
  <c r="I124" i="5"/>
  <c r="G124" i="5"/>
  <c r="E124" i="5"/>
  <c r="C124" i="5"/>
  <c r="AH123" i="5"/>
  <c r="AG123" i="5"/>
  <c r="AK123" i="5" s="1"/>
  <c r="AL123" i="5" s="1"/>
  <c r="AF123" i="5"/>
  <c r="AD123" i="5"/>
  <c r="AB123" i="5"/>
  <c r="AC123" i="5" s="1"/>
  <c r="AA123" i="5"/>
  <c r="Y123" i="5"/>
  <c r="W123" i="5"/>
  <c r="U123" i="5"/>
  <c r="S123" i="5"/>
  <c r="Q123" i="5"/>
  <c r="O123" i="5"/>
  <c r="M123" i="5"/>
  <c r="K123" i="5"/>
  <c r="I123" i="5"/>
  <c r="G123" i="5"/>
  <c r="E123" i="5"/>
  <c r="C123" i="5"/>
  <c r="AL122" i="5"/>
  <c r="AI122" i="5"/>
  <c r="AH122" i="5"/>
  <c r="AG122" i="5"/>
  <c r="AK122" i="5" s="1"/>
  <c r="AB122" i="5"/>
  <c r="AA122" i="5"/>
  <c r="Y122" i="5"/>
  <c r="W122" i="5"/>
  <c r="U122" i="5"/>
  <c r="S122" i="5"/>
  <c r="Q122" i="5"/>
  <c r="O122" i="5"/>
  <c r="M122" i="5"/>
  <c r="K122" i="5"/>
  <c r="I122" i="5"/>
  <c r="G122" i="5"/>
  <c r="E122" i="5"/>
  <c r="C122" i="5"/>
  <c r="AG121" i="5"/>
  <c r="AF121" i="5"/>
  <c r="AD121" i="5"/>
  <c r="AB121" i="5"/>
  <c r="AC121" i="5" s="1"/>
  <c r="AA121" i="5"/>
  <c r="Y121" i="5"/>
  <c r="W121" i="5"/>
  <c r="U121" i="5"/>
  <c r="S121" i="5"/>
  <c r="Q121" i="5"/>
  <c r="O121" i="5"/>
  <c r="M121" i="5"/>
  <c r="K121" i="5"/>
  <c r="I121" i="5"/>
  <c r="G121" i="5"/>
  <c r="E121" i="5"/>
  <c r="C121" i="5"/>
  <c r="AI120" i="5"/>
  <c r="AH120" i="5"/>
  <c r="AG120" i="5"/>
  <c r="AK120" i="5" s="1"/>
  <c r="AL120" i="5" s="1"/>
  <c r="AF120" i="5"/>
  <c r="AD120" i="5"/>
  <c r="AC120" i="5"/>
  <c r="AB120" i="5"/>
  <c r="AA120" i="5"/>
  <c r="Y120" i="5"/>
  <c r="W120" i="5"/>
  <c r="U120" i="5"/>
  <c r="S120" i="5"/>
  <c r="Q120" i="5"/>
  <c r="O120" i="5"/>
  <c r="M120" i="5"/>
  <c r="K120" i="5"/>
  <c r="I120" i="5"/>
  <c r="G120" i="5"/>
  <c r="E120" i="5"/>
  <c r="C120" i="5"/>
  <c r="AG119" i="5"/>
  <c r="AF119" i="5"/>
  <c r="AD119" i="5"/>
  <c r="AB119" i="5"/>
  <c r="AC119" i="5" s="1"/>
  <c r="AA119" i="5"/>
  <c r="Y119" i="5"/>
  <c r="W119" i="5"/>
  <c r="U119" i="5"/>
  <c r="S119" i="5"/>
  <c r="Q119" i="5"/>
  <c r="O119" i="5"/>
  <c r="M119" i="5"/>
  <c r="K119" i="5"/>
  <c r="I119" i="5"/>
  <c r="G119" i="5"/>
  <c r="E119" i="5"/>
  <c r="C119" i="5"/>
  <c r="AL118" i="5"/>
  <c r="AI118" i="5"/>
  <c r="AH118" i="5"/>
  <c r="AG118" i="5"/>
  <c r="AK118" i="5" s="1"/>
  <c r="AF118" i="5"/>
  <c r="AD118" i="5"/>
  <c r="AC118" i="5"/>
  <c r="AB118" i="5"/>
  <c r="AA118" i="5"/>
  <c r="Y118" i="5"/>
  <c r="W118" i="5"/>
  <c r="U118" i="5"/>
  <c r="S118" i="5"/>
  <c r="Q118" i="5"/>
  <c r="O118" i="5"/>
  <c r="M118" i="5"/>
  <c r="K118" i="5"/>
  <c r="I118" i="5"/>
  <c r="G118" i="5"/>
  <c r="E118" i="5"/>
  <c r="C118" i="5"/>
  <c r="AK117" i="5"/>
  <c r="AL117" i="5" s="1"/>
  <c r="AI117" i="5"/>
  <c r="AH117" i="5"/>
  <c r="AG117" i="5"/>
  <c r="AF117" i="5"/>
  <c r="AD117" i="5"/>
  <c r="AB117" i="5"/>
  <c r="AC117" i="5" s="1"/>
  <c r="AA117" i="5"/>
  <c r="Y117" i="5"/>
  <c r="W117" i="5"/>
  <c r="U117" i="5"/>
  <c r="S117" i="5"/>
  <c r="Q117" i="5"/>
  <c r="O117" i="5"/>
  <c r="M117" i="5"/>
  <c r="K117" i="5"/>
  <c r="I117" i="5"/>
  <c r="G117" i="5"/>
  <c r="E117" i="5"/>
  <c r="C117" i="5"/>
  <c r="AI116" i="5"/>
  <c r="AG116" i="5"/>
  <c r="AK116" i="5" s="1"/>
  <c r="AL116" i="5" s="1"/>
  <c r="AF116" i="5"/>
  <c r="AD116" i="5"/>
  <c r="AB116" i="5"/>
  <c r="AC116" i="5" s="1"/>
  <c r="AA116" i="5"/>
  <c r="Y116" i="5"/>
  <c r="W116" i="5"/>
  <c r="U116" i="5"/>
  <c r="S116" i="5"/>
  <c r="Q116" i="5"/>
  <c r="O116" i="5"/>
  <c r="M116" i="5"/>
  <c r="K116" i="5"/>
  <c r="I116" i="5"/>
  <c r="G116" i="5"/>
  <c r="E116" i="5"/>
  <c r="C116" i="5"/>
  <c r="AH115" i="5"/>
  <c r="AG115" i="5"/>
  <c r="AF115" i="5"/>
  <c r="AD115" i="5"/>
  <c r="AB115" i="5"/>
  <c r="AC115" i="5" s="1"/>
  <c r="AA115" i="5"/>
  <c r="Y115" i="5"/>
  <c r="W115" i="5"/>
  <c r="U115" i="5"/>
  <c r="S115" i="5"/>
  <c r="Q115" i="5"/>
  <c r="O115" i="5"/>
  <c r="M115" i="5"/>
  <c r="K115" i="5"/>
  <c r="I115" i="5"/>
  <c r="G115" i="5"/>
  <c r="E115" i="5"/>
  <c r="C115" i="5"/>
  <c r="AL114" i="5"/>
  <c r="AI114" i="5"/>
  <c r="AG114" i="5"/>
  <c r="AK114" i="5" s="1"/>
  <c r="AD114" i="5"/>
  <c r="AC114" i="5"/>
  <c r="AB114" i="5"/>
  <c r="AF114" i="5" s="1"/>
  <c r="AA114" i="5"/>
  <c r="Y114" i="5"/>
  <c r="W114" i="5"/>
  <c r="U114" i="5"/>
  <c r="S114" i="5"/>
  <c r="Q114" i="5"/>
  <c r="O114" i="5"/>
  <c r="M114" i="5"/>
  <c r="K114" i="5"/>
  <c r="I114" i="5"/>
  <c r="G114" i="5"/>
  <c r="E114" i="5"/>
  <c r="C114" i="5"/>
  <c r="AK113" i="5"/>
  <c r="AL113" i="5" s="1"/>
  <c r="AI113" i="5"/>
  <c r="AH113" i="5"/>
  <c r="AG113" i="5"/>
  <c r="AF113" i="5"/>
  <c r="AD113" i="5"/>
  <c r="AB113" i="5"/>
  <c r="AC113" i="5" s="1"/>
  <c r="AA113" i="5"/>
  <c r="Y113" i="5"/>
  <c r="W113" i="5"/>
  <c r="U113" i="5"/>
  <c r="S113" i="5"/>
  <c r="Q113" i="5"/>
  <c r="O113" i="5"/>
  <c r="M113" i="5"/>
  <c r="K113" i="5"/>
  <c r="I113" i="5"/>
  <c r="G113" i="5"/>
  <c r="E113" i="5"/>
  <c r="C113" i="5"/>
  <c r="AI112" i="5"/>
  <c r="AG112" i="5"/>
  <c r="AK112" i="5" s="1"/>
  <c r="AL112" i="5" s="1"/>
  <c r="AF112" i="5"/>
  <c r="AD112" i="5"/>
  <c r="AC112" i="5"/>
  <c r="AB112" i="5"/>
  <c r="AA112" i="5"/>
  <c r="Y112" i="5"/>
  <c r="W112" i="5"/>
  <c r="U112" i="5"/>
  <c r="S112" i="5"/>
  <c r="Q112" i="5"/>
  <c r="O112" i="5"/>
  <c r="M112" i="5"/>
  <c r="K112" i="5"/>
  <c r="I112" i="5"/>
  <c r="G112" i="5"/>
  <c r="E112" i="5"/>
  <c r="C112" i="5"/>
  <c r="AG111" i="5"/>
  <c r="AF111" i="5"/>
  <c r="AD111" i="5"/>
  <c r="AB111" i="5"/>
  <c r="AC111" i="5" s="1"/>
  <c r="AA111" i="5"/>
  <c r="Y111" i="5"/>
  <c r="W111" i="5"/>
  <c r="U111" i="5"/>
  <c r="S111" i="5"/>
  <c r="Q111" i="5"/>
  <c r="O111" i="5"/>
  <c r="M111" i="5"/>
  <c r="K111" i="5"/>
  <c r="I111" i="5"/>
  <c r="G111" i="5"/>
  <c r="E111" i="5"/>
  <c r="C111" i="5"/>
  <c r="AI110" i="5"/>
  <c r="AG110" i="5"/>
  <c r="AK110" i="5" s="1"/>
  <c r="AL110" i="5" s="1"/>
  <c r="AF110" i="5"/>
  <c r="AD110" i="5"/>
  <c r="AC110" i="5"/>
  <c r="AB110" i="5"/>
  <c r="AA110" i="5"/>
  <c r="Y110" i="5"/>
  <c r="W110" i="5"/>
  <c r="U110" i="5"/>
  <c r="S110" i="5"/>
  <c r="Q110" i="5"/>
  <c r="O110" i="5"/>
  <c r="M110" i="5"/>
  <c r="K110" i="5"/>
  <c r="I110" i="5"/>
  <c r="G110" i="5"/>
  <c r="E110" i="5"/>
  <c r="C110" i="5"/>
  <c r="H107" i="5"/>
  <c r="Z105" i="5"/>
  <c r="AA105" i="5" s="1"/>
  <c r="Y105" i="5"/>
  <c r="X105" i="5"/>
  <c r="W105" i="5"/>
  <c r="V105" i="5"/>
  <c r="T105" i="5"/>
  <c r="S105" i="5"/>
  <c r="R105" i="5"/>
  <c r="P105" i="5"/>
  <c r="Q105" i="5" s="1"/>
  <c r="N105" i="5"/>
  <c r="O105" i="5" s="1"/>
  <c r="L105" i="5"/>
  <c r="M105" i="5" s="1"/>
  <c r="K105" i="5"/>
  <c r="J105" i="5"/>
  <c r="H105" i="5"/>
  <c r="I105" i="5" s="1"/>
  <c r="G105" i="5"/>
  <c r="F105" i="5"/>
  <c r="E105" i="5"/>
  <c r="D105" i="5"/>
  <c r="C105" i="5"/>
  <c r="B105" i="5"/>
  <c r="AG104" i="5"/>
  <c r="AB104" i="5"/>
  <c r="AA104" i="5"/>
  <c r="Y104" i="5"/>
  <c r="W104" i="5"/>
  <c r="U104" i="5"/>
  <c r="S104" i="5"/>
  <c r="Q104" i="5"/>
  <c r="O104" i="5"/>
  <c r="M104" i="5"/>
  <c r="K104" i="5"/>
  <c r="I104" i="5"/>
  <c r="G104" i="5"/>
  <c r="E104" i="5"/>
  <c r="C104" i="5"/>
  <c r="AA99" i="5"/>
  <c r="Z99" i="5"/>
  <c r="X99" i="5"/>
  <c r="V99" i="5"/>
  <c r="U99" i="5"/>
  <c r="T99" i="5"/>
  <c r="R99" i="5"/>
  <c r="S99" i="5" s="1"/>
  <c r="P99" i="5"/>
  <c r="Q99" i="5" s="1"/>
  <c r="N99" i="5"/>
  <c r="O99" i="5" s="1"/>
  <c r="M99" i="5"/>
  <c r="L99" i="5"/>
  <c r="J99" i="5"/>
  <c r="I99" i="5"/>
  <c r="H99" i="5"/>
  <c r="F99" i="5"/>
  <c r="G99" i="5" s="1"/>
  <c r="E99" i="5"/>
  <c r="D99" i="5"/>
  <c r="B99" i="5"/>
  <c r="C99" i="5" s="1"/>
  <c r="AG98" i="5"/>
  <c r="AD98" i="5"/>
  <c r="AC98" i="5"/>
  <c r="AB98" i="5"/>
  <c r="AF98" i="5" s="1"/>
  <c r="AA98" i="5"/>
  <c r="Y98" i="5"/>
  <c r="W98" i="5"/>
  <c r="U98" i="5"/>
  <c r="S98" i="5"/>
  <c r="Q98" i="5"/>
  <c r="O98" i="5"/>
  <c r="M98" i="5"/>
  <c r="K98" i="5"/>
  <c r="I98" i="5"/>
  <c r="G98" i="5"/>
  <c r="E98" i="5"/>
  <c r="C98" i="5"/>
  <c r="AL97" i="5"/>
  <c r="AK97" i="5"/>
  <c r="AI97" i="5"/>
  <c r="AH97" i="5"/>
  <c r="AG97" i="5"/>
  <c r="AB97" i="5"/>
  <c r="AA97" i="5"/>
  <c r="Y97" i="5"/>
  <c r="W97" i="5"/>
  <c r="U97" i="5"/>
  <c r="S97" i="5"/>
  <c r="Q97" i="5"/>
  <c r="O97" i="5"/>
  <c r="M97" i="5"/>
  <c r="K97" i="5"/>
  <c r="I97" i="5"/>
  <c r="G97" i="5"/>
  <c r="E97" i="5"/>
  <c r="C97" i="5"/>
  <c r="AI96" i="5"/>
  <c r="AH96" i="5"/>
  <c r="AG96" i="5"/>
  <c r="AK96" i="5" s="1"/>
  <c r="AL96" i="5" s="1"/>
  <c r="AF96" i="5"/>
  <c r="AB96" i="5"/>
  <c r="AD96" i="5" s="1"/>
  <c r="AA96" i="5"/>
  <c r="Y96" i="5"/>
  <c r="W96" i="5"/>
  <c r="U96" i="5"/>
  <c r="S96" i="5"/>
  <c r="Q96" i="5"/>
  <c r="O96" i="5"/>
  <c r="M96" i="5"/>
  <c r="K96" i="5"/>
  <c r="I96" i="5"/>
  <c r="G96" i="5"/>
  <c r="E96" i="5"/>
  <c r="C96" i="5"/>
  <c r="AK95" i="5"/>
  <c r="AL95" i="5" s="1"/>
  <c r="AI95" i="5"/>
  <c r="AH95" i="5"/>
  <c r="AG95" i="5"/>
  <c r="AB95" i="5"/>
  <c r="AA95" i="5"/>
  <c r="Y95" i="5"/>
  <c r="W95" i="5"/>
  <c r="U95" i="5"/>
  <c r="S95" i="5"/>
  <c r="Q95" i="5"/>
  <c r="O95" i="5"/>
  <c r="M95" i="5"/>
  <c r="K95" i="5"/>
  <c r="I95" i="5"/>
  <c r="G95" i="5"/>
  <c r="E95" i="5"/>
  <c r="C95" i="5"/>
  <c r="AH94" i="5"/>
  <c r="AG94" i="5"/>
  <c r="AB94" i="5"/>
  <c r="AF94" i="5" s="1"/>
  <c r="AA94" i="5"/>
  <c r="Y94" i="5"/>
  <c r="W94" i="5"/>
  <c r="U94" i="5"/>
  <c r="S94" i="5"/>
  <c r="Q94" i="5"/>
  <c r="O94" i="5"/>
  <c r="M94" i="5"/>
  <c r="K94" i="5"/>
  <c r="I94" i="5"/>
  <c r="G94" i="5"/>
  <c r="E94" i="5"/>
  <c r="C94" i="5"/>
  <c r="AK93" i="5"/>
  <c r="AL93" i="5" s="1"/>
  <c r="AI93" i="5"/>
  <c r="AH93" i="5"/>
  <c r="AG93" i="5"/>
  <c r="AB93" i="5"/>
  <c r="AA93" i="5"/>
  <c r="Y93" i="5"/>
  <c r="W93" i="5"/>
  <c r="U93" i="5"/>
  <c r="S93" i="5"/>
  <c r="Q93" i="5"/>
  <c r="O93" i="5"/>
  <c r="M93" i="5"/>
  <c r="K93" i="5"/>
  <c r="I93" i="5"/>
  <c r="G93" i="5"/>
  <c r="E93" i="5"/>
  <c r="C93" i="5"/>
  <c r="AI92" i="5"/>
  <c r="AH92" i="5"/>
  <c r="AG92" i="5"/>
  <c r="AK92" i="5" s="1"/>
  <c r="AL92" i="5" s="1"/>
  <c r="AB92" i="5"/>
  <c r="AA92" i="5"/>
  <c r="Y92" i="5"/>
  <c r="W92" i="5"/>
  <c r="U92" i="5"/>
  <c r="S92" i="5"/>
  <c r="Q92" i="5"/>
  <c r="O92" i="5"/>
  <c r="M92" i="5"/>
  <c r="K92" i="5"/>
  <c r="I92" i="5"/>
  <c r="G92" i="5"/>
  <c r="E92" i="5"/>
  <c r="C92" i="5"/>
  <c r="AK91" i="5"/>
  <c r="AL91" i="5" s="1"/>
  <c r="AI91" i="5"/>
  <c r="AH91" i="5"/>
  <c r="AG91" i="5"/>
  <c r="AB91" i="5"/>
  <c r="AA91" i="5"/>
  <c r="Y91" i="5"/>
  <c r="W91" i="5"/>
  <c r="U91" i="5"/>
  <c r="S91" i="5"/>
  <c r="Q91" i="5"/>
  <c r="O91" i="5"/>
  <c r="M91" i="5"/>
  <c r="K91" i="5"/>
  <c r="I91" i="5"/>
  <c r="G91" i="5"/>
  <c r="E91" i="5"/>
  <c r="C91" i="5"/>
  <c r="AH90" i="5"/>
  <c r="AG90" i="5"/>
  <c r="AF90" i="5"/>
  <c r="AD90" i="5"/>
  <c r="AC90" i="5"/>
  <c r="AB90" i="5"/>
  <c r="AA90" i="5"/>
  <c r="Y90" i="5"/>
  <c r="W90" i="5"/>
  <c r="U90" i="5"/>
  <c r="S90" i="5"/>
  <c r="Q90" i="5"/>
  <c r="O90" i="5"/>
  <c r="M90" i="5"/>
  <c r="K90" i="5"/>
  <c r="I90" i="5"/>
  <c r="G90" i="5"/>
  <c r="E90" i="5"/>
  <c r="C90" i="5"/>
  <c r="V87" i="5"/>
  <c r="AB85" i="5"/>
  <c r="AA85" i="5"/>
  <c r="Z85" i="5"/>
  <c r="X85" i="5"/>
  <c r="W85" i="5"/>
  <c r="V85" i="5"/>
  <c r="T85" i="5"/>
  <c r="U85" i="5" s="1"/>
  <c r="R85" i="5"/>
  <c r="S85" i="5" s="1"/>
  <c r="P85" i="5"/>
  <c r="Q85" i="5" s="1"/>
  <c r="N85" i="5"/>
  <c r="O85" i="5" s="1"/>
  <c r="L85" i="5"/>
  <c r="M85" i="5" s="1"/>
  <c r="K85" i="5"/>
  <c r="J85" i="5"/>
  <c r="I85" i="5"/>
  <c r="H85" i="5"/>
  <c r="G85" i="5"/>
  <c r="F85" i="5"/>
  <c r="D85" i="5"/>
  <c r="E85" i="5" s="1"/>
  <c r="B85" i="5"/>
  <c r="C85" i="5" s="1"/>
  <c r="Z84" i="5"/>
  <c r="AA84" i="5" s="1"/>
  <c r="Y84" i="5"/>
  <c r="X84" i="5"/>
  <c r="V84" i="5"/>
  <c r="W84" i="5" s="1"/>
  <c r="U84" i="5"/>
  <c r="T84" i="5"/>
  <c r="R84" i="5"/>
  <c r="S84" i="5" s="1"/>
  <c r="Q84" i="5"/>
  <c r="P84" i="5"/>
  <c r="N84" i="5"/>
  <c r="O84" i="5" s="1"/>
  <c r="L84" i="5"/>
  <c r="J84" i="5"/>
  <c r="K84" i="5" s="1"/>
  <c r="H84" i="5"/>
  <c r="I84" i="5" s="1"/>
  <c r="F84" i="5"/>
  <c r="G84" i="5" s="1"/>
  <c r="D84" i="5"/>
  <c r="E84" i="5" s="1"/>
  <c r="C84" i="5"/>
  <c r="B84" i="5"/>
  <c r="AK83" i="5"/>
  <c r="AL83" i="5" s="1"/>
  <c r="AI83" i="5"/>
  <c r="AH83" i="5"/>
  <c r="AG83" i="5"/>
  <c r="AB83" i="5"/>
  <c r="AF83" i="5" s="1"/>
  <c r="AA83" i="5"/>
  <c r="Y83" i="5"/>
  <c r="W83" i="5"/>
  <c r="U83" i="5"/>
  <c r="S83" i="5"/>
  <c r="Q83" i="5"/>
  <c r="O83" i="5"/>
  <c r="M83" i="5"/>
  <c r="K83" i="5"/>
  <c r="I83" i="5"/>
  <c r="G83" i="5"/>
  <c r="E83" i="5"/>
  <c r="C83" i="5"/>
  <c r="AI82" i="5"/>
  <c r="AG82" i="5"/>
  <c r="AK82" i="5" s="1"/>
  <c r="AL82" i="5" s="1"/>
  <c r="AF82" i="5"/>
  <c r="AD82" i="5"/>
  <c r="AC82" i="5"/>
  <c r="AB82" i="5"/>
  <c r="AA82" i="5"/>
  <c r="Y82" i="5"/>
  <c r="W82" i="5"/>
  <c r="U82" i="5"/>
  <c r="S82" i="5"/>
  <c r="Q82" i="5"/>
  <c r="O82" i="5"/>
  <c r="M82" i="5"/>
  <c r="K82" i="5"/>
  <c r="I82" i="5"/>
  <c r="G82" i="5"/>
  <c r="E82" i="5"/>
  <c r="C82" i="5"/>
  <c r="AA81" i="5"/>
  <c r="Z81" i="5"/>
  <c r="X81" i="5"/>
  <c r="V81" i="5"/>
  <c r="W81" i="5" s="1"/>
  <c r="T81" i="5"/>
  <c r="U81" i="5" s="1"/>
  <c r="S81" i="5"/>
  <c r="R81" i="5"/>
  <c r="Q81" i="5"/>
  <c r="P81" i="5"/>
  <c r="N81" i="5"/>
  <c r="O81" i="5" s="1"/>
  <c r="L81" i="5"/>
  <c r="M81" i="5" s="1"/>
  <c r="J81" i="5"/>
  <c r="H81" i="5"/>
  <c r="I81" i="5" s="1"/>
  <c r="F81" i="5"/>
  <c r="G81" i="5" s="1"/>
  <c r="D81" i="5"/>
  <c r="E81" i="5" s="1"/>
  <c r="B81" i="5"/>
  <c r="C81" i="5" s="1"/>
  <c r="AL80" i="5"/>
  <c r="AG80" i="5"/>
  <c r="AK80" i="5" s="1"/>
  <c r="AF80" i="5"/>
  <c r="AB80" i="5"/>
  <c r="AD80" i="5" s="1"/>
  <c r="AA80" i="5"/>
  <c r="Y80" i="5"/>
  <c r="W80" i="5"/>
  <c r="U80" i="5"/>
  <c r="S80" i="5"/>
  <c r="Q80" i="5"/>
  <c r="O80" i="5"/>
  <c r="M80" i="5"/>
  <c r="K80" i="5"/>
  <c r="I80" i="5"/>
  <c r="G80" i="5"/>
  <c r="E80" i="5"/>
  <c r="C80" i="5"/>
  <c r="AG79" i="5"/>
  <c r="AK79" i="5" s="1"/>
  <c r="AL79" i="5" s="1"/>
  <c r="AF79" i="5"/>
  <c r="AD79" i="5"/>
  <c r="AB79" i="5"/>
  <c r="AC79" i="5" s="1"/>
  <c r="AA79" i="5"/>
  <c r="Y79" i="5"/>
  <c r="W79" i="5"/>
  <c r="U79" i="5"/>
  <c r="S79" i="5"/>
  <c r="Q79" i="5"/>
  <c r="O79" i="5"/>
  <c r="M79" i="5"/>
  <c r="K79" i="5"/>
  <c r="I79" i="5"/>
  <c r="G79" i="5"/>
  <c r="E79" i="5"/>
  <c r="C79" i="5"/>
  <c r="AG78" i="5"/>
  <c r="AK78" i="5" s="1"/>
  <c r="AL78" i="5" s="1"/>
  <c r="AD78" i="5"/>
  <c r="AC78" i="5"/>
  <c r="AB78" i="5"/>
  <c r="AF78" i="5" s="1"/>
  <c r="AA78" i="5"/>
  <c r="Y78" i="5"/>
  <c r="W78" i="5"/>
  <c r="U78" i="5"/>
  <c r="S78" i="5"/>
  <c r="Q78" i="5"/>
  <c r="O78" i="5"/>
  <c r="M78" i="5"/>
  <c r="K78" i="5"/>
  <c r="I78" i="5"/>
  <c r="G78" i="5"/>
  <c r="E78" i="5"/>
  <c r="C78" i="5"/>
  <c r="AL77" i="5"/>
  <c r="AK77" i="5"/>
  <c r="AI77" i="5"/>
  <c r="AH77" i="5"/>
  <c r="AG77" i="5"/>
  <c r="AF77" i="5"/>
  <c r="AD77" i="5"/>
  <c r="AB77" i="5"/>
  <c r="AC77" i="5" s="1"/>
  <c r="AA77" i="5"/>
  <c r="Y77" i="5"/>
  <c r="W77" i="5"/>
  <c r="U77" i="5"/>
  <c r="S77" i="5"/>
  <c r="Q77" i="5"/>
  <c r="O77" i="5"/>
  <c r="M77" i="5"/>
  <c r="K77" i="5"/>
  <c r="I77" i="5"/>
  <c r="G77" i="5"/>
  <c r="E77" i="5"/>
  <c r="C77" i="5"/>
  <c r="AG76" i="5"/>
  <c r="AK76" i="5" s="1"/>
  <c r="AL76" i="5" s="1"/>
  <c r="AF76" i="5"/>
  <c r="AB76" i="5"/>
  <c r="AA76" i="5"/>
  <c r="Y76" i="5"/>
  <c r="W76" i="5"/>
  <c r="U76" i="5"/>
  <c r="S76" i="5"/>
  <c r="Q76" i="5"/>
  <c r="O76" i="5"/>
  <c r="M76" i="5"/>
  <c r="K76" i="5"/>
  <c r="I76" i="5"/>
  <c r="G76" i="5"/>
  <c r="E76" i="5"/>
  <c r="C76" i="5"/>
  <c r="AG75" i="5"/>
  <c r="AF75" i="5"/>
  <c r="AD75" i="5"/>
  <c r="AB75" i="5"/>
  <c r="AC75" i="5" s="1"/>
  <c r="AA75" i="5"/>
  <c r="Y75" i="5"/>
  <c r="W75" i="5"/>
  <c r="U75" i="5"/>
  <c r="S75" i="5"/>
  <c r="Q75" i="5"/>
  <c r="O75" i="5"/>
  <c r="M75" i="5"/>
  <c r="K75" i="5"/>
  <c r="I75" i="5"/>
  <c r="G75" i="5"/>
  <c r="E75" i="5"/>
  <c r="C75" i="5"/>
  <c r="AG74" i="5"/>
  <c r="AK74" i="5" s="1"/>
  <c r="AL74" i="5" s="1"/>
  <c r="AF74" i="5"/>
  <c r="AB74" i="5"/>
  <c r="AA74" i="5"/>
  <c r="Y74" i="5"/>
  <c r="W74" i="5"/>
  <c r="U74" i="5"/>
  <c r="S74" i="5"/>
  <c r="Q74" i="5"/>
  <c r="O74" i="5"/>
  <c r="M74" i="5"/>
  <c r="K74" i="5"/>
  <c r="I74" i="5"/>
  <c r="G74" i="5"/>
  <c r="E74" i="5"/>
  <c r="C74" i="5"/>
  <c r="AI72" i="5"/>
  <c r="AH72" i="5"/>
  <c r="AG72" i="5"/>
  <c r="AK72" i="5" s="1"/>
  <c r="AL72" i="5" s="1"/>
  <c r="AF72" i="5"/>
  <c r="AD72" i="5"/>
  <c r="AB72" i="5"/>
  <c r="AC72" i="5" s="1"/>
  <c r="AA72" i="5"/>
  <c r="Y72" i="5"/>
  <c r="W72" i="5"/>
  <c r="U72" i="5"/>
  <c r="S72" i="5"/>
  <c r="Q72" i="5"/>
  <c r="O72" i="5"/>
  <c r="M72" i="5"/>
  <c r="K72" i="5"/>
  <c r="I72" i="5"/>
  <c r="G72" i="5"/>
  <c r="E72" i="5"/>
  <c r="C72" i="5"/>
  <c r="AG71" i="5"/>
  <c r="AK71" i="5" s="1"/>
  <c r="AL71" i="5" s="1"/>
  <c r="AB71" i="5"/>
  <c r="AA71" i="5"/>
  <c r="Y71" i="5"/>
  <c r="W71" i="5"/>
  <c r="U71" i="5"/>
  <c r="S71" i="5"/>
  <c r="Q71" i="5"/>
  <c r="O71" i="5"/>
  <c r="M71" i="5"/>
  <c r="K71" i="5"/>
  <c r="I71" i="5"/>
  <c r="G71" i="5"/>
  <c r="E71" i="5"/>
  <c r="C71" i="5"/>
  <c r="AK70" i="5"/>
  <c r="AL70" i="5" s="1"/>
  <c r="AI70" i="5"/>
  <c r="Z70" i="5"/>
  <c r="AA70" i="5" s="1"/>
  <c r="X70" i="5"/>
  <c r="W70" i="5"/>
  <c r="V70" i="5"/>
  <c r="T70" i="5"/>
  <c r="U70" i="5" s="1"/>
  <c r="S70" i="5"/>
  <c r="R70" i="5"/>
  <c r="P70" i="5"/>
  <c r="Q70" i="5" s="1"/>
  <c r="O70" i="5"/>
  <c r="N70" i="5"/>
  <c r="AG70" i="5" s="1"/>
  <c r="AH70" i="5" s="1"/>
  <c r="L70" i="5"/>
  <c r="M70" i="5" s="1"/>
  <c r="J70" i="5"/>
  <c r="K70" i="5" s="1"/>
  <c r="H70" i="5"/>
  <c r="I70" i="5" s="1"/>
  <c r="F70" i="5"/>
  <c r="G70" i="5" s="1"/>
  <c r="E70" i="5"/>
  <c r="D70" i="5"/>
  <c r="C70" i="5"/>
  <c r="B70" i="5"/>
  <c r="AK69" i="5"/>
  <c r="AL69" i="5" s="1"/>
  <c r="AI69" i="5"/>
  <c r="AG69" i="5"/>
  <c r="AH69" i="5" s="1"/>
  <c r="AC69" i="5"/>
  <c r="AB69" i="5"/>
  <c r="AA69" i="5"/>
  <c r="Y69" i="5"/>
  <c r="W69" i="5"/>
  <c r="U69" i="5"/>
  <c r="S69" i="5"/>
  <c r="Q69" i="5"/>
  <c r="O69" i="5"/>
  <c r="M69" i="5"/>
  <c r="K69" i="5"/>
  <c r="I69" i="5"/>
  <c r="G69" i="5"/>
  <c r="E69" i="5"/>
  <c r="C69" i="5"/>
  <c r="AK68" i="5"/>
  <c r="AL68" i="5" s="1"/>
  <c r="AG68" i="5"/>
  <c r="AI68" i="5" s="1"/>
  <c r="AB68" i="5"/>
  <c r="AA68" i="5"/>
  <c r="Y68" i="5"/>
  <c r="W68" i="5"/>
  <c r="U68" i="5"/>
  <c r="S68" i="5"/>
  <c r="Q68" i="5"/>
  <c r="O68" i="5"/>
  <c r="M68" i="5"/>
  <c r="K68" i="5"/>
  <c r="I68" i="5"/>
  <c r="G68" i="5"/>
  <c r="E68" i="5"/>
  <c r="C68" i="5"/>
  <c r="AK67" i="5"/>
  <c r="AL67" i="5" s="1"/>
  <c r="AI67" i="5"/>
  <c r="AG67" i="5"/>
  <c r="AH67" i="5" s="1"/>
  <c r="AB67" i="5"/>
  <c r="AA67" i="5"/>
  <c r="Y67" i="5"/>
  <c r="W67" i="5"/>
  <c r="U67" i="5"/>
  <c r="S67" i="5"/>
  <c r="Q67" i="5"/>
  <c r="O67" i="5"/>
  <c r="M67" i="5"/>
  <c r="K67" i="5"/>
  <c r="I67" i="5"/>
  <c r="G67" i="5"/>
  <c r="E67" i="5"/>
  <c r="C67" i="5"/>
  <c r="AK66" i="5"/>
  <c r="AL66" i="5" s="1"/>
  <c r="AI66" i="5"/>
  <c r="AG66" i="5"/>
  <c r="AH66" i="5" s="1"/>
  <c r="AF66" i="5"/>
  <c r="AB66" i="5"/>
  <c r="AD66" i="5" s="1"/>
  <c r="AA66" i="5"/>
  <c r="Y66" i="5"/>
  <c r="W66" i="5"/>
  <c r="U66" i="5"/>
  <c r="S66" i="5"/>
  <c r="Q66" i="5"/>
  <c r="O66" i="5"/>
  <c r="M66" i="5"/>
  <c r="K66" i="5"/>
  <c r="I66" i="5"/>
  <c r="G66" i="5"/>
  <c r="E66" i="5"/>
  <c r="C66" i="5"/>
  <c r="AL65" i="5"/>
  <c r="AK65" i="5"/>
  <c r="AI65" i="5"/>
  <c r="AG65" i="5"/>
  <c r="AH65" i="5" s="1"/>
  <c r="AB65" i="5"/>
  <c r="AA65" i="5"/>
  <c r="Y65" i="5"/>
  <c r="W65" i="5"/>
  <c r="U65" i="5"/>
  <c r="S65" i="5"/>
  <c r="Q65" i="5"/>
  <c r="O65" i="5"/>
  <c r="M65" i="5"/>
  <c r="K65" i="5"/>
  <c r="I65" i="5"/>
  <c r="G65" i="5"/>
  <c r="E65" i="5"/>
  <c r="C65" i="5"/>
  <c r="AG63" i="5"/>
  <c r="AF63" i="5"/>
  <c r="AD63" i="5"/>
  <c r="AC63" i="5"/>
  <c r="AB63" i="5"/>
  <c r="AA63" i="5"/>
  <c r="Y63" i="5"/>
  <c r="W63" i="5"/>
  <c r="U63" i="5"/>
  <c r="S63" i="5"/>
  <c r="Q63" i="5"/>
  <c r="O63" i="5"/>
  <c r="M63" i="5"/>
  <c r="K63" i="5"/>
  <c r="I63" i="5"/>
  <c r="G63" i="5"/>
  <c r="E63" i="5"/>
  <c r="C63" i="5"/>
  <c r="M59" i="5"/>
  <c r="I59" i="5"/>
  <c r="H59" i="5"/>
  <c r="H87" i="5" s="1"/>
  <c r="AB57" i="5"/>
  <c r="AA57" i="5"/>
  <c r="Z57" i="5"/>
  <c r="X57" i="5"/>
  <c r="V57" i="5"/>
  <c r="W57" i="5" s="1"/>
  <c r="T57" i="5"/>
  <c r="U57" i="5" s="1"/>
  <c r="R57" i="5"/>
  <c r="S57" i="5" s="1"/>
  <c r="P57" i="5"/>
  <c r="O57" i="5"/>
  <c r="N57" i="5"/>
  <c r="M57" i="5"/>
  <c r="L57" i="5"/>
  <c r="J57" i="5"/>
  <c r="K57" i="5" s="1"/>
  <c r="H57" i="5"/>
  <c r="I57" i="5" s="1"/>
  <c r="F57" i="5"/>
  <c r="G57" i="5" s="1"/>
  <c r="D57" i="5"/>
  <c r="E57" i="5" s="1"/>
  <c r="B57" i="5"/>
  <c r="C57" i="5" s="1"/>
  <c r="AA56" i="5"/>
  <c r="Z56" i="5"/>
  <c r="Y56" i="5"/>
  <c r="X56" i="5"/>
  <c r="W56" i="5"/>
  <c r="V56" i="5"/>
  <c r="U56" i="5"/>
  <c r="T56" i="5"/>
  <c r="R56" i="5"/>
  <c r="P56" i="5"/>
  <c r="O56" i="5"/>
  <c r="N56" i="5"/>
  <c r="M56" i="5"/>
  <c r="L56" i="5"/>
  <c r="K56" i="5"/>
  <c r="J56" i="5"/>
  <c r="I56" i="5"/>
  <c r="H56" i="5"/>
  <c r="F56" i="5"/>
  <c r="G56" i="5" s="1"/>
  <c r="E56" i="5"/>
  <c r="D56" i="5"/>
  <c r="B56" i="5"/>
  <c r="C56" i="5" s="1"/>
  <c r="AK55" i="5"/>
  <c r="AL55" i="5" s="1"/>
  <c r="AI55" i="5"/>
  <c r="AH55" i="5"/>
  <c r="AG55" i="5"/>
  <c r="AB55" i="5"/>
  <c r="AA55" i="5"/>
  <c r="Y55" i="5"/>
  <c r="W55" i="5"/>
  <c r="U55" i="5"/>
  <c r="S55" i="5"/>
  <c r="Q55" i="5"/>
  <c r="O55" i="5"/>
  <c r="M55" i="5"/>
  <c r="K55" i="5"/>
  <c r="I55" i="5"/>
  <c r="G55" i="5"/>
  <c r="E55" i="5"/>
  <c r="C55" i="5"/>
  <c r="AG54" i="5"/>
  <c r="AF54" i="5"/>
  <c r="AD54" i="5"/>
  <c r="AC54" i="5"/>
  <c r="AB54" i="5"/>
  <c r="AA54" i="5"/>
  <c r="Y54" i="5"/>
  <c r="W54" i="5"/>
  <c r="U54" i="5"/>
  <c r="S54" i="5"/>
  <c r="Q54" i="5"/>
  <c r="O54" i="5"/>
  <c r="M54" i="5"/>
  <c r="K54" i="5"/>
  <c r="I54" i="5"/>
  <c r="G54" i="5"/>
  <c r="E54" i="5"/>
  <c r="C54" i="5"/>
  <c r="AK53" i="5"/>
  <c r="AL53" i="5" s="1"/>
  <c r="AI53" i="5"/>
  <c r="AH53" i="5"/>
  <c r="AG53" i="5"/>
  <c r="AB53" i="5"/>
  <c r="AA53" i="5"/>
  <c r="Y53" i="5"/>
  <c r="W53" i="5"/>
  <c r="U53" i="5"/>
  <c r="S53" i="5"/>
  <c r="Q53" i="5"/>
  <c r="O53" i="5"/>
  <c r="M53" i="5"/>
  <c r="K53" i="5"/>
  <c r="I53" i="5"/>
  <c r="G53" i="5"/>
  <c r="E53" i="5"/>
  <c r="C53" i="5"/>
  <c r="AH52" i="5"/>
  <c r="AG52" i="5"/>
  <c r="AI52" i="5" s="1"/>
  <c r="AF52" i="5"/>
  <c r="AB52" i="5"/>
  <c r="AD52" i="5" s="1"/>
  <c r="AA52" i="5"/>
  <c r="Z52" i="5"/>
  <c r="X52" i="5"/>
  <c r="Y52" i="5" s="1"/>
  <c r="V52" i="5"/>
  <c r="W52" i="5" s="1"/>
  <c r="T52" i="5"/>
  <c r="U52" i="5" s="1"/>
  <c r="S52" i="5"/>
  <c r="R52" i="5"/>
  <c r="P52" i="5"/>
  <c r="Q52" i="5" s="1"/>
  <c r="N52" i="5"/>
  <c r="O52" i="5" s="1"/>
  <c r="L52" i="5"/>
  <c r="M52" i="5" s="1"/>
  <c r="K52" i="5"/>
  <c r="J52" i="5"/>
  <c r="H52" i="5"/>
  <c r="I52" i="5" s="1"/>
  <c r="F52" i="5"/>
  <c r="G52" i="5" s="1"/>
  <c r="D52" i="5"/>
  <c r="E52" i="5" s="1"/>
  <c r="C52" i="5"/>
  <c r="B52" i="5"/>
  <c r="AG51" i="5"/>
  <c r="AF51" i="5"/>
  <c r="AB51" i="5"/>
  <c r="AD51" i="5" s="1"/>
  <c r="AA51" i="5"/>
  <c r="Y51" i="5"/>
  <c r="W51" i="5"/>
  <c r="U51" i="5"/>
  <c r="S51" i="5"/>
  <c r="Q51" i="5"/>
  <c r="O51" i="5"/>
  <c r="M51" i="5"/>
  <c r="K51" i="5"/>
  <c r="I51" i="5"/>
  <c r="G51" i="5"/>
  <c r="E51" i="5"/>
  <c r="C51" i="5"/>
  <c r="AG50" i="5"/>
  <c r="AD50" i="5"/>
  <c r="AC50" i="5"/>
  <c r="AB50" i="5"/>
  <c r="AF50" i="5" s="1"/>
  <c r="AA50" i="5"/>
  <c r="Y50" i="5"/>
  <c r="W50" i="5"/>
  <c r="U50" i="5"/>
  <c r="S50" i="5"/>
  <c r="Q50" i="5"/>
  <c r="O50" i="5"/>
  <c r="M50" i="5"/>
  <c r="K50" i="5"/>
  <c r="I50" i="5"/>
  <c r="G50" i="5"/>
  <c r="E50" i="5"/>
  <c r="C50" i="5"/>
  <c r="AL49" i="5"/>
  <c r="AK49" i="5"/>
  <c r="AI49" i="5"/>
  <c r="AH49" i="5"/>
  <c r="AG49" i="5"/>
  <c r="AF49" i="5"/>
  <c r="AB49" i="5"/>
  <c r="AD49" i="5" s="1"/>
  <c r="AA49" i="5"/>
  <c r="Y49" i="5"/>
  <c r="W49" i="5"/>
  <c r="U49" i="5"/>
  <c r="S49" i="5"/>
  <c r="Q49" i="5"/>
  <c r="O49" i="5"/>
  <c r="M49" i="5"/>
  <c r="K49" i="5"/>
  <c r="I49" i="5"/>
  <c r="G49" i="5"/>
  <c r="E49" i="5"/>
  <c r="C49" i="5"/>
  <c r="AG48" i="5"/>
  <c r="AB48" i="5"/>
  <c r="AA48" i="5"/>
  <c r="Y48" i="5"/>
  <c r="W48" i="5"/>
  <c r="U48" i="5"/>
  <c r="S48" i="5"/>
  <c r="Q48" i="5"/>
  <c r="O48" i="5"/>
  <c r="M48" i="5"/>
  <c r="K48" i="5"/>
  <c r="I48" i="5"/>
  <c r="G48" i="5"/>
  <c r="E48" i="5"/>
  <c r="C48" i="5"/>
  <c r="AH47" i="5"/>
  <c r="AG47" i="5"/>
  <c r="AK47" i="5" s="1"/>
  <c r="AL47" i="5" s="1"/>
  <c r="AF47" i="5"/>
  <c r="AD47" i="5"/>
  <c r="AB47" i="5"/>
  <c r="AA47" i="5"/>
  <c r="Y47" i="5"/>
  <c r="W47" i="5"/>
  <c r="U47" i="5"/>
  <c r="S47" i="5"/>
  <c r="Q47" i="5"/>
  <c r="O47" i="5"/>
  <c r="M47" i="5"/>
  <c r="K47" i="5"/>
  <c r="I47" i="5"/>
  <c r="G47" i="5"/>
  <c r="E47" i="5"/>
  <c r="C47" i="5"/>
  <c r="AG46" i="5"/>
  <c r="AC46" i="5"/>
  <c r="AB46" i="5"/>
  <c r="AA46" i="5"/>
  <c r="Y46" i="5"/>
  <c r="W46" i="5"/>
  <c r="U46" i="5"/>
  <c r="S46" i="5"/>
  <c r="Q46" i="5"/>
  <c r="O46" i="5"/>
  <c r="M46" i="5"/>
  <c r="K46" i="5"/>
  <c r="I46" i="5"/>
  <c r="G46" i="5"/>
  <c r="E46" i="5"/>
  <c r="C46" i="5"/>
  <c r="AA44" i="5"/>
  <c r="Z44" i="5"/>
  <c r="Y44" i="5"/>
  <c r="X44" i="5"/>
  <c r="W44" i="5"/>
  <c r="V44" i="5"/>
  <c r="T44" i="5"/>
  <c r="U44" i="5" s="1"/>
  <c r="R44" i="5"/>
  <c r="P44" i="5"/>
  <c r="O44" i="5"/>
  <c r="N44" i="5"/>
  <c r="M44" i="5"/>
  <c r="L44" i="5"/>
  <c r="K44" i="5"/>
  <c r="J44" i="5"/>
  <c r="H44" i="5"/>
  <c r="I44" i="5" s="1"/>
  <c r="G44" i="5"/>
  <c r="F44" i="5"/>
  <c r="E44" i="5"/>
  <c r="D44" i="5"/>
  <c r="B44" i="5"/>
  <c r="C44" i="5" s="1"/>
  <c r="AK43" i="5"/>
  <c r="AL43" i="5" s="1"/>
  <c r="AI43" i="5"/>
  <c r="AH43" i="5"/>
  <c r="AG43" i="5"/>
  <c r="AD43" i="5"/>
  <c r="AC43" i="5"/>
  <c r="AB43" i="5"/>
  <c r="AF43" i="5" s="1"/>
  <c r="AA43" i="5"/>
  <c r="Y43" i="5"/>
  <c r="W43" i="5"/>
  <c r="U43" i="5"/>
  <c r="S43" i="5"/>
  <c r="Q43" i="5"/>
  <c r="O43" i="5"/>
  <c r="M43" i="5"/>
  <c r="K43" i="5"/>
  <c r="I43" i="5"/>
  <c r="G43" i="5"/>
  <c r="E43" i="5"/>
  <c r="C43" i="5"/>
  <c r="AL42" i="5"/>
  <c r="AG42" i="5"/>
  <c r="AK42" i="5" s="1"/>
  <c r="AF42" i="5"/>
  <c r="AB42" i="5"/>
  <c r="AD42" i="5" s="1"/>
  <c r="AA42" i="5"/>
  <c r="Y42" i="5"/>
  <c r="W42" i="5"/>
  <c r="U42" i="5"/>
  <c r="S42" i="5"/>
  <c r="Q42" i="5"/>
  <c r="O42" i="5"/>
  <c r="M42" i="5"/>
  <c r="K42" i="5"/>
  <c r="I42" i="5"/>
  <c r="G42" i="5"/>
  <c r="E42" i="5"/>
  <c r="C42" i="5"/>
  <c r="AK41" i="5"/>
  <c r="AL41" i="5" s="1"/>
  <c r="AG41" i="5"/>
  <c r="AI41" i="5" s="1"/>
  <c r="AD41" i="5"/>
  <c r="AC41" i="5"/>
  <c r="AB41" i="5"/>
  <c r="AF41" i="5" s="1"/>
  <c r="AA41" i="5"/>
  <c r="Y41" i="5"/>
  <c r="W41" i="5"/>
  <c r="U41" i="5"/>
  <c r="S41" i="5"/>
  <c r="Q41" i="5"/>
  <c r="O41" i="5"/>
  <c r="M41" i="5"/>
  <c r="K41" i="5"/>
  <c r="I41" i="5"/>
  <c r="G41" i="5"/>
  <c r="E41" i="5"/>
  <c r="C41" i="5"/>
  <c r="AG40" i="5"/>
  <c r="AB40" i="5"/>
  <c r="AA40" i="5"/>
  <c r="Y40" i="5"/>
  <c r="W40" i="5"/>
  <c r="U40" i="5"/>
  <c r="S40" i="5"/>
  <c r="Q40" i="5"/>
  <c r="O40" i="5"/>
  <c r="M40" i="5"/>
  <c r="K40" i="5"/>
  <c r="I40" i="5"/>
  <c r="G40" i="5"/>
  <c r="E40" i="5"/>
  <c r="C40" i="5"/>
  <c r="AL39" i="5"/>
  <c r="AK39" i="5"/>
  <c r="AG39" i="5"/>
  <c r="AI39" i="5" s="1"/>
  <c r="AB39" i="5"/>
  <c r="AA39" i="5"/>
  <c r="Y39" i="5"/>
  <c r="W39" i="5"/>
  <c r="U39" i="5"/>
  <c r="S39" i="5"/>
  <c r="Q39" i="5"/>
  <c r="O39" i="5"/>
  <c r="M39" i="5"/>
  <c r="K39" i="5"/>
  <c r="I39" i="5"/>
  <c r="G39" i="5"/>
  <c r="E39" i="5"/>
  <c r="C39" i="5"/>
  <c r="AL37" i="5"/>
  <c r="AK37" i="5"/>
  <c r="AI37" i="5"/>
  <c r="AH37" i="5"/>
  <c r="AG37" i="5"/>
  <c r="AD37" i="5"/>
  <c r="AC37" i="5"/>
  <c r="AB37" i="5"/>
  <c r="AF37" i="5" s="1"/>
  <c r="AA37" i="5"/>
  <c r="Y37" i="5"/>
  <c r="W37" i="5"/>
  <c r="U37" i="5"/>
  <c r="S37" i="5"/>
  <c r="Q37" i="5"/>
  <c r="O37" i="5"/>
  <c r="M37" i="5"/>
  <c r="K37" i="5"/>
  <c r="I37" i="5"/>
  <c r="G37" i="5"/>
  <c r="E37" i="5"/>
  <c r="C37" i="5"/>
  <c r="AB35" i="5"/>
  <c r="AC35" i="5" s="1"/>
  <c r="AA35" i="5"/>
  <c r="Z35" i="5"/>
  <c r="Y35" i="5"/>
  <c r="X35" i="5"/>
  <c r="W35" i="5"/>
  <c r="V35" i="5"/>
  <c r="U35" i="5"/>
  <c r="T35" i="5"/>
  <c r="R35" i="5"/>
  <c r="S35" i="5" s="1"/>
  <c r="P35" i="5"/>
  <c r="Q35" i="5" s="1"/>
  <c r="N35" i="5"/>
  <c r="O35" i="5" s="1"/>
  <c r="M35" i="5"/>
  <c r="L35" i="5"/>
  <c r="J35" i="5"/>
  <c r="I35" i="5"/>
  <c r="H35" i="5"/>
  <c r="F35" i="5"/>
  <c r="G35" i="5" s="1"/>
  <c r="E35" i="5"/>
  <c r="D35" i="5"/>
  <c r="B35" i="5"/>
  <c r="C35" i="5" s="1"/>
  <c r="AB34" i="5"/>
  <c r="AA34" i="5"/>
  <c r="Z34" i="5"/>
  <c r="Y34" i="5"/>
  <c r="X34" i="5"/>
  <c r="V34" i="5"/>
  <c r="W34" i="5" s="1"/>
  <c r="U34" i="5"/>
  <c r="T34" i="5"/>
  <c r="S34" i="5"/>
  <c r="R34" i="5"/>
  <c r="Q34" i="5"/>
  <c r="P34" i="5"/>
  <c r="N34" i="5"/>
  <c r="O34" i="5" s="1"/>
  <c r="L34" i="5"/>
  <c r="M34" i="5" s="1"/>
  <c r="J34" i="5"/>
  <c r="I34" i="5"/>
  <c r="H34" i="5"/>
  <c r="F34" i="5"/>
  <c r="G34" i="5" s="1"/>
  <c r="D34" i="5"/>
  <c r="E34" i="5" s="1"/>
  <c r="B34" i="5"/>
  <c r="C34" i="5" s="1"/>
  <c r="AG33" i="5"/>
  <c r="AF33" i="5"/>
  <c r="AD33" i="5"/>
  <c r="AB33" i="5"/>
  <c r="AC33" i="5" s="1"/>
  <c r="AA33" i="5"/>
  <c r="Y33" i="5"/>
  <c r="W33" i="5"/>
  <c r="U33" i="5"/>
  <c r="S33" i="5"/>
  <c r="Q33" i="5"/>
  <c r="O33" i="5"/>
  <c r="M33" i="5"/>
  <c r="K33" i="5"/>
  <c r="I33" i="5"/>
  <c r="G33" i="5"/>
  <c r="E33" i="5"/>
  <c r="C33" i="5"/>
  <c r="AL32" i="5"/>
  <c r="AG32" i="5"/>
  <c r="AK32" i="5" s="1"/>
  <c r="AB32" i="5"/>
  <c r="AA32" i="5"/>
  <c r="Y32" i="5"/>
  <c r="W32" i="5"/>
  <c r="U32" i="5"/>
  <c r="S32" i="5"/>
  <c r="Q32" i="5"/>
  <c r="O32" i="5"/>
  <c r="M32" i="5"/>
  <c r="K32" i="5"/>
  <c r="I32" i="5"/>
  <c r="G32" i="5"/>
  <c r="E32" i="5"/>
  <c r="C32" i="5"/>
  <c r="AI31" i="5"/>
  <c r="AH31" i="5"/>
  <c r="AG31" i="5"/>
  <c r="AK31" i="5" s="1"/>
  <c r="AL31" i="5" s="1"/>
  <c r="AF31" i="5"/>
  <c r="AD31" i="5"/>
  <c r="AB31" i="5"/>
  <c r="AC31" i="5" s="1"/>
  <c r="AA31" i="5"/>
  <c r="Y31" i="5"/>
  <c r="W31" i="5"/>
  <c r="U31" i="5"/>
  <c r="S31" i="5"/>
  <c r="Q31" i="5"/>
  <c r="O31" i="5"/>
  <c r="M31" i="5"/>
  <c r="K31" i="5"/>
  <c r="I31" i="5"/>
  <c r="G31" i="5"/>
  <c r="E31" i="5"/>
  <c r="C31" i="5"/>
  <c r="AG30" i="5"/>
  <c r="AF30" i="5"/>
  <c r="AD30" i="5"/>
  <c r="AB30" i="5"/>
  <c r="AC30" i="5" s="1"/>
  <c r="AA30" i="5"/>
  <c r="Y30" i="5"/>
  <c r="W30" i="5"/>
  <c r="U30" i="5"/>
  <c r="S30" i="5"/>
  <c r="Q30" i="5"/>
  <c r="O30" i="5"/>
  <c r="M30" i="5"/>
  <c r="K30" i="5"/>
  <c r="I30" i="5"/>
  <c r="G30" i="5"/>
  <c r="E30" i="5"/>
  <c r="C30" i="5"/>
  <c r="AL29" i="5"/>
  <c r="AK29" i="5"/>
  <c r="AG29" i="5"/>
  <c r="AI29" i="5" s="1"/>
  <c r="AF29" i="5"/>
  <c r="AB29" i="5"/>
  <c r="AD29" i="5" s="1"/>
  <c r="AA29" i="5"/>
  <c r="Y29" i="5"/>
  <c r="W29" i="5"/>
  <c r="U29" i="5"/>
  <c r="S29" i="5"/>
  <c r="Q29" i="5"/>
  <c r="O29" i="5"/>
  <c r="M29" i="5"/>
  <c r="K29" i="5"/>
  <c r="I29" i="5"/>
  <c r="G29" i="5"/>
  <c r="E29" i="5"/>
  <c r="C29" i="5"/>
  <c r="AA27" i="5"/>
  <c r="Z27" i="5"/>
  <c r="X27" i="5"/>
  <c r="W27" i="5"/>
  <c r="V27" i="5"/>
  <c r="T27" i="5"/>
  <c r="U27" i="5" s="1"/>
  <c r="R27" i="5"/>
  <c r="S27" i="5" s="1"/>
  <c r="Q27" i="5"/>
  <c r="P27" i="5"/>
  <c r="N27" i="5"/>
  <c r="O27" i="5" s="1"/>
  <c r="M27" i="5"/>
  <c r="L27" i="5"/>
  <c r="J27" i="5"/>
  <c r="I27" i="5"/>
  <c r="H27" i="5"/>
  <c r="G27" i="5"/>
  <c r="F27" i="5"/>
  <c r="D27" i="5"/>
  <c r="E27" i="5" s="1"/>
  <c r="B27" i="5"/>
  <c r="C27" i="5" s="1"/>
  <c r="AG26" i="5"/>
  <c r="AF26" i="5"/>
  <c r="AC26" i="5"/>
  <c r="AB26" i="5"/>
  <c r="AD26" i="5" s="1"/>
  <c r="AA26" i="5"/>
  <c r="Y26" i="5"/>
  <c r="W26" i="5"/>
  <c r="U26" i="5"/>
  <c r="S26" i="5"/>
  <c r="Q26" i="5"/>
  <c r="O26" i="5"/>
  <c r="M26" i="5"/>
  <c r="K26" i="5"/>
  <c r="I26" i="5"/>
  <c r="G26" i="5"/>
  <c r="E26" i="5"/>
  <c r="C26" i="5"/>
  <c r="AK25" i="5"/>
  <c r="AL25" i="5" s="1"/>
  <c r="AG25" i="5"/>
  <c r="AI25" i="5" s="1"/>
  <c r="AB25" i="5"/>
  <c r="AA25" i="5"/>
  <c r="Y25" i="5"/>
  <c r="W25" i="5"/>
  <c r="U25" i="5"/>
  <c r="S25" i="5"/>
  <c r="Q25" i="5"/>
  <c r="O25" i="5"/>
  <c r="M25" i="5"/>
  <c r="K25" i="5"/>
  <c r="I25" i="5"/>
  <c r="G25" i="5"/>
  <c r="E25" i="5"/>
  <c r="C25" i="5"/>
  <c r="AG24" i="5"/>
  <c r="AC24" i="5"/>
  <c r="AB24" i="5"/>
  <c r="AF24" i="5" s="1"/>
  <c r="AA24" i="5"/>
  <c r="Y24" i="5"/>
  <c r="W24" i="5"/>
  <c r="U24" i="5"/>
  <c r="S24" i="5"/>
  <c r="Q24" i="5"/>
  <c r="O24" i="5"/>
  <c r="M24" i="5"/>
  <c r="K24" i="5"/>
  <c r="I24" i="5"/>
  <c r="G24" i="5"/>
  <c r="E24" i="5"/>
  <c r="C24" i="5"/>
  <c r="AK23" i="5"/>
  <c r="AL23" i="5" s="1"/>
  <c r="AG23" i="5"/>
  <c r="AI23" i="5" s="1"/>
  <c r="AF23" i="5"/>
  <c r="AD23" i="5"/>
  <c r="AB23" i="5"/>
  <c r="AC23" i="5" s="1"/>
  <c r="AA23" i="5"/>
  <c r="Y23" i="5"/>
  <c r="W23" i="5"/>
  <c r="U23" i="5"/>
  <c r="S23" i="5"/>
  <c r="Q23" i="5"/>
  <c r="O23" i="5"/>
  <c r="M23" i="5"/>
  <c r="K23" i="5"/>
  <c r="I23" i="5"/>
  <c r="G23" i="5"/>
  <c r="E23" i="5"/>
  <c r="C23" i="5"/>
  <c r="AH22" i="5"/>
  <c r="AG22" i="5"/>
  <c r="AD22" i="5"/>
  <c r="AB22" i="5"/>
  <c r="AF22" i="5" s="1"/>
  <c r="AA22" i="5"/>
  <c r="Y22" i="5"/>
  <c r="W22" i="5"/>
  <c r="U22" i="5"/>
  <c r="S22" i="5"/>
  <c r="Q22" i="5"/>
  <c r="O22" i="5"/>
  <c r="M22" i="5"/>
  <c r="K22" i="5"/>
  <c r="I22" i="5"/>
  <c r="G22" i="5"/>
  <c r="E22" i="5"/>
  <c r="C22" i="5"/>
  <c r="AL21" i="5"/>
  <c r="AK21" i="5"/>
  <c r="AG21" i="5"/>
  <c r="AI21" i="5" s="1"/>
  <c r="AC21" i="5"/>
  <c r="AB21" i="5"/>
  <c r="AF21" i="5" s="1"/>
  <c r="AA21" i="5"/>
  <c r="Y21" i="5"/>
  <c r="W21" i="5"/>
  <c r="U21" i="5"/>
  <c r="S21" i="5"/>
  <c r="Q21" i="5"/>
  <c r="O21" i="5"/>
  <c r="M21" i="5"/>
  <c r="K21" i="5"/>
  <c r="I21" i="5"/>
  <c r="G21" i="5"/>
  <c r="E21" i="5"/>
  <c r="C21" i="5"/>
  <c r="AK20" i="5"/>
  <c r="AL20" i="5" s="1"/>
  <c r="AG20" i="5"/>
  <c r="AI20" i="5" s="1"/>
  <c r="AB20" i="5"/>
  <c r="AA20" i="5"/>
  <c r="Y20" i="5"/>
  <c r="W20" i="5"/>
  <c r="U20" i="5"/>
  <c r="S20" i="5"/>
  <c r="Q20" i="5"/>
  <c r="O20" i="5"/>
  <c r="M20" i="5"/>
  <c r="K20" i="5"/>
  <c r="I20" i="5"/>
  <c r="G20" i="5"/>
  <c r="E20" i="5"/>
  <c r="C20" i="5"/>
  <c r="AL19" i="5"/>
  <c r="AK19" i="5"/>
  <c r="AG19" i="5"/>
  <c r="AI19" i="5" s="1"/>
  <c r="AF19" i="5"/>
  <c r="AD19" i="5"/>
  <c r="AC19" i="5"/>
  <c r="AB19" i="5"/>
  <c r="AA19" i="5"/>
  <c r="Y19" i="5"/>
  <c r="W19" i="5"/>
  <c r="U19" i="5"/>
  <c r="S19" i="5"/>
  <c r="Q19" i="5"/>
  <c r="O19" i="5"/>
  <c r="M19" i="5"/>
  <c r="K19" i="5"/>
  <c r="I19" i="5"/>
  <c r="G19" i="5"/>
  <c r="E19" i="5"/>
  <c r="C19" i="5"/>
  <c r="AK18" i="5"/>
  <c r="AL18" i="5" s="1"/>
  <c r="AI18" i="5"/>
  <c r="AH18" i="5"/>
  <c r="AG18" i="5"/>
  <c r="AB18" i="5"/>
  <c r="AA18" i="5"/>
  <c r="Y18" i="5"/>
  <c r="W18" i="5"/>
  <c r="U18" i="5"/>
  <c r="S18" i="5"/>
  <c r="Q18" i="5"/>
  <c r="O18" i="5"/>
  <c r="M18" i="5"/>
  <c r="K18" i="5"/>
  <c r="I18" i="5"/>
  <c r="G18" i="5"/>
  <c r="E18" i="5"/>
  <c r="C18" i="5"/>
  <c r="AL17" i="5"/>
  <c r="AK17" i="5"/>
  <c r="AG17" i="5"/>
  <c r="AI17" i="5" s="1"/>
  <c r="AF17" i="5"/>
  <c r="AD17" i="5"/>
  <c r="AB17" i="5"/>
  <c r="AC17" i="5" s="1"/>
  <c r="AA17" i="5"/>
  <c r="Y17" i="5"/>
  <c r="W17" i="5"/>
  <c r="U17" i="5"/>
  <c r="S17" i="5"/>
  <c r="Q17" i="5"/>
  <c r="O17" i="5"/>
  <c r="M17" i="5"/>
  <c r="K17" i="5"/>
  <c r="I17" i="5"/>
  <c r="G17" i="5"/>
  <c r="E17" i="5"/>
  <c r="C17" i="5"/>
  <c r="AI16" i="5"/>
  <c r="AH16" i="5"/>
  <c r="AG16" i="5"/>
  <c r="AK16" i="5" s="1"/>
  <c r="AL16" i="5" s="1"/>
  <c r="AB16" i="5"/>
  <c r="AA16" i="5"/>
  <c r="Y16" i="5"/>
  <c r="W16" i="5"/>
  <c r="U16" i="5"/>
  <c r="S16" i="5"/>
  <c r="Q16" i="5"/>
  <c r="O16" i="5"/>
  <c r="M16" i="5"/>
  <c r="K16" i="5"/>
  <c r="I16" i="5"/>
  <c r="G16" i="5"/>
  <c r="E16" i="5"/>
  <c r="C16" i="5"/>
  <c r="AK15" i="5"/>
  <c r="AL15" i="5" s="1"/>
  <c r="AG15" i="5"/>
  <c r="AI15" i="5" s="1"/>
  <c r="AB15" i="5"/>
  <c r="AA15" i="5"/>
  <c r="Y15" i="5"/>
  <c r="W15" i="5"/>
  <c r="U15" i="5"/>
  <c r="S15" i="5"/>
  <c r="Q15" i="5"/>
  <c r="O15" i="5"/>
  <c r="M15" i="5"/>
  <c r="K15" i="5"/>
  <c r="I15" i="5"/>
  <c r="G15" i="5"/>
  <c r="E15" i="5"/>
  <c r="C15" i="5"/>
  <c r="AI13" i="5"/>
  <c r="AH13" i="5"/>
  <c r="AG13" i="5"/>
  <c r="AK13" i="5" s="1"/>
  <c r="AL13" i="5" s="1"/>
  <c r="AF13" i="5"/>
  <c r="AD13" i="5"/>
  <c r="AB13" i="5"/>
  <c r="AC13" i="5" s="1"/>
  <c r="AA13" i="5"/>
  <c r="Y13" i="5"/>
  <c r="W13" i="5"/>
  <c r="U13" i="5"/>
  <c r="S13" i="5"/>
  <c r="Q13" i="5"/>
  <c r="O13" i="5"/>
  <c r="M13" i="5"/>
  <c r="K13" i="5"/>
  <c r="I13" i="5"/>
  <c r="G13" i="5"/>
  <c r="E13" i="5"/>
  <c r="C13" i="5"/>
  <c r="AB9" i="5"/>
  <c r="AD9" i="5" s="1"/>
  <c r="Z9" i="5"/>
  <c r="Z59" i="5" s="1"/>
  <c r="X9" i="5"/>
  <c r="W9" i="5"/>
  <c r="V9" i="5"/>
  <c r="V59" i="5" s="1"/>
  <c r="W59" i="5" s="1"/>
  <c r="T9" i="5"/>
  <c r="T59" i="5" s="1"/>
  <c r="S9" i="5"/>
  <c r="R9" i="5"/>
  <c r="P9" i="5"/>
  <c r="N9" i="5"/>
  <c r="M9" i="5"/>
  <c r="L9" i="5"/>
  <c r="L59" i="5" s="1"/>
  <c r="L87" i="5" s="1"/>
  <c r="J9" i="5"/>
  <c r="H9" i="5"/>
  <c r="I9" i="5" s="1"/>
  <c r="F9" i="5"/>
  <c r="E9" i="5"/>
  <c r="D9" i="5"/>
  <c r="D59" i="5" s="1"/>
  <c r="C9" i="5"/>
  <c r="B9" i="5"/>
  <c r="AH8" i="5"/>
  <c r="AG8" i="5"/>
  <c r="AC8" i="5"/>
  <c r="AB8" i="5"/>
  <c r="AA8" i="5"/>
  <c r="Y8" i="5"/>
  <c r="W8" i="5"/>
  <c r="U8" i="5"/>
  <c r="S8" i="5"/>
  <c r="Q8" i="5"/>
  <c r="O8" i="5"/>
  <c r="M8" i="5"/>
  <c r="K8" i="5"/>
  <c r="I8" i="5"/>
  <c r="G8" i="5"/>
  <c r="E8" i="5"/>
  <c r="C8" i="5"/>
  <c r="AK7" i="5"/>
  <c r="AL7" i="5" s="1"/>
  <c r="AI7" i="5"/>
  <c r="AG7" i="5"/>
  <c r="AH7" i="5" s="1"/>
  <c r="AB7" i="5"/>
  <c r="AA7" i="5"/>
  <c r="Y7" i="5"/>
  <c r="W7" i="5"/>
  <c r="U7" i="5"/>
  <c r="S7" i="5"/>
  <c r="Q7" i="5"/>
  <c r="O7" i="5"/>
  <c r="M7" i="5"/>
  <c r="K7" i="5"/>
  <c r="I7" i="5"/>
  <c r="G7" i="5"/>
  <c r="E7" i="5"/>
  <c r="C7" i="5"/>
  <c r="AG148" i="4"/>
  <c r="AK148" i="4" s="1"/>
  <c r="AF148" i="4"/>
  <c r="AD148" i="4"/>
  <c r="AB148" i="4"/>
  <c r="Z145" i="4"/>
  <c r="AA145" i="4" s="1"/>
  <c r="X145" i="4"/>
  <c r="V145" i="4"/>
  <c r="W145" i="4" s="1"/>
  <c r="U145" i="4"/>
  <c r="T145" i="4"/>
  <c r="S145" i="4"/>
  <c r="R145" i="4"/>
  <c r="P145" i="4"/>
  <c r="Q145" i="4" s="1"/>
  <c r="N145" i="4"/>
  <c r="O145" i="4" s="1"/>
  <c r="L145" i="4"/>
  <c r="M145" i="4" s="1"/>
  <c r="K145" i="4"/>
  <c r="J145" i="4"/>
  <c r="H145" i="4"/>
  <c r="I145" i="4" s="1"/>
  <c r="G145" i="4"/>
  <c r="F145" i="4"/>
  <c r="D145" i="4"/>
  <c r="E145" i="4" s="1"/>
  <c r="C145" i="4"/>
  <c r="B145" i="4"/>
  <c r="AI144" i="4"/>
  <c r="AH144" i="4"/>
  <c r="AG144" i="4"/>
  <c r="AK144" i="4" s="1"/>
  <c r="AD144" i="4"/>
  <c r="AE144" i="4" s="1"/>
  <c r="AC144" i="4"/>
  <c r="AB144" i="4"/>
  <c r="AF144" i="4" s="1"/>
  <c r="AA144" i="4"/>
  <c r="Y144" i="4"/>
  <c r="W144" i="4"/>
  <c r="U144" i="4"/>
  <c r="S144" i="4"/>
  <c r="Q144" i="4"/>
  <c r="O144" i="4"/>
  <c r="M144" i="4"/>
  <c r="K144" i="4"/>
  <c r="I144" i="4"/>
  <c r="G144" i="4"/>
  <c r="E144" i="4"/>
  <c r="C144" i="4"/>
  <c r="Z141" i="4"/>
  <c r="AA141" i="4" s="1"/>
  <c r="X141" i="4"/>
  <c r="V141" i="4"/>
  <c r="W141" i="4" s="1"/>
  <c r="U141" i="4"/>
  <c r="T141" i="4"/>
  <c r="R141" i="4"/>
  <c r="S141" i="4" s="1"/>
  <c r="Q141" i="4"/>
  <c r="P141" i="4"/>
  <c r="N141" i="4"/>
  <c r="O141" i="4" s="1"/>
  <c r="M141" i="4"/>
  <c r="L141" i="4"/>
  <c r="K141" i="4"/>
  <c r="J141" i="4"/>
  <c r="H141" i="4"/>
  <c r="I141" i="4" s="1"/>
  <c r="G141" i="4"/>
  <c r="F141" i="4"/>
  <c r="E141" i="4"/>
  <c r="D141" i="4"/>
  <c r="C141" i="4"/>
  <c r="B141" i="4"/>
  <c r="AG140" i="4"/>
  <c r="AF140" i="4"/>
  <c r="AD140" i="4"/>
  <c r="AE140" i="4" s="1"/>
  <c r="AC140" i="4"/>
  <c r="AB140" i="4"/>
  <c r="AA140" i="4"/>
  <c r="Y140" i="4"/>
  <c r="W140" i="4"/>
  <c r="U140" i="4"/>
  <c r="S140" i="4"/>
  <c r="Q140" i="4"/>
  <c r="O140" i="4"/>
  <c r="M140" i="4"/>
  <c r="K140" i="4"/>
  <c r="I140" i="4"/>
  <c r="G140" i="4"/>
  <c r="E140" i="4"/>
  <c r="C140" i="4"/>
  <c r="Z135" i="4"/>
  <c r="AA135" i="4" s="1"/>
  <c r="X135" i="4"/>
  <c r="V135" i="4"/>
  <c r="U135" i="4"/>
  <c r="T135" i="4"/>
  <c r="S135" i="4"/>
  <c r="R135" i="4"/>
  <c r="P135" i="4"/>
  <c r="Q135" i="4" s="1"/>
  <c r="N135" i="4"/>
  <c r="O135" i="4" s="1"/>
  <c r="M135" i="4"/>
  <c r="L135" i="4"/>
  <c r="J135" i="4"/>
  <c r="I135" i="4"/>
  <c r="H135" i="4"/>
  <c r="F135" i="4"/>
  <c r="G135" i="4" s="1"/>
  <c r="D135" i="4"/>
  <c r="E135" i="4" s="1"/>
  <c r="C135" i="4"/>
  <c r="B135" i="4"/>
  <c r="AG134" i="4"/>
  <c r="AK134" i="4" s="1"/>
  <c r="AL134" i="4" s="1"/>
  <c r="AF134" i="4"/>
  <c r="AC134" i="4"/>
  <c r="AB134" i="4"/>
  <c r="AD134" i="4" s="1"/>
  <c r="AE134" i="4" s="1"/>
  <c r="AA134" i="4"/>
  <c r="Y134" i="4"/>
  <c r="W134" i="4"/>
  <c r="U134" i="4"/>
  <c r="S134" i="4"/>
  <c r="Q134" i="4"/>
  <c r="O134" i="4"/>
  <c r="M134" i="4"/>
  <c r="K134" i="4"/>
  <c r="I134" i="4"/>
  <c r="G134" i="4"/>
  <c r="E134" i="4"/>
  <c r="C134" i="4"/>
  <c r="AG133" i="4"/>
  <c r="AF133" i="4"/>
  <c r="AC133" i="4"/>
  <c r="AB133" i="4"/>
  <c r="AD133" i="4" s="1"/>
  <c r="AA133" i="4"/>
  <c r="Y133" i="4"/>
  <c r="W133" i="4"/>
  <c r="U133" i="4"/>
  <c r="S133" i="4"/>
  <c r="Q133" i="4"/>
  <c r="O133" i="4"/>
  <c r="M133" i="4"/>
  <c r="K133" i="4"/>
  <c r="I133" i="4"/>
  <c r="G133" i="4"/>
  <c r="E133" i="4"/>
  <c r="C133" i="4"/>
  <c r="AK132" i="4"/>
  <c r="AL132" i="4" s="1"/>
  <c r="AG132" i="4"/>
  <c r="AI132" i="4" s="1"/>
  <c r="AF132" i="4"/>
  <c r="AB132" i="4"/>
  <c r="AD132" i="4" s="1"/>
  <c r="AE132" i="4" s="1"/>
  <c r="AA132" i="4"/>
  <c r="Y132" i="4"/>
  <c r="W132" i="4"/>
  <c r="U132" i="4"/>
  <c r="S132" i="4"/>
  <c r="Q132" i="4"/>
  <c r="O132" i="4"/>
  <c r="M132" i="4"/>
  <c r="K132" i="4"/>
  <c r="I132" i="4"/>
  <c r="G132" i="4"/>
  <c r="E132" i="4"/>
  <c r="C132" i="4"/>
  <c r="AI131" i="4"/>
  <c r="AH131" i="4"/>
  <c r="AG131" i="4"/>
  <c r="AK131" i="4" s="1"/>
  <c r="AL131" i="4" s="1"/>
  <c r="AC131" i="4"/>
  <c r="AB131" i="4"/>
  <c r="AD131" i="4" s="1"/>
  <c r="AE131" i="4" s="1"/>
  <c r="AA131" i="4"/>
  <c r="Y131" i="4"/>
  <c r="W131" i="4"/>
  <c r="U131" i="4"/>
  <c r="S131" i="4"/>
  <c r="Q131" i="4"/>
  <c r="O131" i="4"/>
  <c r="M131" i="4"/>
  <c r="K131" i="4"/>
  <c r="I131" i="4"/>
  <c r="G131" i="4"/>
  <c r="E131" i="4"/>
  <c r="C131" i="4"/>
  <c r="AG130" i="4"/>
  <c r="AB130" i="4"/>
  <c r="AA130" i="4"/>
  <c r="Y130" i="4"/>
  <c r="W130" i="4"/>
  <c r="U130" i="4"/>
  <c r="S130" i="4"/>
  <c r="Q130" i="4"/>
  <c r="O130" i="4"/>
  <c r="M130" i="4"/>
  <c r="K130" i="4"/>
  <c r="I130" i="4"/>
  <c r="G130" i="4"/>
  <c r="E130" i="4"/>
  <c r="C130" i="4"/>
  <c r="AG129" i="4"/>
  <c r="AF129" i="4"/>
  <c r="AB129" i="4"/>
  <c r="AD129" i="4" s="1"/>
  <c r="AE129" i="4" s="1"/>
  <c r="AA129" i="4"/>
  <c r="Y129" i="4"/>
  <c r="W129" i="4"/>
  <c r="U129" i="4"/>
  <c r="S129" i="4"/>
  <c r="Q129" i="4"/>
  <c r="O129" i="4"/>
  <c r="M129" i="4"/>
  <c r="K129" i="4"/>
  <c r="I129" i="4"/>
  <c r="G129" i="4"/>
  <c r="E129" i="4"/>
  <c r="C129" i="4"/>
  <c r="AH128" i="4"/>
  <c r="AG128" i="4"/>
  <c r="AK128" i="4" s="1"/>
  <c r="AL128" i="4" s="1"/>
  <c r="AF128" i="4"/>
  <c r="AB128" i="4"/>
  <c r="AD128" i="4" s="1"/>
  <c r="AE128" i="4" s="1"/>
  <c r="AA128" i="4"/>
  <c r="Y128" i="4"/>
  <c r="W128" i="4"/>
  <c r="U128" i="4"/>
  <c r="S128" i="4"/>
  <c r="Q128" i="4"/>
  <c r="O128" i="4"/>
  <c r="M128" i="4"/>
  <c r="K128" i="4"/>
  <c r="I128" i="4"/>
  <c r="G128" i="4"/>
  <c r="E128" i="4"/>
  <c r="C128" i="4"/>
  <c r="AH127" i="4"/>
  <c r="AG127" i="4"/>
  <c r="AF127" i="4"/>
  <c r="AC127" i="4"/>
  <c r="AB127" i="4"/>
  <c r="AD127" i="4" s="1"/>
  <c r="AE127" i="4" s="1"/>
  <c r="AA127" i="4"/>
  <c r="Y127" i="4"/>
  <c r="W127" i="4"/>
  <c r="U127" i="4"/>
  <c r="S127" i="4"/>
  <c r="Q127" i="4"/>
  <c r="O127" i="4"/>
  <c r="M127" i="4"/>
  <c r="K127" i="4"/>
  <c r="I127" i="4"/>
  <c r="G127" i="4"/>
  <c r="E127" i="4"/>
  <c r="C127" i="4"/>
  <c r="AH126" i="4"/>
  <c r="AG126" i="4"/>
  <c r="AK126" i="4" s="1"/>
  <c r="AL126" i="4" s="1"/>
  <c r="AF126" i="4"/>
  <c r="AE126" i="4"/>
  <c r="AD126" i="4"/>
  <c r="AC126" i="4"/>
  <c r="AB126" i="4"/>
  <c r="AA126" i="4"/>
  <c r="Y126" i="4"/>
  <c r="W126" i="4"/>
  <c r="U126" i="4"/>
  <c r="S126" i="4"/>
  <c r="Q126" i="4"/>
  <c r="O126" i="4"/>
  <c r="M126" i="4"/>
  <c r="K126" i="4"/>
  <c r="I126" i="4"/>
  <c r="G126" i="4"/>
  <c r="E126" i="4"/>
  <c r="C126" i="4"/>
  <c r="AG125" i="4"/>
  <c r="AB125" i="4"/>
  <c r="AA125" i="4"/>
  <c r="Y125" i="4"/>
  <c r="W125" i="4"/>
  <c r="U125" i="4"/>
  <c r="S125" i="4"/>
  <c r="Q125" i="4"/>
  <c r="O125" i="4"/>
  <c r="M125" i="4"/>
  <c r="K125" i="4"/>
  <c r="I125" i="4"/>
  <c r="G125" i="4"/>
  <c r="E125" i="4"/>
  <c r="C125" i="4"/>
  <c r="AI124" i="4"/>
  <c r="AG124" i="4"/>
  <c r="AK124" i="4" s="1"/>
  <c r="AL124" i="4" s="1"/>
  <c r="AB124" i="4"/>
  <c r="AA124" i="4"/>
  <c r="Y124" i="4"/>
  <c r="W124" i="4"/>
  <c r="U124" i="4"/>
  <c r="S124" i="4"/>
  <c r="Q124" i="4"/>
  <c r="O124" i="4"/>
  <c r="M124" i="4"/>
  <c r="K124" i="4"/>
  <c r="I124" i="4"/>
  <c r="G124" i="4"/>
  <c r="E124" i="4"/>
  <c r="C124" i="4"/>
  <c r="AK123" i="4"/>
  <c r="AL123" i="4" s="1"/>
  <c r="AI123" i="4"/>
  <c r="AG123" i="4"/>
  <c r="AH123" i="4" s="1"/>
  <c r="AB123" i="4"/>
  <c r="AA123" i="4"/>
  <c r="Y123" i="4"/>
  <c r="W123" i="4"/>
  <c r="U123" i="4"/>
  <c r="S123" i="4"/>
  <c r="Q123" i="4"/>
  <c r="O123" i="4"/>
  <c r="M123" i="4"/>
  <c r="K123" i="4"/>
  <c r="I123" i="4"/>
  <c r="G123" i="4"/>
  <c r="E123" i="4"/>
  <c r="C123" i="4"/>
  <c r="AH122" i="4"/>
  <c r="AG122" i="4"/>
  <c r="AK122" i="4" s="1"/>
  <c r="AL122" i="4" s="1"/>
  <c r="AF122" i="4"/>
  <c r="AE122" i="4"/>
  <c r="AD122" i="4"/>
  <c r="AC122" i="4"/>
  <c r="AB122" i="4"/>
  <c r="AA122" i="4"/>
  <c r="Y122" i="4"/>
  <c r="W122" i="4"/>
  <c r="U122" i="4"/>
  <c r="S122" i="4"/>
  <c r="Q122" i="4"/>
  <c r="O122" i="4"/>
  <c r="M122" i="4"/>
  <c r="K122" i="4"/>
  <c r="I122" i="4"/>
  <c r="G122" i="4"/>
  <c r="E122" i="4"/>
  <c r="C122" i="4"/>
  <c r="AG121" i="4"/>
  <c r="AB121" i="4"/>
  <c r="AA121" i="4"/>
  <c r="Y121" i="4"/>
  <c r="W121" i="4"/>
  <c r="U121" i="4"/>
  <c r="S121" i="4"/>
  <c r="Q121" i="4"/>
  <c r="O121" i="4"/>
  <c r="M121" i="4"/>
  <c r="K121" i="4"/>
  <c r="I121" i="4"/>
  <c r="G121" i="4"/>
  <c r="E121" i="4"/>
  <c r="C121" i="4"/>
  <c r="AK120" i="4"/>
  <c r="AL120" i="4" s="1"/>
  <c r="AI120" i="4"/>
  <c r="AH120" i="4"/>
  <c r="AG120" i="4"/>
  <c r="AD120" i="4"/>
  <c r="AE120" i="4" s="1"/>
  <c r="AC120" i="4"/>
  <c r="AB120" i="4"/>
  <c r="AF120" i="4" s="1"/>
  <c r="AA120" i="4"/>
  <c r="Y120" i="4"/>
  <c r="W120" i="4"/>
  <c r="U120" i="4"/>
  <c r="S120" i="4"/>
  <c r="Q120" i="4"/>
  <c r="O120" i="4"/>
  <c r="M120" i="4"/>
  <c r="K120" i="4"/>
  <c r="I120" i="4"/>
  <c r="G120" i="4"/>
  <c r="E120" i="4"/>
  <c r="C120" i="4"/>
  <c r="AG119" i="4"/>
  <c r="AK119" i="4" s="1"/>
  <c r="AL119" i="4" s="1"/>
  <c r="AB119" i="4"/>
  <c r="AA119" i="4"/>
  <c r="Y119" i="4"/>
  <c r="W119" i="4"/>
  <c r="U119" i="4"/>
  <c r="S119" i="4"/>
  <c r="Q119" i="4"/>
  <c r="O119" i="4"/>
  <c r="M119" i="4"/>
  <c r="K119" i="4"/>
  <c r="I119" i="4"/>
  <c r="G119" i="4"/>
  <c r="E119" i="4"/>
  <c r="C119" i="4"/>
  <c r="AK118" i="4"/>
  <c r="AL118" i="4" s="1"/>
  <c r="AI118" i="4"/>
  <c r="AH118" i="4"/>
  <c r="AG118" i="4"/>
  <c r="AF118" i="4"/>
  <c r="AD118" i="4"/>
  <c r="AE118" i="4" s="1"/>
  <c r="AB118" i="4"/>
  <c r="AC118" i="4" s="1"/>
  <c r="AA118" i="4"/>
  <c r="Y118" i="4"/>
  <c r="W118" i="4"/>
  <c r="U118" i="4"/>
  <c r="S118" i="4"/>
  <c r="Q118" i="4"/>
  <c r="O118" i="4"/>
  <c r="M118" i="4"/>
  <c r="K118" i="4"/>
  <c r="I118" i="4"/>
  <c r="G118" i="4"/>
  <c r="E118" i="4"/>
  <c r="C118" i="4"/>
  <c r="AL117" i="4"/>
  <c r="AH117" i="4"/>
  <c r="AG117" i="4"/>
  <c r="AK117" i="4" s="1"/>
  <c r="AB117" i="4"/>
  <c r="AA117" i="4"/>
  <c r="Y117" i="4"/>
  <c r="W117" i="4"/>
  <c r="U117" i="4"/>
  <c r="S117" i="4"/>
  <c r="Q117" i="4"/>
  <c r="O117" i="4"/>
  <c r="M117" i="4"/>
  <c r="K117" i="4"/>
  <c r="I117" i="4"/>
  <c r="G117" i="4"/>
  <c r="E117" i="4"/>
  <c r="C117" i="4"/>
  <c r="AI116" i="4"/>
  <c r="AG116" i="4"/>
  <c r="AK116" i="4" s="1"/>
  <c r="AL116" i="4" s="1"/>
  <c r="AD116" i="4"/>
  <c r="AE116" i="4" s="1"/>
  <c r="AC116" i="4"/>
  <c r="AB116" i="4"/>
  <c r="AF116" i="4" s="1"/>
  <c r="AA116" i="4"/>
  <c r="Y116" i="4"/>
  <c r="W116" i="4"/>
  <c r="U116" i="4"/>
  <c r="S116" i="4"/>
  <c r="Q116" i="4"/>
  <c r="O116" i="4"/>
  <c r="M116" i="4"/>
  <c r="K116" i="4"/>
  <c r="I116" i="4"/>
  <c r="G116" i="4"/>
  <c r="E116" i="4"/>
  <c r="C116" i="4"/>
  <c r="AK115" i="4"/>
  <c r="AL115" i="4" s="1"/>
  <c r="AI115" i="4"/>
  <c r="AH115" i="4"/>
  <c r="AG115" i="4"/>
  <c r="AB115" i="4"/>
  <c r="AA115" i="4"/>
  <c r="Y115" i="4"/>
  <c r="W115" i="4"/>
  <c r="U115" i="4"/>
  <c r="S115" i="4"/>
  <c r="Q115" i="4"/>
  <c r="O115" i="4"/>
  <c r="M115" i="4"/>
  <c r="K115" i="4"/>
  <c r="I115" i="4"/>
  <c r="G115" i="4"/>
  <c r="E115" i="4"/>
  <c r="C115" i="4"/>
  <c r="AH114" i="4"/>
  <c r="AG114" i="4"/>
  <c r="AK114" i="4" s="1"/>
  <c r="AL114" i="4" s="1"/>
  <c r="AF114" i="4"/>
  <c r="AD114" i="4"/>
  <c r="AE114" i="4" s="1"/>
  <c r="AC114" i="4"/>
  <c r="AB114" i="4"/>
  <c r="AA114" i="4"/>
  <c r="Y114" i="4"/>
  <c r="W114" i="4"/>
  <c r="U114" i="4"/>
  <c r="S114" i="4"/>
  <c r="Q114" i="4"/>
  <c r="O114" i="4"/>
  <c r="M114" i="4"/>
  <c r="K114" i="4"/>
  <c r="I114" i="4"/>
  <c r="G114" i="4"/>
  <c r="E114" i="4"/>
  <c r="C114" i="4"/>
  <c r="AH113" i="4"/>
  <c r="AG113" i="4"/>
  <c r="AC113" i="4"/>
  <c r="AB113" i="4"/>
  <c r="AA113" i="4"/>
  <c r="Y113" i="4"/>
  <c r="W113" i="4"/>
  <c r="U113" i="4"/>
  <c r="S113" i="4"/>
  <c r="Q113" i="4"/>
  <c r="O113" i="4"/>
  <c r="M113" i="4"/>
  <c r="K113" i="4"/>
  <c r="I113" i="4"/>
  <c r="G113" i="4"/>
  <c r="E113" i="4"/>
  <c r="C113" i="4"/>
  <c r="AK112" i="4"/>
  <c r="AL112" i="4" s="1"/>
  <c r="AI112" i="4"/>
  <c r="AH112" i="4"/>
  <c r="AG112" i="4"/>
  <c r="AD112" i="4"/>
  <c r="AE112" i="4" s="1"/>
  <c r="AC112" i="4"/>
  <c r="AB112" i="4"/>
  <c r="AF112" i="4" s="1"/>
  <c r="AA112" i="4"/>
  <c r="Y112" i="4"/>
  <c r="W112" i="4"/>
  <c r="U112" i="4"/>
  <c r="S112" i="4"/>
  <c r="Q112" i="4"/>
  <c r="O112" i="4"/>
  <c r="M112" i="4"/>
  <c r="K112" i="4"/>
  <c r="I112" i="4"/>
  <c r="G112" i="4"/>
  <c r="E112" i="4"/>
  <c r="C112" i="4"/>
  <c r="AK111" i="4"/>
  <c r="AL111" i="4" s="1"/>
  <c r="AH111" i="4"/>
  <c r="AG111" i="4"/>
  <c r="AI111" i="4" s="1"/>
  <c r="AB111" i="4"/>
  <c r="AA111" i="4"/>
  <c r="Y111" i="4"/>
  <c r="W111" i="4"/>
  <c r="U111" i="4"/>
  <c r="S111" i="4"/>
  <c r="Q111" i="4"/>
  <c r="O111" i="4"/>
  <c r="M111" i="4"/>
  <c r="K111" i="4"/>
  <c r="I111" i="4"/>
  <c r="G111" i="4"/>
  <c r="E111" i="4"/>
  <c r="C111" i="4"/>
  <c r="AK110" i="4"/>
  <c r="AL110" i="4" s="1"/>
  <c r="AI110" i="4"/>
  <c r="AH110" i="4"/>
  <c r="AG110" i="4"/>
  <c r="AF110" i="4"/>
  <c r="AD110" i="4"/>
  <c r="AE110" i="4" s="1"/>
  <c r="AB110" i="4"/>
  <c r="AC110" i="4" s="1"/>
  <c r="AA110" i="4"/>
  <c r="Y110" i="4"/>
  <c r="W110" i="4"/>
  <c r="U110" i="4"/>
  <c r="S110" i="4"/>
  <c r="Q110" i="4"/>
  <c r="O110" i="4"/>
  <c r="M110" i="4"/>
  <c r="K110" i="4"/>
  <c r="I110" i="4"/>
  <c r="G110" i="4"/>
  <c r="E110" i="4"/>
  <c r="C110" i="4"/>
  <c r="AB105" i="4"/>
  <c r="AC105" i="4" s="1"/>
  <c r="AA105" i="4"/>
  <c r="Z105" i="4"/>
  <c r="X105" i="4"/>
  <c r="W105" i="4"/>
  <c r="V105" i="4"/>
  <c r="T105" i="4"/>
  <c r="U105" i="4" s="1"/>
  <c r="R105" i="4"/>
  <c r="S105" i="4" s="1"/>
  <c r="Q105" i="4"/>
  <c r="P105" i="4"/>
  <c r="N105" i="4"/>
  <c r="O105" i="4" s="1"/>
  <c r="L105" i="4"/>
  <c r="M105" i="4" s="1"/>
  <c r="J105" i="4"/>
  <c r="H105" i="4"/>
  <c r="I105" i="4" s="1"/>
  <c r="G105" i="4"/>
  <c r="F105" i="4"/>
  <c r="D105" i="4"/>
  <c r="E105" i="4" s="1"/>
  <c r="B105" i="4"/>
  <c r="C105" i="4" s="1"/>
  <c r="AK104" i="4"/>
  <c r="AL104" i="4" s="1"/>
  <c r="AI104" i="4"/>
  <c r="AG104" i="4"/>
  <c r="AH104" i="4" s="1"/>
  <c r="AE104" i="4"/>
  <c r="AD104" i="4"/>
  <c r="AB104" i="4"/>
  <c r="AF104" i="4" s="1"/>
  <c r="AA104" i="4"/>
  <c r="Y104" i="4"/>
  <c r="W104" i="4"/>
  <c r="U104" i="4"/>
  <c r="S104" i="4"/>
  <c r="Q104" i="4"/>
  <c r="O104" i="4"/>
  <c r="M104" i="4"/>
  <c r="K104" i="4"/>
  <c r="I104" i="4"/>
  <c r="G104" i="4"/>
  <c r="E104" i="4"/>
  <c r="C104" i="4"/>
  <c r="AB99" i="4"/>
  <c r="AF99" i="4" s="1"/>
  <c r="Z99" i="4"/>
  <c r="AA99" i="4" s="1"/>
  <c r="Y99" i="4"/>
  <c r="X99" i="4"/>
  <c r="V99" i="4"/>
  <c r="W99" i="4" s="1"/>
  <c r="T99" i="4"/>
  <c r="U99" i="4" s="1"/>
  <c r="R99" i="4"/>
  <c r="S99" i="4" s="1"/>
  <c r="P99" i="4"/>
  <c r="Q99" i="4" s="1"/>
  <c r="N99" i="4"/>
  <c r="O99" i="4" s="1"/>
  <c r="L99" i="4"/>
  <c r="M99" i="4" s="1"/>
  <c r="K99" i="4"/>
  <c r="J99" i="4"/>
  <c r="I99" i="4"/>
  <c r="H99" i="4"/>
  <c r="F99" i="4"/>
  <c r="G99" i="4" s="1"/>
  <c r="E99" i="4"/>
  <c r="D99" i="4"/>
  <c r="B99" i="4"/>
  <c r="C99" i="4" s="1"/>
  <c r="AG98" i="4"/>
  <c r="AF98" i="4"/>
  <c r="AD98" i="4"/>
  <c r="AE98" i="4" s="1"/>
  <c r="AC98" i="4"/>
  <c r="AB98" i="4"/>
  <c r="AA98" i="4"/>
  <c r="Y98" i="4"/>
  <c r="W98" i="4"/>
  <c r="U98" i="4"/>
  <c r="S98" i="4"/>
  <c r="Q98" i="4"/>
  <c r="O98" i="4"/>
  <c r="M98" i="4"/>
  <c r="K98" i="4"/>
  <c r="I98" i="4"/>
  <c r="G98" i="4"/>
  <c r="E98" i="4"/>
  <c r="C98" i="4"/>
  <c r="AK97" i="4"/>
  <c r="AL97" i="4" s="1"/>
  <c r="AH97" i="4"/>
  <c r="AG97" i="4"/>
  <c r="AI97" i="4" s="1"/>
  <c r="AB97" i="4"/>
  <c r="AA97" i="4"/>
  <c r="Y97" i="4"/>
  <c r="W97" i="4"/>
  <c r="U97" i="4"/>
  <c r="S97" i="4"/>
  <c r="Q97" i="4"/>
  <c r="O97" i="4"/>
  <c r="M97" i="4"/>
  <c r="K97" i="4"/>
  <c r="I97" i="4"/>
  <c r="G97" i="4"/>
  <c r="E97" i="4"/>
  <c r="C97" i="4"/>
  <c r="AH96" i="4"/>
  <c r="AG96" i="4"/>
  <c r="AF96" i="4"/>
  <c r="AE96" i="4"/>
  <c r="AD96" i="4"/>
  <c r="AC96" i="4"/>
  <c r="AB96" i="4"/>
  <c r="AA96" i="4"/>
  <c r="Y96" i="4"/>
  <c r="W96" i="4"/>
  <c r="U96" i="4"/>
  <c r="S96" i="4"/>
  <c r="Q96" i="4"/>
  <c r="O96" i="4"/>
  <c r="M96" i="4"/>
  <c r="K96" i="4"/>
  <c r="I96" i="4"/>
  <c r="G96" i="4"/>
  <c r="E96" i="4"/>
  <c r="C96" i="4"/>
  <c r="AK95" i="4"/>
  <c r="AL95" i="4" s="1"/>
  <c r="AG95" i="4"/>
  <c r="AI95" i="4" s="1"/>
  <c r="AF95" i="4"/>
  <c r="AE95" i="4"/>
  <c r="AD95" i="4"/>
  <c r="AB95" i="4"/>
  <c r="AC95" i="4" s="1"/>
  <c r="AA95" i="4"/>
  <c r="Y95" i="4"/>
  <c r="W95" i="4"/>
  <c r="U95" i="4"/>
  <c r="S95" i="4"/>
  <c r="Q95" i="4"/>
  <c r="O95" i="4"/>
  <c r="M95" i="4"/>
  <c r="K95" i="4"/>
  <c r="I95" i="4"/>
  <c r="G95" i="4"/>
  <c r="E95" i="4"/>
  <c r="C95" i="4"/>
  <c r="AG94" i="4"/>
  <c r="AF94" i="4"/>
  <c r="AE94" i="4"/>
  <c r="AD94" i="4"/>
  <c r="AC94" i="4"/>
  <c r="AB94" i="4"/>
  <c r="AA94" i="4"/>
  <c r="Y94" i="4"/>
  <c r="W94" i="4"/>
  <c r="U94" i="4"/>
  <c r="S94" i="4"/>
  <c r="Q94" i="4"/>
  <c r="O94" i="4"/>
  <c r="M94" i="4"/>
  <c r="K94" i="4"/>
  <c r="I94" i="4"/>
  <c r="G94" i="4"/>
  <c r="E94" i="4"/>
  <c r="C94" i="4"/>
  <c r="AG93" i="4"/>
  <c r="AF93" i="4"/>
  <c r="AC93" i="4"/>
  <c r="AB93" i="4"/>
  <c r="AD93" i="4" s="1"/>
  <c r="AE93" i="4" s="1"/>
  <c r="AA93" i="4"/>
  <c r="Y93" i="4"/>
  <c r="W93" i="4"/>
  <c r="U93" i="4"/>
  <c r="S93" i="4"/>
  <c r="Q93" i="4"/>
  <c r="O93" i="4"/>
  <c r="M93" i="4"/>
  <c r="K93" i="4"/>
  <c r="I93" i="4"/>
  <c r="G93" i="4"/>
  <c r="E93" i="4"/>
  <c r="C93" i="4"/>
  <c r="AK92" i="4"/>
  <c r="AL92" i="4" s="1"/>
  <c r="AG92" i="4"/>
  <c r="AI92" i="4" s="1"/>
  <c r="AF92" i="4"/>
  <c r="AE92" i="4"/>
  <c r="AD92" i="4"/>
  <c r="AC92" i="4"/>
  <c r="AB92" i="4"/>
  <c r="AA92" i="4"/>
  <c r="Y92" i="4"/>
  <c r="W92" i="4"/>
  <c r="U92" i="4"/>
  <c r="S92" i="4"/>
  <c r="Q92" i="4"/>
  <c r="O92" i="4"/>
  <c r="M92" i="4"/>
  <c r="K92" i="4"/>
  <c r="I92" i="4"/>
  <c r="G92" i="4"/>
  <c r="E92" i="4"/>
  <c r="C92" i="4"/>
  <c r="AG91" i="4"/>
  <c r="AI91" i="4" s="1"/>
  <c r="AC91" i="4"/>
  <c r="AB91" i="4"/>
  <c r="AA91" i="4"/>
  <c r="Y91" i="4"/>
  <c r="W91" i="4"/>
  <c r="U91" i="4"/>
  <c r="S91" i="4"/>
  <c r="Q91" i="4"/>
  <c r="O91" i="4"/>
  <c r="M91" i="4"/>
  <c r="K91" i="4"/>
  <c r="I91" i="4"/>
  <c r="G91" i="4"/>
  <c r="E91" i="4"/>
  <c r="C91" i="4"/>
  <c r="AK90" i="4"/>
  <c r="AL90" i="4" s="1"/>
  <c r="AI90" i="4"/>
  <c r="AH90" i="4"/>
  <c r="AG90" i="4"/>
  <c r="AF90" i="4"/>
  <c r="AD90" i="4"/>
  <c r="AE90" i="4" s="1"/>
  <c r="AC90" i="4"/>
  <c r="AB90" i="4"/>
  <c r="AA90" i="4"/>
  <c r="Y90" i="4"/>
  <c r="W90" i="4"/>
  <c r="U90" i="4"/>
  <c r="S90" i="4"/>
  <c r="Q90" i="4"/>
  <c r="O90" i="4"/>
  <c r="M90" i="4"/>
  <c r="K90" i="4"/>
  <c r="I90" i="4"/>
  <c r="G90" i="4"/>
  <c r="E90" i="4"/>
  <c r="C90" i="4"/>
  <c r="F87" i="4"/>
  <c r="Z85" i="4"/>
  <c r="AA85" i="4" s="1"/>
  <c r="X85" i="4"/>
  <c r="Y85" i="4" s="1"/>
  <c r="V85" i="4"/>
  <c r="W85" i="4" s="1"/>
  <c r="T85" i="4"/>
  <c r="U85" i="4" s="1"/>
  <c r="R85" i="4"/>
  <c r="AB85" i="4" s="1"/>
  <c r="AF85" i="4" s="1"/>
  <c r="P85" i="4"/>
  <c r="Q85" i="4" s="1"/>
  <c r="N85" i="4"/>
  <c r="O85" i="4" s="1"/>
  <c r="M85" i="4"/>
  <c r="L85" i="4"/>
  <c r="K85" i="4"/>
  <c r="J85" i="4"/>
  <c r="AG85" i="4" s="1"/>
  <c r="H85" i="4"/>
  <c r="I85" i="4" s="1"/>
  <c r="G85" i="4"/>
  <c r="F85" i="4"/>
  <c r="D85" i="4"/>
  <c r="E85" i="4" s="1"/>
  <c r="B85" i="4"/>
  <c r="C85" i="4" s="1"/>
  <c r="Z84" i="4"/>
  <c r="AA84" i="4" s="1"/>
  <c r="X84" i="4"/>
  <c r="V84" i="4"/>
  <c r="W84" i="4" s="1"/>
  <c r="U84" i="4"/>
  <c r="T84" i="4"/>
  <c r="R84" i="4"/>
  <c r="Q84" i="4"/>
  <c r="P84" i="4"/>
  <c r="O84" i="4"/>
  <c r="N84" i="4"/>
  <c r="L84" i="4"/>
  <c r="M84" i="4" s="1"/>
  <c r="J84" i="4"/>
  <c r="I84" i="4"/>
  <c r="H84" i="4"/>
  <c r="F84" i="4"/>
  <c r="G84" i="4" s="1"/>
  <c r="D84" i="4"/>
  <c r="E84" i="4" s="1"/>
  <c r="C84" i="4"/>
  <c r="B84" i="4"/>
  <c r="AG83" i="4"/>
  <c r="AD83" i="4"/>
  <c r="AE83" i="4" s="1"/>
  <c r="AC83" i="4"/>
  <c r="AB83" i="4"/>
  <c r="AF83" i="4" s="1"/>
  <c r="AA83" i="4"/>
  <c r="Y83" i="4"/>
  <c r="W83" i="4"/>
  <c r="U83" i="4"/>
  <c r="S83" i="4"/>
  <c r="Q83" i="4"/>
  <c r="O83" i="4"/>
  <c r="M83" i="4"/>
  <c r="K83" i="4"/>
  <c r="I83" i="4"/>
  <c r="G83" i="4"/>
  <c r="E83" i="4"/>
  <c r="C83" i="4"/>
  <c r="AL82" i="4"/>
  <c r="AK82" i="4"/>
  <c r="AG82" i="4"/>
  <c r="AI82" i="4" s="1"/>
  <c r="AB82" i="4"/>
  <c r="AA82" i="4"/>
  <c r="Y82" i="4"/>
  <c r="W82" i="4"/>
  <c r="U82" i="4"/>
  <c r="S82" i="4"/>
  <c r="Q82" i="4"/>
  <c r="O82" i="4"/>
  <c r="M82" i="4"/>
  <c r="K82" i="4"/>
  <c r="I82" i="4"/>
  <c r="G82" i="4"/>
  <c r="E82" i="4"/>
  <c r="C82" i="4"/>
  <c r="Z81" i="4"/>
  <c r="AA81" i="4" s="1"/>
  <c r="Y81" i="4"/>
  <c r="X81" i="4"/>
  <c r="V81" i="4"/>
  <c r="W81" i="4" s="1"/>
  <c r="T81" i="4"/>
  <c r="R81" i="4"/>
  <c r="S81" i="4" s="1"/>
  <c r="P81" i="4"/>
  <c r="Q81" i="4" s="1"/>
  <c r="N81" i="4"/>
  <c r="O81" i="4" s="1"/>
  <c r="L81" i="4"/>
  <c r="M81" i="4" s="1"/>
  <c r="J81" i="4"/>
  <c r="I81" i="4"/>
  <c r="H81" i="4"/>
  <c r="F81" i="4"/>
  <c r="G81" i="4" s="1"/>
  <c r="D81" i="4"/>
  <c r="E81" i="4" s="1"/>
  <c r="B81" i="4"/>
  <c r="C81" i="4" s="1"/>
  <c r="AK80" i="4"/>
  <c r="AL80" i="4" s="1"/>
  <c r="AI80" i="4"/>
  <c r="AG80" i="4"/>
  <c r="AH80" i="4" s="1"/>
  <c r="AF80" i="4"/>
  <c r="AD80" i="4"/>
  <c r="AE80" i="4" s="1"/>
  <c r="AC80" i="4"/>
  <c r="AB80" i="4"/>
  <c r="AA80" i="4"/>
  <c r="Y80" i="4"/>
  <c r="W80" i="4"/>
  <c r="U80" i="4"/>
  <c r="S80" i="4"/>
  <c r="Q80" i="4"/>
  <c r="O80" i="4"/>
  <c r="M80" i="4"/>
  <c r="K80" i="4"/>
  <c r="I80" i="4"/>
  <c r="G80" i="4"/>
  <c r="E80" i="4"/>
  <c r="C80" i="4"/>
  <c r="AK79" i="4"/>
  <c r="AL79" i="4" s="1"/>
  <c r="AG79" i="4"/>
  <c r="AB79" i="4"/>
  <c r="AA79" i="4"/>
  <c r="Y79" i="4"/>
  <c r="W79" i="4"/>
  <c r="U79" i="4"/>
  <c r="S79" i="4"/>
  <c r="Q79" i="4"/>
  <c r="O79" i="4"/>
  <c r="M79" i="4"/>
  <c r="K79" i="4"/>
  <c r="I79" i="4"/>
  <c r="G79" i="4"/>
  <c r="E79" i="4"/>
  <c r="C79" i="4"/>
  <c r="AH78" i="4"/>
  <c r="AG78" i="4"/>
  <c r="AK78" i="4" s="1"/>
  <c r="AL78" i="4" s="1"/>
  <c r="AF78" i="4"/>
  <c r="AE78" i="4"/>
  <c r="AD78" i="4"/>
  <c r="AB78" i="4"/>
  <c r="AC78" i="4" s="1"/>
  <c r="AA78" i="4"/>
  <c r="Y78" i="4"/>
  <c r="W78" i="4"/>
  <c r="U78" i="4"/>
  <c r="S78" i="4"/>
  <c r="Q78" i="4"/>
  <c r="O78" i="4"/>
  <c r="M78" i="4"/>
  <c r="K78" i="4"/>
  <c r="I78" i="4"/>
  <c r="G78" i="4"/>
  <c r="E78" i="4"/>
  <c r="C78" i="4"/>
  <c r="AL77" i="4"/>
  <c r="AK77" i="4"/>
  <c r="AI77" i="4"/>
  <c r="AH77" i="4"/>
  <c r="AG77" i="4"/>
  <c r="AC77" i="4"/>
  <c r="AB77" i="4"/>
  <c r="AA77" i="4"/>
  <c r="Y77" i="4"/>
  <c r="W77" i="4"/>
  <c r="U77" i="4"/>
  <c r="S77" i="4"/>
  <c r="Q77" i="4"/>
  <c r="O77" i="4"/>
  <c r="M77" i="4"/>
  <c r="K77" i="4"/>
  <c r="I77" i="4"/>
  <c r="G77" i="4"/>
  <c r="E77" i="4"/>
  <c r="C77" i="4"/>
  <c r="AH76" i="4"/>
  <c r="AG76" i="4"/>
  <c r="AF76" i="4"/>
  <c r="AB76" i="4"/>
  <c r="AD76" i="4" s="1"/>
  <c r="AE76" i="4" s="1"/>
  <c r="AA76" i="4"/>
  <c r="Y76" i="4"/>
  <c r="W76" i="4"/>
  <c r="U76" i="4"/>
  <c r="S76" i="4"/>
  <c r="Q76" i="4"/>
  <c r="O76" i="4"/>
  <c r="M76" i="4"/>
  <c r="K76" i="4"/>
  <c r="I76" i="4"/>
  <c r="G76" i="4"/>
  <c r="E76" i="4"/>
  <c r="C76" i="4"/>
  <c r="AK75" i="4"/>
  <c r="AL75" i="4" s="1"/>
  <c r="AI75" i="4"/>
  <c r="AH75" i="4"/>
  <c r="AG75" i="4"/>
  <c r="AB75" i="4"/>
  <c r="AF75" i="4" s="1"/>
  <c r="AA75" i="4"/>
  <c r="Y75" i="4"/>
  <c r="W75" i="4"/>
  <c r="U75" i="4"/>
  <c r="S75" i="4"/>
  <c r="Q75" i="4"/>
  <c r="O75" i="4"/>
  <c r="M75" i="4"/>
  <c r="K75" i="4"/>
  <c r="I75" i="4"/>
  <c r="G75" i="4"/>
  <c r="E75" i="4"/>
  <c r="C75" i="4"/>
  <c r="AI74" i="4"/>
  <c r="AG74" i="4"/>
  <c r="AK74" i="4" s="1"/>
  <c r="AL74" i="4" s="1"/>
  <c r="AF74" i="4"/>
  <c r="AD74" i="4"/>
  <c r="AE74" i="4" s="1"/>
  <c r="AC74" i="4"/>
  <c r="AB74" i="4"/>
  <c r="AA74" i="4"/>
  <c r="Y74" i="4"/>
  <c r="W74" i="4"/>
  <c r="U74" i="4"/>
  <c r="S74" i="4"/>
  <c r="Q74" i="4"/>
  <c r="O74" i="4"/>
  <c r="M74" i="4"/>
  <c r="K74" i="4"/>
  <c r="I74" i="4"/>
  <c r="G74" i="4"/>
  <c r="E74" i="4"/>
  <c r="C74" i="4"/>
  <c r="AG72" i="4"/>
  <c r="AD72" i="4"/>
  <c r="AE72" i="4" s="1"/>
  <c r="AC72" i="4"/>
  <c r="AB72" i="4"/>
  <c r="AF72" i="4" s="1"/>
  <c r="AA72" i="4"/>
  <c r="Y72" i="4"/>
  <c r="W72" i="4"/>
  <c r="U72" i="4"/>
  <c r="S72" i="4"/>
  <c r="Q72" i="4"/>
  <c r="O72" i="4"/>
  <c r="M72" i="4"/>
  <c r="K72" i="4"/>
  <c r="I72" i="4"/>
  <c r="G72" i="4"/>
  <c r="E72" i="4"/>
  <c r="C72" i="4"/>
  <c r="AK71" i="4"/>
  <c r="AL71" i="4" s="1"/>
  <c r="AG71" i="4"/>
  <c r="AF71" i="4"/>
  <c r="AD71" i="4"/>
  <c r="AE71" i="4" s="1"/>
  <c r="AB71" i="4"/>
  <c r="AC71" i="4" s="1"/>
  <c r="AA71" i="4"/>
  <c r="Y71" i="4"/>
  <c r="W71" i="4"/>
  <c r="U71" i="4"/>
  <c r="S71" i="4"/>
  <c r="Q71" i="4"/>
  <c r="O71" i="4"/>
  <c r="M71" i="4"/>
  <c r="K71" i="4"/>
  <c r="I71" i="4"/>
  <c r="G71" i="4"/>
  <c r="E71" i="4"/>
  <c r="C71" i="4"/>
  <c r="Z70" i="4"/>
  <c r="AA70" i="4" s="1"/>
  <c r="X70" i="4"/>
  <c r="V70" i="4"/>
  <c r="W70" i="4" s="1"/>
  <c r="T70" i="4"/>
  <c r="U70" i="4" s="1"/>
  <c r="R70" i="4"/>
  <c r="P70" i="4"/>
  <c r="Q70" i="4" s="1"/>
  <c r="O70" i="4"/>
  <c r="N70" i="4"/>
  <c r="M70" i="4"/>
  <c r="L70" i="4"/>
  <c r="J70" i="4"/>
  <c r="K70" i="4" s="1"/>
  <c r="H70" i="4"/>
  <c r="I70" i="4" s="1"/>
  <c r="F70" i="4"/>
  <c r="G70" i="4" s="1"/>
  <c r="D70" i="4"/>
  <c r="E70" i="4" s="1"/>
  <c r="C70" i="4"/>
  <c r="B70" i="4"/>
  <c r="AK69" i="4"/>
  <c r="AL69" i="4" s="1"/>
  <c r="AI69" i="4"/>
  <c r="AH69" i="4"/>
  <c r="AG69" i="4"/>
  <c r="AB69" i="4"/>
  <c r="AA69" i="4"/>
  <c r="Y69" i="4"/>
  <c r="W69" i="4"/>
  <c r="U69" i="4"/>
  <c r="S69" i="4"/>
  <c r="Q69" i="4"/>
  <c r="O69" i="4"/>
  <c r="M69" i="4"/>
  <c r="K69" i="4"/>
  <c r="I69" i="4"/>
  <c r="G69" i="4"/>
  <c r="E69" i="4"/>
  <c r="C69" i="4"/>
  <c r="AK68" i="4"/>
  <c r="AL68" i="4" s="1"/>
  <c r="AG68" i="4"/>
  <c r="AI68" i="4" s="1"/>
  <c r="AF68" i="4"/>
  <c r="AD68" i="4"/>
  <c r="AE68" i="4" s="1"/>
  <c r="AB68" i="4"/>
  <c r="AC68" i="4" s="1"/>
  <c r="AA68" i="4"/>
  <c r="Y68" i="4"/>
  <c r="W68" i="4"/>
  <c r="U68" i="4"/>
  <c r="S68" i="4"/>
  <c r="Q68" i="4"/>
  <c r="O68" i="4"/>
  <c r="M68" i="4"/>
  <c r="K68" i="4"/>
  <c r="I68" i="4"/>
  <c r="G68" i="4"/>
  <c r="E68" i="4"/>
  <c r="C68" i="4"/>
  <c r="AL67" i="4"/>
  <c r="AK67" i="4"/>
  <c r="AI67" i="4"/>
  <c r="AH67" i="4"/>
  <c r="AG67" i="4"/>
  <c r="AB67" i="4"/>
  <c r="AA67" i="4"/>
  <c r="Y67" i="4"/>
  <c r="W67" i="4"/>
  <c r="U67" i="4"/>
  <c r="S67" i="4"/>
  <c r="Q67" i="4"/>
  <c r="O67" i="4"/>
  <c r="M67" i="4"/>
  <c r="K67" i="4"/>
  <c r="I67" i="4"/>
  <c r="G67" i="4"/>
  <c r="E67" i="4"/>
  <c r="C67" i="4"/>
  <c r="AH66" i="4"/>
  <c r="AG66" i="4"/>
  <c r="AK66" i="4" s="1"/>
  <c r="AL66" i="4" s="1"/>
  <c r="AF66" i="4"/>
  <c r="AD66" i="4"/>
  <c r="AE66" i="4" s="1"/>
  <c r="AB66" i="4"/>
  <c r="AC66" i="4" s="1"/>
  <c r="AA66" i="4"/>
  <c r="Y66" i="4"/>
  <c r="W66" i="4"/>
  <c r="U66" i="4"/>
  <c r="S66" i="4"/>
  <c r="Q66" i="4"/>
  <c r="O66" i="4"/>
  <c r="M66" i="4"/>
  <c r="K66" i="4"/>
  <c r="I66" i="4"/>
  <c r="G66" i="4"/>
  <c r="E66" i="4"/>
  <c r="C66" i="4"/>
  <c r="AL65" i="4"/>
  <c r="AK65" i="4"/>
  <c r="AI65" i="4"/>
  <c r="AH65" i="4"/>
  <c r="AG65" i="4"/>
  <c r="AD65" i="4"/>
  <c r="AE65" i="4" s="1"/>
  <c r="AC65" i="4"/>
  <c r="AB65" i="4"/>
  <c r="AF65" i="4" s="1"/>
  <c r="AA65" i="4"/>
  <c r="Y65" i="4"/>
  <c r="W65" i="4"/>
  <c r="U65" i="4"/>
  <c r="S65" i="4"/>
  <c r="Q65" i="4"/>
  <c r="O65" i="4"/>
  <c r="M65" i="4"/>
  <c r="K65" i="4"/>
  <c r="I65" i="4"/>
  <c r="G65" i="4"/>
  <c r="E65" i="4"/>
  <c r="C65" i="4"/>
  <c r="AL63" i="4"/>
  <c r="AK63" i="4"/>
  <c r="AG63" i="4"/>
  <c r="AI63" i="4" s="1"/>
  <c r="AF63" i="4"/>
  <c r="AB63" i="4"/>
  <c r="AD63" i="4" s="1"/>
  <c r="AE63" i="4" s="1"/>
  <c r="AA63" i="4"/>
  <c r="Y63" i="4"/>
  <c r="W63" i="4"/>
  <c r="U63" i="4"/>
  <c r="S63" i="4"/>
  <c r="Q63" i="4"/>
  <c r="O63" i="4"/>
  <c r="M63" i="4"/>
  <c r="K63" i="4"/>
  <c r="I63" i="4"/>
  <c r="G63" i="4"/>
  <c r="E63" i="4"/>
  <c r="C63" i="4"/>
  <c r="R59" i="4"/>
  <c r="L59" i="4"/>
  <c r="L87" i="4" s="1"/>
  <c r="I59" i="4"/>
  <c r="H59" i="4"/>
  <c r="H87" i="4" s="1"/>
  <c r="F59" i="4"/>
  <c r="G59" i="4" s="1"/>
  <c r="AA57" i="4"/>
  <c r="Z57" i="4"/>
  <c r="Y57" i="4"/>
  <c r="X57" i="4"/>
  <c r="W57" i="4"/>
  <c r="V57" i="4"/>
  <c r="T57" i="4"/>
  <c r="U57" i="4" s="1"/>
  <c r="R57" i="4"/>
  <c r="P57" i="4"/>
  <c r="Q57" i="4" s="1"/>
  <c r="O57" i="4"/>
  <c r="N57" i="4"/>
  <c r="M57" i="4"/>
  <c r="L57" i="4"/>
  <c r="J57" i="4"/>
  <c r="K57" i="4" s="1"/>
  <c r="H57" i="4"/>
  <c r="I57" i="4" s="1"/>
  <c r="G57" i="4"/>
  <c r="F57" i="4"/>
  <c r="D57" i="4"/>
  <c r="E57" i="4" s="1"/>
  <c r="B57" i="4"/>
  <c r="C57" i="4" s="1"/>
  <c r="AA56" i="4"/>
  <c r="Z56" i="4"/>
  <c r="X56" i="4"/>
  <c r="V56" i="4"/>
  <c r="T56" i="4"/>
  <c r="U56" i="4" s="1"/>
  <c r="R56" i="4"/>
  <c r="S56" i="4" s="1"/>
  <c r="P56" i="4"/>
  <c r="Q56" i="4" s="1"/>
  <c r="N56" i="4"/>
  <c r="O56" i="4" s="1"/>
  <c r="M56" i="4"/>
  <c r="L56" i="4"/>
  <c r="K56" i="4"/>
  <c r="J56" i="4"/>
  <c r="H56" i="4"/>
  <c r="I56" i="4" s="1"/>
  <c r="F56" i="4"/>
  <c r="G56" i="4" s="1"/>
  <c r="E56" i="4"/>
  <c r="D56" i="4"/>
  <c r="B56" i="4"/>
  <c r="C56" i="4" s="1"/>
  <c r="AG55" i="4"/>
  <c r="AC55" i="4"/>
  <c r="AB55" i="4"/>
  <c r="AA55" i="4"/>
  <c r="Y55" i="4"/>
  <c r="W55" i="4"/>
  <c r="U55" i="4"/>
  <c r="S55" i="4"/>
  <c r="Q55" i="4"/>
  <c r="O55" i="4"/>
  <c r="M55" i="4"/>
  <c r="K55" i="4"/>
  <c r="I55" i="4"/>
  <c r="G55" i="4"/>
  <c r="E55" i="4"/>
  <c r="C55" i="4"/>
  <c r="AK54" i="4"/>
  <c r="AL54" i="4" s="1"/>
  <c r="AI54" i="4"/>
  <c r="AH54" i="4"/>
  <c r="AG54" i="4"/>
  <c r="AD54" i="4"/>
  <c r="AE54" i="4" s="1"/>
  <c r="AB54" i="4"/>
  <c r="AF54" i="4" s="1"/>
  <c r="AA54" i="4"/>
  <c r="Y54" i="4"/>
  <c r="W54" i="4"/>
  <c r="U54" i="4"/>
  <c r="S54" i="4"/>
  <c r="Q54" i="4"/>
  <c r="O54" i="4"/>
  <c r="M54" i="4"/>
  <c r="K54" i="4"/>
  <c r="I54" i="4"/>
  <c r="G54" i="4"/>
  <c r="E54" i="4"/>
  <c r="C54" i="4"/>
  <c r="AL53" i="4"/>
  <c r="AK53" i="4"/>
  <c r="AI53" i="4"/>
  <c r="AG53" i="4"/>
  <c r="AH53" i="4" s="1"/>
  <c r="AC53" i="4"/>
  <c r="AB53" i="4"/>
  <c r="AA53" i="4"/>
  <c r="Y53" i="4"/>
  <c r="W53" i="4"/>
  <c r="U53" i="4"/>
  <c r="S53" i="4"/>
  <c r="Q53" i="4"/>
  <c r="O53" i="4"/>
  <c r="M53" i="4"/>
  <c r="K53" i="4"/>
  <c r="I53" i="4"/>
  <c r="G53" i="4"/>
  <c r="E53" i="4"/>
  <c r="C53" i="4"/>
  <c r="AD52" i="4"/>
  <c r="AE52" i="4" s="1"/>
  <c r="AB52" i="4"/>
  <c r="Z52" i="4"/>
  <c r="AA52" i="4" s="1"/>
  <c r="Y52" i="4"/>
  <c r="X52" i="4"/>
  <c r="V52" i="4"/>
  <c r="W52" i="4" s="1"/>
  <c r="T52" i="4"/>
  <c r="U52" i="4" s="1"/>
  <c r="S52" i="4"/>
  <c r="R52" i="4"/>
  <c r="P52" i="4"/>
  <c r="Q52" i="4" s="1"/>
  <c r="N52" i="4"/>
  <c r="O52" i="4" s="1"/>
  <c r="M52" i="4"/>
  <c r="L52" i="4"/>
  <c r="K52" i="4"/>
  <c r="J52" i="4"/>
  <c r="AG52" i="4" s="1"/>
  <c r="I52" i="4"/>
  <c r="H52" i="4"/>
  <c r="F52" i="4"/>
  <c r="G52" i="4" s="1"/>
  <c r="D52" i="4"/>
  <c r="E52" i="4" s="1"/>
  <c r="C52" i="4"/>
  <c r="B52" i="4"/>
  <c r="AG51" i="4"/>
  <c r="AK51" i="4" s="1"/>
  <c r="AL51" i="4" s="1"/>
  <c r="AF51" i="4"/>
  <c r="AD51" i="4"/>
  <c r="AE51" i="4" s="1"/>
  <c r="AC51" i="4"/>
  <c r="AB51" i="4"/>
  <c r="AA51" i="4"/>
  <c r="Y51" i="4"/>
  <c r="W51" i="4"/>
  <c r="U51" i="4"/>
  <c r="S51" i="4"/>
  <c r="Q51" i="4"/>
  <c r="O51" i="4"/>
  <c r="M51" i="4"/>
  <c r="K51" i="4"/>
  <c r="I51" i="4"/>
  <c r="G51" i="4"/>
  <c r="E51" i="4"/>
  <c r="C51" i="4"/>
  <c r="AH50" i="4"/>
  <c r="AG50" i="4"/>
  <c r="AD50" i="4"/>
  <c r="AE50" i="4" s="1"/>
  <c r="AC50" i="4"/>
  <c r="AB50" i="4"/>
  <c r="AF50" i="4" s="1"/>
  <c r="AA50" i="4"/>
  <c r="Y50" i="4"/>
  <c r="W50" i="4"/>
  <c r="U50" i="4"/>
  <c r="S50" i="4"/>
  <c r="Q50" i="4"/>
  <c r="O50" i="4"/>
  <c r="M50" i="4"/>
  <c r="K50" i="4"/>
  <c r="I50" i="4"/>
  <c r="G50" i="4"/>
  <c r="E50" i="4"/>
  <c r="C50" i="4"/>
  <c r="AG49" i="4"/>
  <c r="AF49" i="4"/>
  <c r="AE49" i="4"/>
  <c r="AD49" i="4"/>
  <c r="AC49" i="4"/>
  <c r="AB49" i="4"/>
  <c r="AA49" i="4"/>
  <c r="Y49" i="4"/>
  <c r="W49" i="4"/>
  <c r="U49" i="4"/>
  <c r="S49" i="4"/>
  <c r="Q49" i="4"/>
  <c r="O49" i="4"/>
  <c r="M49" i="4"/>
  <c r="K49" i="4"/>
  <c r="I49" i="4"/>
  <c r="G49" i="4"/>
  <c r="E49" i="4"/>
  <c r="C49" i="4"/>
  <c r="AG48" i="4"/>
  <c r="AB48" i="4"/>
  <c r="AA48" i="4"/>
  <c r="Y48" i="4"/>
  <c r="W48" i="4"/>
  <c r="U48" i="4"/>
  <c r="S48" i="4"/>
  <c r="Q48" i="4"/>
  <c r="O48" i="4"/>
  <c r="M48" i="4"/>
  <c r="K48" i="4"/>
  <c r="I48" i="4"/>
  <c r="G48" i="4"/>
  <c r="E48" i="4"/>
  <c r="C48" i="4"/>
  <c r="AK47" i="4"/>
  <c r="AL47" i="4" s="1"/>
  <c r="AI47" i="4"/>
  <c r="AG47" i="4"/>
  <c r="AH47" i="4" s="1"/>
  <c r="AF47" i="4"/>
  <c r="AD47" i="4"/>
  <c r="AE47" i="4" s="1"/>
  <c r="AC47" i="4"/>
  <c r="AB47" i="4"/>
  <c r="AA47" i="4"/>
  <c r="Y47" i="4"/>
  <c r="W47" i="4"/>
  <c r="U47" i="4"/>
  <c r="S47" i="4"/>
  <c r="Q47" i="4"/>
  <c r="O47" i="4"/>
  <c r="M47" i="4"/>
  <c r="K47" i="4"/>
  <c r="I47" i="4"/>
  <c r="G47" i="4"/>
  <c r="E47" i="4"/>
  <c r="C47" i="4"/>
  <c r="AH46" i="4"/>
  <c r="AG46" i="4"/>
  <c r="AF46" i="4"/>
  <c r="AD46" i="4"/>
  <c r="AE46" i="4" s="1"/>
  <c r="AB46" i="4"/>
  <c r="AC46" i="4" s="1"/>
  <c r="AA46" i="4"/>
  <c r="Y46" i="4"/>
  <c r="W46" i="4"/>
  <c r="U46" i="4"/>
  <c r="S46" i="4"/>
  <c r="Q46" i="4"/>
  <c r="O46" i="4"/>
  <c r="M46" i="4"/>
  <c r="K46" i="4"/>
  <c r="I46" i="4"/>
  <c r="G46" i="4"/>
  <c r="E46" i="4"/>
  <c r="C46" i="4"/>
  <c r="Z44" i="4"/>
  <c r="AA44" i="4" s="1"/>
  <c r="X44" i="4"/>
  <c r="Y44" i="4" s="1"/>
  <c r="V44" i="4"/>
  <c r="W44" i="4" s="1"/>
  <c r="U44" i="4"/>
  <c r="T44" i="4"/>
  <c r="S44" i="4"/>
  <c r="R44" i="4"/>
  <c r="P44" i="4"/>
  <c r="Q44" i="4" s="1"/>
  <c r="N44" i="4"/>
  <c r="O44" i="4" s="1"/>
  <c r="M44" i="4"/>
  <c r="L44" i="4"/>
  <c r="J44" i="4"/>
  <c r="H44" i="4"/>
  <c r="I44" i="4" s="1"/>
  <c r="F44" i="4"/>
  <c r="G44" i="4" s="1"/>
  <c r="D44" i="4"/>
  <c r="E44" i="4" s="1"/>
  <c r="B44" i="4"/>
  <c r="C44" i="4" s="1"/>
  <c r="AL43" i="4"/>
  <c r="AK43" i="4"/>
  <c r="AI43" i="4"/>
  <c r="AH43" i="4"/>
  <c r="AG43" i="4"/>
  <c r="AE43" i="4"/>
  <c r="AD43" i="4"/>
  <c r="AB43" i="4"/>
  <c r="AF43" i="4" s="1"/>
  <c r="AA43" i="4"/>
  <c r="Y43" i="4"/>
  <c r="W43" i="4"/>
  <c r="U43" i="4"/>
  <c r="S43" i="4"/>
  <c r="Q43" i="4"/>
  <c r="O43" i="4"/>
  <c r="M43" i="4"/>
  <c r="K43" i="4"/>
  <c r="I43" i="4"/>
  <c r="G43" i="4"/>
  <c r="E43" i="4"/>
  <c r="C43" i="4"/>
  <c r="AG42" i="4"/>
  <c r="AF42" i="4"/>
  <c r="AB42" i="4"/>
  <c r="AA42" i="4"/>
  <c r="Y42" i="4"/>
  <c r="W42" i="4"/>
  <c r="U42" i="4"/>
  <c r="S42" i="4"/>
  <c r="Q42" i="4"/>
  <c r="O42" i="4"/>
  <c r="M42" i="4"/>
  <c r="K42" i="4"/>
  <c r="I42" i="4"/>
  <c r="G42" i="4"/>
  <c r="E42" i="4"/>
  <c r="C42" i="4"/>
  <c r="AK41" i="4"/>
  <c r="AL41" i="4" s="1"/>
  <c r="AI41" i="4"/>
  <c r="AH41" i="4"/>
  <c r="AG41" i="4"/>
  <c r="AE41" i="4"/>
  <c r="AD41" i="4"/>
  <c r="AC41" i="4"/>
  <c r="AB41" i="4"/>
  <c r="AF41" i="4" s="1"/>
  <c r="AA41" i="4"/>
  <c r="Y41" i="4"/>
  <c r="W41" i="4"/>
  <c r="U41" i="4"/>
  <c r="S41" i="4"/>
  <c r="Q41" i="4"/>
  <c r="O41" i="4"/>
  <c r="M41" i="4"/>
  <c r="K41" i="4"/>
  <c r="I41" i="4"/>
  <c r="G41" i="4"/>
  <c r="E41" i="4"/>
  <c r="C41" i="4"/>
  <c r="AG40" i="4"/>
  <c r="AI40" i="4" s="1"/>
  <c r="AB40" i="4"/>
  <c r="AA40" i="4"/>
  <c r="Y40" i="4"/>
  <c r="W40" i="4"/>
  <c r="U40" i="4"/>
  <c r="S40" i="4"/>
  <c r="Q40" i="4"/>
  <c r="O40" i="4"/>
  <c r="M40" i="4"/>
  <c r="K40" i="4"/>
  <c r="I40" i="4"/>
  <c r="G40" i="4"/>
  <c r="E40" i="4"/>
  <c r="C40" i="4"/>
  <c r="AK39" i="4"/>
  <c r="AL39" i="4" s="1"/>
  <c r="AI39" i="4"/>
  <c r="AH39" i="4"/>
  <c r="AG39" i="4"/>
  <c r="AD39" i="4"/>
  <c r="AE39" i="4" s="1"/>
  <c r="AC39" i="4"/>
  <c r="AB39" i="4"/>
  <c r="AF39" i="4" s="1"/>
  <c r="AA39" i="4"/>
  <c r="Y39" i="4"/>
  <c r="W39" i="4"/>
  <c r="U39" i="4"/>
  <c r="S39" i="4"/>
  <c r="Q39" i="4"/>
  <c r="O39" i="4"/>
  <c r="M39" i="4"/>
  <c r="K39" i="4"/>
  <c r="I39" i="4"/>
  <c r="G39" i="4"/>
  <c r="E39" i="4"/>
  <c r="C39" i="4"/>
  <c r="AL37" i="4"/>
  <c r="AK37" i="4"/>
  <c r="AG37" i="4"/>
  <c r="AF37" i="4"/>
  <c r="AB37" i="4"/>
  <c r="AC37" i="4" s="1"/>
  <c r="AA37" i="4"/>
  <c r="Y37" i="4"/>
  <c r="W37" i="4"/>
  <c r="U37" i="4"/>
  <c r="S37" i="4"/>
  <c r="Q37" i="4"/>
  <c r="O37" i="4"/>
  <c r="M37" i="4"/>
  <c r="K37" i="4"/>
  <c r="I37" i="4"/>
  <c r="G37" i="4"/>
  <c r="E37" i="4"/>
  <c r="C37" i="4"/>
  <c r="AA35" i="4"/>
  <c r="Z35" i="4"/>
  <c r="Y35" i="4"/>
  <c r="X35" i="4"/>
  <c r="V35" i="4"/>
  <c r="W35" i="4" s="1"/>
  <c r="U35" i="4"/>
  <c r="T35" i="4"/>
  <c r="AB35" i="4" s="1"/>
  <c r="S35" i="4"/>
  <c r="R35" i="4"/>
  <c r="P35" i="4"/>
  <c r="Q35" i="4" s="1"/>
  <c r="N35" i="4"/>
  <c r="O35" i="4" s="1"/>
  <c r="L35" i="4"/>
  <c r="M35" i="4" s="1"/>
  <c r="J35" i="4"/>
  <c r="H35" i="4"/>
  <c r="I35" i="4" s="1"/>
  <c r="F35" i="4"/>
  <c r="G35" i="4" s="1"/>
  <c r="D35" i="4"/>
  <c r="E35" i="4" s="1"/>
  <c r="C35" i="4"/>
  <c r="B35" i="4"/>
  <c r="AA34" i="4"/>
  <c r="Z34" i="4"/>
  <c r="X34" i="4"/>
  <c r="W34" i="4"/>
  <c r="V34" i="4"/>
  <c r="T34" i="4"/>
  <c r="U34" i="4" s="1"/>
  <c r="R34" i="4"/>
  <c r="Q34" i="4"/>
  <c r="P34" i="4"/>
  <c r="O34" i="4"/>
  <c r="N34" i="4"/>
  <c r="L34" i="4"/>
  <c r="M34" i="4" s="1"/>
  <c r="J34" i="4"/>
  <c r="K34" i="4" s="1"/>
  <c r="H34" i="4"/>
  <c r="I34" i="4" s="1"/>
  <c r="G34" i="4"/>
  <c r="F34" i="4"/>
  <c r="D34" i="4"/>
  <c r="E34" i="4" s="1"/>
  <c r="C34" i="4"/>
  <c r="B34" i="4"/>
  <c r="AL33" i="4"/>
  <c r="AH33" i="4"/>
  <c r="AG33" i="4"/>
  <c r="AK33" i="4" s="1"/>
  <c r="AF33" i="4"/>
  <c r="AD33" i="4"/>
  <c r="AE33" i="4" s="1"/>
  <c r="AC33" i="4"/>
  <c r="AB33" i="4"/>
  <c r="AA33" i="4"/>
  <c r="Y33" i="4"/>
  <c r="W33" i="4"/>
  <c r="U33" i="4"/>
  <c r="S33" i="4"/>
  <c r="Q33" i="4"/>
  <c r="O33" i="4"/>
  <c r="M33" i="4"/>
  <c r="K33" i="4"/>
  <c r="I33" i="4"/>
  <c r="G33" i="4"/>
  <c r="E33" i="4"/>
  <c r="C33" i="4"/>
  <c r="AG32" i="4"/>
  <c r="AF32" i="4"/>
  <c r="AD32" i="4"/>
  <c r="AE32" i="4" s="1"/>
  <c r="AC32" i="4"/>
  <c r="AB32" i="4"/>
  <c r="AA32" i="4"/>
  <c r="Y32" i="4"/>
  <c r="W32" i="4"/>
  <c r="U32" i="4"/>
  <c r="S32" i="4"/>
  <c r="Q32" i="4"/>
  <c r="O32" i="4"/>
  <c r="M32" i="4"/>
  <c r="K32" i="4"/>
  <c r="I32" i="4"/>
  <c r="G32" i="4"/>
  <c r="E32" i="4"/>
  <c r="C32" i="4"/>
  <c r="AK31" i="4"/>
  <c r="AL31" i="4" s="1"/>
  <c r="AG31" i="4"/>
  <c r="AF31" i="4"/>
  <c r="AE31" i="4"/>
  <c r="AD31" i="4"/>
  <c r="AC31" i="4"/>
  <c r="AB31" i="4"/>
  <c r="AA31" i="4"/>
  <c r="Y31" i="4"/>
  <c r="W31" i="4"/>
  <c r="U31" i="4"/>
  <c r="S31" i="4"/>
  <c r="Q31" i="4"/>
  <c r="O31" i="4"/>
  <c r="M31" i="4"/>
  <c r="K31" i="4"/>
  <c r="I31" i="4"/>
  <c r="G31" i="4"/>
  <c r="E31" i="4"/>
  <c r="C31" i="4"/>
  <c r="AL30" i="4"/>
  <c r="AK30" i="4"/>
  <c r="AG30" i="4"/>
  <c r="AB30" i="4"/>
  <c r="AD30" i="4" s="1"/>
  <c r="AE30" i="4" s="1"/>
  <c r="AA30" i="4"/>
  <c r="Y30" i="4"/>
  <c r="W30" i="4"/>
  <c r="U30" i="4"/>
  <c r="S30" i="4"/>
  <c r="Q30" i="4"/>
  <c r="O30" i="4"/>
  <c r="M30" i="4"/>
  <c r="K30" i="4"/>
  <c r="I30" i="4"/>
  <c r="G30" i="4"/>
  <c r="E30" i="4"/>
  <c r="C30" i="4"/>
  <c r="AK29" i="4"/>
  <c r="AL29" i="4" s="1"/>
  <c r="AI29" i="4"/>
  <c r="AH29" i="4"/>
  <c r="AG29" i="4"/>
  <c r="AF29" i="4"/>
  <c r="AD29" i="4"/>
  <c r="AE29" i="4" s="1"/>
  <c r="AC29" i="4"/>
  <c r="AB29" i="4"/>
  <c r="AA29" i="4"/>
  <c r="Y29" i="4"/>
  <c r="W29" i="4"/>
  <c r="U29" i="4"/>
  <c r="S29" i="4"/>
  <c r="Q29" i="4"/>
  <c r="O29" i="4"/>
  <c r="M29" i="4"/>
  <c r="K29" i="4"/>
  <c r="I29" i="4"/>
  <c r="G29" i="4"/>
  <c r="E29" i="4"/>
  <c r="C29" i="4"/>
  <c r="AF27" i="4"/>
  <c r="AE27" i="4"/>
  <c r="AD27" i="4"/>
  <c r="AC27" i="4"/>
  <c r="Z27" i="4"/>
  <c r="AA27" i="4" s="1"/>
  <c r="Y27" i="4"/>
  <c r="X27" i="4"/>
  <c r="W27" i="4"/>
  <c r="V27" i="4"/>
  <c r="AB27" i="4" s="1"/>
  <c r="U27" i="4"/>
  <c r="T27" i="4"/>
  <c r="R27" i="4"/>
  <c r="S27" i="4" s="1"/>
  <c r="P27" i="4"/>
  <c r="Q27" i="4" s="1"/>
  <c r="N27" i="4"/>
  <c r="O27" i="4" s="1"/>
  <c r="M27" i="4"/>
  <c r="L27" i="4"/>
  <c r="J27" i="4"/>
  <c r="K27" i="4" s="1"/>
  <c r="H27" i="4"/>
  <c r="I27" i="4" s="1"/>
  <c r="G27" i="4"/>
  <c r="F27" i="4"/>
  <c r="E27" i="4"/>
  <c r="D27" i="4"/>
  <c r="B27" i="4"/>
  <c r="C27" i="4" s="1"/>
  <c r="AK26" i="4"/>
  <c r="AL26" i="4" s="1"/>
  <c r="AI26" i="4"/>
  <c r="AG26" i="4"/>
  <c r="AH26" i="4" s="1"/>
  <c r="AB26" i="4"/>
  <c r="AA26" i="4"/>
  <c r="Y26" i="4"/>
  <c r="W26" i="4"/>
  <c r="U26" i="4"/>
  <c r="S26" i="4"/>
  <c r="Q26" i="4"/>
  <c r="O26" i="4"/>
  <c r="M26" i="4"/>
  <c r="K26" i="4"/>
  <c r="I26" i="4"/>
  <c r="G26" i="4"/>
  <c r="E26" i="4"/>
  <c r="C26" i="4"/>
  <c r="AK25" i="4"/>
  <c r="AL25" i="4" s="1"/>
  <c r="AI25" i="4"/>
  <c r="AH25" i="4"/>
  <c r="AG25" i="4"/>
  <c r="AD25" i="4"/>
  <c r="AE25" i="4" s="1"/>
  <c r="AB25" i="4"/>
  <c r="AF25" i="4" s="1"/>
  <c r="AA25" i="4"/>
  <c r="Y25" i="4"/>
  <c r="W25" i="4"/>
  <c r="U25" i="4"/>
  <c r="S25" i="4"/>
  <c r="Q25" i="4"/>
  <c r="O25" i="4"/>
  <c r="M25" i="4"/>
  <c r="K25" i="4"/>
  <c r="I25" i="4"/>
  <c r="G25" i="4"/>
  <c r="E25" i="4"/>
  <c r="C25" i="4"/>
  <c r="AL24" i="4"/>
  <c r="AH24" i="4"/>
  <c r="AG24" i="4"/>
  <c r="AK24" i="4" s="1"/>
  <c r="AF24" i="4"/>
  <c r="AE24" i="4"/>
  <c r="AD24" i="4"/>
  <c r="AB24" i="4"/>
  <c r="AC24" i="4" s="1"/>
  <c r="AA24" i="4"/>
  <c r="Y24" i="4"/>
  <c r="W24" i="4"/>
  <c r="U24" i="4"/>
  <c r="S24" i="4"/>
  <c r="Q24" i="4"/>
  <c r="O24" i="4"/>
  <c r="M24" i="4"/>
  <c r="K24" i="4"/>
  <c r="I24" i="4"/>
  <c r="G24" i="4"/>
  <c r="E24" i="4"/>
  <c r="C24" i="4"/>
  <c r="AL23" i="4"/>
  <c r="AK23" i="4"/>
  <c r="AI23" i="4"/>
  <c r="AH23" i="4"/>
  <c r="AG23" i="4"/>
  <c r="AB23" i="4"/>
  <c r="AA23" i="4"/>
  <c r="Y23" i="4"/>
  <c r="W23" i="4"/>
  <c r="U23" i="4"/>
  <c r="S23" i="4"/>
  <c r="Q23" i="4"/>
  <c r="O23" i="4"/>
  <c r="M23" i="4"/>
  <c r="K23" i="4"/>
  <c r="I23" i="4"/>
  <c r="G23" i="4"/>
  <c r="E23" i="4"/>
  <c r="C23" i="4"/>
  <c r="AL22" i="4"/>
  <c r="AG22" i="4"/>
  <c r="AK22" i="4" s="1"/>
  <c r="AB22" i="4"/>
  <c r="AA22" i="4"/>
  <c r="Y22" i="4"/>
  <c r="W22" i="4"/>
  <c r="U22" i="4"/>
  <c r="S22" i="4"/>
  <c r="Q22" i="4"/>
  <c r="O22" i="4"/>
  <c r="M22" i="4"/>
  <c r="K22" i="4"/>
  <c r="I22" i="4"/>
  <c r="G22" i="4"/>
  <c r="E22" i="4"/>
  <c r="C22" i="4"/>
  <c r="AK21" i="4"/>
  <c r="AL21" i="4" s="1"/>
  <c r="AI21" i="4"/>
  <c r="AH21" i="4"/>
  <c r="AG21" i="4"/>
  <c r="AD21" i="4"/>
  <c r="AE21" i="4" s="1"/>
  <c r="AB21" i="4"/>
  <c r="AF21" i="4" s="1"/>
  <c r="AA21" i="4"/>
  <c r="Y21" i="4"/>
  <c r="W21" i="4"/>
  <c r="U21" i="4"/>
  <c r="S21" i="4"/>
  <c r="Q21" i="4"/>
  <c r="O21" i="4"/>
  <c r="M21" i="4"/>
  <c r="K21" i="4"/>
  <c r="I21" i="4"/>
  <c r="G21" i="4"/>
  <c r="E21" i="4"/>
  <c r="C21" i="4"/>
  <c r="AG20" i="4"/>
  <c r="AF20" i="4"/>
  <c r="AD20" i="4"/>
  <c r="AE20" i="4" s="1"/>
  <c r="AC20" i="4"/>
  <c r="AB20" i="4"/>
  <c r="AA20" i="4"/>
  <c r="Y20" i="4"/>
  <c r="W20" i="4"/>
  <c r="U20" i="4"/>
  <c r="S20" i="4"/>
  <c r="Q20" i="4"/>
  <c r="O20" i="4"/>
  <c r="M20" i="4"/>
  <c r="K20" i="4"/>
  <c r="I20" i="4"/>
  <c r="G20" i="4"/>
  <c r="E20" i="4"/>
  <c r="C20" i="4"/>
  <c r="AL19" i="4"/>
  <c r="AK19" i="4"/>
  <c r="AI19" i="4"/>
  <c r="AH19" i="4"/>
  <c r="AG19" i="4"/>
  <c r="AB19" i="4"/>
  <c r="AA19" i="4"/>
  <c r="Y19" i="4"/>
  <c r="W19" i="4"/>
  <c r="U19" i="4"/>
  <c r="S19" i="4"/>
  <c r="Q19" i="4"/>
  <c r="O19" i="4"/>
  <c r="M19" i="4"/>
  <c r="K19" i="4"/>
  <c r="I19" i="4"/>
  <c r="G19" i="4"/>
  <c r="E19" i="4"/>
  <c r="C19" i="4"/>
  <c r="AK18" i="4"/>
  <c r="AL18" i="4" s="1"/>
  <c r="AI18" i="4"/>
  <c r="AH18" i="4"/>
  <c r="AG18" i="4"/>
  <c r="AB18" i="4"/>
  <c r="AA18" i="4"/>
  <c r="Y18" i="4"/>
  <c r="W18" i="4"/>
  <c r="U18" i="4"/>
  <c r="S18" i="4"/>
  <c r="Q18" i="4"/>
  <c r="O18" i="4"/>
  <c r="M18" i="4"/>
  <c r="K18" i="4"/>
  <c r="I18" i="4"/>
  <c r="G18" i="4"/>
  <c r="E18" i="4"/>
  <c r="C18" i="4"/>
  <c r="AL17" i="4"/>
  <c r="AK17" i="4"/>
  <c r="AI17" i="4"/>
  <c r="AH17" i="4"/>
  <c r="AG17" i="4"/>
  <c r="AD17" i="4"/>
  <c r="AE17" i="4" s="1"/>
  <c r="AB17" i="4"/>
  <c r="AF17" i="4" s="1"/>
  <c r="AA17" i="4"/>
  <c r="Y17" i="4"/>
  <c r="W17" i="4"/>
  <c r="U17" i="4"/>
  <c r="S17" i="4"/>
  <c r="Q17" i="4"/>
  <c r="O17" i="4"/>
  <c r="M17" i="4"/>
  <c r="K17" i="4"/>
  <c r="I17" i="4"/>
  <c r="G17" i="4"/>
  <c r="E17" i="4"/>
  <c r="C17" i="4"/>
  <c r="AL16" i="4"/>
  <c r="AG16" i="4"/>
  <c r="AK16" i="4" s="1"/>
  <c r="AF16" i="4"/>
  <c r="AC16" i="4"/>
  <c r="AB16" i="4"/>
  <c r="AD16" i="4" s="1"/>
  <c r="AE16" i="4" s="1"/>
  <c r="AA16" i="4"/>
  <c r="Y16" i="4"/>
  <c r="W16" i="4"/>
  <c r="U16" i="4"/>
  <c r="S16" i="4"/>
  <c r="Q16" i="4"/>
  <c r="O16" i="4"/>
  <c r="M16" i="4"/>
  <c r="K16" i="4"/>
  <c r="I16" i="4"/>
  <c r="G16" i="4"/>
  <c r="E16" i="4"/>
  <c r="C16" i="4"/>
  <c r="AL15" i="4"/>
  <c r="AK15" i="4"/>
  <c r="AI15" i="4"/>
  <c r="AH15" i="4"/>
  <c r="AG15" i="4"/>
  <c r="AB15" i="4"/>
  <c r="AF15" i="4" s="1"/>
  <c r="AA15" i="4"/>
  <c r="Y15" i="4"/>
  <c r="W15" i="4"/>
  <c r="U15" i="4"/>
  <c r="S15" i="4"/>
  <c r="Q15" i="4"/>
  <c r="O15" i="4"/>
  <c r="M15" i="4"/>
  <c r="K15" i="4"/>
  <c r="I15" i="4"/>
  <c r="G15" i="4"/>
  <c r="E15" i="4"/>
  <c r="C15" i="4"/>
  <c r="AG13" i="4"/>
  <c r="AF13" i="4"/>
  <c r="AB13" i="4"/>
  <c r="AC13" i="4" s="1"/>
  <c r="AA13" i="4"/>
  <c r="Y13" i="4"/>
  <c r="W13" i="4"/>
  <c r="U13" i="4"/>
  <c r="S13" i="4"/>
  <c r="Q13" i="4"/>
  <c r="O13" i="4"/>
  <c r="M13" i="4"/>
  <c r="K13" i="4"/>
  <c r="I13" i="4"/>
  <c r="G13" i="4"/>
  <c r="E13" i="4"/>
  <c r="C13" i="4"/>
  <c r="Z9" i="4"/>
  <c r="Z59" i="4" s="1"/>
  <c r="Y9" i="4"/>
  <c r="X9" i="4"/>
  <c r="V9" i="4"/>
  <c r="T9" i="4"/>
  <c r="S9" i="4"/>
  <c r="R9" i="4"/>
  <c r="P9" i="4"/>
  <c r="Q9" i="4" s="1"/>
  <c r="N9" i="4"/>
  <c r="O9" i="4" s="1"/>
  <c r="L9" i="4"/>
  <c r="M9" i="4" s="1"/>
  <c r="J9" i="4"/>
  <c r="H9" i="4"/>
  <c r="I9" i="4" s="1"/>
  <c r="G9" i="4"/>
  <c r="F9" i="4"/>
  <c r="D9" i="4"/>
  <c r="B9" i="4"/>
  <c r="AG8" i="4"/>
  <c r="AF8" i="4"/>
  <c r="AB8" i="4"/>
  <c r="AD8" i="4" s="1"/>
  <c r="AE8" i="4" s="1"/>
  <c r="AA8" i="4"/>
  <c r="Y8" i="4"/>
  <c r="W8" i="4"/>
  <c r="U8" i="4"/>
  <c r="S8" i="4"/>
  <c r="Q8" i="4"/>
  <c r="O8" i="4"/>
  <c r="M8" i="4"/>
  <c r="K8" i="4"/>
  <c r="I8" i="4"/>
  <c r="G8" i="4"/>
  <c r="E8" i="4"/>
  <c r="C8" i="4"/>
  <c r="AI7" i="4"/>
  <c r="AG7" i="4"/>
  <c r="AK7" i="4" s="1"/>
  <c r="AL7" i="4" s="1"/>
  <c r="AF7" i="4"/>
  <c r="AB7" i="4"/>
  <c r="AD7" i="4" s="1"/>
  <c r="AE7" i="4" s="1"/>
  <c r="AA7" i="4"/>
  <c r="Y7" i="4"/>
  <c r="W7" i="4"/>
  <c r="U7" i="4"/>
  <c r="S7" i="4"/>
  <c r="Q7" i="4"/>
  <c r="O7" i="4"/>
  <c r="M7" i="4"/>
  <c r="K7" i="4"/>
  <c r="I7" i="4"/>
  <c r="G7" i="4"/>
  <c r="E7" i="4"/>
  <c r="C7" i="4"/>
  <c r="AG148" i="3"/>
  <c r="AK148" i="3" s="1"/>
  <c r="AB148" i="3"/>
  <c r="Z145" i="3"/>
  <c r="AA145" i="3" s="1"/>
  <c r="X145" i="3"/>
  <c r="W145" i="3"/>
  <c r="V145" i="3"/>
  <c r="T145" i="3"/>
  <c r="U145" i="3" s="1"/>
  <c r="S145" i="3"/>
  <c r="R145" i="3"/>
  <c r="P145" i="3"/>
  <c r="Q145" i="3" s="1"/>
  <c r="N145" i="3"/>
  <c r="O145" i="3" s="1"/>
  <c r="M145" i="3"/>
  <c r="L145" i="3"/>
  <c r="J145" i="3"/>
  <c r="I145" i="3"/>
  <c r="H145" i="3"/>
  <c r="F145" i="3"/>
  <c r="G145" i="3" s="1"/>
  <c r="E145" i="3"/>
  <c r="D145" i="3"/>
  <c r="B145" i="3"/>
  <c r="C145" i="3" s="1"/>
  <c r="AI144" i="3"/>
  <c r="AH144" i="3"/>
  <c r="AG144" i="3"/>
  <c r="AK144" i="3" s="1"/>
  <c r="AL144" i="3" s="1"/>
  <c r="AC144" i="3"/>
  <c r="AB144" i="3"/>
  <c r="AA144" i="3"/>
  <c r="Y144" i="3"/>
  <c r="W144" i="3"/>
  <c r="U144" i="3"/>
  <c r="S144" i="3"/>
  <c r="Q144" i="3"/>
  <c r="O144" i="3"/>
  <c r="M144" i="3"/>
  <c r="K144" i="3"/>
  <c r="I144" i="3"/>
  <c r="G144" i="3"/>
  <c r="E144" i="3"/>
  <c r="C144" i="3"/>
  <c r="Z141" i="3"/>
  <c r="AA141" i="3" s="1"/>
  <c r="X141" i="3"/>
  <c r="V141" i="3"/>
  <c r="T141" i="3"/>
  <c r="U141" i="3" s="1"/>
  <c r="R141" i="3"/>
  <c r="P141" i="3"/>
  <c r="Q141" i="3" s="1"/>
  <c r="O141" i="3"/>
  <c r="N141" i="3"/>
  <c r="L141" i="3"/>
  <c r="M141" i="3" s="1"/>
  <c r="K141" i="3"/>
  <c r="J141" i="3"/>
  <c r="H141" i="3"/>
  <c r="I141" i="3" s="1"/>
  <c r="F141" i="3"/>
  <c r="G141" i="3" s="1"/>
  <c r="E141" i="3"/>
  <c r="D141" i="3"/>
  <c r="B141" i="3"/>
  <c r="C141" i="3" s="1"/>
  <c r="AK140" i="3"/>
  <c r="AL140" i="3" s="1"/>
  <c r="AG140" i="3"/>
  <c r="AI140" i="3" s="1"/>
  <c r="AF140" i="3"/>
  <c r="AD140" i="3"/>
  <c r="AB140" i="3"/>
  <c r="AA140" i="3"/>
  <c r="Y140" i="3"/>
  <c r="W140" i="3"/>
  <c r="U140" i="3"/>
  <c r="S140" i="3"/>
  <c r="Q140" i="3"/>
  <c r="O140" i="3"/>
  <c r="M140" i="3"/>
  <c r="K140" i="3"/>
  <c r="I140" i="3"/>
  <c r="G140" i="3"/>
  <c r="E140" i="3"/>
  <c r="C140" i="3"/>
  <c r="N137" i="3"/>
  <c r="N147" i="3" s="1"/>
  <c r="O147" i="3" s="1"/>
  <c r="Z135" i="3"/>
  <c r="AA135" i="3" s="1"/>
  <c r="X135" i="3"/>
  <c r="V135" i="3"/>
  <c r="T135" i="3"/>
  <c r="U135" i="3" s="1"/>
  <c r="R135" i="3"/>
  <c r="S135" i="3" s="1"/>
  <c r="Q135" i="3"/>
  <c r="P135" i="3"/>
  <c r="N135" i="3"/>
  <c r="O135" i="3" s="1"/>
  <c r="L135" i="3"/>
  <c r="M135" i="3" s="1"/>
  <c r="K135" i="3"/>
  <c r="J135" i="3"/>
  <c r="H135" i="3"/>
  <c r="I135" i="3" s="1"/>
  <c r="F135" i="3"/>
  <c r="G135" i="3" s="1"/>
  <c r="D135" i="3"/>
  <c r="E135" i="3" s="1"/>
  <c r="B135" i="3"/>
  <c r="C135" i="3" s="1"/>
  <c r="AG134" i="3"/>
  <c r="AF134" i="3"/>
  <c r="AD134" i="3"/>
  <c r="AB134" i="3"/>
  <c r="AA134" i="3"/>
  <c r="Y134" i="3"/>
  <c r="W134" i="3"/>
  <c r="U134" i="3"/>
  <c r="S134" i="3"/>
  <c r="Q134" i="3"/>
  <c r="O134" i="3"/>
  <c r="M134" i="3"/>
  <c r="K134" i="3"/>
  <c r="I134" i="3"/>
  <c r="G134" i="3"/>
  <c r="E134" i="3"/>
  <c r="C134" i="3"/>
  <c r="AH133" i="3"/>
  <c r="AG133" i="3"/>
  <c r="AF133" i="3"/>
  <c r="AD133" i="3"/>
  <c r="AB133" i="3"/>
  <c r="AA133" i="3"/>
  <c r="Y133" i="3"/>
  <c r="W133" i="3"/>
  <c r="U133" i="3"/>
  <c r="S133" i="3"/>
  <c r="Q133" i="3"/>
  <c r="O133" i="3"/>
  <c r="M133" i="3"/>
  <c r="K133" i="3"/>
  <c r="I133" i="3"/>
  <c r="G133" i="3"/>
  <c r="E133" i="3"/>
  <c r="C133" i="3"/>
  <c r="AG132" i="3"/>
  <c r="AB132" i="3"/>
  <c r="AA132" i="3"/>
  <c r="Y132" i="3"/>
  <c r="W132" i="3"/>
  <c r="U132" i="3"/>
  <c r="S132" i="3"/>
  <c r="Q132" i="3"/>
  <c r="O132" i="3"/>
  <c r="M132" i="3"/>
  <c r="K132" i="3"/>
  <c r="I132" i="3"/>
  <c r="G132" i="3"/>
  <c r="E132" i="3"/>
  <c r="C132" i="3"/>
  <c r="AI131" i="3"/>
  <c r="AH131" i="3"/>
  <c r="AG131" i="3"/>
  <c r="AK131" i="3" s="1"/>
  <c r="AL131" i="3" s="1"/>
  <c r="AF131" i="3"/>
  <c r="AD131" i="3"/>
  <c r="AB131" i="3"/>
  <c r="AA131" i="3"/>
  <c r="Y131" i="3"/>
  <c r="W131" i="3"/>
  <c r="U131" i="3"/>
  <c r="S131" i="3"/>
  <c r="Q131" i="3"/>
  <c r="O131" i="3"/>
  <c r="M131" i="3"/>
  <c r="K131" i="3"/>
  <c r="I131" i="3"/>
  <c r="G131" i="3"/>
  <c r="E131" i="3"/>
  <c r="C131" i="3"/>
  <c r="AH130" i="3"/>
  <c r="AG130" i="3"/>
  <c r="AB130" i="3"/>
  <c r="AA130" i="3"/>
  <c r="Y130" i="3"/>
  <c r="W130" i="3"/>
  <c r="U130" i="3"/>
  <c r="S130" i="3"/>
  <c r="Q130" i="3"/>
  <c r="O130" i="3"/>
  <c r="M130" i="3"/>
  <c r="K130" i="3"/>
  <c r="I130" i="3"/>
  <c r="G130" i="3"/>
  <c r="E130" i="3"/>
  <c r="C130" i="3"/>
  <c r="AL129" i="3"/>
  <c r="AK129" i="3"/>
  <c r="AI129" i="3"/>
  <c r="AG129" i="3"/>
  <c r="AH129" i="3" s="1"/>
  <c r="AF129" i="3"/>
  <c r="AD129" i="3"/>
  <c r="AB129" i="3"/>
  <c r="AC129" i="3" s="1"/>
  <c r="AA129" i="3"/>
  <c r="Y129" i="3"/>
  <c r="W129" i="3"/>
  <c r="U129" i="3"/>
  <c r="S129" i="3"/>
  <c r="Q129" i="3"/>
  <c r="O129" i="3"/>
  <c r="M129" i="3"/>
  <c r="K129" i="3"/>
  <c r="I129" i="3"/>
  <c r="G129" i="3"/>
  <c r="E129" i="3"/>
  <c r="C129" i="3"/>
  <c r="AH128" i="3"/>
  <c r="AG128" i="3"/>
  <c r="AB128" i="3"/>
  <c r="AA128" i="3"/>
  <c r="Y128" i="3"/>
  <c r="W128" i="3"/>
  <c r="U128" i="3"/>
  <c r="S128" i="3"/>
  <c r="Q128" i="3"/>
  <c r="O128" i="3"/>
  <c r="M128" i="3"/>
  <c r="K128" i="3"/>
  <c r="I128" i="3"/>
  <c r="G128" i="3"/>
  <c r="E128" i="3"/>
  <c r="C128" i="3"/>
  <c r="AL127" i="3"/>
  <c r="AK127" i="3"/>
  <c r="AG127" i="3"/>
  <c r="AI127" i="3" s="1"/>
  <c r="AF127" i="3"/>
  <c r="AD127" i="3"/>
  <c r="AB127" i="3"/>
  <c r="AA127" i="3"/>
  <c r="Y127" i="3"/>
  <c r="W127" i="3"/>
  <c r="U127" i="3"/>
  <c r="S127" i="3"/>
  <c r="Q127" i="3"/>
  <c r="O127" i="3"/>
  <c r="M127" i="3"/>
  <c r="K127" i="3"/>
  <c r="I127" i="3"/>
  <c r="G127" i="3"/>
  <c r="E127" i="3"/>
  <c r="C127" i="3"/>
  <c r="AG126" i="3"/>
  <c r="AF126" i="3"/>
  <c r="AD126" i="3"/>
  <c r="AC126" i="3"/>
  <c r="AB126" i="3"/>
  <c r="AA126" i="3"/>
  <c r="Y126" i="3"/>
  <c r="W126" i="3"/>
  <c r="U126" i="3"/>
  <c r="S126" i="3"/>
  <c r="Q126" i="3"/>
  <c r="O126" i="3"/>
  <c r="M126" i="3"/>
  <c r="K126" i="3"/>
  <c r="I126" i="3"/>
  <c r="G126" i="3"/>
  <c r="E126" i="3"/>
  <c r="C126" i="3"/>
  <c r="AK125" i="3"/>
  <c r="AL125" i="3" s="1"/>
  <c r="AG125" i="3"/>
  <c r="AF125" i="3"/>
  <c r="AD125" i="3"/>
  <c r="AB125" i="3"/>
  <c r="AA125" i="3"/>
  <c r="Y125" i="3"/>
  <c r="W125" i="3"/>
  <c r="U125" i="3"/>
  <c r="S125" i="3"/>
  <c r="Q125" i="3"/>
  <c r="O125" i="3"/>
  <c r="M125" i="3"/>
  <c r="K125" i="3"/>
  <c r="I125" i="3"/>
  <c r="G125" i="3"/>
  <c r="E125" i="3"/>
  <c r="C125" i="3"/>
  <c r="AH124" i="3"/>
  <c r="AG124" i="3"/>
  <c r="AB124" i="3"/>
  <c r="AA124" i="3"/>
  <c r="Y124" i="3"/>
  <c r="W124" i="3"/>
  <c r="U124" i="3"/>
  <c r="S124" i="3"/>
  <c r="Q124" i="3"/>
  <c r="O124" i="3"/>
  <c r="M124" i="3"/>
  <c r="K124" i="3"/>
  <c r="I124" i="3"/>
  <c r="G124" i="3"/>
  <c r="E124" i="3"/>
  <c r="C124" i="3"/>
  <c r="AH123" i="3"/>
  <c r="AG123" i="3"/>
  <c r="AF123" i="3"/>
  <c r="AD123" i="3"/>
  <c r="AB123" i="3"/>
  <c r="AA123" i="3"/>
  <c r="Y123" i="3"/>
  <c r="W123" i="3"/>
  <c r="U123" i="3"/>
  <c r="S123" i="3"/>
  <c r="Q123" i="3"/>
  <c r="O123" i="3"/>
  <c r="M123" i="3"/>
  <c r="K123" i="3"/>
  <c r="I123" i="3"/>
  <c r="G123" i="3"/>
  <c r="E123" i="3"/>
  <c r="C123" i="3"/>
  <c r="AG122" i="3"/>
  <c r="AB122" i="3"/>
  <c r="AA122" i="3"/>
  <c r="Y122" i="3"/>
  <c r="W122" i="3"/>
  <c r="U122" i="3"/>
  <c r="S122" i="3"/>
  <c r="Q122" i="3"/>
  <c r="O122" i="3"/>
  <c r="M122" i="3"/>
  <c r="K122" i="3"/>
  <c r="I122" i="3"/>
  <c r="G122" i="3"/>
  <c r="E122" i="3"/>
  <c r="C122" i="3"/>
  <c r="AL121" i="3"/>
  <c r="AK121" i="3"/>
  <c r="AI121" i="3"/>
  <c r="AG121" i="3"/>
  <c r="AH121" i="3" s="1"/>
  <c r="AF121" i="3"/>
  <c r="AD121" i="3"/>
  <c r="AB121" i="3"/>
  <c r="AC121" i="3" s="1"/>
  <c r="AA121" i="3"/>
  <c r="Y121" i="3"/>
  <c r="W121" i="3"/>
  <c r="U121" i="3"/>
  <c r="S121" i="3"/>
  <c r="Q121" i="3"/>
  <c r="O121" i="3"/>
  <c r="M121" i="3"/>
  <c r="K121" i="3"/>
  <c r="I121" i="3"/>
  <c r="G121" i="3"/>
  <c r="E121" i="3"/>
  <c r="C121" i="3"/>
  <c r="AG120" i="3"/>
  <c r="AB120" i="3"/>
  <c r="AF120" i="3" s="1"/>
  <c r="AA120" i="3"/>
  <c r="Y120" i="3"/>
  <c r="W120" i="3"/>
  <c r="U120" i="3"/>
  <c r="S120" i="3"/>
  <c r="Q120" i="3"/>
  <c r="O120" i="3"/>
  <c r="M120" i="3"/>
  <c r="K120" i="3"/>
  <c r="I120" i="3"/>
  <c r="G120" i="3"/>
  <c r="E120" i="3"/>
  <c r="C120" i="3"/>
  <c r="AK119" i="3"/>
  <c r="AL119" i="3" s="1"/>
  <c r="AI119" i="3"/>
  <c r="AG119" i="3"/>
  <c r="AH119" i="3" s="1"/>
  <c r="AF119" i="3"/>
  <c r="AD119" i="3"/>
  <c r="AB119" i="3"/>
  <c r="AA119" i="3"/>
  <c r="Y119" i="3"/>
  <c r="W119" i="3"/>
  <c r="U119" i="3"/>
  <c r="S119" i="3"/>
  <c r="Q119" i="3"/>
  <c r="O119" i="3"/>
  <c r="M119" i="3"/>
  <c r="K119" i="3"/>
  <c r="I119" i="3"/>
  <c r="G119" i="3"/>
  <c r="E119" i="3"/>
  <c r="C119" i="3"/>
  <c r="AG118" i="3"/>
  <c r="AF118" i="3"/>
  <c r="AD118" i="3"/>
  <c r="AB118" i="3"/>
  <c r="AA118" i="3"/>
  <c r="Y118" i="3"/>
  <c r="W118" i="3"/>
  <c r="U118" i="3"/>
  <c r="S118" i="3"/>
  <c r="Q118" i="3"/>
  <c r="O118" i="3"/>
  <c r="M118" i="3"/>
  <c r="K118" i="3"/>
  <c r="I118" i="3"/>
  <c r="G118" i="3"/>
  <c r="E118" i="3"/>
  <c r="C118" i="3"/>
  <c r="AG117" i="3"/>
  <c r="AF117" i="3"/>
  <c r="AD117" i="3"/>
  <c r="AB117" i="3"/>
  <c r="AC117" i="3" s="1"/>
  <c r="AA117" i="3"/>
  <c r="Y117" i="3"/>
  <c r="W117" i="3"/>
  <c r="U117" i="3"/>
  <c r="S117" i="3"/>
  <c r="Q117" i="3"/>
  <c r="O117" i="3"/>
  <c r="M117" i="3"/>
  <c r="K117" i="3"/>
  <c r="I117" i="3"/>
  <c r="G117" i="3"/>
  <c r="E117" i="3"/>
  <c r="C117" i="3"/>
  <c r="AH116" i="3"/>
  <c r="AG116" i="3"/>
  <c r="AB116" i="3"/>
  <c r="AA116" i="3"/>
  <c r="Y116" i="3"/>
  <c r="W116" i="3"/>
  <c r="U116" i="3"/>
  <c r="S116" i="3"/>
  <c r="Q116" i="3"/>
  <c r="O116" i="3"/>
  <c r="M116" i="3"/>
  <c r="K116" i="3"/>
  <c r="I116" i="3"/>
  <c r="G116" i="3"/>
  <c r="E116" i="3"/>
  <c r="C116" i="3"/>
  <c r="AH115" i="3"/>
  <c r="AG115" i="3"/>
  <c r="AK115" i="3" s="1"/>
  <c r="AL115" i="3" s="1"/>
  <c r="AF115" i="3"/>
  <c r="AD115" i="3"/>
  <c r="AB115" i="3"/>
  <c r="AA115" i="3"/>
  <c r="Y115" i="3"/>
  <c r="W115" i="3"/>
  <c r="U115" i="3"/>
  <c r="S115" i="3"/>
  <c r="Q115" i="3"/>
  <c r="O115" i="3"/>
  <c r="M115" i="3"/>
  <c r="K115" i="3"/>
  <c r="I115" i="3"/>
  <c r="G115" i="3"/>
  <c r="E115" i="3"/>
  <c r="C115" i="3"/>
  <c r="AH114" i="3"/>
  <c r="AG114" i="3"/>
  <c r="AD114" i="3"/>
  <c r="AC114" i="3"/>
  <c r="AB114" i="3"/>
  <c r="AF114" i="3" s="1"/>
  <c r="AA114" i="3"/>
  <c r="Y114" i="3"/>
  <c r="W114" i="3"/>
  <c r="U114" i="3"/>
  <c r="S114" i="3"/>
  <c r="Q114" i="3"/>
  <c r="O114" i="3"/>
  <c r="M114" i="3"/>
  <c r="K114" i="3"/>
  <c r="I114" i="3"/>
  <c r="G114" i="3"/>
  <c r="E114" i="3"/>
  <c r="C114" i="3"/>
  <c r="AK113" i="3"/>
  <c r="AL113" i="3" s="1"/>
  <c r="AI113" i="3"/>
  <c r="AG113" i="3"/>
  <c r="AH113" i="3" s="1"/>
  <c r="AF113" i="3"/>
  <c r="AD113" i="3"/>
  <c r="AB113" i="3"/>
  <c r="AC113" i="3" s="1"/>
  <c r="AA113" i="3"/>
  <c r="Y113" i="3"/>
  <c r="W113" i="3"/>
  <c r="U113" i="3"/>
  <c r="S113" i="3"/>
  <c r="Q113" i="3"/>
  <c r="O113" i="3"/>
  <c r="M113" i="3"/>
  <c r="K113" i="3"/>
  <c r="I113" i="3"/>
  <c r="G113" i="3"/>
  <c r="E113" i="3"/>
  <c r="C113" i="3"/>
  <c r="AG112" i="3"/>
  <c r="AD112" i="3"/>
  <c r="AC112" i="3"/>
  <c r="AB112" i="3"/>
  <c r="AF112" i="3" s="1"/>
  <c r="AA112" i="3"/>
  <c r="Y112" i="3"/>
  <c r="W112" i="3"/>
  <c r="U112" i="3"/>
  <c r="S112" i="3"/>
  <c r="Q112" i="3"/>
  <c r="O112" i="3"/>
  <c r="M112" i="3"/>
  <c r="K112" i="3"/>
  <c r="I112" i="3"/>
  <c r="G112" i="3"/>
  <c r="E112" i="3"/>
  <c r="C112" i="3"/>
  <c r="AL111" i="3"/>
  <c r="AK111" i="3"/>
  <c r="AG111" i="3"/>
  <c r="AI111" i="3" s="1"/>
  <c r="AF111" i="3"/>
  <c r="AD111" i="3"/>
  <c r="AB111" i="3"/>
  <c r="AA111" i="3"/>
  <c r="Y111" i="3"/>
  <c r="W111" i="3"/>
  <c r="U111" i="3"/>
  <c r="S111" i="3"/>
  <c r="Q111" i="3"/>
  <c r="O111" i="3"/>
  <c r="M111" i="3"/>
  <c r="K111" i="3"/>
  <c r="I111" i="3"/>
  <c r="G111" i="3"/>
  <c r="E111" i="3"/>
  <c r="C111" i="3"/>
  <c r="AG110" i="3"/>
  <c r="AF110" i="3"/>
  <c r="AD110" i="3"/>
  <c r="AC110" i="3"/>
  <c r="AB110" i="3"/>
  <c r="AA110" i="3"/>
  <c r="Y110" i="3"/>
  <c r="W110" i="3"/>
  <c r="U110" i="3"/>
  <c r="S110" i="3"/>
  <c r="Q110" i="3"/>
  <c r="O110" i="3"/>
  <c r="M110" i="3"/>
  <c r="K110" i="3"/>
  <c r="I110" i="3"/>
  <c r="G110" i="3"/>
  <c r="E110" i="3"/>
  <c r="C110" i="3"/>
  <c r="N107" i="3"/>
  <c r="O107" i="3" s="1"/>
  <c r="Z105" i="3"/>
  <c r="AA105" i="3" s="1"/>
  <c r="Y105" i="3"/>
  <c r="X105" i="3"/>
  <c r="W105" i="3"/>
  <c r="V105" i="3"/>
  <c r="T105" i="3"/>
  <c r="S105" i="3"/>
  <c r="R105" i="3"/>
  <c r="Q105" i="3"/>
  <c r="P105" i="3"/>
  <c r="N105" i="3"/>
  <c r="O105" i="3" s="1"/>
  <c r="M105" i="3"/>
  <c r="L105" i="3"/>
  <c r="J105" i="3"/>
  <c r="H105" i="3"/>
  <c r="I105" i="3" s="1"/>
  <c r="G105" i="3"/>
  <c r="F105" i="3"/>
  <c r="D105" i="3"/>
  <c r="E105" i="3" s="1"/>
  <c r="C105" i="3"/>
  <c r="B105" i="3"/>
  <c r="AG104" i="3"/>
  <c r="AF104" i="3"/>
  <c r="AD104" i="3"/>
  <c r="AB104" i="3"/>
  <c r="AC104" i="3" s="1"/>
  <c r="AA104" i="3"/>
  <c r="Y104" i="3"/>
  <c r="W104" i="3"/>
  <c r="U104" i="3"/>
  <c r="S104" i="3"/>
  <c r="Q104" i="3"/>
  <c r="O104" i="3"/>
  <c r="M104" i="3"/>
  <c r="K104" i="3"/>
  <c r="I104" i="3"/>
  <c r="G104" i="3"/>
  <c r="E104" i="3"/>
  <c r="C104" i="3"/>
  <c r="AA99" i="3"/>
  <c r="Z99" i="3"/>
  <c r="X99" i="3"/>
  <c r="W99" i="3"/>
  <c r="V99" i="3"/>
  <c r="U99" i="3"/>
  <c r="T99" i="3"/>
  <c r="R99" i="3"/>
  <c r="S99" i="3" s="1"/>
  <c r="Q99" i="3"/>
  <c r="P99" i="3"/>
  <c r="N99" i="3"/>
  <c r="O99" i="3" s="1"/>
  <c r="M99" i="3"/>
  <c r="L99" i="3"/>
  <c r="J99" i="3"/>
  <c r="H99" i="3"/>
  <c r="I99" i="3" s="1"/>
  <c r="G99" i="3"/>
  <c r="F99" i="3"/>
  <c r="E99" i="3"/>
  <c r="D99" i="3"/>
  <c r="B99" i="3"/>
  <c r="C99" i="3" s="1"/>
  <c r="AK98" i="3"/>
  <c r="AL98" i="3" s="1"/>
  <c r="AG98" i="3"/>
  <c r="AI98" i="3" s="1"/>
  <c r="AB98" i="3"/>
  <c r="AF98" i="3" s="1"/>
  <c r="AA98" i="3"/>
  <c r="Y98" i="3"/>
  <c r="W98" i="3"/>
  <c r="U98" i="3"/>
  <c r="S98" i="3"/>
  <c r="Q98" i="3"/>
  <c r="O98" i="3"/>
  <c r="M98" i="3"/>
  <c r="K98" i="3"/>
  <c r="I98" i="3"/>
  <c r="G98" i="3"/>
  <c r="E98" i="3"/>
  <c r="C98" i="3"/>
  <c r="AK97" i="3"/>
  <c r="AL97" i="3" s="1"/>
  <c r="AI97" i="3"/>
  <c r="AH97" i="3"/>
  <c r="AG97" i="3"/>
  <c r="AD97" i="3"/>
  <c r="AC97" i="3"/>
  <c r="AB97" i="3"/>
  <c r="AF97" i="3" s="1"/>
  <c r="AA97" i="3"/>
  <c r="Y97" i="3"/>
  <c r="W97" i="3"/>
  <c r="U97" i="3"/>
  <c r="S97" i="3"/>
  <c r="Q97" i="3"/>
  <c r="O97" i="3"/>
  <c r="M97" i="3"/>
  <c r="K97" i="3"/>
  <c r="I97" i="3"/>
  <c r="G97" i="3"/>
  <c r="E97" i="3"/>
  <c r="C97" i="3"/>
  <c r="AI96" i="3"/>
  <c r="AH96" i="3"/>
  <c r="AG96" i="3"/>
  <c r="AK96" i="3" s="1"/>
  <c r="AL96" i="3" s="1"/>
  <c r="AF96" i="3"/>
  <c r="AB96" i="3"/>
  <c r="AA96" i="3"/>
  <c r="Y96" i="3"/>
  <c r="W96" i="3"/>
  <c r="U96" i="3"/>
  <c r="S96" i="3"/>
  <c r="Q96" i="3"/>
  <c r="O96" i="3"/>
  <c r="M96" i="3"/>
  <c r="K96" i="3"/>
  <c r="I96" i="3"/>
  <c r="G96" i="3"/>
  <c r="E96" i="3"/>
  <c r="C96" i="3"/>
  <c r="AK95" i="3"/>
  <c r="AL95" i="3" s="1"/>
  <c r="AI95" i="3"/>
  <c r="AH95" i="3"/>
  <c r="AG95" i="3"/>
  <c r="AB95" i="3"/>
  <c r="AF95" i="3" s="1"/>
  <c r="AA95" i="3"/>
  <c r="Y95" i="3"/>
  <c r="W95" i="3"/>
  <c r="U95" i="3"/>
  <c r="S95" i="3"/>
  <c r="Q95" i="3"/>
  <c r="O95" i="3"/>
  <c r="M95" i="3"/>
  <c r="K95" i="3"/>
  <c r="I95" i="3"/>
  <c r="G95" i="3"/>
  <c r="E95" i="3"/>
  <c r="C95" i="3"/>
  <c r="AG94" i="3"/>
  <c r="AF94" i="3"/>
  <c r="AD94" i="3"/>
  <c r="AC94" i="3"/>
  <c r="AB94" i="3"/>
  <c r="AA94" i="3"/>
  <c r="Y94" i="3"/>
  <c r="W94" i="3"/>
  <c r="U94" i="3"/>
  <c r="S94" i="3"/>
  <c r="Q94" i="3"/>
  <c r="O94" i="3"/>
  <c r="M94" i="3"/>
  <c r="K94" i="3"/>
  <c r="I94" i="3"/>
  <c r="G94" i="3"/>
  <c r="E94" i="3"/>
  <c r="C94" i="3"/>
  <c r="AL93" i="3"/>
  <c r="AK93" i="3"/>
  <c r="AI93" i="3"/>
  <c r="AH93" i="3"/>
  <c r="AG93" i="3"/>
  <c r="AB93" i="3"/>
  <c r="AA93" i="3"/>
  <c r="Y93" i="3"/>
  <c r="W93" i="3"/>
  <c r="U93" i="3"/>
  <c r="S93" i="3"/>
  <c r="Q93" i="3"/>
  <c r="O93" i="3"/>
  <c r="M93" i="3"/>
  <c r="K93" i="3"/>
  <c r="I93" i="3"/>
  <c r="G93" i="3"/>
  <c r="E93" i="3"/>
  <c r="C93" i="3"/>
  <c r="AH92" i="3"/>
  <c r="AG92" i="3"/>
  <c r="AK92" i="3" s="1"/>
  <c r="AL92" i="3" s="1"/>
  <c r="AF92" i="3"/>
  <c r="AB92" i="3"/>
  <c r="AD92" i="3" s="1"/>
  <c r="AA92" i="3"/>
  <c r="Y92" i="3"/>
  <c r="W92" i="3"/>
  <c r="U92" i="3"/>
  <c r="S92" i="3"/>
  <c r="Q92" i="3"/>
  <c r="O92" i="3"/>
  <c r="M92" i="3"/>
  <c r="K92" i="3"/>
  <c r="I92" i="3"/>
  <c r="G92" i="3"/>
  <c r="E92" i="3"/>
  <c r="C92" i="3"/>
  <c r="AK91" i="3"/>
  <c r="AL91" i="3" s="1"/>
  <c r="AI91" i="3"/>
  <c r="AH91" i="3"/>
  <c r="AG91" i="3"/>
  <c r="AD91" i="3"/>
  <c r="AB91" i="3"/>
  <c r="AF91" i="3" s="1"/>
  <c r="AA91" i="3"/>
  <c r="Y91" i="3"/>
  <c r="W91" i="3"/>
  <c r="U91" i="3"/>
  <c r="S91" i="3"/>
  <c r="Q91" i="3"/>
  <c r="O91" i="3"/>
  <c r="M91" i="3"/>
  <c r="K91" i="3"/>
  <c r="I91" i="3"/>
  <c r="G91" i="3"/>
  <c r="E91" i="3"/>
  <c r="C91" i="3"/>
  <c r="AH90" i="3"/>
  <c r="AG90" i="3"/>
  <c r="AD90" i="3"/>
  <c r="AC90" i="3"/>
  <c r="AB90" i="3"/>
  <c r="AF90" i="3" s="1"/>
  <c r="AA90" i="3"/>
  <c r="Y90" i="3"/>
  <c r="W90" i="3"/>
  <c r="U90" i="3"/>
  <c r="S90" i="3"/>
  <c r="Q90" i="3"/>
  <c r="O90" i="3"/>
  <c r="M90" i="3"/>
  <c r="K90" i="3"/>
  <c r="I90" i="3"/>
  <c r="G90" i="3"/>
  <c r="E90" i="3"/>
  <c r="C90" i="3"/>
  <c r="Z85" i="3"/>
  <c r="AA85" i="3" s="1"/>
  <c r="Y85" i="3"/>
  <c r="X85" i="3"/>
  <c r="W85" i="3"/>
  <c r="V85" i="3"/>
  <c r="T85" i="3"/>
  <c r="U85" i="3" s="1"/>
  <c r="S85" i="3"/>
  <c r="R85" i="3"/>
  <c r="P85" i="3"/>
  <c r="Q85" i="3" s="1"/>
  <c r="N85" i="3"/>
  <c r="O85" i="3" s="1"/>
  <c r="L85" i="3"/>
  <c r="AG85" i="3" s="1"/>
  <c r="AH85" i="3" s="1"/>
  <c r="J85" i="3"/>
  <c r="K85" i="3" s="1"/>
  <c r="I85" i="3"/>
  <c r="H85" i="3"/>
  <c r="G85" i="3"/>
  <c r="F85" i="3"/>
  <c r="D85" i="3"/>
  <c r="E85" i="3" s="1"/>
  <c r="B85" i="3"/>
  <c r="C85" i="3" s="1"/>
  <c r="AF84" i="3"/>
  <c r="AA84" i="3"/>
  <c r="Z84" i="3"/>
  <c r="X84" i="3"/>
  <c r="W84" i="3"/>
  <c r="V84" i="3"/>
  <c r="U84" i="3"/>
  <c r="T84" i="3"/>
  <c r="AB84" i="3" s="1"/>
  <c r="AC84" i="3" s="1"/>
  <c r="S84" i="3"/>
  <c r="R84" i="3"/>
  <c r="P84" i="3"/>
  <c r="Q84" i="3" s="1"/>
  <c r="O84" i="3"/>
  <c r="N84" i="3"/>
  <c r="L84" i="3"/>
  <c r="J84" i="3"/>
  <c r="K84" i="3" s="1"/>
  <c r="H84" i="3"/>
  <c r="I84" i="3" s="1"/>
  <c r="F84" i="3"/>
  <c r="G84" i="3" s="1"/>
  <c r="E84" i="3"/>
  <c r="D84" i="3"/>
  <c r="C84" i="3"/>
  <c r="B84" i="3"/>
  <c r="AL83" i="3"/>
  <c r="AK83" i="3"/>
  <c r="AI83" i="3"/>
  <c r="AH83" i="3"/>
  <c r="AG83" i="3"/>
  <c r="AB83" i="3"/>
  <c r="AA83" i="3"/>
  <c r="Y83" i="3"/>
  <c r="W83" i="3"/>
  <c r="U83" i="3"/>
  <c r="S83" i="3"/>
  <c r="Q83" i="3"/>
  <c r="O83" i="3"/>
  <c r="M83" i="3"/>
  <c r="K83" i="3"/>
  <c r="I83" i="3"/>
  <c r="G83" i="3"/>
  <c r="E83" i="3"/>
  <c r="C83" i="3"/>
  <c r="AG82" i="3"/>
  <c r="AF82" i="3"/>
  <c r="AD82" i="3"/>
  <c r="AC82" i="3"/>
  <c r="AB82" i="3"/>
  <c r="AA82" i="3"/>
  <c r="Y82" i="3"/>
  <c r="W82" i="3"/>
  <c r="U82" i="3"/>
  <c r="S82" i="3"/>
  <c r="Q82" i="3"/>
  <c r="O82" i="3"/>
  <c r="M82" i="3"/>
  <c r="K82" i="3"/>
  <c r="I82" i="3"/>
  <c r="G82" i="3"/>
  <c r="E82" i="3"/>
  <c r="C82" i="3"/>
  <c r="AK81" i="3"/>
  <c r="AL81" i="3" s="1"/>
  <c r="AB81" i="3"/>
  <c r="AC81" i="3" s="1"/>
  <c r="AA81" i="3"/>
  <c r="Z81" i="3"/>
  <c r="X81" i="3"/>
  <c r="V81" i="3"/>
  <c r="W81" i="3" s="1"/>
  <c r="T81" i="3"/>
  <c r="U81" i="3" s="1"/>
  <c r="S81" i="3"/>
  <c r="R81" i="3"/>
  <c r="AG81" i="3" s="1"/>
  <c r="Q81" i="3"/>
  <c r="P81" i="3"/>
  <c r="N81" i="3"/>
  <c r="O81" i="3" s="1"/>
  <c r="L81" i="3"/>
  <c r="M81" i="3" s="1"/>
  <c r="K81" i="3"/>
  <c r="J81" i="3"/>
  <c r="H81" i="3"/>
  <c r="I81" i="3" s="1"/>
  <c r="F81" i="3"/>
  <c r="G81" i="3" s="1"/>
  <c r="D81" i="3"/>
  <c r="E81" i="3" s="1"/>
  <c r="B81" i="3"/>
  <c r="C81" i="3" s="1"/>
  <c r="AG80" i="3"/>
  <c r="AF80" i="3"/>
  <c r="AD80" i="3"/>
  <c r="AB80" i="3"/>
  <c r="AC80" i="3" s="1"/>
  <c r="AA80" i="3"/>
  <c r="Y80" i="3"/>
  <c r="W80" i="3"/>
  <c r="U80" i="3"/>
  <c r="S80" i="3"/>
  <c r="Q80" i="3"/>
  <c r="O80" i="3"/>
  <c r="M80" i="3"/>
  <c r="K80" i="3"/>
  <c r="I80" i="3"/>
  <c r="G80" i="3"/>
  <c r="E80" i="3"/>
  <c r="C80" i="3"/>
  <c r="AG79" i="3"/>
  <c r="AF79" i="3"/>
  <c r="AD79" i="3"/>
  <c r="AB79" i="3"/>
  <c r="AA79" i="3"/>
  <c r="Y79" i="3"/>
  <c r="W79" i="3"/>
  <c r="U79" i="3"/>
  <c r="S79" i="3"/>
  <c r="Q79" i="3"/>
  <c r="O79" i="3"/>
  <c r="M79" i="3"/>
  <c r="K79" i="3"/>
  <c r="I79" i="3"/>
  <c r="G79" i="3"/>
  <c r="E79" i="3"/>
  <c r="C79" i="3"/>
  <c r="AG78" i="3"/>
  <c r="AC78" i="3"/>
  <c r="AB78" i="3"/>
  <c r="AF78" i="3" s="1"/>
  <c r="AA78" i="3"/>
  <c r="Y78" i="3"/>
  <c r="W78" i="3"/>
  <c r="U78" i="3"/>
  <c r="S78" i="3"/>
  <c r="Q78" i="3"/>
  <c r="O78" i="3"/>
  <c r="M78" i="3"/>
  <c r="K78" i="3"/>
  <c r="I78" i="3"/>
  <c r="G78" i="3"/>
  <c r="E78" i="3"/>
  <c r="C78" i="3"/>
  <c r="AH77" i="3"/>
  <c r="AG77" i="3"/>
  <c r="AI77" i="3" s="1"/>
  <c r="AF77" i="3"/>
  <c r="AD77" i="3"/>
  <c r="AB77" i="3"/>
  <c r="AC77" i="3" s="1"/>
  <c r="AA77" i="3"/>
  <c r="Y77" i="3"/>
  <c r="W77" i="3"/>
  <c r="U77" i="3"/>
  <c r="S77" i="3"/>
  <c r="Q77" i="3"/>
  <c r="O77" i="3"/>
  <c r="M77" i="3"/>
  <c r="K77" i="3"/>
  <c r="I77" i="3"/>
  <c r="G77" i="3"/>
  <c r="E77" i="3"/>
  <c r="C77" i="3"/>
  <c r="AG76" i="3"/>
  <c r="AF76" i="3"/>
  <c r="AD76" i="3"/>
  <c r="AB76" i="3"/>
  <c r="AA76" i="3"/>
  <c r="Y76" i="3"/>
  <c r="W76" i="3"/>
  <c r="U76" i="3"/>
  <c r="S76" i="3"/>
  <c r="Q76" i="3"/>
  <c r="O76" i="3"/>
  <c r="M76" i="3"/>
  <c r="K76" i="3"/>
  <c r="I76" i="3"/>
  <c r="G76" i="3"/>
  <c r="E76" i="3"/>
  <c r="C76" i="3"/>
  <c r="AG75" i="3"/>
  <c r="AF75" i="3"/>
  <c r="AD75" i="3"/>
  <c r="AB75" i="3"/>
  <c r="AC75" i="3" s="1"/>
  <c r="AA75" i="3"/>
  <c r="Y75" i="3"/>
  <c r="W75" i="3"/>
  <c r="U75" i="3"/>
  <c r="S75" i="3"/>
  <c r="Q75" i="3"/>
  <c r="O75" i="3"/>
  <c r="M75" i="3"/>
  <c r="K75" i="3"/>
  <c r="I75" i="3"/>
  <c r="G75" i="3"/>
  <c r="E75" i="3"/>
  <c r="C75" i="3"/>
  <c r="AG74" i="3"/>
  <c r="AC74" i="3"/>
  <c r="AB74" i="3"/>
  <c r="AD74" i="3" s="1"/>
  <c r="AA74" i="3"/>
  <c r="Y74" i="3"/>
  <c r="W74" i="3"/>
  <c r="U74" i="3"/>
  <c r="S74" i="3"/>
  <c r="Q74" i="3"/>
  <c r="O74" i="3"/>
  <c r="M74" i="3"/>
  <c r="K74" i="3"/>
  <c r="I74" i="3"/>
  <c r="G74" i="3"/>
  <c r="E74" i="3"/>
  <c r="C74" i="3"/>
  <c r="AG72" i="3"/>
  <c r="AF72" i="3"/>
  <c r="AD72" i="3"/>
  <c r="AB72" i="3"/>
  <c r="AA72" i="3"/>
  <c r="Y72" i="3"/>
  <c r="W72" i="3"/>
  <c r="U72" i="3"/>
  <c r="S72" i="3"/>
  <c r="Q72" i="3"/>
  <c r="O72" i="3"/>
  <c r="M72" i="3"/>
  <c r="K72" i="3"/>
  <c r="I72" i="3"/>
  <c r="G72" i="3"/>
  <c r="E72" i="3"/>
  <c r="C72" i="3"/>
  <c r="AH71" i="3"/>
  <c r="AG71" i="3"/>
  <c r="AD71" i="3"/>
  <c r="AB71" i="3"/>
  <c r="AF71" i="3" s="1"/>
  <c r="AA71" i="3"/>
  <c r="Y71" i="3"/>
  <c r="W71" i="3"/>
  <c r="U71" i="3"/>
  <c r="S71" i="3"/>
  <c r="Q71" i="3"/>
  <c r="O71" i="3"/>
  <c r="M71" i="3"/>
  <c r="K71" i="3"/>
  <c r="I71" i="3"/>
  <c r="G71" i="3"/>
  <c r="E71" i="3"/>
  <c r="C71" i="3"/>
  <c r="Z70" i="3"/>
  <c r="AA70" i="3" s="1"/>
  <c r="Y70" i="3"/>
  <c r="X70" i="3"/>
  <c r="V70" i="3"/>
  <c r="W70" i="3" s="1"/>
  <c r="U70" i="3"/>
  <c r="T70" i="3"/>
  <c r="R70" i="3"/>
  <c r="Q70" i="3"/>
  <c r="P70" i="3"/>
  <c r="N70" i="3"/>
  <c r="O70" i="3" s="1"/>
  <c r="L70" i="3"/>
  <c r="M70" i="3" s="1"/>
  <c r="J70" i="3"/>
  <c r="K70" i="3" s="1"/>
  <c r="I70" i="3"/>
  <c r="H70" i="3"/>
  <c r="G70" i="3"/>
  <c r="F70" i="3"/>
  <c r="E70" i="3"/>
  <c r="D70" i="3"/>
  <c r="B70" i="3"/>
  <c r="C70" i="3" s="1"/>
  <c r="AK69" i="3"/>
  <c r="AL69" i="3" s="1"/>
  <c r="AI69" i="3"/>
  <c r="AG69" i="3"/>
  <c r="AH69" i="3" s="1"/>
  <c r="AD69" i="3"/>
  <c r="AB69" i="3"/>
  <c r="AF69" i="3" s="1"/>
  <c r="AA69" i="3"/>
  <c r="Y69" i="3"/>
  <c r="W69" i="3"/>
  <c r="U69" i="3"/>
  <c r="S69" i="3"/>
  <c r="Q69" i="3"/>
  <c r="O69" i="3"/>
  <c r="M69" i="3"/>
  <c r="K69" i="3"/>
  <c r="I69" i="3"/>
  <c r="G69" i="3"/>
  <c r="E69" i="3"/>
  <c r="C69" i="3"/>
  <c r="AH68" i="3"/>
  <c r="AG68" i="3"/>
  <c r="AK68" i="3" s="1"/>
  <c r="AL68" i="3" s="1"/>
  <c r="AF68" i="3"/>
  <c r="AD68" i="3"/>
  <c r="AC68" i="3"/>
  <c r="AB68" i="3"/>
  <c r="AA68" i="3"/>
  <c r="Y68" i="3"/>
  <c r="W68" i="3"/>
  <c r="U68" i="3"/>
  <c r="S68" i="3"/>
  <c r="Q68" i="3"/>
  <c r="O68" i="3"/>
  <c r="M68" i="3"/>
  <c r="K68" i="3"/>
  <c r="I68" i="3"/>
  <c r="G68" i="3"/>
  <c r="E68" i="3"/>
  <c r="C68" i="3"/>
  <c r="AL67" i="3"/>
  <c r="AK67" i="3"/>
  <c r="AI67" i="3"/>
  <c r="AG67" i="3"/>
  <c r="AH67" i="3" s="1"/>
  <c r="AB67" i="3"/>
  <c r="AA67" i="3"/>
  <c r="Y67" i="3"/>
  <c r="W67" i="3"/>
  <c r="U67" i="3"/>
  <c r="S67" i="3"/>
  <c r="Q67" i="3"/>
  <c r="O67" i="3"/>
  <c r="M67" i="3"/>
  <c r="K67" i="3"/>
  <c r="I67" i="3"/>
  <c r="G67" i="3"/>
  <c r="E67" i="3"/>
  <c r="C67" i="3"/>
  <c r="AH66" i="3"/>
  <c r="AG66" i="3"/>
  <c r="AK66" i="3" s="1"/>
  <c r="AL66" i="3" s="1"/>
  <c r="AF66" i="3"/>
  <c r="AB66" i="3"/>
  <c r="AD66" i="3" s="1"/>
  <c r="AA66" i="3"/>
  <c r="Y66" i="3"/>
  <c r="W66" i="3"/>
  <c r="U66" i="3"/>
  <c r="S66" i="3"/>
  <c r="Q66" i="3"/>
  <c r="O66" i="3"/>
  <c r="M66" i="3"/>
  <c r="K66" i="3"/>
  <c r="I66" i="3"/>
  <c r="G66" i="3"/>
  <c r="E66" i="3"/>
  <c r="C66" i="3"/>
  <c r="AK65" i="3"/>
  <c r="AL65" i="3" s="1"/>
  <c r="AI65" i="3"/>
  <c r="AG65" i="3"/>
  <c r="AH65" i="3" s="1"/>
  <c r="AD65" i="3"/>
  <c r="AB65" i="3"/>
  <c r="AF65" i="3" s="1"/>
  <c r="AA65" i="3"/>
  <c r="Y65" i="3"/>
  <c r="W65" i="3"/>
  <c r="U65" i="3"/>
  <c r="S65" i="3"/>
  <c r="Q65" i="3"/>
  <c r="O65" i="3"/>
  <c r="M65" i="3"/>
  <c r="K65" i="3"/>
  <c r="I65" i="3"/>
  <c r="G65" i="3"/>
  <c r="E65" i="3"/>
  <c r="C65" i="3"/>
  <c r="AL63" i="3"/>
  <c r="AI63" i="3"/>
  <c r="AG63" i="3"/>
  <c r="AK63" i="3" s="1"/>
  <c r="AB63" i="3"/>
  <c r="AA63" i="3"/>
  <c r="Y63" i="3"/>
  <c r="W63" i="3"/>
  <c r="U63" i="3"/>
  <c r="S63" i="3"/>
  <c r="Q63" i="3"/>
  <c r="O63" i="3"/>
  <c r="M63" i="3"/>
  <c r="K63" i="3"/>
  <c r="I63" i="3"/>
  <c r="G63" i="3"/>
  <c r="E63" i="3"/>
  <c r="C63" i="3"/>
  <c r="J59" i="3"/>
  <c r="Z57" i="3"/>
  <c r="AA57" i="3" s="1"/>
  <c r="X57" i="3"/>
  <c r="W57" i="3"/>
  <c r="V57" i="3"/>
  <c r="T57" i="3"/>
  <c r="AB57" i="3" s="1"/>
  <c r="S57" i="3"/>
  <c r="R57" i="3"/>
  <c r="P57" i="3"/>
  <c r="Q57" i="3" s="1"/>
  <c r="N57" i="3"/>
  <c r="O57" i="3" s="1"/>
  <c r="L57" i="3"/>
  <c r="M57" i="3" s="1"/>
  <c r="K57" i="3"/>
  <c r="J57" i="3"/>
  <c r="H57" i="3"/>
  <c r="I57" i="3" s="1"/>
  <c r="F57" i="3"/>
  <c r="G57" i="3" s="1"/>
  <c r="E57" i="3"/>
  <c r="D57" i="3"/>
  <c r="C57" i="3"/>
  <c r="B57" i="3"/>
  <c r="AG56" i="3"/>
  <c r="AH56" i="3" s="1"/>
  <c r="AF56" i="3"/>
  <c r="Z56" i="3"/>
  <c r="AA56" i="3" s="1"/>
  <c r="X56" i="3"/>
  <c r="V56" i="3"/>
  <c r="W56" i="3" s="1"/>
  <c r="U56" i="3"/>
  <c r="T56" i="3"/>
  <c r="AB56" i="3" s="1"/>
  <c r="AC56" i="3" s="1"/>
  <c r="R56" i="3"/>
  <c r="S56" i="3" s="1"/>
  <c r="P56" i="3"/>
  <c r="Q56" i="3" s="1"/>
  <c r="O56" i="3"/>
  <c r="N56" i="3"/>
  <c r="L56" i="3"/>
  <c r="M56" i="3" s="1"/>
  <c r="K56" i="3"/>
  <c r="J56" i="3"/>
  <c r="H56" i="3"/>
  <c r="I56" i="3" s="1"/>
  <c r="G56" i="3"/>
  <c r="F56" i="3"/>
  <c r="E56" i="3"/>
  <c r="D56" i="3"/>
  <c r="C56" i="3"/>
  <c r="B56" i="3"/>
  <c r="AG55" i="3"/>
  <c r="AC55" i="3"/>
  <c r="AB55" i="3"/>
  <c r="AF55" i="3" s="1"/>
  <c r="AA55" i="3"/>
  <c r="Y55" i="3"/>
  <c r="W55" i="3"/>
  <c r="U55" i="3"/>
  <c r="S55" i="3"/>
  <c r="Q55" i="3"/>
  <c r="O55" i="3"/>
  <c r="M55" i="3"/>
  <c r="K55" i="3"/>
  <c r="I55" i="3"/>
  <c r="G55" i="3"/>
  <c r="E55" i="3"/>
  <c r="C55" i="3"/>
  <c r="AK54" i="3"/>
  <c r="AL54" i="3" s="1"/>
  <c r="AG54" i="3"/>
  <c r="AI54" i="3" s="1"/>
  <c r="AF54" i="3"/>
  <c r="AD54" i="3"/>
  <c r="AB54" i="3"/>
  <c r="AA54" i="3"/>
  <c r="Y54" i="3"/>
  <c r="W54" i="3"/>
  <c r="U54" i="3"/>
  <c r="S54" i="3"/>
  <c r="Q54" i="3"/>
  <c r="O54" i="3"/>
  <c r="M54" i="3"/>
  <c r="K54" i="3"/>
  <c r="I54" i="3"/>
  <c r="G54" i="3"/>
  <c r="E54" i="3"/>
  <c r="C54" i="3"/>
  <c r="AG53" i="3"/>
  <c r="AB53" i="3"/>
  <c r="AA53" i="3"/>
  <c r="Y53" i="3"/>
  <c r="W53" i="3"/>
  <c r="U53" i="3"/>
  <c r="S53" i="3"/>
  <c r="Q53" i="3"/>
  <c r="O53" i="3"/>
  <c r="M53" i="3"/>
  <c r="K53" i="3"/>
  <c r="I53" i="3"/>
  <c r="G53" i="3"/>
  <c r="E53" i="3"/>
  <c r="C53" i="3"/>
  <c r="Z52" i="3"/>
  <c r="AA52" i="3" s="1"/>
  <c r="X52" i="3"/>
  <c r="Y52" i="3" s="1"/>
  <c r="W52" i="3"/>
  <c r="V52" i="3"/>
  <c r="U52" i="3"/>
  <c r="T52" i="3"/>
  <c r="R52" i="3"/>
  <c r="Q52" i="3"/>
  <c r="P52" i="3"/>
  <c r="N52" i="3"/>
  <c r="M52" i="3"/>
  <c r="L52" i="3"/>
  <c r="J52" i="3"/>
  <c r="K52" i="3" s="1"/>
  <c r="H52" i="3"/>
  <c r="I52" i="3" s="1"/>
  <c r="F52" i="3"/>
  <c r="G52" i="3" s="1"/>
  <c r="D52" i="3"/>
  <c r="E52" i="3" s="1"/>
  <c r="B52" i="3"/>
  <c r="C52" i="3" s="1"/>
  <c r="AI51" i="3"/>
  <c r="AH51" i="3"/>
  <c r="AG51" i="3"/>
  <c r="AK51" i="3" s="1"/>
  <c r="AL51" i="3" s="1"/>
  <c r="AD51" i="3"/>
  <c r="AC51" i="3"/>
  <c r="AB51" i="3"/>
  <c r="AF51" i="3" s="1"/>
  <c r="AA51" i="3"/>
  <c r="Y51" i="3"/>
  <c r="W51" i="3"/>
  <c r="U51" i="3"/>
  <c r="S51" i="3"/>
  <c r="Q51" i="3"/>
  <c r="O51" i="3"/>
  <c r="M51" i="3"/>
  <c r="K51" i="3"/>
  <c r="I51" i="3"/>
  <c r="G51" i="3"/>
  <c r="E51" i="3"/>
  <c r="C51" i="3"/>
  <c r="AK50" i="3"/>
  <c r="AL50" i="3" s="1"/>
  <c r="AG50" i="3"/>
  <c r="AB50" i="3"/>
  <c r="AA50" i="3"/>
  <c r="Y50" i="3"/>
  <c r="W50" i="3"/>
  <c r="U50" i="3"/>
  <c r="S50" i="3"/>
  <c r="Q50" i="3"/>
  <c r="O50" i="3"/>
  <c r="M50" i="3"/>
  <c r="K50" i="3"/>
  <c r="I50" i="3"/>
  <c r="G50" i="3"/>
  <c r="E50" i="3"/>
  <c r="C50" i="3"/>
  <c r="AH49" i="3"/>
  <c r="AG49" i="3"/>
  <c r="AK49" i="3" s="1"/>
  <c r="AL49" i="3" s="1"/>
  <c r="AB49" i="3"/>
  <c r="AA49" i="3"/>
  <c r="Y49" i="3"/>
  <c r="W49" i="3"/>
  <c r="U49" i="3"/>
  <c r="S49" i="3"/>
  <c r="Q49" i="3"/>
  <c r="O49" i="3"/>
  <c r="M49" i="3"/>
  <c r="K49" i="3"/>
  <c r="I49" i="3"/>
  <c r="G49" i="3"/>
  <c r="E49" i="3"/>
  <c r="C49" i="3"/>
  <c r="AK48" i="3"/>
  <c r="AL48" i="3" s="1"/>
  <c r="AI48" i="3"/>
  <c r="AG48" i="3"/>
  <c r="AH48" i="3" s="1"/>
  <c r="AD48" i="3"/>
  <c r="AB48" i="3"/>
  <c r="AF48" i="3" s="1"/>
  <c r="AA48" i="3"/>
  <c r="Y48" i="3"/>
  <c r="W48" i="3"/>
  <c r="U48" i="3"/>
  <c r="S48" i="3"/>
  <c r="Q48" i="3"/>
  <c r="O48" i="3"/>
  <c r="M48" i="3"/>
  <c r="K48" i="3"/>
  <c r="I48" i="3"/>
  <c r="G48" i="3"/>
  <c r="E48" i="3"/>
  <c r="C48" i="3"/>
  <c r="AH47" i="3"/>
  <c r="AG47" i="3"/>
  <c r="AK47" i="3" s="1"/>
  <c r="AL47" i="3" s="1"/>
  <c r="AB47" i="3"/>
  <c r="AA47" i="3"/>
  <c r="Y47" i="3"/>
  <c r="W47" i="3"/>
  <c r="U47" i="3"/>
  <c r="S47" i="3"/>
  <c r="Q47" i="3"/>
  <c r="O47" i="3"/>
  <c r="M47" i="3"/>
  <c r="K47" i="3"/>
  <c r="I47" i="3"/>
  <c r="G47" i="3"/>
  <c r="E47" i="3"/>
  <c r="C47" i="3"/>
  <c r="AG46" i="3"/>
  <c r="AB46" i="3"/>
  <c r="AA46" i="3"/>
  <c r="Y46" i="3"/>
  <c r="W46" i="3"/>
  <c r="U46" i="3"/>
  <c r="S46" i="3"/>
  <c r="Q46" i="3"/>
  <c r="O46" i="3"/>
  <c r="M46" i="3"/>
  <c r="K46" i="3"/>
  <c r="I46" i="3"/>
  <c r="G46" i="3"/>
  <c r="E46" i="3"/>
  <c r="C46" i="3"/>
  <c r="Z44" i="3"/>
  <c r="AA44" i="3" s="1"/>
  <c r="X44" i="3"/>
  <c r="W44" i="3"/>
  <c r="V44" i="3"/>
  <c r="T44" i="3"/>
  <c r="U44" i="3" s="1"/>
  <c r="R44" i="3"/>
  <c r="Q44" i="3"/>
  <c r="P44" i="3"/>
  <c r="N44" i="3"/>
  <c r="L44" i="3"/>
  <c r="M44" i="3" s="1"/>
  <c r="J44" i="3"/>
  <c r="K44" i="3" s="1"/>
  <c r="H44" i="3"/>
  <c r="I44" i="3" s="1"/>
  <c r="F44" i="3"/>
  <c r="G44" i="3" s="1"/>
  <c r="D44" i="3"/>
  <c r="E44" i="3" s="1"/>
  <c r="B44" i="3"/>
  <c r="C44" i="3" s="1"/>
  <c r="AH43" i="3"/>
  <c r="AG43" i="3"/>
  <c r="AF43" i="3"/>
  <c r="AD43" i="3"/>
  <c r="AC43" i="3"/>
  <c r="AB43" i="3"/>
  <c r="AA43" i="3"/>
  <c r="Y43" i="3"/>
  <c r="W43" i="3"/>
  <c r="U43" i="3"/>
  <c r="S43" i="3"/>
  <c r="Q43" i="3"/>
  <c r="O43" i="3"/>
  <c r="M43" i="3"/>
  <c r="K43" i="3"/>
  <c r="I43" i="3"/>
  <c r="G43" i="3"/>
  <c r="E43" i="3"/>
  <c r="C43" i="3"/>
  <c r="AK42" i="3"/>
  <c r="AL42" i="3" s="1"/>
  <c r="AG42" i="3"/>
  <c r="AF42" i="3"/>
  <c r="AD42" i="3"/>
  <c r="AB42" i="3"/>
  <c r="AA42" i="3"/>
  <c r="Y42" i="3"/>
  <c r="W42" i="3"/>
  <c r="U42" i="3"/>
  <c r="S42" i="3"/>
  <c r="Q42" i="3"/>
  <c r="O42" i="3"/>
  <c r="M42" i="3"/>
  <c r="K42" i="3"/>
  <c r="I42" i="3"/>
  <c r="G42" i="3"/>
  <c r="E42" i="3"/>
  <c r="C42" i="3"/>
  <c r="AG41" i="3"/>
  <c r="AB41" i="3"/>
  <c r="AA41" i="3"/>
  <c r="Y41" i="3"/>
  <c r="W41" i="3"/>
  <c r="U41" i="3"/>
  <c r="S41" i="3"/>
  <c r="Q41" i="3"/>
  <c r="O41" i="3"/>
  <c r="M41" i="3"/>
  <c r="K41" i="3"/>
  <c r="I41" i="3"/>
  <c r="G41" i="3"/>
  <c r="E41" i="3"/>
  <c r="C41" i="3"/>
  <c r="AI40" i="3"/>
  <c r="AG40" i="3"/>
  <c r="AK40" i="3" s="1"/>
  <c r="AL40" i="3" s="1"/>
  <c r="AF40" i="3"/>
  <c r="AD40" i="3"/>
  <c r="AB40" i="3"/>
  <c r="AA40" i="3"/>
  <c r="Y40" i="3"/>
  <c r="W40" i="3"/>
  <c r="U40" i="3"/>
  <c r="S40" i="3"/>
  <c r="Q40" i="3"/>
  <c r="O40" i="3"/>
  <c r="M40" i="3"/>
  <c r="K40" i="3"/>
  <c r="I40" i="3"/>
  <c r="G40" i="3"/>
  <c r="E40" i="3"/>
  <c r="C40" i="3"/>
  <c r="AL39" i="3"/>
  <c r="AI39" i="3"/>
  <c r="AG39" i="3"/>
  <c r="AK39" i="3" s="1"/>
  <c r="AB39" i="3"/>
  <c r="AA39" i="3"/>
  <c r="Y39" i="3"/>
  <c r="W39" i="3"/>
  <c r="U39" i="3"/>
  <c r="S39" i="3"/>
  <c r="Q39" i="3"/>
  <c r="O39" i="3"/>
  <c r="M39" i="3"/>
  <c r="K39" i="3"/>
  <c r="I39" i="3"/>
  <c r="G39" i="3"/>
  <c r="E39" i="3"/>
  <c r="C39" i="3"/>
  <c r="AH37" i="3"/>
  <c r="AG37" i="3"/>
  <c r="AK37" i="3" s="1"/>
  <c r="AL37" i="3" s="1"/>
  <c r="AF37" i="3"/>
  <c r="AD37" i="3"/>
  <c r="AB37" i="3"/>
  <c r="AC37" i="3" s="1"/>
  <c r="AA37" i="3"/>
  <c r="Y37" i="3"/>
  <c r="W37" i="3"/>
  <c r="U37" i="3"/>
  <c r="S37" i="3"/>
  <c r="Q37" i="3"/>
  <c r="O37" i="3"/>
  <c r="M37" i="3"/>
  <c r="K37" i="3"/>
  <c r="I37" i="3"/>
  <c r="G37" i="3"/>
  <c r="E37" i="3"/>
  <c r="C37" i="3"/>
  <c r="AF35" i="3"/>
  <c r="AB35" i="3"/>
  <c r="AC35" i="3" s="1"/>
  <c r="Z35" i="3"/>
  <c r="AA35" i="3" s="1"/>
  <c r="X35" i="3"/>
  <c r="V35" i="3"/>
  <c r="W35" i="3" s="1"/>
  <c r="T35" i="3"/>
  <c r="U35" i="3" s="1"/>
  <c r="S35" i="3"/>
  <c r="R35" i="3"/>
  <c r="P35" i="3"/>
  <c r="Q35" i="3" s="1"/>
  <c r="O35" i="3"/>
  <c r="N35" i="3"/>
  <c r="L35" i="3"/>
  <c r="M35" i="3" s="1"/>
  <c r="J35" i="3"/>
  <c r="H35" i="3"/>
  <c r="I35" i="3" s="1"/>
  <c r="F35" i="3"/>
  <c r="G35" i="3" s="1"/>
  <c r="D35" i="3"/>
  <c r="E35" i="3" s="1"/>
  <c r="C35" i="3"/>
  <c r="B35" i="3"/>
  <c r="AA34" i="3"/>
  <c r="Z34" i="3"/>
  <c r="X34" i="3"/>
  <c r="V34" i="3"/>
  <c r="W34" i="3" s="1"/>
  <c r="T34" i="3"/>
  <c r="U34" i="3" s="1"/>
  <c r="R34" i="3"/>
  <c r="P34" i="3"/>
  <c r="Q34" i="3" s="1"/>
  <c r="N34" i="3"/>
  <c r="O34" i="3" s="1"/>
  <c r="M34" i="3"/>
  <c r="L34" i="3"/>
  <c r="K34" i="3"/>
  <c r="J34" i="3"/>
  <c r="H34" i="3"/>
  <c r="I34" i="3" s="1"/>
  <c r="G34" i="3"/>
  <c r="F34" i="3"/>
  <c r="D34" i="3"/>
  <c r="E34" i="3" s="1"/>
  <c r="C34" i="3"/>
  <c r="B34" i="3"/>
  <c r="AG33" i="3"/>
  <c r="AB33" i="3"/>
  <c r="AA33" i="3"/>
  <c r="Y33" i="3"/>
  <c r="W33" i="3"/>
  <c r="U33" i="3"/>
  <c r="S33" i="3"/>
  <c r="Q33" i="3"/>
  <c r="O33" i="3"/>
  <c r="M33" i="3"/>
  <c r="K33" i="3"/>
  <c r="I33" i="3"/>
  <c r="G33" i="3"/>
  <c r="E33" i="3"/>
  <c r="C33" i="3"/>
  <c r="AG32" i="3"/>
  <c r="AK32" i="3" s="1"/>
  <c r="AL32" i="3" s="1"/>
  <c r="AF32" i="3"/>
  <c r="AD32" i="3"/>
  <c r="AB32" i="3"/>
  <c r="AC32" i="3" s="1"/>
  <c r="AA32" i="3"/>
  <c r="Y32" i="3"/>
  <c r="W32" i="3"/>
  <c r="U32" i="3"/>
  <c r="S32" i="3"/>
  <c r="Q32" i="3"/>
  <c r="O32" i="3"/>
  <c r="M32" i="3"/>
  <c r="K32" i="3"/>
  <c r="I32" i="3"/>
  <c r="G32" i="3"/>
  <c r="E32" i="3"/>
  <c r="C32" i="3"/>
  <c r="AL31" i="3"/>
  <c r="AK31" i="3"/>
  <c r="AI31" i="3"/>
  <c r="AG31" i="3"/>
  <c r="AH31" i="3" s="1"/>
  <c r="AC31" i="3"/>
  <c r="AB31" i="3"/>
  <c r="AA31" i="3"/>
  <c r="Y31" i="3"/>
  <c r="W31" i="3"/>
  <c r="U31" i="3"/>
  <c r="S31" i="3"/>
  <c r="Q31" i="3"/>
  <c r="O31" i="3"/>
  <c r="M31" i="3"/>
  <c r="K31" i="3"/>
  <c r="I31" i="3"/>
  <c r="G31" i="3"/>
  <c r="E31" i="3"/>
  <c r="C31" i="3"/>
  <c r="AI30" i="3"/>
  <c r="AH30" i="3"/>
  <c r="AG30" i="3"/>
  <c r="AK30" i="3" s="1"/>
  <c r="AL30" i="3" s="1"/>
  <c r="AD30" i="3"/>
  <c r="AC30" i="3"/>
  <c r="AB30" i="3"/>
  <c r="AF30" i="3" s="1"/>
  <c r="AA30" i="3"/>
  <c r="Y30" i="3"/>
  <c r="W30" i="3"/>
  <c r="U30" i="3"/>
  <c r="S30" i="3"/>
  <c r="Q30" i="3"/>
  <c r="O30" i="3"/>
  <c r="M30" i="3"/>
  <c r="K30" i="3"/>
  <c r="I30" i="3"/>
  <c r="G30" i="3"/>
  <c r="E30" i="3"/>
  <c r="C30" i="3"/>
  <c r="AG29" i="3"/>
  <c r="AK29" i="3" s="1"/>
  <c r="AL29" i="3" s="1"/>
  <c r="AF29" i="3"/>
  <c r="AB29" i="3"/>
  <c r="AD29" i="3" s="1"/>
  <c r="AA29" i="3"/>
  <c r="Y29" i="3"/>
  <c r="W29" i="3"/>
  <c r="U29" i="3"/>
  <c r="S29" i="3"/>
  <c r="Q29" i="3"/>
  <c r="O29" i="3"/>
  <c r="M29" i="3"/>
  <c r="K29" i="3"/>
  <c r="I29" i="3"/>
  <c r="G29" i="3"/>
  <c r="E29" i="3"/>
  <c r="C29" i="3"/>
  <c r="AA27" i="3"/>
  <c r="Z27" i="3"/>
  <c r="Y27" i="3"/>
  <c r="X27" i="3"/>
  <c r="V27" i="3"/>
  <c r="W27" i="3" s="1"/>
  <c r="T27" i="3"/>
  <c r="AB27" i="3" s="1"/>
  <c r="AC27" i="3" s="1"/>
  <c r="R27" i="3"/>
  <c r="S27" i="3" s="1"/>
  <c r="P27" i="3"/>
  <c r="Q27" i="3" s="1"/>
  <c r="O27" i="3"/>
  <c r="N27" i="3"/>
  <c r="L27" i="3"/>
  <c r="M27" i="3" s="1"/>
  <c r="J27" i="3"/>
  <c r="H27" i="3"/>
  <c r="I27" i="3" s="1"/>
  <c r="F27" i="3"/>
  <c r="G27" i="3" s="1"/>
  <c r="E27" i="3"/>
  <c r="D27" i="3"/>
  <c r="C27" i="3"/>
  <c r="B27" i="3"/>
  <c r="AG26" i="3"/>
  <c r="AF26" i="3"/>
  <c r="AD26" i="3"/>
  <c r="AB26" i="3"/>
  <c r="AA26" i="3"/>
  <c r="Y26" i="3"/>
  <c r="W26" i="3"/>
  <c r="U26" i="3"/>
  <c r="S26" i="3"/>
  <c r="Q26" i="3"/>
  <c r="O26" i="3"/>
  <c r="M26" i="3"/>
  <c r="K26" i="3"/>
  <c r="I26" i="3"/>
  <c r="G26" i="3"/>
  <c r="E26" i="3"/>
  <c r="C26" i="3"/>
  <c r="AH25" i="3"/>
  <c r="AG25" i="3"/>
  <c r="AF25" i="3"/>
  <c r="AD25" i="3"/>
  <c r="AB25" i="3"/>
  <c r="AC25" i="3" s="1"/>
  <c r="AA25" i="3"/>
  <c r="Y25" i="3"/>
  <c r="W25" i="3"/>
  <c r="U25" i="3"/>
  <c r="S25" i="3"/>
  <c r="Q25" i="3"/>
  <c r="O25" i="3"/>
  <c r="M25" i="3"/>
  <c r="K25" i="3"/>
  <c r="I25" i="3"/>
  <c r="G25" i="3"/>
  <c r="E25" i="3"/>
  <c r="C25" i="3"/>
  <c r="AG24" i="3"/>
  <c r="AF24" i="3"/>
  <c r="AD24" i="3"/>
  <c r="AC24" i="3"/>
  <c r="AB24" i="3"/>
  <c r="AA24" i="3"/>
  <c r="Y24" i="3"/>
  <c r="W24" i="3"/>
  <c r="U24" i="3"/>
  <c r="S24" i="3"/>
  <c r="Q24" i="3"/>
  <c r="O24" i="3"/>
  <c r="M24" i="3"/>
  <c r="K24" i="3"/>
  <c r="I24" i="3"/>
  <c r="G24" i="3"/>
  <c r="E24" i="3"/>
  <c r="C24" i="3"/>
  <c r="AH23" i="3"/>
  <c r="AG23" i="3"/>
  <c r="AI23" i="3" s="1"/>
  <c r="AF23" i="3"/>
  <c r="AB23" i="3"/>
  <c r="AA23" i="3"/>
  <c r="Y23" i="3"/>
  <c r="W23" i="3"/>
  <c r="U23" i="3"/>
  <c r="S23" i="3"/>
  <c r="Q23" i="3"/>
  <c r="O23" i="3"/>
  <c r="M23" i="3"/>
  <c r="K23" i="3"/>
  <c r="I23" i="3"/>
  <c r="G23" i="3"/>
  <c r="E23" i="3"/>
  <c r="C23" i="3"/>
  <c r="AL22" i="3"/>
  <c r="AK22" i="3"/>
  <c r="AG22" i="3"/>
  <c r="AI22" i="3" s="1"/>
  <c r="AB22" i="3"/>
  <c r="AA22" i="3"/>
  <c r="Y22" i="3"/>
  <c r="W22" i="3"/>
  <c r="U22" i="3"/>
  <c r="S22" i="3"/>
  <c r="Q22" i="3"/>
  <c r="O22" i="3"/>
  <c r="M22" i="3"/>
  <c r="K22" i="3"/>
  <c r="I22" i="3"/>
  <c r="G22" i="3"/>
  <c r="E22" i="3"/>
  <c r="C22" i="3"/>
  <c r="AK21" i="3"/>
  <c r="AL21" i="3" s="1"/>
  <c r="AI21" i="3"/>
  <c r="AH21" i="3"/>
  <c r="AG21" i="3"/>
  <c r="AF21" i="3"/>
  <c r="AD21" i="3"/>
  <c r="AB21" i="3"/>
  <c r="AC21" i="3" s="1"/>
  <c r="AA21" i="3"/>
  <c r="Y21" i="3"/>
  <c r="W21" i="3"/>
  <c r="U21" i="3"/>
  <c r="S21" i="3"/>
  <c r="Q21" i="3"/>
  <c r="O21" i="3"/>
  <c r="M21" i="3"/>
  <c r="K21" i="3"/>
  <c r="I21" i="3"/>
  <c r="G21" i="3"/>
  <c r="E21" i="3"/>
  <c r="C21" i="3"/>
  <c r="AL20" i="3"/>
  <c r="AK20" i="3"/>
  <c r="AG20" i="3"/>
  <c r="AI20" i="3" s="1"/>
  <c r="AF20" i="3"/>
  <c r="AD20" i="3"/>
  <c r="AB20" i="3"/>
  <c r="AC20" i="3" s="1"/>
  <c r="AA20" i="3"/>
  <c r="Y20" i="3"/>
  <c r="W20" i="3"/>
  <c r="U20" i="3"/>
  <c r="S20" i="3"/>
  <c r="Q20" i="3"/>
  <c r="O20" i="3"/>
  <c r="M20" i="3"/>
  <c r="K20" i="3"/>
  <c r="I20" i="3"/>
  <c r="G20" i="3"/>
  <c r="E20" i="3"/>
  <c r="C20" i="3"/>
  <c r="AH19" i="3"/>
  <c r="AG19" i="3"/>
  <c r="AK19" i="3" s="1"/>
  <c r="AL19" i="3" s="1"/>
  <c r="AC19" i="3"/>
  <c r="AB19" i="3"/>
  <c r="AF19" i="3" s="1"/>
  <c r="AA19" i="3"/>
  <c r="Y19" i="3"/>
  <c r="W19" i="3"/>
  <c r="U19" i="3"/>
  <c r="S19" i="3"/>
  <c r="Q19" i="3"/>
  <c r="O19" i="3"/>
  <c r="M19" i="3"/>
  <c r="K19" i="3"/>
  <c r="I19" i="3"/>
  <c r="G19" i="3"/>
  <c r="E19" i="3"/>
  <c r="C19" i="3"/>
  <c r="AK18" i="3"/>
  <c r="AL18" i="3" s="1"/>
  <c r="AG18" i="3"/>
  <c r="AI18" i="3" s="1"/>
  <c r="AD18" i="3"/>
  <c r="AB18" i="3"/>
  <c r="AF18" i="3" s="1"/>
  <c r="AA18" i="3"/>
  <c r="Y18" i="3"/>
  <c r="W18" i="3"/>
  <c r="U18" i="3"/>
  <c r="S18" i="3"/>
  <c r="Q18" i="3"/>
  <c r="O18" i="3"/>
  <c r="M18" i="3"/>
  <c r="K18" i="3"/>
  <c r="I18" i="3"/>
  <c r="G18" i="3"/>
  <c r="E18" i="3"/>
  <c r="C18" i="3"/>
  <c r="AG17" i="3"/>
  <c r="AC17" i="3"/>
  <c r="AB17" i="3"/>
  <c r="AF17" i="3" s="1"/>
  <c r="AA17" i="3"/>
  <c r="Y17" i="3"/>
  <c r="W17" i="3"/>
  <c r="U17" i="3"/>
  <c r="S17" i="3"/>
  <c r="Q17" i="3"/>
  <c r="O17" i="3"/>
  <c r="M17" i="3"/>
  <c r="K17" i="3"/>
  <c r="I17" i="3"/>
  <c r="G17" i="3"/>
  <c r="E17" i="3"/>
  <c r="C17" i="3"/>
  <c r="AK16" i="3"/>
  <c r="AL16" i="3" s="1"/>
  <c r="AG16" i="3"/>
  <c r="AI16" i="3" s="1"/>
  <c r="AB16" i="3"/>
  <c r="AA16" i="3"/>
  <c r="Y16" i="3"/>
  <c r="W16" i="3"/>
  <c r="U16" i="3"/>
  <c r="S16" i="3"/>
  <c r="Q16" i="3"/>
  <c r="O16" i="3"/>
  <c r="M16" i="3"/>
  <c r="K16" i="3"/>
  <c r="I16" i="3"/>
  <c r="G16" i="3"/>
  <c r="E16" i="3"/>
  <c r="C16" i="3"/>
  <c r="AI15" i="3"/>
  <c r="AH15" i="3"/>
  <c r="AG15" i="3"/>
  <c r="AK15" i="3" s="1"/>
  <c r="AL15" i="3" s="1"/>
  <c r="AF15" i="3"/>
  <c r="AD15" i="3"/>
  <c r="AB15" i="3"/>
  <c r="AC15" i="3" s="1"/>
  <c r="AA15" i="3"/>
  <c r="Y15" i="3"/>
  <c r="W15" i="3"/>
  <c r="U15" i="3"/>
  <c r="S15" i="3"/>
  <c r="Q15" i="3"/>
  <c r="O15" i="3"/>
  <c r="M15" i="3"/>
  <c r="K15" i="3"/>
  <c r="I15" i="3"/>
  <c r="G15" i="3"/>
  <c r="E15" i="3"/>
  <c r="C15" i="3"/>
  <c r="AL13" i="3"/>
  <c r="AK13" i="3"/>
  <c r="AG13" i="3"/>
  <c r="AI13" i="3" s="1"/>
  <c r="AF13" i="3"/>
  <c r="AD13" i="3"/>
  <c r="AB13" i="3"/>
  <c r="AC13" i="3" s="1"/>
  <c r="AA13" i="3"/>
  <c r="Y13" i="3"/>
  <c r="W13" i="3"/>
  <c r="U13" i="3"/>
  <c r="S13" i="3"/>
  <c r="Q13" i="3"/>
  <c r="O13" i="3"/>
  <c r="M13" i="3"/>
  <c r="K13" i="3"/>
  <c r="I13" i="3"/>
  <c r="G13" i="3"/>
  <c r="E13" i="3"/>
  <c r="C13" i="3"/>
  <c r="AF9" i="3"/>
  <c r="AB9" i="3"/>
  <c r="AC9" i="3" s="1"/>
  <c r="Z9" i="3"/>
  <c r="X9" i="3"/>
  <c r="V9" i="3"/>
  <c r="V59" i="3" s="1"/>
  <c r="U9" i="3"/>
  <c r="T9" i="3"/>
  <c r="R9" i="3"/>
  <c r="P9" i="3"/>
  <c r="O9" i="3"/>
  <c r="N9" i="3"/>
  <c r="N59" i="3" s="1"/>
  <c r="N87" i="3" s="1"/>
  <c r="L9" i="3"/>
  <c r="AG9" i="3" s="1"/>
  <c r="AH9" i="3" s="1"/>
  <c r="J9" i="3"/>
  <c r="K9" i="3" s="1"/>
  <c r="H9" i="3"/>
  <c r="F9" i="3"/>
  <c r="D9" i="3"/>
  <c r="D59" i="3" s="1"/>
  <c r="C9" i="3"/>
  <c r="B9" i="3"/>
  <c r="AI8" i="3"/>
  <c r="AH8" i="3"/>
  <c r="AG8" i="3"/>
  <c r="AK8" i="3" s="1"/>
  <c r="AL8" i="3" s="1"/>
  <c r="AB8" i="3"/>
  <c r="AA8" i="3"/>
  <c r="Y8" i="3"/>
  <c r="W8" i="3"/>
  <c r="U8" i="3"/>
  <c r="S8" i="3"/>
  <c r="Q8" i="3"/>
  <c r="O8" i="3"/>
  <c r="M8" i="3"/>
  <c r="K8" i="3"/>
  <c r="I8" i="3"/>
  <c r="G8" i="3"/>
  <c r="E8" i="3"/>
  <c r="C8" i="3"/>
  <c r="AK7" i="3"/>
  <c r="AL7" i="3" s="1"/>
  <c r="AG7" i="3"/>
  <c r="AI7" i="3" s="1"/>
  <c r="AB7" i="3"/>
  <c r="AA7" i="3"/>
  <c r="Y7" i="3"/>
  <c r="W7" i="3"/>
  <c r="U7" i="3"/>
  <c r="S7" i="3"/>
  <c r="Q7" i="3"/>
  <c r="O7" i="3"/>
  <c r="M7" i="3"/>
  <c r="K7" i="3"/>
  <c r="I7" i="3"/>
  <c r="G7" i="3"/>
  <c r="E7" i="3"/>
  <c r="C7" i="3"/>
  <c r="AG148" i="2"/>
  <c r="AF148" i="2"/>
  <c r="AB148" i="2"/>
  <c r="AD148" i="2" s="1"/>
  <c r="Z145" i="2"/>
  <c r="AA145" i="2" s="1"/>
  <c r="X145" i="2"/>
  <c r="V145" i="2"/>
  <c r="W145" i="2" s="1"/>
  <c r="T145" i="2"/>
  <c r="S145" i="2"/>
  <c r="R145" i="2"/>
  <c r="Q145" i="2"/>
  <c r="P145" i="2"/>
  <c r="N145" i="2"/>
  <c r="O145" i="2" s="1"/>
  <c r="M145" i="2"/>
  <c r="L145" i="2"/>
  <c r="J145" i="2"/>
  <c r="K145" i="2" s="1"/>
  <c r="H145" i="2"/>
  <c r="I145" i="2" s="1"/>
  <c r="G145" i="2"/>
  <c r="F145" i="2"/>
  <c r="D145" i="2"/>
  <c r="E145" i="2" s="1"/>
  <c r="C145" i="2"/>
  <c r="B145" i="2"/>
  <c r="AH144" i="2"/>
  <c r="AG144" i="2"/>
  <c r="AC144" i="2"/>
  <c r="AB144" i="2"/>
  <c r="AA144" i="2"/>
  <c r="Y144" i="2"/>
  <c r="W144" i="2"/>
  <c r="U144" i="2"/>
  <c r="S144" i="2"/>
  <c r="Q144" i="2"/>
  <c r="O144" i="2"/>
  <c r="M144" i="2"/>
  <c r="K144" i="2"/>
  <c r="I144" i="2"/>
  <c r="G144" i="2"/>
  <c r="E144" i="2"/>
  <c r="C144" i="2"/>
  <c r="AF141" i="2"/>
  <c r="AB141" i="2"/>
  <c r="AA141" i="2"/>
  <c r="Z141" i="2"/>
  <c r="Y141" i="2"/>
  <c r="X141" i="2"/>
  <c r="V141" i="2"/>
  <c r="W141" i="2" s="1"/>
  <c r="U141" i="2"/>
  <c r="T141" i="2"/>
  <c r="S141" i="2"/>
  <c r="R141" i="2"/>
  <c r="P141" i="2"/>
  <c r="Q141" i="2" s="1"/>
  <c r="O141" i="2"/>
  <c r="N141" i="2"/>
  <c r="M141" i="2"/>
  <c r="L141" i="2"/>
  <c r="K141" i="2"/>
  <c r="J141" i="2"/>
  <c r="AG141" i="2" s="1"/>
  <c r="I141" i="2"/>
  <c r="H141" i="2"/>
  <c r="F141" i="2"/>
  <c r="G141" i="2" s="1"/>
  <c r="D141" i="2"/>
  <c r="E141" i="2" s="1"/>
  <c r="B141" i="2"/>
  <c r="C141" i="2" s="1"/>
  <c r="AG140" i="2"/>
  <c r="AF140" i="2"/>
  <c r="AE140" i="2"/>
  <c r="AD140" i="2"/>
  <c r="AB140" i="2"/>
  <c r="AC140" i="2" s="1"/>
  <c r="AA140" i="2"/>
  <c r="Y140" i="2"/>
  <c r="W140" i="2"/>
  <c r="U140" i="2"/>
  <c r="S140" i="2"/>
  <c r="Q140" i="2"/>
  <c r="O140" i="2"/>
  <c r="M140" i="2"/>
  <c r="K140" i="2"/>
  <c r="I140" i="2"/>
  <c r="G140" i="2"/>
  <c r="E140" i="2"/>
  <c r="C140" i="2"/>
  <c r="AA135" i="2"/>
  <c r="Z135" i="2"/>
  <c r="X135" i="2"/>
  <c r="Y135" i="2" s="1"/>
  <c r="V135" i="2"/>
  <c r="W135" i="2" s="1"/>
  <c r="T135" i="2"/>
  <c r="U135" i="2" s="1"/>
  <c r="R135" i="2"/>
  <c r="Q135" i="2"/>
  <c r="P135" i="2"/>
  <c r="AG135" i="2" s="1"/>
  <c r="O135" i="2"/>
  <c r="N135" i="2"/>
  <c r="M135" i="2"/>
  <c r="L135" i="2"/>
  <c r="K135" i="2"/>
  <c r="J135" i="2"/>
  <c r="H135" i="2"/>
  <c r="I135" i="2" s="1"/>
  <c r="F135" i="2"/>
  <c r="G135" i="2" s="1"/>
  <c r="D135" i="2"/>
  <c r="E135" i="2" s="1"/>
  <c r="B135" i="2"/>
  <c r="C135" i="2" s="1"/>
  <c r="AK134" i="2"/>
  <c r="AI134" i="2"/>
  <c r="AG134" i="2"/>
  <c r="AH134" i="2" s="1"/>
  <c r="AB134" i="2"/>
  <c r="AA134" i="2"/>
  <c r="Y134" i="2"/>
  <c r="W134" i="2"/>
  <c r="U134" i="2"/>
  <c r="S134" i="2"/>
  <c r="Q134" i="2"/>
  <c r="O134" i="2"/>
  <c r="M134" i="2"/>
  <c r="K134" i="2"/>
  <c r="I134" i="2"/>
  <c r="G134" i="2"/>
  <c r="E134" i="2"/>
  <c r="C134" i="2"/>
  <c r="AH133" i="2"/>
  <c r="AG133" i="2"/>
  <c r="AF133" i="2"/>
  <c r="AD133" i="2"/>
  <c r="AE133" i="2" s="1"/>
  <c r="AC133" i="2"/>
  <c r="AB133" i="2"/>
  <c r="AA133" i="2"/>
  <c r="Y133" i="2"/>
  <c r="W133" i="2"/>
  <c r="U133" i="2"/>
  <c r="S133" i="2"/>
  <c r="Q133" i="2"/>
  <c r="O133" i="2"/>
  <c r="M133" i="2"/>
  <c r="K133" i="2"/>
  <c r="I133" i="2"/>
  <c r="G133" i="2"/>
  <c r="E133" i="2"/>
  <c r="C133" i="2"/>
  <c r="AG132" i="2"/>
  <c r="AB132" i="2"/>
  <c r="AA132" i="2"/>
  <c r="Y132" i="2"/>
  <c r="W132" i="2"/>
  <c r="U132" i="2"/>
  <c r="S132" i="2"/>
  <c r="Q132" i="2"/>
  <c r="O132" i="2"/>
  <c r="M132" i="2"/>
  <c r="K132" i="2"/>
  <c r="I132" i="2"/>
  <c r="G132" i="2"/>
  <c r="E132" i="2"/>
  <c r="C132" i="2"/>
  <c r="AI131" i="2"/>
  <c r="AG131" i="2"/>
  <c r="AK131" i="2" s="1"/>
  <c r="AC131" i="2"/>
  <c r="AB131" i="2"/>
  <c r="AA131" i="2"/>
  <c r="Y131" i="2"/>
  <c r="W131" i="2"/>
  <c r="U131" i="2"/>
  <c r="S131" i="2"/>
  <c r="Q131" i="2"/>
  <c r="O131" i="2"/>
  <c r="M131" i="2"/>
  <c r="K131" i="2"/>
  <c r="I131" i="2"/>
  <c r="G131" i="2"/>
  <c r="E131" i="2"/>
  <c r="C131" i="2"/>
  <c r="AG130" i="2"/>
  <c r="AB130" i="2"/>
  <c r="AA130" i="2"/>
  <c r="Y130" i="2"/>
  <c r="W130" i="2"/>
  <c r="U130" i="2"/>
  <c r="S130" i="2"/>
  <c r="Q130" i="2"/>
  <c r="O130" i="2"/>
  <c r="M130" i="2"/>
  <c r="K130" i="2"/>
  <c r="I130" i="2"/>
  <c r="G130" i="2"/>
  <c r="E130" i="2"/>
  <c r="C130" i="2"/>
  <c r="AG129" i="2"/>
  <c r="AK129" i="2" s="1"/>
  <c r="AF129" i="2"/>
  <c r="AD129" i="2"/>
  <c r="AE129" i="2" s="1"/>
  <c r="AB129" i="2"/>
  <c r="AC129" i="2" s="1"/>
  <c r="AA129" i="2"/>
  <c r="Y129" i="2"/>
  <c r="W129" i="2"/>
  <c r="U129" i="2"/>
  <c r="S129" i="2"/>
  <c r="Q129" i="2"/>
  <c r="O129" i="2"/>
  <c r="M129" i="2"/>
  <c r="K129" i="2"/>
  <c r="I129" i="2"/>
  <c r="G129" i="2"/>
  <c r="E129" i="2"/>
  <c r="C129" i="2"/>
  <c r="AK128" i="2"/>
  <c r="AG128" i="2"/>
  <c r="AI128" i="2" s="1"/>
  <c r="AF128" i="2"/>
  <c r="AB128" i="2"/>
  <c r="AA128" i="2"/>
  <c r="Y128" i="2"/>
  <c r="W128" i="2"/>
  <c r="U128" i="2"/>
  <c r="S128" i="2"/>
  <c r="Q128" i="2"/>
  <c r="O128" i="2"/>
  <c r="M128" i="2"/>
  <c r="K128" i="2"/>
  <c r="I128" i="2"/>
  <c r="G128" i="2"/>
  <c r="E128" i="2"/>
  <c r="C128" i="2"/>
  <c r="AH127" i="2"/>
  <c r="AG127" i="2"/>
  <c r="AK127" i="2" s="1"/>
  <c r="AC127" i="2"/>
  <c r="AB127" i="2"/>
  <c r="AF127" i="2" s="1"/>
  <c r="AA127" i="2"/>
  <c r="Y127" i="2"/>
  <c r="W127" i="2"/>
  <c r="U127" i="2"/>
  <c r="S127" i="2"/>
  <c r="Q127" i="2"/>
  <c r="O127" i="2"/>
  <c r="M127" i="2"/>
  <c r="K127" i="2"/>
  <c r="I127" i="2"/>
  <c r="G127" i="2"/>
  <c r="E127" i="2"/>
  <c r="C127" i="2"/>
  <c r="AG126" i="2"/>
  <c r="AB126" i="2"/>
  <c r="AA126" i="2"/>
  <c r="Y126" i="2"/>
  <c r="W126" i="2"/>
  <c r="U126" i="2"/>
  <c r="S126" i="2"/>
  <c r="Q126" i="2"/>
  <c r="O126" i="2"/>
  <c r="M126" i="2"/>
  <c r="K126" i="2"/>
  <c r="I126" i="2"/>
  <c r="G126" i="2"/>
  <c r="E126" i="2"/>
  <c r="C126" i="2"/>
  <c r="AI125" i="2"/>
  <c r="AH125" i="2"/>
  <c r="AG125" i="2"/>
  <c r="AK125" i="2" s="1"/>
  <c r="AD125" i="2"/>
  <c r="AE125" i="2" s="1"/>
  <c r="AB125" i="2"/>
  <c r="AF125" i="2" s="1"/>
  <c r="AA125" i="2"/>
  <c r="Y125" i="2"/>
  <c r="W125" i="2"/>
  <c r="U125" i="2"/>
  <c r="S125" i="2"/>
  <c r="Q125" i="2"/>
  <c r="O125" i="2"/>
  <c r="M125" i="2"/>
  <c r="K125" i="2"/>
  <c r="I125" i="2"/>
  <c r="G125" i="2"/>
  <c r="E125" i="2"/>
  <c r="C125" i="2"/>
  <c r="AG124" i="2"/>
  <c r="AB124" i="2"/>
  <c r="AA124" i="2"/>
  <c r="Y124" i="2"/>
  <c r="W124" i="2"/>
  <c r="U124" i="2"/>
  <c r="S124" i="2"/>
  <c r="Q124" i="2"/>
  <c r="O124" i="2"/>
  <c r="M124" i="2"/>
  <c r="K124" i="2"/>
  <c r="I124" i="2"/>
  <c r="G124" i="2"/>
  <c r="E124" i="2"/>
  <c r="C124" i="2"/>
  <c r="AI123" i="2"/>
  <c r="AG123" i="2"/>
  <c r="AK123" i="2" s="1"/>
  <c r="AF123" i="2"/>
  <c r="AD123" i="2"/>
  <c r="AE123" i="2" s="1"/>
  <c r="AC123" i="2"/>
  <c r="AB123" i="2"/>
  <c r="AA123" i="2"/>
  <c r="Y123" i="2"/>
  <c r="W123" i="2"/>
  <c r="U123" i="2"/>
  <c r="S123" i="2"/>
  <c r="Q123" i="2"/>
  <c r="O123" i="2"/>
  <c r="M123" i="2"/>
  <c r="K123" i="2"/>
  <c r="I123" i="2"/>
  <c r="G123" i="2"/>
  <c r="E123" i="2"/>
  <c r="C123" i="2"/>
  <c r="AG122" i="2"/>
  <c r="AF122" i="2"/>
  <c r="AB122" i="2"/>
  <c r="AA122" i="2"/>
  <c r="Y122" i="2"/>
  <c r="W122" i="2"/>
  <c r="U122" i="2"/>
  <c r="S122" i="2"/>
  <c r="Q122" i="2"/>
  <c r="O122" i="2"/>
  <c r="M122" i="2"/>
  <c r="K122" i="2"/>
  <c r="I122" i="2"/>
  <c r="G122" i="2"/>
  <c r="E122" i="2"/>
  <c r="C122" i="2"/>
  <c r="AI121" i="2"/>
  <c r="AH121" i="2"/>
  <c r="AG121" i="2"/>
  <c r="AK121" i="2" s="1"/>
  <c r="AF121" i="2"/>
  <c r="AB121" i="2"/>
  <c r="AA121" i="2"/>
  <c r="Y121" i="2"/>
  <c r="W121" i="2"/>
  <c r="U121" i="2"/>
  <c r="S121" i="2"/>
  <c r="Q121" i="2"/>
  <c r="O121" i="2"/>
  <c r="M121" i="2"/>
  <c r="K121" i="2"/>
  <c r="I121" i="2"/>
  <c r="G121" i="2"/>
  <c r="E121" i="2"/>
  <c r="C121" i="2"/>
  <c r="AI120" i="2"/>
  <c r="AG120" i="2"/>
  <c r="AK120" i="2" s="1"/>
  <c r="AF120" i="2"/>
  <c r="AB120" i="2"/>
  <c r="AA120" i="2"/>
  <c r="Y120" i="2"/>
  <c r="W120" i="2"/>
  <c r="U120" i="2"/>
  <c r="S120" i="2"/>
  <c r="Q120" i="2"/>
  <c r="O120" i="2"/>
  <c r="M120" i="2"/>
  <c r="K120" i="2"/>
  <c r="I120" i="2"/>
  <c r="G120" i="2"/>
  <c r="E120" i="2"/>
  <c r="C120" i="2"/>
  <c r="AI119" i="2"/>
  <c r="AG119" i="2"/>
  <c r="AK119" i="2" s="1"/>
  <c r="AD119" i="2"/>
  <c r="AE119" i="2" s="1"/>
  <c r="AC119" i="2"/>
  <c r="AB119" i="2"/>
  <c r="AF119" i="2" s="1"/>
  <c r="AA119" i="2"/>
  <c r="Y119" i="2"/>
  <c r="W119" i="2"/>
  <c r="U119" i="2"/>
  <c r="S119" i="2"/>
  <c r="Q119" i="2"/>
  <c r="O119" i="2"/>
  <c r="M119" i="2"/>
  <c r="K119" i="2"/>
  <c r="I119" i="2"/>
  <c r="G119" i="2"/>
  <c r="E119" i="2"/>
  <c r="C119" i="2"/>
  <c r="AH118" i="2"/>
  <c r="AG118" i="2"/>
  <c r="AF118" i="2"/>
  <c r="AB118" i="2"/>
  <c r="AA118" i="2"/>
  <c r="Y118" i="2"/>
  <c r="W118" i="2"/>
  <c r="U118" i="2"/>
  <c r="S118" i="2"/>
  <c r="Q118" i="2"/>
  <c r="O118" i="2"/>
  <c r="M118" i="2"/>
  <c r="K118" i="2"/>
  <c r="I118" i="2"/>
  <c r="G118" i="2"/>
  <c r="E118" i="2"/>
  <c r="C118" i="2"/>
  <c r="AI117" i="2"/>
  <c r="AG117" i="2"/>
  <c r="AK117" i="2" s="1"/>
  <c r="AF117" i="2"/>
  <c r="AE117" i="2"/>
  <c r="AD117" i="2"/>
  <c r="AB117" i="2"/>
  <c r="AC117" i="2" s="1"/>
  <c r="AA117" i="2"/>
  <c r="Y117" i="2"/>
  <c r="W117" i="2"/>
  <c r="U117" i="2"/>
  <c r="S117" i="2"/>
  <c r="Q117" i="2"/>
  <c r="O117" i="2"/>
  <c r="M117" i="2"/>
  <c r="K117" i="2"/>
  <c r="I117" i="2"/>
  <c r="G117" i="2"/>
  <c r="E117" i="2"/>
  <c r="C117" i="2"/>
  <c r="AG116" i="2"/>
  <c r="AF116" i="2"/>
  <c r="AB116" i="2"/>
  <c r="AA116" i="2"/>
  <c r="Y116" i="2"/>
  <c r="W116" i="2"/>
  <c r="U116" i="2"/>
  <c r="S116" i="2"/>
  <c r="Q116" i="2"/>
  <c r="O116" i="2"/>
  <c r="M116" i="2"/>
  <c r="K116" i="2"/>
  <c r="I116" i="2"/>
  <c r="G116" i="2"/>
  <c r="E116" i="2"/>
  <c r="C116" i="2"/>
  <c r="AG115" i="2"/>
  <c r="AB115" i="2"/>
  <c r="AF115" i="2" s="1"/>
  <c r="AA115" i="2"/>
  <c r="Y115" i="2"/>
  <c r="W115" i="2"/>
  <c r="U115" i="2"/>
  <c r="S115" i="2"/>
  <c r="Q115" i="2"/>
  <c r="O115" i="2"/>
  <c r="M115" i="2"/>
  <c r="K115" i="2"/>
  <c r="I115" i="2"/>
  <c r="G115" i="2"/>
  <c r="E115" i="2"/>
  <c r="C115" i="2"/>
  <c r="AK114" i="2"/>
  <c r="AI114" i="2"/>
  <c r="AH114" i="2"/>
  <c r="AG114" i="2"/>
  <c r="AB114" i="2"/>
  <c r="AA114" i="2"/>
  <c r="Y114" i="2"/>
  <c r="W114" i="2"/>
  <c r="U114" i="2"/>
  <c r="S114" i="2"/>
  <c r="Q114" i="2"/>
  <c r="O114" i="2"/>
  <c r="M114" i="2"/>
  <c r="K114" i="2"/>
  <c r="I114" i="2"/>
  <c r="G114" i="2"/>
  <c r="E114" i="2"/>
  <c r="C114" i="2"/>
  <c r="AG113" i="2"/>
  <c r="AK113" i="2" s="1"/>
  <c r="AB113" i="2"/>
  <c r="AA113" i="2"/>
  <c r="Y113" i="2"/>
  <c r="W113" i="2"/>
  <c r="U113" i="2"/>
  <c r="S113" i="2"/>
  <c r="Q113" i="2"/>
  <c r="O113" i="2"/>
  <c r="M113" i="2"/>
  <c r="K113" i="2"/>
  <c r="I113" i="2"/>
  <c r="G113" i="2"/>
  <c r="E113" i="2"/>
  <c r="C113" i="2"/>
  <c r="AI112" i="2"/>
  <c r="AG112" i="2"/>
  <c r="AK112" i="2" s="1"/>
  <c r="AB112" i="2"/>
  <c r="AA112" i="2"/>
  <c r="Y112" i="2"/>
  <c r="W112" i="2"/>
  <c r="U112" i="2"/>
  <c r="S112" i="2"/>
  <c r="Q112" i="2"/>
  <c r="O112" i="2"/>
  <c r="M112" i="2"/>
  <c r="K112" i="2"/>
  <c r="I112" i="2"/>
  <c r="G112" i="2"/>
  <c r="E112" i="2"/>
  <c r="C112" i="2"/>
  <c r="AH111" i="2"/>
  <c r="AG111" i="2"/>
  <c r="AK111" i="2" s="1"/>
  <c r="AF111" i="2"/>
  <c r="AC111" i="2"/>
  <c r="AB111" i="2"/>
  <c r="AD111" i="2" s="1"/>
  <c r="AE111" i="2" s="1"/>
  <c r="AA111" i="2"/>
  <c r="Y111" i="2"/>
  <c r="W111" i="2"/>
  <c r="U111" i="2"/>
  <c r="S111" i="2"/>
  <c r="Q111" i="2"/>
  <c r="O111" i="2"/>
  <c r="M111" i="2"/>
  <c r="K111" i="2"/>
  <c r="I111" i="2"/>
  <c r="G111" i="2"/>
  <c r="E111" i="2"/>
  <c r="C111" i="2"/>
  <c r="AG110" i="2"/>
  <c r="AB110" i="2"/>
  <c r="AA110" i="2"/>
  <c r="Y110" i="2"/>
  <c r="W110" i="2"/>
  <c r="U110" i="2"/>
  <c r="S110" i="2"/>
  <c r="Q110" i="2"/>
  <c r="O110" i="2"/>
  <c r="M110" i="2"/>
  <c r="K110" i="2"/>
  <c r="I110" i="2"/>
  <c r="G110" i="2"/>
  <c r="E110" i="2"/>
  <c r="C110" i="2"/>
  <c r="AA105" i="2"/>
  <c r="Z105" i="2"/>
  <c r="X105" i="2"/>
  <c r="V105" i="2"/>
  <c r="W105" i="2" s="1"/>
  <c r="T105" i="2"/>
  <c r="U105" i="2" s="1"/>
  <c r="S105" i="2"/>
  <c r="R105" i="2"/>
  <c r="P105" i="2"/>
  <c r="Q105" i="2" s="1"/>
  <c r="N105" i="2"/>
  <c r="M105" i="2"/>
  <c r="L105" i="2"/>
  <c r="J105" i="2"/>
  <c r="K105" i="2" s="1"/>
  <c r="I105" i="2"/>
  <c r="H105" i="2"/>
  <c r="G105" i="2"/>
  <c r="F105" i="2"/>
  <c r="E105" i="2"/>
  <c r="D105" i="2"/>
  <c r="B105" i="2"/>
  <c r="C105" i="2" s="1"/>
  <c r="AK104" i="2"/>
  <c r="AI104" i="2"/>
  <c r="AG104" i="2"/>
  <c r="AB104" i="2"/>
  <c r="AA104" i="2"/>
  <c r="Y104" i="2"/>
  <c r="W104" i="2"/>
  <c r="U104" i="2"/>
  <c r="S104" i="2"/>
  <c r="Q104" i="2"/>
  <c r="O104" i="2"/>
  <c r="M104" i="2"/>
  <c r="K104" i="2"/>
  <c r="I104" i="2"/>
  <c r="G104" i="2"/>
  <c r="E104" i="2"/>
  <c r="C104" i="2"/>
  <c r="Z99" i="2"/>
  <c r="AA99" i="2" s="1"/>
  <c r="Y99" i="2"/>
  <c r="X99" i="2"/>
  <c r="V99" i="2"/>
  <c r="W99" i="2" s="1"/>
  <c r="T99" i="2"/>
  <c r="U99" i="2" s="1"/>
  <c r="R99" i="2"/>
  <c r="Q99" i="2"/>
  <c r="P99" i="2"/>
  <c r="O99" i="2"/>
  <c r="N99" i="2"/>
  <c r="L99" i="2"/>
  <c r="M99" i="2" s="1"/>
  <c r="K99" i="2"/>
  <c r="J99" i="2"/>
  <c r="H99" i="2"/>
  <c r="I99" i="2" s="1"/>
  <c r="G99" i="2"/>
  <c r="F99" i="2"/>
  <c r="E99" i="2"/>
  <c r="D99" i="2"/>
  <c r="C99" i="2"/>
  <c r="B99" i="2"/>
  <c r="AK98" i="2"/>
  <c r="AG98" i="2"/>
  <c r="AI98" i="2" s="1"/>
  <c r="AB98" i="2"/>
  <c r="AA98" i="2"/>
  <c r="Y98" i="2"/>
  <c r="W98" i="2"/>
  <c r="U98" i="2"/>
  <c r="S98" i="2"/>
  <c r="Q98" i="2"/>
  <c r="O98" i="2"/>
  <c r="M98" i="2"/>
  <c r="K98" i="2"/>
  <c r="I98" i="2"/>
  <c r="G98" i="2"/>
  <c r="E98" i="2"/>
  <c r="C98" i="2"/>
  <c r="AI97" i="2"/>
  <c r="AH97" i="2"/>
  <c r="AG97" i="2"/>
  <c r="AK97" i="2" s="1"/>
  <c r="AC97" i="2"/>
  <c r="AB97" i="2"/>
  <c r="AF97" i="2" s="1"/>
  <c r="AA97" i="2"/>
  <c r="Y97" i="2"/>
  <c r="W97" i="2"/>
  <c r="U97" i="2"/>
  <c r="S97" i="2"/>
  <c r="Q97" i="2"/>
  <c r="O97" i="2"/>
  <c r="M97" i="2"/>
  <c r="K97" i="2"/>
  <c r="I97" i="2"/>
  <c r="G97" i="2"/>
  <c r="E97" i="2"/>
  <c r="C97" i="2"/>
  <c r="AK96" i="2"/>
  <c r="AG96" i="2"/>
  <c r="AI96" i="2" s="1"/>
  <c r="AF96" i="2"/>
  <c r="AE96" i="2"/>
  <c r="AD96" i="2"/>
  <c r="AB96" i="2"/>
  <c r="AC96" i="2" s="1"/>
  <c r="AA96" i="2"/>
  <c r="Y96" i="2"/>
  <c r="W96" i="2"/>
  <c r="U96" i="2"/>
  <c r="S96" i="2"/>
  <c r="Q96" i="2"/>
  <c r="O96" i="2"/>
  <c r="M96" i="2"/>
  <c r="K96" i="2"/>
  <c r="I96" i="2"/>
  <c r="G96" i="2"/>
  <c r="E96" i="2"/>
  <c r="C96" i="2"/>
  <c r="AG95" i="2"/>
  <c r="AF95" i="2"/>
  <c r="AD95" i="2"/>
  <c r="AE95" i="2" s="1"/>
  <c r="AB95" i="2"/>
  <c r="AC95" i="2" s="1"/>
  <c r="AA95" i="2"/>
  <c r="Y95" i="2"/>
  <c r="W95" i="2"/>
  <c r="U95" i="2"/>
  <c r="S95" i="2"/>
  <c r="Q95" i="2"/>
  <c r="O95" i="2"/>
  <c r="M95" i="2"/>
  <c r="K95" i="2"/>
  <c r="I95" i="2"/>
  <c r="G95" i="2"/>
  <c r="E95" i="2"/>
  <c r="C95" i="2"/>
  <c r="AK94" i="2"/>
  <c r="AG94" i="2"/>
  <c r="AI94" i="2" s="1"/>
  <c r="AB94" i="2"/>
  <c r="AA94" i="2"/>
  <c r="Y94" i="2"/>
  <c r="W94" i="2"/>
  <c r="U94" i="2"/>
  <c r="S94" i="2"/>
  <c r="Q94" i="2"/>
  <c r="O94" i="2"/>
  <c r="M94" i="2"/>
  <c r="K94" i="2"/>
  <c r="I94" i="2"/>
  <c r="G94" i="2"/>
  <c r="E94" i="2"/>
  <c r="C94" i="2"/>
  <c r="AK93" i="2"/>
  <c r="AG93" i="2"/>
  <c r="AI93" i="2" s="1"/>
  <c r="AF93" i="2"/>
  <c r="AD93" i="2"/>
  <c r="AE93" i="2" s="1"/>
  <c r="AB93" i="2"/>
  <c r="AC93" i="2" s="1"/>
  <c r="AA93" i="2"/>
  <c r="Y93" i="2"/>
  <c r="W93" i="2"/>
  <c r="U93" i="2"/>
  <c r="S93" i="2"/>
  <c r="Q93" i="2"/>
  <c r="O93" i="2"/>
  <c r="M93" i="2"/>
  <c r="K93" i="2"/>
  <c r="I93" i="2"/>
  <c r="G93" i="2"/>
  <c r="E93" i="2"/>
  <c r="C93" i="2"/>
  <c r="AK92" i="2"/>
  <c r="AI92" i="2"/>
  <c r="AG92" i="2"/>
  <c r="AB92" i="2"/>
  <c r="AA92" i="2"/>
  <c r="Y92" i="2"/>
  <c r="W92" i="2"/>
  <c r="U92" i="2"/>
  <c r="S92" i="2"/>
  <c r="Q92" i="2"/>
  <c r="O92" i="2"/>
  <c r="M92" i="2"/>
  <c r="K92" i="2"/>
  <c r="I92" i="2"/>
  <c r="G92" i="2"/>
  <c r="E92" i="2"/>
  <c r="C92" i="2"/>
  <c r="AK91" i="2"/>
  <c r="AI91" i="2"/>
  <c r="AG91" i="2"/>
  <c r="AD91" i="2"/>
  <c r="AE91" i="2" s="1"/>
  <c r="AC91" i="2"/>
  <c r="AB91" i="2"/>
  <c r="AF91" i="2" s="1"/>
  <c r="AA91" i="2"/>
  <c r="Y91" i="2"/>
  <c r="W91" i="2"/>
  <c r="U91" i="2"/>
  <c r="S91" i="2"/>
  <c r="Q91" i="2"/>
  <c r="O91" i="2"/>
  <c r="M91" i="2"/>
  <c r="K91" i="2"/>
  <c r="I91" i="2"/>
  <c r="G91" i="2"/>
  <c r="E91" i="2"/>
  <c r="C91" i="2"/>
  <c r="AK90" i="2"/>
  <c r="AG90" i="2"/>
  <c r="AI90" i="2" s="1"/>
  <c r="AB90" i="2"/>
  <c r="AA90" i="2"/>
  <c r="Y90" i="2"/>
  <c r="W90" i="2"/>
  <c r="U90" i="2"/>
  <c r="S90" i="2"/>
  <c r="Q90" i="2"/>
  <c r="O90" i="2"/>
  <c r="M90" i="2"/>
  <c r="K90" i="2"/>
  <c r="I90" i="2"/>
  <c r="G90" i="2"/>
  <c r="E90" i="2"/>
  <c r="C90" i="2"/>
  <c r="N87" i="2"/>
  <c r="AA85" i="2"/>
  <c r="Z85" i="2"/>
  <c r="X85" i="2"/>
  <c r="W85" i="2"/>
  <c r="V85" i="2"/>
  <c r="T85" i="2"/>
  <c r="U85" i="2" s="1"/>
  <c r="R85" i="2"/>
  <c r="Q85" i="2"/>
  <c r="P85" i="2"/>
  <c r="N85" i="2"/>
  <c r="O85" i="2" s="1"/>
  <c r="M85" i="2"/>
  <c r="L85" i="2"/>
  <c r="AG85" i="2" s="1"/>
  <c r="AH85" i="2" s="1"/>
  <c r="J85" i="2"/>
  <c r="K85" i="2" s="1"/>
  <c r="H85" i="2"/>
  <c r="I85" i="2" s="1"/>
  <c r="F85" i="2"/>
  <c r="G85" i="2" s="1"/>
  <c r="E85" i="2"/>
  <c r="D85" i="2"/>
  <c r="B85" i="2"/>
  <c r="C85" i="2" s="1"/>
  <c r="Z84" i="2"/>
  <c r="AA84" i="2" s="1"/>
  <c r="X84" i="2"/>
  <c r="W84" i="2"/>
  <c r="V84" i="2"/>
  <c r="U84" i="2"/>
  <c r="T84" i="2"/>
  <c r="R84" i="2"/>
  <c r="Q84" i="2"/>
  <c r="P84" i="2"/>
  <c r="O84" i="2"/>
  <c r="N84" i="2"/>
  <c r="M84" i="2"/>
  <c r="L84" i="2"/>
  <c r="K84" i="2"/>
  <c r="J84" i="2"/>
  <c r="I84" i="2"/>
  <c r="H84" i="2"/>
  <c r="G84" i="2"/>
  <c r="F84" i="2"/>
  <c r="D84" i="2"/>
  <c r="E84" i="2" s="1"/>
  <c r="B84" i="2"/>
  <c r="C84" i="2" s="1"/>
  <c r="AK83" i="2"/>
  <c r="AI83" i="2"/>
  <c r="AG83" i="2"/>
  <c r="AB83" i="2"/>
  <c r="AA83" i="2"/>
  <c r="Y83" i="2"/>
  <c r="W83" i="2"/>
  <c r="U83" i="2"/>
  <c r="S83" i="2"/>
  <c r="Q83" i="2"/>
  <c r="O83" i="2"/>
  <c r="M83" i="2"/>
  <c r="K83" i="2"/>
  <c r="I83" i="2"/>
  <c r="G83" i="2"/>
  <c r="E83" i="2"/>
  <c r="C83" i="2"/>
  <c r="AK82" i="2"/>
  <c r="AI82" i="2"/>
  <c r="AG82" i="2"/>
  <c r="AH82" i="2" s="1"/>
  <c r="AB82" i="2"/>
  <c r="AA82" i="2"/>
  <c r="Y82" i="2"/>
  <c r="W82" i="2"/>
  <c r="U82" i="2"/>
  <c r="S82" i="2"/>
  <c r="Q82" i="2"/>
  <c r="O82" i="2"/>
  <c r="M82" i="2"/>
  <c r="K82" i="2"/>
  <c r="I82" i="2"/>
  <c r="G82" i="2"/>
  <c r="E82" i="2"/>
  <c r="C82" i="2"/>
  <c r="AG81" i="2"/>
  <c r="AA81" i="2"/>
  <c r="Z81" i="2"/>
  <c r="X81" i="2"/>
  <c r="Y81" i="2" s="1"/>
  <c r="V81" i="2"/>
  <c r="W81" i="2" s="1"/>
  <c r="U81" i="2"/>
  <c r="T81" i="2"/>
  <c r="S81" i="2"/>
  <c r="R81" i="2"/>
  <c r="Q81" i="2"/>
  <c r="P81" i="2"/>
  <c r="N81" i="2"/>
  <c r="O81" i="2" s="1"/>
  <c r="M81" i="2"/>
  <c r="L81" i="2"/>
  <c r="K81" i="2"/>
  <c r="J81" i="2"/>
  <c r="H81" i="2"/>
  <c r="I81" i="2" s="1"/>
  <c r="F81" i="2"/>
  <c r="G81" i="2" s="1"/>
  <c r="D81" i="2"/>
  <c r="E81" i="2" s="1"/>
  <c r="B81" i="2"/>
  <c r="C81" i="2" s="1"/>
  <c r="AG80" i="2"/>
  <c r="AB80" i="2"/>
  <c r="AA80" i="2"/>
  <c r="Y80" i="2"/>
  <c r="W80" i="2"/>
  <c r="U80" i="2"/>
  <c r="S80" i="2"/>
  <c r="Q80" i="2"/>
  <c r="O80" i="2"/>
  <c r="M80" i="2"/>
  <c r="K80" i="2"/>
  <c r="I80" i="2"/>
  <c r="G80" i="2"/>
  <c r="E80" i="2"/>
  <c r="C80" i="2"/>
  <c r="AG79" i="2"/>
  <c r="AF79" i="2"/>
  <c r="AD79" i="2"/>
  <c r="AE79" i="2" s="1"/>
  <c r="AC79" i="2"/>
  <c r="AB79" i="2"/>
  <c r="AA79" i="2"/>
  <c r="Y79" i="2"/>
  <c r="W79" i="2"/>
  <c r="U79" i="2"/>
  <c r="S79" i="2"/>
  <c r="Q79" i="2"/>
  <c r="O79" i="2"/>
  <c r="M79" i="2"/>
  <c r="K79" i="2"/>
  <c r="I79" i="2"/>
  <c r="G79" i="2"/>
  <c r="E79" i="2"/>
  <c r="C79" i="2"/>
  <c r="AG78" i="2"/>
  <c r="AF78" i="2"/>
  <c r="AE78" i="2"/>
  <c r="AD78" i="2"/>
  <c r="AC78" i="2"/>
  <c r="AB78" i="2"/>
  <c r="AA78" i="2"/>
  <c r="Y78" i="2"/>
  <c r="W78" i="2"/>
  <c r="U78" i="2"/>
  <c r="S78" i="2"/>
  <c r="Q78" i="2"/>
  <c r="O78" i="2"/>
  <c r="M78" i="2"/>
  <c r="K78" i="2"/>
  <c r="I78" i="2"/>
  <c r="G78" i="2"/>
  <c r="E78" i="2"/>
  <c r="C78" i="2"/>
  <c r="AK77" i="2"/>
  <c r="AG77" i="2"/>
  <c r="AC77" i="2"/>
  <c r="AB77" i="2"/>
  <c r="AA77" i="2"/>
  <c r="Y77" i="2"/>
  <c r="W77" i="2"/>
  <c r="U77" i="2"/>
  <c r="S77" i="2"/>
  <c r="Q77" i="2"/>
  <c r="O77" i="2"/>
  <c r="M77" i="2"/>
  <c r="K77" i="2"/>
  <c r="I77" i="2"/>
  <c r="G77" i="2"/>
  <c r="E77" i="2"/>
  <c r="C77" i="2"/>
  <c r="AK76" i="2"/>
  <c r="AI76" i="2"/>
  <c r="AH76" i="2"/>
  <c r="AG76" i="2"/>
  <c r="AF76" i="2"/>
  <c r="AD76" i="2"/>
  <c r="AE76" i="2" s="1"/>
  <c r="AC76" i="2"/>
  <c r="AB76" i="2"/>
  <c r="AA76" i="2"/>
  <c r="Y76" i="2"/>
  <c r="W76" i="2"/>
  <c r="U76" i="2"/>
  <c r="S76" i="2"/>
  <c r="Q76" i="2"/>
  <c r="O76" i="2"/>
  <c r="M76" i="2"/>
  <c r="K76" i="2"/>
  <c r="I76" i="2"/>
  <c r="G76" i="2"/>
  <c r="E76" i="2"/>
  <c r="C76" i="2"/>
  <c r="AG75" i="2"/>
  <c r="AC75" i="2"/>
  <c r="AB75" i="2"/>
  <c r="AF75" i="2" s="1"/>
  <c r="AA75" i="2"/>
  <c r="Y75" i="2"/>
  <c r="W75" i="2"/>
  <c r="U75" i="2"/>
  <c r="S75" i="2"/>
  <c r="Q75" i="2"/>
  <c r="O75" i="2"/>
  <c r="M75" i="2"/>
  <c r="K75" i="2"/>
  <c r="I75" i="2"/>
  <c r="G75" i="2"/>
  <c r="E75" i="2"/>
  <c r="C75" i="2"/>
  <c r="AK74" i="2"/>
  <c r="AI74" i="2"/>
  <c r="AH74" i="2"/>
  <c r="AG74" i="2"/>
  <c r="AF74" i="2"/>
  <c r="AE74" i="2"/>
  <c r="AD74" i="2"/>
  <c r="AC74" i="2"/>
  <c r="AB74" i="2"/>
  <c r="AA74" i="2"/>
  <c r="Y74" i="2"/>
  <c r="W74" i="2"/>
  <c r="U74" i="2"/>
  <c r="S74" i="2"/>
  <c r="Q74" i="2"/>
  <c r="O74" i="2"/>
  <c r="M74" i="2"/>
  <c r="K74" i="2"/>
  <c r="I74" i="2"/>
  <c r="G74" i="2"/>
  <c r="E74" i="2"/>
  <c r="C74" i="2"/>
  <c r="AG72" i="2"/>
  <c r="AB72" i="2"/>
  <c r="AA72" i="2"/>
  <c r="Y72" i="2"/>
  <c r="W72" i="2"/>
  <c r="U72" i="2"/>
  <c r="S72" i="2"/>
  <c r="Q72" i="2"/>
  <c r="O72" i="2"/>
  <c r="M72" i="2"/>
  <c r="K72" i="2"/>
  <c r="I72" i="2"/>
  <c r="G72" i="2"/>
  <c r="E72" i="2"/>
  <c r="C72" i="2"/>
  <c r="AH71" i="2"/>
  <c r="AG71" i="2"/>
  <c r="AF71" i="2"/>
  <c r="AD71" i="2"/>
  <c r="AE71" i="2" s="1"/>
  <c r="AC71" i="2"/>
  <c r="AB71" i="2"/>
  <c r="AA71" i="2"/>
  <c r="Y71" i="2"/>
  <c r="W71" i="2"/>
  <c r="U71" i="2"/>
  <c r="S71" i="2"/>
  <c r="Q71" i="2"/>
  <c r="O71" i="2"/>
  <c r="M71" i="2"/>
  <c r="K71" i="2"/>
  <c r="I71" i="2"/>
  <c r="G71" i="2"/>
  <c r="E71" i="2"/>
  <c r="C71" i="2"/>
  <c r="AA70" i="2"/>
  <c r="Z70" i="2"/>
  <c r="X70" i="2"/>
  <c r="V70" i="2"/>
  <c r="W70" i="2" s="1"/>
  <c r="U70" i="2"/>
  <c r="T70" i="2"/>
  <c r="S70" i="2"/>
  <c r="R70" i="2"/>
  <c r="Q70" i="2"/>
  <c r="P70" i="2"/>
  <c r="N70" i="2"/>
  <c r="O70" i="2" s="1"/>
  <c r="L70" i="2"/>
  <c r="K70" i="2"/>
  <c r="J70" i="2"/>
  <c r="H70" i="2"/>
  <c r="I70" i="2" s="1"/>
  <c r="G70" i="2"/>
  <c r="F70" i="2"/>
  <c r="E70" i="2"/>
  <c r="D70" i="2"/>
  <c r="C70" i="2"/>
  <c r="B70" i="2"/>
  <c r="AG69" i="2"/>
  <c r="AB69" i="2"/>
  <c r="AA69" i="2"/>
  <c r="Y69" i="2"/>
  <c r="W69" i="2"/>
  <c r="U69" i="2"/>
  <c r="S69" i="2"/>
  <c r="Q69" i="2"/>
  <c r="O69" i="2"/>
  <c r="M69" i="2"/>
  <c r="K69" i="2"/>
  <c r="I69" i="2"/>
  <c r="G69" i="2"/>
  <c r="E69" i="2"/>
  <c r="C69" i="2"/>
  <c r="AK68" i="2"/>
  <c r="AI68" i="2"/>
  <c r="AH68" i="2"/>
  <c r="AG68" i="2"/>
  <c r="AD68" i="2"/>
  <c r="AE68" i="2" s="1"/>
  <c r="AB68" i="2"/>
  <c r="AA68" i="2"/>
  <c r="Y68" i="2"/>
  <c r="W68" i="2"/>
  <c r="U68" i="2"/>
  <c r="S68" i="2"/>
  <c r="Q68" i="2"/>
  <c r="O68" i="2"/>
  <c r="M68" i="2"/>
  <c r="K68" i="2"/>
  <c r="I68" i="2"/>
  <c r="G68" i="2"/>
  <c r="E68" i="2"/>
  <c r="C68" i="2"/>
  <c r="AK67" i="2"/>
  <c r="AG67" i="2"/>
  <c r="AI67" i="2" s="1"/>
  <c r="AF67" i="2"/>
  <c r="AE67" i="2"/>
  <c r="AD67" i="2"/>
  <c r="AB67" i="2"/>
  <c r="AC67" i="2" s="1"/>
  <c r="AA67" i="2"/>
  <c r="Y67" i="2"/>
  <c r="W67" i="2"/>
  <c r="U67" i="2"/>
  <c r="S67" i="2"/>
  <c r="Q67" i="2"/>
  <c r="O67" i="2"/>
  <c r="M67" i="2"/>
  <c r="K67" i="2"/>
  <c r="I67" i="2"/>
  <c r="G67" i="2"/>
  <c r="E67" i="2"/>
  <c r="C67" i="2"/>
  <c r="AK66" i="2"/>
  <c r="AI66" i="2"/>
  <c r="AH66" i="2"/>
  <c r="AG66" i="2"/>
  <c r="AD66" i="2"/>
  <c r="AE66" i="2" s="1"/>
  <c r="AC66" i="2"/>
  <c r="AB66" i="2"/>
  <c r="AF66" i="2" s="1"/>
  <c r="AA66" i="2"/>
  <c r="Y66" i="2"/>
  <c r="W66" i="2"/>
  <c r="U66" i="2"/>
  <c r="S66" i="2"/>
  <c r="Q66" i="2"/>
  <c r="O66" i="2"/>
  <c r="M66" i="2"/>
  <c r="K66" i="2"/>
  <c r="I66" i="2"/>
  <c r="G66" i="2"/>
  <c r="E66" i="2"/>
  <c r="C66" i="2"/>
  <c r="AK65" i="2"/>
  <c r="AI65" i="2"/>
  <c r="AH65" i="2"/>
  <c r="AG65" i="2"/>
  <c r="AB65" i="2"/>
  <c r="AA65" i="2"/>
  <c r="Y65" i="2"/>
  <c r="W65" i="2"/>
  <c r="U65" i="2"/>
  <c r="S65" i="2"/>
  <c r="Q65" i="2"/>
  <c r="O65" i="2"/>
  <c r="M65" i="2"/>
  <c r="K65" i="2"/>
  <c r="I65" i="2"/>
  <c r="G65" i="2"/>
  <c r="E65" i="2"/>
  <c r="C65" i="2"/>
  <c r="AK63" i="2"/>
  <c r="AI63" i="2"/>
  <c r="AH63" i="2"/>
  <c r="AG63" i="2"/>
  <c r="AB63" i="2"/>
  <c r="AF63" i="2" s="1"/>
  <c r="AA63" i="2"/>
  <c r="Y63" i="2"/>
  <c r="W63" i="2"/>
  <c r="U63" i="2"/>
  <c r="S63" i="2"/>
  <c r="Q63" i="2"/>
  <c r="O63" i="2"/>
  <c r="M63" i="2"/>
  <c r="K63" i="2"/>
  <c r="I63" i="2"/>
  <c r="G63" i="2"/>
  <c r="E63" i="2"/>
  <c r="C63" i="2"/>
  <c r="AA59" i="2"/>
  <c r="T59" i="2"/>
  <c r="P59" i="2"/>
  <c r="N59" i="2"/>
  <c r="O59" i="2" s="1"/>
  <c r="AG57" i="2"/>
  <c r="AF57" i="2"/>
  <c r="Z57" i="2"/>
  <c r="AA57" i="2" s="1"/>
  <c r="X57" i="2"/>
  <c r="V57" i="2"/>
  <c r="W57" i="2" s="1"/>
  <c r="T57" i="2"/>
  <c r="U57" i="2" s="1"/>
  <c r="R57" i="2"/>
  <c r="AB57" i="2" s="1"/>
  <c r="AC57" i="2" s="1"/>
  <c r="Q57" i="2"/>
  <c r="P57" i="2"/>
  <c r="O57" i="2"/>
  <c r="N57" i="2"/>
  <c r="M57" i="2"/>
  <c r="L57" i="2"/>
  <c r="J57" i="2"/>
  <c r="K57" i="2" s="1"/>
  <c r="H57" i="2"/>
  <c r="I57" i="2" s="1"/>
  <c r="F57" i="2"/>
  <c r="G57" i="2" s="1"/>
  <c r="D57" i="2"/>
  <c r="E57" i="2" s="1"/>
  <c r="B57" i="2"/>
  <c r="C57" i="2" s="1"/>
  <c r="Z56" i="2"/>
  <c r="AA56" i="2" s="1"/>
  <c r="X56" i="2"/>
  <c r="V56" i="2"/>
  <c r="W56" i="2" s="1"/>
  <c r="T56" i="2"/>
  <c r="R56" i="2"/>
  <c r="S56" i="2" s="1"/>
  <c r="P56" i="2"/>
  <c r="Q56" i="2" s="1"/>
  <c r="N56" i="2"/>
  <c r="O56" i="2" s="1"/>
  <c r="L56" i="2"/>
  <c r="M56" i="2" s="1"/>
  <c r="J56" i="2"/>
  <c r="H56" i="2"/>
  <c r="I56" i="2" s="1"/>
  <c r="F56" i="2"/>
  <c r="G56" i="2" s="1"/>
  <c r="D56" i="2"/>
  <c r="E56" i="2" s="1"/>
  <c r="B56" i="2"/>
  <c r="C56" i="2" s="1"/>
  <c r="AG55" i="2"/>
  <c r="AH55" i="2" s="1"/>
  <c r="AF55" i="2"/>
  <c r="AB55" i="2"/>
  <c r="AD55" i="2" s="1"/>
  <c r="AE55" i="2" s="1"/>
  <c r="AA55" i="2"/>
  <c r="Y55" i="2"/>
  <c r="W55" i="2"/>
  <c r="U55" i="2"/>
  <c r="S55" i="2"/>
  <c r="Q55" i="2"/>
  <c r="O55" i="2"/>
  <c r="M55" i="2"/>
  <c r="K55" i="2"/>
  <c r="I55" i="2"/>
  <c r="G55" i="2"/>
  <c r="E55" i="2"/>
  <c r="C55" i="2"/>
  <c r="AG54" i="2"/>
  <c r="AB54" i="2"/>
  <c r="AA54" i="2"/>
  <c r="Y54" i="2"/>
  <c r="W54" i="2"/>
  <c r="U54" i="2"/>
  <c r="S54" i="2"/>
  <c r="Q54" i="2"/>
  <c r="O54" i="2"/>
  <c r="M54" i="2"/>
  <c r="K54" i="2"/>
  <c r="I54" i="2"/>
  <c r="G54" i="2"/>
  <c r="E54" i="2"/>
  <c r="C54" i="2"/>
  <c r="AG53" i="2"/>
  <c r="AB53" i="2"/>
  <c r="AD53" i="2" s="1"/>
  <c r="AE53" i="2" s="1"/>
  <c r="AA53" i="2"/>
  <c r="Y53" i="2"/>
  <c r="W53" i="2"/>
  <c r="U53" i="2"/>
  <c r="S53" i="2"/>
  <c r="Q53" i="2"/>
  <c r="O53" i="2"/>
  <c r="M53" i="2"/>
  <c r="K53" i="2"/>
  <c r="I53" i="2"/>
  <c r="G53" i="2"/>
  <c r="E53" i="2"/>
  <c r="C53" i="2"/>
  <c r="AA52" i="2"/>
  <c r="Z52" i="2"/>
  <c r="X52" i="2"/>
  <c r="W52" i="2"/>
  <c r="V52" i="2"/>
  <c r="T52" i="2"/>
  <c r="U52" i="2" s="1"/>
  <c r="R52" i="2"/>
  <c r="S52" i="2" s="1"/>
  <c r="Q52" i="2"/>
  <c r="P52" i="2"/>
  <c r="O52" i="2"/>
  <c r="N52" i="2"/>
  <c r="L52" i="2"/>
  <c r="M52" i="2" s="1"/>
  <c r="J52" i="2"/>
  <c r="H52" i="2"/>
  <c r="I52" i="2" s="1"/>
  <c r="F52" i="2"/>
  <c r="G52" i="2" s="1"/>
  <c r="E52" i="2"/>
  <c r="D52" i="2"/>
  <c r="B52" i="2"/>
  <c r="C52" i="2" s="1"/>
  <c r="AH51" i="2"/>
  <c r="AG51" i="2"/>
  <c r="AB51" i="2"/>
  <c r="AA51" i="2"/>
  <c r="Y51" i="2"/>
  <c r="W51" i="2"/>
  <c r="U51" i="2"/>
  <c r="S51" i="2"/>
  <c r="Q51" i="2"/>
  <c r="O51" i="2"/>
  <c r="M51" i="2"/>
  <c r="K51" i="2"/>
  <c r="I51" i="2"/>
  <c r="G51" i="2"/>
  <c r="E51" i="2"/>
  <c r="C51" i="2"/>
  <c r="AH50" i="2"/>
  <c r="AG50" i="2"/>
  <c r="AI50" i="2" s="1"/>
  <c r="AF50" i="2"/>
  <c r="AE50" i="2"/>
  <c r="AD50" i="2"/>
  <c r="AB50" i="2"/>
  <c r="AC50" i="2" s="1"/>
  <c r="AA50" i="2"/>
  <c r="Y50" i="2"/>
  <c r="W50" i="2"/>
  <c r="U50" i="2"/>
  <c r="S50" i="2"/>
  <c r="Q50" i="2"/>
  <c r="O50" i="2"/>
  <c r="M50" i="2"/>
  <c r="K50" i="2"/>
  <c r="I50" i="2"/>
  <c r="G50" i="2"/>
  <c r="E50" i="2"/>
  <c r="C50" i="2"/>
  <c r="AH49" i="2"/>
  <c r="AG49" i="2"/>
  <c r="AF49" i="2"/>
  <c r="AD49" i="2"/>
  <c r="AE49" i="2" s="1"/>
  <c r="AB49" i="2"/>
  <c r="AC49" i="2" s="1"/>
  <c r="AA49" i="2"/>
  <c r="Y49" i="2"/>
  <c r="W49" i="2"/>
  <c r="U49" i="2"/>
  <c r="S49" i="2"/>
  <c r="Q49" i="2"/>
  <c r="O49" i="2"/>
  <c r="M49" i="2"/>
  <c r="K49" i="2"/>
  <c r="I49" i="2"/>
  <c r="G49" i="2"/>
  <c r="E49" i="2"/>
  <c r="C49" i="2"/>
  <c r="AG48" i="2"/>
  <c r="AF48" i="2"/>
  <c r="AD48" i="2"/>
  <c r="AE48" i="2" s="1"/>
  <c r="AB48" i="2"/>
  <c r="AC48" i="2" s="1"/>
  <c r="AA48" i="2"/>
  <c r="Y48" i="2"/>
  <c r="W48" i="2"/>
  <c r="U48" i="2"/>
  <c r="S48" i="2"/>
  <c r="Q48" i="2"/>
  <c r="O48" i="2"/>
  <c r="M48" i="2"/>
  <c r="K48" i="2"/>
  <c r="I48" i="2"/>
  <c r="G48" i="2"/>
  <c r="E48" i="2"/>
  <c r="C48" i="2"/>
  <c r="AG47" i="2"/>
  <c r="AF47" i="2"/>
  <c r="AB47" i="2"/>
  <c r="AD47" i="2" s="1"/>
  <c r="AE47" i="2" s="1"/>
  <c r="AA47" i="2"/>
  <c r="Y47" i="2"/>
  <c r="W47" i="2"/>
  <c r="U47" i="2"/>
  <c r="S47" i="2"/>
  <c r="Q47" i="2"/>
  <c r="O47" i="2"/>
  <c r="M47" i="2"/>
  <c r="K47" i="2"/>
  <c r="I47" i="2"/>
  <c r="G47" i="2"/>
  <c r="E47" i="2"/>
  <c r="C47" i="2"/>
  <c r="AK46" i="2"/>
  <c r="AI46" i="2"/>
  <c r="AH46" i="2"/>
  <c r="AG46" i="2"/>
  <c r="AF46" i="2"/>
  <c r="AD46" i="2"/>
  <c r="AE46" i="2" s="1"/>
  <c r="AB46" i="2"/>
  <c r="AC46" i="2" s="1"/>
  <c r="AA46" i="2"/>
  <c r="Y46" i="2"/>
  <c r="W46" i="2"/>
  <c r="U46" i="2"/>
  <c r="S46" i="2"/>
  <c r="Q46" i="2"/>
  <c r="O46" i="2"/>
  <c r="M46" i="2"/>
  <c r="K46" i="2"/>
  <c r="I46" i="2"/>
  <c r="G46" i="2"/>
  <c r="E46" i="2"/>
  <c r="C46" i="2"/>
  <c r="AB44" i="2"/>
  <c r="AC44" i="2" s="1"/>
  <c r="Z44" i="2"/>
  <c r="AA44" i="2" s="1"/>
  <c r="X44" i="2"/>
  <c r="V44" i="2"/>
  <c r="W44" i="2" s="1"/>
  <c r="T44" i="2"/>
  <c r="U44" i="2" s="1"/>
  <c r="R44" i="2"/>
  <c r="S44" i="2" s="1"/>
  <c r="P44" i="2"/>
  <c r="Q44" i="2" s="1"/>
  <c r="O44" i="2"/>
  <c r="N44" i="2"/>
  <c r="L44" i="2"/>
  <c r="M44" i="2" s="1"/>
  <c r="K44" i="2"/>
  <c r="J44" i="2"/>
  <c r="H44" i="2"/>
  <c r="I44" i="2" s="1"/>
  <c r="F44" i="2"/>
  <c r="G44" i="2" s="1"/>
  <c r="D44" i="2"/>
  <c r="E44" i="2" s="1"/>
  <c r="B44" i="2"/>
  <c r="C44" i="2" s="1"/>
  <c r="AH43" i="2"/>
  <c r="AG43" i="2"/>
  <c r="AD43" i="2"/>
  <c r="AE43" i="2" s="1"/>
  <c r="AC43" i="2"/>
  <c r="AB43" i="2"/>
  <c r="AF43" i="2" s="1"/>
  <c r="AA43" i="2"/>
  <c r="Y43" i="2"/>
  <c r="W43" i="2"/>
  <c r="U43" i="2"/>
  <c r="S43" i="2"/>
  <c r="Q43" i="2"/>
  <c r="O43" i="2"/>
  <c r="M43" i="2"/>
  <c r="K43" i="2"/>
  <c r="I43" i="2"/>
  <c r="G43" i="2"/>
  <c r="E43" i="2"/>
  <c r="C43" i="2"/>
  <c r="AK42" i="2"/>
  <c r="AI42" i="2"/>
  <c r="AG42" i="2"/>
  <c r="AH42" i="2" s="1"/>
  <c r="AD42" i="2"/>
  <c r="AE42" i="2" s="1"/>
  <c r="AC42" i="2"/>
  <c r="AB42" i="2"/>
  <c r="AF42" i="2" s="1"/>
  <c r="AA42" i="2"/>
  <c r="Y42" i="2"/>
  <c r="W42" i="2"/>
  <c r="U42" i="2"/>
  <c r="S42" i="2"/>
  <c r="Q42" i="2"/>
  <c r="O42" i="2"/>
  <c r="M42" i="2"/>
  <c r="K42" i="2"/>
  <c r="I42" i="2"/>
  <c r="G42" i="2"/>
  <c r="E42" i="2"/>
  <c r="C42" i="2"/>
  <c r="AK41" i="2"/>
  <c r="AG41" i="2"/>
  <c r="AF41" i="2"/>
  <c r="AE41" i="2"/>
  <c r="AC41" i="2"/>
  <c r="AB41" i="2"/>
  <c r="AD41" i="2" s="1"/>
  <c r="AA41" i="2"/>
  <c r="Y41" i="2"/>
  <c r="W41" i="2"/>
  <c r="U41" i="2"/>
  <c r="S41" i="2"/>
  <c r="Q41" i="2"/>
  <c r="O41" i="2"/>
  <c r="M41" i="2"/>
  <c r="K41" i="2"/>
  <c r="I41" i="2"/>
  <c r="G41" i="2"/>
  <c r="E41" i="2"/>
  <c r="C41" i="2"/>
  <c r="AK40" i="2"/>
  <c r="AI40" i="2"/>
  <c r="AG40" i="2"/>
  <c r="AH40" i="2" s="1"/>
  <c r="AC40" i="2"/>
  <c r="AB40" i="2"/>
  <c r="AA40" i="2"/>
  <c r="Y40" i="2"/>
  <c r="W40" i="2"/>
  <c r="U40" i="2"/>
  <c r="S40" i="2"/>
  <c r="Q40" i="2"/>
  <c r="O40" i="2"/>
  <c r="M40" i="2"/>
  <c r="K40" i="2"/>
  <c r="I40" i="2"/>
  <c r="G40" i="2"/>
  <c r="E40" i="2"/>
  <c r="C40" i="2"/>
  <c r="AK39" i="2"/>
  <c r="AI39" i="2"/>
  <c r="AG39" i="2"/>
  <c r="AH39" i="2" s="1"/>
  <c r="AE39" i="2"/>
  <c r="AD39" i="2"/>
  <c r="AC39" i="2"/>
  <c r="AB39" i="2"/>
  <c r="AF39" i="2" s="1"/>
  <c r="AA39" i="2"/>
  <c r="Y39" i="2"/>
  <c r="W39" i="2"/>
  <c r="U39" i="2"/>
  <c r="S39" i="2"/>
  <c r="Q39" i="2"/>
  <c r="O39" i="2"/>
  <c r="M39" i="2"/>
  <c r="K39" i="2"/>
  <c r="I39" i="2"/>
  <c r="G39" i="2"/>
  <c r="E39" i="2"/>
  <c r="C39" i="2"/>
  <c r="AK37" i="2"/>
  <c r="AI37" i="2"/>
  <c r="AG37" i="2"/>
  <c r="AH37" i="2" s="1"/>
  <c r="AD37" i="2"/>
  <c r="AE37" i="2" s="1"/>
  <c r="AC37" i="2"/>
  <c r="AB37" i="2"/>
  <c r="AF37" i="2" s="1"/>
  <c r="AA37" i="2"/>
  <c r="Y37" i="2"/>
  <c r="W37" i="2"/>
  <c r="U37" i="2"/>
  <c r="S37" i="2"/>
  <c r="Q37" i="2"/>
  <c r="O37" i="2"/>
  <c r="M37" i="2"/>
  <c r="K37" i="2"/>
  <c r="I37" i="2"/>
  <c r="G37" i="2"/>
  <c r="E37" i="2"/>
  <c r="C37" i="2"/>
  <c r="AC35" i="2"/>
  <c r="AB35" i="2"/>
  <c r="AA35" i="2"/>
  <c r="Z35" i="2"/>
  <c r="Y35" i="2"/>
  <c r="X35" i="2"/>
  <c r="V35" i="2"/>
  <c r="W35" i="2" s="1"/>
  <c r="T35" i="2"/>
  <c r="U35" i="2" s="1"/>
  <c r="S35" i="2"/>
  <c r="R35" i="2"/>
  <c r="Q35" i="2"/>
  <c r="P35" i="2"/>
  <c r="N35" i="2"/>
  <c r="O35" i="2" s="1"/>
  <c r="L35" i="2"/>
  <c r="K35" i="2"/>
  <c r="J35" i="2"/>
  <c r="I35" i="2"/>
  <c r="H35" i="2"/>
  <c r="F35" i="2"/>
  <c r="G35" i="2" s="1"/>
  <c r="E35" i="2"/>
  <c r="D35" i="2"/>
  <c r="C35" i="2"/>
  <c r="B35" i="2"/>
  <c r="Z34" i="2"/>
  <c r="AA34" i="2" s="1"/>
  <c r="X34" i="2"/>
  <c r="V34" i="2"/>
  <c r="W34" i="2" s="1"/>
  <c r="T34" i="2"/>
  <c r="S34" i="2"/>
  <c r="R34" i="2"/>
  <c r="P34" i="2"/>
  <c r="Q34" i="2" s="1"/>
  <c r="N34" i="2"/>
  <c r="O34" i="2" s="1"/>
  <c r="L34" i="2"/>
  <c r="K34" i="2"/>
  <c r="J34" i="2"/>
  <c r="I34" i="2"/>
  <c r="H34" i="2"/>
  <c r="F34" i="2"/>
  <c r="G34" i="2" s="1"/>
  <c r="E34" i="2"/>
  <c r="D34" i="2"/>
  <c r="C34" i="2"/>
  <c r="B34" i="2"/>
  <c r="AG33" i="2"/>
  <c r="AD33" i="2"/>
  <c r="AE33" i="2" s="1"/>
  <c r="AC33" i="2"/>
  <c r="AB33" i="2"/>
  <c r="AF33" i="2" s="1"/>
  <c r="AA33" i="2"/>
  <c r="Y33" i="2"/>
  <c r="W33" i="2"/>
  <c r="U33" i="2"/>
  <c r="S33" i="2"/>
  <c r="Q33" i="2"/>
  <c r="O33" i="2"/>
  <c r="M33" i="2"/>
  <c r="K33" i="2"/>
  <c r="I33" i="2"/>
  <c r="G33" i="2"/>
  <c r="E33" i="2"/>
  <c r="C33" i="2"/>
  <c r="AI32" i="2"/>
  <c r="AG32" i="2"/>
  <c r="AF32" i="2"/>
  <c r="AD32" i="2"/>
  <c r="AE32" i="2" s="1"/>
  <c r="AC32" i="2"/>
  <c r="AB32" i="2"/>
  <c r="AA32" i="2"/>
  <c r="Y32" i="2"/>
  <c r="W32" i="2"/>
  <c r="U32" i="2"/>
  <c r="S32" i="2"/>
  <c r="Q32" i="2"/>
  <c r="O32" i="2"/>
  <c r="M32" i="2"/>
  <c r="K32" i="2"/>
  <c r="I32" i="2"/>
  <c r="G32" i="2"/>
  <c r="E32" i="2"/>
  <c r="C32" i="2"/>
  <c r="AG31" i="2"/>
  <c r="AF31" i="2"/>
  <c r="AB31" i="2"/>
  <c r="AA31" i="2"/>
  <c r="Y31" i="2"/>
  <c r="W31" i="2"/>
  <c r="U31" i="2"/>
  <c r="S31" i="2"/>
  <c r="Q31" i="2"/>
  <c r="O31" i="2"/>
  <c r="M31" i="2"/>
  <c r="K31" i="2"/>
  <c r="I31" i="2"/>
  <c r="G31" i="2"/>
  <c r="E31" i="2"/>
  <c r="C31" i="2"/>
  <c r="AI30" i="2"/>
  <c r="AH30" i="2"/>
  <c r="AG30" i="2"/>
  <c r="AK30" i="2" s="1"/>
  <c r="AF30" i="2"/>
  <c r="AE30" i="2"/>
  <c r="AD30" i="2"/>
  <c r="AC30" i="2"/>
  <c r="AB30" i="2"/>
  <c r="AA30" i="2"/>
  <c r="Y30" i="2"/>
  <c r="W30" i="2"/>
  <c r="U30" i="2"/>
  <c r="S30" i="2"/>
  <c r="Q30" i="2"/>
  <c r="O30" i="2"/>
  <c r="M30" i="2"/>
  <c r="K30" i="2"/>
  <c r="I30" i="2"/>
  <c r="G30" i="2"/>
  <c r="E30" i="2"/>
  <c r="C30" i="2"/>
  <c r="AG29" i="2"/>
  <c r="AF29" i="2"/>
  <c r="AD29" i="2"/>
  <c r="AE29" i="2" s="1"/>
  <c r="AC29" i="2"/>
  <c r="AB29" i="2"/>
  <c r="AA29" i="2"/>
  <c r="Y29" i="2"/>
  <c r="W29" i="2"/>
  <c r="U29" i="2"/>
  <c r="S29" i="2"/>
  <c r="Q29" i="2"/>
  <c r="O29" i="2"/>
  <c r="M29" i="2"/>
  <c r="K29" i="2"/>
  <c r="I29" i="2"/>
  <c r="G29" i="2"/>
  <c r="E29" i="2"/>
  <c r="C29" i="2"/>
  <c r="AA27" i="2"/>
  <c r="Z27" i="2"/>
  <c r="X27" i="2"/>
  <c r="W27" i="2"/>
  <c r="V27" i="2"/>
  <c r="T27" i="2"/>
  <c r="U27" i="2" s="1"/>
  <c r="R27" i="2"/>
  <c r="P27" i="2"/>
  <c r="Q27" i="2" s="1"/>
  <c r="N27" i="2"/>
  <c r="M27" i="2"/>
  <c r="L27" i="2"/>
  <c r="K27" i="2"/>
  <c r="J27" i="2"/>
  <c r="H27" i="2"/>
  <c r="I27" i="2" s="1"/>
  <c r="F27" i="2"/>
  <c r="G27" i="2" s="1"/>
  <c r="E27" i="2"/>
  <c r="D27" i="2"/>
  <c r="B27" i="2"/>
  <c r="C27" i="2" s="1"/>
  <c r="AK26" i="2"/>
  <c r="AI26" i="2"/>
  <c r="AG26" i="2"/>
  <c r="AB26" i="2"/>
  <c r="AA26" i="2"/>
  <c r="Y26" i="2"/>
  <c r="W26" i="2"/>
  <c r="U26" i="2"/>
  <c r="S26" i="2"/>
  <c r="Q26" i="2"/>
  <c r="O26" i="2"/>
  <c r="M26" i="2"/>
  <c r="K26" i="2"/>
  <c r="I26" i="2"/>
  <c r="G26" i="2"/>
  <c r="E26" i="2"/>
  <c r="C26" i="2"/>
  <c r="AI25" i="2"/>
  <c r="AH25" i="2"/>
  <c r="AG25" i="2"/>
  <c r="AK25" i="2" s="1"/>
  <c r="AF25" i="2"/>
  <c r="AB25" i="2"/>
  <c r="AD25" i="2" s="1"/>
  <c r="AE25" i="2" s="1"/>
  <c r="AA25" i="2"/>
  <c r="Y25" i="2"/>
  <c r="W25" i="2"/>
  <c r="U25" i="2"/>
  <c r="S25" i="2"/>
  <c r="Q25" i="2"/>
  <c r="O25" i="2"/>
  <c r="M25" i="2"/>
  <c r="K25" i="2"/>
  <c r="I25" i="2"/>
  <c r="G25" i="2"/>
  <c r="E25" i="2"/>
  <c r="C25" i="2"/>
  <c r="AK24" i="2"/>
  <c r="AI24" i="2"/>
  <c r="AH24" i="2"/>
  <c r="AG24" i="2"/>
  <c r="AB24" i="2"/>
  <c r="AA24" i="2"/>
  <c r="Y24" i="2"/>
  <c r="W24" i="2"/>
  <c r="U24" i="2"/>
  <c r="S24" i="2"/>
  <c r="Q24" i="2"/>
  <c r="O24" i="2"/>
  <c r="M24" i="2"/>
  <c r="K24" i="2"/>
  <c r="I24" i="2"/>
  <c r="G24" i="2"/>
  <c r="E24" i="2"/>
  <c r="C24" i="2"/>
  <c r="AK23" i="2"/>
  <c r="AI23" i="2"/>
  <c r="AH23" i="2"/>
  <c r="AG23" i="2"/>
  <c r="AF23" i="2"/>
  <c r="AE23" i="2"/>
  <c r="AD23" i="2"/>
  <c r="AC23" i="2"/>
  <c r="AB23" i="2"/>
  <c r="AA23" i="2"/>
  <c r="Y23" i="2"/>
  <c r="W23" i="2"/>
  <c r="U23" i="2"/>
  <c r="S23" i="2"/>
  <c r="Q23" i="2"/>
  <c r="O23" i="2"/>
  <c r="M23" i="2"/>
  <c r="K23" i="2"/>
  <c r="I23" i="2"/>
  <c r="G23" i="2"/>
  <c r="E23" i="2"/>
  <c r="C23" i="2"/>
  <c r="AK22" i="2"/>
  <c r="AI22" i="2"/>
  <c r="AG22" i="2"/>
  <c r="AD22" i="2"/>
  <c r="AE22" i="2" s="1"/>
  <c r="AC22" i="2"/>
  <c r="AB22" i="2"/>
  <c r="AF22" i="2" s="1"/>
  <c r="AA22" i="2"/>
  <c r="Y22" i="2"/>
  <c r="W22" i="2"/>
  <c r="U22" i="2"/>
  <c r="S22" i="2"/>
  <c r="Q22" i="2"/>
  <c r="O22" i="2"/>
  <c r="M22" i="2"/>
  <c r="K22" i="2"/>
  <c r="I22" i="2"/>
  <c r="G22" i="2"/>
  <c r="E22" i="2"/>
  <c r="C22" i="2"/>
  <c r="AK21" i="2"/>
  <c r="AI21" i="2"/>
  <c r="AH21" i="2"/>
  <c r="AG21" i="2"/>
  <c r="AB21" i="2"/>
  <c r="AF21" i="2" s="1"/>
  <c r="AA21" i="2"/>
  <c r="Y21" i="2"/>
  <c r="W21" i="2"/>
  <c r="U21" i="2"/>
  <c r="S21" i="2"/>
  <c r="Q21" i="2"/>
  <c r="O21" i="2"/>
  <c r="M21" i="2"/>
  <c r="K21" i="2"/>
  <c r="I21" i="2"/>
  <c r="G21" i="2"/>
  <c r="E21" i="2"/>
  <c r="C21" i="2"/>
  <c r="AK20" i="2"/>
  <c r="AI20" i="2"/>
  <c r="AG20" i="2"/>
  <c r="AC20" i="2"/>
  <c r="AB20" i="2"/>
  <c r="AA20" i="2"/>
  <c r="Y20" i="2"/>
  <c r="W20" i="2"/>
  <c r="U20" i="2"/>
  <c r="S20" i="2"/>
  <c r="Q20" i="2"/>
  <c r="O20" i="2"/>
  <c r="M20" i="2"/>
  <c r="K20" i="2"/>
  <c r="I20" i="2"/>
  <c r="G20" i="2"/>
  <c r="E20" i="2"/>
  <c r="C20" i="2"/>
  <c r="AK19" i="2"/>
  <c r="AG19" i="2"/>
  <c r="AF19" i="2"/>
  <c r="AD19" i="2"/>
  <c r="AE19" i="2" s="1"/>
  <c r="AC19" i="2"/>
  <c r="AB19" i="2"/>
  <c r="AA19" i="2"/>
  <c r="Y19" i="2"/>
  <c r="W19" i="2"/>
  <c r="U19" i="2"/>
  <c r="S19" i="2"/>
  <c r="Q19" i="2"/>
  <c r="O19" i="2"/>
  <c r="M19" i="2"/>
  <c r="K19" i="2"/>
  <c r="I19" i="2"/>
  <c r="G19" i="2"/>
  <c r="E19" i="2"/>
  <c r="C19" i="2"/>
  <c r="AK18" i="2"/>
  <c r="AI18" i="2"/>
  <c r="AH18" i="2"/>
  <c r="AG18" i="2"/>
  <c r="AB18" i="2"/>
  <c r="AF18" i="2" s="1"/>
  <c r="AA18" i="2"/>
  <c r="Y18" i="2"/>
  <c r="W18" i="2"/>
  <c r="U18" i="2"/>
  <c r="S18" i="2"/>
  <c r="Q18" i="2"/>
  <c r="O18" i="2"/>
  <c r="M18" i="2"/>
  <c r="K18" i="2"/>
  <c r="I18" i="2"/>
  <c r="G18" i="2"/>
  <c r="E18" i="2"/>
  <c r="C18" i="2"/>
  <c r="AG17" i="2"/>
  <c r="AB17" i="2"/>
  <c r="AA17" i="2"/>
  <c r="Y17" i="2"/>
  <c r="W17" i="2"/>
  <c r="U17" i="2"/>
  <c r="S17" i="2"/>
  <c r="Q17" i="2"/>
  <c r="O17" i="2"/>
  <c r="M17" i="2"/>
  <c r="K17" i="2"/>
  <c r="I17" i="2"/>
  <c r="G17" i="2"/>
  <c r="E17" i="2"/>
  <c r="C17" i="2"/>
  <c r="AK16" i="2"/>
  <c r="AI16" i="2"/>
  <c r="AH16" i="2"/>
  <c r="AG16" i="2"/>
  <c r="AD16" i="2"/>
  <c r="AE16" i="2" s="1"/>
  <c r="AC16" i="2"/>
  <c r="AB16" i="2"/>
  <c r="AF16" i="2" s="1"/>
  <c r="AA16" i="2"/>
  <c r="Y16" i="2"/>
  <c r="W16" i="2"/>
  <c r="U16" i="2"/>
  <c r="S16" i="2"/>
  <c r="Q16" i="2"/>
  <c r="O16" i="2"/>
  <c r="M16" i="2"/>
  <c r="K16" i="2"/>
  <c r="I16" i="2"/>
  <c r="G16" i="2"/>
  <c r="E16" i="2"/>
  <c r="C16" i="2"/>
  <c r="AK15" i="2"/>
  <c r="AG15" i="2"/>
  <c r="AB15" i="2"/>
  <c r="AA15" i="2"/>
  <c r="Y15" i="2"/>
  <c r="W15" i="2"/>
  <c r="U15" i="2"/>
  <c r="S15" i="2"/>
  <c r="Q15" i="2"/>
  <c r="O15" i="2"/>
  <c r="M15" i="2"/>
  <c r="K15" i="2"/>
  <c r="I15" i="2"/>
  <c r="G15" i="2"/>
  <c r="E15" i="2"/>
  <c r="C15" i="2"/>
  <c r="AK13" i="2"/>
  <c r="AI13" i="2"/>
  <c r="AH13" i="2"/>
  <c r="AG13" i="2"/>
  <c r="AD13" i="2"/>
  <c r="AE13" i="2" s="1"/>
  <c r="AC13" i="2"/>
  <c r="AB13" i="2"/>
  <c r="AF13" i="2" s="1"/>
  <c r="AA13" i="2"/>
  <c r="Y13" i="2"/>
  <c r="W13" i="2"/>
  <c r="U13" i="2"/>
  <c r="S13" i="2"/>
  <c r="Q13" i="2"/>
  <c r="O13" i="2"/>
  <c r="M13" i="2"/>
  <c r="K13" i="2"/>
  <c r="I13" i="2"/>
  <c r="G13" i="2"/>
  <c r="E13" i="2"/>
  <c r="C13" i="2"/>
  <c r="Z9" i="2"/>
  <c r="Z59" i="2" s="1"/>
  <c r="Z87" i="2" s="1"/>
  <c r="X9" i="2"/>
  <c r="Y9" i="2" s="1"/>
  <c r="V9" i="2"/>
  <c r="U9" i="2"/>
  <c r="T9" i="2"/>
  <c r="S9" i="2"/>
  <c r="R9" i="2"/>
  <c r="Q9" i="2"/>
  <c r="P9" i="2"/>
  <c r="N9" i="2"/>
  <c r="O9" i="2" s="1"/>
  <c r="L9" i="2"/>
  <c r="K9" i="2"/>
  <c r="J9" i="2"/>
  <c r="H9" i="2"/>
  <c r="I9" i="2" s="1"/>
  <c r="F9" i="2"/>
  <c r="D9" i="2"/>
  <c r="D59" i="2" s="1"/>
  <c r="C9" i="2"/>
  <c r="B9" i="2"/>
  <c r="AK8" i="2"/>
  <c r="AG8" i="2"/>
  <c r="AI8" i="2" s="1"/>
  <c r="AF8" i="2"/>
  <c r="AE8" i="2"/>
  <c r="AC8" i="2"/>
  <c r="AB8" i="2"/>
  <c r="AD8" i="2" s="1"/>
  <c r="AA8" i="2"/>
  <c r="Y8" i="2"/>
  <c r="W8" i="2"/>
  <c r="U8" i="2"/>
  <c r="S8" i="2"/>
  <c r="Q8" i="2"/>
  <c r="O8" i="2"/>
  <c r="M8" i="2"/>
  <c r="K8" i="2"/>
  <c r="I8" i="2"/>
  <c r="G8" i="2"/>
  <c r="E8" i="2"/>
  <c r="C8" i="2"/>
  <c r="AI7" i="2"/>
  <c r="AH7" i="2"/>
  <c r="AG7" i="2"/>
  <c r="AK7" i="2" s="1"/>
  <c r="AB7" i="2"/>
  <c r="AA7" i="2"/>
  <c r="Y7" i="2"/>
  <c r="W7" i="2"/>
  <c r="U7" i="2"/>
  <c r="S7" i="2"/>
  <c r="Q7" i="2"/>
  <c r="O7" i="2"/>
  <c r="M7" i="2"/>
  <c r="K7" i="2"/>
  <c r="I7" i="2"/>
  <c r="G7" i="2"/>
  <c r="E7" i="2"/>
  <c r="C7" i="2"/>
  <c r="AG148" i="1"/>
  <c r="AF148" i="1"/>
  <c r="AD148" i="1"/>
  <c r="AE82" i="1" s="1"/>
  <c r="AB148" i="1"/>
  <c r="AC144" i="1" s="1"/>
  <c r="AB145" i="1"/>
  <c r="AC145" i="1" s="1"/>
  <c r="Z145" i="1"/>
  <c r="AA145" i="1" s="1"/>
  <c r="X145" i="1"/>
  <c r="Y145" i="1" s="1"/>
  <c r="V145" i="1"/>
  <c r="W145" i="1" s="1"/>
  <c r="U145" i="1"/>
  <c r="T145" i="1"/>
  <c r="S145" i="1"/>
  <c r="R145" i="1"/>
  <c r="P145" i="1"/>
  <c r="Q145" i="1" s="1"/>
  <c r="N145" i="1"/>
  <c r="O145" i="1" s="1"/>
  <c r="L145" i="1"/>
  <c r="M145" i="1" s="1"/>
  <c r="J145" i="1"/>
  <c r="H145" i="1"/>
  <c r="I145" i="1" s="1"/>
  <c r="F145" i="1"/>
  <c r="G145" i="1" s="1"/>
  <c r="E145" i="1"/>
  <c r="D145" i="1"/>
  <c r="C145" i="1"/>
  <c r="B145" i="1"/>
  <c r="AK144" i="1"/>
  <c r="AI144" i="1"/>
  <c r="AG144" i="1"/>
  <c r="AH144" i="1" s="1"/>
  <c r="AF144" i="1"/>
  <c r="AE144" i="1"/>
  <c r="AD144" i="1"/>
  <c r="AB144" i="1"/>
  <c r="AA144" i="1"/>
  <c r="Y144" i="1"/>
  <c r="W144" i="1"/>
  <c r="U144" i="1"/>
  <c r="S144" i="1"/>
  <c r="Q144" i="1"/>
  <c r="O144" i="1"/>
  <c r="M144" i="1"/>
  <c r="K144" i="1"/>
  <c r="I144" i="1"/>
  <c r="G144" i="1"/>
  <c r="E144" i="1"/>
  <c r="C144" i="1"/>
  <c r="Z141" i="1"/>
  <c r="AA141" i="1" s="1"/>
  <c r="Y141" i="1"/>
  <c r="X141" i="1"/>
  <c r="W141" i="1"/>
  <c r="V141" i="1"/>
  <c r="U141" i="1"/>
  <c r="T141" i="1"/>
  <c r="S141" i="1"/>
  <c r="R141" i="1"/>
  <c r="AB141" i="1" s="1"/>
  <c r="Q141" i="1"/>
  <c r="P141" i="1"/>
  <c r="O141" i="1"/>
  <c r="N141" i="1"/>
  <c r="L141" i="1"/>
  <c r="M141" i="1" s="1"/>
  <c r="J141" i="1"/>
  <c r="AG141" i="1" s="1"/>
  <c r="I141" i="1"/>
  <c r="H141" i="1"/>
  <c r="G141" i="1"/>
  <c r="F141" i="1"/>
  <c r="E141" i="1"/>
  <c r="D141" i="1"/>
  <c r="C141" i="1"/>
  <c r="B141" i="1"/>
  <c r="AG140" i="1"/>
  <c r="AF140" i="1"/>
  <c r="AD140" i="1"/>
  <c r="AE140" i="1" s="1"/>
  <c r="AC140" i="1"/>
  <c r="AB140" i="1"/>
  <c r="AA140" i="1"/>
  <c r="Y140" i="1"/>
  <c r="W140" i="1"/>
  <c r="U140" i="1"/>
  <c r="S140" i="1"/>
  <c r="Q140" i="1"/>
  <c r="O140" i="1"/>
  <c r="M140" i="1"/>
  <c r="K140" i="1"/>
  <c r="I140" i="1"/>
  <c r="G140" i="1"/>
  <c r="E140" i="1"/>
  <c r="C140" i="1"/>
  <c r="AB135" i="1"/>
  <c r="Z135" i="1"/>
  <c r="AA135" i="1" s="1"/>
  <c r="Y135" i="1"/>
  <c r="X135" i="1"/>
  <c r="W135" i="1"/>
  <c r="V135" i="1"/>
  <c r="U135" i="1"/>
  <c r="T135" i="1"/>
  <c r="S135" i="1"/>
  <c r="R135" i="1"/>
  <c r="P135" i="1"/>
  <c r="Q135" i="1" s="1"/>
  <c r="N135" i="1"/>
  <c r="O135" i="1" s="1"/>
  <c r="L135" i="1"/>
  <c r="M135" i="1" s="1"/>
  <c r="J135" i="1"/>
  <c r="AG135" i="1" s="1"/>
  <c r="I135" i="1"/>
  <c r="H135" i="1"/>
  <c r="G135" i="1"/>
  <c r="F135" i="1"/>
  <c r="E135" i="1"/>
  <c r="D135" i="1"/>
  <c r="C135" i="1"/>
  <c r="B135" i="1"/>
  <c r="AG134" i="1"/>
  <c r="AF134" i="1"/>
  <c r="AE134" i="1"/>
  <c r="AD134" i="1"/>
  <c r="AB134" i="1"/>
  <c r="AC134" i="1" s="1"/>
  <c r="AA134" i="1"/>
  <c r="Y134" i="1"/>
  <c r="W134" i="1"/>
  <c r="U134" i="1"/>
  <c r="S134" i="1"/>
  <c r="Q134" i="1"/>
  <c r="O134" i="1"/>
  <c r="M134" i="1"/>
  <c r="K134" i="1"/>
  <c r="I134" i="1"/>
  <c r="G134" i="1"/>
  <c r="E134" i="1"/>
  <c r="C134" i="1"/>
  <c r="AG133" i="1"/>
  <c r="AB133" i="1"/>
  <c r="AA133" i="1"/>
  <c r="Y133" i="1"/>
  <c r="W133" i="1"/>
  <c r="U133" i="1"/>
  <c r="S133" i="1"/>
  <c r="Q133" i="1"/>
  <c r="O133" i="1"/>
  <c r="M133" i="1"/>
  <c r="K133" i="1"/>
  <c r="I133" i="1"/>
  <c r="G133" i="1"/>
  <c r="E133" i="1"/>
  <c r="C133" i="1"/>
  <c r="AK132" i="1"/>
  <c r="AI132" i="1"/>
  <c r="AG132" i="1"/>
  <c r="AF132" i="1"/>
  <c r="AD132" i="1"/>
  <c r="AB132" i="1"/>
  <c r="AC132" i="1" s="1"/>
  <c r="AA132" i="1"/>
  <c r="Y132" i="1"/>
  <c r="W132" i="1"/>
  <c r="U132" i="1"/>
  <c r="S132" i="1"/>
  <c r="Q132" i="1"/>
  <c r="O132" i="1"/>
  <c r="M132" i="1"/>
  <c r="K132" i="1"/>
  <c r="I132" i="1"/>
  <c r="G132" i="1"/>
  <c r="E132" i="1"/>
  <c r="C132" i="1"/>
  <c r="AG131" i="1"/>
  <c r="AB131" i="1"/>
  <c r="AA131" i="1"/>
  <c r="Y131" i="1"/>
  <c r="W131" i="1"/>
  <c r="U131" i="1"/>
  <c r="S131" i="1"/>
  <c r="Q131" i="1"/>
  <c r="O131" i="1"/>
  <c r="M131" i="1"/>
  <c r="K131" i="1"/>
  <c r="I131" i="1"/>
  <c r="G131" i="1"/>
  <c r="E131" i="1"/>
  <c r="C131" i="1"/>
  <c r="AG130" i="1"/>
  <c r="AK130" i="1" s="1"/>
  <c r="AF130" i="1"/>
  <c r="AE130" i="1"/>
  <c r="AD130" i="1"/>
  <c r="AB130" i="1"/>
  <c r="AC130" i="1" s="1"/>
  <c r="AA130" i="1"/>
  <c r="Y130" i="1"/>
  <c r="W130" i="1"/>
  <c r="U130" i="1"/>
  <c r="S130" i="1"/>
  <c r="Q130" i="1"/>
  <c r="O130" i="1"/>
  <c r="M130" i="1"/>
  <c r="K130" i="1"/>
  <c r="I130" i="1"/>
  <c r="G130" i="1"/>
  <c r="E130" i="1"/>
  <c r="C130" i="1"/>
  <c r="AG129" i="1"/>
  <c r="AB129" i="1"/>
  <c r="AA129" i="1"/>
  <c r="Y129" i="1"/>
  <c r="W129" i="1"/>
  <c r="U129" i="1"/>
  <c r="S129" i="1"/>
  <c r="Q129" i="1"/>
  <c r="O129" i="1"/>
  <c r="M129" i="1"/>
  <c r="K129" i="1"/>
  <c r="I129" i="1"/>
  <c r="G129" i="1"/>
  <c r="E129" i="1"/>
  <c r="C129" i="1"/>
  <c r="AI128" i="1"/>
  <c r="AG128" i="1"/>
  <c r="AF128" i="1"/>
  <c r="AE128" i="1"/>
  <c r="AD128" i="1"/>
  <c r="AB128" i="1"/>
  <c r="AA128" i="1"/>
  <c r="Y128" i="1"/>
  <c r="W128" i="1"/>
  <c r="U128" i="1"/>
  <c r="S128" i="1"/>
  <c r="Q128" i="1"/>
  <c r="O128" i="1"/>
  <c r="M128" i="1"/>
  <c r="K128" i="1"/>
  <c r="I128" i="1"/>
  <c r="G128" i="1"/>
  <c r="E128" i="1"/>
  <c r="C128" i="1"/>
  <c r="AG127" i="1"/>
  <c r="AF127" i="1"/>
  <c r="AD127" i="1"/>
  <c r="AE127" i="1" s="1"/>
  <c r="AC127" i="1"/>
  <c r="AB127" i="1"/>
  <c r="AA127" i="1"/>
  <c r="Y127" i="1"/>
  <c r="W127" i="1"/>
  <c r="U127" i="1"/>
  <c r="S127" i="1"/>
  <c r="Q127" i="1"/>
  <c r="O127" i="1"/>
  <c r="M127" i="1"/>
  <c r="K127" i="1"/>
  <c r="I127" i="1"/>
  <c r="G127" i="1"/>
  <c r="E127" i="1"/>
  <c r="C127" i="1"/>
  <c r="AG126" i="1"/>
  <c r="AF126" i="1"/>
  <c r="AD126" i="1"/>
  <c r="AB126" i="1"/>
  <c r="AC126" i="1" s="1"/>
  <c r="AA126" i="1"/>
  <c r="Y126" i="1"/>
  <c r="W126" i="1"/>
  <c r="U126" i="1"/>
  <c r="S126" i="1"/>
  <c r="Q126" i="1"/>
  <c r="O126" i="1"/>
  <c r="M126" i="1"/>
  <c r="K126" i="1"/>
  <c r="I126" i="1"/>
  <c r="G126" i="1"/>
  <c r="E126" i="1"/>
  <c r="C126" i="1"/>
  <c r="AG125" i="1"/>
  <c r="AF125" i="1"/>
  <c r="AB125" i="1"/>
  <c r="AA125" i="1"/>
  <c r="Y125" i="1"/>
  <c r="W125" i="1"/>
  <c r="U125" i="1"/>
  <c r="S125" i="1"/>
  <c r="Q125" i="1"/>
  <c r="O125" i="1"/>
  <c r="M125" i="1"/>
  <c r="K125" i="1"/>
  <c r="I125" i="1"/>
  <c r="G125" i="1"/>
  <c r="E125" i="1"/>
  <c r="C125" i="1"/>
  <c r="AK124" i="1"/>
  <c r="AI124" i="1"/>
  <c r="AG124" i="1"/>
  <c r="AF124" i="1"/>
  <c r="AD124" i="1"/>
  <c r="AB124" i="1"/>
  <c r="AC124" i="1" s="1"/>
  <c r="AA124" i="1"/>
  <c r="Y124" i="1"/>
  <c r="W124" i="1"/>
  <c r="U124" i="1"/>
  <c r="S124" i="1"/>
  <c r="Q124" i="1"/>
  <c r="O124" i="1"/>
  <c r="M124" i="1"/>
  <c r="K124" i="1"/>
  <c r="I124" i="1"/>
  <c r="G124" i="1"/>
  <c r="E124" i="1"/>
  <c r="C124" i="1"/>
  <c r="AG123" i="1"/>
  <c r="AC123" i="1"/>
  <c r="AB123" i="1"/>
  <c r="AA123" i="1"/>
  <c r="Y123" i="1"/>
  <c r="W123" i="1"/>
  <c r="U123" i="1"/>
  <c r="S123" i="1"/>
  <c r="Q123" i="1"/>
  <c r="O123" i="1"/>
  <c r="M123" i="1"/>
  <c r="K123" i="1"/>
  <c r="I123" i="1"/>
  <c r="G123" i="1"/>
  <c r="E123" i="1"/>
  <c r="C123" i="1"/>
  <c r="AK122" i="1"/>
  <c r="AG122" i="1"/>
  <c r="AF122" i="1"/>
  <c r="AD122" i="1"/>
  <c r="AE122" i="1" s="1"/>
  <c r="AB122" i="1"/>
  <c r="AC122" i="1" s="1"/>
  <c r="AA122" i="1"/>
  <c r="Y122" i="1"/>
  <c r="W122" i="1"/>
  <c r="U122" i="1"/>
  <c r="S122" i="1"/>
  <c r="Q122" i="1"/>
  <c r="O122" i="1"/>
  <c r="M122" i="1"/>
  <c r="K122" i="1"/>
  <c r="I122" i="1"/>
  <c r="G122" i="1"/>
  <c r="E122" i="1"/>
  <c r="C122" i="1"/>
  <c r="AG121" i="1"/>
  <c r="AC121" i="1"/>
  <c r="AB121" i="1"/>
  <c r="AA121" i="1"/>
  <c r="Y121" i="1"/>
  <c r="W121" i="1"/>
  <c r="U121" i="1"/>
  <c r="S121" i="1"/>
  <c r="Q121" i="1"/>
  <c r="O121" i="1"/>
  <c r="M121" i="1"/>
  <c r="K121" i="1"/>
  <c r="I121" i="1"/>
  <c r="G121" i="1"/>
  <c r="E121" i="1"/>
  <c r="C121" i="1"/>
  <c r="AK120" i="1"/>
  <c r="AG120" i="1"/>
  <c r="AF120" i="1"/>
  <c r="AD120" i="1"/>
  <c r="AE120" i="1" s="1"/>
  <c r="AB120" i="1"/>
  <c r="AA120" i="1"/>
  <c r="Y120" i="1"/>
  <c r="W120" i="1"/>
  <c r="U120" i="1"/>
  <c r="S120" i="1"/>
  <c r="Q120" i="1"/>
  <c r="O120" i="1"/>
  <c r="M120" i="1"/>
  <c r="K120" i="1"/>
  <c r="I120" i="1"/>
  <c r="G120" i="1"/>
  <c r="E120" i="1"/>
  <c r="C120" i="1"/>
  <c r="AG119" i="1"/>
  <c r="AF119" i="1"/>
  <c r="AD119" i="1"/>
  <c r="AE119" i="1" s="1"/>
  <c r="AB119" i="1"/>
  <c r="AA119" i="1"/>
  <c r="Y119" i="1"/>
  <c r="W119" i="1"/>
  <c r="U119" i="1"/>
  <c r="S119" i="1"/>
  <c r="Q119" i="1"/>
  <c r="O119" i="1"/>
  <c r="M119" i="1"/>
  <c r="K119" i="1"/>
  <c r="I119" i="1"/>
  <c r="G119" i="1"/>
  <c r="E119" i="1"/>
  <c r="C119" i="1"/>
  <c r="AG118" i="1"/>
  <c r="AF118" i="1"/>
  <c r="AE118" i="1"/>
  <c r="AD118" i="1"/>
  <c r="AB118" i="1"/>
  <c r="AC118" i="1" s="1"/>
  <c r="AA118" i="1"/>
  <c r="Y118" i="1"/>
  <c r="W118" i="1"/>
  <c r="U118" i="1"/>
  <c r="S118" i="1"/>
  <c r="Q118" i="1"/>
  <c r="O118" i="1"/>
  <c r="M118" i="1"/>
  <c r="K118" i="1"/>
  <c r="I118" i="1"/>
  <c r="G118" i="1"/>
  <c r="E118" i="1"/>
  <c r="C118" i="1"/>
  <c r="AG117" i="1"/>
  <c r="AB117" i="1"/>
  <c r="AA117" i="1"/>
  <c r="Y117" i="1"/>
  <c r="W117" i="1"/>
  <c r="U117" i="1"/>
  <c r="S117" i="1"/>
  <c r="Q117" i="1"/>
  <c r="O117" i="1"/>
  <c r="M117" i="1"/>
  <c r="K117" i="1"/>
  <c r="I117" i="1"/>
  <c r="G117" i="1"/>
  <c r="E117" i="1"/>
  <c r="C117" i="1"/>
  <c r="AK116" i="1"/>
  <c r="AG116" i="1"/>
  <c r="AI116" i="1" s="1"/>
  <c r="AF116" i="1"/>
  <c r="AD116" i="1"/>
  <c r="AE116" i="1" s="1"/>
  <c r="AB116" i="1"/>
  <c r="AC116" i="1" s="1"/>
  <c r="AA116" i="1"/>
  <c r="Y116" i="1"/>
  <c r="W116" i="1"/>
  <c r="U116" i="1"/>
  <c r="S116" i="1"/>
  <c r="Q116" i="1"/>
  <c r="O116" i="1"/>
  <c r="M116" i="1"/>
  <c r="K116" i="1"/>
  <c r="I116" i="1"/>
  <c r="G116" i="1"/>
  <c r="E116" i="1"/>
  <c r="C116" i="1"/>
  <c r="AG115" i="1"/>
  <c r="AF115" i="1"/>
  <c r="AB115" i="1"/>
  <c r="AA115" i="1"/>
  <c r="Y115" i="1"/>
  <c r="W115" i="1"/>
  <c r="U115" i="1"/>
  <c r="S115" i="1"/>
  <c r="Q115" i="1"/>
  <c r="O115" i="1"/>
  <c r="M115" i="1"/>
  <c r="K115" i="1"/>
  <c r="I115" i="1"/>
  <c r="G115" i="1"/>
  <c r="E115" i="1"/>
  <c r="C115" i="1"/>
  <c r="AK114" i="1"/>
  <c r="AI114" i="1"/>
  <c r="AG114" i="1"/>
  <c r="AH114" i="1" s="1"/>
  <c r="AF114" i="1"/>
  <c r="AE114" i="1"/>
  <c r="AD114" i="1"/>
  <c r="AB114" i="1"/>
  <c r="AC114" i="1" s="1"/>
  <c r="AA114" i="1"/>
  <c r="Y114" i="1"/>
  <c r="W114" i="1"/>
  <c r="U114" i="1"/>
  <c r="S114" i="1"/>
  <c r="Q114" i="1"/>
  <c r="O114" i="1"/>
  <c r="M114" i="1"/>
  <c r="K114" i="1"/>
  <c r="I114" i="1"/>
  <c r="G114" i="1"/>
  <c r="E114" i="1"/>
  <c r="C114" i="1"/>
  <c r="AG113" i="1"/>
  <c r="AC113" i="1"/>
  <c r="AB113" i="1"/>
  <c r="AA113" i="1"/>
  <c r="Y113" i="1"/>
  <c r="W113" i="1"/>
  <c r="U113" i="1"/>
  <c r="S113" i="1"/>
  <c r="Q113" i="1"/>
  <c r="O113" i="1"/>
  <c r="M113" i="1"/>
  <c r="K113" i="1"/>
  <c r="I113" i="1"/>
  <c r="G113" i="1"/>
  <c r="E113" i="1"/>
  <c r="C113" i="1"/>
  <c r="AK112" i="1"/>
  <c r="AI112" i="1"/>
  <c r="AG112" i="1"/>
  <c r="AF112" i="1"/>
  <c r="AD112" i="1"/>
  <c r="AE112" i="1" s="1"/>
  <c r="AB112" i="1"/>
  <c r="AC112" i="1" s="1"/>
  <c r="AA112" i="1"/>
  <c r="Y112" i="1"/>
  <c r="W112" i="1"/>
  <c r="U112" i="1"/>
  <c r="S112" i="1"/>
  <c r="Q112" i="1"/>
  <c r="O112" i="1"/>
  <c r="M112" i="1"/>
  <c r="K112" i="1"/>
  <c r="I112" i="1"/>
  <c r="G112" i="1"/>
  <c r="E112" i="1"/>
  <c r="C112" i="1"/>
  <c r="AG111" i="1"/>
  <c r="AF111" i="1"/>
  <c r="AD111" i="1"/>
  <c r="AE111" i="1" s="1"/>
  <c r="AC111" i="1"/>
  <c r="AB111" i="1"/>
  <c r="AA111" i="1"/>
  <c r="Y111" i="1"/>
  <c r="W111" i="1"/>
  <c r="U111" i="1"/>
  <c r="S111" i="1"/>
  <c r="Q111" i="1"/>
  <c r="O111" i="1"/>
  <c r="M111" i="1"/>
  <c r="K111" i="1"/>
  <c r="I111" i="1"/>
  <c r="G111" i="1"/>
  <c r="E111" i="1"/>
  <c r="C111" i="1"/>
  <c r="AG110" i="1"/>
  <c r="AF110" i="1"/>
  <c r="AE110" i="1"/>
  <c r="AD110" i="1"/>
  <c r="AB110" i="1"/>
  <c r="AC110" i="1" s="1"/>
  <c r="AA110" i="1"/>
  <c r="Y110" i="1"/>
  <c r="W110" i="1"/>
  <c r="U110" i="1"/>
  <c r="S110" i="1"/>
  <c r="Q110" i="1"/>
  <c r="O110" i="1"/>
  <c r="M110" i="1"/>
  <c r="K110" i="1"/>
  <c r="I110" i="1"/>
  <c r="G110" i="1"/>
  <c r="E110" i="1"/>
  <c r="C110" i="1"/>
  <c r="AA105" i="1"/>
  <c r="Z105" i="1"/>
  <c r="Y105" i="1"/>
  <c r="X105" i="1"/>
  <c r="V105" i="1"/>
  <c r="W105" i="1" s="1"/>
  <c r="T105" i="1"/>
  <c r="U105" i="1" s="1"/>
  <c r="S105" i="1"/>
  <c r="R105" i="1"/>
  <c r="P105" i="1"/>
  <c r="Q105" i="1" s="1"/>
  <c r="N105" i="1"/>
  <c r="O105" i="1" s="1"/>
  <c r="L105" i="1"/>
  <c r="AG105" i="1" s="1"/>
  <c r="K105" i="1"/>
  <c r="J105" i="1"/>
  <c r="I105" i="1"/>
  <c r="H105" i="1"/>
  <c r="F105" i="1"/>
  <c r="G105" i="1" s="1"/>
  <c r="D105" i="1"/>
  <c r="E105" i="1" s="1"/>
  <c r="B105" i="1"/>
  <c r="C105" i="1" s="1"/>
  <c r="AK104" i="1"/>
  <c r="AH104" i="1"/>
  <c r="AG104" i="1"/>
  <c r="AI104" i="1" s="1"/>
  <c r="AB104" i="1"/>
  <c r="AA104" i="1"/>
  <c r="Y104" i="1"/>
  <c r="W104" i="1"/>
  <c r="U104" i="1"/>
  <c r="S104" i="1"/>
  <c r="Q104" i="1"/>
  <c r="O104" i="1"/>
  <c r="M104" i="1"/>
  <c r="K104" i="1"/>
  <c r="I104" i="1"/>
  <c r="G104" i="1"/>
  <c r="E104" i="1"/>
  <c r="C104" i="1"/>
  <c r="P101" i="1"/>
  <c r="Q101" i="1" s="1"/>
  <c r="AA99" i="1"/>
  <c r="Z99" i="1"/>
  <c r="Y99" i="1"/>
  <c r="X99" i="1"/>
  <c r="V99" i="1"/>
  <c r="W99" i="1" s="1"/>
  <c r="T99" i="1"/>
  <c r="U99" i="1" s="1"/>
  <c r="R99" i="1"/>
  <c r="Q99" i="1"/>
  <c r="P99" i="1"/>
  <c r="O99" i="1"/>
  <c r="N99" i="1"/>
  <c r="M99" i="1"/>
  <c r="L99" i="1"/>
  <c r="K99" i="1"/>
  <c r="J99" i="1"/>
  <c r="H99" i="1"/>
  <c r="I99" i="1" s="1"/>
  <c r="F99" i="1"/>
  <c r="G99" i="1" s="1"/>
  <c r="D99" i="1"/>
  <c r="E99" i="1" s="1"/>
  <c r="C99" i="1"/>
  <c r="B99" i="1"/>
  <c r="AK98" i="1"/>
  <c r="AI98" i="1"/>
  <c r="AG98" i="1"/>
  <c r="AB98" i="1"/>
  <c r="AA98" i="1"/>
  <c r="Y98" i="1"/>
  <c r="W98" i="1"/>
  <c r="U98" i="1"/>
  <c r="S98" i="1"/>
  <c r="Q98" i="1"/>
  <c r="O98" i="1"/>
  <c r="M98" i="1"/>
  <c r="K98" i="1"/>
  <c r="I98" i="1"/>
  <c r="G98" i="1"/>
  <c r="E98" i="1"/>
  <c r="C98" i="1"/>
  <c r="AK97" i="1"/>
  <c r="AI97" i="1"/>
  <c r="AG97" i="1"/>
  <c r="AD97" i="1"/>
  <c r="AB97" i="1"/>
  <c r="AC97" i="1" s="1"/>
  <c r="AA97" i="1"/>
  <c r="Y97" i="1"/>
  <c r="W97" i="1"/>
  <c r="U97" i="1"/>
  <c r="S97" i="1"/>
  <c r="Q97" i="1"/>
  <c r="O97" i="1"/>
  <c r="M97" i="1"/>
  <c r="K97" i="1"/>
  <c r="I97" i="1"/>
  <c r="G97" i="1"/>
  <c r="E97" i="1"/>
  <c r="C97" i="1"/>
  <c r="AK96" i="1"/>
  <c r="AI96" i="1"/>
  <c r="AG96" i="1"/>
  <c r="AB96" i="1"/>
  <c r="AF96" i="1" s="1"/>
  <c r="AA96" i="1"/>
  <c r="Y96" i="1"/>
  <c r="W96" i="1"/>
  <c r="U96" i="1"/>
  <c r="S96" i="1"/>
  <c r="Q96" i="1"/>
  <c r="O96" i="1"/>
  <c r="M96" i="1"/>
  <c r="K96" i="1"/>
  <c r="I96" i="1"/>
  <c r="G96" i="1"/>
  <c r="E96" i="1"/>
  <c r="C96" i="1"/>
  <c r="AG95" i="1"/>
  <c r="AB95" i="1"/>
  <c r="AA95" i="1"/>
  <c r="Y95" i="1"/>
  <c r="W95" i="1"/>
  <c r="U95" i="1"/>
  <c r="S95" i="1"/>
  <c r="Q95" i="1"/>
  <c r="O95" i="1"/>
  <c r="M95" i="1"/>
  <c r="K95" i="1"/>
  <c r="I95" i="1"/>
  <c r="G95" i="1"/>
  <c r="E95" i="1"/>
  <c r="C95" i="1"/>
  <c r="AK94" i="1"/>
  <c r="AI94" i="1"/>
  <c r="AG94" i="1"/>
  <c r="AD94" i="1"/>
  <c r="AE94" i="1" s="1"/>
  <c r="AB94" i="1"/>
  <c r="AF94" i="1" s="1"/>
  <c r="AA94" i="1"/>
  <c r="Y94" i="1"/>
  <c r="W94" i="1"/>
  <c r="U94" i="1"/>
  <c r="S94" i="1"/>
  <c r="Q94" i="1"/>
  <c r="O94" i="1"/>
  <c r="M94" i="1"/>
  <c r="K94" i="1"/>
  <c r="I94" i="1"/>
  <c r="G94" i="1"/>
  <c r="E94" i="1"/>
  <c r="C94" i="1"/>
  <c r="AG93" i="1"/>
  <c r="AC93" i="1"/>
  <c r="AB93" i="1"/>
  <c r="AA93" i="1"/>
  <c r="Y93" i="1"/>
  <c r="W93" i="1"/>
  <c r="U93" i="1"/>
  <c r="S93" i="1"/>
  <c r="Q93" i="1"/>
  <c r="O93" i="1"/>
  <c r="M93" i="1"/>
  <c r="K93" i="1"/>
  <c r="I93" i="1"/>
  <c r="G93" i="1"/>
  <c r="E93" i="1"/>
  <c r="C93" i="1"/>
  <c r="AK92" i="1"/>
  <c r="AI92" i="1"/>
  <c r="AG92" i="1"/>
  <c r="AB92" i="1"/>
  <c r="AF92" i="1" s="1"/>
  <c r="AA92" i="1"/>
  <c r="Y92" i="1"/>
  <c r="W92" i="1"/>
  <c r="U92" i="1"/>
  <c r="S92" i="1"/>
  <c r="Q92" i="1"/>
  <c r="O92" i="1"/>
  <c r="M92" i="1"/>
  <c r="K92" i="1"/>
  <c r="I92" i="1"/>
  <c r="G92" i="1"/>
  <c r="E92" i="1"/>
  <c r="C92" i="1"/>
  <c r="AK91" i="1"/>
  <c r="AI91" i="1"/>
  <c r="AG91" i="1"/>
  <c r="AH91" i="1" s="1"/>
  <c r="AD91" i="1"/>
  <c r="AE91" i="1" s="1"/>
  <c r="AC91" i="1"/>
  <c r="AB91" i="1"/>
  <c r="AF91" i="1" s="1"/>
  <c r="AA91" i="1"/>
  <c r="Y91" i="1"/>
  <c r="W91" i="1"/>
  <c r="U91" i="1"/>
  <c r="S91" i="1"/>
  <c r="Q91" i="1"/>
  <c r="O91" i="1"/>
  <c r="M91" i="1"/>
  <c r="K91" i="1"/>
  <c r="I91" i="1"/>
  <c r="G91" i="1"/>
  <c r="E91" i="1"/>
  <c r="C91" i="1"/>
  <c r="AK90" i="1"/>
  <c r="AI90" i="1"/>
  <c r="AG90" i="1"/>
  <c r="AD90" i="1"/>
  <c r="AE90" i="1" s="1"/>
  <c r="AC90" i="1"/>
  <c r="AB90" i="1"/>
  <c r="AF90" i="1" s="1"/>
  <c r="AA90" i="1"/>
  <c r="Y90" i="1"/>
  <c r="W90" i="1"/>
  <c r="U90" i="1"/>
  <c r="S90" i="1"/>
  <c r="Q90" i="1"/>
  <c r="O90" i="1"/>
  <c r="M90" i="1"/>
  <c r="K90" i="1"/>
  <c r="I90" i="1"/>
  <c r="G90" i="1"/>
  <c r="E90" i="1"/>
  <c r="C90" i="1"/>
  <c r="Z85" i="1"/>
  <c r="AA85" i="1" s="1"/>
  <c r="X85" i="1"/>
  <c r="V85" i="1"/>
  <c r="W85" i="1" s="1"/>
  <c r="U85" i="1"/>
  <c r="T85" i="1"/>
  <c r="R85" i="1"/>
  <c r="P85" i="1"/>
  <c r="Q85" i="1" s="1"/>
  <c r="O85" i="1"/>
  <c r="N85" i="1"/>
  <c r="M85" i="1"/>
  <c r="L85" i="1"/>
  <c r="J85" i="1"/>
  <c r="K85" i="1" s="1"/>
  <c r="H85" i="1"/>
  <c r="I85" i="1" s="1"/>
  <c r="F85" i="1"/>
  <c r="G85" i="1" s="1"/>
  <c r="E85" i="1"/>
  <c r="D85" i="1"/>
  <c r="C85" i="1"/>
  <c r="B85" i="1"/>
  <c r="Z84" i="1"/>
  <c r="AA84" i="1" s="1"/>
  <c r="Y84" i="1"/>
  <c r="X84" i="1"/>
  <c r="W84" i="1"/>
  <c r="V84" i="1"/>
  <c r="U84" i="1"/>
  <c r="T84" i="1"/>
  <c r="AB84" i="1" s="1"/>
  <c r="AD84" i="1" s="1"/>
  <c r="AE84" i="1" s="1"/>
  <c r="S84" i="1"/>
  <c r="R84" i="1"/>
  <c r="P84" i="1"/>
  <c r="Q84" i="1" s="1"/>
  <c r="N84" i="1"/>
  <c r="O84" i="1" s="1"/>
  <c r="L84" i="1"/>
  <c r="M84" i="1" s="1"/>
  <c r="J84" i="1"/>
  <c r="I84" i="1"/>
  <c r="H84" i="1"/>
  <c r="G84" i="1"/>
  <c r="F84" i="1"/>
  <c r="D84" i="1"/>
  <c r="E84" i="1" s="1"/>
  <c r="B84" i="1"/>
  <c r="C84" i="1" s="1"/>
  <c r="AI83" i="1"/>
  <c r="AH83" i="1"/>
  <c r="AG83" i="1"/>
  <c r="AK83" i="1" s="1"/>
  <c r="AD83" i="1"/>
  <c r="AE83" i="1" s="1"/>
  <c r="AC83" i="1"/>
  <c r="AB83" i="1"/>
  <c r="AF83" i="1" s="1"/>
  <c r="AA83" i="1"/>
  <c r="Y83" i="1"/>
  <c r="W83" i="1"/>
  <c r="U83" i="1"/>
  <c r="S83" i="1"/>
  <c r="Q83" i="1"/>
  <c r="O83" i="1"/>
  <c r="M83" i="1"/>
  <c r="K83" i="1"/>
  <c r="I83" i="1"/>
  <c r="G83" i="1"/>
  <c r="E83" i="1"/>
  <c r="C83" i="1"/>
  <c r="AK82" i="1"/>
  <c r="AI82" i="1"/>
  <c r="AH82" i="1"/>
  <c r="AG82" i="1"/>
  <c r="AF82" i="1"/>
  <c r="AB82" i="1"/>
  <c r="AD82" i="1" s="1"/>
  <c r="AA82" i="1"/>
  <c r="Y82" i="1"/>
  <c r="W82" i="1"/>
  <c r="U82" i="1"/>
  <c r="S82" i="1"/>
  <c r="Q82" i="1"/>
  <c r="O82" i="1"/>
  <c r="M82" i="1"/>
  <c r="K82" i="1"/>
  <c r="I82" i="1"/>
  <c r="G82" i="1"/>
  <c r="E82" i="1"/>
  <c r="C82" i="1"/>
  <c r="AA81" i="1"/>
  <c r="Z81" i="1"/>
  <c r="X81" i="1"/>
  <c r="W81" i="1"/>
  <c r="V81" i="1"/>
  <c r="T81" i="1"/>
  <c r="U81" i="1" s="1"/>
  <c r="R81" i="1"/>
  <c r="AB81" i="1" s="1"/>
  <c r="AC81" i="1" s="1"/>
  <c r="Q81" i="1"/>
  <c r="P81" i="1"/>
  <c r="N81" i="1"/>
  <c r="O81" i="1" s="1"/>
  <c r="M81" i="1"/>
  <c r="L81" i="1"/>
  <c r="J81" i="1"/>
  <c r="H81" i="1"/>
  <c r="I81" i="1" s="1"/>
  <c r="G81" i="1"/>
  <c r="F81" i="1"/>
  <c r="D81" i="1"/>
  <c r="E81" i="1" s="1"/>
  <c r="B81" i="1"/>
  <c r="C81" i="1" s="1"/>
  <c r="AG80" i="1"/>
  <c r="AF80" i="1"/>
  <c r="AD80" i="1"/>
  <c r="AE80" i="1" s="1"/>
  <c r="AC80" i="1"/>
  <c r="AB80" i="1"/>
  <c r="AA80" i="1"/>
  <c r="Y80" i="1"/>
  <c r="W80" i="1"/>
  <c r="U80" i="1"/>
  <c r="S80" i="1"/>
  <c r="Q80" i="1"/>
  <c r="O80" i="1"/>
  <c r="M80" i="1"/>
  <c r="K80" i="1"/>
  <c r="I80" i="1"/>
  <c r="G80" i="1"/>
  <c r="E80" i="1"/>
  <c r="C80" i="1"/>
  <c r="AK79" i="1"/>
  <c r="AG79" i="1"/>
  <c r="AI79" i="1" s="1"/>
  <c r="AF79" i="1"/>
  <c r="AD79" i="1"/>
  <c r="AE79" i="1" s="1"/>
  <c r="AB79" i="1"/>
  <c r="AC79" i="1" s="1"/>
  <c r="AA79" i="1"/>
  <c r="Y79" i="1"/>
  <c r="W79" i="1"/>
  <c r="U79" i="1"/>
  <c r="S79" i="1"/>
  <c r="Q79" i="1"/>
  <c r="O79" i="1"/>
  <c r="M79" i="1"/>
  <c r="K79" i="1"/>
  <c r="I79" i="1"/>
  <c r="G79" i="1"/>
  <c r="E79" i="1"/>
  <c r="C79" i="1"/>
  <c r="AG78" i="1"/>
  <c r="AB78" i="1"/>
  <c r="AD78" i="1" s="1"/>
  <c r="AE78" i="1" s="1"/>
  <c r="AA78" i="1"/>
  <c r="Y78" i="1"/>
  <c r="W78" i="1"/>
  <c r="U78" i="1"/>
  <c r="S78" i="1"/>
  <c r="Q78" i="1"/>
  <c r="O78" i="1"/>
  <c r="M78" i="1"/>
  <c r="K78" i="1"/>
  <c r="I78" i="1"/>
  <c r="G78" i="1"/>
  <c r="E78" i="1"/>
  <c r="C78" i="1"/>
  <c r="AK77" i="1"/>
  <c r="AG77" i="1"/>
  <c r="AI77" i="1" s="1"/>
  <c r="AF77" i="1"/>
  <c r="AB77" i="1"/>
  <c r="AA77" i="1"/>
  <c r="Y77" i="1"/>
  <c r="W77" i="1"/>
  <c r="U77" i="1"/>
  <c r="S77" i="1"/>
  <c r="Q77" i="1"/>
  <c r="O77" i="1"/>
  <c r="M77" i="1"/>
  <c r="K77" i="1"/>
  <c r="I77" i="1"/>
  <c r="G77" i="1"/>
  <c r="E77" i="1"/>
  <c r="C77" i="1"/>
  <c r="AI76" i="1"/>
  <c r="AG76" i="1"/>
  <c r="AK76" i="1" s="1"/>
  <c r="AB76" i="1"/>
  <c r="AA76" i="1"/>
  <c r="Y76" i="1"/>
  <c r="W76" i="1"/>
  <c r="U76" i="1"/>
  <c r="S76" i="1"/>
  <c r="Q76" i="1"/>
  <c r="O76" i="1"/>
  <c r="M76" i="1"/>
  <c r="K76" i="1"/>
  <c r="I76" i="1"/>
  <c r="G76" i="1"/>
  <c r="E76" i="1"/>
  <c r="C76" i="1"/>
  <c r="AK75" i="1"/>
  <c r="AG75" i="1"/>
  <c r="AI75" i="1" s="1"/>
  <c r="AB75" i="1"/>
  <c r="AD75" i="1" s="1"/>
  <c r="AE75" i="1" s="1"/>
  <c r="AA75" i="1"/>
  <c r="Y75" i="1"/>
  <c r="W75" i="1"/>
  <c r="U75" i="1"/>
  <c r="S75" i="1"/>
  <c r="Q75" i="1"/>
  <c r="O75" i="1"/>
  <c r="M75" i="1"/>
  <c r="K75" i="1"/>
  <c r="I75" i="1"/>
  <c r="G75" i="1"/>
  <c r="E75" i="1"/>
  <c r="C75" i="1"/>
  <c r="AG74" i="1"/>
  <c r="AI74" i="1" s="1"/>
  <c r="AD74" i="1"/>
  <c r="AE74" i="1" s="1"/>
  <c r="AC74" i="1"/>
  <c r="AB74" i="1"/>
  <c r="AF74" i="1" s="1"/>
  <c r="AA74" i="1"/>
  <c r="Y74" i="1"/>
  <c r="W74" i="1"/>
  <c r="U74" i="1"/>
  <c r="S74" i="1"/>
  <c r="Q74" i="1"/>
  <c r="O74" i="1"/>
  <c r="M74" i="1"/>
  <c r="K74" i="1"/>
  <c r="I74" i="1"/>
  <c r="G74" i="1"/>
  <c r="E74" i="1"/>
  <c r="C74" i="1"/>
  <c r="AK72" i="1"/>
  <c r="AG72" i="1"/>
  <c r="AI72" i="1" s="1"/>
  <c r="AB72" i="1"/>
  <c r="AA72" i="1"/>
  <c r="Y72" i="1"/>
  <c r="W72" i="1"/>
  <c r="U72" i="1"/>
  <c r="S72" i="1"/>
  <c r="Q72" i="1"/>
  <c r="O72" i="1"/>
  <c r="M72" i="1"/>
  <c r="K72" i="1"/>
  <c r="I72" i="1"/>
  <c r="G72" i="1"/>
  <c r="E72" i="1"/>
  <c r="C72" i="1"/>
  <c r="AK71" i="1"/>
  <c r="AH71" i="1"/>
  <c r="AG71" i="1"/>
  <c r="AI71" i="1" s="1"/>
  <c r="AF71" i="1"/>
  <c r="AD71" i="1"/>
  <c r="AE71" i="1" s="1"/>
  <c r="AB71" i="1"/>
  <c r="AC71" i="1" s="1"/>
  <c r="AA71" i="1"/>
  <c r="Y71" i="1"/>
  <c r="W71" i="1"/>
  <c r="U71" i="1"/>
  <c r="S71" i="1"/>
  <c r="Q71" i="1"/>
  <c r="O71" i="1"/>
  <c r="M71" i="1"/>
  <c r="K71" i="1"/>
  <c r="I71" i="1"/>
  <c r="G71" i="1"/>
  <c r="E71" i="1"/>
  <c r="C71" i="1"/>
  <c r="Z70" i="1"/>
  <c r="AA70" i="1" s="1"/>
  <c r="Y70" i="1"/>
  <c r="X70" i="1"/>
  <c r="V70" i="1"/>
  <c r="W70" i="1" s="1"/>
  <c r="U70" i="1"/>
  <c r="T70" i="1"/>
  <c r="R70" i="1"/>
  <c r="S70" i="1" s="1"/>
  <c r="P70" i="1"/>
  <c r="Q70" i="1" s="1"/>
  <c r="O70" i="1"/>
  <c r="N70" i="1"/>
  <c r="L70" i="1"/>
  <c r="M70" i="1" s="1"/>
  <c r="K70" i="1"/>
  <c r="J70" i="1"/>
  <c r="H70" i="1"/>
  <c r="I70" i="1" s="1"/>
  <c r="G70" i="1"/>
  <c r="F70" i="1"/>
  <c r="D70" i="1"/>
  <c r="E70" i="1" s="1"/>
  <c r="B70" i="1"/>
  <c r="C70" i="1" s="1"/>
  <c r="AG69" i="1"/>
  <c r="AB69" i="1"/>
  <c r="AF69" i="1" s="1"/>
  <c r="AA69" i="1"/>
  <c r="Y69" i="1"/>
  <c r="W69" i="1"/>
  <c r="U69" i="1"/>
  <c r="S69" i="1"/>
  <c r="Q69" i="1"/>
  <c r="O69" i="1"/>
  <c r="M69" i="1"/>
  <c r="K69" i="1"/>
  <c r="I69" i="1"/>
  <c r="G69" i="1"/>
  <c r="E69" i="1"/>
  <c r="C69" i="1"/>
  <c r="AK68" i="1"/>
  <c r="AI68" i="1"/>
  <c r="AG68" i="1"/>
  <c r="AB68" i="1"/>
  <c r="AA68" i="1"/>
  <c r="Y68" i="1"/>
  <c r="W68" i="1"/>
  <c r="U68" i="1"/>
  <c r="S68" i="1"/>
  <c r="Q68" i="1"/>
  <c r="O68" i="1"/>
  <c r="M68" i="1"/>
  <c r="K68" i="1"/>
  <c r="I68" i="1"/>
  <c r="G68" i="1"/>
  <c r="E68" i="1"/>
  <c r="C68" i="1"/>
  <c r="AG67" i="1"/>
  <c r="AB67" i="1"/>
  <c r="AA67" i="1"/>
  <c r="Y67" i="1"/>
  <c r="W67" i="1"/>
  <c r="U67" i="1"/>
  <c r="S67" i="1"/>
  <c r="Q67" i="1"/>
  <c r="O67" i="1"/>
  <c r="M67" i="1"/>
  <c r="K67" i="1"/>
  <c r="I67" i="1"/>
  <c r="G67" i="1"/>
  <c r="E67" i="1"/>
  <c r="C67" i="1"/>
  <c r="AG66" i="1"/>
  <c r="AC66" i="1"/>
  <c r="AB66" i="1"/>
  <c r="AA66" i="1"/>
  <c r="Y66" i="1"/>
  <c r="W66" i="1"/>
  <c r="U66" i="1"/>
  <c r="S66" i="1"/>
  <c r="Q66" i="1"/>
  <c r="O66" i="1"/>
  <c r="M66" i="1"/>
  <c r="K66" i="1"/>
  <c r="I66" i="1"/>
  <c r="G66" i="1"/>
  <c r="E66" i="1"/>
  <c r="C66" i="1"/>
  <c r="AK65" i="1"/>
  <c r="AI65" i="1"/>
  <c r="AG65" i="1"/>
  <c r="AB65" i="1"/>
  <c r="AA65" i="1"/>
  <c r="Y65" i="1"/>
  <c r="W65" i="1"/>
  <c r="U65" i="1"/>
  <c r="S65" i="1"/>
  <c r="Q65" i="1"/>
  <c r="O65" i="1"/>
  <c r="M65" i="1"/>
  <c r="K65" i="1"/>
  <c r="I65" i="1"/>
  <c r="G65" i="1"/>
  <c r="E65" i="1"/>
  <c r="C65" i="1"/>
  <c r="AK63" i="1"/>
  <c r="AI63" i="1"/>
  <c r="AG63" i="1"/>
  <c r="AH63" i="1" s="1"/>
  <c r="AC63" i="1"/>
  <c r="AB63" i="1"/>
  <c r="AA63" i="1"/>
  <c r="Y63" i="1"/>
  <c r="W63" i="1"/>
  <c r="U63" i="1"/>
  <c r="S63" i="1"/>
  <c r="Q63" i="1"/>
  <c r="O63" i="1"/>
  <c r="M63" i="1"/>
  <c r="K63" i="1"/>
  <c r="I63" i="1"/>
  <c r="G63" i="1"/>
  <c r="E63" i="1"/>
  <c r="C63" i="1"/>
  <c r="T59" i="1"/>
  <c r="T87" i="1" s="1"/>
  <c r="Q59" i="1"/>
  <c r="P59" i="1"/>
  <c r="P87" i="1" s="1"/>
  <c r="P107" i="1" s="1"/>
  <c r="N59" i="1"/>
  <c r="Z57" i="1"/>
  <c r="AA57" i="1" s="1"/>
  <c r="X57" i="1"/>
  <c r="Y57" i="1" s="1"/>
  <c r="W57" i="1"/>
  <c r="V57" i="1"/>
  <c r="T57" i="1"/>
  <c r="U57" i="1" s="1"/>
  <c r="S57" i="1"/>
  <c r="R57" i="1"/>
  <c r="P57" i="1"/>
  <c r="Q57" i="1" s="1"/>
  <c r="O57" i="1"/>
  <c r="N57" i="1"/>
  <c r="L57" i="1"/>
  <c r="M57" i="1" s="1"/>
  <c r="J57" i="1"/>
  <c r="I57" i="1"/>
  <c r="H57" i="1"/>
  <c r="F57" i="1"/>
  <c r="G57" i="1" s="1"/>
  <c r="E57" i="1"/>
  <c r="D57" i="1"/>
  <c r="B57" i="1"/>
  <c r="C57" i="1" s="1"/>
  <c r="AB56" i="1"/>
  <c r="AD56" i="1" s="1"/>
  <c r="AE56" i="1" s="1"/>
  <c r="Z56" i="1"/>
  <c r="AA56" i="1" s="1"/>
  <c r="X56" i="1"/>
  <c r="W56" i="1"/>
  <c r="V56" i="1"/>
  <c r="T56" i="1"/>
  <c r="U56" i="1" s="1"/>
  <c r="S56" i="1"/>
  <c r="R56" i="1"/>
  <c r="P56" i="1"/>
  <c r="Q56" i="1" s="1"/>
  <c r="N56" i="1"/>
  <c r="O56" i="1" s="1"/>
  <c r="L56" i="1"/>
  <c r="M56" i="1" s="1"/>
  <c r="K56" i="1"/>
  <c r="J56" i="1"/>
  <c r="I56" i="1"/>
  <c r="H56" i="1"/>
  <c r="G56" i="1"/>
  <c r="F56" i="1"/>
  <c r="D56" i="1"/>
  <c r="E56" i="1" s="1"/>
  <c r="C56" i="1"/>
  <c r="B56" i="1"/>
  <c r="AH55" i="1"/>
  <c r="AG55" i="1"/>
  <c r="AB55" i="1"/>
  <c r="AF55" i="1" s="1"/>
  <c r="AA55" i="1"/>
  <c r="Y55" i="1"/>
  <c r="W55" i="1"/>
  <c r="U55" i="1"/>
  <c r="S55" i="1"/>
  <c r="Q55" i="1"/>
  <c r="O55" i="1"/>
  <c r="M55" i="1"/>
  <c r="K55" i="1"/>
  <c r="I55" i="1"/>
  <c r="G55" i="1"/>
  <c r="E55" i="1"/>
  <c r="C55" i="1"/>
  <c r="AK54" i="1"/>
  <c r="AG54" i="1"/>
  <c r="AI54" i="1" s="1"/>
  <c r="AB54" i="1"/>
  <c r="AF54" i="1" s="1"/>
  <c r="AA54" i="1"/>
  <c r="Y54" i="1"/>
  <c r="W54" i="1"/>
  <c r="U54" i="1"/>
  <c r="S54" i="1"/>
  <c r="Q54" i="1"/>
  <c r="O54" i="1"/>
  <c r="M54" i="1"/>
  <c r="K54" i="1"/>
  <c r="I54" i="1"/>
  <c r="G54" i="1"/>
  <c r="E54" i="1"/>
  <c r="C54" i="1"/>
  <c r="AG53" i="1"/>
  <c r="AF53" i="1"/>
  <c r="AC53" i="1"/>
  <c r="AB53" i="1"/>
  <c r="AD53" i="1" s="1"/>
  <c r="AE53" i="1" s="1"/>
  <c r="AA53" i="1"/>
  <c r="Y53" i="1"/>
  <c r="W53" i="1"/>
  <c r="U53" i="1"/>
  <c r="S53" i="1"/>
  <c r="Q53" i="1"/>
  <c r="O53" i="1"/>
  <c r="M53" i="1"/>
  <c r="K53" i="1"/>
  <c r="I53" i="1"/>
  <c r="G53" i="1"/>
  <c r="E53" i="1"/>
  <c r="C53" i="1"/>
  <c r="Z52" i="1"/>
  <c r="AA52" i="1" s="1"/>
  <c r="Y52" i="1"/>
  <c r="X52" i="1"/>
  <c r="V52" i="1"/>
  <c r="W52" i="1" s="1"/>
  <c r="U52" i="1"/>
  <c r="T52" i="1"/>
  <c r="R52" i="1"/>
  <c r="S52" i="1" s="1"/>
  <c r="Q52" i="1"/>
  <c r="P52" i="1"/>
  <c r="N52" i="1"/>
  <c r="O52" i="1" s="1"/>
  <c r="L52" i="1"/>
  <c r="M52" i="1" s="1"/>
  <c r="K52" i="1"/>
  <c r="J52" i="1"/>
  <c r="H52" i="1"/>
  <c r="I52" i="1" s="1"/>
  <c r="G52" i="1"/>
  <c r="F52" i="1"/>
  <c r="D52" i="1"/>
  <c r="E52" i="1" s="1"/>
  <c r="C52" i="1"/>
  <c r="B52" i="1"/>
  <c r="AG51" i="1"/>
  <c r="AK51" i="1" s="1"/>
  <c r="AD51" i="1"/>
  <c r="AE51" i="1" s="1"/>
  <c r="AB51" i="1"/>
  <c r="AF51" i="1" s="1"/>
  <c r="AA51" i="1"/>
  <c r="Y51" i="1"/>
  <c r="W51" i="1"/>
  <c r="U51" i="1"/>
  <c r="S51" i="1"/>
  <c r="Q51" i="1"/>
  <c r="O51" i="1"/>
  <c r="M51" i="1"/>
  <c r="K51" i="1"/>
  <c r="I51" i="1"/>
  <c r="G51" i="1"/>
  <c r="E51" i="1"/>
  <c r="C51" i="1"/>
  <c r="AK50" i="1"/>
  <c r="AG50" i="1"/>
  <c r="AI50" i="1" s="1"/>
  <c r="AF50" i="1"/>
  <c r="AD50" i="1"/>
  <c r="AE50" i="1" s="1"/>
  <c r="AC50" i="1"/>
  <c r="AB50" i="1"/>
  <c r="AA50" i="1"/>
  <c r="Y50" i="1"/>
  <c r="W50" i="1"/>
  <c r="U50" i="1"/>
  <c r="S50" i="1"/>
  <c r="Q50" i="1"/>
  <c r="O50" i="1"/>
  <c r="M50" i="1"/>
  <c r="K50" i="1"/>
  <c r="I50" i="1"/>
  <c r="G50" i="1"/>
  <c r="E50" i="1"/>
  <c r="C50" i="1"/>
  <c r="AK49" i="1"/>
  <c r="AG49" i="1"/>
  <c r="AB49" i="1"/>
  <c r="AA49" i="1"/>
  <c r="Y49" i="1"/>
  <c r="W49" i="1"/>
  <c r="U49" i="1"/>
  <c r="S49" i="1"/>
  <c r="Q49" i="1"/>
  <c r="O49" i="1"/>
  <c r="M49" i="1"/>
  <c r="K49" i="1"/>
  <c r="I49" i="1"/>
  <c r="G49" i="1"/>
  <c r="E49" i="1"/>
  <c r="C49" i="1"/>
  <c r="AI48" i="1"/>
  <c r="AG48" i="1"/>
  <c r="AK48" i="1" s="1"/>
  <c r="AF48" i="1"/>
  <c r="AE48" i="1"/>
  <c r="AD48" i="1"/>
  <c r="AC48" i="1"/>
  <c r="AB48" i="1"/>
  <c r="AA48" i="1"/>
  <c r="Y48" i="1"/>
  <c r="W48" i="1"/>
  <c r="U48" i="1"/>
  <c r="S48" i="1"/>
  <c r="Q48" i="1"/>
  <c r="O48" i="1"/>
  <c r="M48" i="1"/>
  <c r="K48" i="1"/>
  <c r="I48" i="1"/>
  <c r="G48" i="1"/>
  <c r="E48" i="1"/>
  <c r="C48" i="1"/>
  <c r="AG47" i="1"/>
  <c r="AK47" i="1" s="1"/>
  <c r="AF47" i="1"/>
  <c r="AB47" i="1"/>
  <c r="AA47" i="1"/>
  <c r="Y47" i="1"/>
  <c r="W47" i="1"/>
  <c r="U47" i="1"/>
  <c r="S47" i="1"/>
  <c r="Q47" i="1"/>
  <c r="O47" i="1"/>
  <c r="M47" i="1"/>
  <c r="K47" i="1"/>
  <c r="I47" i="1"/>
  <c r="G47" i="1"/>
  <c r="E47" i="1"/>
  <c r="C47" i="1"/>
  <c r="AG46" i="1"/>
  <c r="AF46" i="1"/>
  <c r="AE46" i="1"/>
  <c r="AD46" i="1"/>
  <c r="AC46" i="1"/>
  <c r="AB46" i="1"/>
  <c r="AA46" i="1"/>
  <c r="Y46" i="1"/>
  <c r="W46" i="1"/>
  <c r="U46" i="1"/>
  <c r="S46" i="1"/>
  <c r="Q46" i="1"/>
  <c r="O46" i="1"/>
  <c r="M46" i="1"/>
  <c r="K46" i="1"/>
  <c r="I46" i="1"/>
  <c r="G46" i="1"/>
  <c r="E46" i="1"/>
  <c r="C46" i="1"/>
  <c r="AB44" i="1"/>
  <c r="AC44" i="1" s="1"/>
  <c r="Z44" i="1"/>
  <c r="AA44" i="1" s="1"/>
  <c r="X44" i="1"/>
  <c r="V44" i="1"/>
  <c r="W44" i="1" s="1"/>
  <c r="U44" i="1"/>
  <c r="T44" i="1"/>
  <c r="R44" i="1"/>
  <c r="S44" i="1" s="1"/>
  <c r="P44" i="1"/>
  <c r="Q44" i="1" s="1"/>
  <c r="O44" i="1"/>
  <c r="N44" i="1"/>
  <c r="L44" i="1"/>
  <c r="M44" i="1" s="1"/>
  <c r="K44" i="1"/>
  <c r="J44" i="1"/>
  <c r="AG44" i="1" s="1"/>
  <c r="AH44" i="1" s="1"/>
  <c r="H44" i="1"/>
  <c r="I44" i="1" s="1"/>
  <c r="G44" i="1"/>
  <c r="F44" i="1"/>
  <c r="E44" i="1"/>
  <c r="D44" i="1"/>
  <c r="B44" i="1"/>
  <c r="C44" i="1" s="1"/>
  <c r="AG43" i="1"/>
  <c r="AK43" i="1" s="1"/>
  <c r="AB43" i="1"/>
  <c r="AA43" i="1"/>
  <c r="Y43" i="1"/>
  <c r="W43" i="1"/>
  <c r="U43" i="1"/>
  <c r="S43" i="1"/>
  <c r="Q43" i="1"/>
  <c r="O43" i="1"/>
  <c r="M43" i="1"/>
  <c r="K43" i="1"/>
  <c r="I43" i="1"/>
  <c r="G43" i="1"/>
  <c r="E43" i="1"/>
  <c r="C43" i="1"/>
  <c r="AK42" i="1"/>
  <c r="AI42" i="1"/>
  <c r="AG42" i="1"/>
  <c r="AB42" i="1"/>
  <c r="AF42" i="1" s="1"/>
  <c r="AA42" i="1"/>
  <c r="Y42" i="1"/>
  <c r="W42" i="1"/>
  <c r="U42" i="1"/>
  <c r="S42" i="1"/>
  <c r="Q42" i="1"/>
  <c r="O42" i="1"/>
  <c r="M42" i="1"/>
  <c r="K42" i="1"/>
  <c r="I42" i="1"/>
  <c r="G42" i="1"/>
  <c r="E42" i="1"/>
  <c r="C42" i="1"/>
  <c r="AK41" i="1"/>
  <c r="AG41" i="1"/>
  <c r="AI41" i="1" s="1"/>
  <c r="AD41" i="1"/>
  <c r="AE41" i="1" s="1"/>
  <c r="AC41" i="1"/>
  <c r="AB41" i="1"/>
  <c r="AF41" i="1" s="1"/>
  <c r="AA41" i="1"/>
  <c r="Y41" i="1"/>
  <c r="W41" i="1"/>
  <c r="U41" i="1"/>
  <c r="S41" i="1"/>
  <c r="Q41" i="1"/>
  <c r="O41" i="1"/>
  <c r="M41" i="1"/>
  <c r="K41" i="1"/>
  <c r="I41" i="1"/>
  <c r="G41" i="1"/>
  <c r="E41" i="1"/>
  <c r="C41" i="1"/>
  <c r="AK40" i="1"/>
  <c r="AI40" i="1"/>
  <c r="AH40" i="1"/>
  <c r="AG40" i="1"/>
  <c r="AC40" i="1"/>
  <c r="AB40" i="1"/>
  <c r="AA40" i="1"/>
  <c r="Y40" i="1"/>
  <c r="W40" i="1"/>
  <c r="U40" i="1"/>
  <c r="S40" i="1"/>
  <c r="Q40" i="1"/>
  <c r="O40" i="1"/>
  <c r="M40" i="1"/>
  <c r="K40" i="1"/>
  <c r="I40" i="1"/>
  <c r="G40" i="1"/>
  <c r="E40" i="1"/>
  <c r="C40" i="1"/>
  <c r="AK39" i="1"/>
  <c r="AI39" i="1"/>
  <c r="AG39" i="1"/>
  <c r="AB39" i="1"/>
  <c r="AA39" i="1"/>
  <c r="Y39" i="1"/>
  <c r="W39" i="1"/>
  <c r="U39" i="1"/>
  <c r="S39" i="1"/>
  <c r="Q39" i="1"/>
  <c r="O39" i="1"/>
  <c r="M39" i="1"/>
  <c r="K39" i="1"/>
  <c r="I39" i="1"/>
  <c r="G39" i="1"/>
  <c r="E39" i="1"/>
  <c r="C39" i="1"/>
  <c r="AK37" i="1"/>
  <c r="AI37" i="1"/>
  <c r="AG37" i="1"/>
  <c r="AD37" i="1"/>
  <c r="AE37" i="1" s="1"/>
  <c r="AC37" i="1"/>
  <c r="AB37" i="1"/>
  <c r="AF37" i="1" s="1"/>
  <c r="AA37" i="1"/>
  <c r="Y37" i="1"/>
  <c r="W37" i="1"/>
  <c r="U37" i="1"/>
  <c r="S37" i="1"/>
  <c r="Q37" i="1"/>
  <c r="O37" i="1"/>
  <c r="M37" i="1"/>
  <c r="K37" i="1"/>
  <c r="I37" i="1"/>
  <c r="G37" i="1"/>
  <c r="E37" i="1"/>
  <c r="C37" i="1"/>
  <c r="AG35" i="1"/>
  <c r="AH35" i="1" s="1"/>
  <c r="Z35" i="1"/>
  <c r="AA35" i="1" s="1"/>
  <c r="X35" i="1"/>
  <c r="Y35" i="1" s="1"/>
  <c r="V35" i="1"/>
  <c r="W35" i="1" s="1"/>
  <c r="T35" i="1"/>
  <c r="U35" i="1" s="1"/>
  <c r="S35" i="1"/>
  <c r="R35" i="1"/>
  <c r="P35" i="1"/>
  <c r="Q35" i="1" s="1"/>
  <c r="N35" i="1"/>
  <c r="O35" i="1" s="1"/>
  <c r="L35" i="1"/>
  <c r="M35" i="1" s="1"/>
  <c r="K35" i="1"/>
  <c r="J35" i="1"/>
  <c r="H35" i="1"/>
  <c r="I35" i="1" s="1"/>
  <c r="F35" i="1"/>
  <c r="G35" i="1" s="1"/>
  <c r="E35" i="1"/>
  <c r="D35" i="1"/>
  <c r="C35" i="1"/>
  <c r="B35" i="1"/>
  <c r="AG34" i="1"/>
  <c r="AH34" i="1" s="1"/>
  <c r="AA34" i="1"/>
  <c r="Z34" i="1"/>
  <c r="X34" i="1"/>
  <c r="W34" i="1"/>
  <c r="V34" i="1"/>
  <c r="U34" i="1"/>
  <c r="T34" i="1"/>
  <c r="S34" i="1"/>
  <c r="R34" i="1"/>
  <c r="Q34" i="1"/>
  <c r="P34" i="1"/>
  <c r="O34" i="1"/>
  <c r="N34" i="1"/>
  <c r="L34" i="1"/>
  <c r="M34" i="1" s="1"/>
  <c r="K34" i="1"/>
  <c r="J34" i="1"/>
  <c r="H34" i="1"/>
  <c r="I34" i="1" s="1"/>
  <c r="G34" i="1"/>
  <c r="F34" i="1"/>
  <c r="D34" i="1"/>
  <c r="E34" i="1" s="1"/>
  <c r="B34" i="1"/>
  <c r="C34" i="1" s="1"/>
  <c r="AK33" i="1"/>
  <c r="AG33" i="1"/>
  <c r="AI33" i="1" s="1"/>
  <c r="AF33" i="1"/>
  <c r="AD33" i="1"/>
  <c r="AE33" i="1" s="1"/>
  <c r="AC33" i="1"/>
  <c r="AB33" i="1"/>
  <c r="AA33" i="1"/>
  <c r="Y33" i="1"/>
  <c r="W33" i="1"/>
  <c r="U33" i="1"/>
  <c r="S33" i="1"/>
  <c r="Q33" i="1"/>
  <c r="O33" i="1"/>
  <c r="M33" i="1"/>
  <c r="K33" i="1"/>
  <c r="I33" i="1"/>
  <c r="G33" i="1"/>
  <c r="E33" i="1"/>
  <c r="C33" i="1"/>
  <c r="AG32" i="1"/>
  <c r="AF32" i="1"/>
  <c r="AD32" i="1"/>
  <c r="AE32" i="1" s="1"/>
  <c r="AC32" i="1"/>
  <c r="AB32" i="1"/>
  <c r="AA32" i="1"/>
  <c r="Y32" i="1"/>
  <c r="W32" i="1"/>
  <c r="U32" i="1"/>
  <c r="S32" i="1"/>
  <c r="Q32" i="1"/>
  <c r="O32" i="1"/>
  <c r="M32" i="1"/>
  <c r="K32" i="1"/>
  <c r="I32" i="1"/>
  <c r="G32" i="1"/>
  <c r="E32" i="1"/>
  <c r="C32" i="1"/>
  <c r="AK31" i="1"/>
  <c r="AG31" i="1"/>
  <c r="AI31" i="1" s="1"/>
  <c r="AF31" i="1"/>
  <c r="AD31" i="1"/>
  <c r="AE31" i="1" s="1"/>
  <c r="AB31" i="1"/>
  <c r="AC31" i="1" s="1"/>
  <c r="AA31" i="1"/>
  <c r="Y31" i="1"/>
  <c r="W31" i="1"/>
  <c r="U31" i="1"/>
  <c r="S31" i="1"/>
  <c r="Q31" i="1"/>
  <c r="O31" i="1"/>
  <c r="M31" i="1"/>
  <c r="K31" i="1"/>
  <c r="I31" i="1"/>
  <c r="G31" i="1"/>
  <c r="E31" i="1"/>
  <c r="C31" i="1"/>
  <c r="AG30" i="1"/>
  <c r="AK30" i="1" s="1"/>
  <c r="AF30" i="1"/>
  <c r="AE30" i="1"/>
  <c r="AC30" i="1"/>
  <c r="AB30" i="1"/>
  <c r="AD30" i="1" s="1"/>
  <c r="AA30" i="1"/>
  <c r="Y30" i="1"/>
  <c r="W30" i="1"/>
  <c r="U30" i="1"/>
  <c r="S30" i="1"/>
  <c r="Q30" i="1"/>
  <c r="O30" i="1"/>
  <c r="M30" i="1"/>
  <c r="K30" i="1"/>
  <c r="I30" i="1"/>
  <c r="G30" i="1"/>
  <c r="E30" i="1"/>
  <c r="C30" i="1"/>
  <c r="AK29" i="1"/>
  <c r="AG29" i="1"/>
  <c r="AI29" i="1" s="1"/>
  <c r="AD29" i="1"/>
  <c r="AE29" i="1" s="1"/>
  <c r="AB29" i="1"/>
  <c r="AF29" i="1" s="1"/>
  <c r="AA29" i="1"/>
  <c r="Y29" i="1"/>
  <c r="W29" i="1"/>
  <c r="U29" i="1"/>
  <c r="S29" i="1"/>
  <c r="Q29" i="1"/>
  <c r="O29" i="1"/>
  <c r="M29" i="1"/>
  <c r="K29" i="1"/>
  <c r="I29" i="1"/>
  <c r="G29" i="1"/>
  <c r="E29" i="1"/>
  <c r="C29" i="1"/>
  <c r="Z27" i="1"/>
  <c r="AA27" i="1" s="1"/>
  <c r="X27" i="1"/>
  <c r="W27" i="1"/>
  <c r="V27" i="1"/>
  <c r="T27" i="1"/>
  <c r="U27" i="1" s="1"/>
  <c r="R27" i="1"/>
  <c r="AB27" i="1" s="1"/>
  <c r="AC27" i="1" s="1"/>
  <c r="P27" i="1"/>
  <c r="Q27" i="1" s="1"/>
  <c r="O27" i="1"/>
  <c r="N27" i="1"/>
  <c r="L27" i="1"/>
  <c r="J27" i="1"/>
  <c r="K27" i="1" s="1"/>
  <c r="H27" i="1"/>
  <c r="I27" i="1" s="1"/>
  <c r="F27" i="1"/>
  <c r="G27" i="1" s="1"/>
  <c r="E27" i="1"/>
  <c r="D27" i="1"/>
  <c r="B27" i="1"/>
  <c r="C27" i="1" s="1"/>
  <c r="AK26" i="1"/>
  <c r="AI26" i="1"/>
  <c r="AG26" i="1"/>
  <c r="AB26" i="1"/>
  <c r="AA26" i="1"/>
  <c r="Y26" i="1"/>
  <c r="W26" i="1"/>
  <c r="U26" i="1"/>
  <c r="S26" i="1"/>
  <c r="Q26" i="1"/>
  <c r="O26" i="1"/>
  <c r="M26" i="1"/>
  <c r="K26" i="1"/>
  <c r="I26" i="1"/>
  <c r="G26" i="1"/>
  <c r="E26" i="1"/>
  <c r="C26" i="1"/>
  <c r="AI25" i="1"/>
  <c r="AH25" i="1"/>
  <c r="AG25" i="1"/>
  <c r="AK25" i="1" s="1"/>
  <c r="AF25" i="1"/>
  <c r="AD25" i="1"/>
  <c r="AE25" i="1" s="1"/>
  <c r="AB25" i="1"/>
  <c r="AC25" i="1" s="1"/>
  <c r="AA25" i="1"/>
  <c r="Y25" i="1"/>
  <c r="W25" i="1"/>
  <c r="U25" i="1"/>
  <c r="S25" i="1"/>
  <c r="Q25" i="1"/>
  <c r="O25" i="1"/>
  <c r="M25" i="1"/>
  <c r="K25" i="1"/>
  <c r="I25" i="1"/>
  <c r="G25" i="1"/>
  <c r="E25" i="1"/>
  <c r="C25" i="1"/>
  <c r="AH24" i="1"/>
  <c r="AG24" i="1"/>
  <c r="AK24" i="1" s="1"/>
  <c r="AB24" i="1"/>
  <c r="AA24" i="1"/>
  <c r="Y24" i="1"/>
  <c r="W24" i="1"/>
  <c r="U24" i="1"/>
  <c r="S24" i="1"/>
  <c r="Q24" i="1"/>
  <c r="O24" i="1"/>
  <c r="M24" i="1"/>
  <c r="K24" i="1"/>
  <c r="I24" i="1"/>
  <c r="G24" i="1"/>
  <c r="E24" i="1"/>
  <c r="C24" i="1"/>
  <c r="AK23" i="1"/>
  <c r="AI23" i="1"/>
  <c r="AG23" i="1"/>
  <c r="AF23" i="1"/>
  <c r="AE23" i="1"/>
  <c r="AD23" i="1"/>
  <c r="AC23" i="1"/>
  <c r="AB23" i="1"/>
  <c r="AA23" i="1"/>
  <c r="Y23" i="1"/>
  <c r="W23" i="1"/>
  <c r="U23" i="1"/>
  <c r="S23" i="1"/>
  <c r="Q23" i="1"/>
  <c r="O23" i="1"/>
  <c r="M23" i="1"/>
  <c r="K23" i="1"/>
  <c r="I23" i="1"/>
  <c r="G23" i="1"/>
  <c r="E23" i="1"/>
  <c r="C23" i="1"/>
  <c r="AK22" i="1"/>
  <c r="AI22" i="1"/>
  <c r="AH22" i="1"/>
  <c r="AG22" i="1"/>
  <c r="AC22" i="1"/>
  <c r="AB22" i="1"/>
  <c r="AA22" i="1"/>
  <c r="Y22" i="1"/>
  <c r="W22" i="1"/>
  <c r="U22" i="1"/>
  <c r="S22" i="1"/>
  <c r="Q22" i="1"/>
  <c r="O22" i="1"/>
  <c r="M22" i="1"/>
  <c r="K22" i="1"/>
  <c r="I22" i="1"/>
  <c r="G22" i="1"/>
  <c r="E22" i="1"/>
  <c r="C22" i="1"/>
  <c r="AG21" i="1"/>
  <c r="AK21" i="1" s="1"/>
  <c r="AB21" i="1"/>
  <c r="AA21" i="1"/>
  <c r="Y21" i="1"/>
  <c r="W21" i="1"/>
  <c r="U21" i="1"/>
  <c r="S21" i="1"/>
  <c r="Q21" i="1"/>
  <c r="O21" i="1"/>
  <c r="M21" i="1"/>
  <c r="K21" i="1"/>
  <c r="I21" i="1"/>
  <c r="G21" i="1"/>
  <c r="E21" i="1"/>
  <c r="C21" i="1"/>
  <c r="AI20" i="1"/>
  <c r="AH20" i="1"/>
  <c r="AG20" i="1"/>
  <c r="AK20" i="1" s="1"/>
  <c r="AC20" i="1"/>
  <c r="AB20" i="1"/>
  <c r="AA20" i="1"/>
  <c r="Y20" i="1"/>
  <c r="W20" i="1"/>
  <c r="U20" i="1"/>
  <c r="S20" i="1"/>
  <c r="Q20" i="1"/>
  <c r="O20" i="1"/>
  <c r="M20" i="1"/>
  <c r="K20" i="1"/>
  <c r="I20" i="1"/>
  <c r="G20" i="1"/>
  <c r="E20" i="1"/>
  <c r="C20" i="1"/>
  <c r="AK19" i="1"/>
  <c r="AI19" i="1"/>
  <c r="AH19" i="1"/>
  <c r="AG19" i="1"/>
  <c r="AF19" i="1"/>
  <c r="AD19" i="1"/>
  <c r="AE19" i="1" s="1"/>
  <c r="AC19" i="1"/>
  <c r="AB19" i="1"/>
  <c r="AA19" i="1"/>
  <c r="Y19" i="1"/>
  <c r="W19" i="1"/>
  <c r="U19" i="1"/>
  <c r="S19" i="1"/>
  <c r="Q19" i="1"/>
  <c r="O19" i="1"/>
  <c r="M19" i="1"/>
  <c r="K19" i="1"/>
  <c r="I19" i="1"/>
  <c r="G19" i="1"/>
  <c r="E19" i="1"/>
  <c r="C19" i="1"/>
  <c r="AK18" i="1"/>
  <c r="AI18" i="1"/>
  <c r="AG18" i="1"/>
  <c r="AC18" i="1"/>
  <c r="AB18" i="1"/>
  <c r="AA18" i="1"/>
  <c r="Y18" i="1"/>
  <c r="W18" i="1"/>
  <c r="U18" i="1"/>
  <c r="S18" i="1"/>
  <c r="Q18" i="1"/>
  <c r="O18" i="1"/>
  <c r="M18" i="1"/>
  <c r="K18" i="1"/>
  <c r="I18" i="1"/>
  <c r="G18" i="1"/>
  <c r="E18" i="1"/>
  <c r="C18" i="1"/>
  <c r="AI17" i="1"/>
  <c r="AH17" i="1"/>
  <c r="AG17" i="1"/>
  <c r="AK17" i="1" s="1"/>
  <c r="AF17" i="1"/>
  <c r="AB17" i="1"/>
  <c r="AC17" i="1" s="1"/>
  <c r="AA17" i="1"/>
  <c r="Y17" i="1"/>
  <c r="W17" i="1"/>
  <c r="U17" i="1"/>
  <c r="S17" i="1"/>
  <c r="Q17" i="1"/>
  <c r="O17" i="1"/>
  <c r="M17" i="1"/>
  <c r="K17" i="1"/>
  <c r="I17" i="1"/>
  <c r="G17" i="1"/>
  <c r="E17" i="1"/>
  <c r="C17" i="1"/>
  <c r="AI16" i="1"/>
  <c r="AG16" i="1"/>
  <c r="AK16" i="1" s="1"/>
  <c r="AB16" i="1"/>
  <c r="AA16" i="1"/>
  <c r="Y16" i="1"/>
  <c r="W16" i="1"/>
  <c r="U16" i="1"/>
  <c r="S16" i="1"/>
  <c r="Q16" i="1"/>
  <c r="O16" i="1"/>
  <c r="M16" i="1"/>
  <c r="K16" i="1"/>
  <c r="I16" i="1"/>
  <c r="G16" i="1"/>
  <c r="E16" i="1"/>
  <c r="C16" i="1"/>
  <c r="AK15" i="1"/>
  <c r="AI15" i="1"/>
  <c r="AG15" i="1"/>
  <c r="AF15" i="1"/>
  <c r="AD15" i="1"/>
  <c r="AE15" i="1" s="1"/>
  <c r="AB15" i="1"/>
  <c r="AC15" i="1" s="1"/>
  <c r="AA15" i="1"/>
  <c r="Y15" i="1"/>
  <c r="W15" i="1"/>
  <c r="U15" i="1"/>
  <c r="S15" i="1"/>
  <c r="Q15" i="1"/>
  <c r="O15" i="1"/>
  <c r="M15" i="1"/>
  <c r="K15" i="1"/>
  <c r="I15" i="1"/>
  <c r="G15" i="1"/>
  <c r="E15" i="1"/>
  <c r="C15" i="1"/>
  <c r="AK13" i="1"/>
  <c r="AI13" i="1"/>
  <c r="AH13" i="1"/>
  <c r="AG13" i="1"/>
  <c r="AB13" i="1"/>
  <c r="AA13" i="1"/>
  <c r="Y13" i="1"/>
  <c r="W13" i="1"/>
  <c r="U13" i="1"/>
  <c r="S13" i="1"/>
  <c r="Q13" i="1"/>
  <c r="O13" i="1"/>
  <c r="M13" i="1"/>
  <c r="K13" i="1"/>
  <c r="I13" i="1"/>
  <c r="G13" i="1"/>
  <c r="E13" i="1"/>
  <c r="C13" i="1"/>
  <c r="AG9" i="1"/>
  <c r="AA9" i="1"/>
  <c r="Z9" i="1"/>
  <c r="Y9" i="1"/>
  <c r="X9" i="1"/>
  <c r="X59" i="1" s="1"/>
  <c r="W9" i="1"/>
  <c r="V9" i="1"/>
  <c r="V59" i="1" s="1"/>
  <c r="W59" i="1" s="1"/>
  <c r="T9" i="1"/>
  <c r="U9" i="1" s="1"/>
  <c r="R9" i="1"/>
  <c r="R59" i="1" s="1"/>
  <c r="Q9" i="1"/>
  <c r="P9" i="1"/>
  <c r="O9" i="1"/>
  <c r="N9" i="1"/>
  <c r="L9" i="1"/>
  <c r="M9" i="1" s="1"/>
  <c r="K9" i="1"/>
  <c r="J9" i="1"/>
  <c r="I9" i="1"/>
  <c r="H9" i="1"/>
  <c r="F9" i="1"/>
  <c r="G9" i="1" s="1"/>
  <c r="E9" i="1"/>
  <c r="D9" i="1"/>
  <c r="D59" i="1" s="1"/>
  <c r="C9" i="1"/>
  <c r="B9" i="1"/>
  <c r="B59" i="1" s="1"/>
  <c r="AK8" i="1"/>
  <c r="AI8" i="1"/>
  <c r="AG8" i="1"/>
  <c r="AF8" i="1"/>
  <c r="AD8" i="1"/>
  <c r="AE8" i="1" s="1"/>
  <c r="AB8" i="1"/>
  <c r="AC8" i="1" s="1"/>
  <c r="AA8" i="1"/>
  <c r="Y8" i="1"/>
  <c r="W8" i="1"/>
  <c r="U8" i="1"/>
  <c r="S8" i="1"/>
  <c r="Q8" i="1"/>
  <c r="O8" i="1"/>
  <c r="M8" i="1"/>
  <c r="K8" i="1"/>
  <c r="I8" i="1"/>
  <c r="G8" i="1"/>
  <c r="E8" i="1"/>
  <c r="C8" i="1"/>
  <c r="AG7" i="1"/>
  <c r="AB7" i="1"/>
  <c r="AC7" i="1" s="1"/>
  <c r="AA7" i="1"/>
  <c r="Y7" i="1"/>
  <c r="W7" i="1"/>
  <c r="U7" i="1"/>
  <c r="S7" i="1"/>
  <c r="Q7" i="1"/>
  <c r="O7" i="1"/>
  <c r="M7" i="1"/>
  <c r="K7" i="1"/>
  <c r="I7" i="1"/>
  <c r="G7" i="1"/>
  <c r="E7" i="1"/>
  <c r="C7" i="1"/>
  <c r="C5" i="6"/>
  <c r="T6" i="6" a="1"/>
  <c r="D8" i="6" a="1"/>
  <c r="M8" i="6" a="1"/>
  <c r="U9" i="6" a="1"/>
  <c r="S9" i="6" a="1"/>
  <c r="N7" i="6" a="1"/>
  <c r="D5" i="6" a="1"/>
  <c r="M5" i="6" a="1"/>
  <c r="J6" i="6" a="1"/>
  <c r="G7" i="6"/>
  <c r="K9" i="6"/>
  <c r="U6" i="6" a="1"/>
  <c r="H7" i="6" a="1"/>
  <c r="R7" i="6"/>
  <c r="E8" i="6" a="1"/>
  <c r="N8" i="6" a="1"/>
  <c r="L9" i="6" a="1"/>
  <c r="H6" i="6" a="1"/>
  <c r="E5" i="6" a="1"/>
  <c r="N5" i="6" a="1"/>
  <c r="K6" i="6"/>
  <c r="S7" i="6" a="1"/>
  <c r="C9" i="6"/>
  <c r="G6" i="6"/>
  <c r="K8" i="6"/>
  <c r="L6" i="6" a="1"/>
  <c r="I7" i="6" a="1"/>
  <c r="F8" i="6" a="1"/>
  <c r="D9" i="6" a="1"/>
  <c r="M9" i="6" a="1"/>
  <c r="J5" i="6" a="1"/>
  <c r="F5" i="6" a="1"/>
  <c r="C6" i="6"/>
  <c r="T7" i="6" a="1"/>
  <c r="E7" i="6" a="1"/>
  <c r="D94" i="7"/>
  <c r="D6" i="6" a="1"/>
  <c r="M6" i="6" a="1"/>
  <c r="J7" i="6" a="1"/>
  <c r="G8" i="6"/>
  <c r="E9" i="6" a="1"/>
  <c r="N9" i="6" a="1"/>
  <c r="G5" i="6"/>
  <c r="U7" i="6" a="1"/>
  <c r="H8" i="6" a="1"/>
  <c r="R8" i="6"/>
  <c r="R6" i="6"/>
  <c r="F94" i="7"/>
  <c r="H5" i="6" a="1"/>
  <c r="R5" i="6"/>
  <c r="E6" i="6" a="1"/>
  <c r="N6" i="6" a="1"/>
  <c r="K7" i="6"/>
  <c r="S8" i="6" a="1"/>
  <c r="F9" i="6" a="1"/>
  <c r="S5" i="6" a="1"/>
  <c r="L7" i="6" a="1"/>
  <c r="I8" i="6" a="1"/>
  <c r="U5" i="6" a="1"/>
  <c r="H94" i="7"/>
  <c r="I5" i="6" a="1"/>
  <c r="F6" i="6" a="1"/>
  <c r="C7" i="6"/>
  <c r="T8" i="6" a="1"/>
  <c r="G9" i="6"/>
  <c r="I9" i="6" a="1"/>
  <c r="T5" i="6" a="1"/>
  <c r="D7" i="6" a="1"/>
  <c r="M7" i="6" a="1"/>
  <c r="J8" i="6" a="1"/>
  <c r="H9" i="6" a="1"/>
  <c r="R9" i="6"/>
  <c r="K5" i="6"/>
  <c r="S6" i="6" a="1"/>
  <c r="L8" i="6" a="1"/>
  <c r="T9" i="6" a="1"/>
  <c r="L5" i="6" a="1"/>
  <c r="I6" i="6" a="1"/>
  <c r="F7" i="6" a="1"/>
  <c r="C8" i="6"/>
  <c r="J9" i="6" a="1"/>
  <c r="U8" i="6" a="1"/>
  <c r="U8" i="6" l="1"/>
  <c r="J9" i="6"/>
  <c r="O8" i="6"/>
  <c r="V8" i="6"/>
  <c r="F7" i="6"/>
  <c r="I6" i="6"/>
  <c r="L5" i="6"/>
  <c r="T9" i="6"/>
  <c r="L8" i="6"/>
  <c r="S6" i="6"/>
  <c r="H9" i="6"/>
  <c r="J8" i="6"/>
  <c r="M7" i="6"/>
  <c r="D7" i="6"/>
  <c r="T5" i="6"/>
  <c r="I9" i="6"/>
  <c r="T8" i="6"/>
  <c r="V7" i="6"/>
  <c r="O7" i="6"/>
  <c r="F6" i="6"/>
  <c r="I5" i="6"/>
  <c r="J94" i="7"/>
  <c r="K94" i="7" s="1"/>
  <c r="I94" i="7"/>
  <c r="U5" i="6"/>
  <c r="I8" i="6"/>
  <c r="L7" i="6"/>
  <c r="S5" i="6"/>
  <c r="F9" i="6"/>
  <c r="S8" i="6"/>
  <c r="N6" i="6"/>
  <c r="E6" i="6"/>
  <c r="H5" i="6"/>
  <c r="G94" i="7"/>
  <c r="H8" i="6"/>
  <c r="U7" i="6"/>
  <c r="N9" i="6"/>
  <c r="E9" i="6"/>
  <c r="J7" i="6"/>
  <c r="M6" i="6"/>
  <c r="D6" i="6"/>
  <c r="E94" i="7"/>
  <c r="E7" i="6"/>
  <c r="T7" i="6"/>
  <c r="V6" i="6"/>
  <c r="O6" i="6"/>
  <c r="F5" i="6"/>
  <c r="J5" i="6"/>
  <c r="M9" i="6"/>
  <c r="D9" i="6"/>
  <c r="F8" i="6"/>
  <c r="I7" i="6"/>
  <c r="L6" i="6"/>
  <c r="V9" i="6"/>
  <c r="O9" i="6"/>
  <c r="S7" i="6"/>
  <c r="N5" i="6"/>
  <c r="E5" i="6"/>
  <c r="H6" i="6"/>
  <c r="L9" i="6"/>
  <c r="N8" i="6"/>
  <c r="E8" i="6"/>
  <c r="H7" i="6"/>
  <c r="U6" i="6"/>
  <c r="J6" i="6"/>
  <c r="M5" i="6"/>
  <c r="D5" i="6"/>
  <c r="N7" i="6"/>
  <c r="S9" i="6"/>
  <c r="U9" i="6"/>
  <c r="M8" i="6"/>
  <c r="D8" i="6"/>
  <c r="T6" i="6"/>
  <c r="O5" i="6"/>
  <c r="V5" i="6"/>
  <c r="AH141" i="1"/>
  <c r="AI141" i="1"/>
  <c r="AK7" i="1"/>
  <c r="AL7" i="1" s="1"/>
  <c r="AI7" i="1"/>
  <c r="AH7" i="1"/>
  <c r="AL51" i="1"/>
  <c r="AJ33" i="1"/>
  <c r="AJ124" i="1"/>
  <c r="AD141" i="1"/>
  <c r="AE141" i="1" s="1"/>
  <c r="AC141" i="1"/>
  <c r="C59" i="1"/>
  <c r="B87" i="1"/>
  <c r="AL54" i="1"/>
  <c r="AJ94" i="1"/>
  <c r="AJ74" i="1"/>
  <c r="AK9" i="1"/>
  <c r="AI9" i="1"/>
  <c r="AH9" i="1"/>
  <c r="AF21" i="1"/>
  <c r="AD21" i="1"/>
  <c r="AE21" i="1" s="1"/>
  <c r="AC21" i="1"/>
  <c r="AJ13" i="1"/>
  <c r="AL30" i="1"/>
  <c r="AG27" i="1"/>
  <c r="AH27" i="1" s="1"/>
  <c r="M27" i="1"/>
  <c r="AG84" i="1"/>
  <c r="K84" i="1"/>
  <c r="AB85" i="1"/>
  <c r="AC85" i="1" s="1"/>
  <c r="S85" i="1"/>
  <c r="AF98" i="1"/>
  <c r="AD98" i="1"/>
  <c r="AE98" i="1" s="1"/>
  <c r="AK105" i="1"/>
  <c r="AL105" i="1" s="1"/>
  <c r="AI105" i="1"/>
  <c r="AD7" i="2"/>
  <c r="AE7" i="2" s="1"/>
  <c r="AC7" i="2"/>
  <c r="AL23" i="2"/>
  <c r="AF13" i="1"/>
  <c r="AD13" i="1"/>
  <c r="AE13" i="1" s="1"/>
  <c r="AG52" i="1"/>
  <c r="AC56" i="1"/>
  <c r="N87" i="1"/>
  <c r="O59" i="1"/>
  <c r="AK66" i="1"/>
  <c r="AH66" i="1"/>
  <c r="AD67" i="1"/>
  <c r="AE67" i="1" s="1"/>
  <c r="AC67" i="1"/>
  <c r="AC98" i="1"/>
  <c r="M105" i="1"/>
  <c r="AF129" i="1"/>
  <c r="AD129" i="1"/>
  <c r="AE129" i="1" s="1"/>
  <c r="AF7" i="2"/>
  <c r="AC21" i="2"/>
  <c r="AG27" i="2"/>
  <c r="O27" i="2"/>
  <c r="AK47" i="2"/>
  <c r="AI47" i="2"/>
  <c r="AH47" i="2"/>
  <c r="AC13" i="1"/>
  <c r="AL17" i="1"/>
  <c r="AH21" i="1"/>
  <c r="AF22" i="1"/>
  <c r="AD22" i="1"/>
  <c r="AE22" i="1" s="1"/>
  <c r="AG56" i="1"/>
  <c r="Q107" i="1"/>
  <c r="P137" i="1"/>
  <c r="AI66" i="1"/>
  <c r="AJ66" i="1" s="1"/>
  <c r="AF67" i="1"/>
  <c r="AC78" i="1"/>
  <c r="AL120" i="1"/>
  <c r="AK121" i="1"/>
  <c r="AI121" i="1"/>
  <c r="AH121" i="1"/>
  <c r="AH128" i="1"/>
  <c r="AK128" i="1"/>
  <c r="AL128" i="1" s="1"/>
  <c r="AC129" i="1"/>
  <c r="AK140" i="1"/>
  <c r="AH140" i="1"/>
  <c r="AI140" i="1"/>
  <c r="AH98" i="1"/>
  <c r="AH127" i="1"/>
  <c r="AH92" i="1"/>
  <c r="AH54" i="1"/>
  <c r="AH41" i="1"/>
  <c r="AH68" i="1"/>
  <c r="AH50" i="1"/>
  <c r="AH26" i="1"/>
  <c r="AH23" i="1"/>
  <c r="AH18" i="1"/>
  <c r="AH15" i="1"/>
  <c r="AH8" i="1"/>
  <c r="AH96" i="1"/>
  <c r="AK148" i="1"/>
  <c r="AH129" i="1"/>
  <c r="AH37" i="1"/>
  <c r="AI148" i="1"/>
  <c r="AH124" i="1"/>
  <c r="AH94" i="1"/>
  <c r="AH90" i="1"/>
  <c r="AH42" i="1"/>
  <c r="AD21" i="2"/>
  <c r="AE21" i="2" s="1"/>
  <c r="AF26" i="2"/>
  <c r="AC26" i="2"/>
  <c r="AD26" i="2"/>
  <c r="AE26" i="2" s="1"/>
  <c r="AF65" i="2"/>
  <c r="AD65" i="2"/>
  <c r="AE65" i="2" s="1"/>
  <c r="AC65" i="2"/>
  <c r="Y105" i="2"/>
  <c r="S84" i="4"/>
  <c r="AB84" i="4"/>
  <c r="AF18" i="1"/>
  <c r="AD18" i="1"/>
  <c r="AE18" i="1" s="1"/>
  <c r="AI21" i="1"/>
  <c r="AL25" i="1"/>
  <c r="AF26" i="1"/>
  <c r="AD26" i="1"/>
  <c r="AE26" i="1" s="1"/>
  <c r="AC26" i="1"/>
  <c r="AL33" i="1"/>
  <c r="AK67" i="1"/>
  <c r="AL67" i="1" s="1"/>
  <c r="AI67" i="1"/>
  <c r="AH67" i="1"/>
  <c r="AF78" i="1"/>
  <c r="AB99" i="1"/>
  <c r="S99" i="1"/>
  <c r="AF77" i="2"/>
  <c r="AD77" i="2"/>
  <c r="AE77" i="2" s="1"/>
  <c r="R87" i="1"/>
  <c r="AB59" i="1"/>
  <c r="S59" i="1"/>
  <c r="AC55" i="1"/>
  <c r="AL130" i="1"/>
  <c r="AK17" i="2"/>
  <c r="AL17" i="2" s="1"/>
  <c r="AH17" i="2"/>
  <c r="AF51" i="2"/>
  <c r="AD51" i="2"/>
  <c r="AE51" i="2" s="1"/>
  <c r="AC51" i="2"/>
  <c r="AI132" i="2"/>
  <c r="AH132" i="2"/>
  <c r="AK132" i="2"/>
  <c r="AD132" i="3"/>
  <c r="AC132" i="3"/>
  <c r="AK78" i="1"/>
  <c r="AL78" i="1" s="1"/>
  <c r="AI78" i="1"/>
  <c r="AH78" i="1"/>
  <c r="AF17" i="2"/>
  <c r="AC17" i="2"/>
  <c r="AK53" i="1"/>
  <c r="AL53" i="1" s="1"/>
  <c r="AI53" i="1"/>
  <c r="AH53" i="1"/>
  <c r="AC69" i="1"/>
  <c r="AC72" i="1"/>
  <c r="AD72" i="1"/>
  <c r="AE72" i="1" s="1"/>
  <c r="AF72" i="1"/>
  <c r="AL122" i="1"/>
  <c r="AD17" i="2"/>
  <c r="AE17" i="2" s="1"/>
  <c r="AL76" i="2"/>
  <c r="AI35" i="1"/>
  <c r="AC42" i="1"/>
  <c r="AK46" i="1"/>
  <c r="AL46" i="1" s="1"/>
  <c r="AH46" i="1"/>
  <c r="AD47" i="1"/>
  <c r="AE47" i="1" s="1"/>
  <c r="AC47" i="1"/>
  <c r="AD69" i="1"/>
  <c r="AE69" i="1" s="1"/>
  <c r="AG85" i="1"/>
  <c r="AH85" i="1" s="1"/>
  <c r="AK123" i="1"/>
  <c r="AL123" i="1" s="1"/>
  <c r="AI123" i="1"/>
  <c r="AH123" i="1"/>
  <c r="AD135" i="1"/>
  <c r="AE135" i="1" s="1"/>
  <c r="AC135" i="1"/>
  <c r="S9" i="1"/>
  <c r="Y34" i="1"/>
  <c r="AK34" i="1"/>
  <c r="AL34" i="1" s="1"/>
  <c r="AK35" i="1"/>
  <c r="AL35" i="1" s="1"/>
  <c r="AD42" i="1"/>
  <c r="AE42" i="1" s="1"/>
  <c r="AI46" i="1"/>
  <c r="AC51" i="1"/>
  <c r="AD55" i="1"/>
  <c r="AE55" i="1" s="1"/>
  <c r="AH116" i="1"/>
  <c r="AF117" i="1"/>
  <c r="AD117" i="1"/>
  <c r="AE117" i="1" s="1"/>
  <c r="AC117" i="1"/>
  <c r="AH132" i="1"/>
  <c r="AF135" i="1"/>
  <c r="AI17" i="2"/>
  <c r="AH32" i="2"/>
  <c r="AK32" i="2"/>
  <c r="AL32" i="2" s="1"/>
  <c r="Y56" i="2"/>
  <c r="AI69" i="1"/>
  <c r="AK69" i="1"/>
  <c r="AL69" i="1" s="1"/>
  <c r="AD125" i="1"/>
  <c r="AE125" i="1" s="1"/>
  <c r="AC125" i="1"/>
  <c r="AD133" i="1"/>
  <c r="AE133" i="1" s="1"/>
  <c r="AF133" i="1"/>
  <c r="AK135" i="1"/>
  <c r="AL135" i="1" s="1"/>
  <c r="AI135" i="1"/>
  <c r="AH135" i="1"/>
  <c r="W9" i="2"/>
  <c r="V59" i="2"/>
  <c r="Y52" i="2"/>
  <c r="AC72" i="2"/>
  <c r="AF72" i="2"/>
  <c r="AD72" i="2"/>
  <c r="AE72" i="2" s="1"/>
  <c r="AF132" i="3"/>
  <c r="AJ31" i="1"/>
  <c r="AD43" i="1"/>
  <c r="AE43" i="1" s="1"/>
  <c r="AC43" i="1"/>
  <c r="AK55" i="1"/>
  <c r="AI55" i="1"/>
  <c r="AF63" i="1"/>
  <c r="AD63" i="1"/>
  <c r="AE63" i="1" s="1"/>
  <c r="AH69" i="1"/>
  <c r="AL92" i="1"/>
  <c r="AI110" i="1"/>
  <c r="AH110" i="1"/>
  <c r="AK110" i="1"/>
  <c r="AL110" i="1" s="1"/>
  <c r="AL116" i="1"/>
  <c r="AC133" i="1"/>
  <c r="K135" i="1"/>
  <c r="AG145" i="1"/>
  <c r="K145" i="1"/>
  <c r="AK71" i="2"/>
  <c r="AI71" i="2"/>
  <c r="AI118" i="2"/>
  <c r="AK118" i="2"/>
  <c r="AL90" i="1"/>
  <c r="AD104" i="1"/>
  <c r="AE104" i="1" s="1"/>
  <c r="AC104" i="1"/>
  <c r="AF104" i="1"/>
  <c r="AA87" i="2"/>
  <c r="Z107" i="2"/>
  <c r="Z101" i="2"/>
  <c r="AA101" i="2" s="1"/>
  <c r="AK53" i="2"/>
  <c r="AH53" i="2"/>
  <c r="AF39" i="3"/>
  <c r="AC39" i="3"/>
  <c r="AD39" i="3"/>
  <c r="AF43" i="1"/>
  <c r="K57" i="1"/>
  <c r="AG57" i="1"/>
  <c r="AK80" i="1"/>
  <c r="AH80" i="1"/>
  <c r="S81" i="1"/>
  <c r="AK111" i="1"/>
  <c r="AL111" i="1" s="1"/>
  <c r="AI111" i="1"/>
  <c r="AH111" i="1"/>
  <c r="AI118" i="1"/>
  <c r="AH118" i="1"/>
  <c r="AK118" i="1"/>
  <c r="AL118" i="1" s="1"/>
  <c r="E9" i="2"/>
  <c r="AA9" i="2"/>
  <c r="AD34" i="2"/>
  <c r="AE34" i="2" s="1"/>
  <c r="AB52" i="2"/>
  <c r="AC52" i="2" s="1"/>
  <c r="AI53" i="2"/>
  <c r="AG70" i="2"/>
  <c r="AH70" i="2" s="1"/>
  <c r="M70" i="2"/>
  <c r="AG35" i="3"/>
  <c r="AK35" i="3" s="1"/>
  <c r="AL35" i="3" s="1"/>
  <c r="K35" i="3"/>
  <c r="T107" i="1"/>
  <c r="T101" i="1"/>
  <c r="U101" i="1" s="1"/>
  <c r="M34" i="2"/>
  <c r="AG34" i="2"/>
  <c r="AH34" i="2" s="1"/>
  <c r="AJ25" i="1"/>
  <c r="AC75" i="1"/>
  <c r="AF75" i="1"/>
  <c r="AI34" i="1"/>
  <c r="AB35" i="1"/>
  <c r="AL37" i="1"/>
  <c r="AH39" i="1"/>
  <c r="AF65" i="1"/>
  <c r="AC65" i="1"/>
  <c r="AD65" i="1"/>
  <c r="AE65" i="1" s="1"/>
  <c r="AF76" i="1"/>
  <c r="AD76" i="1"/>
  <c r="AE76" i="1" s="1"/>
  <c r="AI80" i="1"/>
  <c r="AJ80" i="1" s="1"/>
  <c r="Q87" i="1"/>
  <c r="AF95" i="1"/>
  <c r="AD95" i="1"/>
  <c r="AE95" i="1" s="1"/>
  <c r="AC95" i="1"/>
  <c r="K141" i="1"/>
  <c r="Y34" i="2"/>
  <c r="AF44" i="2"/>
  <c r="AI57" i="2"/>
  <c r="AK57" i="2"/>
  <c r="AH57" i="2"/>
  <c r="N101" i="2"/>
  <c r="O101" i="2" s="1"/>
  <c r="N107" i="2"/>
  <c r="O87" i="2"/>
  <c r="AL29" i="1"/>
  <c r="U59" i="1"/>
  <c r="D87" i="1"/>
  <c r="E59" i="1"/>
  <c r="Y27" i="1"/>
  <c r="AI27" i="1"/>
  <c r="AJ27" i="1" s="1"/>
  <c r="AF27" i="1"/>
  <c r="AI51" i="1"/>
  <c r="AJ51" i="1" s="1"/>
  <c r="AH51" i="1"/>
  <c r="AK74" i="1"/>
  <c r="AH74" i="1"/>
  <c r="AL132" i="1"/>
  <c r="AK55" i="2"/>
  <c r="AI55" i="2"/>
  <c r="AK99" i="3"/>
  <c r="AL99" i="3" s="1"/>
  <c r="Y99" i="3"/>
  <c r="AD7" i="1"/>
  <c r="AE7" i="1" s="1"/>
  <c r="H59" i="1"/>
  <c r="Z59" i="1"/>
  <c r="AL15" i="1"/>
  <c r="AH16" i="1"/>
  <c r="AF20" i="1"/>
  <c r="AD20" i="1"/>
  <c r="AE20" i="1" s="1"/>
  <c r="AD27" i="1"/>
  <c r="AE27" i="1" s="1"/>
  <c r="AF40" i="1"/>
  <c r="AD40" i="1"/>
  <c r="AE40" i="1" s="1"/>
  <c r="AH48" i="1"/>
  <c r="AB70" i="1"/>
  <c r="AC76" i="1"/>
  <c r="U87" i="1"/>
  <c r="AH105" i="1"/>
  <c r="AF40" i="2"/>
  <c r="AD40" i="2"/>
  <c r="AE40" i="2" s="1"/>
  <c r="AG44" i="2"/>
  <c r="AH44" i="2" s="1"/>
  <c r="AF68" i="2"/>
  <c r="AC68" i="2"/>
  <c r="AF145" i="1"/>
  <c r="AD145" i="1"/>
  <c r="AE145" i="1" s="1"/>
  <c r="AG99" i="1"/>
  <c r="D87" i="2"/>
  <c r="E59" i="2"/>
  <c r="AL42" i="1"/>
  <c r="AL23" i="1"/>
  <c r="AK32" i="1"/>
  <c r="AL32" i="1" s="1"/>
  <c r="AI32" i="1"/>
  <c r="AI44" i="1"/>
  <c r="AK44" i="1"/>
  <c r="AL44" i="1" s="1"/>
  <c r="AF44" i="1"/>
  <c r="AD44" i="1"/>
  <c r="AE44" i="1" s="1"/>
  <c r="AF49" i="1"/>
  <c r="AC49" i="1"/>
  <c r="AH65" i="1"/>
  <c r="AL75" i="1"/>
  <c r="AC84" i="1"/>
  <c r="V87" i="1"/>
  <c r="AL94" i="1"/>
  <c r="AK95" i="1"/>
  <c r="AL95" i="1" s="1"/>
  <c r="AH95" i="1"/>
  <c r="AI95" i="1"/>
  <c r="AJ95" i="1" s="1"/>
  <c r="AF24" i="2"/>
  <c r="AD24" i="2"/>
  <c r="AE24" i="2" s="1"/>
  <c r="AC24" i="2"/>
  <c r="AG52" i="2"/>
  <c r="AH52" i="2" s="1"/>
  <c r="K52" i="2"/>
  <c r="P87" i="2"/>
  <c r="Q59" i="2"/>
  <c r="S27" i="1"/>
  <c r="AF39" i="1"/>
  <c r="AD39" i="1"/>
  <c r="AE39" i="1" s="1"/>
  <c r="AC39" i="1"/>
  <c r="AI93" i="1"/>
  <c r="AH93" i="1"/>
  <c r="AK93" i="1"/>
  <c r="AL93" i="1" s="1"/>
  <c r="AL124" i="1"/>
  <c r="AK54" i="2"/>
  <c r="AL54" i="2" s="1"/>
  <c r="AI54" i="2"/>
  <c r="AH54" i="2"/>
  <c r="AK26" i="3"/>
  <c r="AL26" i="3" s="1"/>
  <c r="AI26" i="3"/>
  <c r="AH26" i="3"/>
  <c r="X87" i="1"/>
  <c r="Y59" i="1"/>
  <c r="AF7" i="1"/>
  <c r="J59" i="1"/>
  <c r="AB9" i="1"/>
  <c r="AD17" i="1"/>
  <c r="AE17" i="1" s="1"/>
  <c r="AL19" i="1"/>
  <c r="AL20" i="1"/>
  <c r="AI24" i="1"/>
  <c r="AJ24" i="1" s="1"/>
  <c r="AK27" i="1"/>
  <c r="AL27" i="1" s="1"/>
  <c r="AC29" i="1"/>
  <c r="AH32" i="1"/>
  <c r="AL39" i="1"/>
  <c r="Y44" i="1"/>
  <c r="AD49" i="1"/>
  <c r="AE49" i="1" s="1"/>
  <c r="AB52" i="1"/>
  <c r="L59" i="1"/>
  <c r="AF66" i="1"/>
  <c r="AD66" i="1"/>
  <c r="AE66" i="1" s="1"/>
  <c r="AG70" i="1"/>
  <c r="AH97" i="1"/>
  <c r="AH113" i="1"/>
  <c r="AH119" i="1"/>
  <c r="AD15" i="2"/>
  <c r="AE15" i="2" s="1"/>
  <c r="AC15" i="2"/>
  <c r="AF15" i="2"/>
  <c r="AL39" i="2"/>
  <c r="AB34" i="1"/>
  <c r="AC34" i="1" s="1"/>
  <c r="AL77" i="1"/>
  <c r="AD115" i="1"/>
  <c r="AE115" i="1" s="1"/>
  <c r="AC115" i="1"/>
  <c r="G9" i="2"/>
  <c r="F59" i="2"/>
  <c r="AF35" i="2"/>
  <c r="AD35" i="2"/>
  <c r="AE35" i="2" s="1"/>
  <c r="S84" i="2"/>
  <c r="AB84" i="2"/>
  <c r="AC84" i="2" s="1"/>
  <c r="AI135" i="2"/>
  <c r="AH135" i="2"/>
  <c r="AK132" i="3"/>
  <c r="AL132" i="3" s="1"/>
  <c r="AI132" i="3"/>
  <c r="AH132" i="3"/>
  <c r="AB135" i="3"/>
  <c r="AC135" i="3" s="1"/>
  <c r="W135" i="3"/>
  <c r="AF69" i="2"/>
  <c r="AD69" i="2"/>
  <c r="AE69" i="2" s="1"/>
  <c r="AC69" i="2"/>
  <c r="AF92" i="2"/>
  <c r="AD92" i="2"/>
  <c r="AE92" i="2" s="1"/>
  <c r="AD134" i="2"/>
  <c r="AE134" i="2" s="1"/>
  <c r="AC134" i="2"/>
  <c r="AF134" i="2"/>
  <c r="AF81" i="1"/>
  <c r="AK115" i="1"/>
  <c r="AL115" i="1" s="1"/>
  <c r="AI115" i="1"/>
  <c r="AJ115" i="1" s="1"/>
  <c r="AH115" i="1"/>
  <c r="AH120" i="1"/>
  <c r="AI29" i="2"/>
  <c r="AH29" i="2"/>
  <c r="AC53" i="2"/>
  <c r="AB56" i="2"/>
  <c r="AC56" i="2" s="1"/>
  <c r="AC92" i="2"/>
  <c r="AI49" i="1"/>
  <c r="AJ49" i="1" s="1"/>
  <c r="AH49" i="1"/>
  <c r="AB57" i="1"/>
  <c r="Y81" i="1"/>
  <c r="AD85" i="1"/>
  <c r="AE85" i="1" s="1"/>
  <c r="AF85" i="1"/>
  <c r="Y85" i="1"/>
  <c r="AL104" i="1"/>
  <c r="AI120" i="1"/>
  <c r="AF121" i="1"/>
  <c r="AD121" i="1"/>
  <c r="AE121" i="1" s="1"/>
  <c r="AI134" i="1"/>
  <c r="AH134" i="1"/>
  <c r="AK134" i="1"/>
  <c r="AL134" i="1" s="1"/>
  <c r="L59" i="2"/>
  <c r="M9" i="2"/>
  <c r="AK29" i="2"/>
  <c r="AL29" i="2" s="1"/>
  <c r="AG35" i="2"/>
  <c r="M35" i="2"/>
  <c r="AC47" i="2"/>
  <c r="AF53" i="2"/>
  <c r="U56" i="2"/>
  <c r="AL91" i="2"/>
  <c r="S34" i="3"/>
  <c r="AB34" i="3"/>
  <c r="M84" i="3"/>
  <c r="AG84" i="3"/>
  <c r="AH84" i="3" s="1"/>
  <c r="AC35" i="4"/>
  <c r="AD35" i="4"/>
  <c r="AE35" i="4" s="1"/>
  <c r="AK84" i="2"/>
  <c r="AL84" i="2" s="1"/>
  <c r="AI84" i="2"/>
  <c r="AD84" i="2"/>
  <c r="AE84" i="2" s="1"/>
  <c r="Y84" i="2"/>
  <c r="AD110" i="2"/>
  <c r="AE110" i="2" s="1"/>
  <c r="AC110" i="2"/>
  <c r="AF110" i="2"/>
  <c r="AI141" i="2"/>
  <c r="AH141" i="2"/>
  <c r="AK141" i="2"/>
  <c r="AL141" i="2" s="1"/>
  <c r="AD141" i="2"/>
  <c r="AE141" i="2" s="1"/>
  <c r="AC141" i="2"/>
  <c r="O52" i="3"/>
  <c r="AG52" i="3"/>
  <c r="AI79" i="2"/>
  <c r="AH79" i="2"/>
  <c r="AI80" i="2"/>
  <c r="AK80" i="2"/>
  <c r="AL80" i="2" s="1"/>
  <c r="AK110" i="2"/>
  <c r="AH110" i="2"/>
  <c r="AB145" i="2"/>
  <c r="U145" i="2"/>
  <c r="D87" i="3"/>
  <c r="E59" i="3"/>
  <c r="AD33" i="3"/>
  <c r="AF33" i="3"/>
  <c r="AC33" i="3"/>
  <c r="AF18" i="4"/>
  <c r="AD18" i="4"/>
  <c r="AE18" i="4" s="1"/>
  <c r="AC18" i="4"/>
  <c r="Y34" i="4"/>
  <c r="AG34" i="4"/>
  <c r="AH34" i="4" s="1"/>
  <c r="AF68" i="1"/>
  <c r="AD68" i="1"/>
  <c r="AE68" i="1" s="1"/>
  <c r="AG81" i="1"/>
  <c r="AK81" i="1" s="1"/>
  <c r="AL81" i="1" s="1"/>
  <c r="AK125" i="1"/>
  <c r="AL125" i="1" s="1"/>
  <c r="AI125" i="1"/>
  <c r="AH125" i="1"/>
  <c r="AL26" i="2"/>
  <c r="AI70" i="2"/>
  <c r="AF70" i="2"/>
  <c r="AK70" i="2"/>
  <c r="AL74" i="2"/>
  <c r="AI75" i="2"/>
  <c r="AH75" i="2"/>
  <c r="AK75" i="2"/>
  <c r="AK79" i="2"/>
  <c r="AL79" i="2" s="1"/>
  <c r="AH80" i="2"/>
  <c r="AI110" i="2"/>
  <c r="E9" i="3"/>
  <c r="AH32" i="3"/>
  <c r="AF49" i="3"/>
  <c r="AD49" i="3"/>
  <c r="AK48" i="2"/>
  <c r="AL48" i="2" s="1"/>
  <c r="AI48" i="2"/>
  <c r="AH48" i="2"/>
  <c r="AH30" i="1"/>
  <c r="AH43" i="1"/>
  <c r="AD52" i="1"/>
  <c r="AE52" i="1" s="1"/>
  <c r="AC68" i="1"/>
  <c r="AJ79" i="1"/>
  <c r="K81" i="1"/>
  <c r="AI85" i="1"/>
  <c r="AJ85" i="1" s="1"/>
  <c r="AC92" i="1"/>
  <c r="AE126" i="1"/>
  <c r="AH130" i="1"/>
  <c r="AD131" i="1"/>
  <c r="AE131" i="1" s="1"/>
  <c r="AF131" i="1"/>
  <c r="AC131" i="1"/>
  <c r="AI15" i="2"/>
  <c r="AH15" i="2"/>
  <c r="AH19" i="2"/>
  <c r="AI19" i="2"/>
  <c r="AD31" i="2"/>
  <c r="AE31" i="2" s="1"/>
  <c r="AC31" i="2"/>
  <c r="AJ37" i="2"/>
  <c r="AK49" i="2"/>
  <c r="AL49" i="2" s="1"/>
  <c r="AI49" i="2"/>
  <c r="S57" i="2"/>
  <c r="R59" i="2"/>
  <c r="Y70" i="2"/>
  <c r="AI124" i="2"/>
  <c r="AK124" i="2"/>
  <c r="AL124" i="2" s="1"/>
  <c r="AH124" i="2"/>
  <c r="AK135" i="2"/>
  <c r="AI32" i="3"/>
  <c r="AC49" i="3"/>
  <c r="AI145" i="3"/>
  <c r="AJ145" i="3" s="1"/>
  <c r="AK145" i="3"/>
  <c r="AL145" i="3" s="1"/>
  <c r="AB145" i="3"/>
  <c r="AC145" i="3" s="1"/>
  <c r="L101" i="4"/>
  <c r="M101" i="4" s="1"/>
  <c r="L107" i="4"/>
  <c r="M87" i="4"/>
  <c r="AI47" i="1"/>
  <c r="AJ47" i="1" s="1"/>
  <c r="AH47" i="1"/>
  <c r="AD54" i="1"/>
  <c r="AE54" i="1" s="1"/>
  <c r="AC54" i="1"/>
  <c r="AI30" i="1"/>
  <c r="AI43" i="1"/>
  <c r="AJ43" i="1" s="1"/>
  <c r="AD81" i="1"/>
  <c r="AE81" i="1" s="1"/>
  <c r="AD92" i="1"/>
  <c r="AE92" i="1" s="1"/>
  <c r="AB105" i="1"/>
  <c r="AF113" i="1"/>
  <c r="AD113" i="1"/>
  <c r="AE113" i="1" s="1"/>
  <c r="AI130" i="1"/>
  <c r="AJ130" i="1" s="1"/>
  <c r="AL37" i="2"/>
  <c r="I9" i="3"/>
  <c r="H59" i="3"/>
  <c r="AF63" i="3"/>
  <c r="AD63" i="3"/>
  <c r="Y145" i="3"/>
  <c r="AF56" i="1"/>
  <c r="AE97" i="1"/>
  <c r="AH122" i="1"/>
  <c r="AI126" i="1"/>
  <c r="AH126" i="1"/>
  <c r="AL19" i="2"/>
  <c r="AI31" i="2"/>
  <c r="AJ31" i="2" s="1"/>
  <c r="AH31" i="2"/>
  <c r="AK44" i="2"/>
  <c r="AL44" i="2" s="1"/>
  <c r="AD44" i="2"/>
  <c r="AE44" i="2" s="1"/>
  <c r="T87" i="2"/>
  <c r="U59" i="2"/>
  <c r="AD126" i="2"/>
  <c r="AE126" i="2" s="1"/>
  <c r="AC126" i="2"/>
  <c r="AF126" i="2"/>
  <c r="AI25" i="3"/>
  <c r="AK25" i="3"/>
  <c r="AL25" i="3" s="1"/>
  <c r="AE26" i="3"/>
  <c r="AC63" i="3"/>
  <c r="AE72" i="3"/>
  <c r="AF16" i="1"/>
  <c r="AD16" i="1"/>
  <c r="AE16" i="1" s="1"/>
  <c r="AF24" i="1"/>
  <c r="AD24" i="1"/>
  <c r="AE24" i="1" s="1"/>
  <c r="AC16" i="1"/>
  <c r="AC24" i="1"/>
  <c r="Y56" i="1"/>
  <c r="AH76" i="1"/>
  <c r="AC77" i="1"/>
  <c r="AD77" i="1"/>
  <c r="AE77" i="1" s="1"/>
  <c r="AD93" i="1"/>
  <c r="AE93" i="1" s="1"/>
  <c r="AF93" i="1"/>
  <c r="AF97" i="1"/>
  <c r="AL112" i="1"/>
  <c r="AK113" i="1"/>
  <c r="AL113" i="1" s="1"/>
  <c r="AI113" i="1"/>
  <c r="AJ113" i="1" s="1"/>
  <c r="AK117" i="1"/>
  <c r="AL117" i="1" s="1"/>
  <c r="AI117" i="1"/>
  <c r="AJ117" i="1" s="1"/>
  <c r="AH117" i="1"/>
  <c r="AI122" i="1"/>
  <c r="AD123" i="1"/>
  <c r="AE123" i="1" s="1"/>
  <c r="AF123" i="1"/>
  <c r="AK126" i="1"/>
  <c r="AL126" i="1" s="1"/>
  <c r="AL8" i="2"/>
  <c r="AK31" i="2"/>
  <c r="AL31" i="2" s="1"/>
  <c r="AK43" i="2"/>
  <c r="AI43" i="2"/>
  <c r="Y44" i="2"/>
  <c r="AB70" i="2"/>
  <c r="AC70" i="2" s="1"/>
  <c r="AF82" i="2"/>
  <c r="AD82" i="2"/>
  <c r="AE82" i="2" s="1"/>
  <c r="AC82" i="2"/>
  <c r="AI126" i="2"/>
  <c r="AJ126" i="2" s="1"/>
  <c r="AK126" i="2"/>
  <c r="AL126" i="2" s="1"/>
  <c r="AH126" i="2"/>
  <c r="T59" i="4"/>
  <c r="AB9" i="4"/>
  <c r="AK129" i="1"/>
  <c r="AL129" i="1" s="1"/>
  <c r="AI129" i="1"/>
  <c r="AJ129" i="1" s="1"/>
  <c r="AG9" i="2"/>
  <c r="AF20" i="2"/>
  <c r="AD20" i="2"/>
  <c r="AE20" i="2" s="1"/>
  <c r="AK133" i="2"/>
  <c r="AL133" i="2" s="1"/>
  <c r="AI133" i="2"/>
  <c r="AB135" i="2"/>
  <c r="AK144" i="2"/>
  <c r="AL144" i="2" s="1"/>
  <c r="AI144" i="2"/>
  <c r="AJ144" i="2" s="1"/>
  <c r="AE66" i="3"/>
  <c r="U9" i="4"/>
  <c r="H107" i="4"/>
  <c r="H101" i="4"/>
  <c r="I101" i="4" s="1"/>
  <c r="I87" i="4"/>
  <c r="AG70" i="4"/>
  <c r="O44" i="3"/>
  <c r="AG44" i="3"/>
  <c r="AF57" i="3"/>
  <c r="AD57" i="3"/>
  <c r="AC57" i="3"/>
  <c r="AK72" i="3"/>
  <c r="AL72" i="3" s="1"/>
  <c r="AI72" i="3"/>
  <c r="AH72" i="3"/>
  <c r="AK82" i="3"/>
  <c r="AL82" i="3" s="1"/>
  <c r="AI82" i="3"/>
  <c r="AJ82" i="3" s="1"/>
  <c r="AH82" i="3"/>
  <c r="AK94" i="3"/>
  <c r="AL94" i="3" s="1"/>
  <c r="AI94" i="3"/>
  <c r="AH94" i="3"/>
  <c r="W9" i="4"/>
  <c r="V59" i="4"/>
  <c r="AG81" i="4"/>
  <c r="K81" i="4"/>
  <c r="AK30" i="5"/>
  <c r="AL30" i="5" s="1"/>
  <c r="AI30" i="5"/>
  <c r="AD98" i="2"/>
  <c r="AE98" i="2" s="1"/>
  <c r="AC98" i="2"/>
  <c r="AD112" i="2"/>
  <c r="AE112" i="2" s="1"/>
  <c r="AC112" i="2"/>
  <c r="AF112" i="2"/>
  <c r="AC113" i="2"/>
  <c r="AF113" i="2"/>
  <c r="AD113" i="2"/>
  <c r="AE113" i="2" s="1"/>
  <c r="AD16" i="3"/>
  <c r="AC16" i="3"/>
  <c r="AF22" i="3"/>
  <c r="AD22" i="3"/>
  <c r="AH29" i="3"/>
  <c r="AK33" i="3"/>
  <c r="AL33" i="3" s="1"/>
  <c r="AI33" i="3"/>
  <c r="AJ33" i="3" s="1"/>
  <c r="AH33" i="3"/>
  <c r="U57" i="3"/>
  <c r="AK74" i="3"/>
  <c r="AL74" i="3" s="1"/>
  <c r="AI74" i="3"/>
  <c r="AJ74" i="3" s="1"/>
  <c r="AH74" i="3"/>
  <c r="AJ95" i="3"/>
  <c r="U105" i="3"/>
  <c r="AB105" i="3"/>
  <c r="AC120" i="3"/>
  <c r="AF128" i="3"/>
  <c r="AD128" i="3"/>
  <c r="AC128" i="3"/>
  <c r="O137" i="3"/>
  <c r="AK8" i="4"/>
  <c r="AL8" i="4" s="1"/>
  <c r="AH8" i="4"/>
  <c r="AF69" i="4"/>
  <c r="AD69" i="4"/>
  <c r="AE69" i="4" s="1"/>
  <c r="AH30" i="5"/>
  <c r="AL83" i="1"/>
  <c r="AC119" i="1"/>
  <c r="AK133" i="1"/>
  <c r="AL133" i="1" s="1"/>
  <c r="AI133" i="1"/>
  <c r="AJ133" i="1" s="1"/>
  <c r="AH133" i="1"/>
  <c r="AK50" i="2"/>
  <c r="AL50" i="2" s="1"/>
  <c r="AF98" i="2"/>
  <c r="AG99" i="2"/>
  <c r="AL112" i="2"/>
  <c r="AL134" i="2"/>
  <c r="AF16" i="3"/>
  <c r="AC22" i="3"/>
  <c r="AI29" i="3"/>
  <c r="AK41" i="3"/>
  <c r="AL41" i="3" s="1"/>
  <c r="AI41" i="3"/>
  <c r="AJ41" i="3" s="1"/>
  <c r="AH41" i="3"/>
  <c r="AJ51" i="3"/>
  <c r="AD120" i="3"/>
  <c r="AE120" i="3" s="1"/>
  <c r="AI8" i="4"/>
  <c r="M59" i="4"/>
  <c r="AC69" i="4"/>
  <c r="AG99" i="4"/>
  <c r="B59" i="2"/>
  <c r="AL120" i="2"/>
  <c r="AD121" i="2"/>
  <c r="AE121" i="2" s="1"/>
  <c r="AC121" i="2"/>
  <c r="AJ16" i="3"/>
  <c r="AI42" i="3"/>
  <c r="AJ42" i="3" s="1"/>
  <c r="AH42" i="3"/>
  <c r="AB44" i="3"/>
  <c r="AC44" i="3" s="1"/>
  <c r="S44" i="3"/>
  <c r="B59" i="4"/>
  <c r="C9" i="4"/>
  <c r="AG57" i="4"/>
  <c r="N59" i="4"/>
  <c r="AD7" i="3"/>
  <c r="AE7" i="3" s="1"/>
  <c r="AC7" i="3"/>
  <c r="AI17" i="3"/>
  <c r="AK17" i="3"/>
  <c r="AL17" i="3" s="1"/>
  <c r="AH17" i="3"/>
  <c r="AE18" i="3"/>
  <c r="K27" i="3"/>
  <c r="AG27" i="3"/>
  <c r="AE68" i="3"/>
  <c r="AK120" i="3"/>
  <c r="AL120" i="3" s="1"/>
  <c r="AI120" i="3"/>
  <c r="AH120" i="3"/>
  <c r="AF85" i="2"/>
  <c r="AD85" i="2"/>
  <c r="AE85" i="2" s="1"/>
  <c r="AK85" i="2"/>
  <c r="AI85" i="2"/>
  <c r="AD94" i="2"/>
  <c r="AE94" i="2" s="1"/>
  <c r="AC94" i="2"/>
  <c r="AL98" i="2"/>
  <c r="AI140" i="2"/>
  <c r="AH140" i="2"/>
  <c r="AF7" i="3"/>
  <c r="AG141" i="3"/>
  <c r="AH141" i="3" s="1"/>
  <c r="W141" i="3"/>
  <c r="AF48" i="4"/>
  <c r="AD48" i="4"/>
  <c r="AE48" i="4" s="1"/>
  <c r="AD99" i="1"/>
  <c r="AE99" i="1" s="1"/>
  <c r="AK119" i="1"/>
  <c r="AL119" i="1" s="1"/>
  <c r="AI119" i="1"/>
  <c r="AC120" i="1"/>
  <c r="AE124" i="1"/>
  <c r="AB9" i="2"/>
  <c r="AI41" i="2"/>
  <c r="AH41" i="2"/>
  <c r="AF54" i="2"/>
  <c r="AD54" i="2"/>
  <c r="AE54" i="2" s="1"/>
  <c r="AC54" i="2"/>
  <c r="AK81" i="2"/>
  <c r="AL81" i="2" s="1"/>
  <c r="AI81" i="2"/>
  <c r="AH81" i="2"/>
  <c r="Y85" i="2"/>
  <c r="AF90" i="2"/>
  <c r="AD90" i="2"/>
  <c r="AE90" i="2" s="1"/>
  <c r="AC90" i="2"/>
  <c r="AF94" i="2"/>
  <c r="AF104" i="2"/>
  <c r="AD104" i="2"/>
  <c r="AE104" i="2" s="1"/>
  <c r="AC104" i="2"/>
  <c r="AC115" i="2"/>
  <c r="AD122" i="2"/>
  <c r="AE122" i="2" s="1"/>
  <c r="AC122" i="2"/>
  <c r="AK140" i="2"/>
  <c r="AL140" i="2" s="1"/>
  <c r="AH94" i="2"/>
  <c r="AH92" i="2"/>
  <c r="AH128" i="2"/>
  <c r="AH113" i="2"/>
  <c r="AH93" i="2"/>
  <c r="AH20" i="2"/>
  <c r="AH22" i="2"/>
  <c r="AH116" i="2"/>
  <c r="AK148" i="2"/>
  <c r="AL40" i="2" s="1"/>
  <c r="AH131" i="2"/>
  <c r="AH123" i="2"/>
  <c r="AH120" i="2"/>
  <c r="AI148" i="2"/>
  <c r="AJ8" i="2" s="1"/>
  <c r="AH26" i="2"/>
  <c r="AJ7" i="3"/>
  <c r="AE24" i="3"/>
  <c r="AC48" i="4"/>
  <c r="AH85" i="4"/>
  <c r="AK85" i="4"/>
  <c r="AL85" i="4" s="1"/>
  <c r="AI85" i="4"/>
  <c r="AD97" i="4"/>
  <c r="AE97" i="4" s="1"/>
  <c r="AC97" i="4"/>
  <c r="AF97" i="4"/>
  <c r="AL93" i="2"/>
  <c r="O105" i="2"/>
  <c r="AG105" i="2"/>
  <c r="AH105" i="2" s="1"/>
  <c r="AD115" i="2"/>
  <c r="AE115" i="2" s="1"/>
  <c r="AL129" i="2"/>
  <c r="AD130" i="2"/>
  <c r="AE130" i="2" s="1"/>
  <c r="AC130" i="2"/>
  <c r="V87" i="3"/>
  <c r="W59" i="3"/>
  <c r="AF53" i="3"/>
  <c r="AD53" i="3"/>
  <c r="AC53" i="3"/>
  <c r="AF122" i="3"/>
  <c r="AC122" i="3"/>
  <c r="AD122" i="3"/>
  <c r="AG56" i="4"/>
  <c r="AH56" i="4" s="1"/>
  <c r="AB56" i="4"/>
  <c r="AC56" i="4" s="1"/>
  <c r="W56" i="4"/>
  <c r="AI70" i="1"/>
  <c r="AJ70" i="1" s="1"/>
  <c r="AF84" i="1"/>
  <c r="AJ90" i="1"/>
  <c r="AC94" i="1"/>
  <c r="AH112" i="1"/>
  <c r="AK127" i="1"/>
  <c r="AL127" i="1" s="1"/>
  <c r="AI127" i="1"/>
  <c r="AJ127" i="1" s="1"/>
  <c r="AC128" i="1"/>
  <c r="AE132" i="1"/>
  <c r="AI27" i="2"/>
  <c r="AJ27" i="2" s="1"/>
  <c r="AB34" i="2"/>
  <c r="AC34" i="2" s="1"/>
  <c r="AC63" i="2"/>
  <c r="AK69" i="2"/>
  <c r="AL69" i="2" s="1"/>
  <c r="AI69" i="2"/>
  <c r="AJ69" i="2" s="1"/>
  <c r="AD75" i="2"/>
  <c r="AE75" i="2" s="1"/>
  <c r="AI78" i="2"/>
  <c r="AJ78" i="2" s="1"/>
  <c r="AH78" i="2"/>
  <c r="AH83" i="2"/>
  <c r="AH104" i="2"/>
  <c r="AK115" i="2"/>
  <c r="AL115" i="2" s="1"/>
  <c r="AH115" i="2"/>
  <c r="AI115" i="2"/>
  <c r="AI122" i="2"/>
  <c r="AJ122" i="2" s="1"/>
  <c r="AH122" i="2"/>
  <c r="AH129" i="2"/>
  <c r="AF130" i="2"/>
  <c r="W9" i="3"/>
  <c r="AD19" i="3"/>
  <c r="AK24" i="3"/>
  <c r="AL24" i="3" s="1"/>
  <c r="AI24" i="3"/>
  <c r="AE25" i="3"/>
  <c r="AE54" i="3"/>
  <c r="AG135" i="4"/>
  <c r="AH135" i="4" s="1"/>
  <c r="K135" i="4"/>
  <c r="AK131" i="1"/>
  <c r="AL131" i="1" s="1"/>
  <c r="AI131" i="1"/>
  <c r="AJ131" i="1" s="1"/>
  <c r="AH131" i="1"/>
  <c r="AK141" i="1"/>
  <c r="AL141" i="1" s="1"/>
  <c r="AF141" i="1"/>
  <c r="AL13" i="2"/>
  <c r="Y27" i="2"/>
  <c r="AL30" i="2"/>
  <c r="U34" i="2"/>
  <c r="AD57" i="2"/>
  <c r="AE57" i="2" s="1"/>
  <c r="Y57" i="2"/>
  <c r="AD63" i="2"/>
  <c r="AE63" i="2" s="1"/>
  <c r="AH69" i="2"/>
  <c r="AK78" i="2"/>
  <c r="AL78" i="2" s="1"/>
  <c r="AG84" i="2"/>
  <c r="AH84" i="2" s="1"/>
  <c r="AK122" i="2"/>
  <c r="AL122" i="2" s="1"/>
  <c r="AI129" i="2"/>
  <c r="AJ129" i="2" s="1"/>
  <c r="B59" i="3"/>
  <c r="Y9" i="3"/>
  <c r="AK9" i="3"/>
  <c r="AL9" i="3" s="1"/>
  <c r="X59" i="3"/>
  <c r="AI9" i="3"/>
  <c r="AD9" i="3"/>
  <c r="AH24" i="3"/>
  <c r="AD116" i="3"/>
  <c r="AE116" i="3" s="1"/>
  <c r="AC116" i="3"/>
  <c r="AF116" i="3"/>
  <c r="AF141" i="4"/>
  <c r="AD141" i="4"/>
  <c r="AE141" i="4" s="1"/>
  <c r="Y141" i="4"/>
  <c r="AI141" i="4"/>
  <c r="AG141" i="4"/>
  <c r="AH141" i="4" s="1"/>
  <c r="AB141" i="4"/>
  <c r="AC141" i="4" s="1"/>
  <c r="AF65" i="5"/>
  <c r="AD65" i="5"/>
  <c r="AC65" i="5"/>
  <c r="AK95" i="2"/>
  <c r="AL95" i="2" s="1"/>
  <c r="AI95" i="2"/>
  <c r="AJ95" i="2" s="1"/>
  <c r="AB99" i="2"/>
  <c r="AC99" i="2" s="1"/>
  <c r="AH130" i="2"/>
  <c r="F59" i="3"/>
  <c r="AF50" i="3"/>
  <c r="AD50" i="3"/>
  <c r="AC50" i="3"/>
  <c r="AK76" i="3"/>
  <c r="AL76" i="3" s="1"/>
  <c r="AI76" i="3"/>
  <c r="AJ76" i="3" s="1"/>
  <c r="AH76" i="3"/>
  <c r="K99" i="3"/>
  <c r="AG99" i="3"/>
  <c r="AH99" i="3" s="1"/>
  <c r="AD26" i="4"/>
  <c r="AE26" i="4" s="1"/>
  <c r="AF26" i="4"/>
  <c r="AC26" i="4"/>
  <c r="AI49" i="4"/>
  <c r="AH49" i="4"/>
  <c r="AK49" i="4"/>
  <c r="AL49" i="4" s="1"/>
  <c r="AF91" i="4"/>
  <c r="AD91" i="4"/>
  <c r="AE91" i="4" s="1"/>
  <c r="AK96" i="4"/>
  <c r="AL96" i="4" s="1"/>
  <c r="AI96" i="4"/>
  <c r="AC20" i="5"/>
  <c r="AF20" i="5"/>
  <c r="AD20" i="5"/>
  <c r="AK75" i="5"/>
  <c r="AL75" i="5" s="1"/>
  <c r="AH75" i="5"/>
  <c r="AI75" i="5"/>
  <c r="AI77" i="2"/>
  <c r="AH77" i="2"/>
  <c r="AH95" i="2"/>
  <c r="S99" i="2"/>
  <c r="AL111" i="2"/>
  <c r="AI130" i="2"/>
  <c r="AF131" i="2"/>
  <c r="AD131" i="2"/>
  <c r="AE131" i="2" s="1"/>
  <c r="S135" i="2"/>
  <c r="Y145" i="2"/>
  <c r="AD145" i="2"/>
  <c r="AE145" i="2" s="1"/>
  <c r="G9" i="3"/>
  <c r="U27" i="3"/>
  <c r="AK43" i="3"/>
  <c r="AL43" i="3" s="1"/>
  <c r="AI43" i="3"/>
  <c r="AJ43" i="3" s="1"/>
  <c r="Y44" i="3"/>
  <c r="AJ77" i="3"/>
  <c r="AF83" i="3"/>
  <c r="AD83" i="3"/>
  <c r="AE83" i="3" s="1"/>
  <c r="AC83" i="3"/>
  <c r="AE110" i="3"/>
  <c r="E9" i="4"/>
  <c r="D59" i="4"/>
  <c r="AI55" i="4"/>
  <c r="AH55" i="4"/>
  <c r="AK55" i="4"/>
  <c r="AL55" i="4" s="1"/>
  <c r="Y56" i="4"/>
  <c r="AF56" i="4"/>
  <c r="AK56" i="4"/>
  <c r="AL56" i="4" s="1"/>
  <c r="AD56" i="4"/>
  <c r="AE56" i="4" s="1"/>
  <c r="AI56" i="4"/>
  <c r="AI83" i="4"/>
  <c r="AH83" i="4"/>
  <c r="AK83" i="4"/>
  <c r="AL83" i="4" s="1"/>
  <c r="AD68" i="5"/>
  <c r="AF68" i="5"/>
  <c r="AC68" i="5"/>
  <c r="AH133" i="4"/>
  <c r="AI133" i="4"/>
  <c r="AK133" i="4"/>
  <c r="AL133" i="4" s="1"/>
  <c r="AL7" i="2"/>
  <c r="AB81" i="2"/>
  <c r="AI111" i="2"/>
  <c r="AL123" i="2"/>
  <c r="AD127" i="2"/>
  <c r="AE127" i="2" s="1"/>
  <c r="AK130" i="2"/>
  <c r="AL130" i="2" s="1"/>
  <c r="AL131" i="2"/>
  <c r="AD17" i="3"/>
  <c r="AI19" i="3"/>
  <c r="AJ19" i="3" s="1"/>
  <c r="AD23" i="3"/>
  <c r="AE23" i="3" s="1"/>
  <c r="AC23" i="3"/>
  <c r="AI27" i="3"/>
  <c r="AJ27" i="3" s="1"/>
  <c r="AF27" i="3"/>
  <c r="AD27" i="3"/>
  <c r="AD31" i="3"/>
  <c r="AF31" i="3"/>
  <c r="AE51" i="3"/>
  <c r="AB52" i="3"/>
  <c r="S52" i="3"/>
  <c r="AD55" i="3"/>
  <c r="AE55" i="3" s="1"/>
  <c r="AK77" i="3"/>
  <c r="AL77" i="3" s="1"/>
  <c r="AE97" i="3"/>
  <c r="AI115" i="3"/>
  <c r="AE123" i="3"/>
  <c r="AK128" i="3"/>
  <c r="AL128" i="3" s="1"/>
  <c r="AI128" i="3"/>
  <c r="AJ128" i="3" s="1"/>
  <c r="AG145" i="3"/>
  <c r="AH145" i="3" s="1"/>
  <c r="K145" i="3"/>
  <c r="AC9" i="5"/>
  <c r="AK116" i="2"/>
  <c r="AL116" i="2" s="1"/>
  <c r="AI116" i="2"/>
  <c r="AD124" i="2"/>
  <c r="AE124" i="2" s="1"/>
  <c r="AC124" i="2"/>
  <c r="AD132" i="2"/>
  <c r="AE132" i="2" s="1"/>
  <c r="AC132" i="2"/>
  <c r="M9" i="3"/>
  <c r="L59" i="3"/>
  <c r="AD124" i="3"/>
  <c r="AC124" i="3"/>
  <c r="AF124" i="3"/>
  <c r="AF135" i="3"/>
  <c r="AD135" i="3"/>
  <c r="AE135" i="3" s="1"/>
  <c r="AK135" i="3"/>
  <c r="AL135" i="3" s="1"/>
  <c r="AK141" i="3"/>
  <c r="AL141" i="3" s="1"/>
  <c r="AI141" i="3"/>
  <c r="AF141" i="3"/>
  <c r="AI31" i="4"/>
  <c r="AH31" i="4"/>
  <c r="AB135" i="4"/>
  <c r="AC135" i="4" s="1"/>
  <c r="W135" i="4"/>
  <c r="F59" i="5"/>
  <c r="G9" i="5"/>
  <c r="AF99" i="2"/>
  <c r="AH112" i="2"/>
  <c r="AF124" i="2"/>
  <c r="AL127" i="2"/>
  <c r="AD128" i="2"/>
  <c r="AE128" i="2" s="1"/>
  <c r="AC128" i="2"/>
  <c r="AF132" i="2"/>
  <c r="N101" i="3"/>
  <c r="O101" i="3" s="1"/>
  <c r="O87" i="3"/>
  <c r="AJ23" i="3"/>
  <c r="AI81" i="3"/>
  <c r="AH81" i="3"/>
  <c r="AK116" i="3"/>
  <c r="AL116" i="3" s="1"/>
  <c r="AI116" i="3"/>
  <c r="AE117" i="3"/>
  <c r="AK123" i="3"/>
  <c r="AL123" i="3" s="1"/>
  <c r="AI123" i="3"/>
  <c r="AJ123" i="3" s="1"/>
  <c r="Y135" i="3"/>
  <c r="Y141" i="3"/>
  <c r="AG9" i="4"/>
  <c r="J59" i="4"/>
  <c r="K9" i="4"/>
  <c r="AG84" i="5"/>
  <c r="M84" i="5"/>
  <c r="AF46" i="3"/>
  <c r="AD46" i="3"/>
  <c r="AI55" i="3"/>
  <c r="AH55" i="3"/>
  <c r="AK55" i="3"/>
  <c r="AL55" i="3" s="1"/>
  <c r="AF67" i="3"/>
  <c r="AD67" i="3"/>
  <c r="AE71" i="3"/>
  <c r="AF93" i="3"/>
  <c r="AD93" i="3"/>
  <c r="AE93" i="3" s="1"/>
  <c r="AC93" i="3"/>
  <c r="AD22" i="4"/>
  <c r="AE22" i="4" s="1"/>
  <c r="AC22" i="4"/>
  <c r="AF22" i="4"/>
  <c r="AF79" i="4"/>
  <c r="AD79" i="4"/>
  <c r="AE79" i="4" s="1"/>
  <c r="AC79" i="4"/>
  <c r="F59" i="1"/>
  <c r="J59" i="2"/>
  <c r="AI72" i="2"/>
  <c r="AH72" i="2"/>
  <c r="AD83" i="2"/>
  <c r="AE83" i="2" s="1"/>
  <c r="AC83" i="2"/>
  <c r="AD97" i="2"/>
  <c r="AE97" i="2" s="1"/>
  <c r="AI127" i="2"/>
  <c r="AJ127" i="2" s="1"/>
  <c r="AG145" i="2"/>
  <c r="AH145" i="2" s="1"/>
  <c r="P59" i="3"/>
  <c r="AG59" i="3" s="1"/>
  <c r="AH59" i="3" s="1"/>
  <c r="Q9" i="3"/>
  <c r="AK23" i="3"/>
  <c r="AL23" i="3" s="1"/>
  <c r="AC46" i="3"/>
  <c r="J87" i="3"/>
  <c r="K59" i="3"/>
  <c r="AI66" i="3"/>
  <c r="AJ66" i="3" s="1"/>
  <c r="AC67" i="3"/>
  <c r="AI92" i="3"/>
  <c r="AK117" i="3"/>
  <c r="AL117" i="3" s="1"/>
  <c r="AI117" i="3"/>
  <c r="AH117" i="3"/>
  <c r="AF130" i="3"/>
  <c r="AD130" i="3"/>
  <c r="AE130" i="3" s="1"/>
  <c r="AC130" i="3"/>
  <c r="AD40" i="4"/>
  <c r="AE40" i="4" s="1"/>
  <c r="AF40" i="4"/>
  <c r="AI78" i="4"/>
  <c r="G87" i="4"/>
  <c r="F101" i="4"/>
  <c r="G101" i="4" s="1"/>
  <c r="F107" i="4"/>
  <c r="AG105" i="4"/>
  <c r="AH105" i="4" s="1"/>
  <c r="K105" i="4"/>
  <c r="AK24" i="5"/>
  <c r="AL24" i="5" s="1"/>
  <c r="AI24" i="5"/>
  <c r="AH24" i="5"/>
  <c r="Y81" i="5"/>
  <c r="AH29" i="1"/>
  <c r="AH31" i="1"/>
  <c r="AH33" i="1"/>
  <c r="AH72" i="1"/>
  <c r="AH75" i="1"/>
  <c r="AH77" i="1"/>
  <c r="AH79" i="1"/>
  <c r="AC82" i="1"/>
  <c r="AC96" i="1"/>
  <c r="AH8" i="2"/>
  <c r="AC18" i="2"/>
  <c r="AC25" i="2"/>
  <c r="AB27" i="2"/>
  <c r="AI33" i="2"/>
  <c r="AH33" i="2"/>
  <c r="AC55" i="2"/>
  <c r="AG56" i="2"/>
  <c r="AH56" i="2" s="1"/>
  <c r="AH67" i="2"/>
  <c r="AK72" i="2"/>
  <c r="AL72" i="2" s="1"/>
  <c r="AF83" i="2"/>
  <c r="AB85" i="2"/>
  <c r="AC85" i="2" s="1"/>
  <c r="AH91" i="2"/>
  <c r="AL117" i="2"/>
  <c r="AH7" i="3"/>
  <c r="AF8" i="3"/>
  <c r="AD8" i="3"/>
  <c r="AE8" i="3" s="1"/>
  <c r="AC8" i="3"/>
  <c r="AD35" i="3"/>
  <c r="AE35" i="3" s="1"/>
  <c r="Y35" i="3"/>
  <c r="AK44" i="3"/>
  <c r="AL44" i="3" s="1"/>
  <c r="AK46" i="3"/>
  <c r="AL46" i="3" s="1"/>
  <c r="AI46" i="3"/>
  <c r="AJ46" i="3" s="1"/>
  <c r="AH46" i="3"/>
  <c r="AF47" i="3"/>
  <c r="AC47" i="3"/>
  <c r="AD56" i="3"/>
  <c r="AK56" i="3"/>
  <c r="AL56" i="3" s="1"/>
  <c r="AI56" i="3"/>
  <c r="Y56" i="3"/>
  <c r="AK80" i="3"/>
  <c r="AL80" i="3" s="1"/>
  <c r="AI80" i="3"/>
  <c r="AJ80" i="3" s="1"/>
  <c r="AK112" i="3"/>
  <c r="AL112" i="3" s="1"/>
  <c r="AI112" i="3"/>
  <c r="AE131" i="3"/>
  <c r="AC40" i="4"/>
  <c r="AD96" i="1"/>
  <c r="AE96" i="1" s="1"/>
  <c r="AD18" i="2"/>
  <c r="AE18" i="2" s="1"/>
  <c r="S27" i="2"/>
  <c r="AK33" i="2"/>
  <c r="AL33" i="2" s="1"/>
  <c r="AK51" i="2"/>
  <c r="AL51" i="2" s="1"/>
  <c r="AI51" i="2"/>
  <c r="K56" i="2"/>
  <c r="S85" i="2"/>
  <c r="AB105" i="2"/>
  <c r="AC105" i="2" s="1"/>
  <c r="AH117" i="2"/>
  <c r="AD118" i="2"/>
  <c r="AE118" i="2" s="1"/>
  <c r="AC118" i="2"/>
  <c r="AC125" i="2"/>
  <c r="T59" i="3"/>
  <c r="AC18" i="3"/>
  <c r="AG34" i="3"/>
  <c r="AH40" i="3"/>
  <c r="AF41" i="3"/>
  <c r="AD41" i="3"/>
  <c r="AE41" i="3" s="1"/>
  <c r="AC41" i="3"/>
  <c r="AD47" i="3"/>
  <c r="O59" i="3"/>
  <c r="AH80" i="3"/>
  <c r="AB99" i="3"/>
  <c r="AC99" i="3" s="1"/>
  <c r="AH112" i="3"/>
  <c r="AI125" i="3"/>
  <c r="AJ125" i="3" s="1"/>
  <c r="AH125" i="3"/>
  <c r="K44" i="4"/>
  <c r="AG44" i="4"/>
  <c r="AH44" i="4" s="1"/>
  <c r="AC52" i="4"/>
  <c r="AF52" i="4"/>
  <c r="AK72" i="4"/>
  <c r="AL72" i="4" s="1"/>
  <c r="AI72" i="4"/>
  <c r="AH72" i="4"/>
  <c r="AF111" i="4"/>
  <c r="AD111" i="4"/>
  <c r="AE111" i="4" s="1"/>
  <c r="AC111" i="4"/>
  <c r="AF71" i="5"/>
  <c r="AD71" i="5"/>
  <c r="AC71" i="5"/>
  <c r="U105" i="5"/>
  <c r="AB105" i="5"/>
  <c r="AC105" i="5" s="1"/>
  <c r="AJ67" i="3"/>
  <c r="AK85" i="3"/>
  <c r="AL85" i="3" s="1"/>
  <c r="AI85" i="3"/>
  <c r="AJ85" i="3" s="1"/>
  <c r="AA59" i="4"/>
  <c r="Z87" i="4"/>
  <c r="AI20" i="4"/>
  <c r="AJ20" i="4" s="1"/>
  <c r="AK20" i="4"/>
  <c r="AL20" i="4" s="1"/>
  <c r="AI52" i="4"/>
  <c r="AH52" i="4"/>
  <c r="AK52" i="4"/>
  <c r="AL52" i="4" s="1"/>
  <c r="AG9" i="5"/>
  <c r="AH9" i="5" s="1"/>
  <c r="J59" i="5"/>
  <c r="K9" i="5"/>
  <c r="AK63" i="5"/>
  <c r="AL63" i="5" s="1"/>
  <c r="AI63" i="5"/>
  <c r="AH63" i="5"/>
  <c r="AK90" i="5"/>
  <c r="AL90" i="5" s="1"/>
  <c r="AI90" i="5"/>
  <c r="AI70" i="3"/>
  <c r="AJ70" i="3" s="1"/>
  <c r="AE74" i="3"/>
  <c r="AK90" i="3"/>
  <c r="AL90" i="3" s="1"/>
  <c r="AI90" i="3"/>
  <c r="AA9" i="4"/>
  <c r="AH20" i="4"/>
  <c r="R87" i="4"/>
  <c r="S59" i="4"/>
  <c r="AG57" i="5"/>
  <c r="AH57" i="5" s="1"/>
  <c r="Q57" i="5"/>
  <c r="K81" i="5"/>
  <c r="AG81" i="5"/>
  <c r="AH81" i="5" s="1"/>
  <c r="AF92" i="5"/>
  <c r="AD92" i="5"/>
  <c r="AE92" i="5" s="1"/>
  <c r="AC92" i="5"/>
  <c r="H137" i="5"/>
  <c r="I107" i="5"/>
  <c r="AB81" i="4"/>
  <c r="AK98" i="4"/>
  <c r="AL98" i="4" s="1"/>
  <c r="AI98" i="4"/>
  <c r="AD25" i="5"/>
  <c r="AC25" i="5"/>
  <c r="AF25" i="5"/>
  <c r="AF40" i="5"/>
  <c r="AD40" i="5"/>
  <c r="AC40" i="5"/>
  <c r="AF145" i="5"/>
  <c r="AD145" i="5"/>
  <c r="AE145" i="5" s="1"/>
  <c r="AI145" i="5"/>
  <c r="AJ145" i="5" s="1"/>
  <c r="Y145" i="5"/>
  <c r="AD116" i="2"/>
  <c r="AE116" i="2" s="1"/>
  <c r="AC116" i="2"/>
  <c r="AL121" i="2"/>
  <c r="AF144" i="2"/>
  <c r="AD144" i="2"/>
  <c r="AE144" i="2" s="1"/>
  <c r="AI37" i="3"/>
  <c r="AJ37" i="3" s="1"/>
  <c r="AC42" i="3"/>
  <c r="AI49" i="3"/>
  <c r="AJ49" i="3" s="1"/>
  <c r="AC54" i="3"/>
  <c r="AJ63" i="3"/>
  <c r="AF74" i="3"/>
  <c r="AD78" i="3"/>
  <c r="AE78" i="3" s="1"/>
  <c r="AK133" i="3"/>
  <c r="AL133" i="3" s="1"/>
  <c r="AI133" i="3"/>
  <c r="AJ133" i="3" s="1"/>
  <c r="AF144" i="3"/>
  <c r="AD144" i="3"/>
  <c r="AG27" i="4"/>
  <c r="AK50" i="4"/>
  <c r="AL50" i="4" s="1"/>
  <c r="AI50" i="4"/>
  <c r="AC54" i="4"/>
  <c r="AK57" i="4"/>
  <c r="AL57" i="4" s="1"/>
  <c r="X59" i="4"/>
  <c r="AC76" i="4"/>
  <c r="U81" i="4"/>
  <c r="S85" i="4"/>
  <c r="AH98" i="4"/>
  <c r="AK113" i="4"/>
  <c r="AL113" i="4" s="1"/>
  <c r="AI113" i="4"/>
  <c r="AJ113" i="4" s="1"/>
  <c r="AI126" i="4"/>
  <c r="AB99" i="5"/>
  <c r="W99" i="5"/>
  <c r="AK144" i="5"/>
  <c r="AL144" i="5" s="1"/>
  <c r="AI144" i="5"/>
  <c r="AH144" i="5"/>
  <c r="AG57" i="3"/>
  <c r="AE79" i="3"/>
  <c r="Y84" i="3"/>
  <c r="AD84" i="3"/>
  <c r="AE84" i="3" s="1"/>
  <c r="AF105" i="3"/>
  <c r="AK105" i="3"/>
  <c r="AL105" i="3" s="1"/>
  <c r="AC140" i="3"/>
  <c r="AD42" i="4"/>
  <c r="AE42" i="4" s="1"/>
  <c r="AC42" i="4"/>
  <c r="AK46" i="4"/>
  <c r="AL46" i="4" s="1"/>
  <c r="AI46" i="4"/>
  <c r="AF67" i="4"/>
  <c r="AC67" i="4"/>
  <c r="AD67" i="4"/>
  <c r="AE67" i="4" s="1"/>
  <c r="AI76" i="4"/>
  <c r="AK76" i="4"/>
  <c r="AL76" i="4" s="1"/>
  <c r="AF18" i="5"/>
  <c r="AD18" i="5"/>
  <c r="AC18" i="5"/>
  <c r="AK26" i="5"/>
  <c r="AL26" i="5" s="1"/>
  <c r="AI26" i="5"/>
  <c r="AH26" i="5"/>
  <c r="AC133" i="3"/>
  <c r="AC131" i="3"/>
  <c r="AF148" i="3"/>
  <c r="AC134" i="3"/>
  <c r="AC118" i="3"/>
  <c r="AI13" i="4"/>
  <c r="AH13" i="4"/>
  <c r="AF121" i="4"/>
  <c r="AD121" i="4"/>
  <c r="AE121" i="4" s="1"/>
  <c r="AI129" i="4"/>
  <c r="AJ129" i="4" s="1"/>
  <c r="AK129" i="4"/>
  <c r="AL129" i="4" s="1"/>
  <c r="AH130" i="4"/>
  <c r="AK130" i="4"/>
  <c r="AL130" i="4" s="1"/>
  <c r="AI130" i="4"/>
  <c r="AK111" i="5"/>
  <c r="AL111" i="5" s="1"/>
  <c r="AI111" i="5"/>
  <c r="AH111" i="5"/>
  <c r="AK131" i="5"/>
  <c r="AL131" i="5" s="1"/>
  <c r="AI131" i="5"/>
  <c r="AH131" i="5"/>
  <c r="AL113" i="2"/>
  <c r="AC26" i="3"/>
  <c r="AI47" i="3"/>
  <c r="AJ47" i="3" s="1"/>
  <c r="AI68" i="3"/>
  <c r="AJ68" i="3" s="1"/>
  <c r="AG70" i="3"/>
  <c r="AH70" i="3" s="1"/>
  <c r="AI79" i="3"/>
  <c r="AH79" i="3"/>
  <c r="M85" i="3"/>
  <c r="AC92" i="3"/>
  <c r="AC98" i="3"/>
  <c r="AK122" i="3"/>
  <c r="AL122" i="3" s="1"/>
  <c r="AI122" i="3"/>
  <c r="AJ122" i="3" s="1"/>
  <c r="AC123" i="3"/>
  <c r="AJ144" i="3"/>
  <c r="AD148" i="3"/>
  <c r="AE48" i="3" s="1"/>
  <c r="AH22" i="4"/>
  <c r="AI33" i="4"/>
  <c r="S34" i="4"/>
  <c r="AB34" i="4"/>
  <c r="AC34" i="4" s="1"/>
  <c r="AK42" i="4"/>
  <c r="AL42" i="4" s="1"/>
  <c r="AI42" i="4"/>
  <c r="AC63" i="4"/>
  <c r="AI66" i="4"/>
  <c r="AG84" i="4"/>
  <c r="AC99" i="4"/>
  <c r="AC121" i="4"/>
  <c r="AH129" i="4"/>
  <c r="U59" i="5"/>
  <c r="T87" i="5"/>
  <c r="AK27" i="5"/>
  <c r="AL27" i="5" s="1"/>
  <c r="AB27" i="5"/>
  <c r="AC27" i="5" s="1"/>
  <c r="Y27" i="5"/>
  <c r="AI27" i="5"/>
  <c r="AJ27" i="5" s="1"/>
  <c r="AF27" i="5"/>
  <c r="AC94" i="5"/>
  <c r="H59" i="2"/>
  <c r="X59" i="2"/>
  <c r="AD80" i="2"/>
  <c r="AE80" i="2" s="1"/>
  <c r="AC80" i="2"/>
  <c r="AD114" i="2"/>
  <c r="AE114" i="2" s="1"/>
  <c r="AC114" i="2"/>
  <c r="AL119" i="2"/>
  <c r="R59" i="3"/>
  <c r="Y34" i="3"/>
  <c r="AF34" i="3"/>
  <c r="AH54" i="3"/>
  <c r="AC66" i="3"/>
  <c r="AI75" i="3"/>
  <c r="AJ75" i="3" s="1"/>
  <c r="AH75" i="3"/>
  <c r="AC95" i="3"/>
  <c r="AD98" i="3"/>
  <c r="AG105" i="3"/>
  <c r="AH105" i="3" s="1"/>
  <c r="AH122" i="3"/>
  <c r="AK13" i="4"/>
  <c r="AL13" i="4" s="1"/>
  <c r="AC15" i="4"/>
  <c r="AF19" i="4"/>
  <c r="AD19" i="4"/>
  <c r="AE19" i="4" s="1"/>
  <c r="AC19" i="4"/>
  <c r="AI22" i="4"/>
  <c r="AF23" i="4"/>
  <c r="AC23" i="4"/>
  <c r="AG35" i="4"/>
  <c r="K35" i="4"/>
  <c r="AI37" i="4"/>
  <c r="AJ37" i="4" s="1"/>
  <c r="AH37" i="4"/>
  <c r="AH42" i="4"/>
  <c r="AF82" i="4"/>
  <c r="AD82" i="4"/>
  <c r="AE82" i="4" s="1"/>
  <c r="AC82" i="4"/>
  <c r="AC85" i="4"/>
  <c r="AK94" i="4"/>
  <c r="AL94" i="4" s="1"/>
  <c r="AI94" i="4"/>
  <c r="AH94" i="4"/>
  <c r="AD99" i="4"/>
  <c r="AE99" i="4" s="1"/>
  <c r="AK105" i="4"/>
  <c r="AL105" i="4" s="1"/>
  <c r="AI105" i="4"/>
  <c r="AF105" i="4"/>
  <c r="AD105" i="4"/>
  <c r="AE105" i="4" s="1"/>
  <c r="AK121" i="4"/>
  <c r="AL121" i="4" s="1"/>
  <c r="AI121" i="4"/>
  <c r="U9" i="5"/>
  <c r="AC57" i="5"/>
  <c r="AF57" i="5"/>
  <c r="AD94" i="5"/>
  <c r="AF104" i="5"/>
  <c r="AD104" i="5"/>
  <c r="AF80" i="2"/>
  <c r="AI113" i="2"/>
  <c r="AJ113" i="2" s="1"/>
  <c r="AF114" i="2"/>
  <c r="AH119" i="2"/>
  <c r="AD120" i="2"/>
  <c r="AE120" i="2" s="1"/>
  <c r="AC120" i="2"/>
  <c r="AL125" i="2"/>
  <c r="S9" i="3"/>
  <c r="AJ39" i="3"/>
  <c r="AC48" i="3"/>
  <c r="AI50" i="3"/>
  <c r="AH50" i="3"/>
  <c r="AC69" i="3"/>
  <c r="AK70" i="3"/>
  <c r="AL70" i="3" s="1"/>
  <c r="AC71" i="3"/>
  <c r="AK75" i="3"/>
  <c r="AL75" i="3" s="1"/>
  <c r="AC76" i="3"/>
  <c r="AK79" i="3"/>
  <c r="AL79" i="3" s="1"/>
  <c r="AD95" i="3"/>
  <c r="AE95" i="3" s="1"/>
  <c r="K105" i="3"/>
  <c r="AJ140" i="3"/>
  <c r="AH7" i="4"/>
  <c r="AD15" i="4"/>
  <c r="AE15" i="4" s="1"/>
  <c r="AD23" i="4"/>
  <c r="AE23" i="4" s="1"/>
  <c r="AI30" i="4"/>
  <c r="AH30" i="4"/>
  <c r="AB44" i="4"/>
  <c r="AF55" i="4"/>
  <c r="AD55" i="4"/>
  <c r="AE55" i="4" s="1"/>
  <c r="AD85" i="4"/>
  <c r="AE85" i="4" s="1"/>
  <c r="Y105" i="4"/>
  <c r="AH121" i="4"/>
  <c r="AE78" i="5"/>
  <c r="AC104" i="5"/>
  <c r="AI93" i="4"/>
  <c r="AK93" i="4"/>
  <c r="AL93" i="4" s="1"/>
  <c r="AF117" i="4"/>
  <c r="AD117" i="4"/>
  <c r="AE117" i="4" s="1"/>
  <c r="AC117" i="4"/>
  <c r="AF32" i="5"/>
  <c r="AD32" i="5"/>
  <c r="AC32" i="5"/>
  <c r="AF67" i="5"/>
  <c r="AD67" i="5"/>
  <c r="AF85" i="5"/>
  <c r="AD85" i="5"/>
  <c r="AK98" i="5"/>
  <c r="AL98" i="5" s="1"/>
  <c r="AI98" i="5"/>
  <c r="AH98" i="5"/>
  <c r="AC21" i="4"/>
  <c r="AH63" i="4"/>
  <c r="AI71" i="4"/>
  <c r="AJ71" i="4" s="1"/>
  <c r="AH71" i="4"/>
  <c r="AH93" i="4"/>
  <c r="AF113" i="4"/>
  <c r="AD113" i="4"/>
  <c r="AE113" i="4" s="1"/>
  <c r="AH116" i="4"/>
  <c r="AF39" i="5"/>
  <c r="AC39" i="5"/>
  <c r="AD39" i="5"/>
  <c r="AF53" i="5"/>
  <c r="AD53" i="5"/>
  <c r="AC53" i="5"/>
  <c r="AC67" i="5"/>
  <c r="AC85" i="5"/>
  <c r="AJ41" i="5"/>
  <c r="AF46" i="5"/>
  <c r="AD46" i="5"/>
  <c r="AF55" i="5"/>
  <c r="AD55" i="5"/>
  <c r="AC55" i="5"/>
  <c r="I87" i="5"/>
  <c r="H101" i="5"/>
  <c r="I101" i="5" s="1"/>
  <c r="AK94" i="5"/>
  <c r="AL94" i="5" s="1"/>
  <c r="AI94" i="5"/>
  <c r="AB57" i="4"/>
  <c r="AC57" i="4" s="1"/>
  <c r="AK70" i="4"/>
  <c r="AL70" i="4" s="1"/>
  <c r="AF119" i="4"/>
  <c r="AD119" i="4"/>
  <c r="AE119" i="4" s="1"/>
  <c r="AC119" i="4"/>
  <c r="AF124" i="4"/>
  <c r="AD124" i="4"/>
  <c r="AE124" i="4" s="1"/>
  <c r="AI135" i="4"/>
  <c r="AF135" i="4"/>
  <c r="AD135" i="4"/>
  <c r="AE135" i="4" s="1"/>
  <c r="Y135" i="4"/>
  <c r="AI145" i="4"/>
  <c r="AK145" i="4"/>
  <c r="AL145" i="4" s="1"/>
  <c r="Q56" i="5"/>
  <c r="AG56" i="5"/>
  <c r="V107" i="5"/>
  <c r="W87" i="5"/>
  <c r="AJ128" i="5"/>
  <c r="AI53" i="3"/>
  <c r="AH53" i="3"/>
  <c r="AB70" i="3"/>
  <c r="AK78" i="3"/>
  <c r="AL78" i="3" s="1"/>
  <c r="AI78" i="3"/>
  <c r="AJ78" i="3" s="1"/>
  <c r="AC79" i="3"/>
  <c r="AK104" i="3"/>
  <c r="AL104" i="3" s="1"/>
  <c r="AI104" i="3"/>
  <c r="AJ104" i="3" s="1"/>
  <c r="AI24" i="4"/>
  <c r="AI44" i="4"/>
  <c r="S57" i="4"/>
  <c r="Y70" i="4"/>
  <c r="AH91" i="4"/>
  <c r="AJ118" i="4"/>
  <c r="AC124" i="4"/>
  <c r="AF131" i="4"/>
  <c r="Y145" i="4"/>
  <c r="AF7" i="5"/>
  <c r="AD7" i="5"/>
  <c r="AC7" i="5"/>
  <c r="AD48" i="5"/>
  <c r="AC48" i="5"/>
  <c r="AF48" i="5"/>
  <c r="AK54" i="5"/>
  <c r="AL54" i="5" s="1"/>
  <c r="AI54" i="5"/>
  <c r="AH54" i="5"/>
  <c r="AH90" i="2"/>
  <c r="AH96" i="2"/>
  <c r="AH98" i="2"/>
  <c r="Z59" i="3"/>
  <c r="AH13" i="3"/>
  <c r="AH16" i="3"/>
  <c r="AH18" i="3"/>
  <c r="AH20" i="3"/>
  <c r="AH22" i="3"/>
  <c r="AE29" i="3"/>
  <c r="S70" i="3"/>
  <c r="AH78" i="3"/>
  <c r="AF81" i="3"/>
  <c r="AD81" i="3"/>
  <c r="AE81" i="3" s="1"/>
  <c r="Y81" i="3"/>
  <c r="AD96" i="3"/>
  <c r="AE96" i="3" s="1"/>
  <c r="AC96" i="3"/>
  <c r="AH98" i="3"/>
  <c r="AH104" i="3"/>
  <c r="AH111" i="3"/>
  <c r="AH127" i="3"/>
  <c r="AG135" i="3"/>
  <c r="AH135" i="3" s="1"/>
  <c r="AB141" i="3"/>
  <c r="AC141" i="3" s="1"/>
  <c r="AC8" i="4"/>
  <c r="AH16" i="4"/>
  <c r="AC30" i="4"/>
  <c r="AH40" i="4"/>
  <c r="AK48" i="4"/>
  <c r="AL48" i="4" s="1"/>
  <c r="AI48" i="4"/>
  <c r="AH48" i="4"/>
  <c r="AH51" i="4"/>
  <c r="AH68" i="4"/>
  <c r="AK91" i="4"/>
  <c r="AL91" i="4" s="1"/>
  <c r="AJ95" i="4"/>
  <c r="AH119" i="4"/>
  <c r="AD125" i="4"/>
  <c r="AE125" i="4" s="1"/>
  <c r="AC125" i="4"/>
  <c r="AK140" i="4"/>
  <c r="AL140" i="4" s="1"/>
  <c r="AI140" i="4"/>
  <c r="AH140" i="4"/>
  <c r="N59" i="5"/>
  <c r="O9" i="5"/>
  <c r="AH42" i="5"/>
  <c r="V101" i="5"/>
  <c r="W101" i="5" s="1"/>
  <c r="AA9" i="3"/>
  <c r="AC29" i="3"/>
  <c r="AH39" i="3"/>
  <c r="AC40" i="3"/>
  <c r="AK53" i="3"/>
  <c r="AL53" i="3" s="1"/>
  <c r="AH63" i="3"/>
  <c r="AK71" i="3"/>
  <c r="AL71" i="3" s="1"/>
  <c r="AI71" i="3"/>
  <c r="AJ71" i="3" s="1"/>
  <c r="AC72" i="3"/>
  <c r="AB85" i="3"/>
  <c r="AC91" i="3"/>
  <c r="AK114" i="3"/>
  <c r="AL114" i="3" s="1"/>
  <c r="AI114" i="3"/>
  <c r="AJ114" i="3" s="1"/>
  <c r="AC115" i="3"/>
  <c r="AK124" i="3"/>
  <c r="AL124" i="3" s="1"/>
  <c r="AI124" i="3"/>
  <c r="AJ124" i="3" s="1"/>
  <c r="AC125" i="3"/>
  <c r="AK130" i="3"/>
  <c r="AL130" i="3" s="1"/>
  <c r="AI130" i="3"/>
  <c r="AJ130" i="3" s="1"/>
  <c r="S141" i="3"/>
  <c r="AD13" i="4"/>
  <c r="AE13" i="4" s="1"/>
  <c r="AI16" i="4"/>
  <c r="AC25" i="4"/>
  <c r="AI27" i="4"/>
  <c r="AF30" i="4"/>
  <c r="AD37" i="4"/>
  <c r="AE37" i="4" s="1"/>
  <c r="AK40" i="4"/>
  <c r="AL40" i="4" s="1"/>
  <c r="AK44" i="4"/>
  <c r="AL44" i="4" s="1"/>
  <c r="AI51" i="4"/>
  <c r="K84" i="4"/>
  <c r="AH95" i="4"/>
  <c r="AK99" i="4"/>
  <c r="AL99" i="4" s="1"/>
  <c r="AI119" i="4"/>
  <c r="AH124" i="4"/>
  <c r="AF125" i="4"/>
  <c r="AF8" i="5"/>
  <c r="AD8" i="5"/>
  <c r="AC22" i="5"/>
  <c r="AI42" i="5"/>
  <c r="E59" i="5"/>
  <c r="D87" i="5"/>
  <c r="AI9" i="5"/>
  <c r="AK9" i="5"/>
  <c r="AL9" i="5" s="1"/>
  <c r="AF9" i="5"/>
  <c r="X59" i="5"/>
  <c r="Y9" i="5"/>
  <c r="AE17" i="5"/>
  <c r="AI35" i="5"/>
  <c r="AJ35" i="5" s="1"/>
  <c r="AF35" i="5"/>
  <c r="AD35" i="5"/>
  <c r="AK133" i="5"/>
  <c r="AL133" i="5" s="1"/>
  <c r="AI133" i="5"/>
  <c r="AH133" i="5"/>
  <c r="L107" i="5"/>
  <c r="L101" i="5"/>
  <c r="M101" i="5" s="1"/>
  <c r="M87" i="5"/>
  <c r="AF95" i="5"/>
  <c r="AD95" i="5"/>
  <c r="AE95" i="5" s="1"/>
  <c r="AC95" i="5"/>
  <c r="AF126" i="5"/>
  <c r="AD126" i="5"/>
  <c r="AC126" i="5"/>
  <c r="AF77" i="4"/>
  <c r="AD77" i="4"/>
  <c r="AE77" i="4" s="1"/>
  <c r="AI79" i="4"/>
  <c r="AH79" i="4"/>
  <c r="AK127" i="4"/>
  <c r="AL127" i="4" s="1"/>
  <c r="AI127" i="4"/>
  <c r="AB145" i="4"/>
  <c r="AC145" i="4" s="1"/>
  <c r="AF15" i="5"/>
  <c r="AD15" i="5"/>
  <c r="AE15" i="5" s="1"/>
  <c r="AC15" i="5"/>
  <c r="AD76" i="5"/>
  <c r="AE76" i="5" s="1"/>
  <c r="AC76" i="5"/>
  <c r="AK121" i="5"/>
  <c r="AL121" i="5" s="1"/>
  <c r="AI121" i="5"/>
  <c r="AH121" i="5"/>
  <c r="AG27" i="5"/>
  <c r="AH27" i="5" s="1"/>
  <c r="K27" i="5"/>
  <c r="AF91" i="5"/>
  <c r="AD91" i="5"/>
  <c r="AC91" i="5"/>
  <c r="AK127" i="5"/>
  <c r="AL127" i="5" s="1"/>
  <c r="AI127" i="5"/>
  <c r="AJ127" i="5" s="1"/>
  <c r="AK57" i="3"/>
  <c r="AL57" i="3" s="1"/>
  <c r="AK110" i="3"/>
  <c r="AL110" i="3" s="1"/>
  <c r="AI110" i="3"/>
  <c r="AC111" i="3"/>
  <c r="AK118" i="3"/>
  <c r="AL118" i="3" s="1"/>
  <c r="AI118" i="3"/>
  <c r="AJ118" i="3" s="1"/>
  <c r="AC119" i="3"/>
  <c r="AK126" i="3"/>
  <c r="AL126" i="3" s="1"/>
  <c r="AI126" i="3"/>
  <c r="AJ126" i="3" s="1"/>
  <c r="AC127" i="3"/>
  <c r="AK134" i="3"/>
  <c r="AL134" i="3" s="1"/>
  <c r="AI134" i="3"/>
  <c r="AJ134" i="3" s="1"/>
  <c r="AI32" i="4"/>
  <c r="AH32" i="4"/>
  <c r="AB70" i="4"/>
  <c r="AF130" i="4"/>
  <c r="AD130" i="4"/>
  <c r="AE130" i="4" s="1"/>
  <c r="AF34" i="5"/>
  <c r="AD34" i="5"/>
  <c r="AC34" i="5"/>
  <c r="Y70" i="5"/>
  <c r="AF70" i="5"/>
  <c r="Y57" i="3"/>
  <c r="AC65" i="3"/>
  <c r="AH110" i="3"/>
  <c r="AH118" i="3"/>
  <c r="AH126" i="3"/>
  <c r="AH134" i="3"/>
  <c r="AF9" i="4"/>
  <c r="AC17" i="4"/>
  <c r="AK32" i="4"/>
  <c r="AL32" i="4" s="1"/>
  <c r="AF35" i="4"/>
  <c r="AC43" i="4"/>
  <c r="AF53" i="4"/>
  <c r="AD53" i="4"/>
  <c r="AE53" i="4" s="1"/>
  <c r="S70" i="4"/>
  <c r="AH74" i="4"/>
  <c r="AC104" i="4"/>
  <c r="AC130" i="4"/>
  <c r="AF44" i="5"/>
  <c r="AI44" i="5"/>
  <c r="AJ44" i="5" s="1"/>
  <c r="AJ55" i="5"/>
  <c r="AB84" i="5"/>
  <c r="AG85" i="5"/>
  <c r="AH85" i="5" s="1"/>
  <c r="AK8" i="5"/>
  <c r="AL8" i="5" s="1"/>
  <c r="AI8" i="5"/>
  <c r="AK22" i="5"/>
  <c r="AL22" i="5" s="1"/>
  <c r="AI22" i="5"/>
  <c r="AG34" i="5"/>
  <c r="K34" i="5"/>
  <c r="AG145" i="4"/>
  <c r="AH145" i="4" s="1"/>
  <c r="AF105" i="5"/>
  <c r="AD105" i="5"/>
  <c r="AK115" i="5"/>
  <c r="AL115" i="5" s="1"/>
  <c r="AI115" i="5"/>
  <c r="AJ115" i="5" s="1"/>
  <c r="AJ140" i="5"/>
  <c r="AG44" i="5"/>
  <c r="Q44" i="5"/>
  <c r="AB70" i="5"/>
  <c r="AD74" i="5"/>
  <c r="AC74" i="5"/>
  <c r="AI114" i="4"/>
  <c r="AF115" i="4"/>
  <c r="AD115" i="4"/>
  <c r="AE115" i="4" s="1"/>
  <c r="AI117" i="4"/>
  <c r="AI122" i="4"/>
  <c r="AD123" i="4"/>
  <c r="AE123" i="4" s="1"/>
  <c r="AF123" i="4"/>
  <c r="AI125" i="4"/>
  <c r="AH125" i="4"/>
  <c r="AI128" i="4"/>
  <c r="AJ128" i="4" s="1"/>
  <c r="AD21" i="5"/>
  <c r="AD24" i="5"/>
  <c r="AI33" i="5"/>
  <c r="AH33" i="5"/>
  <c r="AG35" i="5"/>
  <c r="AI47" i="5"/>
  <c r="AK57" i="5"/>
  <c r="AL57" i="5" s="1"/>
  <c r="AI57" i="5"/>
  <c r="AD57" i="5"/>
  <c r="AI119" i="5"/>
  <c r="AH119" i="5"/>
  <c r="AI123" i="5"/>
  <c r="AD130" i="5"/>
  <c r="AE130" i="5" s="1"/>
  <c r="AE134" i="5"/>
  <c r="AH140" i="3"/>
  <c r="AI148" i="3"/>
  <c r="AJ8" i="3" s="1"/>
  <c r="AC7" i="4"/>
  <c r="P59" i="4"/>
  <c r="AC75" i="4"/>
  <c r="AI81" i="4"/>
  <c r="AH82" i="4"/>
  <c r="AD84" i="4"/>
  <c r="AE84" i="4" s="1"/>
  <c r="AH92" i="4"/>
  <c r="AC115" i="4"/>
  <c r="AC123" i="4"/>
  <c r="AK125" i="4"/>
  <c r="AL125" i="4" s="1"/>
  <c r="AC129" i="4"/>
  <c r="AC132" i="4"/>
  <c r="AH134" i="4"/>
  <c r="AI148" i="4"/>
  <c r="AJ19" i="4" s="1"/>
  <c r="AA59" i="5"/>
  <c r="Z87" i="5"/>
  <c r="AD16" i="5"/>
  <c r="AC16" i="5"/>
  <c r="AK33" i="5"/>
  <c r="AL33" i="5" s="1"/>
  <c r="K35" i="5"/>
  <c r="AK40" i="5"/>
  <c r="AL40" i="5" s="1"/>
  <c r="AI40" i="5"/>
  <c r="AK48" i="5"/>
  <c r="AL48" i="5" s="1"/>
  <c r="AI48" i="5"/>
  <c r="AH48" i="5"/>
  <c r="AC52" i="5"/>
  <c r="AB56" i="5"/>
  <c r="S56" i="5"/>
  <c r="Y57" i="5"/>
  <c r="AJ82" i="5"/>
  <c r="AF97" i="5"/>
  <c r="AD97" i="5"/>
  <c r="AC97" i="5"/>
  <c r="AG99" i="5"/>
  <c r="AK119" i="5"/>
  <c r="AL119" i="5" s="1"/>
  <c r="AB135" i="5"/>
  <c r="AC135" i="5" s="1"/>
  <c r="AD75" i="4"/>
  <c r="AE75" i="4" s="1"/>
  <c r="Y84" i="4"/>
  <c r="AI134" i="4"/>
  <c r="AL144" i="4"/>
  <c r="AA9" i="5"/>
  <c r="AF16" i="5"/>
  <c r="AH40" i="5"/>
  <c r="K99" i="5"/>
  <c r="AG105" i="5"/>
  <c r="AC124" i="5"/>
  <c r="S135" i="5"/>
  <c r="AD141" i="5"/>
  <c r="AI141" i="5"/>
  <c r="AF141" i="5"/>
  <c r="AF135" i="5"/>
  <c r="AD135" i="5"/>
  <c r="AI135" i="5"/>
  <c r="AB145" i="5"/>
  <c r="AC145" i="5" s="1"/>
  <c r="AK50" i="5"/>
  <c r="AL50" i="5" s="1"/>
  <c r="AI50" i="5"/>
  <c r="AH50" i="5"/>
  <c r="AJ95" i="5"/>
  <c r="AI99" i="5"/>
  <c r="AJ99" i="5" s="1"/>
  <c r="AD122" i="5"/>
  <c r="AC122" i="5"/>
  <c r="AC128" i="4"/>
  <c r="AH132" i="4"/>
  <c r="P59" i="5"/>
  <c r="Q9" i="5"/>
  <c r="AH20" i="5"/>
  <c r="AH29" i="5"/>
  <c r="AC42" i="5"/>
  <c r="AB44" i="5"/>
  <c r="AC44" i="5" s="1"/>
  <c r="AK51" i="5"/>
  <c r="AL51" i="5" s="1"/>
  <c r="AI51" i="5"/>
  <c r="AJ51" i="5" s="1"/>
  <c r="AJ65" i="5"/>
  <c r="AH79" i="5"/>
  <c r="Y99" i="5"/>
  <c r="AK104" i="5"/>
  <c r="AL104" i="5" s="1"/>
  <c r="AI104" i="5"/>
  <c r="AF122" i="5"/>
  <c r="K135" i="5"/>
  <c r="AE133" i="4"/>
  <c r="S44" i="5"/>
  <c r="AK46" i="5"/>
  <c r="AL46" i="5" s="1"/>
  <c r="AI46" i="5"/>
  <c r="AH46" i="5"/>
  <c r="AH51" i="5"/>
  <c r="AI79" i="5"/>
  <c r="AJ79" i="5" s="1"/>
  <c r="AB81" i="5"/>
  <c r="AC81" i="5" s="1"/>
  <c r="AH82" i="5"/>
  <c r="AH104" i="5"/>
  <c r="AC134" i="5"/>
  <c r="AK135" i="5"/>
  <c r="AL135" i="5" s="1"/>
  <c r="AK85" i="5"/>
  <c r="AL85" i="5" s="1"/>
  <c r="AI85" i="5"/>
  <c r="AG145" i="5"/>
  <c r="AH145" i="5" s="1"/>
  <c r="B59" i="5"/>
  <c r="R59" i="5"/>
  <c r="AH15" i="5"/>
  <c r="AH17" i="5"/>
  <c r="AH19" i="5"/>
  <c r="AH21" i="5"/>
  <c r="AH23" i="5"/>
  <c r="AH25" i="5"/>
  <c r="AC29" i="5"/>
  <c r="AC66" i="5"/>
  <c r="AH68" i="5"/>
  <c r="AC80" i="5"/>
  <c r="Y85" i="5"/>
  <c r="AC96" i="5"/>
  <c r="AH129" i="5"/>
  <c r="AC132" i="5"/>
  <c r="K145" i="5"/>
  <c r="AC51" i="5"/>
  <c r="AC49" i="5"/>
  <c r="AC47" i="5"/>
  <c r="AF148" i="5"/>
  <c r="AD148" i="5"/>
  <c r="AE124" i="5" s="1"/>
  <c r="AF69" i="5"/>
  <c r="AD69" i="5"/>
  <c r="AE69" i="5" s="1"/>
  <c r="AF93" i="5"/>
  <c r="AD93" i="5"/>
  <c r="AC93" i="5"/>
  <c r="AK52" i="5"/>
  <c r="AL52" i="5" s="1"/>
  <c r="AH32" i="5"/>
  <c r="AH71" i="5"/>
  <c r="AH74" i="5"/>
  <c r="AH76" i="5"/>
  <c r="AH78" i="5"/>
  <c r="AH80" i="5"/>
  <c r="AC83" i="5"/>
  <c r="AH110" i="5"/>
  <c r="AH112" i="5"/>
  <c r="AH114" i="5"/>
  <c r="AH116" i="5"/>
  <c r="AI32" i="5"/>
  <c r="AJ32" i="5" s="1"/>
  <c r="AI71" i="5"/>
  <c r="AJ71" i="5" s="1"/>
  <c r="AI74" i="5"/>
  <c r="AI76" i="5"/>
  <c r="AI78" i="5"/>
  <c r="AI80" i="5"/>
  <c r="AD83" i="5"/>
  <c r="AH39" i="5"/>
  <c r="AH41" i="5"/>
  <c r="AH140" i="5"/>
  <c r="AI148" i="5"/>
  <c r="AJ70" i="5" s="1"/>
  <c r="Q6" i="6" l="1"/>
  <c r="X6" i="6"/>
  <c r="X8" i="6"/>
  <c r="Q8" i="6"/>
  <c r="P7" i="6"/>
  <c r="W7" i="6"/>
  <c r="Q7" i="6"/>
  <c r="X7" i="6"/>
  <c r="X5" i="6"/>
  <c r="Q5" i="6"/>
  <c r="W6" i="6"/>
  <c r="P6" i="6"/>
  <c r="P8" i="6"/>
  <c r="W8" i="6"/>
  <c r="X9" i="6"/>
  <c r="Q9" i="6"/>
  <c r="W5" i="6"/>
  <c r="P5" i="6"/>
  <c r="W9" i="6"/>
  <c r="P9" i="6"/>
  <c r="AH105" i="5"/>
  <c r="AI105" i="5"/>
  <c r="AJ105" i="5" s="1"/>
  <c r="AK105" i="5"/>
  <c r="AL105" i="5" s="1"/>
  <c r="AA87" i="4"/>
  <c r="Z107" i="4"/>
  <c r="Z101" i="4"/>
  <c r="AA101" i="4" s="1"/>
  <c r="AJ31" i="4"/>
  <c r="D87" i="4"/>
  <c r="E59" i="4"/>
  <c r="AJ132" i="4"/>
  <c r="AJ141" i="4"/>
  <c r="B87" i="3"/>
  <c r="C59" i="3"/>
  <c r="O59" i="4"/>
  <c r="N87" i="4"/>
  <c r="AJ119" i="2"/>
  <c r="AI44" i="3"/>
  <c r="AJ44" i="3" s="1"/>
  <c r="AH44" i="3"/>
  <c r="AH9" i="2"/>
  <c r="AK9" i="2"/>
  <c r="AL9" i="2" s="1"/>
  <c r="AI9" i="2"/>
  <c r="AJ9" i="2" s="1"/>
  <c r="AJ114" i="2"/>
  <c r="AJ124" i="2"/>
  <c r="AE82" i="3"/>
  <c r="AJ70" i="2"/>
  <c r="AJ74" i="2"/>
  <c r="AJ134" i="2"/>
  <c r="P107" i="2"/>
  <c r="P101" i="2"/>
  <c r="Q101" i="2" s="1"/>
  <c r="Q87" i="2"/>
  <c r="W59" i="2"/>
  <c r="V87" i="2"/>
  <c r="AI56" i="2"/>
  <c r="AJ56" i="2" s="1"/>
  <c r="AJ21" i="2"/>
  <c r="AJ48" i="3"/>
  <c r="AJ18" i="4"/>
  <c r="AJ125" i="4"/>
  <c r="AJ119" i="4"/>
  <c r="V137" i="5"/>
  <c r="W107" i="5"/>
  <c r="AJ23" i="4"/>
  <c r="AJ93" i="4"/>
  <c r="AH35" i="4"/>
  <c r="AK35" i="4"/>
  <c r="AL35" i="4" s="1"/>
  <c r="AI35" i="4"/>
  <c r="AJ35" i="4" s="1"/>
  <c r="AJ72" i="4"/>
  <c r="AJ96" i="4"/>
  <c r="AK141" i="4"/>
  <c r="AL141" i="4" s="1"/>
  <c r="AH57" i="4"/>
  <c r="AI57" i="4"/>
  <c r="AJ57" i="4" s="1"/>
  <c r="AJ112" i="2"/>
  <c r="AH99" i="2"/>
  <c r="AK99" i="2"/>
  <c r="AL99" i="2" s="1"/>
  <c r="AI99" i="2"/>
  <c r="AJ99" i="2" s="1"/>
  <c r="AH81" i="4"/>
  <c r="AK81" i="4"/>
  <c r="AL81" i="4" s="1"/>
  <c r="AE63" i="3"/>
  <c r="AJ94" i="2"/>
  <c r="AE49" i="3"/>
  <c r="AK52" i="3"/>
  <c r="AL52" i="3" s="1"/>
  <c r="AI52" i="3"/>
  <c r="AJ52" i="3" s="1"/>
  <c r="AH52" i="3"/>
  <c r="AF84" i="2"/>
  <c r="AJ26" i="3"/>
  <c r="Z87" i="1"/>
  <c r="AA59" i="1"/>
  <c r="AK145" i="1"/>
  <c r="AL145" i="1" s="1"/>
  <c r="AI145" i="1"/>
  <c r="AJ145" i="1" s="1"/>
  <c r="AH145" i="1"/>
  <c r="AC99" i="1"/>
  <c r="AF99" i="1"/>
  <c r="Q137" i="1"/>
  <c r="P147" i="1"/>
  <c r="Q147" i="1" s="1"/>
  <c r="AE31" i="5"/>
  <c r="AE47" i="5"/>
  <c r="AE49" i="5"/>
  <c r="AE119" i="5"/>
  <c r="AE82" i="5"/>
  <c r="AE33" i="5"/>
  <c r="AE29" i="5"/>
  <c r="AE111" i="5"/>
  <c r="AE42" i="5"/>
  <c r="AE26" i="5"/>
  <c r="AE121" i="5"/>
  <c r="AE112" i="5"/>
  <c r="AE132" i="5"/>
  <c r="AE120" i="5"/>
  <c r="AE128" i="5"/>
  <c r="AE116" i="5"/>
  <c r="AE131" i="5"/>
  <c r="AJ50" i="5"/>
  <c r="AE105" i="5"/>
  <c r="AE118" i="5"/>
  <c r="X87" i="5"/>
  <c r="Y59" i="5"/>
  <c r="AJ68" i="5"/>
  <c r="AJ105" i="4"/>
  <c r="AJ33" i="4"/>
  <c r="AH57" i="3"/>
  <c r="AI57" i="3"/>
  <c r="AJ57" i="3" s="1"/>
  <c r="AE110" i="5"/>
  <c r="AJ97" i="5"/>
  <c r="AH84" i="5"/>
  <c r="AI84" i="5"/>
  <c r="AJ84" i="5" s="1"/>
  <c r="AK84" i="5"/>
  <c r="AL84" i="5" s="1"/>
  <c r="AJ141" i="3"/>
  <c r="AJ115" i="3"/>
  <c r="AJ115" i="2"/>
  <c r="AE53" i="3"/>
  <c r="AJ85" i="4"/>
  <c r="AJ120" i="3"/>
  <c r="B87" i="2"/>
  <c r="C59" i="2"/>
  <c r="AE128" i="3"/>
  <c r="AE22" i="3"/>
  <c r="V87" i="4"/>
  <c r="W59" i="4"/>
  <c r="AI70" i="4"/>
  <c r="AJ70" i="4" s="1"/>
  <c r="AH70" i="4"/>
  <c r="T107" i="2"/>
  <c r="T101" i="2"/>
  <c r="U101" i="2" s="1"/>
  <c r="U87" i="2"/>
  <c r="AJ13" i="2"/>
  <c r="AJ84" i="2"/>
  <c r="AJ132" i="3"/>
  <c r="H87" i="1"/>
  <c r="I59" i="1"/>
  <c r="AD105" i="2"/>
  <c r="AE105" i="2" s="1"/>
  <c r="AJ112" i="1"/>
  <c r="AJ96" i="1"/>
  <c r="AJ144" i="1"/>
  <c r="AJ19" i="1"/>
  <c r="AJ39" i="1"/>
  <c r="AJ75" i="1"/>
  <c r="AJ42" i="1"/>
  <c r="AJ98" i="1"/>
  <c r="AJ116" i="1"/>
  <c r="AJ92" i="1"/>
  <c r="AJ68" i="1"/>
  <c r="AJ71" i="1"/>
  <c r="AJ29" i="1"/>
  <c r="AJ65" i="1"/>
  <c r="AJ132" i="1"/>
  <c r="AJ63" i="1"/>
  <c r="AF56" i="5"/>
  <c r="AD56" i="5"/>
  <c r="AE56" i="5" s="1"/>
  <c r="AC56" i="5"/>
  <c r="AD44" i="5"/>
  <c r="AE44" i="5" s="1"/>
  <c r="AE37" i="5"/>
  <c r="AK56" i="5"/>
  <c r="AL56" i="5" s="1"/>
  <c r="AI56" i="5"/>
  <c r="AJ56" i="5" s="1"/>
  <c r="AH56" i="5"/>
  <c r="AJ91" i="4"/>
  <c r="AE79" i="5"/>
  <c r="AE140" i="5"/>
  <c r="AJ13" i="4"/>
  <c r="AJ49" i="5"/>
  <c r="AJ90" i="5"/>
  <c r="AH34" i="3"/>
  <c r="AK34" i="3"/>
  <c r="AL34" i="3" s="1"/>
  <c r="AI34" i="3"/>
  <c r="AJ34" i="3" s="1"/>
  <c r="AJ123" i="4"/>
  <c r="AE129" i="5"/>
  <c r="AJ116" i="2"/>
  <c r="AE68" i="5"/>
  <c r="AE91" i="3"/>
  <c r="AE50" i="3"/>
  <c r="AJ104" i="2"/>
  <c r="AJ39" i="4"/>
  <c r="B87" i="4"/>
  <c r="C59" i="4"/>
  <c r="AI99" i="4"/>
  <c r="AJ99" i="4" s="1"/>
  <c r="AH99" i="4"/>
  <c r="AC9" i="4"/>
  <c r="AD9" i="4"/>
  <c r="AE9" i="4" s="1"/>
  <c r="H87" i="3"/>
  <c r="I59" i="3"/>
  <c r="L137" i="4"/>
  <c r="M107" i="4"/>
  <c r="AJ66" i="2"/>
  <c r="AJ23" i="2"/>
  <c r="AL53" i="2"/>
  <c r="AJ135" i="1"/>
  <c r="AL21" i="2"/>
  <c r="AF34" i="1"/>
  <c r="AI105" i="2"/>
  <c r="AJ105" i="2" s="1"/>
  <c r="AJ140" i="1"/>
  <c r="AH56" i="1"/>
  <c r="AK56" i="1"/>
  <c r="AL56" i="1" s="1"/>
  <c r="AI56" i="1"/>
  <c r="AJ56" i="1" s="1"/>
  <c r="B107" i="1"/>
  <c r="B101" i="1"/>
  <c r="C101" i="1" s="1"/>
  <c r="C87" i="1"/>
  <c r="AJ22" i="4"/>
  <c r="S59" i="3"/>
  <c r="AB59" i="3"/>
  <c r="AC59" i="3" s="1"/>
  <c r="R87" i="3"/>
  <c r="U87" i="5"/>
  <c r="T107" i="5"/>
  <c r="T101" i="5"/>
  <c r="U101" i="5" s="1"/>
  <c r="AE127" i="3"/>
  <c r="AE119" i="3"/>
  <c r="AE111" i="3"/>
  <c r="AE75" i="3"/>
  <c r="AE118" i="3"/>
  <c r="AE133" i="3"/>
  <c r="AE80" i="3"/>
  <c r="AE40" i="3"/>
  <c r="AE20" i="3"/>
  <c r="AE65" i="3"/>
  <c r="AE134" i="3"/>
  <c r="AE113" i="3"/>
  <c r="AE76" i="3"/>
  <c r="AE104" i="3"/>
  <c r="AE126" i="3"/>
  <c r="AE94" i="3"/>
  <c r="AJ46" i="4"/>
  <c r="AJ144" i="5"/>
  <c r="AJ80" i="4"/>
  <c r="AJ83" i="3"/>
  <c r="AJ117" i="3"/>
  <c r="AG59" i="4"/>
  <c r="AH59" i="4" s="1"/>
  <c r="K59" i="4"/>
  <c r="J87" i="4"/>
  <c r="AD141" i="3"/>
  <c r="AE141" i="3" s="1"/>
  <c r="AE92" i="3"/>
  <c r="AE17" i="3"/>
  <c r="AJ130" i="2"/>
  <c r="AJ81" i="2"/>
  <c r="AJ96" i="3"/>
  <c r="AE121" i="3"/>
  <c r="T87" i="4"/>
  <c r="U59" i="4"/>
  <c r="AJ122" i="1"/>
  <c r="AI44" i="2"/>
  <c r="AJ44" i="2" s="1"/>
  <c r="R87" i="2"/>
  <c r="AB59" i="2"/>
  <c r="AC59" i="2" s="1"/>
  <c r="S59" i="2"/>
  <c r="AJ13" i="3"/>
  <c r="AJ125" i="1"/>
  <c r="AE43" i="3"/>
  <c r="AJ111" i="4"/>
  <c r="AJ116" i="4"/>
  <c r="AE21" i="3"/>
  <c r="AJ54" i="2"/>
  <c r="AJ44" i="1"/>
  <c r="AJ15" i="1"/>
  <c r="AL97" i="2"/>
  <c r="AJ17" i="2"/>
  <c r="AD34" i="1"/>
  <c r="AE34" i="1" s="1"/>
  <c r="AJ35" i="1"/>
  <c r="AJ78" i="1"/>
  <c r="AJ67" i="1"/>
  <c r="AF105" i="2"/>
  <c r="AJ76" i="4"/>
  <c r="AJ123" i="5"/>
  <c r="AE75" i="5"/>
  <c r="AE115" i="5"/>
  <c r="AE125" i="5"/>
  <c r="AJ32" i="4"/>
  <c r="AE114" i="5"/>
  <c r="AJ114" i="5"/>
  <c r="AJ44" i="4"/>
  <c r="AJ119" i="5"/>
  <c r="AJ122" i="4"/>
  <c r="AJ144" i="4"/>
  <c r="AJ18" i="5"/>
  <c r="AJ54" i="5"/>
  <c r="AJ40" i="4"/>
  <c r="AE53" i="5"/>
  <c r="AJ98" i="5"/>
  <c r="AJ46" i="5"/>
  <c r="AJ135" i="5"/>
  <c r="AJ134" i="4"/>
  <c r="AE80" i="5"/>
  <c r="AJ117" i="4"/>
  <c r="AE144" i="5"/>
  <c r="AE91" i="5"/>
  <c r="AJ127" i="4"/>
  <c r="AJ9" i="5"/>
  <c r="AJ51" i="4"/>
  <c r="AJ48" i="4"/>
  <c r="AJ24" i="4"/>
  <c r="AD145" i="4"/>
  <c r="AE145" i="4" s="1"/>
  <c r="AJ52" i="5"/>
  <c r="AJ131" i="5"/>
  <c r="AE40" i="5"/>
  <c r="U59" i="3"/>
  <c r="T87" i="3"/>
  <c r="AJ33" i="2"/>
  <c r="AK9" i="4"/>
  <c r="AL9" i="4" s="1"/>
  <c r="AI9" i="4"/>
  <c r="AJ9" i="4" s="1"/>
  <c r="AH9" i="4"/>
  <c r="AJ90" i="2"/>
  <c r="G59" i="3"/>
  <c r="F87" i="3"/>
  <c r="AE125" i="3"/>
  <c r="V107" i="3"/>
  <c r="V101" i="3"/>
  <c r="W101" i="3" s="1"/>
  <c r="W87" i="3"/>
  <c r="AE90" i="3"/>
  <c r="AE112" i="3"/>
  <c r="AE16" i="3"/>
  <c r="AJ94" i="3"/>
  <c r="I107" i="4"/>
  <c r="H137" i="4"/>
  <c r="AE33" i="3"/>
  <c r="AE13" i="3"/>
  <c r="AJ110" i="4"/>
  <c r="AC57" i="1"/>
  <c r="AF57" i="1"/>
  <c r="AD57" i="1"/>
  <c r="AE57" i="1" s="1"/>
  <c r="AJ32" i="1"/>
  <c r="D107" i="1"/>
  <c r="D101" i="1"/>
  <c r="E101" i="1" s="1"/>
  <c r="E87" i="1"/>
  <c r="AJ118" i="1"/>
  <c r="Z137" i="2"/>
  <c r="AA107" i="2"/>
  <c r="AL96" i="2"/>
  <c r="AJ18" i="1"/>
  <c r="AK105" i="2"/>
  <c r="AL105" i="2" s="1"/>
  <c r="AL144" i="1"/>
  <c r="AL96" i="1"/>
  <c r="AL79" i="1"/>
  <c r="AL91" i="1"/>
  <c r="AL72" i="1"/>
  <c r="AL50" i="1"/>
  <c r="AL18" i="1"/>
  <c r="AL13" i="1"/>
  <c r="AL49" i="1"/>
  <c r="AL40" i="1"/>
  <c r="AL24" i="1"/>
  <c r="AL76" i="1"/>
  <c r="AL48" i="1"/>
  <c r="AL16" i="1"/>
  <c r="AL140" i="1"/>
  <c r="AJ105" i="1"/>
  <c r="AJ7" i="1"/>
  <c r="AJ48" i="5"/>
  <c r="AE57" i="5"/>
  <c r="AJ110" i="5"/>
  <c r="AJ97" i="4"/>
  <c r="AE133" i="5"/>
  <c r="D101" i="5"/>
  <c r="E101" i="5" s="1"/>
  <c r="D107" i="5"/>
  <c r="E87" i="5"/>
  <c r="AJ13" i="5"/>
  <c r="AF145" i="4"/>
  <c r="AJ113" i="5"/>
  <c r="AE39" i="5"/>
  <c r="AE85" i="5"/>
  <c r="AJ94" i="4"/>
  <c r="AJ130" i="5"/>
  <c r="AF57" i="4"/>
  <c r="AE23" i="5"/>
  <c r="AJ63" i="5"/>
  <c r="AJ112" i="3"/>
  <c r="AC27" i="2"/>
  <c r="AF27" i="2"/>
  <c r="AJ24" i="5"/>
  <c r="AJ92" i="3"/>
  <c r="AJ72" i="2"/>
  <c r="AI135" i="3"/>
  <c r="AJ135" i="3" s="1"/>
  <c r="AE123" i="5"/>
  <c r="AJ65" i="3"/>
  <c r="AJ83" i="4"/>
  <c r="AE115" i="3"/>
  <c r="AJ113" i="3"/>
  <c r="AE30" i="3"/>
  <c r="AE77" i="3"/>
  <c r="AJ8" i="4"/>
  <c r="AD105" i="3"/>
  <c r="AE105" i="3" s="1"/>
  <c r="AC105" i="3"/>
  <c r="AD145" i="3"/>
  <c r="AE145" i="3" s="1"/>
  <c r="AJ49" i="2"/>
  <c r="AJ110" i="2"/>
  <c r="AH81" i="1"/>
  <c r="AI81" i="1"/>
  <c r="AJ81" i="1" s="1"/>
  <c r="AK35" i="2"/>
  <c r="AL35" i="2" s="1"/>
  <c r="AI35" i="2"/>
  <c r="AJ35" i="2" s="1"/>
  <c r="AH35" i="2"/>
  <c r="AJ135" i="2"/>
  <c r="AD99" i="3"/>
  <c r="AE99" i="3" s="1"/>
  <c r="U107" i="1"/>
  <c r="T137" i="1"/>
  <c r="AC59" i="1"/>
  <c r="AF59" i="1"/>
  <c r="AD59" i="1"/>
  <c r="AE59" i="1" s="1"/>
  <c r="AE54" i="5"/>
  <c r="M107" i="5"/>
  <c r="L137" i="5"/>
  <c r="AJ94" i="5"/>
  <c r="AD59" i="4"/>
  <c r="AE59" i="4" s="1"/>
  <c r="Y59" i="4"/>
  <c r="AK59" i="4"/>
  <c r="AL59" i="4" s="1"/>
  <c r="AI59" i="4"/>
  <c r="AJ59" i="4" s="1"/>
  <c r="X87" i="4"/>
  <c r="AJ74" i="4"/>
  <c r="J87" i="2"/>
  <c r="K59" i="2"/>
  <c r="AG59" i="2"/>
  <c r="AH59" i="2" s="1"/>
  <c r="AJ122" i="5"/>
  <c r="AJ56" i="4"/>
  <c r="AJ49" i="4"/>
  <c r="D107" i="3"/>
  <c r="D101" i="3"/>
  <c r="E101" i="3" s="1"/>
  <c r="E87" i="3"/>
  <c r="AF70" i="1"/>
  <c r="AD70" i="1"/>
  <c r="AE70" i="1" s="1"/>
  <c r="AC70" i="1"/>
  <c r="AF99" i="3"/>
  <c r="AJ25" i="2"/>
  <c r="AJ111" i="1"/>
  <c r="AJ110" i="1"/>
  <c r="AE132" i="3"/>
  <c r="R107" i="1"/>
  <c r="R101" i="1"/>
  <c r="AB87" i="1"/>
  <c r="AC87" i="1" s="1"/>
  <c r="S87" i="1"/>
  <c r="AJ9" i="1"/>
  <c r="AJ54" i="1"/>
  <c r="AJ50" i="1"/>
  <c r="AL132" i="2"/>
  <c r="AL98" i="1"/>
  <c r="AL66" i="1"/>
  <c r="AL9" i="1"/>
  <c r="AL43" i="1"/>
  <c r="AJ16" i="1"/>
  <c r="AJ77" i="4"/>
  <c r="AE135" i="5"/>
  <c r="B87" i="5"/>
  <c r="C59" i="5"/>
  <c r="AJ57" i="5"/>
  <c r="AJ132" i="5"/>
  <c r="AJ129" i="5"/>
  <c r="AH35" i="3"/>
  <c r="AI35" i="3"/>
  <c r="AJ35" i="3" s="1"/>
  <c r="AE19" i="5"/>
  <c r="AE114" i="3"/>
  <c r="AE77" i="5"/>
  <c r="AE25" i="5"/>
  <c r="AG59" i="5"/>
  <c r="AH59" i="5" s="1"/>
  <c r="J87" i="5"/>
  <c r="K59" i="5"/>
  <c r="AE71" i="5"/>
  <c r="AJ117" i="5"/>
  <c r="AE67" i="3"/>
  <c r="AD99" i="2"/>
  <c r="AE99" i="2" s="1"/>
  <c r="AE13" i="5"/>
  <c r="AD52" i="3"/>
  <c r="AE52" i="3" s="1"/>
  <c r="AC52" i="3"/>
  <c r="AF52" i="3"/>
  <c r="AJ111" i="2"/>
  <c r="AF44" i="3"/>
  <c r="AJ77" i="2"/>
  <c r="AJ31" i="3"/>
  <c r="AJ24" i="3"/>
  <c r="AJ140" i="2"/>
  <c r="AJ22" i="3"/>
  <c r="AD105" i="1"/>
  <c r="AE105" i="1" s="1"/>
  <c r="AC105" i="1"/>
  <c r="AF105" i="1"/>
  <c r="AF145" i="3"/>
  <c r="AL75" i="2"/>
  <c r="AJ68" i="4"/>
  <c r="AC145" i="2"/>
  <c r="AF145" i="2"/>
  <c r="L87" i="2"/>
  <c r="M59" i="2"/>
  <c r="AL68" i="2"/>
  <c r="AJ93" i="1"/>
  <c r="AI99" i="3"/>
  <c r="AJ99" i="3" s="1"/>
  <c r="AJ83" i="1"/>
  <c r="AK52" i="2"/>
  <c r="AL52" i="2" s="1"/>
  <c r="AJ123" i="1"/>
  <c r="AJ104" i="1"/>
  <c r="AJ8" i="1"/>
  <c r="AL65" i="1"/>
  <c r="AL82" i="1"/>
  <c r="AL41" i="1"/>
  <c r="AL22" i="1"/>
  <c r="AJ76" i="1"/>
  <c r="AF9" i="1"/>
  <c r="AD9" i="1"/>
  <c r="AE9" i="1" s="1"/>
  <c r="AC9" i="1"/>
  <c r="V101" i="1"/>
  <c r="W101" i="1" s="1"/>
  <c r="W87" i="1"/>
  <c r="V107" i="1"/>
  <c r="D107" i="2"/>
  <c r="D101" i="2"/>
  <c r="E101" i="2" s="1"/>
  <c r="E87" i="2"/>
  <c r="AJ55" i="2"/>
  <c r="O107" i="2"/>
  <c r="N137" i="2"/>
  <c r="AI52" i="2"/>
  <c r="AJ52" i="2" s="1"/>
  <c r="AJ69" i="1"/>
  <c r="AJ132" i="2"/>
  <c r="AJ47" i="4"/>
  <c r="AJ121" i="1"/>
  <c r="AJ47" i="2"/>
  <c r="AL20" i="2"/>
  <c r="AJ17" i="1"/>
  <c r="AJ141" i="1"/>
  <c r="AF84" i="5"/>
  <c r="AD84" i="5"/>
  <c r="AE84" i="5" s="1"/>
  <c r="AC84" i="5"/>
  <c r="AC70" i="4"/>
  <c r="AF70" i="4"/>
  <c r="AD70" i="4"/>
  <c r="AE70" i="4" s="1"/>
  <c r="AJ53" i="5"/>
  <c r="AJ23" i="5"/>
  <c r="AJ20" i="5"/>
  <c r="AJ77" i="5"/>
  <c r="AJ69" i="5"/>
  <c r="AJ43" i="5"/>
  <c r="AJ25" i="5"/>
  <c r="AJ83" i="5"/>
  <c r="AJ37" i="5"/>
  <c r="AJ92" i="5"/>
  <c r="AJ93" i="5"/>
  <c r="AJ7" i="5"/>
  <c r="AJ39" i="5"/>
  <c r="AJ31" i="5"/>
  <c r="AJ96" i="5"/>
  <c r="AJ19" i="5"/>
  <c r="AJ125" i="5"/>
  <c r="AB59" i="5"/>
  <c r="AC59" i="5" s="1"/>
  <c r="S59" i="5"/>
  <c r="R87" i="5"/>
  <c r="AE63" i="5"/>
  <c r="AJ40" i="5"/>
  <c r="AJ91" i="5"/>
  <c r="AJ131" i="4"/>
  <c r="AE67" i="5"/>
  <c r="AC81" i="2"/>
  <c r="AD81" i="2"/>
  <c r="AE81" i="2" s="1"/>
  <c r="AF81" i="2"/>
  <c r="AE9" i="5"/>
  <c r="AJ92" i="2"/>
  <c r="AJ18" i="2"/>
  <c r="AJ93" i="2"/>
  <c r="AJ120" i="2"/>
  <c r="AJ98" i="2"/>
  <c r="AJ97" i="2"/>
  <c r="AJ65" i="2"/>
  <c r="AJ30" i="2"/>
  <c r="AJ123" i="2"/>
  <c r="AJ46" i="2"/>
  <c r="AJ91" i="2"/>
  <c r="AJ68" i="2"/>
  <c r="AJ131" i="2"/>
  <c r="AJ63" i="2"/>
  <c r="AJ39" i="2"/>
  <c r="AJ125" i="2"/>
  <c r="AJ76" i="2"/>
  <c r="AJ50" i="2"/>
  <c r="AJ26" i="2"/>
  <c r="AJ40" i="2"/>
  <c r="AJ83" i="2"/>
  <c r="AJ20" i="2"/>
  <c r="AJ41" i="2"/>
  <c r="AD135" i="2"/>
  <c r="AE135" i="2" s="1"/>
  <c r="AC135" i="2"/>
  <c r="AF135" i="2"/>
  <c r="AJ141" i="2"/>
  <c r="AE69" i="3"/>
  <c r="AJ80" i="5"/>
  <c r="AJ112" i="5"/>
  <c r="AJ124" i="5"/>
  <c r="AE113" i="5"/>
  <c r="AE74" i="5"/>
  <c r="AE66" i="5"/>
  <c r="AJ29" i="5"/>
  <c r="AC70" i="3"/>
  <c r="AF70" i="3"/>
  <c r="AD70" i="3"/>
  <c r="AE70" i="3" s="1"/>
  <c r="AE32" i="5"/>
  <c r="AC44" i="4"/>
  <c r="AF44" i="4"/>
  <c r="AD44" i="4"/>
  <c r="AE44" i="4" s="1"/>
  <c r="I59" i="2"/>
  <c r="H87" i="2"/>
  <c r="AJ66" i="4"/>
  <c r="AJ130" i="4"/>
  <c r="AI105" i="3"/>
  <c r="AJ105" i="3" s="1"/>
  <c r="AJ66" i="5"/>
  <c r="R101" i="4"/>
  <c r="S87" i="4"/>
  <c r="R107" i="4"/>
  <c r="AB87" i="4"/>
  <c r="AC87" i="4" s="1"/>
  <c r="AJ17" i="5"/>
  <c r="AJ93" i="3"/>
  <c r="AJ56" i="3"/>
  <c r="AK145" i="2"/>
  <c r="AL145" i="2" s="1"/>
  <c r="AK81" i="5"/>
  <c r="AL81" i="5" s="1"/>
  <c r="AJ116" i="3"/>
  <c r="AE124" i="3"/>
  <c r="AJ120" i="4"/>
  <c r="AD44" i="3"/>
  <c r="AE44" i="3" s="1"/>
  <c r="AE65" i="5"/>
  <c r="AE9" i="3"/>
  <c r="AE19" i="3"/>
  <c r="AF9" i="2"/>
  <c r="AD9" i="2"/>
  <c r="AE9" i="2" s="1"/>
  <c r="AC9" i="2"/>
  <c r="AJ15" i="3"/>
  <c r="AJ72" i="3"/>
  <c r="AJ133" i="2"/>
  <c r="AJ126" i="1"/>
  <c r="AJ32" i="3"/>
  <c r="AJ19" i="2"/>
  <c r="AJ75" i="2"/>
  <c r="AI34" i="4"/>
  <c r="AJ34" i="4" s="1"/>
  <c r="AL110" i="2"/>
  <c r="AJ121" i="2"/>
  <c r="AJ40" i="3"/>
  <c r="AL24" i="2"/>
  <c r="AH70" i="1"/>
  <c r="AK70" i="1"/>
  <c r="AL70" i="1" s="1"/>
  <c r="K59" i="1"/>
  <c r="J87" i="1"/>
  <c r="AG59" i="1"/>
  <c r="AK99" i="1"/>
  <c r="AL99" i="1" s="1"/>
  <c r="AI99" i="1"/>
  <c r="AJ99" i="1" s="1"/>
  <c r="AH99" i="1"/>
  <c r="AL55" i="2"/>
  <c r="AJ53" i="2"/>
  <c r="AL80" i="1"/>
  <c r="AL118" i="2"/>
  <c r="AJ26" i="1"/>
  <c r="AL71" i="1"/>
  <c r="AJ91" i="1"/>
  <c r="AL77" i="2"/>
  <c r="AJ21" i="1"/>
  <c r="AL121" i="1"/>
  <c r="AL47" i="2"/>
  <c r="O87" i="1"/>
  <c r="N107" i="1"/>
  <c r="N101" i="1"/>
  <c r="O101" i="1" s="1"/>
  <c r="AL26" i="1"/>
  <c r="AL8" i="1"/>
  <c r="AJ65" i="4"/>
  <c r="AJ115" i="4"/>
  <c r="AJ41" i="4"/>
  <c r="AJ21" i="4"/>
  <c r="AJ112" i="4"/>
  <c r="AJ92" i="4"/>
  <c r="AJ53" i="4"/>
  <c r="AJ15" i="4"/>
  <c r="AJ90" i="4"/>
  <c r="AJ63" i="4"/>
  <c r="AJ54" i="4"/>
  <c r="AJ43" i="4"/>
  <c r="AJ17" i="4"/>
  <c r="AJ82" i="4"/>
  <c r="P87" i="5"/>
  <c r="Q59" i="5"/>
  <c r="N87" i="5"/>
  <c r="O59" i="5"/>
  <c r="AJ111" i="5"/>
  <c r="AE22" i="5"/>
  <c r="AH27" i="3"/>
  <c r="AK27" i="3"/>
  <c r="AL27" i="3" s="1"/>
  <c r="AJ141" i="5"/>
  <c r="AJ47" i="5"/>
  <c r="AE90" i="5"/>
  <c r="AE83" i="5"/>
  <c r="AJ85" i="5"/>
  <c r="AE117" i="5"/>
  <c r="AJ81" i="4"/>
  <c r="AH35" i="5"/>
  <c r="AK35" i="5"/>
  <c r="AL35" i="5" s="1"/>
  <c r="AJ22" i="5"/>
  <c r="AJ42" i="5"/>
  <c r="AJ27" i="4"/>
  <c r="AJ140" i="4"/>
  <c r="AE7" i="5"/>
  <c r="Y59" i="2"/>
  <c r="X87" i="2"/>
  <c r="AD59" i="2"/>
  <c r="AE59" i="2" s="1"/>
  <c r="AK59" i="2"/>
  <c r="AL59" i="2" s="1"/>
  <c r="AI59" i="2"/>
  <c r="AJ59" i="2" s="1"/>
  <c r="AF59" i="2"/>
  <c r="AH84" i="4"/>
  <c r="AK84" i="4"/>
  <c r="AL84" i="4" s="1"/>
  <c r="AI84" i="4"/>
  <c r="AJ84" i="4" s="1"/>
  <c r="AE43" i="5"/>
  <c r="AJ26" i="5"/>
  <c r="AJ72" i="5"/>
  <c r="AJ50" i="4"/>
  <c r="AJ98" i="4"/>
  <c r="AB59" i="4"/>
  <c r="AC59" i="4" s="1"/>
  <c r="F137" i="4"/>
  <c r="G107" i="4"/>
  <c r="J101" i="3"/>
  <c r="J107" i="3"/>
  <c r="K87" i="3"/>
  <c r="AJ78" i="5"/>
  <c r="AJ104" i="5"/>
  <c r="AE127" i="5"/>
  <c r="AH99" i="5"/>
  <c r="AK99" i="5"/>
  <c r="AL99" i="5" s="1"/>
  <c r="AJ8" i="5"/>
  <c r="AJ67" i="4"/>
  <c r="AE98" i="3"/>
  <c r="AE51" i="5"/>
  <c r="AH27" i="4"/>
  <c r="AK27" i="4"/>
  <c r="AL27" i="4" s="1"/>
  <c r="AF81" i="4"/>
  <c r="AC81" i="4"/>
  <c r="AD81" i="4"/>
  <c r="AE81" i="4" s="1"/>
  <c r="AJ124" i="4"/>
  <c r="AI81" i="5"/>
  <c r="AJ81" i="5" s="1"/>
  <c r="G59" i="5"/>
  <c r="F87" i="5"/>
  <c r="AJ111" i="3"/>
  <c r="AJ67" i="5"/>
  <c r="AE140" i="3"/>
  <c r="AJ9" i="3"/>
  <c r="AJ128" i="2"/>
  <c r="AJ29" i="3"/>
  <c r="AJ26" i="4"/>
  <c r="AJ25" i="3"/>
  <c r="AE15" i="3"/>
  <c r="AD34" i="4"/>
  <c r="AE34" i="4" s="1"/>
  <c r="AD34" i="3"/>
  <c r="AE34" i="3" s="1"/>
  <c r="AC34" i="3"/>
  <c r="AJ134" i="1"/>
  <c r="G59" i="2"/>
  <c r="F87" i="2"/>
  <c r="AJ23" i="1"/>
  <c r="AK57" i="1"/>
  <c r="AL57" i="1" s="1"/>
  <c r="AI57" i="1"/>
  <c r="AJ57" i="1" s="1"/>
  <c r="AH57" i="1"/>
  <c r="AJ118" i="2"/>
  <c r="AD52" i="2"/>
  <c r="AE52" i="2" s="1"/>
  <c r="AD56" i="2"/>
  <c r="AE56" i="2" s="1"/>
  <c r="AL25" i="2"/>
  <c r="AL46" i="2"/>
  <c r="AH84" i="1"/>
  <c r="AK84" i="1"/>
  <c r="AL84" i="1" s="1"/>
  <c r="AI84" i="1"/>
  <c r="AJ84" i="1" s="1"/>
  <c r="AJ37" i="1"/>
  <c r="AJ16" i="2"/>
  <c r="AJ48" i="1"/>
  <c r="AJ69" i="4"/>
  <c r="G59" i="1"/>
  <c r="F87" i="1"/>
  <c r="AJ126" i="5"/>
  <c r="AE96" i="5"/>
  <c r="AK34" i="5"/>
  <c r="AL34" i="5" s="1"/>
  <c r="AH34" i="5"/>
  <c r="AI34" i="5"/>
  <c r="AJ34" i="5" s="1"/>
  <c r="AE141" i="5"/>
  <c r="AJ15" i="5"/>
  <c r="AJ133" i="5"/>
  <c r="AE94" i="5"/>
  <c r="AE98" i="5"/>
  <c r="Q59" i="4"/>
  <c r="P87" i="4"/>
  <c r="AJ33" i="5"/>
  <c r="AC70" i="5"/>
  <c r="AD70" i="5"/>
  <c r="AE70" i="5" s="1"/>
  <c r="AJ121" i="5"/>
  <c r="AE126" i="5"/>
  <c r="AE41" i="5"/>
  <c r="AJ16" i="4"/>
  <c r="AJ135" i="4"/>
  <c r="AE55" i="5"/>
  <c r="AJ76" i="5"/>
  <c r="AE122" i="5"/>
  <c r="AE16" i="5"/>
  <c r="AE24" i="5"/>
  <c r="AE34" i="5"/>
  <c r="AJ110" i="3"/>
  <c r="AE35" i="5"/>
  <c r="AE8" i="5"/>
  <c r="AJ53" i="3"/>
  <c r="AK135" i="4"/>
  <c r="AL135" i="4" s="1"/>
  <c r="AJ30" i="4"/>
  <c r="AJ50" i="3"/>
  <c r="AE52" i="5"/>
  <c r="AD57" i="4"/>
  <c r="AE57" i="4" s="1"/>
  <c r="AJ79" i="3"/>
  <c r="AE18" i="5"/>
  <c r="AI84" i="3"/>
  <c r="AJ84" i="3" s="1"/>
  <c r="AJ16" i="5"/>
  <c r="AE144" i="3"/>
  <c r="AJ52" i="4"/>
  <c r="AJ51" i="2"/>
  <c r="AE56" i="3"/>
  <c r="AJ78" i="4"/>
  <c r="AD81" i="5"/>
  <c r="AE81" i="5" s="1"/>
  <c r="AJ55" i="3"/>
  <c r="L87" i="3"/>
  <c r="M59" i="3"/>
  <c r="AE31" i="3"/>
  <c r="AJ21" i="5"/>
  <c r="AE20" i="5"/>
  <c r="AE30" i="5"/>
  <c r="AF59" i="3"/>
  <c r="Y59" i="3"/>
  <c r="X87" i="3"/>
  <c r="AD59" i="3"/>
  <c r="AE59" i="3" s="1"/>
  <c r="AK59" i="3"/>
  <c r="AL59" i="3" s="1"/>
  <c r="AI59" i="3"/>
  <c r="AJ59" i="3" s="1"/>
  <c r="AJ24" i="2"/>
  <c r="AJ82" i="2"/>
  <c r="AJ85" i="2"/>
  <c r="AJ17" i="3"/>
  <c r="AE42" i="3"/>
  <c r="AJ96" i="2"/>
  <c r="AJ43" i="2"/>
  <c r="AJ30" i="1"/>
  <c r="AL135" i="2"/>
  <c r="AL70" i="2"/>
  <c r="AF34" i="4"/>
  <c r="AJ80" i="2"/>
  <c r="AJ29" i="2"/>
  <c r="AL63" i="2"/>
  <c r="AL57" i="2"/>
  <c r="AF34" i="2"/>
  <c r="AJ71" i="2"/>
  <c r="AJ55" i="1"/>
  <c r="AF52" i="2"/>
  <c r="AK56" i="2"/>
  <c r="AL56" i="2" s="1"/>
  <c r="AJ72" i="1"/>
  <c r="AL97" i="1"/>
  <c r="AI52" i="1"/>
  <c r="AJ52" i="1" s="1"/>
  <c r="AK52" i="1"/>
  <c r="AL52" i="1" s="1"/>
  <c r="AH52" i="1"/>
  <c r="AJ117" i="2"/>
  <c r="AJ97" i="1"/>
  <c r="AL31" i="1"/>
  <c r="AJ114" i="4"/>
  <c r="AJ79" i="4"/>
  <c r="AF85" i="3"/>
  <c r="AC85" i="3"/>
  <c r="AD85" i="3"/>
  <c r="AE85" i="3" s="1"/>
  <c r="AE48" i="5"/>
  <c r="AJ145" i="4"/>
  <c r="AE104" i="5"/>
  <c r="AJ104" i="4"/>
  <c r="AD99" i="5"/>
  <c r="AE99" i="5" s="1"/>
  <c r="AC99" i="5"/>
  <c r="AE50" i="5"/>
  <c r="AJ75" i="5"/>
  <c r="AJ74" i="5"/>
  <c r="AE93" i="5"/>
  <c r="AJ118" i="5"/>
  <c r="AF99" i="5"/>
  <c r="AJ116" i="5"/>
  <c r="AE97" i="5"/>
  <c r="Z107" i="5"/>
  <c r="Z101" i="5"/>
  <c r="AA101" i="5" s="1"/>
  <c r="AA87" i="5"/>
  <c r="AJ69" i="3"/>
  <c r="AJ20" i="3"/>
  <c r="AJ97" i="3"/>
  <c r="AJ91" i="3"/>
  <c r="AJ129" i="3"/>
  <c r="AJ98" i="3"/>
  <c r="AJ30" i="3"/>
  <c r="AJ54" i="3"/>
  <c r="AJ121" i="3"/>
  <c r="AJ18" i="3"/>
  <c r="AJ127" i="3"/>
  <c r="AJ119" i="3"/>
  <c r="AJ131" i="3"/>
  <c r="AE21" i="5"/>
  <c r="AK44" i="5"/>
  <c r="AL44" i="5" s="1"/>
  <c r="AH44" i="5"/>
  <c r="AJ120" i="5"/>
  <c r="AA59" i="3"/>
  <c r="Z87" i="3"/>
  <c r="AJ134" i="5"/>
  <c r="AE46" i="5"/>
  <c r="AJ29" i="4"/>
  <c r="AJ121" i="4"/>
  <c r="AD27" i="5"/>
  <c r="AE27" i="5" s="1"/>
  <c r="AJ42" i="4"/>
  <c r="AK84" i="3"/>
  <c r="AL84" i="3" s="1"/>
  <c r="AJ126" i="4"/>
  <c r="AK145" i="5"/>
  <c r="AL145" i="5" s="1"/>
  <c r="I137" i="5"/>
  <c r="H147" i="5"/>
  <c r="I147" i="5" s="1"/>
  <c r="AJ90" i="3"/>
  <c r="AE47" i="3"/>
  <c r="AF81" i="5"/>
  <c r="AE46" i="3"/>
  <c r="AJ81" i="3"/>
  <c r="AE129" i="3"/>
  <c r="AE27" i="3"/>
  <c r="AJ55" i="4"/>
  <c r="AD27" i="2"/>
  <c r="AE27" i="2" s="1"/>
  <c r="AE122" i="3"/>
  <c r="AE72" i="5"/>
  <c r="AL82" i="2"/>
  <c r="AL92" i="2"/>
  <c r="AL114" i="2"/>
  <c r="AL128" i="2"/>
  <c r="AL94" i="2"/>
  <c r="AL66" i="2"/>
  <c r="AL42" i="2"/>
  <c r="AL15" i="2"/>
  <c r="AL22" i="2"/>
  <c r="AL65" i="2"/>
  <c r="AL83" i="2"/>
  <c r="AL90" i="2"/>
  <c r="AL16" i="2"/>
  <c r="AL67" i="2"/>
  <c r="AL18" i="2"/>
  <c r="AL104" i="2"/>
  <c r="AJ119" i="1"/>
  <c r="AL85" i="2"/>
  <c r="AJ30" i="5"/>
  <c r="AE57" i="3"/>
  <c r="AL43" i="2"/>
  <c r="AK85" i="1"/>
  <c r="AL85" i="1" s="1"/>
  <c r="AJ15" i="2"/>
  <c r="AJ48" i="2"/>
  <c r="AD70" i="2"/>
  <c r="AE70" i="2" s="1"/>
  <c r="AE32" i="3"/>
  <c r="AJ75" i="4"/>
  <c r="L87" i="1"/>
  <c r="M59" i="1"/>
  <c r="AJ82" i="1"/>
  <c r="AL63" i="1"/>
  <c r="AL114" i="1"/>
  <c r="AL74" i="1"/>
  <c r="AJ57" i="2"/>
  <c r="AD35" i="1"/>
  <c r="AE35" i="1" s="1"/>
  <c r="AC35" i="1"/>
  <c r="AF35" i="1"/>
  <c r="AI34" i="2"/>
  <c r="AJ34" i="2" s="1"/>
  <c r="AL71" i="2"/>
  <c r="AL55" i="1"/>
  <c r="AJ42" i="2"/>
  <c r="AJ46" i="1"/>
  <c r="AJ128" i="1"/>
  <c r="AC84" i="4"/>
  <c r="AF84" i="4"/>
  <c r="AH27" i="2"/>
  <c r="AK27" i="2"/>
  <c r="AL27" i="2" s="1"/>
  <c r="AJ40" i="1"/>
  <c r="AJ67" i="2"/>
  <c r="AL68" i="1"/>
  <c r="AJ22" i="1"/>
  <c r="P87" i="3"/>
  <c r="AG87" i="3" s="1"/>
  <c r="AH87" i="3" s="1"/>
  <c r="Q59" i="3"/>
  <c r="AJ133" i="4"/>
  <c r="AJ25" i="4"/>
  <c r="AI145" i="2"/>
  <c r="AJ145" i="2" s="1"/>
  <c r="AJ7" i="4"/>
  <c r="AJ7" i="2"/>
  <c r="AK34" i="4"/>
  <c r="AL34" i="4" s="1"/>
  <c r="AJ79" i="2"/>
  <c r="AJ21" i="3"/>
  <c r="AJ120" i="1"/>
  <c r="AC52" i="1"/>
  <c r="AF52" i="1"/>
  <c r="Y87" i="1"/>
  <c r="X107" i="1"/>
  <c r="AF87" i="1"/>
  <c r="AD87" i="1"/>
  <c r="AE87" i="1" s="1"/>
  <c r="X101" i="1"/>
  <c r="AJ34" i="1"/>
  <c r="AK34" i="2"/>
  <c r="AL34" i="2" s="1"/>
  <c r="AE39" i="3"/>
  <c r="AJ22" i="2"/>
  <c r="AL47" i="1"/>
  <c r="AJ32" i="2"/>
  <c r="AF56" i="2"/>
  <c r="AJ53" i="1"/>
  <c r="AL41" i="2"/>
  <c r="AJ114" i="1"/>
  <c r="AL21" i="1"/>
  <c r="AE37" i="3"/>
  <c r="AJ77" i="1"/>
  <c r="AJ41" i="1"/>
  <c r="AJ20" i="1"/>
  <c r="R101" i="2" l="1"/>
  <c r="S87" i="2"/>
  <c r="R107" i="2"/>
  <c r="AB87" i="2"/>
  <c r="AC87" i="2" s="1"/>
  <c r="X101" i="5"/>
  <c r="Y87" i="5"/>
  <c r="X107" i="5"/>
  <c r="AK87" i="5"/>
  <c r="AL87" i="5" s="1"/>
  <c r="V107" i="2"/>
  <c r="W87" i="2"/>
  <c r="V101" i="2"/>
  <c r="W101" i="2" s="1"/>
  <c r="F107" i="2"/>
  <c r="F101" i="2"/>
  <c r="G101" i="2" s="1"/>
  <c r="G87" i="2"/>
  <c r="P107" i="4"/>
  <c r="P101" i="4"/>
  <c r="Q101" i="4" s="1"/>
  <c r="Q87" i="4"/>
  <c r="J137" i="3"/>
  <c r="K107" i="3"/>
  <c r="D137" i="2"/>
  <c r="E107" i="2"/>
  <c r="AD59" i="5"/>
  <c r="AE59" i="5" s="1"/>
  <c r="N107" i="4"/>
  <c r="O87" i="4"/>
  <c r="N101" i="4"/>
  <c r="O101" i="4" s="1"/>
  <c r="K101" i="3"/>
  <c r="W107" i="1"/>
  <c r="V137" i="1"/>
  <c r="AF59" i="4"/>
  <c r="E107" i="5"/>
  <c r="D137" i="5"/>
  <c r="E107" i="1"/>
  <c r="D137" i="1"/>
  <c r="W107" i="3"/>
  <c r="V137" i="3"/>
  <c r="B101" i="4"/>
  <c r="C101" i="4" s="1"/>
  <c r="C87" i="4"/>
  <c r="B107" i="4"/>
  <c r="AF59" i="5"/>
  <c r="X101" i="2"/>
  <c r="Y87" i="2"/>
  <c r="AF87" i="2"/>
  <c r="X107" i="2"/>
  <c r="Y101" i="1"/>
  <c r="Q87" i="3"/>
  <c r="P107" i="3"/>
  <c r="P101" i="3"/>
  <c r="Q101" i="3" s="1"/>
  <c r="H101" i="2"/>
  <c r="I101" i="2" s="1"/>
  <c r="I87" i="2"/>
  <c r="H107" i="2"/>
  <c r="L147" i="5"/>
  <c r="M147" i="5" s="1"/>
  <c r="M137" i="5"/>
  <c r="F107" i="3"/>
  <c r="G87" i="3"/>
  <c r="F101" i="3"/>
  <c r="G101" i="3" s="1"/>
  <c r="U87" i="4"/>
  <c r="T107" i="4"/>
  <c r="T101" i="4"/>
  <c r="U101" i="4" s="1"/>
  <c r="T137" i="2"/>
  <c r="U107" i="2"/>
  <c r="P137" i="2"/>
  <c r="Q107" i="2"/>
  <c r="B107" i="3"/>
  <c r="C87" i="3"/>
  <c r="B101" i="3"/>
  <c r="C101" i="3" s="1"/>
  <c r="G137" i="4"/>
  <c r="F147" i="4"/>
  <c r="G147" i="4" s="1"/>
  <c r="D137" i="3"/>
  <c r="E107" i="3"/>
  <c r="T137" i="5"/>
  <c r="U107" i="5"/>
  <c r="M87" i="2"/>
  <c r="L101" i="2"/>
  <c r="M101" i="2" s="1"/>
  <c r="L107" i="2"/>
  <c r="Z137" i="5"/>
  <c r="AA107" i="5"/>
  <c r="X107" i="3"/>
  <c r="Y87" i="3"/>
  <c r="X101" i="3"/>
  <c r="AK87" i="3"/>
  <c r="AL87" i="3" s="1"/>
  <c r="AI87" i="3"/>
  <c r="AJ87" i="3" s="1"/>
  <c r="AB87" i="3"/>
  <c r="AC87" i="3" s="1"/>
  <c r="R107" i="3"/>
  <c r="S87" i="3"/>
  <c r="R101" i="3"/>
  <c r="X137" i="1"/>
  <c r="Y107" i="1"/>
  <c r="AD107" i="1"/>
  <c r="AE107" i="1" s="1"/>
  <c r="AF107" i="1"/>
  <c r="N101" i="5"/>
  <c r="O101" i="5" s="1"/>
  <c r="O87" i="5"/>
  <c r="N107" i="5"/>
  <c r="W87" i="4"/>
  <c r="V101" i="4"/>
  <c r="W101" i="4" s="1"/>
  <c r="V107" i="4"/>
  <c r="D101" i="4"/>
  <c r="E101" i="4" s="1"/>
  <c r="E87" i="4"/>
  <c r="D107" i="4"/>
  <c r="R101" i="5"/>
  <c r="S87" i="5"/>
  <c r="R107" i="5"/>
  <c r="AB87" i="5"/>
  <c r="AC87" i="5" s="1"/>
  <c r="S101" i="1"/>
  <c r="AB101" i="1"/>
  <c r="AC101" i="1" s="1"/>
  <c r="W137" i="5"/>
  <c r="V147" i="5"/>
  <c r="W147" i="5" s="1"/>
  <c r="R137" i="1"/>
  <c r="S107" i="1"/>
  <c r="AB107" i="1"/>
  <c r="AC107" i="1" s="1"/>
  <c r="T147" i="1"/>
  <c r="U147" i="1" s="1"/>
  <c r="U137" i="1"/>
  <c r="H147" i="4"/>
  <c r="I147" i="4" s="1"/>
  <c r="I137" i="4"/>
  <c r="M137" i="4"/>
  <c r="L147" i="4"/>
  <c r="M147" i="4" s="1"/>
  <c r="B101" i="5"/>
  <c r="C101" i="5" s="1"/>
  <c r="B107" i="5"/>
  <c r="C87" i="5"/>
  <c r="K87" i="2"/>
  <c r="J107" i="2"/>
  <c r="AG87" i="2"/>
  <c r="AH87" i="2" s="1"/>
  <c r="J101" i="2"/>
  <c r="T101" i="3"/>
  <c r="U101" i="3" s="1"/>
  <c r="T107" i="3"/>
  <c r="U87" i="3"/>
  <c r="Z137" i="4"/>
  <c r="AA107" i="4"/>
  <c r="Q87" i="5"/>
  <c r="P101" i="5"/>
  <c r="Q101" i="5" s="1"/>
  <c r="P107" i="5"/>
  <c r="J101" i="4"/>
  <c r="AG87" i="4"/>
  <c r="AH87" i="4" s="1"/>
  <c r="J107" i="4"/>
  <c r="K87" i="4"/>
  <c r="I87" i="3"/>
  <c r="H107" i="3"/>
  <c r="H101" i="3"/>
  <c r="I101" i="3" s="1"/>
  <c r="B107" i="2"/>
  <c r="B101" i="2"/>
  <c r="C101" i="2" s="1"/>
  <c r="C87" i="2"/>
  <c r="AH59" i="1"/>
  <c r="AI59" i="1"/>
  <c r="AJ59" i="1" s="1"/>
  <c r="AK59" i="1"/>
  <c r="AL59" i="1" s="1"/>
  <c r="F101" i="1"/>
  <c r="G101" i="1" s="1"/>
  <c r="G87" i="1"/>
  <c r="F107" i="1"/>
  <c r="J101" i="1"/>
  <c r="K87" i="1"/>
  <c r="AG87" i="1"/>
  <c r="J107" i="1"/>
  <c r="R137" i="4"/>
  <c r="S107" i="4"/>
  <c r="AI87" i="4"/>
  <c r="AJ87" i="4" s="1"/>
  <c r="AD87" i="4"/>
  <c r="AE87" i="4" s="1"/>
  <c r="Y87" i="4"/>
  <c r="AK87" i="4"/>
  <c r="AL87" i="4" s="1"/>
  <c r="X107" i="4"/>
  <c r="X101" i="4"/>
  <c r="AB101" i="4" s="1"/>
  <c r="AC101" i="4" s="1"/>
  <c r="AF87" i="4"/>
  <c r="B137" i="1"/>
  <c r="C107" i="1"/>
  <c r="AI59" i="5"/>
  <c r="AJ59" i="5" s="1"/>
  <c r="L101" i="1"/>
  <c r="M101" i="1" s="1"/>
  <c r="M87" i="1"/>
  <c r="L107" i="1"/>
  <c r="O107" i="1"/>
  <c r="N137" i="1"/>
  <c r="O137" i="2"/>
  <c r="N147" i="2"/>
  <c r="O147" i="2" s="1"/>
  <c r="Z107" i="3"/>
  <c r="AA87" i="3"/>
  <c r="Z101" i="3"/>
  <c r="AA101" i="3" s="1"/>
  <c r="L107" i="3"/>
  <c r="M87" i="3"/>
  <c r="L101" i="3"/>
  <c r="M101" i="3" s="1"/>
  <c r="F107" i="5"/>
  <c r="F101" i="5"/>
  <c r="G101" i="5" s="1"/>
  <c r="G87" i="5"/>
  <c r="Z147" i="2"/>
  <c r="AA147" i="2" s="1"/>
  <c r="AA137" i="2"/>
  <c r="I87" i="1"/>
  <c r="H101" i="1"/>
  <c r="I101" i="1" s="1"/>
  <c r="H107" i="1"/>
  <c r="AK59" i="5"/>
  <c r="AL59" i="5" s="1"/>
  <c r="S101" i="4"/>
  <c r="AG87" i="5"/>
  <c r="AH87" i="5" s="1"/>
  <c r="J107" i="5"/>
  <c r="K87" i="5"/>
  <c r="J101" i="5"/>
  <c r="Z107" i="1"/>
  <c r="AA87" i="1"/>
  <c r="Z101" i="1"/>
  <c r="AA101" i="1" s="1"/>
  <c r="V137" i="4" l="1"/>
  <c r="W107" i="4"/>
  <c r="G107" i="2"/>
  <c r="F137" i="2"/>
  <c r="M107" i="3"/>
  <c r="L137" i="3"/>
  <c r="X137" i="4"/>
  <c r="Y107" i="4"/>
  <c r="AA137" i="4"/>
  <c r="Z147" i="4"/>
  <c r="AA147" i="4" s="1"/>
  <c r="H137" i="2"/>
  <c r="I107" i="2"/>
  <c r="AG101" i="3"/>
  <c r="AH101" i="3" s="1"/>
  <c r="Y101" i="3"/>
  <c r="AK101" i="3"/>
  <c r="AL101" i="3" s="1"/>
  <c r="AI101" i="3"/>
  <c r="AJ101" i="3" s="1"/>
  <c r="Y101" i="2"/>
  <c r="AK101" i="2"/>
  <c r="AL101" i="2" s="1"/>
  <c r="D147" i="3"/>
  <c r="E147" i="3" s="1"/>
  <c r="E137" i="3"/>
  <c r="K101" i="5"/>
  <c r="AG101" i="5"/>
  <c r="AH101" i="5" s="1"/>
  <c r="J137" i="5"/>
  <c r="K107" i="5"/>
  <c r="AG107" i="5"/>
  <c r="AH107" i="5" s="1"/>
  <c r="T137" i="3"/>
  <c r="U107" i="3"/>
  <c r="N137" i="5"/>
  <c r="O107" i="5"/>
  <c r="W107" i="2"/>
  <c r="V137" i="2"/>
  <c r="X137" i="5"/>
  <c r="Y107" i="5"/>
  <c r="AF107" i="5"/>
  <c r="AI107" i="5"/>
  <c r="AJ107" i="5" s="1"/>
  <c r="AK107" i="5"/>
  <c r="AL107" i="5" s="1"/>
  <c r="Z137" i="1"/>
  <c r="AA107" i="1"/>
  <c r="C107" i="2"/>
  <c r="B137" i="2"/>
  <c r="AF87" i="3"/>
  <c r="P147" i="2"/>
  <c r="Q147" i="2" s="1"/>
  <c r="Q137" i="2"/>
  <c r="AD87" i="3"/>
  <c r="AE87" i="3" s="1"/>
  <c r="Q107" i="3"/>
  <c r="P137" i="3"/>
  <c r="AB107" i="4"/>
  <c r="AC107" i="4" s="1"/>
  <c r="J137" i="2"/>
  <c r="K107" i="2"/>
  <c r="AG107" i="2"/>
  <c r="AH107" i="2" s="1"/>
  <c r="V147" i="3"/>
  <c r="W147" i="3" s="1"/>
  <c r="W137" i="3"/>
  <c r="E137" i="2"/>
  <c r="D147" i="2"/>
  <c r="E147" i="2" s="1"/>
  <c r="AI87" i="5"/>
  <c r="AJ87" i="5" s="1"/>
  <c r="AA137" i="5"/>
  <c r="Z147" i="5"/>
  <c r="AA147" i="5" s="1"/>
  <c r="U137" i="2"/>
  <c r="T147" i="2"/>
  <c r="U147" i="2" s="1"/>
  <c r="AF101" i="1"/>
  <c r="AG107" i="3"/>
  <c r="AH107" i="3" s="1"/>
  <c r="Y101" i="5"/>
  <c r="AF101" i="5"/>
  <c r="AI101" i="5"/>
  <c r="AJ101" i="5" s="1"/>
  <c r="AK101" i="5"/>
  <c r="AL101" i="5" s="1"/>
  <c r="S137" i="1"/>
  <c r="R147" i="1"/>
  <c r="AB137" i="1"/>
  <c r="AC137" i="1" s="1"/>
  <c r="O107" i="4"/>
  <c r="N137" i="4"/>
  <c r="D147" i="1"/>
  <c r="E147" i="1" s="1"/>
  <c r="E137" i="1"/>
  <c r="AD87" i="5"/>
  <c r="AE87" i="5" s="1"/>
  <c r="AG101" i="2"/>
  <c r="AH101" i="2" s="1"/>
  <c r="K101" i="2"/>
  <c r="L137" i="1"/>
  <c r="M107" i="1"/>
  <c r="AD137" i="1"/>
  <c r="AE137" i="1" s="1"/>
  <c r="X147" i="1"/>
  <c r="Y137" i="1"/>
  <c r="AB107" i="5"/>
  <c r="AC107" i="5" s="1"/>
  <c r="R137" i="5"/>
  <c r="S107" i="5"/>
  <c r="AD101" i="1"/>
  <c r="AE101" i="1" s="1"/>
  <c r="AF87" i="5"/>
  <c r="Y107" i="2"/>
  <c r="X137" i="2"/>
  <c r="Z137" i="3"/>
  <c r="AA107" i="3"/>
  <c r="H137" i="1"/>
  <c r="I107" i="1"/>
  <c r="L137" i="2"/>
  <c r="M107" i="2"/>
  <c r="E137" i="5"/>
  <c r="D147" i="5"/>
  <c r="E147" i="5" s="1"/>
  <c r="B137" i="4"/>
  <c r="C107" i="4"/>
  <c r="Y107" i="3"/>
  <c r="AK107" i="3"/>
  <c r="AL107" i="3" s="1"/>
  <c r="AI107" i="3"/>
  <c r="AJ107" i="3" s="1"/>
  <c r="AD107" i="3"/>
  <c r="AE107" i="3" s="1"/>
  <c r="X137" i="3"/>
  <c r="AF107" i="3"/>
  <c r="H137" i="3"/>
  <c r="I107" i="3"/>
  <c r="R147" i="4"/>
  <c r="S137" i="4"/>
  <c r="C107" i="5"/>
  <c r="B137" i="5"/>
  <c r="K137" i="3"/>
  <c r="J147" i="3"/>
  <c r="K101" i="1"/>
  <c r="AG101" i="1"/>
  <c r="AG101" i="4"/>
  <c r="AH101" i="4" s="1"/>
  <c r="K101" i="4"/>
  <c r="AB101" i="5"/>
  <c r="AC101" i="5" s="1"/>
  <c r="S101" i="5"/>
  <c r="AB101" i="3"/>
  <c r="AC101" i="3" s="1"/>
  <c r="S101" i="3"/>
  <c r="AI87" i="2"/>
  <c r="AJ87" i="2" s="1"/>
  <c r="AB107" i="2"/>
  <c r="AC107" i="2" s="1"/>
  <c r="S107" i="2"/>
  <c r="R137" i="2"/>
  <c r="AF101" i="4"/>
  <c r="Y101" i="4"/>
  <c r="AD101" i="4"/>
  <c r="AE101" i="4" s="1"/>
  <c r="C107" i="3"/>
  <c r="B137" i="3"/>
  <c r="N147" i="1"/>
  <c r="O147" i="1" s="1"/>
  <c r="O137" i="1"/>
  <c r="K107" i="1"/>
  <c r="J137" i="1"/>
  <c r="AG107" i="1"/>
  <c r="AH87" i="1"/>
  <c r="AI87" i="1"/>
  <c r="AJ87" i="1" s="1"/>
  <c r="AK87" i="1"/>
  <c r="AL87" i="1" s="1"/>
  <c r="T137" i="4"/>
  <c r="U107" i="4"/>
  <c r="F137" i="1"/>
  <c r="G107" i="1"/>
  <c r="P137" i="5"/>
  <c r="Q107" i="5"/>
  <c r="D137" i="4"/>
  <c r="E107" i="4"/>
  <c r="T147" i="5"/>
  <c r="U147" i="5" s="1"/>
  <c r="U137" i="5"/>
  <c r="AK87" i="2"/>
  <c r="AL87" i="2" s="1"/>
  <c r="P137" i="4"/>
  <c r="Q107" i="4"/>
  <c r="J137" i="4"/>
  <c r="K107" i="4"/>
  <c r="AG107" i="4"/>
  <c r="AH107" i="4" s="1"/>
  <c r="G107" i="5"/>
  <c r="F137" i="5"/>
  <c r="C137" i="1"/>
  <c r="B147" i="1"/>
  <c r="C147" i="1" s="1"/>
  <c r="AB107" i="3"/>
  <c r="AC107" i="3" s="1"/>
  <c r="R137" i="3"/>
  <c r="S107" i="3"/>
  <c r="F137" i="3"/>
  <c r="G107" i="3"/>
  <c r="AD87" i="2"/>
  <c r="AE87" i="2" s="1"/>
  <c r="V147" i="1"/>
  <c r="W147" i="1" s="1"/>
  <c r="W137" i="1"/>
  <c r="S101" i="2"/>
  <c r="AB101" i="2"/>
  <c r="AC101" i="2" s="1"/>
  <c r="G137" i="5" l="1"/>
  <c r="F147" i="5"/>
  <c r="G147" i="5" s="1"/>
  <c r="B147" i="5"/>
  <c r="C147" i="5" s="1"/>
  <c r="C137" i="5"/>
  <c r="R147" i="5"/>
  <c r="S137" i="5"/>
  <c r="AB137" i="5"/>
  <c r="AC137" i="5" s="1"/>
  <c r="K137" i="5"/>
  <c r="J147" i="5"/>
  <c r="AG137" i="5"/>
  <c r="AH137" i="5" s="1"/>
  <c r="T147" i="4"/>
  <c r="U147" i="4" s="1"/>
  <c r="U137" i="4"/>
  <c r="S137" i="2"/>
  <c r="R147" i="2"/>
  <c r="AB137" i="2"/>
  <c r="AC137" i="2" s="1"/>
  <c r="AA137" i="1"/>
  <c r="Z147" i="1"/>
  <c r="AA147" i="1" s="1"/>
  <c r="I137" i="2"/>
  <c r="H147" i="2"/>
  <c r="I147" i="2" s="1"/>
  <c r="M137" i="2"/>
  <c r="L147" i="2"/>
  <c r="M147" i="2" s="1"/>
  <c r="S147" i="1"/>
  <c r="AB147" i="1"/>
  <c r="AC147" i="1" s="1"/>
  <c r="AD107" i="5"/>
  <c r="AE107" i="5" s="1"/>
  <c r="S147" i="4"/>
  <c r="AD101" i="2"/>
  <c r="AE101" i="2" s="1"/>
  <c r="AI137" i="4"/>
  <c r="AJ137" i="4" s="1"/>
  <c r="AF137" i="4"/>
  <c r="AK137" i="4"/>
  <c r="AL137" i="4" s="1"/>
  <c r="AD137" i="4"/>
  <c r="AE137" i="4" s="1"/>
  <c r="X147" i="4"/>
  <c r="Y137" i="4"/>
  <c r="K137" i="4"/>
  <c r="AG137" i="4"/>
  <c r="AH137" i="4" s="1"/>
  <c r="J147" i="4"/>
  <c r="AF147" i="1"/>
  <c r="Y147" i="1"/>
  <c r="Q137" i="4"/>
  <c r="P147" i="4"/>
  <c r="Q147" i="4" s="1"/>
  <c r="AA137" i="3"/>
  <c r="Z147" i="3"/>
  <c r="AA147" i="3" s="1"/>
  <c r="AF137" i="1"/>
  <c r="K137" i="2"/>
  <c r="AG137" i="2"/>
  <c r="AH137" i="2" s="1"/>
  <c r="J147" i="2"/>
  <c r="AI101" i="2"/>
  <c r="AJ101" i="2" s="1"/>
  <c r="AI107" i="4"/>
  <c r="AJ107" i="4" s="1"/>
  <c r="AB137" i="4"/>
  <c r="AC137" i="4" s="1"/>
  <c r="H147" i="1"/>
  <c r="I147" i="1" s="1"/>
  <c r="I137" i="1"/>
  <c r="AG137" i="1"/>
  <c r="K137" i="1"/>
  <c r="J147" i="1"/>
  <c r="Y137" i="5"/>
  <c r="X147" i="5"/>
  <c r="AD137" i="5"/>
  <c r="AE137" i="5" s="1"/>
  <c r="AF137" i="5"/>
  <c r="AK137" i="5"/>
  <c r="AL137" i="5" s="1"/>
  <c r="AI137" i="5"/>
  <c r="AJ137" i="5" s="1"/>
  <c r="AK107" i="4"/>
  <c r="AL107" i="4" s="1"/>
  <c r="Y137" i="3"/>
  <c r="X147" i="3"/>
  <c r="AF107" i="2"/>
  <c r="AD101" i="5"/>
  <c r="AE101" i="5" s="1"/>
  <c r="Q137" i="3"/>
  <c r="P147" i="3"/>
  <c r="Q147" i="3" s="1"/>
  <c r="V147" i="2"/>
  <c r="W147" i="2" s="1"/>
  <c r="W137" i="2"/>
  <c r="AF101" i="2"/>
  <c r="AD107" i="4"/>
  <c r="AE107" i="4" s="1"/>
  <c r="AD107" i="2"/>
  <c r="AE107" i="2" s="1"/>
  <c r="M137" i="1"/>
  <c r="L147" i="1"/>
  <c r="M147" i="1" s="1"/>
  <c r="AF107" i="4"/>
  <c r="L147" i="3"/>
  <c r="M147" i="3" s="1"/>
  <c r="M137" i="3"/>
  <c r="G137" i="3"/>
  <c r="F147" i="3"/>
  <c r="G147" i="3" s="1"/>
  <c r="AI107" i="2"/>
  <c r="AJ107" i="2" s="1"/>
  <c r="AD137" i="2"/>
  <c r="AE137" i="2" s="1"/>
  <c r="Y137" i="2"/>
  <c r="X147" i="2"/>
  <c r="B147" i="3"/>
  <c r="C147" i="3" s="1"/>
  <c r="C137" i="3"/>
  <c r="E137" i="4"/>
  <c r="D147" i="4"/>
  <c r="E147" i="4" s="1"/>
  <c r="AH101" i="1"/>
  <c r="AK101" i="1"/>
  <c r="AL101" i="1" s="1"/>
  <c r="AI101" i="1"/>
  <c r="AJ101" i="1" s="1"/>
  <c r="N147" i="5"/>
  <c r="O147" i="5" s="1"/>
  <c r="O137" i="5"/>
  <c r="AK107" i="2"/>
  <c r="AL107" i="2" s="1"/>
  <c r="F147" i="2"/>
  <c r="G147" i="2" s="1"/>
  <c r="G137" i="2"/>
  <c r="P147" i="5"/>
  <c r="Q147" i="5" s="1"/>
  <c r="Q137" i="5"/>
  <c r="AG137" i="3"/>
  <c r="AH137" i="3" s="1"/>
  <c r="U137" i="3"/>
  <c r="T147" i="3"/>
  <c r="U147" i="3" s="1"/>
  <c r="AF101" i="3"/>
  <c r="AH107" i="1"/>
  <c r="AK107" i="1"/>
  <c r="AL107" i="1" s="1"/>
  <c r="AI107" i="1"/>
  <c r="AJ107" i="1" s="1"/>
  <c r="I137" i="3"/>
  <c r="H147" i="3"/>
  <c r="I147" i="3" s="1"/>
  <c r="K147" i="3"/>
  <c r="C137" i="2"/>
  <c r="B147" i="2"/>
  <c r="C147" i="2" s="1"/>
  <c r="AD101" i="3"/>
  <c r="AE101" i="3" s="1"/>
  <c r="S137" i="3"/>
  <c r="AB137" i="3"/>
  <c r="AC137" i="3" s="1"/>
  <c r="R147" i="3"/>
  <c r="AI101" i="4"/>
  <c r="AJ101" i="4" s="1"/>
  <c r="B147" i="4"/>
  <c r="C147" i="4" s="1"/>
  <c r="C137" i="4"/>
  <c r="G137" i="1"/>
  <c r="F147" i="1"/>
  <c r="G147" i="1" s="1"/>
  <c r="AK101" i="4"/>
  <c r="AL101" i="4" s="1"/>
  <c r="N147" i="4"/>
  <c r="O147" i="4" s="1"/>
  <c r="O137" i="4"/>
  <c r="W137" i="4"/>
  <c r="V147" i="4"/>
  <c r="W147" i="4" s="1"/>
  <c r="S147" i="2" l="1"/>
  <c r="AB147" i="2"/>
  <c r="AC147" i="2" s="1"/>
  <c r="Y147" i="5"/>
  <c r="AG147" i="1"/>
  <c r="K147" i="1"/>
  <c r="AB147" i="3"/>
  <c r="AC147" i="3" s="1"/>
  <c r="S147" i="3"/>
  <c r="AB147" i="4"/>
  <c r="AC147" i="4" s="1"/>
  <c r="AK137" i="2"/>
  <c r="AL137" i="2" s="1"/>
  <c r="AD147" i="1"/>
  <c r="AE147" i="1" s="1"/>
  <c r="AH137" i="1"/>
  <c r="AI137" i="1"/>
  <c r="AJ137" i="1" s="1"/>
  <c r="AK137" i="1"/>
  <c r="AL137" i="1" s="1"/>
  <c r="Y147" i="4"/>
  <c r="AI137" i="2"/>
  <c r="AJ137" i="2" s="1"/>
  <c r="K147" i="5"/>
  <c r="AG147" i="5"/>
  <c r="AH147" i="5" s="1"/>
  <c r="AF137" i="3"/>
  <c r="AB147" i="5"/>
  <c r="AC147" i="5" s="1"/>
  <c r="S147" i="5"/>
  <c r="Y147" i="3"/>
  <c r="AK147" i="3"/>
  <c r="AL147" i="3" s="1"/>
  <c r="AF147" i="3"/>
  <c r="AD147" i="3"/>
  <c r="AE147" i="3" s="1"/>
  <c r="AF137" i="2"/>
  <c r="AK137" i="3"/>
  <c r="AL137" i="3" s="1"/>
  <c r="Y147" i="2"/>
  <c r="AF147" i="2"/>
  <c r="AD147" i="2"/>
  <c r="AE147" i="2" s="1"/>
  <c r="AG147" i="3"/>
  <c r="AH147" i="3" s="1"/>
  <c r="AD137" i="3"/>
  <c r="AE137" i="3" s="1"/>
  <c r="AI137" i="3"/>
  <c r="AJ137" i="3" s="1"/>
  <c r="AG147" i="4"/>
  <c r="AH147" i="4" s="1"/>
  <c r="K147" i="4"/>
  <c r="K147" i="2"/>
  <c r="AG147" i="2"/>
  <c r="AH147" i="2" s="1"/>
  <c r="AH147" i="1" l="1"/>
  <c r="AI147" i="1"/>
  <c r="AJ147" i="1" s="1"/>
  <c r="AK147" i="1"/>
  <c r="AL147" i="1" s="1"/>
  <c r="AD147" i="5"/>
  <c r="AE147" i="5" s="1"/>
  <c r="AI147" i="4"/>
  <c r="AJ147" i="4" s="1"/>
  <c r="AK147" i="2"/>
  <c r="AL147" i="2" s="1"/>
  <c r="AI147" i="2"/>
  <c r="AJ147" i="2" s="1"/>
  <c r="AK147" i="5"/>
  <c r="AL147" i="5" s="1"/>
  <c r="AK147" i="4"/>
  <c r="AL147" i="4" s="1"/>
  <c r="AI147" i="5"/>
  <c r="AJ147" i="5" s="1"/>
  <c r="AF147" i="5"/>
  <c r="AF147" i="4"/>
  <c r="AD147" i="4"/>
  <c r="AE147" i="4" s="1"/>
  <c r="AI147" i="3"/>
  <c r="AJ147" i="3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<sst xmlns="http://schemas.openxmlformats.org/spreadsheetml/2006/main" count="1743" uniqueCount="251">
  <si>
    <t>Prime Margin - Trailing 12 Week</t>
  </si>
  <si>
    <t>07/19/2026</t>
  </si>
  <si>
    <t>Consolidated</t>
  </si>
  <si>
    <t/>
  </si>
  <si>
    <t>Week Ending 05/03/2026</t>
  </si>
  <si>
    <t>Week Ending 05/10/2026</t>
  </si>
  <si>
    <t>Week Ending 05/17/2026</t>
  </si>
  <si>
    <t>Week Ending 05/24/2026</t>
  </si>
  <si>
    <t>Week Ending 05/31/2026</t>
  </si>
  <si>
    <t>Week Ending 06/07/2026</t>
  </si>
  <si>
    <t>Week Ending 06/14/2026</t>
  </si>
  <si>
    <t>Week Ending 06/21/2026</t>
  </si>
  <si>
    <t>Week Ending 06/28/2026</t>
  </si>
  <si>
    <t>Week Ending 07/05/2026</t>
  </si>
  <si>
    <t>Week Ending 07/12/2026</t>
  </si>
  <si>
    <t>Week Ending 07/19/2026</t>
  </si>
  <si>
    <t>Period to Date</t>
  </si>
  <si>
    <t>Trailing 4 Week</t>
  </si>
  <si>
    <t>$ vs. 4 Week</t>
  </si>
  <si>
    <t>% vs. 4 Week</t>
  </si>
  <si>
    <t>Trailing 8 Week</t>
  </si>
  <si>
    <t>$ vs. 8 Week</t>
  </si>
  <si>
    <t>% vs. 8 Week</t>
  </si>
  <si>
    <t>Sales</t>
  </si>
  <si>
    <t>49600 - Toast Order Processing Fee Pass-Through</t>
  </si>
  <si>
    <t>Total Sales</t>
  </si>
  <si>
    <t>Cost of Goods Sold</t>
  </si>
  <si>
    <t>Food &amp; Beverage Costs</t>
  </si>
  <si>
    <t>50000 - Food &amp; Beverage Costs</t>
  </si>
  <si>
    <t>Food Costs</t>
  </si>
  <si>
    <t>50100 - Food Costs</t>
  </si>
  <si>
    <t>50110 - COGS - Produce</t>
  </si>
  <si>
    <t>50120 - COGS - Grocery Dry &amp; Canned</t>
  </si>
  <si>
    <t>50130 - COGS - Poultry</t>
  </si>
  <si>
    <t>50140 - COGS - Dairy</t>
  </si>
  <si>
    <t>50150 - COGS - Frozen</t>
  </si>
  <si>
    <t>50160 - COGS - Meat</t>
  </si>
  <si>
    <t>50170 - COGS - Seafood</t>
  </si>
  <si>
    <t>50180 - COGS - Spices</t>
  </si>
  <si>
    <t>50190 - COGS - Prepped Food</t>
  </si>
  <si>
    <t>50191 - COGS - Wow Bao</t>
  </si>
  <si>
    <t>50195 - COGS - Distribution</t>
  </si>
  <si>
    <t>Total Food Costs</t>
  </si>
  <si>
    <t>Beverage Costs</t>
  </si>
  <si>
    <t>50101 - Beverage Costs</t>
  </si>
  <si>
    <t>50200 - COGS - N/A Beverage</t>
  </si>
  <si>
    <t>50300 - COGS - Beer</t>
  </si>
  <si>
    <t>50400 - COGS - Liquor</t>
  </si>
  <si>
    <t>50500 - COGS - Wine</t>
  </si>
  <si>
    <t>Total Beverage Costs</t>
  </si>
  <si>
    <t>Total Food &amp; Beverage Costs</t>
  </si>
  <si>
    <t>Other Costs</t>
  </si>
  <si>
    <t>50550 - Other Costs</t>
  </si>
  <si>
    <t>Paper Costs</t>
  </si>
  <si>
    <t>50600 - Paper Costs</t>
  </si>
  <si>
    <t>50610 - COGS - Paper Supplies</t>
  </si>
  <si>
    <t>50620 - COGS - Catering Supplies</t>
  </si>
  <si>
    <t>50630 - COGS - Event Supplies</t>
  </si>
  <si>
    <t>50640 - COGS - Wow Bao Supplies</t>
  </si>
  <si>
    <t>Total Paper Costs</t>
  </si>
  <si>
    <t>Waste Costs</t>
  </si>
  <si>
    <t>50700 - Waste Costs</t>
  </si>
  <si>
    <t>50710 - Waste - Food</t>
  </si>
  <si>
    <t>50720 - Waste - N/A Beverage</t>
  </si>
  <si>
    <t>50730 - Waste - Beer</t>
  </si>
  <si>
    <t>50740 - Waste - Liquor</t>
  </si>
  <si>
    <t>50750 - Waste - Wine</t>
  </si>
  <si>
    <t>Total Waste Costs</t>
  </si>
  <si>
    <t>50800 - COGS - Freight, Delivery, &amp; Sales Tax</t>
  </si>
  <si>
    <t>50850 - COGS - Fuel Surcharge</t>
  </si>
  <si>
    <t>50900 - COGS - Credit for Discounts</t>
  </si>
  <si>
    <t>Total Other Costs</t>
  </si>
  <si>
    <t>Total Cost of Goods Sold</t>
  </si>
  <si>
    <t>Gross Profit</t>
  </si>
  <si>
    <t>Payroll Expenses</t>
  </si>
  <si>
    <t>61000 - Payroll Expenses</t>
  </si>
  <si>
    <t>Salaries &amp; Wages</t>
  </si>
  <si>
    <t>61100 - Salaries &amp; Wages</t>
  </si>
  <si>
    <t>61110 - Management</t>
  </si>
  <si>
    <t>61120 - Culinary</t>
  </si>
  <si>
    <t>61150 - Hourly</t>
  </si>
  <si>
    <t>61200 - Overtime</t>
  </si>
  <si>
    <t>Total Salaries &amp; Wages</t>
  </si>
  <si>
    <t>61105 - Salaries &amp; Wages Adjustment</t>
  </si>
  <si>
    <t>61250 - Bonus</t>
  </si>
  <si>
    <t>Payroll Taxes</t>
  </si>
  <si>
    <t>61300 - Payroll Taxes</t>
  </si>
  <si>
    <t>61310 - FICA Tax Expense</t>
  </si>
  <si>
    <t>61330 - FUTA Tax Expense</t>
  </si>
  <si>
    <t>61335 - SUTA Tax Expense (VA)</t>
  </si>
  <si>
    <t>61340 - SUTA Tax Expense (DC)</t>
  </si>
  <si>
    <t>61360 - FL Tax Expense (DC)</t>
  </si>
  <si>
    <t>61395 - Other Payroll Taxes</t>
  </si>
  <si>
    <t>Total Payroll Taxes</t>
  </si>
  <si>
    <t>61400 - Payroll Processing Fee</t>
  </si>
  <si>
    <t>61500 - Health Insurance</t>
  </si>
  <si>
    <t>Total Payroll Expenses</t>
  </si>
  <si>
    <t>Prime Profit</t>
  </si>
  <si>
    <t>Operating Expense</t>
  </si>
  <si>
    <t>Supplies</t>
  </si>
  <si>
    <t>Marketing</t>
  </si>
  <si>
    <t>Delivery Fees</t>
  </si>
  <si>
    <t>Third-Party Fees</t>
  </si>
  <si>
    <t>Credit Card Fees</t>
  </si>
  <si>
    <t>Insurance</t>
  </si>
  <si>
    <t>Professional Fees</t>
  </si>
  <si>
    <t>Repairs &amp; Maintenance</t>
  </si>
  <si>
    <t>Other Expenses</t>
  </si>
  <si>
    <t>Total Operating Expense</t>
  </si>
  <si>
    <t>Store Level EBITDAR</t>
  </si>
  <si>
    <t>Non Controllable Expense</t>
  </si>
  <si>
    <t>Occupancy Cost</t>
  </si>
  <si>
    <t>Total Non Controllable Expense</t>
  </si>
  <si>
    <t>Store Level EBITDA</t>
  </si>
  <si>
    <t>Corporate Overhead &amp; Other</t>
  </si>
  <si>
    <t>70000 - Corporate G&amp;A Expenses</t>
  </si>
  <si>
    <t>Corp - Payroll Expenses</t>
  </si>
  <si>
    <t>Corp - Meals, Entertainment, &amp; Travel</t>
  </si>
  <si>
    <t>73000 - Corp - Other G&amp;A Expenses</t>
  </si>
  <si>
    <t>73100 - Corp - Dues &amp; Subscriptions</t>
  </si>
  <si>
    <t>73200 - Corp - Office Supplies</t>
  </si>
  <si>
    <t>73300 - Corp - Other Taxes</t>
  </si>
  <si>
    <t>73400 - Corp - Rent Expense</t>
  </si>
  <si>
    <t>73500 - Corp - Insurance Expense</t>
  </si>
  <si>
    <t>73600 - Corp - Charitable Contributions</t>
  </si>
  <si>
    <t>73650 - Corp - Other Employee Incentives</t>
  </si>
  <si>
    <t>74000 - Corp - Professional Fees</t>
  </si>
  <si>
    <t>74050 - Corp - IT &amp; Technology</t>
  </si>
  <si>
    <t>74060 - Corp - R&amp;D</t>
  </si>
  <si>
    <t>74100 - Corp - Accounting Fees</t>
  </si>
  <si>
    <t>74200 - Corp - Legal Fees</t>
  </si>
  <si>
    <t>74300 - Corp - Recruiting Fees</t>
  </si>
  <si>
    <t>74400 - Corp - Public Relations</t>
  </si>
  <si>
    <t>Corp - Marketing</t>
  </si>
  <si>
    <t>74600 - Corp - Other Professional Fees</t>
  </si>
  <si>
    <t>74700 - Corp - Bank Fees</t>
  </si>
  <si>
    <t>74800 - Corp - Licenses &amp; Permits</t>
  </si>
  <si>
    <t>81000 - Corp - Management Fee</t>
  </si>
  <si>
    <t>81500 - Corp - Investor Advisory Fees</t>
  </si>
  <si>
    <t>82100 - Corp - Realty Tax</t>
  </si>
  <si>
    <t>Total Corporate Overhead &amp; Other</t>
  </si>
  <si>
    <t>EBITDA</t>
  </si>
  <si>
    <t>Other Income &amp; Expense</t>
  </si>
  <si>
    <t>Other (Income)/Expense</t>
  </si>
  <si>
    <t>Total Other Income &amp; Expense</t>
  </si>
  <si>
    <t>Pre-Opening Costs</t>
  </si>
  <si>
    <t>Pre-Opening Expenses</t>
  </si>
  <si>
    <t>Total Pre-Opening Costs</t>
  </si>
  <si>
    <t>Net Income</t>
  </si>
  <si>
    <t>Powered by Restaurant365</t>
  </si>
  <si>
    <t>1</t>
  </si>
  <si>
    <t>07/24/2026 08:03 AM PDT</t>
  </si>
  <si>
    <t>4 - RASA - MVT</t>
  </si>
  <si>
    <t>5 - RASA - National Landing</t>
  </si>
  <si>
    <t>6 - RASA - Mosaic</t>
  </si>
  <si>
    <t>7 - RASA - Rockville</t>
  </si>
  <si>
    <t>Week 52</t>
  </si>
  <si>
    <t>Week 51</t>
  </si>
  <si>
    <t>Week 50</t>
  </si>
  <si>
    <t>Week 49</t>
  </si>
  <si>
    <t>Week 48</t>
  </si>
  <si>
    <t>Week 47</t>
  </si>
  <si>
    <t>Week 46</t>
  </si>
  <si>
    <t>Week 45</t>
  </si>
  <si>
    <t>Week 44</t>
  </si>
  <si>
    <t>Week 43</t>
  </si>
  <si>
    <t>Week 42</t>
  </si>
  <si>
    <t>Week 41</t>
  </si>
  <si>
    <t>Week 40</t>
  </si>
  <si>
    <t>Week 39</t>
  </si>
  <si>
    <t>Week 38</t>
  </si>
  <si>
    <t>Week 37</t>
  </si>
  <si>
    <t>Week 36</t>
  </si>
  <si>
    <t>Week 35</t>
  </si>
  <si>
    <t>Week 34</t>
  </si>
  <si>
    <t>Week 33</t>
  </si>
  <si>
    <t>Week 32</t>
  </si>
  <si>
    <t>Week 31</t>
  </si>
  <si>
    <t>Week 30</t>
  </si>
  <si>
    <t>Week 29</t>
  </si>
  <si>
    <t>Labor -</t>
  </si>
  <si>
    <t>Week 28</t>
  </si>
  <si>
    <t>COGS -</t>
  </si>
  <si>
    <t>Week 27</t>
  </si>
  <si>
    <t>RASA - Rockville</t>
  </si>
  <si>
    <t>Week 26</t>
  </si>
  <si>
    <t>Week 25</t>
  </si>
  <si>
    <t>Week 24</t>
  </si>
  <si>
    <t>Week 23</t>
  </si>
  <si>
    <t xml:space="preserve"> RASA - Mosaic</t>
  </si>
  <si>
    <t>Week 22</t>
  </si>
  <si>
    <t>Week 21</t>
  </si>
  <si>
    <t>Week 20</t>
  </si>
  <si>
    <t>Week 19</t>
  </si>
  <si>
    <t>RASA - National Landing</t>
  </si>
  <si>
    <t>Week 18</t>
  </si>
  <si>
    <t>Week 17</t>
  </si>
  <si>
    <t>Week 16</t>
  </si>
  <si>
    <t>Week 15</t>
  </si>
  <si>
    <t xml:space="preserve"> RASA - MVT</t>
  </si>
  <si>
    <t>Week 10</t>
  </si>
  <si>
    <t>Week 9</t>
  </si>
  <si>
    <t>Notes:</t>
  </si>
  <si>
    <t>Week 8</t>
  </si>
  <si>
    <t>Week 7</t>
  </si>
  <si>
    <t>Week 6</t>
  </si>
  <si>
    <t>All</t>
  </si>
  <si>
    <t>Week 5</t>
  </si>
  <si>
    <t>Week 4</t>
  </si>
  <si>
    <t>Week 3</t>
  </si>
  <si>
    <t>5 - RASA - National Landin</t>
  </si>
  <si>
    <t>Week 2</t>
  </si>
  <si>
    <t>Location</t>
  </si>
  <si>
    <t>Labor
 Current Week vs 8-week</t>
  </si>
  <si>
    <t>COGS
 Current Week vs 8-week</t>
  </si>
  <si>
    <t>Sales
 Current Week vs 8-week</t>
  </si>
  <si>
    <t>Prime Margin</t>
  </si>
  <si>
    <t>Total Labor Cost</t>
  </si>
  <si>
    <t>COGS</t>
  </si>
  <si>
    <t>Labor
 Current Week vs 4-week</t>
  </si>
  <si>
    <t>COGS
 Current Week vs 4-week</t>
  </si>
  <si>
    <t>Sales
 Current Week vs 4-week</t>
  </si>
  <si>
    <t>Labor</t>
  </si>
  <si>
    <t>8-Week Average Comparison</t>
  </si>
  <si>
    <t>8-Week Average</t>
  </si>
  <si>
    <t>4-Week Average Comparison</t>
  </si>
  <si>
    <t>4-Week Average</t>
  </si>
  <si>
    <t>Current Period</t>
  </si>
  <si>
    <t>Trailing 8 week</t>
  </si>
  <si>
    <t>Trailing 4 week</t>
  </si>
  <si>
    <t>Period To Date</t>
  </si>
  <si>
    <t>82605 - Other Income_To Good To Go</t>
  </si>
  <si>
    <t>82604 - Other Income_OTP</t>
  </si>
  <si>
    <t>82602 - Other Income_WCK</t>
  </si>
  <si>
    <t>Discounts / Refunds</t>
  </si>
  <si>
    <t>45000 - Sales Adjustments</t>
  </si>
  <si>
    <t>Delivery Fee Income</t>
  </si>
  <si>
    <t>43000 - Delivery Sales - Rasa Website</t>
  </si>
  <si>
    <t>Catering Sales</t>
  </si>
  <si>
    <t>Digital Sales</t>
  </si>
  <si>
    <t>Single Plate In-House Sales</t>
  </si>
  <si>
    <t>Total</t>
  </si>
  <si>
    <t>6 - Rasa - Mosaic</t>
  </si>
  <si>
    <t>5 - Rasa - National Landin</t>
  </si>
  <si>
    <t>4 - Rasa - MVT</t>
  </si>
  <si>
    <t>06/04/2023</t>
  </si>
  <si>
    <t>No notes</t>
  </si>
  <si>
    <t>Sales spike</t>
  </si>
  <si>
    <t>Staff insurance hit this week</t>
  </si>
  <si>
    <t xml:space="preserve">Poultry - 1.8% vs 3.9% 4-8 week comp.  May want to review count below.  </t>
  </si>
  <si>
    <t xml:space="preserve">Marginal change in sales vs 4 week comp but total labor $s are up 10.5%.  Stems from hourly labor.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</si>
</sst>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#,##0.0%"/>
    <numFmt numFmtId="165" formatCode="#,##0.0%;\(#,##0.0%\)"/>
    <numFmt numFmtId="166" formatCode="#,##0.0;\(#,##0.0\)"/>
    <numFmt numFmtId="167" formatCode="0.0%"/>
    <numFmt numFmtId="168" formatCode="_(&quot;$&quot;* #,##0_);_(&quot;$&quot;* \(#,##0\);_(&quot;$&quot;* &quot;-&quot;??_);_(@_)"/>
    <numFmt numFmtId="169" formatCode="#,##0.0"/>
    <numFmt numFmtId="170" formatCode="_(* #,##0_);_(* \(#,##0\);_(* &quot;-&quot;??_);_(@_)"/>
  </numFmts>
  <fonts count="40" x14ac:knownFonts="1">
    <font>
      <sz val="11"/>
      <color theme="1"/>
      <name val="Calibri"/>
      <family val="2"/>
      <scheme val="minor"/>
    </font>
    <font>
      <b/>
      <sz val="26"/>
      <color rgb="FF000000"/>
      <name val="Calibri"/>
      <scheme val="minor"/>
    </font>
    <font>
      <sz val="18"/>
      <color rgb="FF000000"/>
      <name val="Calibri"/>
      <scheme val="minor"/>
    </font>
    <font>
      <sz val="12"/>
      <color rgb="FF000000"/>
      <name val="Calibri"/>
      <scheme val="minor"/>
    </font>
    <font>
      <sz val="12"/>
      <name val="Calibri"/>
      <scheme val="minor"/>
    </font>
    <font>
      <b/>
      <sz val="10"/>
      <name val="Calibri"/>
      <scheme val="minor"/>
    </font>
    <font>
      <b/>
      <sz val="10"/>
      <color rgb="FF4A90E2"/>
      <name val="Calibri"/>
      <scheme val="minor"/>
    </font>
    <font>
      <b/>
      <sz val="12"/>
      <name val="Calibri"/>
      <scheme val="minor"/>
    </font>
    <font>
      <b/>
      <i/>
      <sz val="8"/>
      <name val="Calibri"/>
      <scheme val="minor"/>
    </font>
    <font>
      <b/>
      <sz val="12"/>
      <color rgb="FF4A90E2"/>
      <name val="Calibri"/>
      <scheme val="minor"/>
    </font>
    <font>
      <b/>
      <i/>
      <sz val="8"/>
      <color rgb="FFFFFFFF"/>
      <name val="Calibri"/>
      <scheme val="minor"/>
    </font>
    <font>
      <i/>
      <sz val="8"/>
      <name val="Calibri"/>
      <scheme val="minor"/>
    </font>
    <font>
      <sz val="12"/>
      <color rgb="FF4A90E2"/>
      <name val="Calibri"/>
      <scheme val="minor"/>
    </font>
    <font>
      <i/>
      <sz val="8"/>
      <color rgb="FFFFFFFF"/>
      <name val="Calibri"/>
      <scheme val="minor"/>
    </font>
    <font>
      <sz val="7"/>
      <color rgb="FF000000"/>
      <name val="Calibri"/>
      <scheme val="minor"/>
    </font>
    <font>
      <i/>
      <sz val="8"/>
      <color rgb="FF000000"/>
      <name val="Calibri"/>
      <scheme val="minor"/>
    </font>
    <font>
      <sz val="7"/>
      <color rgb="FF4A90E2"/>
      <name val="Calibri"/>
      <scheme val="minor"/>
    </font>
    <font>
      <b/>
      <sz val="12"/>
      <color rgb="FF000000"/>
      <name val="Calibri"/>
      <scheme val="minor"/>
    </font>
    <font>
      <b/>
      <i/>
      <sz val="8"/>
      <color rgb="FF000000"/>
      <name val="Calibri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i/>
      <sz val="10"/>
      <color rgb="FF0070C0"/>
      <name val="Arial"/>
      <family val="2"/>
    </font>
    <font>
      <b/>
      <i/>
      <sz val="10"/>
      <color theme="1"/>
      <name val="Arial"/>
      <family val="2"/>
    </font>
    <font>
      <b/>
      <i/>
      <u/>
      <sz val="12"/>
      <color theme="1"/>
      <name val="Arial"/>
      <family val="2"/>
    </font>
    <font>
      <b/>
      <sz val="12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0"/>
      <name val="Calibri"/>
      <family val="2"/>
      <scheme val="minor"/>
    </font>
    <font>
      <sz val="12"/>
      <name val="Calibri"/>
      <family val="2"/>
      <scheme val="minor"/>
    </font>
    <font>
      <i/>
      <sz val="8"/>
      <color rgb="FF000000"/>
      <name val="Calibri"/>
      <family val="2"/>
      <scheme val="minor"/>
    </font>
    <font>
      <b/>
      <i/>
      <sz val="8"/>
      <color rgb="FF000000"/>
      <name val="Calibri"/>
      <family val="2"/>
      <scheme val="minor"/>
    </font>
    <font>
      <b/>
      <i/>
      <sz val="8"/>
      <name val="Calibri"/>
      <family val="2"/>
      <scheme val="minor"/>
    </font>
    <font>
      <b/>
      <sz val="12"/>
      <name val="Calibri"/>
      <family val="2"/>
      <scheme val="minor"/>
    </font>
    <font>
      <i/>
      <sz val="8"/>
      <name val="Calibri"/>
      <family val="2"/>
      <scheme val="minor"/>
    </font>
    <font>
      <sz val="7"/>
      <color rgb="FF000000"/>
      <name val="Calibri"/>
      <family val="2"/>
      <scheme val="minor"/>
    </font>
    <font>
      <sz val="18"/>
      <color rgb="FF000000"/>
      <name val="Calibri"/>
      <family val="2"/>
      <scheme val="minor"/>
    </font>
    <font>
      <b/>
      <sz val="26"/>
      <color rgb="FF000000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92D050"/>
        <bgColor indexed="64"/>
      </patternFill>
    </fill>
  </fills>
  <borders count="21">
    <border>
      <left/>
      <right/>
      <top/>
      <bottom/>
      <diagonal/>
    </border>
    <border>
      <left/>
      <right/>
      <top style="thin">
        <color auto="1"/>
      </top>
      <bottom/>
      <diagonal/>
    </border>
    <border>
      <left style="dashed">
        <color auto="1"/>
      </left>
      <right style="medium">
        <color indexed="64"/>
      </right>
      <top style="dashed">
        <color auto="1"/>
      </top>
      <bottom style="medium">
        <color indexed="64"/>
      </bottom>
      <diagonal/>
    </border>
    <border>
      <left style="dashed">
        <color auto="1"/>
      </left>
      <right style="dashed">
        <color auto="1"/>
      </right>
      <top style="dashed">
        <color auto="1"/>
      </top>
      <bottom style="medium">
        <color indexed="64"/>
      </bottom>
      <diagonal/>
    </border>
    <border>
      <left style="medium">
        <color indexed="64"/>
      </left>
      <right style="dashed">
        <color auto="1"/>
      </right>
      <top style="dashed">
        <color auto="1"/>
      </top>
      <bottom style="medium">
        <color indexed="64"/>
      </bottom>
      <diagonal/>
    </border>
    <border>
      <left style="dashed">
        <color auto="1"/>
      </left>
      <right/>
      <top style="dashed">
        <color auto="1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dashed">
        <color auto="1"/>
      </top>
      <bottom style="medium">
        <color indexed="64"/>
      </bottom>
      <diagonal/>
    </border>
    <border>
      <left style="dashed">
        <color auto="1"/>
      </left>
      <right style="medium">
        <color indexed="64"/>
      </right>
      <top style="dashed">
        <color auto="1"/>
      </top>
      <bottom style="dashed">
        <color auto="1"/>
      </bottom>
      <diagonal/>
    </border>
    <border>
      <left style="dashed">
        <color auto="1"/>
      </left>
      <right style="dashed">
        <color auto="1"/>
      </right>
      <top style="dashed">
        <color auto="1"/>
      </top>
      <bottom style="dashed">
        <color auto="1"/>
      </bottom>
      <diagonal/>
    </border>
    <border>
      <left style="medium">
        <color auto="1"/>
      </left>
      <right style="dashed">
        <color auto="1"/>
      </right>
      <top style="dashed">
        <color auto="1"/>
      </top>
      <bottom style="dashed">
        <color auto="1"/>
      </bottom>
      <diagonal/>
    </border>
    <border>
      <left style="dashed">
        <color auto="1"/>
      </left>
      <right/>
      <top style="dashed">
        <color auto="1"/>
      </top>
      <bottom style="dashed">
        <color auto="1"/>
      </bottom>
      <diagonal/>
    </border>
    <border>
      <left style="medium">
        <color indexed="64"/>
      </left>
      <right style="medium">
        <color indexed="64"/>
      </right>
      <top style="dashed">
        <color auto="1"/>
      </top>
      <bottom style="dashed">
        <color auto="1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4">
    <xf numFmtId="0" fontId="0" fillId="0" borderId="0"/>
    <xf numFmtId="9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3" fontId="19" fillId="0" borderId="0" applyFont="0" applyFill="0" applyBorder="0" applyAlignment="0" applyProtection="0"/>
  </cellStyleXfs>
  <cellXfs count="157">
    <xf numFmtId="0" fontId="0" fillId="0" borderId="0" xfId="0"/>
    <xf numFmtId="0" fontId="7" fillId="0" borderId="0" xfId="0" applyFont="1" applyAlignment="1">
      <alignment horizontal="left" vertical="center" wrapText="1"/>
    </xf>
    <xf numFmtId="39" fontId="7" fillId="0" borderId="0" xfId="0" applyNumberFormat="1" applyFont="1" applyAlignment="1">
      <alignment vertical="center"/>
    </xf>
    <xf numFmtId="165" fontId="8" fillId="0" borderId="0" xfId="0" applyNumberFormat="1" applyFont="1" applyAlignment="1">
      <alignment vertical="center"/>
    </xf>
    <xf numFmtId="39" fontId="9" fillId="0" borderId="0" xfId="0" applyNumberFormat="1" applyFont="1" applyAlignment="1">
      <alignment vertical="center"/>
    </xf>
    <xf numFmtId="165" fontId="10" fillId="0" borderId="0" xfId="0" applyNumberFormat="1" applyFont="1" applyAlignment="1">
      <alignment vertical="center"/>
    </xf>
    <xf numFmtId="0" fontId="4" fillId="0" borderId="0" xfId="0" applyFont="1" applyAlignment="1">
      <alignment horizontal="left" vertical="center" wrapText="1" indent="1"/>
    </xf>
    <xf numFmtId="39" fontId="4" fillId="0" borderId="0" xfId="0" applyNumberFormat="1" applyFont="1" applyAlignment="1">
      <alignment vertical="center"/>
    </xf>
    <xf numFmtId="165" fontId="11" fillId="0" borderId="0" xfId="0" applyNumberFormat="1" applyFont="1" applyAlignment="1">
      <alignment horizontal="right" vertical="center"/>
    </xf>
    <xf numFmtId="39" fontId="4" fillId="0" borderId="0" xfId="0" applyNumberFormat="1" applyFont="1" applyAlignment="1">
      <alignment horizontal="right" vertical="center"/>
    </xf>
    <xf numFmtId="39" fontId="12" fillId="0" borderId="0" xfId="0" applyNumberFormat="1" applyFont="1" applyAlignment="1">
      <alignment horizontal="right" vertical="center"/>
    </xf>
    <xf numFmtId="165" fontId="13" fillId="0" borderId="0" xfId="0" applyNumberFormat="1" applyFont="1" applyAlignment="1">
      <alignment horizontal="right" vertical="center"/>
    </xf>
    <xf numFmtId="39" fontId="7" fillId="0" borderId="0" xfId="0" applyNumberFormat="1" applyFont="1" applyAlignment="1">
      <alignment horizontal="left" vertical="center" wrapText="1"/>
    </xf>
    <xf numFmtId="39" fontId="7" fillId="0" borderId="0" xfId="0" applyNumberFormat="1" applyFont="1" applyAlignment="1">
      <alignment horizontal="right" vertical="center"/>
    </xf>
    <xf numFmtId="165" fontId="8" fillId="0" borderId="0" xfId="0" applyNumberFormat="1" applyFont="1" applyAlignment="1">
      <alignment horizontal="right" vertical="center"/>
    </xf>
    <xf numFmtId="39" fontId="9" fillId="0" borderId="0" xfId="0" applyNumberFormat="1" applyFont="1" applyAlignment="1">
      <alignment horizontal="right" vertical="center"/>
    </xf>
    <xf numFmtId="165" fontId="10" fillId="0" borderId="0" xfId="0" applyNumberFormat="1" applyFont="1" applyAlignment="1">
      <alignment horizontal="right" vertical="center"/>
    </xf>
    <xf numFmtId="0" fontId="14" fillId="0" borderId="0" xfId="0" applyFont="1" applyAlignment="1">
      <alignment horizontal="left" vertical="center" wrapText="1"/>
    </xf>
    <xf numFmtId="39" fontId="14" fillId="0" borderId="0" xfId="0" applyNumberFormat="1" applyFont="1" applyAlignment="1">
      <alignment vertical="center"/>
    </xf>
    <xf numFmtId="165" fontId="15" fillId="0" borderId="0" xfId="0" applyNumberFormat="1" applyFont="1" applyAlignment="1">
      <alignment vertical="center"/>
    </xf>
    <xf numFmtId="39" fontId="16" fillId="0" borderId="0" xfId="0" applyNumberFormat="1" applyFont="1" applyAlignment="1">
      <alignment vertical="center"/>
    </xf>
    <xf numFmtId="165" fontId="13" fillId="0" borderId="0" xfId="0" applyNumberFormat="1" applyFont="1" applyAlignment="1">
      <alignment vertical="center"/>
    </xf>
    <xf numFmtId="0" fontId="7" fillId="0" borderId="0" xfId="0" applyFont="1" applyAlignment="1">
      <alignment horizontal="left" vertical="center" wrapText="1" indent="1"/>
    </xf>
    <xf numFmtId="0" fontId="4" fillId="0" borderId="0" xfId="0" applyFont="1" applyAlignment="1">
      <alignment horizontal="left" vertical="center" wrapText="1" indent="2"/>
    </xf>
    <xf numFmtId="0" fontId="7" fillId="0" borderId="0" xfId="0" applyFont="1" applyAlignment="1">
      <alignment horizontal="left" vertical="center" wrapText="1" indent="2"/>
    </xf>
    <xf numFmtId="0" fontId="4" fillId="0" borderId="0" xfId="0" applyFont="1" applyAlignment="1">
      <alignment horizontal="left" vertical="center" wrapText="1" indent="3"/>
    </xf>
    <xf numFmtId="39" fontId="7" fillId="0" borderId="0" xfId="0" applyNumberFormat="1" applyFont="1" applyAlignment="1">
      <alignment horizontal="left" vertical="center" wrapText="1" indent="2"/>
    </xf>
    <xf numFmtId="39" fontId="7" fillId="0" borderId="0" xfId="0" applyNumberFormat="1" applyFont="1" applyAlignment="1">
      <alignment horizontal="left" vertical="center" wrapText="1" indent="1"/>
    </xf>
    <xf numFmtId="39" fontId="7" fillId="0" borderId="1" xfId="0" applyNumberFormat="1" applyFont="1" applyBorder="1" applyAlignment="1">
      <alignment horizontal="right" vertical="center"/>
    </xf>
    <xf numFmtId="165" fontId="8" fillId="0" borderId="1" xfId="0" applyNumberFormat="1" applyFont="1" applyBorder="1" applyAlignment="1">
      <alignment horizontal="right" vertical="center"/>
    </xf>
    <xf numFmtId="39" fontId="9" fillId="0" borderId="1" xfId="0" applyNumberFormat="1" applyFont="1" applyBorder="1" applyAlignment="1">
      <alignment horizontal="right" vertical="center"/>
    </xf>
    <xf numFmtId="165" fontId="10" fillId="0" borderId="1" xfId="0" applyNumberFormat="1" applyFont="1" applyBorder="1" applyAlignment="1">
      <alignment horizontal="right" vertical="center"/>
    </xf>
    <xf numFmtId="39" fontId="17" fillId="0" borderId="0" xfId="0" applyNumberFormat="1" applyFont="1" applyAlignment="1">
      <alignment horizontal="left" vertical="center" wrapText="1"/>
    </xf>
    <xf numFmtId="39" fontId="17" fillId="0" borderId="0" xfId="0" applyNumberFormat="1" applyFont="1" applyAlignment="1">
      <alignment horizontal="right" vertical="center"/>
    </xf>
    <xf numFmtId="165" fontId="18" fillId="0" borderId="0" xfId="0" applyNumberFormat="1" applyFont="1" applyAlignment="1">
      <alignment horizontal="right" vertical="center"/>
    </xf>
    <xf numFmtId="0" fontId="3" fillId="0" borderId="0" xfId="0" applyFont="1" applyAlignment="1">
      <alignment horizontal="left" vertical="center" wrapText="1"/>
    </xf>
    <xf numFmtId="39" fontId="3" fillId="0" borderId="0" xfId="0" applyNumberFormat="1" applyFont="1" applyAlignment="1">
      <alignment vertical="center"/>
    </xf>
    <xf numFmtId="39" fontId="12" fillId="0" borderId="0" xfId="0" applyNumberFormat="1" applyFont="1" applyAlignment="1">
      <alignment vertical="center"/>
    </xf>
    <xf numFmtId="0" fontId="17" fillId="0" borderId="0" xfId="0" applyFont="1" applyAlignment="1">
      <alignment horizontal="left" vertical="center" wrapText="1"/>
    </xf>
    <xf numFmtId="39" fontId="17" fillId="0" borderId="0" xfId="0" applyNumberFormat="1" applyFont="1" applyAlignment="1">
      <alignment vertical="center"/>
    </xf>
    <xf numFmtId="0" fontId="4" fillId="0" borderId="0" xfId="0" applyFont="1" applyAlignment="1">
      <alignment horizontal="left" vertical="center" wrapText="1"/>
    </xf>
    <xf numFmtId="166" fontId="11" fillId="0" borderId="0" xfId="0" applyNumberFormat="1" applyFont="1" applyAlignment="1">
      <alignment vertical="center"/>
    </xf>
    <xf numFmtId="166" fontId="13" fillId="0" borderId="0" xfId="0" applyNumberFormat="1" applyFont="1" applyAlignment="1">
      <alignment vertical="center"/>
    </xf>
    <xf numFmtId="0" fontId="4" fillId="0" borderId="0" xfId="0" applyFont="1"/>
    <xf numFmtId="0" fontId="0" fillId="0" borderId="0" xfId="0" applyAlignment="1">
      <alignment horizontal="center"/>
    </xf>
    <xf numFmtId="14" fontId="0" fillId="0" borderId="0" xfId="0" applyNumberFormat="1"/>
    <xf numFmtId="0" fontId="21" fillId="0" borderId="0" xfId="0" applyFont="1"/>
    <xf numFmtId="0" fontId="21" fillId="0" borderId="0" xfId="0" applyFont="1" applyAlignment="1">
      <alignment horizontal="center"/>
    </xf>
    <xf numFmtId="0" fontId="22" fillId="0" borderId="0" xfId="0" applyFont="1" applyAlignment="1">
      <alignment horizontal="left"/>
    </xf>
    <xf numFmtId="0" fontId="22" fillId="0" borderId="0" xfId="0" applyFont="1" applyAlignment="1">
      <alignment horizontal="right"/>
    </xf>
    <xf numFmtId="0" fontId="22" fillId="0" borderId="0" xfId="0" applyFont="1"/>
    <xf numFmtId="0" fontId="23" fillId="2" borderId="0" xfId="0" applyFont="1" applyFill="1"/>
    <xf numFmtId="10" fontId="21" fillId="0" borderId="0" xfId="0" applyNumberFormat="1" applyFont="1"/>
    <xf numFmtId="10" fontId="21" fillId="0" borderId="0" xfId="1" applyNumberFormat="1" applyFont="1"/>
    <xf numFmtId="0" fontId="21" fillId="0" borderId="0" xfId="0" applyFont="1" applyAlignment="1">
      <alignment horizontal="right"/>
    </xf>
    <xf numFmtId="167" fontId="21" fillId="0" borderId="0" xfId="0" applyNumberFormat="1" applyFont="1" applyAlignment="1">
      <alignment horizontal="center"/>
    </xf>
    <xf numFmtId="167" fontId="21" fillId="0" borderId="0" xfId="0" applyNumberFormat="1" applyFont="1"/>
    <xf numFmtId="0" fontId="24" fillId="0" borderId="0" xfId="0" applyFont="1"/>
    <xf numFmtId="168" fontId="21" fillId="0" borderId="0" xfId="0" applyNumberFormat="1" applyFont="1" applyAlignment="1">
      <alignment horizontal="right"/>
    </xf>
    <xf numFmtId="0" fontId="0" fillId="0" borderId="0" xfId="0" applyAlignment="1">
      <alignment wrapText="1"/>
    </xf>
    <xf numFmtId="167" fontId="0" fillId="3" borderId="2" xfId="1" applyNumberFormat="1" applyFont="1" applyFill="1" applyBorder="1" applyAlignment="1">
      <alignment horizontal="center" vertical="center"/>
    </xf>
    <xf numFmtId="167" fontId="0" fillId="3" borderId="3" xfId="1" applyNumberFormat="1" applyFont="1" applyFill="1" applyBorder="1" applyAlignment="1">
      <alignment horizontal="center" vertical="center"/>
    </xf>
    <xf numFmtId="9" fontId="0" fillId="3" borderId="4" xfId="1" applyFont="1" applyFill="1" applyBorder="1" applyAlignment="1">
      <alignment horizontal="center" vertical="center"/>
    </xf>
    <xf numFmtId="168" fontId="0" fillId="3" borderId="4" xfId="2" applyNumberFormat="1" applyFont="1" applyFill="1" applyBorder="1" applyAlignment="1">
      <alignment horizontal="center" vertical="center"/>
    </xf>
    <xf numFmtId="167" fontId="0" fillId="3" borderId="5" xfId="1" applyNumberFormat="1" applyFont="1" applyFill="1" applyBorder="1" applyAlignment="1">
      <alignment horizontal="center" vertical="center"/>
    </xf>
    <xf numFmtId="43" fontId="20" fillId="3" borderId="6" xfId="3" applyFont="1" applyFill="1" applyBorder="1" applyAlignment="1">
      <alignment horizontal="left" vertical="center"/>
    </xf>
    <xf numFmtId="167" fontId="0" fillId="4" borderId="7" xfId="1" applyNumberFormat="1" applyFont="1" applyFill="1" applyBorder="1" applyAlignment="1">
      <alignment horizontal="center" vertical="center"/>
    </xf>
    <xf numFmtId="167" fontId="0" fillId="4" borderId="8" xfId="1" applyNumberFormat="1" applyFont="1" applyFill="1" applyBorder="1" applyAlignment="1">
      <alignment horizontal="center" vertical="center"/>
    </xf>
    <xf numFmtId="9" fontId="0" fillId="4" borderId="9" xfId="1" applyFont="1" applyFill="1" applyBorder="1" applyAlignment="1">
      <alignment horizontal="center" vertical="center"/>
    </xf>
    <xf numFmtId="168" fontId="0" fillId="4" borderId="9" xfId="2" applyNumberFormat="1" applyFont="1" applyFill="1" applyBorder="1" applyAlignment="1">
      <alignment horizontal="center" vertical="center"/>
    </xf>
    <xf numFmtId="167" fontId="0" fillId="4" borderId="10" xfId="1" applyNumberFormat="1" applyFont="1" applyFill="1" applyBorder="1" applyAlignment="1">
      <alignment horizontal="center" vertical="center"/>
    </xf>
    <xf numFmtId="167" fontId="19" fillId="4" borderId="7" xfId="1" applyNumberFormat="1" applyFont="1" applyFill="1" applyBorder="1" applyAlignment="1">
      <alignment horizontal="center" vertical="center"/>
    </xf>
    <xf numFmtId="167" fontId="19" fillId="4" borderId="8" xfId="1" applyNumberFormat="1" applyFont="1" applyFill="1" applyBorder="1" applyAlignment="1">
      <alignment horizontal="center" vertical="center"/>
    </xf>
    <xf numFmtId="168" fontId="19" fillId="4" borderId="9" xfId="2" applyNumberFormat="1" applyFont="1" applyFill="1" applyBorder="1" applyAlignment="1">
      <alignment horizontal="center" vertical="center"/>
    </xf>
    <xf numFmtId="43" fontId="20" fillId="5" borderId="11" xfId="3" applyFont="1" applyFill="1" applyBorder="1" applyAlignment="1">
      <alignment horizontal="left" vertical="center"/>
    </xf>
    <xf numFmtId="167" fontId="0" fillId="0" borderId="0" xfId="0" applyNumberFormat="1"/>
    <xf numFmtId="0" fontId="0" fillId="0" borderId="12" xfId="0" applyBorder="1" applyAlignment="1">
      <alignment horizontal="center"/>
    </xf>
    <xf numFmtId="0" fontId="0" fillId="0" borderId="13" xfId="0" applyBorder="1" applyAlignment="1">
      <alignment horizontal="center"/>
    </xf>
    <xf numFmtId="4" fontId="25" fillId="0" borderId="12" xfId="0" applyNumberFormat="1" applyFont="1" applyBorder="1" applyAlignment="1">
      <alignment vertical="center" wrapText="1"/>
    </xf>
    <xf numFmtId="4" fontId="26" fillId="0" borderId="0" xfId="0" applyNumberFormat="1" applyFont="1" applyAlignment="1">
      <alignment vertical="center" wrapText="1"/>
    </xf>
    <xf numFmtId="39" fontId="25" fillId="0" borderId="0" xfId="0" applyNumberFormat="1" applyFont="1" applyAlignment="1">
      <alignment vertical="center" wrapText="1"/>
    </xf>
    <xf numFmtId="0" fontId="0" fillId="0" borderId="13" xfId="0" applyBorder="1"/>
    <xf numFmtId="4" fontId="25" fillId="0" borderId="0" xfId="0" applyNumberFormat="1" applyFont="1" applyAlignment="1">
      <alignment vertical="center" wrapText="1"/>
    </xf>
    <xf numFmtId="0" fontId="27" fillId="6" borderId="14" xfId="0" applyFont="1" applyFill="1" applyBorder="1" applyAlignment="1">
      <alignment horizontal="center" vertical="center" wrapText="1"/>
    </xf>
    <xf numFmtId="0" fontId="27" fillId="0" borderId="0" xfId="0" applyFont="1" applyAlignment="1">
      <alignment wrapText="1"/>
    </xf>
    <xf numFmtId="0" fontId="27" fillId="7" borderId="15" xfId="0" applyFont="1" applyFill="1" applyBorder="1" applyAlignment="1">
      <alignment horizontal="center" wrapText="1"/>
    </xf>
    <xf numFmtId="0" fontId="27" fillId="7" borderId="16" xfId="0" applyFont="1" applyFill="1" applyBorder="1" applyAlignment="1">
      <alignment horizontal="center" wrapText="1"/>
    </xf>
    <xf numFmtId="0" fontId="27" fillId="7" borderId="17" xfId="0" applyFont="1" applyFill="1" applyBorder="1" applyAlignment="1">
      <alignment horizontal="center" wrapText="1"/>
    </xf>
    <xf numFmtId="39" fontId="28" fillId="7" borderId="18" xfId="0" applyNumberFormat="1" applyFont="1" applyFill="1" applyBorder="1" applyAlignment="1">
      <alignment horizontal="center" vertical="center" wrapText="1"/>
    </xf>
    <xf numFmtId="39" fontId="28" fillId="7" borderId="16" xfId="0" applyNumberFormat="1" applyFont="1" applyFill="1" applyBorder="1" applyAlignment="1">
      <alignment horizontal="center" vertical="center" wrapText="1"/>
    </xf>
    <xf numFmtId="0" fontId="27" fillId="7" borderId="16" xfId="0" applyFont="1" applyFill="1" applyBorder="1" applyAlignment="1">
      <alignment horizontal="center" vertical="center" wrapText="1"/>
    </xf>
    <xf numFmtId="0" fontId="27" fillId="7" borderId="14" xfId="0" applyFont="1" applyFill="1" applyBorder="1" applyAlignment="1">
      <alignment horizontal="center" vertical="center" wrapText="1"/>
    </xf>
    <xf numFmtId="0" fontId="27" fillId="5" borderId="15" xfId="0" applyFont="1" applyFill="1" applyBorder="1" applyAlignment="1">
      <alignment horizontal="center" wrapText="1"/>
    </xf>
    <xf numFmtId="0" fontId="27" fillId="5" borderId="16" xfId="0" applyFont="1" applyFill="1" applyBorder="1" applyAlignment="1">
      <alignment horizontal="center" wrapText="1"/>
    </xf>
    <xf numFmtId="0" fontId="27" fillId="5" borderId="17" xfId="0" applyFont="1" applyFill="1" applyBorder="1" applyAlignment="1">
      <alignment horizontal="center" wrapText="1"/>
    </xf>
    <xf numFmtId="39" fontId="28" fillId="8" borderId="19" xfId="0" applyNumberFormat="1" applyFont="1" applyFill="1" applyBorder="1" applyAlignment="1">
      <alignment horizontal="center" vertical="center" wrapText="1"/>
    </xf>
    <xf numFmtId="39" fontId="28" fillId="8" borderId="16" xfId="0" applyNumberFormat="1" applyFont="1" applyFill="1" applyBorder="1" applyAlignment="1">
      <alignment horizontal="center" vertical="center" wrapText="1"/>
    </xf>
    <xf numFmtId="0" fontId="27" fillId="8" borderId="16" xfId="0" applyFont="1" applyFill="1" applyBorder="1" applyAlignment="1">
      <alignment horizontal="center" vertical="center" wrapText="1"/>
    </xf>
    <xf numFmtId="0" fontId="27" fillId="8" borderId="14" xfId="0" applyFont="1" applyFill="1" applyBorder="1" applyAlignment="1">
      <alignment horizontal="center" vertical="center" wrapText="1"/>
    </xf>
    <xf numFmtId="39" fontId="28" fillId="9" borderId="18" xfId="0" applyNumberFormat="1" applyFont="1" applyFill="1" applyBorder="1" applyAlignment="1">
      <alignment horizontal="center" vertical="center" wrapText="1"/>
    </xf>
    <xf numFmtId="39" fontId="28" fillId="9" borderId="16" xfId="0" applyNumberFormat="1" applyFont="1" applyFill="1" applyBorder="1" applyAlignment="1">
      <alignment horizontal="center" vertical="center" wrapText="1"/>
    </xf>
    <xf numFmtId="0" fontId="27" fillId="9" borderId="16" xfId="0" applyFont="1" applyFill="1" applyBorder="1" applyAlignment="1">
      <alignment horizontal="center" vertical="center" wrapText="1"/>
    </xf>
    <xf numFmtId="0" fontId="27" fillId="9" borderId="14" xfId="0" applyFont="1" applyFill="1" applyBorder="1" applyAlignment="1">
      <alignment horizontal="center" vertical="center" wrapText="1"/>
    </xf>
    <xf numFmtId="39" fontId="28" fillId="6" borderId="19" xfId="0" applyNumberFormat="1" applyFont="1" applyFill="1" applyBorder="1" applyAlignment="1">
      <alignment horizontal="center" vertical="center" wrapText="1"/>
    </xf>
    <xf numFmtId="39" fontId="28" fillId="6" borderId="16" xfId="0" applyNumberFormat="1" applyFont="1" applyFill="1" applyBorder="1" applyAlignment="1">
      <alignment horizontal="center" vertical="center" wrapText="1"/>
    </xf>
    <xf numFmtId="0" fontId="27" fillId="6" borderId="16" xfId="0" applyFont="1" applyFill="1" applyBorder="1" applyAlignment="1">
      <alignment horizontal="center" vertical="center" wrapText="1"/>
    </xf>
    <xf numFmtId="0" fontId="0" fillId="10" borderId="0" xfId="0" applyFill="1"/>
    <xf numFmtId="0" fontId="29" fillId="10" borderId="0" xfId="0" applyFont="1" applyFill="1"/>
    <xf numFmtId="4" fontId="30" fillId="0" borderId="0" xfId="0" applyNumberFormat="1" applyFont="1" applyAlignment="1">
      <alignment horizontal="center" vertical="center" wrapText="1"/>
    </xf>
    <xf numFmtId="4" fontId="0" fillId="0" borderId="0" xfId="0" applyNumberFormat="1"/>
    <xf numFmtId="170" fontId="0" fillId="0" borderId="0" xfId="3" applyNumberFormat="1" applyFont="1"/>
    <xf numFmtId="165" fontId="32" fillId="0" borderId="0" xfId="0" applyNumberFormat="1" applyFont="1" applyAlignment="1">
      <alignment vertical="center"/>
    </xf>
    <xf numFmtId="170" fontId="26" fillId="0" borderId="0" xfId="3" applyNumberFormat="1" applyFont="1" applyAlignment="1">
      <alignment vertical="center"/>
    </xf>
    <xf numFmtId="0" fontId="26" fillId="0" borderId="0" xfId="0" applyFont="1" applyAlignment="1">
      <alignment vertical="center" wrapText="1"/>
    </xf>
    <xf numFmtId="165" fontId="33" fillId="11" borderId="0" xfId="0" applyNumberFormat="1" applyFont="1" applyFill="1" applyAlignment="1">
      <alignment horizontal="right" vertical="center"/>
    </xf>
    <xf numFmtId="170" fontId="25" fillId="0" borderId="0" xfId="3" applyNumberFormat="1" applyFont="1" applyAlignment="1">
      <alignment horizontal="right" vertical="center"/>
    </xf>
    <xf numFmtId="165" fontId="33" fillId="0" borderId="0" xfId="0" applyNumberFormat="1" applyFont="1" applyAlignment="1">
      <alignment horizontal="right" vertical="center"/>
    </xf>
    <xf numFmtId="165" fontId="34" fillId="11" borderId="1" xfId="0" applyNumberFormat="1" applyFont="1" applyFill="1" applyBorder="1" applyAlignment="1">
      <alignment horizontal="right" vertical="center"/>
    </xf>
    <xf numFmtId="170" fontId="35" fillId="0" borderId="1" xfId="3" applyNumberFormat="1" applyFont="1" applyBorder="1" applyAlignment="1">
      <alignment horizontal="right" vertical="center"/>
    </xf>
    <xf numFmtId="165" fontId="34" fillId="0" borderId="1" xfId="0" applyNumberFormat="1" applyFont="1" applyBorder="1" applyAlignment="1">
      <alignment horizontal="right" vertical="center"/>
    </xf>
    <xf numFmtId="39" fontId="35" fillId="0" borderId="0" xfId="0" applyNumberFormat="1" applyFont="1" applyAlignment="1">
      <alignment vertical="center" wrapText="1"/>
    </xf>
    <xf numFmtId="165" fontId="34" fillId="0" borderId="0" xfId="0" applyNumberFormat="1" applyFont="1" applyAlignment="1">
      <alignment horizontal="right" vertical="center"/>
    </xf>
    <xf numFmtId="170" fontId="35" fillId="0" borderId="0" xfId="3" applyNumberFormat="1" applyFont="1" applyAlignment="1">
      <alignment horizontal="right" vertical="center"/>
    </xf>
    <xf numFmtId="39" fontId="35" fillId="0" borderId="0" xfId="0" applyNumberFormat="1" applyFont="1" applyAlignment="1">
      <alignment vertical="center" wrapText="1" indent="1"/>
    </xf>
    <xf numFmtId="165" fontId="36" fillId="0" borderId="0" xfId="0" applyNumberFormat="1" applyFont="1" applyAlignment="1">
      <alignment horizontal="right" vertical="center"/>
    </xf>
    <xf numFmtId="170" fontId="31" fillId="0" borderId="0" xfId="3" applyNumberFormat="1" applyFont="1" applyAlignment="1">
      <alignment vertical="center"/>
    </xf>
    <xf numFmtId="0" fontId="31" fillId="0" borderId="0" xfId="0" applyFont="1" applyAlignment="1">
      <alignment vertical="center" wrapText="1" indent="2"/>
    </xf>
    <xf numFmtId="39" fontId="35" fillId="0" borderId="0" xfId="0" applyNumberFormat="1" applyFont="1" applyAlignment="1">
      <alignment vertical="center" wrapText="1" indent="2"/>
    </xf>
    <xf numFmtId="0" fontId="31" fillId="0" borderId="0" xfId="0" applyFont="1" applyAlignment="1">
      <alignment vertical="center" wrapText="1" indent="3"/>
    </xf>
    <xf numFmtId="165" fontId="34" fillId="0" borderId="0" xfId="0" applyNumberFormat="1" applyFont="1" applyAlignment="1">
      <alignment vertical="center"/>
    </xf>
    <xf numFmtId="170" fontId="35" fillId="0" borderId="0" xfId="3" applyNumberFormat="1" applyFont="1" applyAlignment="1">
      <alignment vertical="center"/>
    </xf>
    <xf numFmtId="0" fontId="35" fillId="0" borderId="0" xfId="0" applyFont="1" applyAlignment="1">
      <alignment vertical="center" wrapText="1" indent="2"/>
    </xf>
    <xf numFmtId="0" fontId="35" fillId="0" borderId="0" xfId="0" applyFont="1" applyAlignment="1">
      <alignment vertical="center" wrapText="1" indent="1"/>
    </xf>
    <xf numFmtId="0" fontId="35" fillId="0" borderId="0" xfId="0" applyFont="1" applyAlignment="1">
      <alignment vertical="center" wrapText="1"/>
    </xf>
    <xf numFmtId="170" fontId="37" fillId="0" borderId="0" xfId="3" applyNumberFormat="1" applyFont="1" applyAlignment="1">
      <alignment vertical="center"/>
    </xf>
    <xf numFmtId="0" fontId="37" fillId="0" borderId="0" xfId="0" applyFont="1" applyAlignment="1">
      <alignment vertical="center" wrapText="1"/>
    </xf>
    <xf numFmtId="170" fontId="31" fillId="0" borderId="0" xfId="3" applyNumberFormat="1" applyFont="1" applyAlignment="1">
      <alignment horizontal="right" vertical="center"/>
    </xf>
    <xf numFmtId="0" fontId="31" fillId="0" borderId="0" xfId="0" applyFont="1" applyAlignment="1">
      <alignment horizontal="left" vertical="center" wrapText="1" indent="2"/>
    </xf>
    <xf numFmtId="10" fontId="0" fillId="0" borderId="0" xfId="1" applyNumberFormat="1" applyFont="1"/>
    <xf numFmtId="9" fontId="0" fillId="0" borderId="0" xfId="1" applyFont="1"/>
    <xf numFmtId="0" fontId="31" fillId="0" borderId="0" xfId="0" applyFont="1" applyAlignment="1">
      <alignment vertical="center" wrapText="1" indent="1"/>
    </xf>
    <xf numFmtId="0" fontId="0" fillId="0" borderId="0" xfId="0" quotePrefix="1"/>
    <xf numFmtId="0" fontId="29" fillId="10" borderId="20" xfId="0" applyFont="1" applyFill="1" applyBorder="1" applyAlignment="1">
      <alignment horizontal="center"/>
    </xf>
    <xf numFmtId="4" fontId="30" fillId="0" borderId="0" xfId="0" applyNumberFormat="1" applyFont="1" applyAlignment="1">
      <alignment horizontal="center" vertical="center" wrapText="1"/>
    </xf>
    <xf numFmtId="169" fontId="31" fillId="0" borderId="0" xfId="0" applyNumberFormat="1" applyFont="1" applyAlignment="1">
      <alignment horizontal="center" vertical="center" wrapText="1"/>
    </xf>
    <xf numFmtId="0" fontId="20" fillId="0" borderId="0" xfId="0" applyFont="1" applyAlignment="1">
      <alignment horizontal="center"/>
    </xf>
    <xf numFmtId="0" fontId="39" fillId="0" borderId="0" xfId="0" applyFont="1" applyAlignment="1">
      <alignment horizontal="center" vertical="center"/>
    </xf>
    <xf numFmtId="0" fontId="38" fillId="0" borderId="0" xfId="0" applyFont="1" applyAlignment="1">
      <alignment horizontal="center" vertical="center"/>
    </xf>
    <xf numFmtId="0" fontId="26" fillId="0" borderId="0" xfId="0" applyFont="1" applyAlignment="1">
      <alignment horizontal="center" vertical="center"/>
    </xf>
    <xf numFmtId="4" fontId="6" fillId="0" borderId="0" xfId="0" applyNumberFormat="1" applyFont="1" applyAlignment="1">
      <alignment horizontal="center" vertical="center" wrapText="1"/>
    </xf>
    <xf numFmtId="164" fontId="6" fillId="0" borderId="0" xfId="0" applyNumberFormat="1" applyFont="1" applyAlignment="1">
      <alignment horizontal="center" vertical="center" wrapText="1"/>
    </xf>
    <xf numFmtId="4" fontId="5" fillId="0" borderId="0" xfId="0" applyNumberFormat="1" applyFont="1" applyAlignment="1">
      <alignment horizontal="center" vertical="center" wrapText="1"/>
    </xf>
    <xf numFmtId="164" fontId="5" fillId="0" borderId="0" xfId="0" applyNumberFormat="1" applyFont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 wrapText="1"/>
    </xf>
  </cellXfs>
  <cellStyles count="4">
    <cellStyle name="Comma 2" xfId="3" xr:uid="{13B5B407-E9C6-4083-94F3-A1B281D674B9}"/>
    <cellStyle name="Currency 2" xfId="2" xr:uid="{B1065B78-B968-4AF7-BD20-E2D0BEDC01CE}"/>
    <cellStyle name="Normal" xfId="0" builtinId="0"/>
    <cellStyle name="Percent 2" xfId="1" xr:uid="{294201BA-2BED-4C87-B52B-27845E1A3DF6}"/>
  </cellStyles>
  <dxfs count="4"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eetMetadata" Target="metadata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3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Relationship Id="rId14" Type="http://schemas.openxmlformats.org/officeDocument/2006/relationships/customXml" Target="../customXml/item2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11430</xdr:colOff>
      <xdr:row>29</xdr:row>
      <xdr:rowOff>74870</xdr:rowOff>
    </xdr:from>
    <xdr:to>
      <xdr:col>22</xdr:col>
      <xdr:colOff>21307</xdr:colOff>
      <xdr:row>45</xdr:row>
      <xdr:rowOff>82445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E4EC2C2-135B-86BF-E107-A572E091A82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859280" y="5542220"/>
          <a:ext cx="12335227" cy="29031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E3BC99-FC85-44FE-AAB4-5C64A153C9AE}">
  <sheetPr>
    <tabColor theme="4" tint="0.39997558519241921"/>
  </sheetPr>
  <dimension ref="A1:AP65"/>
  <sheetViews>
    <sheetView tabSelected="1" topLeftCell="B2" workbookViewId="0">
      <selection activeCell="L15" sqref="L15"/>
    </sheetView>
  </sheetViews>
  <sheetFormatPr defaultRowHeight="43.5" customHeight="1" x14ac:dyDescent="0.3"/>
  <cols>
    <col min="1" max="1" width="23.44140625" hidden="1" customWidth="1"/>
    <col min="2" max="2" width="26.88671875" customWidth="1"/>
    <col min="3" max="3" width="11.109375" customWidth="1"/>
    <col min="4" max="4" width="6.88671875" customWidth="1"/>
    <col min="5" max="5" width="9.109375" bestFit="1" customWidth="1"/>
    <col min="6" max="6" width="9.88671875" bestFit="1" customWidth="1"/>
    <col min="7" max="7" width="10.109375" customWidth="1"/>
    <col min="8" max="8" width="8.109375" customWidth="1"/>
    <col min="9" max="9" width="9.109375" bestFit="1" customWidth="1"/>
    <col min="10" max="10" width="9.88671875" bestFit="1" customWidth="1"/>
    <col min="11" max="11" width="10.109375" customWidth="1"/>
    <col min="12" max="12" width="8.109375" customWidth="1"/>
    <col min="13" max="13" width="7.5546875" customWidth="1"/>
    <col min="14" max="14" width="7.109375" bestFit="1" customWidth="1"/>
    <col min="15" max="15" width="9.6640625" style="44" customWidth="1"/>
    <col min="16" max="16" width="9.6640625" style="44" bestFit="1" customWidth="1"/>
    <col min="17" max="17" width="11.109375" style="44" customWidth="1"/>
    <col min="18" max="18" width="10.109375" bestFit="1" customWidth="1"/>
    <col min="19" max="19" width="8.109375" bestFit="1" customWidth="1"/>
    <col min="20" max="21" width="7.109375" bestFit="1" customWidth="1"/>
    <col min="22" max="23" width="9.6640625" style="44" bestFit="1" customWidth="1"/>
    <col min="24" max="24" width="11.6640625" style="44" customWidth="1"/>
    <col min="34" max="36" width="0" hidden="1" customWidth="1"/>
    <col min="37" max="37" width="8.88671875" hidden="1" customWidth="1"/>
    <col min="38" max="38" width="10.88671875" hidden="1" customWidth="1"/>
    <col min="39" max="39" width="8.88671875" hidden="1" customWidth="1"/>
    <col min="40" max="40" width="12.5546875" hidden="1" customWidth="1"/>
    <col min="41" max="41" width="18.88671875" hidden="1" customWidth="1"/>
    <col min="42" max="42" width="8.88671875" hidden="1" customWidth="1"/>
  </cols>
  <sheetData>
    <row r="1" spans="1:41" ht="55.2" hidden="1" x14ac:dyDescent="0.3">
      <c r="A1" s="143"/>
      <c r="B1" s="144"/>
      <c r="C1" s="109" t="str">
        <f>B2</f>
        <v>Week Ending 07/19/2026</v>
      </c>
      <c r="D1" s="108" t="str">
        <f>C1</f>
        <v>Week Ending 07/19/2026</v>
      </c>
      <c r="E1" s="108" t="str">
        <f>+D1</f>
        <v>Week Ending 07/19/2026</v>
      </c>
      <c r="F1" s="108" t="str">
        <f>+E1</f>
        <v>Week Ending 07/19/2026</v>
      </c>
      <c r="G1" s="108" t="s">
        <v>230</v>
      </c>
      <c r="H1" s="108" t="s">
        <v>230</v>
      </c>
      <c r="I1" s="108" t="s">
        <v>230</v>
      </c>
      <c r="J1" s="108" t="s">
        <v>230</v>
      </c>
      <c r="K1" s="108" t="s">
        <v>229</v>
      </c>
      <c r="L1" s="108" t="s">
        <v>229</v>
      </c>
      <c r="M1" s="108" t="s">
        <v>229</v>
      </c>
      <c r="N1" s="108" t="s">
        <v>229</v>
      </c>
      <c r="R1" s="108" t="s">
        <v>228</v>
      </c>
      <c r="S1" s="108" t="s">
        <v>228</v>
      </c>
      <c r="T1" s="108" t="s">
        <v>228</v>
      </c>
      <c r="U1" s="108" t="s">
        <v>228</v>
      </c>
    </row>
    <row r="2" spans="1:41" s="106" customFormat="1" ht="15" thickBot="1" x14ac:dyDescent="0.35">
      <c r="B2" s="107" t="s">
        <v>15</v>
      </c>
      <c r="G2" s="142" t="s">
        <v>227</v>
      </c>
      <c r="H2" s="142"/>
      <c r="I2" s="142"/>
      <c r="J2" s="142"/>
      <c r="K2" s="142" t="s">
        <v>226</v>
      </c>
      <c r="L2" s="142"/>
      <c r="M2" s="142"/>
      <c r="N2" s="142"/>
      <c r="O2" s="142" t="s">
        <v>225</v>
      </c>
      <c r="P2" s="142"/>
      <c r="Q2" s="142"/>
      <c r="R2" s="142" t="s">
        <v>224</v>
      </c>
      <c r="S2" s="142"/>
      <c r="T2" s="142"/>
      <c r="U2" s="142"/>
      <c r="V2" s="142" t="s">
        <v>223</v>
      </c>
      <c r="W2" s="142"/>
      <c r="X2" s="142"/>
    </row>
    <row r="3" spans="1:41" s="84" customFormat="1" ht="55.8" thickBot="1" x14ac:dyDescent="0.35">
      <c r="B3" s="83" t="s">
        <v>212</v>
      </c>
      <c r="C3" s="83" t="s">
        <v>23</v>
      </c>
      <c r="D3" s="105" t="s">
        <v>218</v>
      </c>
      <c r="E3" s="104" t="s">
        <v>222</v>
      </c>
      <c r="F3" s="103" t="s">
        <v>216</v>
      </c>
      <c r="G3" s="102" t="s">
        <v>23</v>
      </c>
      <c r="H3" s="101" t="s">
        <v>218</v>
      </c>
      <c r="I3" s="100" t="s">
        <v>217</v>
      </c>
      <c r="J3" s="99" t="s">
        <v>216</v>
      </c>
      <c r="K3" s="98" t="s">
        <v>23</v>
      </c>
      <c r="L3" s="97" t="s">
        <v>218</v>
      </c>
      <c r="M3" s="96" t="s">
        <v>217</v>
      </c>
      <c r="N3" s="95" t="s">
        <v>216</v>
      </c>
      <c r="O3" s="94" t="s">
        <v>221</v>
      </c>
      <c r="P3" s="93" t="s">
        <v>220</v>
      </c>
      <c r="Q3" s="92" t="s">
        <v>219</v>
      </c>
      <c r="R3" s="91" t="s">
        <v>23</v>
      </c>
      <c r="S3" s="90" t="s">
        <v>218</v>
      </c>
      <c r="T3" s="89" t="s">
        <v>217</v>
      </c>
      <c r="U3" s="88" t="s">
        <v>216</v>
      </c>
      <c r="V3" s="87" t="s">
        <v>215</v>
      </c>
      <c r="W3" s="86" t="s">
        <v>214</v>
      </c>
      <c r="X3" s="85" t="s">
        <v>213</v>
      </c>
    </row>
    <row r="4" spans="1:41" ht="78.599999999999994" hidden="1" thickBot="1" x14ac:dyDescent="0.35">
      <c r="B4" s="83" t="s">
        <v>212</v>
      </c>
      <c r="C4" t="s">
        <v>25</v>
      </c>
      <c r="D4" s="80" t="s">
        <v>72</v>
      </c>
      <c r="E4" s="79" t="s">
        <v>96</v>
      </c>
      <c r="F4" s="82" t="s">
        <v>97</v>
      </c>
      <c r="G4" t="s">
        <v>25</v>
      </c>
      <c r="H4" s="80" t="s">
        <v>72</v>
      </c>
      <c r="I4" s="79" t="s">
        <v>96</v>
      </c>
      <c r="J4" s="82" t="s">
        <v>97</v>
      </c>
      <c r="K4" t="s">
        <v>25</v>
      </c>
      <c r="L4" s="80" t="s">
        <v>72</v>
      </c>
      <c r="M4" s="79" t="s">
        <v>96</v>
      </c>
      <c r="N4" s="82" t="s">
        <v>97</v>
      </c>
      <c r="O4" s="77"/>
      <c r="P4" s="77"/>
      <c r="Q4" s="76"/>
      <c r="R4" s="81" t="s">
        <v>25</v>
      </c>
      <c r="S4" s="80" t="s">
        <v>72</v>
      </c>
      <c r="T4" s="79" t="s">
        <v>96</v>
      </c>
      <c r="U4" s="78" t="s">
        <v>97</v>
      </c>
      <c r="V4" s="77"/>
      <c r="W4" s="77"/>
      <c r="X4" s="76"/>
    </row>
    <row r="5" spans="1:41" ht="15" customHeight="1" x14ac:dyDescent="0.3">
      <c r="A5" t="s">
        <v>152</v>
      </c>
      <c r="B5" s="74" t="str">
        <f>A5</f>
        <v>4 - RASA - MVT</v>
      </c>
      <c r="C5" s="73">
        <f ca="1">INDEX(INDIRECT("'"&amp;$A5&amp;"'!$1:$1048576"),MATCH(C$4,INDIRECT("'"&amp;$A5&amp;"'!A:A"),0),MATCH(C$1,INDIRECT("'"&amp;$A5&amp;"'!$5:$5"),0))</f>
        <v>58927.179999999993</v>
      </c>
      <c r="D5" s="72" cm="1">
        <f t="array" aca="1" ref="D5" ca="1">INDEX(INDIRECT("'"&amp;$A5&amp;"'!$1:$1048576"),MATCH(D$4,INDIRECT("'"&amp;$A5&amp;"'!A:A"),0),MATCH(D$1,INDIRECT("'"&amp;$A5&amp;"'!$5:$5"),0)+1)</f>
        <v>0.21768257025026486</v>
      </c>
      <c r="E5" s="72" cm="1">
        <f t="array" aca="1" ref="E5" ca="1">INDEX(INDIRECT("'"&amp;$A5&amp;"'!$1:$1048576"),MATCH(E$4,INDIRECT("'"&amp;$A5&amp;"'!A:A"),0),MATCH(E$1,INDIRECT("'"&amp;$A5&amp;"'!$5:$5"),0)+1)</f>
        <v>0.21392165720470591</v>
      </c>
      <c r="F5" s="66" cm="1">
        <f t="array" aca="1" ref="F5" ca="1">INDEX(INDIRECT("'"&amp;$A5&amp;"'!$1:$1048576"),MATCH(F$4,INDIRECT("'"&amp;$A5&amp;"'!A:A"),0),MATCH(F$1,INDIRECT("'"&amp;$A5&amp;"'!$5:$5"),0)+1)</f>
        <v>0.56839577254502915</v>
      </c>
      <c r="G5" s="69">
        <f ca="1">INDEX(INDIRECT("'"&amp;$A5&amp;"'!$1:$1048576"),MATCH(G$4,INDIRECT("'"&amp;$A5&amp;"'!A:A"),0),MATCH(G$1,INDIRECT("'"&amp;$A5&amp;"'!$5:$5"),0))</f>
        <v>160996.48000000004</v>
      </c>
      <c r="H5" s="67" cm="1">
        <f t="array" aca="1" ref="H5" ca="1">INDEX(INDIRECT("'"&amp;$A5&amp;"'!$1:$1048576"),MATCH(H$4,INDIRECT("'"&amp;$A5&amp;"'!A:A"),0),MATCH(H$1,INDIRECT("'"&amp;$A5&amp;"'!$5:$5"),0)+1)</f>
        <v>0.2292122163167791</v>
      </c>
      <c r="I5" s="67" cm="1">
        <f t="array" aca="1" ref="I5" ca="1">INDEX(INDIRECT("'"&amp;$A5&amp;"'!$1:$1048576"),MATCH(I$4,INDIRECT("'"&amp;$A5&amp;"'!A:A"),0),MATCH(I$1,INDIRECT("'"&amp;$A5&amp;"'!$5:$5"),0)+1)</f>
        <v>0.21409151305668303</v>
      </c>
      <c r="J5" s="66" cm="1">
        <f t="array" aca="1" ref="J5" ca="1">INDEX(INDIRECT("'"&amp;$A5&amp;"'!$1:$1048576"),MATCH(J$4,INDIRECT("'"&amp;$A5&amp;"'!A:A"),0),MATCH(J$1,INDIRECT("'"&amp;$A5&amp;"'!$5:$5"),0)+1)</f>
        <v>0.55669627062653804</v>
      </c>
      <c r="K5" s="69">
        <f ca="1">INDEX(INDIRECT("'"&amp;$A5&amp;"'!$1:$1048576"),MATCH(K$4,INDIRECT("'"&amp;$A5&amp;"'!A:A"),0),MATCH(K$1,INDIRECT("'"&amp;$A5&amp;"'!$5:$5"),0))</f>
        <v>52261.649999999994</v>
      </c>
      <c r="L5" s="67" cm="1">
        <f t="array" aca="1" ref="L5" ca="1">INDEX(INDIRECT("'"&amp;$A5&amp;"'!$1:$1048576"),MATCH(L$4,INDIRECT("'"&amp;$A5&amp;"'!A:A"),0),MATCH(L$1,INDIRECT("'"&amp;$A5&amp;"'!$5:$5"),0)+1)</f>
        <v>0.23355476721458282</v>
      </c>
      <c r="M5" s="67" cm="1">
        <f t="array" aca="1" ref="M5" ca="1">INDEX(INDIRECT("'"&amp;$A5&amp;"'!$1:$1048576"),MATCH(M$4,INDIRECT("'"&amp;$A5&amp;"'!A:A"),0),MATCH(M$1,INDIRECT("'"&amp;$A5&amp;"'!$5:$5"),0)+1)</f>
        <v>0.21506061327952719</v>
      </c>
      <c r="N5" s="70" cm="1">
        <f t="array" aca="1" ref="N5" ca="1">INDEX(INDIRECT("'"&amp;$A5&amp;"'!$1:$1048576"),MATCH(N$4,INDIRECT("'"&amp;$A5&amp;"'!A:A"),0),MATCH(N$1,INDIRECT("'"&amp;$A5&amp;"'!$5:$5"),0)+1)</f>
        <v>0.55138461950589013</v>
      </c>
      <c r="O5" s="68">
        <f ca="1">+(C5-K5)/K5</f>
        <v>0.12754151466706465</v>
      </c>
      <c r="P5" s="67">
        <f t="shared" ref="P5:Q9" ca="1" si="0">+D5-L5</f>
        <v>-1.5872196964317964E-2</v>
      </c>
      <c r="Q5" s="66">
        <f t="shared" ca="1" si="0"/>
        <v>-1.1389560748212846E-3</v>
      </c>
      <c r="R5" s="69">
        <f ca="1">INDEX(INDIRECT("'"&amp;$A5&amp;"'!$1:$1048576"),MATCH(R$4,INDIRECT("'"&amp;$A5&amp;"'!A:A"),0),MATCH(R$1,INDIRECT("'"&amp;$A5&amp;"'!$5:$5"),0))</f>
        <v>49742.203750000001</v>
      </c>
      <c r="S5" s="67" cm="1">
        <f t="array" aca="1" ref="S5" ca="1">INDEX(INDIRECT("'"&amp;$A5&amp;"'!$1:$1048576"),MATCH(S$4,INDIRECT("'"&amp;$A5&amp;"'!A:A"),0),MATCH(S$1,INDIRECT("'"&amp;$A5&amp;"'!$5:$5"),0)+1)</f>
        <v>0.24563361851453955</v>
      </c>
      <c r="T5" s="67" cm="1">
        <f t="array" aca="1" ref="T5" ca="1">INDEX(INDIRECT("'"&amp;$A5&amp;"'!$1:$1048576"),MATCH(T$4,INDIRECT("'"&amp;$A5&amp;"'!A:A"),0),MATCH(T$1,INDIRECT("'"&amp;$A5&amp;"'!$5:$5"),0)+1)</f>
        <v>0.21269752749947274</v>
      </c>
      <c r="U5" s="66" cm="1">
        <f t="array" aca="1" ref="U5" ca="1">INDEX(INDIRECT("'"&amp;$A5&amp;"'!$1:$1048576"),MATCH(U$4,INDIRECT("'"&amp;$A5&amp;"'!A:A"),0),MATCH(U$1,INDIRECT("'"&amp;$A5&amp;"'!$5:$5"),0)+1)</f>
        <v>0.54166885398598763</v>
      </c>
      <c r="V5" s="68">
        <f ca="1">+(C5-R5)/R5</f>
        <v>0.18465157467013094</v>
      </c>
      <c r="W5" s="67">
        <f t="shared" ref="W5:X9" ca="1" si="1">+D5-S5</f>
        <v>-2.7951048264274692E-2</v>
      </c>
      <c r="X5" s="66">
        <f t="shared" ca="1" si="1"/>
        <v>1.2241297052331679E-3</v>
      </c>
      <c r="Z5" s="75"/>
      <c r="AK5" t="s">
        <v>211</v>
      </c>
      <c r="AL5" s="45">
        <v>46033</v>
      </c>
      <c r="AM5">
        <f t="shared" ref="AM5:AM51" si="2">YEAR(AL5)</f>
        <v>2026</v>
      </c>
      <c r="AN5" t="str">
        <f t="shared" ref="AN5:AN51" si="3">AK5&amp;", "&amp;AM5</f>
        <v>Week 2, 2026</v>
      </c>
      <c r="AO5" t="str">
        <f t="shared" ref="AO5:AO51" si="4">"Week Ending "&amp;TEXT(AL5,"mm/dd/yyyy")</f>
        <v>Week Ending 01/11/2026</v>
      </c>
    </row>
    <row r="6" spans="1:41" ht="15" customHeight="1" x14ac:dyDescent="0.3">
      <c r="A6" t="s">
        <v>210</v>
      </c>
      <c r="B6" s="74" t="str">
        <f>A6</f>
        <v>5 - RASA - National Landin</v>
      </c>
      <c r="C6" s="73">
        <f ca="1">INDEX(INDIRECT("'"&amp;$A6&amp;"'!$1:$1048576"),MATCH(C$4,INDIRECT("'"&amp;$A6&amp;"'!A:A"),0),MATCH(C$1,INDIRECT("'"&amp;$A6&amp;"'!$5:$5"),0))</f>
        <v>44759.229999999996</v>
      </c>
      <c r="D6" s="72" cm="1">
        <f t="array" aca="1" ref="D6" ca="1">INDEX(INDIRECT("'"&amp;$A6&amp;"'!$1:$1048576"),MATCH(D$4,INDIRECT("'"&amp;$A6&amp;"'!A:A"),0),MATCH(D$1,INDIRECT("'"&amp;$A6&amp;"'!$5:$5"),0)+1)</f>
        <v>0.25096454965824938</v>
      </c>
      <c r="E6" s="72" cm="1">
        <f t="array" aca="1" ref="E6" ca="1">INDEX(INDIRECT("'"&amp;$A6&amp;"'!$1:$1048576"),MATCH(E$4,INDIRECT("'"&amp;$A6&amp;"'!A:A"),0),MATCH(E$1,INDIRECT("'"&amp;$A6&amp;"'!$5:$5"),0)+1)</f>
        <v>0.22153888706307054</v>
      </c>
      <c r="F6" s="66" cm="1">
        <f t="array" aca="1" ref="F6" ca="1">INDEX(INDIRECT("'"&amp;$A6&amp;"'!$1:$1048576"),MATCH(F$4,INDIRECT("'"&amp;$A6&amp;"'!A:A"),0),MATCH(F$1,INDIRECT("'"&amp;$A6&amp;"'!$5:$5"),0)+1)</f>
        <v>0.52749656327868</v>
      </c>
      <c r="G6" s="69">
        <f ca="1">INDEX(INDIRECT("'"&amp;$A6&amp;"'!$1:$1048576"),MATCH(G$4,INDIRECT("'"&amp;$A6&amp;"'!A:A"),0),MATCH(G$1,INDIRECT("'"&amp;$A6&amp;"'!$5:$5"),0))</f>
        <v>107644.49999999999</v>
      </c>
      <c r="H6" s="67" cm="1">
        <f t="array" aca="1" ref="H6" ca="1">INDEX(INDIRECT("'"&amp;$A6&amp;"'!$1:$1048576"),MATCH(H$4,INDIRECT("'"&amp;$A6&amp;"'!A:A"),0),MATCH(H$1,INDIRECT("'"&amp;$A6&amp;"'!$5:$5"),0)+1)</f>
        <v>0.24625438364245267</v>
      </c>
      <c r="I6" s="67" cm="1">
        <f t="array" aca="1" ref="I6" ca="1">INDEX(INDIRECT("'"&amp;$A6&amp;"'!$1:$1048576"),MATCH(I$4,INDIRECT("'"&amp;$A6&amp;"'!A:A"),0),MATCH(I$1,INDIRECT("'"&amp;$A6&amp;"'!$5:$5"),0)+1)</f>
        <v>0.2416120656419975</v>
      </c>
      <c r="J6" s="66" cm="1">
        <f t="array" aca="1" ref="J6" ca="1">INDEX(INDIRECT("'"&amp;$A6&amp;"'!$1:$1048576"),MATCH(J$4,INDIRECT("'"&amp;$A6&amp;"'!A:A"),0),MATCH(J$1,INDIRECT("'"&amp;$A6&amp;"'!$5:$5"),0)+1)</f>
        <v>0.51213355071554978</v>
      </c>
      <c r="K6" s="69">
        <f ca="1">INDEX(INDIRECT("'"&amp;$A6&amp;"'!$1:$1048576"),MATCH(K$4,INDIRECT("'"&amp;$A6&amp;"'!A:A"),0),MATCH(K$1,INDIRECT("'"&amp;$A6&amp;"'!$5:$5"),0))</f>
        <v>35520.662499999991</v>
      </c>
      <c r="L6" s="67" cm="1">
        <f t="array" aca="1" ref="L6" ca="1">INDEX(INDIRECT("'"&amp;$A6&amp;"'!$1:$1048576"),MATCH(L$4,INDIRECT("'"&amp;$A6&amp;"'!A:A"),0),MATCH(L$1,INDIRECT("'"&amp;$A6&amp;"'!$5:$5"),0)+1)</f>
        <v>0.24766211778848443</v>
      </c>
      <c r="M6" s="67" cm="1">
        <f t="array" aca="1" ref="M6" ca="1">INDEX(INDIRECT("'"&amp;$A6&amp;"'!$1:$1048576"),MATCH(M$4,INDIRECT("'"&amp;$A6&amp;"'!A:A"),0),MATCH(M$1,INDIRECT("'"&amp;$A6&amp;"'!$5:$5"),0)+1)</f>
        <v>0.24250188182723223</v>
      </c>
      <c r="N6" s="70" cm="1">
        <f t="array" aca="1" ref="N6" ca="1">INDEX(INDIRECT("'"&amp;$A6&amp;"'!$1:$1048576"),MATCH(N$4,INDIRECT("'"&amp;$A6&amp;"'!A:A"),0),MATCH(N$1,INDIRECT("'"&amp;$A6&amp;"'!$5:$5"),0)+1)</f>
        <v>0.50983600038428334</v>
      </c>
      <c r="O6" s="68">
        <f ca="1">+(C6-K6)/K6</f>
        <v>0.26008995468482626</v>
      </c>
      <c r="P6" s="67">
        <f t="shared" ca="1" si="0"/>
        <v>3.3024318697649491E-3</v>
      </c>
      <c r="Q6" s="66">
        <f t="shared" ca="1" si="0"/>
        <v>-2.0962994764161691E-2</v>
      </c>
      <c r="R6" s="69">
        <f ca="1">INDEX(INDIRECT("'"&amp;$A6&amp;"'!$1:$1048576"),MATCH(R$4,INDIRECT("'"&amp;$A6&amp;"'!A:A"),0),MATCH(R$1,INDIRECT("'"&amp;$A6&amp;"'!$5:$5"),0))</f>
        <v>31040.512499999997</v>
      </c>
      <c r="S6" s="67" cm="1">
        <f t="array" aca="1" ref="S6" ca="1">INDEX(INDIRECT("'"&amp;$A6&amp;"'!$1:$1048576"),MATCH(S$4,INDIRECT("'"&amp;$A6&amp;"'!A:A"),0),MATCH(S$1,INDIRECT("'"&amp;$A6&amp;"'!$5:$5"),0)+1)</f>
        <v>0.25793767097112208</v>
      </c>
      <c r="T6" s="67" cm="1">
        <f t="array" aca="1" ref="T6" ca="1">INDEX(INDIRECT("'"&amp;$A6&amp;"'!$1:$1048576"),MATCH(T$4,INDIRECT("'"&amp;$A6&amp;"'!A:A"),0),MATCH(T$1,INDIRECT("'"&amp;$A6&amp;"'!$5:$5"),0)+1)</f>
        <v>0.25950703133525904</v>
      </c>
      <c r="U6" s="66" cm="1">
        <f t="array" aca="1" ref="U6" ca="1">INDEX(INDIRECT("'"&amp;$A6&amp;"'!$1:$1048576"),MATCH(U$4,INDIRECT("'"&amp;$A6&amp;"'!A:A"),0),MATCH(U$1,INDIRECT("'"&amp;$A6&amp;"'!$5:$5"),0)+1)</f>
        <v>0.48255529769361882</v>
      </c>
      <c r="V6" s="68">
        <f ca="1">+(C6-R6)/R6</f>
        <v>0.44196169441467825</v>
      </c>
      <c r="W6" s="67">
        <f t="shared" ca="1" si="1"/>
        <v>-6.9731213128726988E-3</v>
      </c>
      <c r="X6" s="66">
        <f t="shared" ca="1" si="1"/>
        <v>-3.7968144272188503E-2</v>
      </c>
      <c r="Z6" s="75"/>
      <c r="AK6" t="s">
        <v>209</v>
      </c>
      <c r="AL6" s="45">
        <v>46040</v>
      </c>
      <c r="AM6">
        <f t="shared" si="2"/>
        <v>2026</v>
      </c>
      <c r="AN6" t="str">
        <f t="shared" si="3"/>
        <v>Week 3, 2026</v>
      </c>
      <c r="AO6" t="str">
        <f t="shared" si="4"/>
        <v>Week Ending 01/18/2026</v>
      </c>
    </row>
    <row r="7" spans="1:41" ht="14.4" x14ac:dyDescent="0.3">
      <c r="A7" t="s">
        <v>154</v>
      </c>
      <c r="B7" s="74" t="str">
        <f>A7</f>
        <v>6 - RASA - Mosaic</v>
      </c>
      <c r="C7" s="73">
        <f ca="1">INDEX(INDIRECT("'"&amp;$A7&amp;"'!$1:$1048576"),MATCH(C$4,INDIRECT("'"&amp;$A7&amp;"'!A:A"),0),MATCH(C$1,INDIRECT("'"&amp;$A7&amp;"'!$5:$5"),0))</f>
        <v>32059.54</v>
      </c>
      <c r="D7" s="72" cm="1">
        <f t="array" aca="1" ref="D7" ca="1">INDEX(INDIRECT("'"&amp;$A7&amp;"'!$1:$1048576"),MATCH(D$4,INDIRECT("'"&amp;$A7&amp;"'!A:A"),0),MATCH(D$1,INDIRECT("'"&amp;$A7&amp;"'!$5:$5"),0)+1)</f>
        <v>0.26725679782055517</v>
      </c>
      <c r="E7" s="72" cm="1">
        <f t="array" aca="1" ref="E7" ca="1">INDEX(INDIRECT("'"&amp;$A7&amp;"'!$1:$1048576"),MATCH(E$4,INDIRECT("'"&amp;$A7&amp;"'!A:A"),0),MATCH(E$1,INDIRECT("'"&amp;$A7&amp;"'!$5:$5"),0)+1)</f>
        <v>0.25592319789990747</v>
      </c>
      <c r="F7" s="66" cm="1">
        <f t="array" aca="1" ref="F7" ca="1">INDEX(INDIRECT("'"&amp;$A7&amp;"'!$1:$1048576"),MATCH(F$4,INDIRECT("'"&amp;$A7&amp;"'!A:A"),0),MATCH(F$1,INDIRECT("'"&amp;$A7&amp;"'!$5:$5"),0)+1)</f>
        <v>0.47682000427953736</v>
      </c>
      <c r="G7" s="69">
        <f ca="1">INDEX(INDIRECT("'"&amp;$A7&amp;"'!$1:$1048576"),MATCH(G$4,INDIRECT("'"&amp;$A7&amp;"'!A:A"),0),MATCH(G$1,INDIRECT("'"&amp;$A7&amp;"'!$5:$5"),0))</f>
        <v>100281.06</v>
      </c>
      <c r="H7" s="67" cm="1">
        <f t="array" aca="1" ref="H7" ca="1">INDEX(INDIRECT("'"&amp;$A7&amp;"'!$1:$1048576"),MATCH(H$4,INDIRECT("'"&amp;$A7&amp;"'!A:A"),0),MATCH(H$1,INDIRECT("'"&amp;$A7&amp;"'!$5:$5"),0)+1)</f>
        <v>0.25565395898288273</v>
      </c>
      <c r="I7" s="67" cm="1">
        <f t="array" aca="1" ref="I7" ca="1">INDEX(INDIRECT("'"&amp;$A7&amp;"'!$1:$1048576"),MATCH(I$4,INDIRECT("'"&amp;$A7&amp;"'!A:A"),0),MATCH(I$1,INDIRECT("'"&amp;$A7&amp;"'!$5:$5"),0)+1)</f>
        <v>0.22217086656243959</v>
      </c>
      <c r="J7" s="66" cm="1">
        <f t="array" aca="1" ref="J7" ca="1">INDEX(INDIRECT("'"&amp;$A7&amp;"'!$1:$1048576"),MATCH(J$4,INDIRECT("'"&amp;$A7&amp;"'!A:A"),0),MATCH(J$1,INDIRECT("'"&amp;$A7&amp;"'!$5:$5"),0)+1)</f>
        <v>0.52217517445467765</v>
      </c>
      <c r="K7" s="69">
        <f ca="1">INDEX(INDIRECT("'"&amp;$A7&amp;"'!$1:$1048576"),MATCH(K$4,INDIRECT("'"&amp;$A7&amp;"'!A:A"),0),MATCH(K$1,INDIRECT("'"&amp;$A7&amp;"'!$5:$5"),0))</f>
        <v>33414.115000000005</v>
      </c>
      <c r="L7" s="67" cm="1">
        <f t="array" aca="1" ref="L7" ca="1">INDEX(INDIRECT("'"&amp;$A7&amp;"'!$1:$1048576"),MATCH(L$4,INDIRECT("'"&amp;$A7&amp;"'!A:A"),0),MATCH(L$1,INDIRECT("'"&amp;$A7&amp;"'!$5:$5"),0)+1)</f>
        <v>0.25658161229169169</v>
      </c>
      <c r="M7" s="67" cm="1">
        <f t="array" aca="1" ref="M7" ca="1">INDEX(INDIRECT("'"&amp;$A7&amp;"'!$1:$1048576"),MATCH(M$4,INDIRECT("'"&amp;$A7&amp;"'!A:A"),0),MATCH(M$1,INDIRECT("'"&amp;$A7&amp;"'!$5:$5"),0)+1)</f>
        <v>0.22723555599183162</v>
      </c>
      <c r="N7" s="70" cm="1">
        <f t="array" aca="1" ref="N7" ca="1">INDEX(INDIRECT("'"&amp;$A7&amp;"'!$1:$1048576"),MATCH(N$4,INDIRECT("'"&amp;$A7&amp;"'!A:A"),0),MATCH(N$1,INDIRECT("'"&amp;$A7&amp;"'!$5:$5"),0)+1)</f>
        <v>0.51618283171647683</v>
      </c>
      <c r="O7" s="68">
        <f ca="1">+(C7-K7)/K7</f>
        <v>-4.0539005746523714E-2</v>
      </c>
      <c r="P7" s="67">
        <f t="shared" ca="1" si="0"/>
        <v>1.0675185528863484E-2</v>
      </c>
      <c r="Q7" s="66">
        <f t="shared" ca="1" si="0"/>
        <v>2.868764190807585E-2</v>
      </c>
      <c r="R7" s="69">
        <f ca="1">INDEX(INDIRECT("'"&amp;$A7&amp;"'!$1:$1048576"),MATCH(R$4,INDIRECT("'"&amp;$A7&amp;"'!A:A"),0),MATCH(R$1,INDIRECT("'"&amp;$A7&amp;"'!$5:$5"),0))</f>
        <v>30788.108750000003</v>
      </c>
      <c r="S7" s="67" cm="1">
        <f t="array" aca="1" ref="S7" ca="1">INDEX(INDIRECT("'"&amp;$A7&amp;"'!$1:$1048576"),MATCH(S$4,INDIRECT("'"&amp;$A7&amp;"'!A:A"),0),MATCH(S$1,INDIRECT("'"&amp;$A7&amp;"'!$5:$5"),0)+1)</f>
        <v>0.27061921268548206</v>
      </c>
      <c r="T7" s="67" cm="1">
        <f t="array" aca="1" ref="T7" ca="1">INDEX(INDIRECT("'"&amp;$A7&amp;"'!$1:$1048576"),MATCH(T$4,INDIRECT("'"&amp;$A7&amp;"'!A:A"),0),MATCH(T$1,INDIRECT("'"&amp;$A7&amp;"'!$5:$5"),0)+1)</f>
        <v>0.24773939711382892</v>
      </c>
      <c r="U7" s="66" cm="1">
        <f t="array" aca="1" ref="U7" ca="1">INDEX(INDIRECT("'"&amp;$A7&amp;"'!$1:$1048576"),MATCH(U$4,INDIRECT("'"&amp;$A7&amp;"'!A:A"),0),MATCH(U$1,INDIRECT("'"&amp;$A7&amp;"'!$5:$5"),0)+1)</f>
        <v>0.48164139020068919</v>
      </c>
      <c r="V7" s="68">
        <f ca="1">+(C7-R7)/R7</f>
        <v>4.1296178999627502E-2</v>
      </c>
      <c r="W7" s="67">
        <f t="shared" ca="1" si="1"/>
        <v>-3.3624148649268881E-3</v>
      </c>
      <c r="X7" s="66">
        <f t="shared" ca="1" si="1"/>
        <v>8.1838007860785544E-3</v>
      </c>
      <c r="AK7" t="s">
        <v>208</v>
      </c>
      <c r="AL7" s="45">
        <v>46047</v>
      </c>
      <c r="AM7">
        <f t="shared" si="2"/>
        <v>2026</v>
      </c>
      <c r="AN7" t="str">
        <f t="shared" si="3"/>
        <v>Week 4, 2026</v>
      </c>
      <c r="AO7" t="str">
        <f t="shared" si="4"/>
        <v>Week Ending 01/25/2026</v>
      </c>
    </row>
    <row r="8" spans="1:41" ht="14.4" x14ac:dyDescent="0.3">
      <c r="A8" t="s">
        <v>155</v>
      </c>
      <c r="B8" s="74" t="str">
        <f>A8</f>
        <v>7 - RASA - Rockville</v>
      </c>
      <c r="C8" s="73">
        <f ca="1">INDEX(INDIRECT("'"&amp;$A8&amp;"'!$1:$1048576"),MATCH(C$4,INDIRECT("'"&amp;$A8&amp;"'!A:A"),0),MATCH(C$1,INDIRECT("'"&amp;$A8&amp;"'!$5:$5"),0))</f>
        <v>30193.299999999992</v>
      </c>
      <c r="D8" s="72" cm="1">
        <f t="array" aca="1" ref="D8" ca="1">INDEX(INDIRECT("'"&amp;$A8&amp;"'!$1:$1048576"),MATCH(D$4,INDIRECT("'"&amp;$A8&amp;"'!A:A"),0),MATCH(D$1,INDIRECT("'"&amp;$A8&amp;"'!$5:$5"),0)+1)</f>
        <v>0.22809000672334589</v>
      </c>
      <c r="E8" s="72" cm="1">
        <f t="array" aca="1" ref="E8" ca="1">INDEX(INDIRECT("'"&amp;$A8&amp;"'!$1:$1048576"),MATCH(E$4,INDIRECT("'"&amp;$A8&amp;"'!A:A"),0),MATCH(E$1,INDIRECT("'"&amp;$A8&amp;"'!$5:$5"),0)+1)</f>
        <v>0.31800101346987575</v>
      </c>
      <c r="F8" s="71" cm="1">
        <f t="array" aca="1" ref="F8" ca="1">INDEX(INDIRECT("'"&amp;$A8&amp;"'!$1:$1048576"),MATCH(F$4,INDIRECT("'"&amp;$A8&amp;"'!A:A"),0),MATCH(F$1,INDIRECT("'"&amp;$A8&amp;"'!$5:$5"),0)+1)</f>
        <v>0.45390897980677819</v>
      </c>
      <c r="G8" s="69">
        <f ca="1">INDEX(INDIRECT("'"&amp;$A8&amp;"'!$1:$1048576"),MATCH(G$4,INDIRECT("'"&amp;$A8&amp;"'!A:A"),0),MATCH(G$1,INDIRECT("'"&amp;$A8&amp;"'!$5:$5"),0))</f>
        <v>86405.020000000019</v>
      </c>
      <c r="H8" s="67" cm="1">
        <f t="array" aca="1" ref="H8" ca="1">INDEX(INDIRECT("'"&amp;$A8&amp;"'!$1:$1048576"),MATCH(H$4,INDIRECT("'"&amp;$A8&amp;"'!A:A"),0),MATCH(H$1,INDIRECT("'"&amp;$A8&amp;"'!$5:$5"),0)+1)</f>
        <v>0.27145482982354496</v>
      </c>
      <c r="I8" s="67" cm="1">
        <f t="array" aca="1" ref="I8" ca="1">INDEX(INDIRECT("'"&amp;$A8&amp;"'!$1:$1048576"),MATCH(I$4,INDIRECT("'"&amp;$A8&amp;"'!A:A"),0),MATCH(I$1,INDIRECT("'"&amp;$A8&amp;"'!$5:$5"),0)+1)</f>
        <v>0.3024886748478271</v>
      </c>
      <c r="J8" s="66" cm="1">
        <f t="array" aca="1" ref="J8" ca="1">INDEX(INDIRECT("'"&amp;$A8&amp;"'!$1:$1048576"),MATCH(J$4,INDIRECT("'"&amp;$A8&amp;"'!A:A"),0),MATCH(J$1,INDIRECT("'"&amp;$A8&amp;"'!$5:$5"),0)+1)</f>
        <v>0.42605649532862822</v>
      </c>
      <c r="K8" s="69">
        <f ca="1">INDEX(INDIRECT("'"&amp;$A8&amp;"'!$1:$1048576"),MATCH(K$4,INDIRECT("'"&amp;$A8&amp;"'!A:A"),0),MATCH(K$1,INDIRECT("'"&amp;$A8&amp;"'!$5:$5"),0))</f>
        <v>30058.46</v>
      </c>
      <c r="L8" s="67" cm="1">
        <f t="array" aca="1" ref="L8" ca="1">INDEX(INDIRECT("'"&amp;$A8&amp;"'!$1:$1048576"),MATCH(L$4,INDIRECT("'"&amp;$A8&amp;"'!A:A"),0),MATCH(L$1,INDIRECT("'"&amp;$A8&amp;"'!$5:$5"),0)+1)</f>
        <v>0.26834125899996214</v>
      </c>
      <c r="M8" s="67" cm="1">
        <f t="array" aca="1" ref="M8" ca="1">INDEX(INDIRECT("'"&amp;$A8&amp;"'!$1:$1048576"),MATCH(M$4,INDIRECT("'"&amp;$A8&amp;"'!A:A"),0),MATCH(M$1,INDIRECT("'"&amp;$A8&amp;"'!$5:$5"),0)+1)</f>
        <v>0.28920210815856834</v>
      </c>
      <c r="N8" s="70" cm="1">
        <f t="array" aca="1" ref="N8" ca="1">INDEX(INDIRECT("'"&amp;$A8&amp;"'!$1:$1048576"),MATCH(N$4,INDIRECT("'"&amp;$A8&amp;"'!A:A"),0),MATCH(N$1,INDIRECT("'"&amp;$A8&amp;"'!$5:$5"),0)+1)</f>
        <v>0.44245663284146958</v>
      </c>
      <c r="O8" s="68">
        <f ca="1">+(C8-K8)/K8</f>
        <v>4.485925093966653E-3</v>
      </c>
      <c r="P8" s="67">
        <f t="shared" ca="1" si="0"/>
        <v>-4.0251252276616245E-2</v>
      </c>
      <c r="Q8" s="66">
        <f t="shared" ca="1" si="0"/>
        <v>2.879890531130741E-2</v>
      </c>
      <c r="R8" s="69">
        <f ca="1">INDEX(INDIRECT("'"&amp;$A8&amp;"'!$1:$1048576"),MATCH(R$4,INDIRECT("'"&amp;$A8&amp;"'!A:A"),0),MATCH(R$1,INDIRECT("'"&amp;$A8&amp;"'!$5:$5"),0))</f>
        <v>28359.969999999998</v>
      </c>
      <c r="S8" s="67" cm="1">
        <f t="array" aca="1" ref="S8" ca="1">INDEX(INDIRECT("'"&amp;$A8&amp;"'!$1:$1048576"),MATCH(S$4,INDIRECT("'"&amp;$A8&amp;"'!A:A"),0),MATCH(S$1,INDIRECT("'"&amp;$A8&amp;"'!$5:$5"),0)+1)</f>
        <v>0.27567029337478149</v>
      </c>
      <c r="T8" s="67" cm="1">
        <f t="array" aca="1" ref="T8" ca="1">INDEX(INDIRECT("'"&amp;$A8&amp;"'!$1:$1048576"),MATCH(T$4,INDIRECT("'"&amp;$A8&amp;"'!A:A"),0),MATCH(T$1,INDIRECT("'"&amp;$A8&amp;"'!$5:$5"),0)+1)</f>
        <v>0.2913017009538445</v>
      </c>
      <c r="U8" s="66" cm="1">
        <f t="array" aca="1" ref="U8" ca="1">INDEX(INDIRECT("'"&amp;$A8&amp;"'!$1:$1048576"),MATCH(U$4,INDIRECT("'"&amp;$A8&amp;"'!A:A"),0),MATCH(U$1,INDIRECT("'"&amp;$A8&amp;"'!$5:$5"),0)+1)</f>
        <v>0.43302800567137423</v>
      </c>
      <c r="V8" s="68">
        <f ca="1">+(C8-R8)/R8</f>
        <v>6.4644990809228448E-2</v>
      </c>
      <c r="W8" s="67">
        <f t="shared" ca="1" si="1"/>
        <v>-4.7580286651435599E-2</v>
      </c>
      <c r="X8" s="66">
        <f t="shared" ca="1" si="1"/>
        <v>2.6699312516031248E-2</v>
      </c>
      <c r="AK8" t="s">
        <v>207</v>
      </c>
      <c r="AL8" s="45">
        <v>46054</v>
      </c>
      <c r="AM8">
        <f t="shared" si="2"/>
        <v>2026</v>
      </c>
      <c r="AN8" t="str">
        <f t="shared" si="3"/>
        <v>Week 5, 2026</v>
      </c>
      <c r="AO8" t="str">
        <f t="shared" si="4"/>
        <v>Week Ending 02/01/2026</v>
      </c>
    </row>
    <row r="9" spans="1:41" ht="15" customHeight="1" thickBot="1" x14ac:dyDescent="0.35">
      <c r="A9" t="s">
        <v>2</v>
      </c>
      <c r="B9" s="65" t="s">
        <v>206</v>
      </c>
      <c r="C9" s="63">
        <f ca="1">INDEX(INDIRECT("'"&amp;$A9&amp;"'!$1:$1048576"),MATCH(C$4,INDIRECT("'"&amp;$A9&amp;"'!A:A"),0),MATCH(C$1,INDIRECT("'"&amp;$A9&amp;"'!$5:$5"),0))</f>
        <v>165939.24999999991</v>
      </c>
      <c r="D9" s="61" cm="1">
        <f t="array" aca="1" ref="D9" ca="1">INDEX(INDIRECT("'"&amp;$A9&amp;"'!$1:$1048576"),MATCH(D$4,INDIRECT("'"&amp;$A9&amp;"'!A:A"),0),MATCH(D$1,INDIRECT("'"&amp;$A9&amp;"'!$5:$5"),0)+1)</f>
        <v>0.23813124381362466</v>
      </c>
      <c r="E9" s="61" cm="1">
        <f t="array" aca="1" ref="E9" ca="1">INDEX(INDIRECT("'"&amp;$A9&amp;"'!$1:$1048576"),MATCH(E$4,INDIRECT("'"&amp;$A9&amp;"'!A:A"),0),MATCH(E$1,INDIRECT("'"&amp;$A9&amp;"'!$5:$5"),0)+1)</f>
        <v>0.24302863849270137</v>
      </c>
      <c r="F9" s="60" cm="1">
        <f t="array" aca="1" ref="F9" ca="1">INDEX(INDIRECT("'"&amp;$A9&amp;"'!$1:$1048576"),MATCH(F$4,INDIRECT("'"&amp;$A9&amp;"'!A:A"),0),MATCH(F$1,INDIRECT("'"&amp;$A9&amp;"'!$5:$5"),0)+1)</f>
        <v>0.51884011769367355</v>
      </c>
      <c r="G9" s="63">
        <f ca="1">INDEX(INDIRECT("'"&amp;$A9&amp;"'!$1:$1048576"),MATCH(G$4,INDIRECT("'"&amp;$A9&amp;"'!A:A"),0),MATCH(G$1,INDIRECT("'"&amp;$A9&amp;"'!$5:$5"),0))</f>
        <v>455327.06000000011</v>
      </c>
      <c r="H9" s="61" cm="1">
        <f t="array" aca="1" ref="H9" ca="1">INDEX(INDIRECT("'"&amp;$A9&amp;"'!$1:$1048576"),MATCH(H$4,INDIRECT("'"&amp;$A9&amp;"'!A:A"),0),MATCH(H$1,INDIRECT("'"&amp;$A9&amp;"'!$5:$5"),0)+1)</f>
        <v>0.24708085656055673</v>
      </c>
      <c r="I9" s="61" cm="1">
        <f t="array" aca="1" ref="I9" ca="1">INDEX(INDIRECT("'"&amp;$A9&amp;"'!$1:$1048576"),MATCH(I$4,INDIRECT("'"&amp;$A9&amp;"'!A:A"),0),MATCH(I$1,INDIRECT("'"&amp;$A9&amp;"'!$5:$5"),0)+1)</f>
        <v>0.23915174292518437</v>
      </c>
      <c r="J9" s="60" cm="1">
        <f t="array" aca="1" ref="J9" ca="1">INDEX(INDIRECT("'"&amp;$A9&amp;"'!$1:$1048576"),MATCH(J$4,INDIRECT("'"&amp;$A9&amp;"'!A:A"),0),MATCH(J$1,INDIRECT("'"&amp;$A9&amp;"'!$5:$5"),0)+1)</f>
        <v>0.51376740051425906</v>
      </c>
      <c r="K9" s="63">
        <f ca="1">INDEX(INDIRECT("'"&amp;$A9&amp;"'!$1:$1048576"),MATCH(K$4,INDIRECT("'"&amp;$A9&amp;"'!A:A"),0),MATCH(K$1,INDIRECT("'"&amp;$A9&amp;"'!$5:$5"),0))</f>
        <v>151254.88749999998</v>
      </c>
      <c r="L9" s="61" cm="1">
        <f t="array" aca="1" ref="L9" ca="1">INDEX(INDIRECT("'"&amp;$A9&amp;"'!$1:$1048576"),MATCH(L$4,INDIRECT("'"&amp;$A9&amp;"'!A:A"),0),MATCH(L$1,INDIRECT("'"&amp;$A9&amp;"'!$5:$5"),0)+1)</f>
        <v>0.24886767708580654</v>
      </c>
      <c r="M9" s="61" cm="1">
        <f t="array" aca="1" ref="M9" ca="1">INDEX(INDIRECT("'"&amp;$A9&amp;"'!$1:$1048576"),MATCH(M$4,INDIRECT("'"&amp;$A9&amp;"'!A:A"),0),MATCH(M$1,INDIRECT("'"&amp;$A9&amp;"'!$5:$5"),0)+1)</f>
        <v>0.2389284445436515</v>
      </c>
      <c r="N9" s="64" cm="1">
        <f t="array" aca="1" ref="N9" ca="1">INDEX(INDIRECT("'"&amp;$A9&amp;"'!$1:$1048576"),MATCH(N$4,INDIRECT("'"&amp;$A9&amp;"'!A:A"),0),MATCH(N$1,INDIRECT("'"&amp;$A9&amp;"'!$5:$5"),0)+1)</f>
        <v>0.51220387837054182</v>
      </c>
      <c r="O9" s="62">
        <f ca="1">+(C9-K9)/K9</f>
        <v>9.7083557051998948E-2</v>
      </c>
      <c r="P9" s="61">
        <f t="shared" ca="1" si="0"/>
        <v>-1.0736433272181878E-2</v>
      </c>
      <c r="Q9" s="60">
        <f t="shared" ca="1" si="0"/>
        <v>4.1001939490498684E-3</v>
      </c>
      <c r="R9" s="63">
        <f ca="1">INDEX(INDIRECT("'"&amp;$A9&amp;"'!$1:$1048576"),MATCH(R$4,INDIRECT("'"&amp;$A9&amp;"'!A:A"),0),MATCH(R$1,INDIRECT("'"&amp;$A9&amp;"'!$5:$5"),0))</f>
        <v>139930.79500000001</v>
      </c>
      <c r="S9" s="61" cm="1">
        <f t="array" aca="1" ref="S9" ca="1">INDEX(INDIRECT("'"&amp;$A9&amp;"'!$1:$1048576"),MATCH(S$4,INDIRECT("'"&amp;$A9&amp;"'!A:A"),0),MATCH(S$1,INDIRECT("'"&amp;$A9&amp;"'!$5:$5"),0)+1)</f>
        <v>0.25994799786565925</v>
      </c>
      <c r="T9" s="61" cm="1">
        <f t="array" aca="1" ref="T9" ca="1">INDEX(INDIRECT("'"&amp;$A9&amp;"'!$1:$1048576"),MATCH(T$4,INDIRECT("'"&amp;$A9&amp;"'!A:A"),0),MATCH(T$1,INDIRECT("'"&amp;$A9&amp;"'!$5:$5"),0)+1)</f>
        <v>0.24672203141560081</v>
      </c>
      <c r="U9" s="60" cm="1">
        <f t="array" aca="1" ref="U9" ca="1">INDEX(INDIRECT("'"&amp;$A9&amp;"'!$1:$1048576"),MATCH(U$4,INDIRECT("'"&amp;$A9&amp;"'!A:A"),0),MATCH(U$1,INDIRECT("'"&amp;$A9&amp;"'!$5:$5"),0)+1)</f>
        <v>0.49332997071873996</v>
      </c>
      <c r="V9" s="62">
        <f ca="1">+(C9-R9)/R9</f>
        <v>0.18586655639310773</v>
      </c>
      <c r="W9" s="61">
        <f t="shared" ca="1" si="1"/>
        <v>-2.1816754052034593E-2</v>
      </c>
      <c r="X9" s="60">
        <f t="shared" ca="1" si="1"/>
        <v>-3.6933929228994411E-3</v>
      </c>
      <c r="AK9" t="s">
        <v>205</v>
      </c>
      <c r="AL9" s="45">
        <v>46061</v>
      </c>
      <c r="AM9">
        <f t="shared" si="2"/>
        <v>2026</v>
      </c>
      <c r="AN9" t="str">
        <f t="shared" si="3"/>
        <v>Week 6, 2026</v>
      </c>
      <c r="AO9" t="str">
        <f t="shared" si="4"/>
        <v>Week Ending 02/08/2026</v>
      </c>
    </row>
    <row r="10" spans="1:41" ht="14.4" x14ac:dyDescent="0.3">
      <c r="E10" s="59"/>
      <c r="AK10" t="s">
        <v>204</v>
      </c>
      <c r="AL10" s="45">
        <v>46068</v>
      </c>
      <c r="AM10">
        <f t="shared" si="2"/>
        <v>2026</v>
      </c>
      <c r="AN10" t="str">
        <f t="shared" si="3"/>
        <v>Week 7, 2026</v>
      </c>
      <c r="AO10" t="str">
        <f t="shared" si="4"/>
        <v>Week Ending 02/15/2026</v>
      </c>
    </row>
    <row r="11" spans="1:41" s="46" customFormat="1" ht="14.4" x14ac:dyDescent="0.3">
      <c r="C11" s="58"/>
      <c r="E11" s="53"/>
      <c r="F11" s="52"/>
      <c r="K11" s="56"/>
      <c r="M11" s="56"/>
      <c r="O11" s="47"/>
      <c r="P11" s="47"/>
      <c r="Q11" s="47"/>
      <c r="V11" s="47"/>
      <c r="W11" s="47"/>
      <c r="X11" s="47"/>
      <c r="AK11" t="s">
        <v>203</v>
      </c>
      <c r="AL11" s="45">
        <v>46075</v>
      </c>
      <c r="AM11">
        <f t="shared" si="2"/>
        <v>2026</v>
      </c>
      <c r="AN11" t="str">
        <f t="shared" si="3"/>
        <v>Week 8, 2026</v>
      </c>
      <c r="AO11" t="str">
        <f t="shared" si="4"/>
        <v>Week Ending 02/22/2026</v>
      </c>
    </row>
    <row r="12" spans="1:41" s="46" customFormat="1" ht="15.6" x14ac:dyDescent="0.3">
      <c r="A12"/>
      <c r="B12" s="57" t="s">
        <v>202</v>
      </c>
      <c r="C12" s="54"/>
      <c r="E12" s="53"/>
      <c r="F12" s="52"/>
      <c r="H12" s="56"/>
      <c r="K12" s="56"/>
      <c r="L12" s="56"/>
      <c r="O12" s="47"/>
      <c r="P12" s="47"/>
      <c r="Q12" s="55"/>
      <c r="V12" s="47"/>
      <c r="W12" s="47"/>
      <c r="X12" s="47"/>
      <c r="AK12" t="s">
        <v>201</v>
      </c>
      <c r="AL12" s="45">
        <v>46082</v>
      </c>
      <c r="AM12">
        <f t="shared" si="2"/>
        <v>2026</v>
      </c>
      <c r="AN12" t="str">
        <f t="shared" si="3"/>
        <v>Week 9, 2026</v>
      </c>
      <c r="AO12" t="str">
        <f t="shared" si="4"/>
        <v>Week Ending 03/01/2026</v>
      </c>
    </row>
    <row r="13" spans="1:41" s="46" customFormat="1" ht="14.4" x14ac:dyDescent="0.3">
      <c r="A13"/>
      <c r="C13" s="54"/>
      <c r="E13" s="53"/>
      <c r="F13" s="52"/>
      <c r="O13" s="47"/>
      <c r="P13" s="47"/>
      <c r="Q13" s="47"/>
      <c r="V13" s="47"/>
      <c r="W13" s="47"/>
      <c r="X13" s="47"/>
      <c r="AK13" t="s">
        <v>200</v>
      </c>
      <c r="AL13" s="45">
        <v>46089</v>
      </c>
      <c r="AM13">
        <f t="shared" si="2"/>
        <v>2026</v>
      </c>
      <c r="AN13" t="str">
        <f t="shared" si="3"/>
        <v>Week 10, 2026</v>
      </c>
      <c r="AO13" t="str">
        <f t="shared" si="4"/>
        <v>Week Ending 03/08/2026</v>
      </c>
    </row>
    <row r="14" spans="1:41" s="46" customFormat="1" ht="14.4" x14ac:dyDescent="0.3">
      <c r="B14" s="51" t="s">
        <v>199</v>
      </c>
      <c r="C14" s="48"/>
      <c r="O14" s="47"/>
      <c r="P14" s="47"/>
      <c r="Q14" s="47"/>
      <c r="V14" s="47"/>
      <c r="W14" s="47"/>
      <c r="X14" s="47"/>
      <c r="AK14" t="s">
        <v>198</v>
      </c>
      <c r="AL14" s="45">
        <v>46124</v>
      </c>
      <c r="AM14">
        <f t="shared" si="2"/>
        <v>2026</v>
      </c>
      <c r="AN14" t="str">
        <f t="shared" si="3"/>
        <v>Week 15, 2026</v>
      </c>
      <c r="AO14" t="str">
        <f t="shared" si="4"/>
        <v>Week Ending 04/12/2026</v>
      </c>
    </row>
    <row r="15" spans="1:41" s="46" customFormat="1" ht="14.4" x14ac:dyDescent="0.3">
      <c r="B15" s="49" t="s">
        <v>182</v>
      </c>
      <c r="C15" s="48" t="s">
        <v>246</v>
      </c>
      <c r="O15" s="47"/>
      <c r="P15" s="47"/>
      <c r="Q15" s="47"/>
      <c r="V15" s="47"/>
      <c r="W15" s="47"/>
      <c r="X15" s="47"/>
      <c r="AK15" t="s">
        <v>197</v>
      </c>
      <c r="AL15" s="45">
        <v>46131</v>
      </c>
      <c r="AM15">
        <f t="shared" si="2"/>
        <v>2026</v>
      </c>
      <c r="AN15" t="str">
        <f t="shared" si="3"/>
        <v>Week 16, 2026</v>
      </c>
      <c r="AO15" t="str">
        <f t="shared" si="4"/>
        <v>Week Ending 04/19/2026</v>
      </c>
    </row>
    <row r="16" spans="1:41" s="46" customFormat="1" ht="14.4" x14ac:dyDescent="0.3">
      <c r="B16" s="49" t="s">
        <v>180</v>
      </c>
      <c r="C16" s="48" t="s">
        <v>246</v>
      </c>
      <c r="O16" s="47"/>
      <c r="P16" s="47"/>
      <c r="Q16" s="47"/>
      <c r="V16" s="47"/>
      <c r="W16" s="47"/>
      <c r="X16" s="47"/>
      <c r="AK16" t="s">
        <v>196</v>
      </c>
      <c r="AL16" s="45">
        <v>46138</v>
      </c>
      <c r="AM16">
        <f t="shared" si="2"/>
        <v>2026</v>
      </c>
      <c r="AN16" t="str">
        <f t="shared" si="3"/>
        <v>Week 17, 2026</v>
      </c>
      <c r="AO16" t="str">
        <f t="shared" si="4"/>
        <v>Week Ending 04/26/2026</v>
      </c>
    </row>
    <row r="17" spans="2:41" s="46" customFormat="1" ht="14.4" x14ac:dyDescent="0.3">
      <c r="B17" s="49"/>
      <c r="C17" s="48"/>
      <c r="O17" s="47"/>
      <c r="P17" s="47"/>
      <c r="Q17" s="47"/>
      <c r="V17" s="47"/>
      <c r="W17" s="47"/>
      <c r="X17" s="47"/>
      <c r="AK17" t="s">
        <v>195</v>
      </c>
      <c r="AL17" s="45">
        <v>46145</v>
      </c>
      <c r="AM17">
        <f t="shared" si="2"/>
        <v>2026</v>
      </c>
      <c r="AN17" t="str">
        <f t="shared" si="3"/>
        <v>Week 18, 2026</v>
      </c>
      <c r="AO17" t="str">
        <f t="shared" si="4"/>
        <v>Week Ending 05/03/2026</v>
      </c>
    </row>
    <row r="18" spans="2:41" s="46" customFormat="1" ht="14.4" x14ac:dyDescent="0.3">
      <c r="B18" s="51" t="s">
        <v>194</v>
      </c>
      <c r="C18" s="48"/>
      <c r="O18" s="47"/>
      <c r="P18" s="47"/>
      <c r="Q18" s="47"/>
      <c r="V18" s="47"/>
      <c r="W18" s="47"/>
      <c r="X18" s="47"/>
      <c r="AK18" t="s">
        <v>193</v>
      </c>
      <c r="AL18" s="45">
        <v>46152</v>
      </c>
      <c r="AM18">
        <f t="shared" si="2"/>
        <v>2026</v>
      </c>
      <c r="AN18" t="str">
        <f t="shared" si="3"/>
        <v>Week 19, 2026</v>
      </c>
      <c r="AO18" t="str">
        <f t="shared" si="4"/>
        <v>Week Ending 05/10/2026</v>
      </c>
    </row>
    <row r="19" spans="2:41" s="46" customFormat="1" ht="14.4" x14ac:dyDescent="0.3">
      <c r="B19" s="49" t="s">
        <v>182</v>
      </c>
      <c r="C19" s="48" t="s">
        <v>246</v>
      </c>
      <c r="O19" s="47"/>
      <c r="P19" s="47"/>
      <c r="Q19" s="47"/>
      <c r="V19" s="47"/>
      <c r="W19" s="47"/>
      <c r="X19" s="47"/>
      <c r="AK19" t="s">
        <v>192</v>
      </c>
      <c r="AL19" s="45">
        <v>46159</v>
      </c>
      <c r="AM19">
        <f t="shared" si="2"/>
        <v>2026</v>
      </c>
      <c r="AN19" t="str">
        <f t="shared" si="3"/>
        <v>Week 20, 2026</v>
      </c>
      <c r="AO19" t="str">
        <f t="shared" si="4"/>
        <v>Week Ending 05/17/2026</v>
      </c>
    </row>
    <row r="20" spans="2:41" s="46" customFormat="1" ht="14.4" x14ac:dyDescent="0.3">
      <c r="B20" s="49" t="s">
        <v>180</v>
      </c>
      <c r="C20" s="48" t="s">
        <v>247</v>
      </c>
      <c r="O20" s="47"/>
      <c r="P20" s="47"/>
      <c r="Q20" s="47"/>
      <c r="V20" s="47"/>
      <c r="W20" s="47"/>
      <c r="X20" s="47"/>
      <c r="AK20" t="s">
        <v>191</v>
      </c>
      <c r="AL20" s="45">
        <v>46166</v>
      </c>
      <c r="AM20">
        <f t="shared" si="2"/>
        <v>2026</v>
      </c>
      <c r="AN20" t="str">
        <f t="shared" si="3"/>
        <v>Week 21, 2026</v>
      </c>
      <c r="AO20" t="str">
        <f t="shared" si="4"/>
        <v>Week Ending 05/24/2026</v>
      </c>
    </row>
    <row r="21" spans="2:41" s="46" customFormat="1" ht="14.4" x14ac:dyDescent="0.3">
      <c r="B21" s="49"/>
      <c r="C21" s="48"/>
      <c r="O21" s="47"/>
      <c r="P21" s="47"/>
      <c r="Q21" s="47"/>
      <c r="V21" s="47"/>
      <c r="W21" s="47"/>
      <c r="X21" s="47"/>
      <c r="AK21" t="s">
        <v>190</v>
      </c>
      <c r="AL21" s="45">
        <v>46173</v>
      </c>
      <c r="AM21">
        <f t="shared" si="2"/>
        <v>2026</v>
      </c>
      <c r="AN21" t="str">
        <f t="shared" si="3"/>
        <v>Week 22, 2026</v>
      </c>
      <c r="AO21" t="str">
        <f t="shared" si="4"/>
        <v>Week Ending 05/31/2026</v>
      </c>
    </row>
    <row r="22" spans="2:41" s="46" customFormat="1" ht="14.4" x14ac:dyDescent="0.3">
      <c r="B22" s="51" t="s">
        <v>189</v>
      </c>
      <c r="C22" s="48"/>
      <c r="O22" s="47"/>
      <c r="P22" s="47"/>
      <c r="Q22" s="47"/>
      <c r="V22" s="47"/>
      <c r="W22" s="47"/>
      <c r="X22" s="47"/>
      <c r="AK22" t="s">
        <v>188</v>
      </c>
      <c r="AL22" s="45">
        <v>46180</v>
      </c>
      <c r="AM22">
        <f t="shared" si="2"/>
        <v>2026</v>
      </c>
      <c r="AN22" t="str">
        <f t="shared" si="3"/>
        <v>Week 23, 2026</v>
      </c>
      <c r="AO22" t="str">
        <f t="shared" si="4"/>
        <v>Week Ending 06/07/2026</v>
      </c>
    </row>
    <row r="23" spans="2:41" s="46" customFormat="1" ht="14.4" x14ac:dyDescent="0.3">
      <c r="B23" s="49" t="s">
        <v>182</v>
      </c>
      <c r="C23" s="48" t="s">
        <v>246</v>
      </c>
      <c r="O23" s="47"/>
      <c r="P23" s="47"/>
      <c r="Q23" s="47"/>
      <c r="V23" s="47"/>
      <c r="W23" s="47"/>
      <c r="X23" s="47"/>
      <c r="AK23" t="s">
        <v>187</v>
      </c>
      <c r="AL23" s="45">
        <v>46187</v>
      </c>
      <c r="AM23">
        <f t="shared" si="2"/>
        <v>2026</v>
      </c>
      <c r="AN23" t="str">
        <f t="shared" si="3"/>
        <v>Week 24, 2026</v>
      </c>
      <c r="AO23" t="str">
        <f t="shared" si="4"/>
        <v>Week Ending 06/14/2026</v>
      </c>
    </row>
    <row r="24" spans="2:41" s="46" customFormat="1" ht="14.4" x14ac:dyDescent="0.3">
      <c r="B24" s="49" t="s">
        <v>180</v>
      </c>
      <c r="C24" s="48" t="s">
        <v>248</v>
      </c>
      <c r="O24" s="47"/>
      <c r="P24" s="47"/>
      <c r="Q24" s="47"/>
      <c r="V24" s="47"/>
      <c r="W24" s="47"/>
      <c r="X24" s="47"/>
      <c r="AK24" t="s">
        <v>186</v>
      </c>
      <c r="AL24" s="45">
        <v>46194</v>
      </c>
      <c r="AM24">
        <f t="shared" si="2"/>
        <v>2026</v>
      </c>
      <c r="AN24" t="str">
        <f t="shared" si="3"/>
        <v>Week 25, 2026</v>
      </c>
      <c r="AO24" t="str">
        <f t="shared" si="4"/>
        <v>Week Ending 06/21/2026</v>
      </c>
    </row>
    <row r="25" spans="2:41" s="46" customFormat="1" ht="14.4" x14ac:dyDescent="0.3">
      <c r="B25" s="49"/>
      <c r="C25" s="48"/>
      <c r="O25" s="47"/>
      <c r="P25" s="47"/>
      <c r="Q25" s="47"/>
      <c r="V25" s="47"/>
      <c r="W25" s="47"/>
      <c r="X25" s="47"/>
      <c r="AK25" t="s">
        <v>185</v>
      </c>
      <c r="AL25" s="45">
        <v>46201</v>
      </c>
      <c r="AM25">
        <f t="shared" si="2"/>
        <v>2026</v>
      </c>
      <c r="AN25" t="str">
        <f t="shared" si="3"/>
        <v>Week 26, 2026</v>
      </c>
      <c r="AO25" t="str">
        <f t="shared" si="4"/>
        <v>Week Ending 06/28/2026</v>
      </c>
    </row>
    <row r="26" spans="2:41" s="46" customFormat="1" ht="14.4" x14ac:dyDescent="0.3">
      <c r="B26" s="51" t="s">
        <v>184</v>
      </c>
      <c r="C26" s="50"/>
      <c r="O26" s="47"/>
      <c r="P26" s="47"/>
      <c r="Q26" s="47"/>
      <c r="V26" s="47"/>
      <c r="W26" s="47"/>
      <c r="X26" s="47"/>
      <c r="AK26" t="s">
        <v>183</v>
      </c>
      <c r="AL26" s="45">
        <v>46208</v>
      </c>
      <c r="AM26">
        <f t="shared" si="2"/>
        <v>2026</v>
      </c>
      <c r="AN26" t="str">
        <f t="shared" si="3"/>
        <v>Week 27, 2026</v>
      </c>
      <c r="AO26" t="str">
        <f t="shared" si="4"/>
        <v>Week Ending 07/05/2026</v>
      </c>
    </row>
    <row r="27" spans="2:41" s="46" customFormat="1" ht="14.4" x14ac:dyDescent="0.3">
      <c r="B27" s="49" t="s">
        <v>182</v>
      </c>
      <c r="C27" s="48" t="s">
        <v>249</v>
      </c>
      <c r="O27" s="47"/>
      <c r="P27" s="47"/>
      <c r="Q27" s="47"/>
      <c r="V27" s="47"/>
      <c r="W27" s="47"/>
      <c r="X27" s="47"/>
      <c r="AK27" t="s">
        <v>181</v>
      </c>
      <c r="AL27" s="45">
        <v>46215</v>
      </c>
      <c r="AM27">
        <f t="shared" si="2"/>
        <v>2026</v>
      </c>
      <c r="AN27" t="str">
        <f t="shared" si="3"/>
        <v>Week 28, 2026</v>
      </c>
      <c r="AO27" t="str">
        <f t="shared" si="4"/>
        <v>Week Ending 07/12/2026</v>
      </c>
    </row>
    <row r="28" spans="2:41" s="46" customFormat="1" ht="14.4" x14ac:dyDescent="0.3">
      <c r="B28" s="49" t="s">
        <v>180</v>
      </c>
      <c r="C28" s="48" t="s">
        <v>250</v>
      </c>
      <c r="O28" s="47"/>
      <c r="P28" s="47"/>
      <c r="Q28" s="47"/>
      <c r="V28" s="47"/>
      <c r="W28" s="47"/>
      <c r="X28" s="47"/>
      <c r="AK28" t="s">
        <v>179</v>
      </c>
      <c r="AL28" s="45">
        <v>46222</v>
      </c>
      <c r="AM28">
        <f t="shared" si="2"/>
        <v>2026</v>
      </c>
      <c r="AN28" t="str">
        <f t="shared" si="3"/>
        <v>Week 29, 2026</v>
      </c>
      <c r="AO28" t="str">
        <f t="shared" si="4"/>
        <v>Week Ending 07/19/2026</v>
      </c>
    </row>
    <row r="29" spans="2:41" s="46" customFormat="1" ht="14.4" x14ac:dyDescent="0.3">
      <c r="B29" s="49"/>
      <c r="C29" s="48"/>
      <c r="L29"/>
      <c r="O29" s="47"/>
      <c r="P29" s="47"/>
      <c r="Q29" s="47"/>
      <c r="V29" s="47"/>
      <c r="W29" s="47"/>
      <c r="X29" s="47"/>
      <c r="AK29" t="s">
        <v>178</v>
      </c>
      <c r="AL29" s="45">
        <v>46229</v>
      </c>
      <c r="AM29">
        <f t="shared" si="2"/>
        <v>2026</v>
      </c>
      <c r="AN29" t="str">
        <f t="shared" si="3"/>
        <v>Week 30, 2026</v>
      </c>
      <c r="AO29" t="str">
        <f t="shared" si="4"/>
        <v>Week Ending 07/26/2026</v>
      </c>
    </row>
    <row r="30" spans="2:41" ht="14.4" x14ac:dyDescent="0.3">
      <c r="AK30" t="s">
        <v>177</v>
      </c>
      <c r="AL30" s="45">
        <v>46236</v>
      </c>
      <c r="AM30">
        <f t="shared" si="2"/>
        <v>2026</v>
      </c>
      <c r="AN30" t="str">
        <f t="shared" si="3"/>
        <v>Week 31, 2026</v>
      </c>
      <c r="AO30" t="str">
        <f t="shared" si="4"/>
        <v>Week Ending 08/02/2026</v>
      </c>
    </row>
    <row r="31" spans="2:41" ht="14.4" x14ac:dyDescent="0.3">
      <c r="AK31" t="s">
        <v>176</v>
      </c>
      <c r="AL31" s="45">
        <v>46243</v>
      </c>
      <c r="AM31">
        <f t="shared" si="2"/>
        <v>2026</v>
      </c>
      <c r="AN31" t="str">
        <f t="shared" si="3"/>
        <v>Week 32, 2026</v>
      </c>
      <c r="AO31" t="str">
        <f t="shared" si="4"/>
        <v>Week Ending 08/09/2026</v>
      </c>
    </row>
    <row r="32" spans="2:41" ht="14.4" x14ac:dyDescent="0.3">
      <c r="AK32" t="s">
        <v>175</v>
      </c>
      <c r="AL32" s="45">
        <v>46250</v>
      </c>
      <c r="AM32">
        <f t="shared" si="2"/>
        <v>2026</v>
      </c>
      <c r="AN32" t="str">
        <f t="shared" si="3"/>
        <v>Week 33, 2026</v>
      </c>
      <c r="AO32" t="str">
        <f t="shared" si="4"/>
        <v>Week Ending 08/16/2026</v>
      </c>
    </row>
    <row r="33" spans="37:41" ht="14.4" x14ac:dyDescent="0.3">
      <c r="AK33" t="s">
        <v>174</v>
      </c>
      <c r="AL33" s="45">
        <v>46257</v>
      </c>
      <c r="AM33">
        <f t="shared" si="2"/>
        <v>2026</v>
      </c>
      <c r="AN33" t="str">
        <f t="shared" si="3"/>
        <v>Week 34, 2026</v>
      </c>
      <c r="AO33" t="str">
        <f t="shared" si="4"/>
        <v>Week Ending 08/23/2026</v>
      </c>
    </row>
    <row r="34" spans="37:41" ht="14.4" x14ac:dyDescent="0.3">
      <c r="AK34" t="s">
        <v>173</v>
      </c>
      <c r="AL34" s="45">
        <v>46264</v>
      </c>
      <c r="AM34">
        <f t="shared" si="2"/>
        <v>2026</v>
      </c>
      <c r="AN34" t="str">
        <f t="shared" si="3"/>
        <v>Week 35, 2026</v>
      </c>
      <c r="AO34" t="str">
        <f t="shared" si="4"/>
        <v>Week Ending 08/30/2026</v>
      </c>
    </row>
    <row r="35" spans="37:41" ht="14.4" x14ac:dyDescent="0.3">
      <c r="AK35" t="s">
        <v>172</v>
      </c>
      <c r="AL35" s="45">
        <v>46271</v>
      </c>
      <c r="AM35">
        <f t="shared" si="2"/>
        <v>2026</v>
      </c>
      <c r="AN35" t="str">
        <f t="shared" si="3"/>
        <v>Week 36, 2026</v>
      </c>
      <c r="AO35" t="str">
        <f t="shared" si="4"/>
        <v>Week Ending 09/06/2026</v>
      </c>
    </row>
    <row r="36" spans="37:41" ht="14.4" x14ac:dyDescent="0.3">
      <c r="AK36" t="s">
        <v>171</v>
      </c>
      <c r="AL36" s="45">
        <v>46278</v>
      </c>
      <c r="AM36">
        <f t="shared" si="2"/>
        <v>2026</v>
      </c>
      <c r="AN36" t="str">
        <f t="shared" si="3"/>
        <v>Week 37, 2026</v>
      </c>
      <c r="AO36" t="str">
        <f t="shared" si="4"/>
        <v>Week Ending 09/13/2026</v>
      </c>
    </row>
    <row r="37" spans="37:41" ht="14.4" x14ac:dyDescent="0.3">
      <c r="AK37" t="s">
        <v>170</v>
      </c>
      <c r="AL37" s="45">
        <v>46285</v>
      </c>
      <c r="AM37">
        <f t="shared" si="2"/>
        <v>2026</v>
      </c>
      <c r="AN37" t="str">
        <f t="shared" si="3"/>
        <v>Week 38, 2026</v>
      </c>
      <c r="AO37" t="str">
        <f t="shared" si="4"/>
        <v>Week Ending 09/20/2026</v>
      </c>
    </row>
    <row r="38" spans="37:41" ht="14.4" x14ac:dyDescent="0.3">
      <c r="AK38" t="s">
        <v>169</v>
      </c>
      <c r="AL38" s="45">
        <v>46292</v>
      </c>
      <c r="AM38">
        <f t="shared" si="2"/>
        <v>2026</v>
      </c>
      <c r="AN38" t="str">
        <f t="shared" si="3"/>
        <v>Week 39, 2026</v>
      </c>
      <c r="AO38" t="str">
        <f t="shared" si="4"/>
        <v>Week Ending 09/27/2026</v>
      </c>
    </row>
    <row r="39" spans="37:41" ht="14.4" x14ac:dyDescent="0.3">
      <c r="AK39" t="s">
        <v>168</v>
      </c>
      <c r="AL39" s="45">
        <v>46299</v>
      </c>
      <c r="AM39">
        <f t="shared" si="2"/>
        <v>2026</v>
      </c>
      <c r="AN39" t="str">
        <f t="shared" si="3"/>
        <v>Week 40, 2026</v>
      </c>
      <c r="AO39" t="str">
        <f t="shared" si="4"/>
        <v>Week Ending 10/04/2026</v>
      </c>
    </row>
    <row r="40" spans="37:41" ht="14.4" x14ac:dyDescent="0.3">
      <c r="AK40" t="s">
        <v>167</v>
      </c>
      <c r="AL40" s="45">
        <v>46306</v>
      </c>
      <c r="AM40">
        <f t="shared" si="2"/>
        <v>2026</v>
      </c>
      <c r="AN40" t="str">
        <f t="shared" si="3"/>
        <v>Week 41, 2026</v>
      </c>
      <c r="AO40" t="str">
        <f t="shared" si="4"/>
        <v>Week Ending 10/11/2026</v>
      </c>
    </row>
    <row r="41" spans="37:41" ht="14.4" x14ac:dyDescent="0.3">
      <c r="AK41" t="s">
        <v>166</v>
      </c>
      <c r="AL41" s="45">
        <v>46313</v>
      </c>
      <c r="AM41">
        <f t="shared" si="2"/>
        <v>2026</v>
      </c>
      <c r="AN41" t="str">
        <f t="shared" si="3"/>
        <v>Week 42, 2026</v>
      </c>
      <c r="AO41" t="str">
        <f t="shared" si="4"/>
        <v>Week Ending 10/18/2026</v>
      </c>
    </row>
    <row r="42" spans="37:41" ht="14.4" x14ac:dyDescent="0.3">
      <c r="AK42" t="s">
        <v>165</v>
      </c>
      <c r="AL42" s="45">
        <v>46320</v>
      </c>
      <c r="AM42">
        <f t="shared" si="2"/>
        <v>2026</v>
      </c>
      <c r="AN42" t="str">
        <f t="shared" si="3"/>
        <v>Week 43, 2026</v>
      </c>
      <c r="AO42" t="str">
        <f t="shared" si="4"/>
        <v>Week Ending 10/25/2026</v>
      </c>
    </row>
    <row r="43" spans="37:41" ht="14.4" x14ac:dyDescent="0.3">
      <c r="AK43" t="s">
        <v>164</v>
      </c>
      <c r="AL43" s="45">
        <v>46327</v>
      </c>
      <c r="AM43">
        <f t="shared" si="2"/>
        <v>2026</v>
      </c>
      <c r="AN43" t="str">
        <f t="shared" si="3"/>
        <v>Week 44, 2026</v>
      </c>
      <c r="AO43" t="str">
        <f t="shared" si="4"/>
        <v>Week Ending 11/01/2026</v>
      </c>
    </row>
    <row r="44" spans="37:41" ht="14.4" x14ac:dyDescent="0.3">
      <c r="AK44" t="s">
        <v>163</v>
      </c>
      <c r="AL44" s="45">
        <v>46334</v>
      </c>
      <c r="AM44">
        <f t="shared" si="2"/>
        <v>2026</v>
      </c>
      <c r="AN44" t="str">
        <f t="shared" si="3"/>
        <v>Week 45, 2026</v>
      </c>
      <c r="AO44" t="str">
        <f t="shared" si="4"/>
        <v>Week Ending 11/08/2026</v>
      </c>
    </row>
    <row r="45" spans="37:41" ht="14.4" x14ac:dyDescent="0.3">
      <c r="AK45" t="s">
        <v>162</v>
      </c>
      <c r="AL45" s="45">
        <v>46341</v>
      </c>
      <c r="AM45">
        <f t="shared" si="2"/>
        <v>2026</v>
      </c>
      <c r="AN45" t="str">
        <f t="shared" si="3"/>
        <v>Week 46, 2026</v>
      </c>
      <c r="AO45" t="str">
        <f t="shared" si="4"/>
        <v>Week Ending 11/15/2026</v>
      </c>
    </row>
    <row r="46" spans="37:41" ht="14.4" x14ac:dyDescent="0.3">
      <c r="AK46" t="s">
        <v>161</v>
      </c>
      <c r="AL46" s="45">
        <v>46348</v>
      </c>
      <c r="AM46">
        <f t="shared" si="2"/>
        <v>2026</v>
      </c>
      <c r="AN46" t="str">
        <f t="shared" si="3"/>
        <v>Week 47, 2026</v>
      </c>
      <c r="AO46" t="str">
        <f t="shared" si="4"/>
        <v>Week Ending 11/22/2026</v>
      </c>
    </row>
    <row r="47" spans="37:41" ht="14.4" x14ac:dyDescent="0.3">
      <c r="AK47" t="s">
        <v>160</v>
      </c>
      <c r="AL47" s="45">
        <v>46355</v>
      </c>
      <c r="AM47">
        <f t="shared" si="2"/>
        <v>2026</v>
      </c>
      <c r="AN47" t="str">
        <f t="shared" si="3"/>
        <v>Week 48, 2026</v>
      </c>
      <c r="AO47" t="str">
        <f t="shared" si="4"/>
        <v>Week Ending 11/29/2026</v>
      </c>
    </row>
    <row r="48" spans="37:41" ht="14.4" x14ac:dyDescent="0.3">
      <c r="AK48" t="s">
        <v>159</v>
      </c>
      <c r="AL48" s="45">
        <v>46362</v>
      </c>
      <c r="AM48">
        <f t="shared" si="2"/>
        <v>2026</v>
      </c>
      <c r="AN48" t="str">
        <f t="shared" si="3"/>
        <v>Week 49, 2026</v>
      </c>
      <c r="AO48" t="str">
        <f t="shared" si="4"/>
        <v>Week Ending 12/06/2026</v>
      </c>
    </row>
    <row r="49" spans="37:41" ht="14.4" x14ac:dyDescent="0.3">
      <c r="AK49" t="s">
        <v>158</v>
      </c>
      <c r="AL49" s="45">
        <v>46369</v>
      </c>
      <c r="AM49">
        <f t="shared" si="2"/>
        <v>2026</v>
      </c>
      <c r="AN49" t="str">
        <f t="shared" si="3"/>
        <v>Week 50, 2026</v>
      </c>
      <c r="AO49" t="str">
        <f t="shared" si="4"/>
        <v>Week Ending 12/13/2026</v>
      </c>
    </row>
    <row r="50" spans="37:41" ht="14.4" x14ac:dyDescent="0.3">
      <c r="AK50" t="s">
        <v>157</v>
      </c>
      <c r="AL50" s="45">
        <v>46376</v>
      </c>
      <c r="AM50">
        <f t="shared" si="2"/>
        <v>2026</v>
      </c>
      <c r="AN50" t="str">
        <f t="shared" si="3"/>
        <v>Week 51, 2026</v>
      </c>
      <c r="AO50" t="str">
        <f t="shared" si="4"/>
        <v>Week Ending 12/20/2026</v>
      </c>
    </row>
    <row r="51" spans="37:41" ht="14.4" x14ac:dyDescent="0.3">
      <c r="AK51" t="s">
        <v>156</v>
      </c>
      <c r="AL51" s="45">
        <v>46383</v>
      </c>
      <c r="AM51">
        <f t="shared" si="2"/>
        <v>2026</v>
      </c>
      <c r="AN51" t="str">
        <f t="shared" si="3"/>
        <v>Week 52, 2026</v>
      </c>
      <c r="AO51" t="str">
        <f t="shared" si="4"/>
        <v>Week Ending 12/27/2026</v>
      </c>
    </row>
    <row r="52" spans="37:41" ht="43.5" customHeight="1" x14ac:dyDescent="0.3">
      <c r="AL52" s="45"/>
    </row>
    <row r="53" spans="37:41" ht="43.5" customHeight="1" x14ac:dyDescent="0.3">
      <c r="AL53" s="45"/>
    </row>
    <row r="54" spans="37:41" ht="43.5" customHeight="1" x14ac:dyDescent="0.3">
      <c r="AL54" s="45"/>
    </row>
    <row r="55" spans="37:41" ht="43.5" customHeight="1" x14ac:dyDescent="0.3">
      <c r="AL55" s="45"/>
    </row>
    <row r="56" spans="37:41" ht="43.5" customHeight="1" x14ac:dyDescent="0.3">
      <c r="AL56" s="45"/>
    </row>
    <row r="57" spans="37:41" ht="43.5" customHeight="1" x14ac:dyDescent="0.3">
      <c r="AL57" s="45"/>
    </row>
    <row r="58" spans="37:41" ht="43.5" customHeight="1" x14ac:dyDescent="0.3">
      <c r="AL58" s="45"/>
    </row>
    <row r="59" spans="37:41" ht="43.5" customHeight="1" x14ac:dyDescent="0.3">
      <c r="AL59" s="45"/>
    </row>
    <row r="60" spans="37:41" ht="43.5" customHeight="1" x14ac:dyDescent="0.3">
      <c r="AL60" s="45"/>
    </row>
    <row r="61" spans="37:41" ht="43.5" customHeight="1" x14ac:dyDescent="0.3">
      <c r="AL61" s="45"/>
    </row>
    <row r="62" spans="37:41" ht="43.5" customHeight="1" x14ac:dyDescent="0.3">
      <c r="AL62" s="45"/>
    </row>
    <row r="63" spans="37:41" ht="43.5" customHeight="1" x14ac:dyDescent="0.3">
      <c r="AL63" s="45"/>
    </row>
    <row r="64" spans="37:41" ht="43.5" customHeight="1" x14ac:dyDescent="0.3">
      <c r="AL64" s="45"/>
    </row>
    <row r="65" spans="38:38" ht="43.5" customHeight="1" x14ac:dyDescent="0.3">
      <c r="AL65" s="45"/>
    </row>
  </sheetData>
  <mergeCells count="6">
    <mergeCell ref="V2:X2"/>
    <mergeCell ref="A1:B1"/>
    <mergeCell ref="G2:J2"/>
    <mergeCell ref="K2:N2"/>
    <mergeCell ref="O2:Q2"/>
    <mergeCell ref="R2:U2"/>
  </mergeCells>
  <conditionalFormatting sqref="D1 D3:D4 D10:D1048576">
    <cfRule type="cellIs" dxfId="3" priority="7" operator="lessThan">
      <formula>0.25</formula>
    </cfRule>
    <cfRule type="cellIs" priority="8" operator="greaterThan">
      <formula>0.3</formula>
    </cfRule>
  </conditionalFormatting>
  <conditionalFormatting sqref="H4">
    <cfRule type="cellIs" dxfId="2" priority="5" operator="lessThan">
      <formula>0.25</formula>
    </cfRule>
    <cfRule type="cellIs" priority="6" operator="greaterThan">
      <formula>0.3</formula>
    </cfRule>
  </conditionalFormatting>
  <conditionalFormatting sqref="L4">
    <cfRule type="cellIs" dxfId="1" priority="3" operator="lessThan">
      <formula>0.25</formula>
    </cfRule>
    <cfRule type="cellIs" priority="4" operator="greaterThan">
      <formula>0.3</formula>
    </cfRule>
  </conditionalFormatting>
  <conditionalFormatting sqref="S4">
    <cfRule type="cellIs" dxfId="0" priority="1" operator="lessThan">
      <formula>0.25</formula>
    </cfRule>
    <cfRule type="cellIs" priority="2" operator="greaterThan">
      <formula>0.3</formula>
    </cfRule>
  </conditionalFormatting>
  <dataValidations count="2">
    <dataValidation type="list" allowBlank="1" showInputMessage="1" showErrorMessage="1" sqref="B2" xr:uid="{91DAC01A-2B00-459B-AF62-A1BAE58D6368}">
      <formula1>$AO$5:$AO$65</formula1>
    </dataValidation>
    <dataValidation type="list" allowBlank="1" showInputMessage="1" showErrorMessage="1" sqref="AO5:AO65" xr:uid="{FCF4CCE6-1817-459D-A566-B629C63297AB}">
      <formula1>$B$2</formula1>
    </dataValidation>
  </dataValidations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6D6490-35A7-468C-8B5D-D93B4C120F3E}">
  <sheetPr>
    <outlinePr summaryBelow="0"/>
  </sheetPr>
  <dimension ref="A1:M96"/>
  <sheetViews>
    <sheetView showGridLines="0" zoomScaleNormal="100" workbookViewId="0">
      <pane xSplit="1" ySplit="4" topLeftCell="B59" activePane="bottomRight" state="frozen"/>
      <selection sqref="A1:AL1"/>
      <selection pane="topRight" sqref="A1:AL1"/>
      <selection pane="bottomLeft" sqref="A1:AL1"/>
      <selection pane="bottomRight" sqref="A1:AL1"/>
    </sheetView>
  </sheetViews>
  <sheetFormatPr defaultRowHeight="14.4" x14ac:dyDescent="0.3"/>
  <cols>
    <col min="1" max="1" width="42.88671875" customWidth="1"/>
    <col min="2" max="2" width="17.109375" style="110" customWidth="1"/>
    <col min="3" max="3" width="9.44140625" customWidth="1"/>
    <col min="4" max="4" width="17.109375" style="110" customWidth="1"/>
    <col min="5" max="5" width="9.44140625" customWidth="1"/>
    <col min="6" max="6" width="17.109375" style="110" customWidth="1"/>
    <col min="7" max="7" width="9.44140625" customWidth="1"/>
    <col min="8" max="8" width="17.109375" style="110" customWidth="1"/>
    <col min="9" max="9" width="9.44140625" customWidth="1"/>
    <col min="10" max="10" width="13.33203125" style="110" customWidth="1"/>
    <col min="11" max="11" width="8.6640625" customWidth="1"/>
    <col min="12" max="12" width="22" customWidth="1"/>
    <col min="13" max="13" width="21.33203125" bestFit="1" customWidth="1"/>
  </cols>
  <sheetData>
    <row r="1" spans="1:13" ht="33.6" x14ac:dyDescent="0.3">
      <c r="A1" s="146" t="s">
        <v>0</v>
      </c>
      <c r="B1" s="146" t="s">
        <v>0</v>
      </c>
      <c r="C1" s="146" t="s">
        <v>0</v>
      </c>
      <c r="D1" s="146" t="s">
        <v>0</v>
      </c>
      <c r="E1" s="146" t="s">
        <v>0</v>
      </c>
      <c r="F1" s="146" t="s">
        <v>0</v>
      </c>
      <c r="G1" s="146" t="s">
        <v>0</v>
      </c>
      <c r="H1" s="146" t="s">
        <v>0</v>
      </c>
      <c r="I1" s="146" t="s">
        <v>0</v>
      </c>
    </row>
    <row r="2" spans="1:13" ht="23.4" x14ac:dyDescent="0.3">
      <c r="A2" s="147" t="str">
        <f>+Summary!B2</f>
        <v>Week Ending 07/19/2026</v>
      </c>
      <c r="B2" s="147" t="s">
        <v>245</v>
      </c>
      <c r="C2" s="147" t="s">
        <v>245</v>
      </c>
      <c r="D2" s="147" t="s">
        <v>245</v>
      </c>
      <c r="E2" s="147" t="s">
        <v>245</v>
      </c>
      <c r="F2" s="147" t="s">
        <v>245</v>
      </c>
      <c r="G2" s="147" t="s">
        <v>245</v>
      </c>
      <c r="H2" s="147" t="s">
        <v>245</v>
      </c>
      <c r="I2" s="147" t="s">
        <v>245</v>
      </c>
    </row>
    <row r="3" spans="1:13" ht="15.6" x14ac:dyDescent="0.3">
      <c r="A3" s="148"/>
      <c r="B3" s="148" t="s">
        <v>155</v>
      </c>
      <c r="C3" s="148" t="s">
        <v>155</v>
      </c>
      <c r="D3" s="148" t="s">
        <v>155</v>
      </c>
      <c r="E3" s="148" t="s">
        <v>155</v>
      </c>
      <c r="F3" s="148" t="s">
        <v>155</v>
      </c>
      <c r="G3" s="148" t="s">
        <v>155</v>
      </c>
      <c r="H3" s="148" t="s">
        <v>155</v>
      </c>
      <c r="I3" s="148" t="s">
        <v>155</v>
      </c>
    </row>
    <row r="4" spans="1:13" x14ac:dyDescent="0.3">
      <c r="B4" s="145" t="s">
        <v>244</v>
      </c>
      <c r="C4" s="145"/>
      <c r="D4" s="145" t="s">
        <v>243</v>
      </c>
      <c r="E4" s="145"/>
      <c r="F4" s="145" t="s">
        <v>242</v>
      </c>
      <c r="G4" s="145"/>
      <c r="H4" s="145" t="s">
        <v>155</v>
      </c>
      <c r="I4" s="145"/>
      <c r="J4" s="145" t="s">
        <v>241</v>
      </c>
      <c r="K4" s="145"/>
    </row>
    <row r="5" spans="1:13" ht="18" customHeight="1" x14ac:dyDescent="0.3">
      <c r="A5" s="133" t="s">
        <v>23</v>
      </c>
      <c r="B5" s="130"/>
      <c r="C5" s="129"/>
      <c r="D5" s="130"/>
      <c r="E5" s="129"/>
      <c r="F5" s="130"/>
      <c r="G5" s="129"/>
      <c r="H5" s="130"/>
      <c r="I5" s="129"/>
    </row>
    <row r="6" spans="1:13" ht="16.5" hidden="1" customHeight="1" x14ac:dyDescent="0.3">
      <c r="A6" s="140" t="s">
        <v>240</v>
      </c>
      <c r="B6" s="125" t="e">
        <f t="shared" ref="B6:B16" ca="1" si="0">INDEX(INDIRECT("'"&amp;B$4&amp;"'!$1:$1048576"),MATCH($A6,INDIRECT("'"&amp;B$4&amp;"'!$A:$A"),0),MATCH($A$2,INDIRECT("'"&amp;B$4&amp;"'!$5:$5"),0))</f>
        <v>#N/A</v>
      </c>
      <c r="C6" s="124" t="str">
        <f ca="1">IFERROR(B6/B16, "NA")</f>
        <v>NA</v>
      </c>
      <c r="D6" s="125" t="e">
        <f t="shared" ref="D6:D16" ca="1" si="1">INDEX(INDIRECT("'"&amp;D$4&amp;"'!$1:$1048576"),MATCH($A6,INDIRECT("'"&amp;D$4&amp;"'!$A:$A"),0),MATCH($A$2,INDIRECT("'"&amp;D$4&amp;"'!$5:$5"),0))</f>
        <v>#N/A</v>
      </c>
      <c r="E6" s="124" t="str">
        <f ca="1">IFERROR(D6/D16, "NA")</f>
        <v>NA</v>
      </c>
      <c r="F6" s="125" t="e">
        <f t="shared" ref="F6:F16" ca="1" si="2">INDEX(INDIRECT("'"&amp;F$4&amp;"'!$1:$1048576"),MATCH($A6,INDIRECT("'"&amp;F$4&amp;"'!$A:$A"),0),MATCH($A$2,INDIRECT("'"&amp;F$4&amp;"'!$5:$5"),0))</f>
        <v>#N/A</v>
      </c>
      <c r="G6" s="124" t="str">
        <f ca="1">IFERROR(F6/F16, "NA")</f>
        <v>NA</v>
      </c>
      <c r="H6" s="125" t="e">
        <f t="shared" ref="H6:H16" ca="1" si="3">INDEX(INDIRECT("'"&amp;H$4&amp;"'!$1:$1048576"),MATCH($A6,INDIRECT("'"&amp;H$4&amp;"'!$A:$A"),0),MATCH($A$2,INDIRECT("'"&amp;H$4&amp;"'!$5:$5"),0))</f>
        <v>#N/A</v>
      </c>
      <c r="I6" s="124" t="str">
        <f ca="1">IFERROR(H6/H16, "NA")</f>
        <v>NA</v>
      </c>
      <c r="J6" s="125" t="e">
        <f ca="1">+H6+F6+D6+B6+#REF!</f>
        <v>#N/A</v>
      </c>
      <c r="K6" s="124" t="str">
        <f ca="1">IFERROR(J6/J16, "NA")</f>
        <v>NA</v>
      </c>
      <c r="M6" s="141"/>
    </row>
    <row r="7" spans="1:13" ht="16.5" hidden="1" customHeight="1" x14ac:dyDescent="0.3">
      <c r="A7" s="140" t="s">
        <v>239</v>
      </c>
      <c r="B7" s="125" t="e">
        <f t="shared" ca="1" si="0"/>
        <v>#N/A</v>
      </c>
      <c r="C7" s="124" t="str">
        <f ca="1">IFERROR(B7/B16, "NA")</f>
        <v>NA</v>
      </c>
      <c r="D7" s="125" t="e">
        <f t="shared" ca="1" si="1"/>
        <v>#N/A</v>
      </c>
      <c r="E7" s="124" t="str">
        <f ca="1">IFERROR(D7/D16, "NA")</f>
        <v>NA</v>
      </c>
      <c r="F7" s="125" t="e">
        <f t="shared" ca="1" si="2"/>
        <v>#N/A</v>
      </c>
      <c r="G7" s="124" t="str">
        <f ca="1">IFERROR(F7/F16, "NA")</f>
        <v>NA</v>
      </c>
      <c r="H7" s="125" t="e">
        <f t="shared" ca="1" si="3"/>
        <v>#N/A</v>
      </c>
      <c r="I7" s="124" t="str">
        <f ca="1">IFERROR(H7/H16, "NA")</f>
        <v>NA</v>
      </c>
      <c r="J7" s="125" t="e">
        <f ca="1">+H7+F7+D7+B7+#REF!</f>
        <v>#N/A</v>
      </c>
      <c r="K7" s="124" t="str">
        <f ca="1">IFERROR(J7/J16, "NA")</f>
        <v>NA</v>
      </c>
    </row>
    <row r="8" spans="1:13" ht="16.5" hidden="1" customHeight="1" x14ac:dyDescent="0.3">
      <c r="A8" s="140" t="s">
        <v>238</v>
      </c>
      <c r="B8" s="125" t="e">
        <f t="shared" ca="1" si="0"/>
        <v>#N/A</v>
      </c>
      <c r="C8" s="124" t="str">
        <f ca="1">IFERROR(B8/B16, "NA")</f>
        <v>NA</v>
      </c>
      <c r="D8" s="125" t="e">
        <f t="shared" ca="1" si="1"/>
        <v>#N/A</v>
      </c>
      <c r="E8" s="124" t="str">
        <f ca="1">IFERROR(D8/D16, "NA")</f>
        <v>NA</v>
      </c>
      <c r="F8" s="125" t="e">
        <f t="shared" ca="1" si="2"/>
        <v>#N/A</v>
      </c>
      <c r="G8" s="124" t="str">
        <f ca="1">IFERROR(F8/F16, "NA")</f>
        <v>NA</v>
      </c>
      <c r="H8" s="125" t="e">
        <f t="shared" ca="1" si="3"/>
        <v>#N/A</v>
      </c>
      <c r="I8" s="124" t="str">
        <f ca="1">IFERROR(H8/H16, "NA")</f>
        <v>NA</v>
      </c>
      <c r="J8" s="125" t="e">
        <f ca="1">+H8+F8+D8+B8+#REF!</f>
        <v>#N/A</v>
      </c>
      <c r="K8" s="124" t="str">
        <f ca="1">IFERROR(J8/J16, "NA")</f>
        <v>NA</v>
      </c>
    </row>
    <row r="9" spans="1:13" ht="16.5" hidden="1" customHeight="1" x14ac:dyDescent="0.3">
      <c r="A9" s="140" t="s">
        <v>237</v>
      </c>
      <c r="B9" s="125" t="e">
        <f t="shared" ca="1" si="0"/>
        <v>#N/A</v>
      </c>
      <c r="C9" s="124" t="str">
        <f ca="1">IFERROR(B9/B16, "NA")</f>
        <v>NA</v>
      </c>
      <c r="D9" s="125" t="e">
        <f t="shared" ca="1" si="1"/>
        <v>#N/A</v>
      </c>
      <c r="E9" s="124" t="str">
        <f ca="1">IFERROR(D9/D16, "NA")</f>
        <v>NA</v>
      </c>
      <c r="F9" s="125" t="e">
        <f t="shared" ca="1" si="2"/>
        <v>#N/A</v>
      </c>
      <c r="G9" s="124" t="str">
        <f ca="1">IFERROR(F9/F16, "NA")</f>
        <v>NA</v>
      </c>
      <c r="H9" s="125" t="e">
        <f t="shared" ca="1" si="3"/>
        <v>#N/A</v>
      </c>
      <c r="I9" s="124" t="str">
        <f ca="1">IFERROR(H9/H16, "NA")</f>
        <v>NA</v>
      </c>
      <c r="J9" s="125" t="e">
        <f ca="1">+H9+F9+D9+B9+#REF!</f>
        <v>#N/A</v>
      </c>
      <c r="K9" s="124" t="str">
        <f ca="1">IFERROR(J9/J16, "NA")</f>
        <v>NA</v>
      </c>
    </row>
    <row r="10" spans="1:13" ht="16.5" hidden="1" customHeight="1" x14ac:dyDescent="0.3">
      <c r="A10" s="140" t="s">
        <v>236</v>
      </c>
      <c r="B10" s="125" t="e">
        <f t="shared" ca="1" si="0"/>
        <v>#N/A</v>
      </c>
      <c r="C10" s="124" t="str">
        <f ca="1">IFERROR(B10/B16, "NA")</f>
        <v>NA</v>
      </c>
      <c r="D10" s="125" t="e">
        <f t="shared" ca="1" si="1"/>
        <v>#N/A</v>
      </c>
      <c r="E10" s="124" t="str">
        <f ca="1">IFERROR(D10/D16, "NA")</f>
        <v>NA</v>
      </c>
      <c r="F10" s="125" t="e">
        <f t="shared" ca="1" si="2"/>
        <v>#N/A</v>
      </c>
      <c r="G10" s="124" t="str">
        <f ca="1">IFERROR(F10/F16, "NA")</f>
        <v>NA</v>
      </c>
      <c r="H10" s="125" t="e">
        <f t="shared" ca="1" si="3"/>
        <v>#N/A</v>
      </c>
      <c r="I10" s="124" t="str">
        <f ca="1">IFERROR(H10/H16, "NA")</f>
        <v>NA</v>
      </c>
      <c r="J10" s="125" t="e">
        <f ca="1">+H10+F10+D10+B10+#REF!</f>
        <v>#N/A</v>
      </c>
      <c r="K10" s="124" t="str">
        <f ca="1">IFERROR(J10/J16, "NA")</f>
        <v>NA</v>
      </c>
    </row>
    <row r="11" spans="1:13" ht="16.5" hidden="1" customHeight="1" x14ac:dyDescent="0.3">
      <c r="A11" s="140" t="s">
        <v>235</v>
      </c>
      <c r="B11" s="125" t="e">
        <f t="shared" ca="1" si="0"/>
        <v>#N/A</v>
      </c>
      <c r="C11" s="124" t="str">
        <f ca="1">IFERROR(B11/B16, "NA")</f>
        <v>NA</v>
      </c>
      <c r="D11" s="125" t="e">
        <f t="shared" ca="1" si="1"/>
        <v>#N/A</v>
      </c>
      <c r="E11" s="124" t="str">
        <f ca="1">IFERROR(D11/D16, "NA")</f>
        <v>NA</v>
      </c>
      <c r="F11" s="125" t="e">
        <f t="shared" ca="1" si="2"/>
        <v>#N/A</v>
      </c>
      <c r="G11" s="124" t="str">
        <f ca="1">IFERROR(F11/F16, "NA")</f>
        <v>NA</v>
      </c>
      <c r="H11" s="125" t="e">
        <f t="shared" ca="1" si="3"/>
        <v>#N/A</v>
      </c>
      <c r="I11" s="124" t="str">
        <f ca="1">IFERROR(H11/H16, "NA")</f>
        <v>NA</v>
      </c>
      <c r="J11" s="125" t="e">
        <f ca="1">+H11+F11+D11+B11+#REF!</f>
        <v>#N/A</v>
      </c>
      <c r="K11" s="124" t="str">
        <f ca="1">IFERROR(J11/J16, "NA")</f>
        <v>NA</v>
      </c>
    </row>
    <row r="12" spans="1:13" ht="16.5" hidden="1" customHeight="1" x14ac:dyDescent="0.3">
      <c r="A12" s="140" t="s">
        <v>234</v>
      </c>
      <c r="B12" s="125" t="e">
        <f t="shared" ca="1" si="0"/>
        <v>#N/A</v>
      </c>
      <c r="C12" s="124" t="str">
        <f ca="1">IFERROR(B12/B16, "NA")</f>
        <v>NA</v>
      </c>
      <c r="D12" s="125" t="e">
        <f t="shared" ca="1" si="1"/>
        <v>#N/A</v>
      </c>
      <c r="E12" s="124" t="str">
        <f ca="1">IFERROR(D12/D16, "NA")</f>
        <v>NA</v>
      </c>
      <c r="F12" s="125" t="e">
        <f t="shared" ca="1" si="2"/>
        <v>#N/A</v>
      </c>
      <c r="G12" s="124" t="str">
        <f ca="1">IFERROR(F12/F16, "NA")</f>
        <v>NA</v>
      </c>
      <c r="H12" s="125" t="e">
        <f t="shared" ca="1" si="3"/>
        <v>#N/A</v>
      </c>
      <c r="I12" s="124" t="str">
        <f ca="1">IFERROR(H12/H16, "NA")</f>
        <v>NA</v>
      </c>
      <c r="J12" s="125" t="e">
        <f ca="1">+H12+F12+D12+B12+#REF!</f>
        <v>#N/A</v>
      </c>
      <c r="K12" s="124" t="str">
        <f ca="1">IFERROR(J12/J16, "NA")</f>
        <v>NA</v>
      </c>
    </row>
    <row r="13" spans="1:13" ht="16.5" hidden="1" customHeight="1" x14ac:dyDescent="0.3">
      <c r="A13" s="140" t="s">
        <v>233</v>
      </c>
      <c r="B13" s="125" t="e">
        <f t="shared" ca="1" si="0"/>
        <v>#N/A</v>
      </c>
      <c r="C13" s="124" t="str">
        <f ca="1">IFERROR(B13/B16, "NA")</f>
        <v>NA</v>
      </c>
      <c r="D13" s="125" t="e">
        <f t="shared" ca="1" si="1"/>
        <v>#N/A</v>
      </c>
      <c r="E13" s="124" t="str">
        <f ca="1">IFERROR(D13/D16, "NA")</f>
        <v>NA</v>
      </c>
      <c r="F13" s="125" t="e">
        <f t="shared" ca="1" si="2"/>
        <v>#N/A</v>
      </c>
      <c r="G13" s="124" t="str">
        <f ca="1">IFERROR(F13/F16, "NA")</f>
        <v>NA</v>
      </c>
      <c r="H13" s="125" t="e">
        <f t="shared" ca="1" si="3"/>
        <v>#N/A</v>
      </c>
      <c r="I13" s="124" t="str">
        <f ca="1">IFERROR(H13/H16, "NA")</f>
        <v>NA</v>
      </c>
      <c r="J13" s="125" t="e">
        <f ca="1">+H13+F13+D13+B13+#REF!</f>
        <v>#N/A</v>
      </c>
      <c r="K13" s="124" t="str">
        <f ca="1">IFERROR(J13/J16, "NA")</f>
        <v>NA</v>
      </c>
    </row>
    <row r="14" spans="1:13" ht="16.5" hidden="1" customHeight="1" x14ac:dyDescent="0.3">
      <c r="A14" s="140" t="s">
        <v>232</v>
      </c>
      <c r="B14" s="125" t="e">
        <f t="shared" ca="1" si="0"/>
        <v>#N/A</v>
      </c>
      <c r="C14" s="124" t="str">
        <f ca="1">IFERROR(B14/B16, "NA")</f>
        <v>NA</v>
      </c>
      <c r="D14" s="125" t="e">
        <f t="shared" ca="1" si="1"/>
        <v>#N/A</v>
      </c>
      <c r="E14" s="124" t="str">
        <f ca="1">IFERROR(D14/D16, "NA")</f>
        <v>NA</v>
      </c>
      <c r="F14" s="125" t="e">
        <f t="shared" ca="1" si="2"/>
        <v>#N/A</v>
      </c>
      <c r="G14" s="124" t="str">
        <f ca="1">IFERROR(F14/F16, "NA")</f>
        <v>NA</v>
      </c>
      <c r="H14" s="125" t="e">
        <f t="shared" ca="1" si="3"/>
        <v>#N/A</v>
      </c>
      <c r="I14" s="124" t="str">
        <f ca="1">IFERROR(H14/H16, "NA")</f>
        <v>NA</v>
      </c>
      <c r="J14" s="125" t="e">
        <f ca="1">+H14+F14+D14+B14+#REF!</f>
        <v>#N/A</v>
      </c>
      <c r="K14" s="124" t="str">
        <f ca="1">IFERROR(J14/J16, "NA")</f>
        <v>NA</v>
      </c>
    </row>
    <row r="15" spans="1:13" ht="16.5" hidden="1" customHeight="1" x14ac:dyDescent="0.3">
      <c r="A15" s="140" t="s">
        <v>231</v>
      </c>
      <c r="B15" s="125" t="e">
        <f t="shared" ca="1" si="0"/>
        <v>#N/A</v>
      </c>
      <c r="C15" s="124" t="str">
        <f ca="1">IFERROR(B15/B16, "NA")</f>
        <v>NA</v>
      </c>
      <c r="D15" s="125" t="e">
        <f t="shared" ca="1" si="1"/>
        <v>#N/A</v>
      </c>
      <c r="E15" s="124" t="str">
        <f ca="1">IFERROR(D15/D16, "NA")</f>
        <v>NA</v>
      </c>
      <c r="F15" s="125" t="e">
        <f t="shared" ca="1" si="2"/>
        <v>#N/A</v>
      </c>
      <c r="G15" s="124" t="str">
        <f ca="1">IFERROR(F15/F16, "NA")</f>
        <v>NA</v>
      </c>
      <c r="H15" s="125" t="e">
        <f t="shared" ca="1" si="3"/>
        <v>#N/A</v>
      </c>
      <c r="I15" s="124" t="str">
        <f ca="1">IFERROR(H15/H16, "NA")</f>
        <v>NA</v>
      </c>
      <c r="J15" s="125" t="e">
        <f ca="1">+H15+F15+D15+B15+#REF!</f>
        <v>#N/A</v>
      </c>
      <c r="K15" s="124" t="str">
        <f ca="1">IFERROR(J15/J16, "NA")</f>
        <v>NA</v>
      </c>
    </row>
    <row r="16" spans="1:13" ht="16.5" customHeight="1" x14ac:dyDescent="0.3">
      <c r="A16" s="120" t="s">
        <v>25</v>
      </c>
      <c r="B16" s="122">
        <f t="shared" ca="1" si="0"/>
        <v>58927.179999999993</v>
      </c>
      <c r="C16" s="121">
        <f ca="1">IFERROR(B16/B16, "NA")</f>
        <v>1</v>
      </c>
      <c r="D16" s="122">
        <f t="shared" ca="1" si="1"/>
        <v>44759.229999999996</v>
      </c>
      <c r="E16" s="121">
        <f ca="1">IFERROR(D16/D16, "NA")</f>
        <v>1</v>
      </c>
      <c r="F16" s="122">
        <f t="shared" ca="1" si="2"/>
        <v>32059.54</v>
      </c>
      <c r="G16" s="121">
        <f ca="1">IFERROR(F16/F16, "NA")</f>
        <v>1</v>
      </c>
      <c r="H16" s="122">
        <f t="shared" ca="1" si="3"/>
        <v>30193.299999999992</v>
      </c>
      <c r="I16" s="121">
        <f ca="1">IFERROR(H16/H16, "NA")</f>
        <v>1</v>
      </c>
      <c r="J16" s="122">
        <f ca="1">+H16+F16+D16+B16</f>
        <v>165939.25</v>
      </c>
      <c r="K16" s="121">
        <f ca="1">IFERROR(J16/J16, "NA")</f>
        <v>1</v>
      </c>
    </row>
    <row r="17" spans="1:13" ht="3.75" customHeight="1" x14ac:dyDescent="0.3">
      <c r="A17" s="135" t="s">
        <v>3</v>
      </c>
      <c r="B17" s="134"/>
      <c r="C17" s="111"/>
      <c r="D17" s="134"/>
      <c r="E17" s="111"/>
      <c r="F17" s="134"/>
      <c r="G17" s="111"/>
      <c r="H17" s="134"/>
      <c r="I17" s="111"/>
      <c r="J17" s="134"/>
      <c r="K17" s="111"/>
    </row>
    <row r="18" spans="1:13" ht="16.5" customHeight="1" x14ac:dyDescent="0.3">
      <c r="A18" s="133" t="s">
        <v>26</v>
      </c>
      <c r="B18" s="130"/>
      <c r="C18" s="129"/>
      <c r="D18" s="130"/>
      <c r="E18" s="129"/>
      <c r="F18" s="130"/>
      <c r="G18" s="129"/>
      <c r="H18" s="130"/>
      <c r="I18" s="129"/>
      <c r="J18" s="130"/>
      <c r="K18" s="129"/>
    </row>
    <row r="19" spans="1:13" ht="16.5" customHeight="1" x14ac:dyDescent="0.3">
      <c r="A19" s="132" t="s">
        <v>27</v>
      </c>
      <c r="B19" s="130"/>
      <c r="C19" s="129"/>
      <c r="D19" s="130"/>
      <c r="E19" s="129"/>
      <c r="F19" s="130"/>
      <c r="G19" s="129"/>
      <c r="H19" s="130"/>
      <c r="I19" s="129"/>
      <c r="J19" s="130"/>
      <c r="K19" s="129"/>
    </row>
    <row r="20" spans="1:13" ht="16.5" hidden="1" customHeight="1" x14ac:dyDescent="0.3">
      <c r="A20" s="126" t="s">
        <v>28</v>
      </c>
      <c r="B20" s="125"/>
      <c r="C20" s="124"/>
      <c r="D20" s="125"/>
      <c r="E20" s="124"/>
      <c r="F20" s="125"/>
      <c r="G20" s="124"/>
      <c r="H20" s="125"/>
      <c r="I20" s="124"/>
      <c r="J20" s="125"/>
      <c r="K20" s="124"/>
    </row>
    <row r="21" spans="1:13" ht="16.5" customHeight="1" x14ac:dyDescent="0.3">
      <c r="A21" s="131" t="s">
        <v>29</v>
      </c>
      <c r="B21" s="130"/>
      <c r="C21" s="129"/>
      <c r="D21" s="130"/>
      <c r="E21" s="129"/>
      <c r="F21" s="130"/>
      <c r="G21" s="129"/>
      <c r="H21" s="130"/>
      <c r="I21" s="129"/>
      <c r="J21" s="130"/>
      <c r="K21" s="129"/>
    </row>
    <row r="22" spans="1:13" ht="16.5" hidden="1" customHeight="1" x14ac:dyDescent="0.3">
      <c r="A22" s="128" t="s">
        <v>30</v>
      </c>
      <c r="B22" s="125">
        <f t="shared" ref="B22:B34" ca="1" si="4">INDEX(INDIRECT("'"&amp;B$4&amp;"'!$1:$1048576"),MATCH($A22,INDIRECT("'"&amp;B$4&amp;"'!$A:$A"),0),MATCH($A$2,INDIRECT("'"&amp;B$4&amp;"'!$5:$5"),0))</f>
        <v>0</v>
      </c>
      <c r="C22" s="124">
        <f ca="1">IFERROR(B22/B16, "NA")</f>
        <v>0</v>
      </c>
      <c r="D22" s="125">
        <f t="shared" ref="D22:D34" ca="1" si="5">INDEX(INDIRECT("'"&amp;D$4&amp;"'!$1:$1048576"),MATCH($A22,INDIRECT("'"&amp;D$4&amp;"'!$A:$A"),0),MATCH($A$2,INDIRECT("'"&amp;D$4&amp;"'!$5:$5"),0))</f>
        <v>0</v>
      </c>
      <c r="E22" s="124">
        <f ca="1">IFERROR(D22/D16, "NA")</f>
        <v>0</v>
      </c>
      <c r="F22" s="125">
        <f t="shared" ref="F22:F34" ca="1" si="6">INDEX(INDIRECT("'"&amp;F$4&amp;"'!$1:$1048576"),MATCH($A22,INDIRECT("'"&amp;F$4&amp;"'!$A:$A"),0),MATCH($A$2,INDIRECT("'"&amp;F$4&amp;"'!$5:$5"),0))</f>
        <v>0</v>
      </c>
      <c r="G22" s="124">
        <f ca="1">IFERROR(F22/F16, "NA")</f>
        <v>0</v>
      </c>
      <c r="H22" s="125">
        <f t="shared" ref="H22:H34" ca="1" si="7">INDEX(INDIRECT("'"&amp;H$4&amp;"'!$1:$1048576"),MATCH($A22,INDIRECT("'"&amp;H$4&amp;"'!$A:$A"),0),MATCH($A$2,INDIRECT("'"&amp;H$4&amp;"'!$5:$5"),0))</f>
        <v>0</v>
      </c>
      <c r="I22" s="124">
        <f ca="1">IFERROR(H22/H16, "NA")</f>
        <v>0</v>
      </c>
      <c r="J22" s="125"/>
      <c r="K22" s="124">
        <f ca="1">IFERROR(J22/J16, "NA")</f>
        <v>0</v>
      </c>
    </row>
    <row r="23" spans="1:13" ht="16.5" customHeight="1" x14ac:dyDescent="0.3">
      <c r="A23" s="128" t="s">
        <v>31</v>
      </c>
      <c r="B23" s="125">
        <f t="shared" ca="1" si="4"/>
        <v>2644.52</v>
      </c>
      <c r="C23" s="124">
        <f ca="1">IFERROR(B23/B16, "NA")</f>
        <v>4.4877762689475388E-2</v>
      </c>
      <c r="D23" s="125">
        <f t="shared" ca="1" si="5"/>
        <v>1618.52</v>
      </c>
      <c r="E23" s="124">
        <f ca="1">IFERROR(D23/D16, "NA")</f>
        <v>3.6160586319291019E-2</v>
      </c>
      <c r="F23" s="125">
        <f t="shared" ca="1" si="6"/>
        <v>1525.35</v>
      </c>
      <c r="G23" s="124">
        <f ca="1">IFERROR(F23/F16, "NA")</f>
        <v>4.7578661453033945E-2</v>
      </c>
      <c r="H23" s="125">
        <f t="shared" ca="1" si="7"/>
        <v>1210.77</v>
      </c>
      <c r="I23" s="124">
        <f ca="1">IFERROR(H23/H16, "NA")</f>
        <v>4.0100618349103952E-2</v>
      </c>
      <c r="J23" s="136">
        <f t="shared" ref="J23:J34" ca="1" si="8">+H23+F23+D23+B23</f>
        <v>6999.16</v>
      </c>
      <c r="K23" s="124">
        <f ca="1">IFERROR(J23/J16, "NA")</f>
        <v>4.2179050465757796E-2</v>
      </c>
      <c r="L23" s="139"/>
      <c r="M23" s="138"/>
    </row>
    <row r="24" spans="1:13" ht="16.5" customHeight="1" x14ac:dyDescent="0.3">
      <c r="A24" s="128" t="s">
        <v>32</v>
      </c>
      <c r="B24" s="125">
        <f t="shared" ca="1" si="4"/>
        <v>1296.6400000000001</v>
      </c>
      <c r="C24" s="124">
        <f ca="1">IFERROR(B24/B16, "NA")</f>
        <v>2.2004107442439979E-2</v>
      </c>
      <c r="D24" s="125">
        <f t="shared" ca="1" si="5"/>
        <v>1434.38</v>
      </c>
      <c r="E24" s="124">
        <f ca="1">IFERROR(D24/D16, "NA")</f>
        <v>3.2046574527756624E-2</v>
      </c>
      <c r="F24" s="125">
        <f t="shared" ca="1" si="6"/>
        <v>938.23</v>
      </c>
      <c r="G24" s="124">
        <f ca="1">IFERROR(F24/F16, "NA")</f>
        <v>2.9265235870508437E-2</v>
      </c>
      <c r="H24" s="125">
        <f t="shared" ca="1" si="7"/>
        <v>689.43</v>
      </c>
      <c r="I24" s="124">
        <f ca="1">IFERROR(H24/H16, "NA")</f>
        <v>2.2833873740200645E-2</v>
      </c>
      <c r="J24" s="136">
        <f t="shared" ca="1" si="8"/>
        <v>4358.68</v>
      </c>
      <c r="K24" s="124">
        <f ca="1">IFERROR(J24/J16, "NA")</f>
        <v>2.6266721104259542E-2</v>
      </c>
      <c r="L24" s="139"/>
      <c r="M24" s="138"/>
    </row>
    <row r="25" spans="1:13" ht="16.5" customHeight="1" x14ac:dyDescent="0.3">
      <c r="A25" s="128" t="s">
        <v>33</v>
      </c>
      <c r="B25" s="125">
        <f t="shared" ca="1" si="4"/>
        <v>1954.19</v>
      </c>
      <c r="C25" s="124">
        <f ca="1">IFERROR(B25/B16, "NA")</f>
        <v>3.3162795165151297E-2</v>
      </c>
      <c r="D25" s="125">
        <f t="shared" ca="1" si="5"/>
        <v>1669.07</v>
      </c>
      <c r="E25" s="124">
        <f ca="1">IFERROR(D25/D16, "NA")</f>
        <v>3.7289962316152447E-2</v>
      </c>
      <c r="F25" s="125">
        <f t="shared" ca="1" si="6"/>
        <v>1012.97</v>
      </c>
      <c r="G25" s="124">
        <f ca="1">IFERROR(F25/F16, "NA")</f>
        <v>3.1596523218985678E-2</v>
      </c>
      <c r="H25" s="125">
        <f t="shared" ca="1" si="7"/>
        <v>543.55999999999995</v>
      </c>
      <c r="I25" s="124">
        <f ca="1">IFERROR(H25/H16, "NA")</f>
        <v>1.8002669466404803E-2</v>
      </c>
      <c r="J25" s="136">
        <f t="shared" ca="1" si="8"/>
        <v>5179.79</v>
      </c>
      <c r="K25" s="124">
        <f ca="1">IFERROR(J25/J16, "NA")</f>
        <v>3.1214977770479258E-2</v>
      </c>
      <c r="L25" s="139"/>
      <c r="M25" s="138"/>
    </row>
    <row r="26" spans="1:13" ht="16.5" customHeight="1" x14ac:dyDescent="0.3">
      <c r="A26" s="128" t="s">
        <v>34</v>
      </c>
      <c r="B26" s="125">
        <f t="shared" ca="1" si="4"/>
        <v>1080.03</v>
      </c>
      <c r="C26" s="124">
        <f ca="1">IFERROR(B26/B16, "NA")</f>
        <v>1.8328214586206232E-2</v>
      </c>
      <c r="D26" s="125">
        <f t="shared" ca="1" si="5"/>
        <v>780.81</v>
      </c>
      <c r="E26" s="124">
        <f ca="1">IFERROR(D26/D16, "NA")</f>
        <v>1.7444670071402033E-2</v>
      </c>
      <c r="F26" s="125">
        <f t="shared" ca="1" si="6"/>
        <v>724.77</v>
      </c>
      <c r="G26" s="124">
        <f ca="1">IFERROR(F26/F16, "NA")</f>
        <v>2.2606999351830998E-2</v>
      </c>
      <c r="H26" s="125">
        <f t="shared" ca="1" si="7"/>
        <v>756.02</v>
      </c>
      <c r="I26" s="124">
        <f ca="1">IFERROR(H26/H16, "NA")</f>
        <v>2.5039329917564499E-2</v>
      </c>
      <c r="J26" s="136">
        <f t="shared" ca="1" si="8"/>
        <v>3341.63</v>
      </c>
      <c r="K26" s="124">
        <f ca="1">IFERROR(J26/J16, "NA")</f>
        <v>2.0137670864488057E-2</v>
      </c>
      <c r="L26" s="139"/>
      <c r="M26" s="138"/>
    </row>
    <row r="27" spans="1:13" ht="16.5" customHeight="1" x14ac:dyDescent="0.3">
      <c r="A27" s="128" t="s">
        <v>35</v>
      </c>
      <c r="B27" s="125">
        <f t="shared" ca="1" si="4"/>
        <v>700.65</v>
      </c>
      <c r="C27" s="124">
        <f ca="1">IFERROR(B27/B16, "NA")</f>
        <v>1.1890098932275396E-2</v>
      </c>
      <c r="D27" s="125">
        <f t="shared" ca="1" si="5"/>
        <v>381.66</v>
      </c>
      <c r="E27" s="124">
        <f ca="1">IFERROR(D27/D16, "NA")</f>
        <v>8.5269563395080766E-3</v>
      </c>
      <c r="F27" s="125">
        <f t="shared" ca="1" si="6"/>
        <v>317.22000000000003</v>
      </c>
      <c r="G27" s="124">
        <f ca="1">IFERROR(F27/F16, "NA")</f>
        <v>9.8947146465607431E-3</v>
      </c>
      <c r="H27" s="125">
        <f t="shared" ca="1" si="7"/>
        <v>219.33</v>
      </c>
      <c r="I27" s="124">
        <f ca="1">IFERROR(H27/H16, "NA")</f>
        <v>7.2641943742485938E-3</v>
      </c>
      <c r="J27" s="136">
        <f t="shared" ca="1" si="8"/>
        <v>1618.8600000000001</v>
      </c>
      <c r="K27" s="124">
        <f ca="1">IFERROR(J27/J16, "NA")</f>
        <v>9.7557389225273721E-3</v>
      </c>
      <c r="L27" s="139"/>
      <c r="M27" s="138"/>
    </row>
    <row r="28" spans="1:13" ht="16.5" customHeight="1" x14ac:dyDescent="0.3">
      <c r="A28" s="128" t="s">
        <v>36</v>
      </c>
      <c r="B28" s="125">
        <f t="shared" ca="1" si="4"/>
        <v>277.8</v>
      </c>
      <c r="C28" s="124">
        <f ca="1">IFERROR(B28/B16, "NA")</f>
        <v>4.7142931326426968E-3</v>
      </c>
      <c r="D28" s="125">
        <f t="shared" ca="1" si="5"/>
        <v>514.97</v>
      </c>
      <c r="E28" s="124">
        <f ca="1">IFERROR(D28/D16, "NA")</f>
        <v>1.1505336441221176E-2</v>
      </c>
      <c r="F28" s="125">
        <f t="shared" ca="1" si="6"/>
        <v>162.44999999999999</v>
      </c>
      <c r="G28" s="124">
        <f ca="1">IFERROR(F28/F16, "NA")</f>
        <v>5.0671344629398922E-3</v>
      </c>
      <c r="H28" s="125">
        <f t="shared" ca="1" si="7"/>
        <v>227.91</v>
      </c>
      <c r="I28" s="124">
        <f ca="1">IFERROR(H28/H16, "NA")</f>
        <v>7.5483633786303603E-3</v>
      </c>
      <c r="J28" s="136">
        <f t="shared" ca="1" si="8"/>
        <v>1183.1300000000001</v>
      </c>
      <c r="K28" s="124">
        <f ca="1">IFERROR(J28/J16, "NA")</f>
        <v>7.1298984417490141E-3</v>
      </c>
      <c r="L28" s="139"/>
      <c r="M28" s="138"/>
    </row>
    <row r="29" spans="1:13" ht="16.5" customHeight="1" x14ac:dyDescent="0.3">
      <c r="A29" s="128" t="s">
        <v>37</v>
      </c>
      <c r="B29" s="125">
        <f t="shared" ca="1" si="4"/>
        <v>0</v>
      </c>
      <c r="C29" s="124">
        <f ca="1">IFERROR(B29/B16, "NA")</f>
        <v>0</v>
      </c>
      <c r="D29" s="125">
        <f t="shared" ca="1" si="5"/>
        <v>0</v>
      </c>
      <c r="E29" s="124">
        <f ca="1">IFERROR(D29/D16, "NA")</f>
        <v>0</v>
      </c>
      <c r="F29" s="125">
        <f t="shared" ca="1" si="6"/>
        <v>0</v>
      </c>
      <c r="G29" s="124">
        <f ca="1">IFERROR(F29/F16, "NA")</f>
        <v>0</v>
      </c>
      <c r="H29" s="125">
        <f t="shared" ca="1" si="7"/>
        <v>0</v>
      </c>
      <c r="I29" s="124">
        <f ca="1">IFERROR(H29/H16, "NA")</f>
        <v>0</v>
      </c>
      <c r="J29" s="136">
        <f t="shared" ca="1" si="8"/>
        <v>0</v>
      </c>
      <c r="K29" s="124">
        <f ca="1">IFERROR(J29/J16, "NA")</f>
        <v>0</v>
      </c>
      <c r="L29" s="139"/>
      <c r="M29" s="138"/>
    </row>
    <row r="30" spans="1:13" ht="16.5" customHeight="1" x14ac:dyDescent="0.3">
      <c r="A30" s="128" t="s">
        <v>38</v>
      </c>
      <c r="B30" s="125">
        <f t="shared" ca="1" si="4"/>
        <v>23.59</v>
      </c>
      <c r="C30" s="124">
        <f ca="1">IFERROR(B30/B16, "NA")</f>
        <v>4.0032460402822606E-4</v>
      </c>
      <c r="D30" s="125">
        <f t="shared" ca="1" si="5"/>
        <v>204.85</v>
      </c>
      <c r="E30" s="124">
        <f ca="1">IFERROR(D30/D16, "NA")</f>
        <v>4.5767096529587305E-3</v>
      </c>
      <c r="F30" s="125">
        <f t="shared" ca="1" si="6"/>
        <v>248.42</v>
      </c>
      <c r="G30" s="124">
        <f ca="1">IFERROR(F30/F16, "NA")</f>
        <v>7.7487075609943244E-3</v>
      </c>
      <c r="H30" s="125">
        <f t="shared" ca="1" si="7"/>
        <v>88.56</v>
      </c>
      <c r="I30" s="124">
        <f ca="1">IFERROR(H30/H16, "NA")</f>
        <v>2.9331010522201952E-3</v>
      </c>
      <c r="J30" s="136">
        <f t="shared" ca="1" si="8"/>
        <v>565.42000000000007</v>
      </c>
      <c r="K30" s="124">
        <f ca="1">IFERROR(J30/J16, "NA")</f>
        <v>3.4073915604656527E-3</v>
      </c>
      <c r="L30" s="139"/>
      <c r="M30" s="138"/>
    </row>
    <row r="31" spans="1:13" ht="16.5" customHeight="1" x14ac:dyDescent="0.3">
      <c r="A31" s="128" t="s">
        <v>39</v>
      </c>
      <c r="B31" s="125">
        <f t="shared" ca="1" si="4"/>
        <v>2755.98</v>
      </c>
      <c r="C31" s="124">
        <f ca="1">IFERROR(B31/B16, "NA")</f>
        <v>4.6769249775740165E-2</v>
      </c>
      <c r="D31" s="125">
        <f t="shared" ca="1" si="5"/>
        <v>2667.5</v>
      </c>
      <c r="E31" s="124">
        <f ca="1">IFERROR(D31/D16, "NA")</f>
        <v>5.9596646323004224E-2</v>
      </c>
      <c r="F31" s="125">
        <f t="shared" ca="1" si="6"/>
        <v>1887.25</v>
      </c>
      <c r="G31" s="124">
        <f ca="1">IFERROR(F31/F16, "NA")</f>
        <v>5.8867033026674745E-2</v>
      </c>
      <c r="H31" s="125">
        <f t="shared" ca="1" si="7"/>
        <v>1723.82</v>
      </c>
      <c r="I31" s="124">
        <f ca="1">IFERROR(H31/H16, "NA")</f>
        <v>5.709279873349387E-2</v>
      </c>
      <c r="J31" s="136">
        <f t="shared" ca="1" si="8"/>
        <v>9034.5499999999993</v>
      </c>
      <c r="K31" s="124">
        <f ca="1">IFERROR(J31/J16, "NA")</f>
        <v>5.4444924874615254E-2</v>
      </c>
      <c r="L31" s="139"/>
      <c r="M31" s="138"/>
    </row>
    <row r="32" spans="1:13" ht="16.5" hidden="1" customHeight="1" x14ac:dyDescent="0.3">
      <c r="A32" s="128" t="s">
        <v>40</v>
      </c>
      <c r="B32" s="125">
        <f t="shared" ca="1" si="4"/>
        <v>0</v>
      </c>
      <c r="C32" s="124">
        <f ca="1">IFERROR(B32/B16, "NA")</f>
        <v>0</v>
      </c>
      <c r="D32" s="125">
        <f t="shared" ca="1" si="5"/>
        <v>0</v>
      </c>
      <c r="E32" s="124">
        <f ca="1">IFERROR(D32/D16, "NA")</f>
        <v>0</v>
      </c>
      <c r="F32" s="125">
        <f t="shared" ca="1" si="6"/>
        <v>0</v>
      </c>
      <c r="G32" s="124">
        <f ca="1">IFERROR(F32/F16, "NA")</f>
        <v>0</v>
      </c>
      <c r="H32" s="125">
        <f t="shared" ca="1" si="7"/>
        <v>0</v>
      </c>
      <c r="I32" s="124">
        <f ca="1">IFERROR(H32/H16, "NA")</f>
        <v>0</v>
      </c>
      <c r="J32" s="136">
        <f t="shared" ca="1" si="8"/>
        <v>0</v>
      </c>
      <c r="K32" s="124">
        <f ca="1">IFERROR(J32/J16, "NA")</f>
        <v>0</v>
      </c>
      <c r="L32" s="139"/>
      <c r="M32" s="138"/>
    </row>
    <row r="33" spans="1:13" ht="16.5" customHeight="1" x14ac:dyDescent="0.3">
      <c r="A33" s="128" t="s">
        <v>41</v>
      </c>
      <c r="B33" s="125">
        <f t="shared" ca="1" si="4"/>
        <v>0</v>
      </c>
      <c r="C33" s="124">
        <f ca="1">IFERROR(B33/B16, "NA")</f>
        <v>0</v>
      </c>
      <c r="D33" s="125">
        <f t="shared" ca="1" si="5"/>
        <v>0</v>
      </c>
      <c r="E33" s="124">
        <f ca="1">IFERROR(D33/D16, "NA")</f>
        <v>0</v>
      </c>
      <c r="F33" s="125">
        <f t="shared" ca="1" si="6"/>
        <v>0</v>
      </c>
      <c r="G33" s="124">
        <f ca="1">IFERROR(F33/F16, "NA")</f>
        <v>0</v>
      </c>
      <c r="H33" s="125">
        <f t="shared" ca="1" si="7"/>
        <v>0</v>
      </c>
      <c r="I33" s="124">
        <f ca="1">IFERROR(H33/H16, "NA")</f>
        <v>0</v>
      </c>
      <c r="J33" s="136">
        <f t="shared" ca="1" si="8"/>
        <v>0</v>
      </c>
      <c r="K33" s="124">
        <f ca="1">IFERROR(J33/J16, "NA")</f>
        <v>0</v>
      </c>
      <c r="L33" s="139"/>
      <c r="M33" s="138"/>
    </row>
    <row r="34" spans="1:13" ht="16.5" customHeight="1" x14ac:dyDescent="0.3">
      <c r="A34" s="127" t="s">
        <v>42</v>
      </c>
      <c r="B34" s="122">
        <f t="shared" ca="1" si="4"/>
        <v>10733.4</v>
      </c>
      <c r="C34" s="121">
        <f ca="1">IFERROR(B34/B16, "NA")</f>
        <v>0.18214684632795938</v>
      </c>
      <c r="D34" s="122">
        <f t="shared" ca="1" si="5"/>
        <v>9271.760000000002</v>
      </c>
      <c r="E34" s="121">
        <f ca="1">IFERROR(D34/D16, "NA")</f>
        <v>0.20714744199129437</v>
      </c>
      <c r="F34" s="122">
        <f t="shared" ca="1" si="6"/>
        <v>6816.66</v>
      </c>
      <c r="G34" s="121">
        <f ca="1">IFERROR(F34/F16, "NA")</f>
        <v>0.21262500959152875</v>
      </c>
      <c r="H34" s="122">
        <f t="shared" ca="1" si="7"/>
        <v>5459.4</v>
      </c>
      <c r="I34" s="121">
        <f ca="1">IFERROR(H34/H16, "NA")</f>
        <v>0.1808149490118669</v>
      </c>
      <c r="J34" s="122">
        <f t="shared" ca="1" si="8"/>
        <v>32281.22</v>
      </c>
      <c r="K34" s="121">
        <f ca="1">IFERROR(J34/J16, "NA")</f>
        <v>0.19453637400434196</v>
      </c>
      <c r="L34" s="139"/>
      <c r="M34" s="138"/>
    </row>
    <row r="35" spans="1:13" ht="16.5" customHeight="1" x14ac:dyDescent="0.3">
      <c r="A35" s="131" t="s">
        <v>43</v>
      </c>
      <c r="B35" s="130"/>
      <c r="C35" s="129"/>
      <c r="D35" s="130"/>
      <c r="E35" s="129"/>
      <c r="F35" s="130"/>
      <c r="G35" s="129"/>
      <c r="H35" s="130"/>
      <c r="I35" s="129"/>
      <c r="J35" s="130"/>
      <c r="K35" s="129"/>
    </row>
    <row r="36" spans="1:13" ht="16.5" hidden="1" customHeight="1" x14ac:dyDescent="0.3">
      <c r="A36" s="128" t="s">
        <v>44</v>
      </c>
      <c r="B36" s="125">
        <f t="shared" ref="B36:B42" ca="1" si="9">INDEX(INDIRECT("'"&amp;B$4&amp;"'!$1:$1048576"),MATCH($A36,INDIRECT("'"&amp;B$4&amp;"'!$A:$A"),0),MATCH($A$2,INDIRECT("'"&amp;B$4&amp;"'!$5:$5"),0))</f>
        <v>0</v>
      </c>
      <c r="C36" s="124">
        <f ca="1">IFERROR(B36/B16, "NA")</f>
        <v>0</v>
      </c>
      <c r="D36" s="125">
        <f t="shared" ref="D36:D42" ca="1" si="10">INDEX(INDIRECT("'"&amp;D$4&amp;"'!$1:$1048576"),MATCH($A36,INDIRECT("'"&amp;D$4&amp;"'!$A:$A"),0),MATCH($A$2,INDIRECT("'"&amp;D$4&amp;"'!$5:$5"),0))</f>
        <v>0</v>
      </c>
      <c r="E36" s="124">
        <f ca="1">IFERROR(D36/D16, "NA")</f>
        <v>0</v>
      </c>
      <c r="F36" s="125">
        <f t="shared" ref="F36:F42" ca="1" si="11">INDEX(INDIRECT("'"&amp;F$4&amp;"'!$1:$1048576"),MATCH($A36,INDIRECT("'"&amp;F$4&amp;"'!$A:$A"),0),MATCH($A$2,INDIRECT("'"&amp;F$4&amp;"'!$5:$5"),0))</f>
        <v>0</v>
      </c>
      <c r="G36" s="124">
        <f ca="1">IFERROR(F36/F16, "NA")</f>
        <v>0</v>
      </c>
      <c r="H36" s="125">
        <f t="shared" ref="H36:H42" ca="1" si="12">INDEX(INDIRECT("'"&amp;H$4&amp;"'!$1:$1048576"),MATCH($A36,INDIRECT("'"&amp;H$4&amp;"'!$A:$A"),0),MATCH($A$2,INDIRECT("'"&amp;H$4&amp;"'!$5:$5"),0))</f>
        <v>0</v>
      </c>
      <c r="I36" s="124">
        <f ca="1">IFERROR(H36/H16, "NA")</f>
        <v>0</v>
      </c>
      <c r="J36" s="125"/>
      <c r="K36" s="124">
        <f ca="1">IFERROR(J36/J16, "NA")</f>
        <v>0</v>
      </c>
    </row>
    <row r="37" spans="1:13" ht="16.5" customHeight="1" x14ac:dyDescent="0.3">
      <c r="A37" s="128" t="s">
        <v>45</v>
      </c>
      <c r="B37" s="125">
        <f t="shared" ca="1" si="9"/>
        <v>399.56</v>
      </c>
      <c r="C37" s="124">
        <f ca="1">IFERROR(B37/B16, "NA")</f>
        <v>6.7805722249053837E-3</v>
      </c>
      <c r="D37" s="125">
        <f t="shared" ca="1" si="10"/>
        <v>871.68</v>
      </c>
      <c r="E37" s="124">
        <f ca="1">IFERROR(D37/D16, "NA")</f>
        <v>1.9474865854484092E-2</v>
      </c>
      <c r="F37" s="125">
        <f t="shared" ca="1" si="11"/>
        <v>405.43</v>
      </c>
      <c r="G37" s="124">
        <f ca="1">IFERROR(F37/F16, "NA")</f>
        <v>1.2646157742749896E-2</v>
      </c>
      <c r="H37" s="125">
        <f t="shared" ca="1" si="12"/>
        <v>289.75</v>
      </c>
      <c r="I37" s="124">
        <f ca="1">IFERROR(H37/H16, "NA")</f>
        <v>9.5964998857362427E-3</v>
      </c>
      <c r="J37" s="136">
        <f t="shared" ref="J37:J42" ca="1" si="13">+H37+F37+D37+B37</f>
        <v>1966.42</v>
      </c>
      <c r="K37" s="124">
        <f ca="1">IFERROR(J37/J16, "NA")</f>
        <v>1.1850240374112815E-2</v>
      </c>
    </row>
    <row r="38" spans="1:13" ht="16.5" customHeight="1" x14ac:dyDescent="0.3">
      <c r="A38" s="128" t="s">
        <v>46</v>
      </c>
      <c r="B38" s="125">
        <f t="shared" ca="1" si="9"/>
        <v>4.87</v>
      </c>
      <c r="C38" s="124">
        <f ca="1">IFERROR(B38/B16, "NA")</f>
        <v>8.2644375651439632E-5</v>
      </c>
      <c r="D38" s="125">
        <f t="shared" ca="1" si="10"/>
        <v>2.44</v>
      </c>
      <c r="E38" s="124">
        <f ca="1">IFERROR(D38/D16, "NA")</f>
        <v>5.4513895793113513E-5</v>
      </c>
      <c r="F38" s="125">
        <f t="shared" ca="1" si="11"/>
        <v>29.22</v>
      </c>
      <c r="G38" s="124">
        <f ca="1">IFERROR(F38/F16, "NA")</f>
        <v>9.114291720966676E-4</v>
      </c>
      <c r="H38" s="125">
        <f t="shared" ca="1" si="12"/>
        <v>1.36</v>
      </c>
      <c r="I38" s="124">
        <f ca="1">IFERROR(H38/H16, "NA")</f>
        <v>4.50431055896507E-5</v>
      </c>
      <c r="J38" s="136">
        <f t="shared" ca="1" si="13"/>
        <v>37.889999999999993</v>
      </c>
      <c r="K38" s="124">
        <f ca="1">IFERROR(J38/J16, "NA")</f>
        <v>2.2833657498150676E-4</v>
      </c>
    </row>
    <row r="39" spans="1:13" ht="16.5" customHeight="1" x14ac:dyDescent="0.3">
      <c r="A39" s="128" t="s">
        <v>47</v>
      </c>
      <c r="B39" s="125">
        <f t="shared" ca="1" si="9"/>
        <v>-0.8</v>
      </c>
      <c r="C39" s="124">
        <f ca="1">IFERROR(B39/B16, "NA")</f>
        <v>-1.3576078135760105E-5</v>
      </c>
      <c r="D39" s="125">
        <f t="shared" ca="1" si="10"/>
        <v>0</v>
      </c>
      <c r="E39" s="124">
        <f ca="1">IFERROR(D39/D16, "NA")</f>
        <v>0</v>
      </c>
      <c r="F39" s="125">
        <f t="shared" ca="1" si="11"/>
        <v>-29.9</v>
      </c>
      <c r="G39" s="124">
        <f ca="1">IFERROR(F39/F16, "NA")</f>
        <v>-9.3263970724470776E-4</v>
      </c>
      <c r="H39" s="125">
        <f t="shared" ca="1" si="12"/>
        <v>0</v>
      </c>
      <c r="I39" s="124">
        <f ca="1">IFERROR(H39/H16, "NA")</f>
        <v>0</v>
      </c>
      <c r="J39" s="136">
        <f t="shared" ca="1" si="13"/>
        <v>-30.7</v>
      </c>
      <c r="K39" s="124">
        <f ca="1">IFERROR(J39/J16, "NA")</f>
        <v>-1.8500746508134754E-4</v>
      </c>
    </row>
    <row r="40" spans="1:13" ht="16.5" customHeight="1" x14ac:dyDescent="0.3">
      <c r="A40" s="128" t="s">
        <v>48</v>
      </c>
      <c r="B40" s="125">
        <f t="shared" ca="1" si="9"/>
        <v>-92.72</v>
      </c>
      <c r="C40" s="124">
        <f ca="1">IFERROR(B40/B16, "NA")</f>
        <v>-1.5734674559345961E-3</v>
      </c>
      <c r="D40" s="125">
        <f t="shared" ca="1" si="10"/>
        <v>0</v>
      </c>
      <c r="E40" s="124">
        <f ca="1">IFERROR(D40/D16, "NA")</f>
        <v>0</v>
      </c>
      <c r="F40" s="125">
        <f t="shared" ca="1" si="11"/>
        <v>14.7</v>
      </c>
      <c r="G40" s="124">
        <f ca="1">IFERROR(F40/F16, "NA")</f>
        <v>4.5852186275910383E-4</v>
      </c>
      <c r="H40" s="125">
        <f t="shared" ca="1" si="12"/>
        <v>0</v>
      </c>
      <c r="I40" s="124">
        <f ca="1">IFERROR(H40/H16, "NA")</f>
        <v>0</v>
      </c>
      <c r="J40" s="136">
        <f t="shared" ca="1" si="13"/>
        <v>-78.02</v>
      </c>
      <c r="K40" s="124">
        <f ca="1">IFERROR(J40/J16, "NA")</f>
        <v>-4.7017206598197833E-4</v>
      </c>
    </row>
    <row r="41" spans="1:13" ht="16.5" customHeight="1" x14ac:dyDescent="0.3">
      <c r="A41" s="127" t="s">
        <v>49</v>
      </c>
      <c r="B41" s="122">
        <f t="shared" ca="1" si="9"/>
        <v>310.90999999999997</v>
      </c>
      <c r="C41" s="121">
        <f ca="1">IFERROR(B41/B16, "NA")</f>
        <v>5.2761730664864668E-3</v>
      </c>
      <c r="D41" s="122">
        <f t="shared" ca="1" si="10"/>
        <v>874.12</v>
      </c>
      <c r="E41" s="121">
        <f ca="1">IFERROR(D41/D16, "NA")</f>
        <v>1.9529379750277208E-2</v>
      </c>
      <c r="F41" s="122">
        <f t="shared" ca="1" si="11"/>
        <v>419.45</v>
      </c>
      <c r="G41" s="121">
        <f ca="1">IFERROR(F41/F16, "NA")</f>
        <v>1.3083469070360959E-2</v>
      </c>
      <c r="H41" s="122">
        <f t="shared" ca="1" si="12"/>
        <v>291.11</v>
      </c>
      <c r="I41" s="121">
        <f ca="1">IFERROR(H41/H16, "NA")</f>
        <v>9.6415429913258924E-3</v>
      </c>
      <c r="J41" s="136">
        <f t="shared" ca="1" si="13"/>
        <v>1895.5899999999997</v>
      </c>
      <c r="K41" s="121">
        <f ca="1">IFERROR(J41/J16, "NA")</f>
        <v>1.1423397418030994E-2</v>
      </c>
    </row>
    <row r="42" spans="1:13" ht="16.5" customHeight="1" x14ac:dyDescent="0.3">
      <c r="A42" s="123" t="s">
        <v>50</v>
      </c>
      <c r="B42" s="122">
        <f t="shared" ca="1" si="9"/>
        <v>11044.310000000001</v>
      </c>
      <c r="C42" s="121">
        <f ca="1">IFERROR(B42/B16, "NA")</f>
        <v>0.18742301939444586</v>
      </c>
      <c r="D42" s="122">
        <f t="shared" ca="1" si="10"/>
        <v>10145.880000000003</v>
      </c>
      <c r="E42" s="121">
        <f ca="1">IFERROR(D42/D16, "NA")</f>
        <v>0.22667682174157161</v>
      </c>
      <c r="F42" s="122">
        <f t="shared" ca="1" si="11"/>
        <v>7236.1100000000006</v>
      </c>
      <c r="G42" s="121">
        <f ca="1">IFERROR(F42/F16, "NA")</f>
        <v>0.22570847866188973</v>
      </c>
      <c r="H42" s="122">
        <f t="shared" ca="1" si="12"/>
        <v>5750.5099999999993</v>
      </c>
      <c r="I42" s="121">
        <f ca="1">IFERROR(H42/H16, "NA")</f>
        <v>0.19045649200319278</v>
      </c>
      <c r="J42" s="122">
        <f t="shared" ca="1" si="13"/>
        <v>34176.81</v>
      </c>
      <c r="K42" s="121">
        <f ca="1">IFERROR(J42/J16, "NA")</f>
        <v>0.20595977142237293</v>
      </c>
    </row>
    <row r="43" spans="1:13" ht="16.5" customHeight="1" x14ac:dyDescent="0.3">
      <c r="A43" s="132" t="s">
        <v>51</v>
      </c>
      <c r="B43" s="130"/>
      <c r="C43" s="129"/>
      <c r="D43" s="130"/>
      <c r="E43" s="129"/>
      <c r="F43" s="130"/>
      <c r="G43" s="129"/>
      <c r="H43" s="130"/>
      <c r="I43" s="129"/>
      <c r="J43" s="130"/>
      <c r="K43" s="129"/>
    </row>
    <row r="44" spans="1:13" ht="16.5" hidden="1" customHeight="1" x14ac:dyDescent="0.3">
      <c r="A44" s="126" t="s">
        <v>52</v>
      </c>
      <c r="B44" s="125"/>
      <c r="C44" s="124"/>
      <c r="D44" s="125"/>
      <c r="E44" s="124"/>
      <c r="F44" s="125"/>
      <c r="G44" s="124"/>
      <c r="H44" s="125"/>
      <c r="I44" s="124"/>
      <c r="J44" s="125"/>
      <c r="K44" s="124"/>
    </row>
    <row r="45" spans="1:13" ht="16.5" customHeight="1" x14ac:dyDescent="0.3">
      <c r="A45" s="131" t="s">
        <v>53</v>
      </c>
      <c r="B45" s="130"/>
      <c r="C45" s="129"/>
      <c r="D45" s="130"/>
      <c r="E45" s="129"/>
      <c r="F45" s="130"/>
      <c r="G45" s="129"/>
      <c r="H45" s="130"/>
      <c r="I45" s="129"/>
      <c r="J45" s="130"/>
      <c r="K45" s="129"/>
    </row>
    <row r="46" spans="1:13" ht="16.5" hidden="1" customHeight="1" x14ac:dyDescent="0.3">
      <c r="A46" s="128" t="s">
        <v>54</v>
      </c>
      <c r="B46" s="125">
        <f t="shared" ref="B46:B51" ca="1" si="14">INDEX(INDIRECT("'"&amp;B$4&amp;"'!$1:$1048576"),MATCH($A46,INDIRECT("'"&amp;B$4&amp;"'!$A:$A"),0),MATCH($A$2,INDIRECT("'"&amp;B$4&amp;"'!$5:$5"),0))</f>
        <v>0</v>
      </c>
      <c r="C46" s="124">
        <f ca="1">IFERROR(B46/B16, "NA")</f>
        <v>0</v>
      </c>
      <c r="D46" s="125">
        <f t="shared" ref="D46:D51" ca="1" si="15">INDEX(INDIRECT("'"&amp;D$4&amp;"'!$1:$1048576"),MATCH($A46,INDIRECT("'"&amp;D$4&amp;"'!$A:$A"),0),MATCH($A$2,INDIRECT("'"&amp;D$4&amp;"'!$5:$5"),0))</f>
        <v>0</v>
      </c>
      <c r="E46" s="124">
        <f ca="1">IFERROR(D46/D16, "NA")</f>
        <v>0</v>
      </c>
      <c r="F46" s="125">
        <f t="shared" ref="F46:F51" ca="1" si="16">INDEX(INDIRECT("'"&amp;F$4&amp;"'!$1:$1048576"),MATCH($A46,INDIRECT("'"&amp;F$4&amp;"'!$A:$A"),0),MATCH($A$2,INDIRECT("'"&amp;F$4&amp;"'!$5:$5"),0))</f>
        <v>0</v>
      </c>
      <c r="G46" s="124">
        <f ca="1">IFERROR(F46/F16, "NA")</f>
        <v>0</v>
      </c>
      <c r="H46" s="125">
        <f t="shared" ref="H46:H51" ca="1" si="17">INDEX(INDIRECT("'"&amp;H$4&amp;"'!$1:$1048576"),MATCH($A46,INDIRECT("'"&amp;H$4&amp;"'!$A:$A"),0),MATCH($A$2,INDIRECT("'"&amp;H$4&amp;"'!$5:$5"),0))</f>
        <v>0</v>
      </c>
      <c r="I46" s="124">
        <f ca="1">IFERROR(H46/H16, "NA")</f>
        <v>0</v>
      </c>
      <c r="J46" s="125"/>
      <c r="K46" s="124">
        <f ca="1">IFERROR(J46/J16, "NA")</f>
        <v>0</v>
      </c>
    </row>
    <row r="47" spans="1:13" ht="16.5" customHeight="1" x14ac:dyDescent="0.3">
      <c r="A47" s="128" t="s">
        <v>55</v>
      </c>
      <c r="B47" s="125">
        <f t="shared" ca="1" si="14"/>
        <v>1277.51</v>
      </c>
      <c r="C47" s="124">
        <f ca="1">IFERROR(B47/B16, "NA")</f>
        <v>2.1679469474018612E-2</v>
      </c>
      <c r="D47" s="125">
        <f t="shared" ca="1" si="15"/>
        <v>972.87</v>
      </c>
      <c r="E47" s="124">
        <f ca="1">IFERROR(D47/D16, "NA")</f>
        <v>2.1735628606658338E-2</v>
      </c>
      <c r="F47" s="125">
        <f t="shared" ca="1" si="16"/>
        <v>854.98</v>
      </c>
      <c r="G47" s="124">
        <f ca="1">IFERROR(F47/F16, "NA")</f>
        <v>2.6668504913046162E-2</v>
      </c>
      <c r="H47" s="125">
        <f t="shared" ca="1" si="17"/>
        <v>867.54</v>
      </c>
      <c r="I47" s="124">
        <f ca="1">IFERROR(H47/H16, "NA")</f>
        <v>2.8732864575915857E-2</v>
      </c>
      <c r="J47" s="136">
        <f ca="1">+H47+F47+D47+B47</f>
        <v>3972.8999999999996</v>
      </c>
      <c r="K47" s="124">
        <f ca="1">IFERROR(J47/J16, "NA")</f>
        <v>2.3941894398100509E-2</v>
      </c>
    </row>
    <row r="48" spans="1:13" ht="16.5" customHeight="1" x14ac:dyDescent="0.3">
      <c r="A48" s="128" t="s">
        <v>56</v>
      </c>
      <c r="B48" s="125">
        <f t="shared" ca="1" si="14"/>
        <v>626.83000000000004</v>
      </c>
      <c r="C48" s="124">
        <f ca="1">IFERROR(B48/B16, "NA")</f>
        <v>1.0637366322298133E-2</v>
      </c>
      <c r="D48" s="125">
        <f t="shared" ca="1" si="15"/>
        <v>158.44999999999999</v>
      </c>
      <c r="E48" s="124">
        <f ca="1">IFERROR(D48/D16, "NA")</f>
        <v>3.5400519624667359E-3</v>
      </c>
      <c r="F48" s="125">
        <f t="shared" ca="1" si="16"/>
        <v>429.82</v>
      </c>
      <c r="G48" s="124">
        <f ca="1">IFERROR(F48/F16, "NA")</f>
        <v>1.3406929731368571E-2</v>
      </c>
      <c r="H48" s="125">
        <f t="shared" ca="1" si="17"/>
        <v>257.66000000000003</v>
      </c>
      <c r="I48" s="124">
        <f ca="1">IFERROR(H48/H16, "NA")</f>
        <v>8.5336813134039707E-3</v>
      </c>
      <c r="J48" s="136">
        <f ca="1">+H48+F48+D48+B48</f>
        <v>1472.7600000000002</v>
      </c>
      <c r="K48" s="124">
        <f ca="1">IFERROR(J48/J16, "NA")</f>
        <v>8.8752962303975721E-3</v>
      </c>
    </row>
    <row r="49" spans="1:11" ht="16.5" hidden="1" customHeight="1" x14ac:dyDescent="0.3">
      <c r="A49" s="128" t="s">
        <v>57</v>
      </c>
      <c r="B49" s="125">
        <f t="shared" ca="1" si="14"/>
        <v>0</v>
      </c>
      <c r="C49" s="124">
        <f ca="1">IFERROR(B49/B16, "NA")</f>
        <v>0</v>
      </c>
      <c r="D49" s="125">
        <f t="shared" ca="1" si="15"/>
        <v>0</v>
      </c>
      <c r="E49" s="124">
        <f ca="1">IFERROR(D49/D16, "NA")</f>
        <v>0</v>
      </c>
      <c r="F49" s="125">
        <f t="shared" ca="1" si="16"/>
        <v>0</v>
      </c>
      <c r="G49" s="124">
        <f ca="1">IFERROR(F49/F16, "NA")</f>
        <v>0</v>
      </c>
      <c r="H49" s="125">
        <f t="shared" ca="1" si="17"/>
        <v>0</v>
      </c>
      <c r="I49" s="124">
        <f ca="1">IFERROR(H49/H16, "NA")</f>
        <v>0</v>
      </c>
      <c r="J49" s="122">
        <f ca="1">+H49+F49+D49+B49</f>
        <v>0</v>
      </c>
      <c r="K49" s="124">
        <f ca="1">IFERROR(J49/J16, "NA")</f>
        <v>0</v>
      </c>
    </row>
    <row r="50" spans="1:11" ht="16.5" hidden="1" customHeight="1" x14ac:dyDescent="0.3">
      <c r="A50" s="128" t="s">
        <v>58</v>
      </c>
      <c r="B50" s="125">
        <f t="shared" ca="1" si="14"/>
        <v>0</v>
      </c>
      <c r="C50" s="124">
        <f ca="1">IFERROR(B50/B16, "NA")</f>
        <v>0</v>
      </c>
      <c r="D50" s="125">
        <f t="shared" ca="1" si="15"/>
        <v>0</v>
      </c>
      <c r="E50" s="124">
        <f ca="1">IFERROR(D50/D16, "NA")</f>
        <v>0</v>
      </c>
      <c r="F50" s="125">
        <f t="shared" ca="1" si="16"/>
        <v>0</v>
      </c>
      <c r="G50" s="124">
        <f ca="1">IFERROR(F50/F16, "NA")</f>
        <v>0</v>
      </c>
      <c r="H50" s="125">
        <f t="shared" ca="1" si="17"/>
        <v>0</v>
      </c>
      <c r="I50" s="124">
        <f ca="1">IFERROR(H50/H16, "NA")</f>
        <v>0</v>
      </c>
      <c r="J50" s="122">
        <f ca="1">+H50+F50+D50+B50</f>
        <v>0</v>
      </c>
      <c r="K50" s="124">
        <f ca="1">IFERROR(J50/J16, "NA")</f>
        <v>0</v>
      </c>
    </row>
    <row r="51" spans="1:11" ht="16.5" customHeight="1" x14ac:dyDescent="0.3">
      <c r="A51" s="127" t="s">
        <v>59</v>
      </c>
      <c r="B51" s="122">
        <f t="shared" ca="1" si="14"/>
        <v>1904.3400000000001</v>
      </c>
      <c r="C51" s="121">
        <f ca="1">IFERROR(B51/B16, "NA")</f>
        <v>3.2316835796316751E-2</v>
      </c>
      <c r="D51" s="122">
        <f t="shared" ca="1" si="15"/>
        <v>1131.32</v>
      </c>
      <c r="E51" s="121">
        <f ca="1">IFERROR(D51/D16, "NA")</f>
        <v>2.5275680569125072E-2</v>
      </c>
      <c r="F51" s="122">
        <f t="shared" ca="1" si="16"/>
        <v>1284.8</v>
      </c>
      <c r="G51" s="121">
        <f ca="1">IFERROR(F51/F16, "NA")</f>
        <v>4.007543464441473E-2</v>
      </c>
      <c r="H51" s="122">
        <f t="shared" ca="1" si="17"/>
        <v>1125.2</v>
      </c>
      <c r="I51" s="121">
        <f ca="1">IFERROR(H51/H16, "NA")</f>
        <v>3.7266545889319824E-2</v>
      </c>
      <c r="J51" s="122">
        <f ca="1">+H51+F51+D51+B51</f>
        <v>5445.66</v>
      </c>
      <c r="K51" s="121">
        <f ca="1">IFERROR(J51/J16, "NA")</f>
        <v>3.2817190628498076E-2</v>
      </c>
    </row>
    <row r="52" spans="1:11" ht="16.5" customHeight="1" x14ac:dyDescent="0.3">
      <c r="A52" s="131" t="s">
        <v>60</v>
      </c>
      <c r="B52" s="130"/>
      <c r="C52" s="129"/>
      <c r="D52" s="130"/>
      <c r="E52" s="129"/>
      <c r="F52" s="130"/>
      <c r="G52" s="129"/>
      <c r="H52" s="130"/>
      <c r="I52" s="129"/>
      <c r="J52" s="130"/>
      <c r="K52" s="129"/>
    </row>
    <row r="53" spans="1:11" ht="16.5" hidden="1" customHeight="1" x14ac:dyDescent="0.3">
      <c r="A53" s="128" t="s">
        <v>61</v>
      </c>
      <c r="B53" s="125">
        <f t="shared" ref="B53:B64" ca="1" si="18">INDEX(INDIRECT("'"&amp;B$4&amp;"'!$1:$1048576"),MATCH($A53,INDIRECT("'"&amp;B$4&amp;"'!$A:$A"),0),MATCH($A$2,INDIRECT("'"&amp;B$4&amp;"'!$5:$5"),0))</f>
        <v>0</v>
      </c>
      <c r="C53" s="124">
        <f ca="1">IFERROR(B53/B16, "NA")</f>
        <v>0</v>
      </c>
      <c r="D53" s="125">
        <f t="shared" ref="D53:D64" ca="1" si="19">INDEX(INDIRECT("'"&amp;D$4&amp;"'!$1:$1048576"),MATCH($A53,INDIRECT("'"&amp;D$4&amp;"'!$A:$A"),0),MATCH($A$2,INDIRECT("'"&amp;D$4&amp;"'!$5:$5"),0))</f>
        <v>0</v>
      </c>
      <c r="E53" s="124">
        <f ca="1">IFERROR(D53/D16, "NA")</f>
        <v>0</v>
      </c>
      <c r="F53" s="125">
        <f t="shared" ref="F53:F64" ca="1" si="20">INDEX(INDIRECT("'"&amp;F$4&amp;"'!$1:$1048576"),MATCH($A53,INDIRECT("'"&amp;F$4&amp;"'!$A:$A"),0),MATCH($A$2,INDIRECT("'"&amp;F$4&amp;"'!$5:$5"),0))</f>
        <v>0</v>
      </c>
      <c r="G53" s="124">
        <f ca="1">IFERROR(F53/F16, "NA")</f>
        <v>0</v>
      </c>
      <c r="H53" s="125">
        <f t="shared" ref="H53:H64" ca="1" si="21">INDEX(INDIRECT("'"&amp;H$4&amp;"'!$1:$1048576"),MATCH($A53,INDIRECT("'"&amp;H$4&amp;"'!$A:$A"),0),MATCH($A$2,INDIRECT("'"&amp;H$4&amp;"'!$5:$5"),0))</f>
        <v>0</v>
      </c>
      <c r="I53" s="124">
        <f ca="1">IFERROR(H53/H16, "NA")</f>
        <v>0</v>
      </c>
      <c r="J53" s="125"/>
      <c r="K53" s="124">
        <f ca="1">IFERROR(J53/J16, "NA")</f>
        <v>0</v>
      </c>
    </row>
    <row r="54" spans="1:11" ht="16.5" customHeight="1" x14ac:dyDescent="0.3">
      <c r="A54" s="128" t="s">
        <v>62</v>
      </c>
      <c r="B54" s="125">
        <f t="shared" ca="1" si="18"/>
        <v>73.48</v>
      </c>
      <c r="C54" s="124">
        <f ca="1">IFERROR(B54/B16, "NA")</f>
        <v>1.2469627767695657E-3</v>
      </c>
      <c r="D54" s="130">
        <f t="shared" ca="1" si="19"/>
        <v>74.510000000000005</v>
      </c>
      <c r="E54" s="121">
        <f ca="1">IFERROR(D54/D16, "NA")</f>
        <v>1.6646845801413475E-3</v>
      </c>
      <c r="F54" s="125">
        <f t="shared" ca="1" si="20"/>
        <v>111.85</v>
      </c>
      <c r="G54" s="124">
        <f ca="1">IFERROR(F54/F16, "NA")</f>
        <v>3.488821112218079E-3</v>
      </c>
      <c r="H54" s="125">
        <f t="shared" ca="1" si="21"/>
        <v>138.65</v>
      </c>
      <c r="I54" s="124">
        <f ca="1">IFERROR(H54/H16, "NA")</f>
        <v>4.5920783750037272E-3</v>
      </c>
      <c r="J54" s="122">
        <f t="shared" ref="J54:J64" ca="1" si="22">+H54+F54+D54+B54</f>
        <v>398.49</v>
      </c>
      <c r="K54" s="124">
        <f ca="1">IFERROR(J54/J16, "NA")</f>
        <v>2.4014210019630677E-3</v>
      </c>
    </row>
    <row r="55" spans="1:11" ht="16.5" hidden="1" customHeight="1" x14ac:dyDescent="0.3">
      <c r="A55" s="128" t="s">
        <v>63</v>
      </c>
      <c r="B55" s="125">
        <f t="shared" ca="1" si="18"/>
        <v>0</v>
      </c>
      <c r="C55" s="124">
        <f ca="1">IFERROR(B55/B16, "NA")</f>
        <v>0</v>
      </c>
      <c r="D55" s="125">
        <f t="shared" ca="1" si="19"/>
        <v>0</v>
      </c>
      <c r="E55" s="124">
        <f ca="1">IFERROR(D55/D16, "NA")</f>
        <v>0</v>
      </c>
      <c r="F55" s="125">
        <f t="shared" ca="1" si="20"/>
        <v>0</v>
      </c>
      <c r="G55" s="124">
        <f ca="1">IFERROR(F55/F16, "NA")</f>
        <v>0</v>
      </c>
      <c r="H55" s="125">
        <f t="shared" ca="1" si="21"/>
        <v>0</v>
      </c>
      <c r="I55" s="124">
        <f ca="1">IFERROR(H55/H16, "NA")</f>
        <v>0</v>
      </c>
      <c r="J55" s="122">
        <f t="shared" ca="1" si="22"/>
        <v>0</v>
      </c>
      <c r="K55" s="124">
        <f ca="1">IFERROR(J55/J16, "NA")</f>
        <v>0</v>
      </c>
    </row>
    <row r="56" spans="1:11" ht="16.5" hidden="1" customHeight="1" x14ac:dyDescent="0.3">
      <c r="A56" s="128" t="s">
        <v>64</v>
      </c>
      <c r="B56" s="125">
        <f t="shared" ca="1" si="18"/>
        <v>0</v>
      </c>
      <c r="C56" s="124">
        <f ca="1">IFERROR(B56/B16, "NA")</f>
        <v>0</v>
      </c>
      <c r="D56" s="125">
        <f t="shared" ca="1" si="19"/>
        <v>0</v>
      </c>
      <c r="E56" s="124">
        <f ca="1">IFERROR(D56/D16, "NA")</f>
        <v>0</v>
      </c>
      <c r="F56" s="125">
        <f t="shared" ca="1" si="20"/>
        <v>0</v>
      </c>
      <c r="G56" s="124">
        <f ca="1">IFERROR(F56/F16, "NA")</f>
        <v>0</v>
      </c>
      <c r="H56" s="125">
        <f t="shared" ca="1" si="21"/>
        <v>0</v>
      </c>
      <c r="I56" s="124">
        <f ca="1">IFERROR(H56/H16, "NA")</f>
        <v>0</v>
      </c>
      <c r="J56" s="122">
        <f t="shared" ca="1" si="22"/>
        <v>0</v>
      </c>
      <c r="K56" s="124">
        <f ca="1">IFERROR(J56/J16, "NA")</f>
        <v>0</v>
      </c>
    </row>
    <row r="57" spans="1:11" ht="16.5" hidden="1" customHeight="1" x14ac:dyDescent="0.3">
      <c r="A57" s="128" t="s">
        <v>65</v>
      </c>
      <c r="B57" s="125">
        <f t="shared" ca="1" si="18"/>
        <v>0</v>
      </c>
      <c r="C57" s="124">
        <f ca="1">IFERROR(B57/B16, "NA")</f>
        <v>0</v>
      </c>
      <c r="D57" s="125">
        <f t="shared" ca="1" si="19"/>
        <v>0</v>
      </c>
      <c r="E57" s="124">
        <f ca="1">IFERROR(D57/D16, "NA")</f>
        <v>0</v>
      </c>
      <c r="F57" s="125">
        <f t="shared" ca="1" si="20"/>
        <v>0</v>
      </c>
      <c r="G57" s="124">
        <f ca="1">IFERROR(F57/F16, "NA")</f>
        <v>0</v>
      </c>
      <c r="H57" s="125">
        <f t="shared" ca="1" si="21"/>
        <v>0</v>
      </c>
      <c r="I57" s="124">
        <f ca="1">IFERROR(H57/H16, "NA")</f>
        <v>0</v>
      </c>
      <c r="J57" s="122">
        <f t="shared" ca="1" si="22"/>
        <v>0</v>
      </c>
      <c r="K57" s="124">
        <f ca="1">IFERROR(J57/J16, "NA")</f>
        <v>0</v>
      </c>
    </row>
    <row r="58" spans="1:11" ht="16.5" hidden="1" customHeight="1" x14ac:dyDescent="0.3">
      <c r="A58" s="128" t="s">
        <v>66</v>
      </c>
      <c r="B58" s="125">
        <f t="shared" ca="1" si="18"/>
        <v>0</v>
      </c>
      <c r="C58" s="124">
        <f ca="1">IFERROR(B58/B16, "NA")</f>
        <v>0</v>
      </c>
      <c r="D58" s="125">
        <f t="shared" ca="1" si="19"/>
        <v>0</v>
      </c>
      <c r="E58" s="124">
        <f ca="1">IFERROR(D58/D16, "NA")</f>
        <v>0</v>
      </c>
      <c r="F58" s="125">
        <f t="shared" ca="1" si="20"/>
        <v>0</v>
      </c>
      <c r="G58" s="124">
        <f ca="1">IFERROR(F58/F16, "NA")</f>
        <v>0</v>
      </c>
      <c r="H58" s="125">
        <f t="shared" ca="1" si="21"/>
        <v>0</v>
      </c>
      <c r="I58" s="124">
        <f ca="1">IFERROR(H58/H16, "NA")</f>
        <v>0</v>
      </c>
      <c r="J58" s="122">
        <f t="shared" ca="1" si="22"/>
        <v>0</v>
      </c>
      <c r="K58" s="124">
        <f ca="1">IFERROR(J58/J16, "NA")</f>
        <v>0</v>
      </c>
    </row>
    <row r="59" spans="1:11" ht="16.5" customHeight="1" x14ac:dyDescent="0.3">
      <c r="A59" s="127" t="s">
        <v>67</v>
      </c>
      <c r="B59" s="122">
        <f t="shared" ca="1" si="18"/>
        <v>73.48</v>
      </c>
      <c r="C59" s="121">
        <f ca="1">IFERROR(B59/B16, "NA")</f>
        <v>1.2469627767695657E-3</v>
      </c>
      <c r="D59" s="122">
        <f t="shared" ca="1" si="19"/>
        <v>74.510000000000005</v>
      </c>
      <c r="E59" s="121">
        <f ca="1">IFERROR(D59/D16, "NA")</f>
        <v>1.6646845801413475E-3</v>
      </c>
      <c r="F59" s="122">
        <f t="shared" ca="1" si="20"/>
        <v>111.85</v>
      </c>
      <c r="G59" s="121">
        <f ca="1">IFERROR(F59/F16, "NA")</f>
        <v>3.488821112218079E-3</v>
      </c>
      <c r="H59" s="122">
        <f t="shared" ca="1" si="21"/>
        <v>138.65</v>
      </c>
      <c r="I59" s="121">
        <f ca="1">IFERROR(H59/H16, "NA")</f>
        <v>4.5920783750037272E-3</v>
      </c>
      <c r="J59" s="122">
        <f t="shared" ca="1" si="22"/>
        <v>398.49</v>
      </c>
      <c r="K59" s="121">
        <f ca="1">IFERROR(J59/J16, "NA")</f>
        <v>2.4014210019630677E-3</v>
      </c>
    </row>
    <row r="60" spans="1:11" ht="21" customHeight="1" x14ac:dyDescent="0.3">
      <c r="A60" s="126" t="s">
        <v>68</v>
      </c>
      <c r="B60" s="125">
        <f t="shared" ca="1" si="18"/>
        <v>42.93</v>
      </c>
      <c r="C60" s="124">
        <f ca="1">IFERROR(B60/B16, "NA")</f>
        <v>7.2852629296022656E-4</v>
      </c>
      <c r="D60" s="125">
        <f t="shared" ca="1" si="19"/>
        <v>121.48</v>
      </c>
      <c r="E60" s="124">
        <f ca="1">IFERROR(D60/D16, "NA")</f>
        <v>2.7140770741587829E-3</v>
      </c>
      <c r="F60" s="125">
        <f t="shared" ca="1" si="20"/>
        <v>28.93</v>
      </c>
      <c r="G60" s="124">
        <f ca="1">IFERROR(F60/F16, "NA")</f>
        <v>9.0238350269529748E-4</v>
      </c>
      <c r="H60" s="125">
        <f t="shared" ca="1" si="21"/>
        <v>21.3</v>
      </c>
      <c r="I60" s="124">
        <f ca="1">IFERROR(H60/H16, "NA")</f>
        <v>7.0545452136732344E-4</v>
      </c>
      <c r="J60" s="136">
        <f t="shared" ca="1" si="22"/>
        <v>214.64000000000001</v>
      </c>
      <c r="K60" s="124">
        <f ca="1">IFERROR(J60/J16, "NA")</f>
        <v>1.293485417102946E-3</v>
      </c>
    </row>
    <row r="61" spans="1:11" ht="16.5" customHeight="1" x14ac:dyDescent="0.3">
      <c r="A61" s="126" t="s">
        <v>69</v>
      </c>
      <c r="B61" s="125">
        <f t="shared" ca="1" si="18"/>
        <v>33.25</v>
      </c>
      <c r="C61" s="124">
        <f ca="1">IFERROR(B61/B16, "NA")</f>
        <v>5.6425574751752937E-4</v>
      </c>
      <c r="D61" s="125">
        <f t="shared" ca="1" si="19"/>
        <v>24.5</v>
      </c>
      <c r="E61" s="124">
        <f ca="1">IFERROR(D61/D16, "NA")</f>
        <v>5.4737313398822999E-4</v>
      </c>
      <c r="F61" s="125">
        <f t="shared" ca="1" si="20"/>
        <v>33.25</v>
      </c>
      <c r="G61" s="124">
        <f ca="1">IFERROR(F61/F16, "NA")</f>
        <v>1.0371327848122587E-3</v>
      </c>
      <c r="H61" s="125">
        <f t="shared" ca="1" si="21"/>
        <v>39.31</v>
      </c>
      <c r="I61" s="124">
        <f ca="1">IFERROR(H61/H16, "NA")</f>
        <v>1.301944471124389E-3</v>
      </c>
      <c r="J61" s="136">
        <f t="shared" ca="1" si="22"/>
        <v>130.31</v>
      </c>
      <c r="K61" s="124">
        <f ca="1">IFERROR(J61/J16, "NA")</f>
        <v>7.852873867996873E-4</v>
      </c>
    </row>
    <row r="62" spans="1:11" ht="39" customHeight="1" x14ac:dyDescent="0.3">
      <c r="A62" s="137" t="s">
        <v>70</v>
      </c>
      <c r="B62" s="125">
        <f t="shared" ca="1" si="18"/>
        <v>-270.89</v>
      </c>
      <c r="C62" s="124">
        <f ca="1">IFERROR(B62/B16, "NA")</f>
        <v>-4.597029757745068E-3</v>
      </c>
      <c r="D62" s="125">
        <f t="shared" ca="1" si="19"/>
        <v>-264.70999999999998</v>
      </c>
      <c r="E62" s="124">
        <f ca="1">IFERROR(D62/D16, "NA")</f>
        <v>-5.9140874407356877E-3</v>
      </c>
      <c r="F62" s="125">
        <f t="shared" ca="1" si="20"/>
        <v>-126.81</v>
      </c>
      <c r="G62" s="124">
        <f ca="1">IFERROR(F62/F16, "NA")</f>
        <v>-3.9554528854749632E-3</v>
      </c>
      <c r="H62" s="125">
        <f t="shared" ca="1" si="21"/>
        <v>-188.18</v>
      </c>
      <c r="I62" s="124">
        <f ca="1">IFERROR(H62/H16, "NA")</f>
        <v>-6.2325085366621092E-3</v>
      </c>
      <c r="J62" s="136">
        <f t="shared" ca="1" si="22"/>
        <v>-850.59</v>
      </c>
      <c r="K62" s="124">
        <f ca="1">IFERROR(J62/J16, "NA")</f>
        <v>-5.125912043112163E-3</v>
      </c>
    </row>
    <row r="63" spans="1:11" ht="16.5" customHeight="1" x14ac:dyDescent="0.3">
      <c r="A63" s="123" t="s">
        <v>71</v>
      </c>
      <c r="B63" s="122">
        <f t="shared" ca="1" si="18"/>
        <v>1783.1100000000001</v>
      </c>
      <c r="C63" s="121">
        <f ca="1">IFERROR(B63/B16, "NA")</f>
        <v>3.0259550855819002E-2</v>
      </c>
      <c r="D63" s="122">
        <f t="shared" ca="1" si="19"/>
        <v>1087.0999999999999</v>
      </c>
      <c r="E63" s="121">
        <f ca="1">IFERROR(D63/D16, "NA")</f>
        <v>2.4287727916677746E-2</v>
      </c>
      <c r="F63" s="122">
        <f t="shared" ca="1" si="20"/>
        <v>1332.02</v>
      </c>
      <c r="G63" s="121">
        <f ca="1">IFERROR(F63/F16, "NA")</f>
        <v>4.1548319158665407E-2</v>
      </c>
      <c r="H63" s="122">
        <f t="shared" ca="1" si="21"/>
        <v>1136.28</v>
      </c>
      <c r="I63" s="121">
        <f ca="1">IFERROR(H63/H16, "NA")</f>
        <v>3.7633514720153152E-2</v>
      </c>
      <c r="J63" s="122">
        <f t="shared" ca="1" si="22"/>
        <v>5338.51</v>
      </c>
      <c r="K63" s="121">
        <f ca="1">IFERROR(J63/J16, "NA")</f>
        <v>3.2171472391251621E-2</v>
      </c>
    </row>
    <row r="64" spans="1:11" ht="16.5" customHeight="1" x14ac:dyDescent="0.3">
      <c r="A64" s="120" t="s">
        <v>72</v>
      </c>
      <c r="B64" s="118">
        <f t="shared" ca="1" si="18"/>
        <v>12827.420000000002</v>
      </c>
      <c r="C64" s="119">
        <f ca="1">IFERROR(B64/B16, "NA")</f>
        <v>0.21768257025026488</v>
      </c>
      <c r="D64" s="118">
        <f t="shared" ca="1" si="19"/>
        <v>11232.980000000005</v>
      </c>
      <c r="E64" s="119">
        <f ca="1">IFERROR(D64/D16, "NA")</f>
        <v>0.25096454965824938</v>
      </c>
      <c r="F64" s="118">
        <f t="shared" ca="1" si="20"/>
        <v>8568.130000000001</v>
      </c>
      <c r="G64" s="119">
        <f ca="1">IFERROR(F64/F16, "NA")</f>
        <v>0.26725679782055517</v>
      </c>
      <c r="H64" s="118">
        <f t="shared" ca="1" si="21"/>
        <v>6886.7899999999991</v>
      </c>
      <c r="I64" s="119">
        <f ca="1">IFERROR(H64/H16, "NA")</f>
        <v>0.22809000672334595</v>
      </c>
      <c r="J64" s="118">
        <f t="shared" ca="1" si="22"/>
        <v>39515.320000000007</v>
      </c>
      <c r="K64" s="117">
        <f ca="1">IFERROR(J64/J16, "NA")</f>
        <v>0.2381312438136246</v>
      </c>
    </row>
    <row r="65" spans="1:11" ht="3.75" customHeight="1" x14ac:dyDescent="0.3">
      <c r="A65" s="135" t="s">
        <v>3</v>
      </c>
      <c r="B65" s="134"/>
      <c r="C65" s="111"/>
      <c r="D65" s="134"/>
      <c r="E65" s="111"/>
      <c r="F65" s="134"/>
      <c r="G65" s="111"/>
      <c r="H65" s="134"/>
      <c r="I65" s="111"/>
      <c r="J65" s="134"/>
      <c r="K65" s="111"/>
    </row>
    <row r="66" spans="1:11" ht="16.5" customHeight="1" x14ac:dyDescent="0.3">
      <c r="A66" s="80" t="s">
        <v>73</v>
      </c>
      <c r="B66" s="115">
        <f ca="1">INDEX(INDIRECT("'"&amp;B$4&amp;"'!$1:$1048576"),MATCH($A66,INDIRECT("'"&amp;B$4&amp;"'!$A:$A"),0),MATCH($A$2,INDIRECT("'"&amp;B$4&amp;"'!$5:$5"),0))</f>
        <v>46099.759999999995</v>
      </c>
      <c r="C66" s="116">
        <f ca="1">IFERROR(B66/B16, "NA")</f>
        <v>0.78231742974973517</v>
      </c>
      <c r="D66" s="115">
        <f ca="1">INDEX(INDIRECT("'"&amp;D$4&amp;"'!$1:$1048576"),MATCH($A66,INDIRECT("'"&amp;D$4&amp;"'!$A:$A"),0),MATCH($A$2,INDIRECT("'"&amp;D$4&amp;"'!$5:$5"),0))</f>
        <v>33526.249999999993</v>
      </c>
      <c r="E66" s="116">
        <f ca="1">IFERROR(D66/D16, "NA")</f>
        <v>0.74903545034175067</v>
      </c>
      <c r="F66" s="115">
        <f ca="1">INDEX(INDIRECT("'"&amp;F$4&amp;"'!$1:$1048576"),MATCH($A66,INDIRECT("'"&amp;F$4&amp;"'!$A:$A"),0),MATCH($A$2,INDIRECT("'"&amp;F$4&amp;"'!$5:$5"),0))</f>
        <v>23491.41</v>
      </c>
      <c r="G66" s="116">
        <f ca="1">IFERROR(F66/F16, "NA")</f>
        <v>0.73274320217944489</v>
      </c>
      <c r="H66" s="115">
        <f ca="1">INDEX(INDIRECT("'"&amp;H$4&amp;"'!$1:$1048576"),MATCH($A66,INDIRECT("'"&amp;H$4&amp;"'!$A:$A"),0),MATCH($A$2,INDIRECT("'"&amp;H$4&amp;"'!$5:$5"),0))</f>
        <v>23306.509999999995</v>
      </c>
      <c r="I66" s="116">
        <f ca="1">IFERROR(H66/H16, "NA")</f>
        <v>0.77190999327665411</v>
      </c>
      <c r="J66" s="122">
        <f ca="1">+H66+F66+D66+B66</f>
        <v>126423.92999999998</v>
      </c>
      <c r="K66" s="116">
        <f ca="1">IFERROR(J66/J16, "NA")</f>
        <v>0.76186875618637528</v>
      </c>
    </row>
    <row r="67" spans="1:11" ht="3.75" customHeight="1" x14ac:dyDescent="0.3">
      <c r="A67" s="113" t="s">
        <v>3</v>
      </c>
      <c r="B67" s="112"/>
      <c r="C67" s="111"/>
      <c r="D67" s="112"/>
      <c r="E67" s="111"/>
      <c r="F67" s="112"/>
      <c r="G67" s="111"/>
      <c r="H67" s="112"/>
      <c r="I67" s="111"/>
      <c r="J67" s="112"/>
      <c r="K67" s="111"/>
    </row>
    <row r="68" spans="1:11" ht="16.5" customHeight="1" x14ac:dyDescent="0.3">
      <c r="A68" s="133" t="s">
        <v>74</v>
      </c>
      <c r="B68" s="130"/>
      <c r="C68" s="129"/>
      <c r="D68" s="130"/>
      <c r="E68" s="129"/>
      <c r="F68" s="130"/>
      <c r="G68" s="129"/>
      <c r="H68" s="130"/>
      <c r="I68" s="129"/>
      <c r="J68" s="130"/>
      <c r="K68" s="129"/>
    </row>
    <row r="69" spans="1:11" ht="16.5" customHeight="1" x14ac:dyDescent="0.3">
      <c r="A69" s="132" t="s">
        <v>74</v>
      </c>
      <c r="B69" s="130"/>
      <c r="C69" s="129"/>
      <c r="D69" s="130"/>
      <c r="E69" s="129"/>
      <c r="F69" s="130"/>
      <c r="G69" s="129"/>
      <c r="H69" s="130"/>
      <c r="I69" s="129"/>
      <c r="J69" s="130"/>
      <c r="K69" s="129"/>
    </row>
    <row r="70" spans="1:11" ht="16.5" hidden="1" customHeight="1" x14ac:dyDescent="0.3">
      <c r="A70" s="126" t="s">
        <v>75</v>
      </c>
      <c r="B70" s="125"/>
      <c r="C70" s="124"/>
      <c r="D70" s="125"/>
      <c r="E70" s="124"/>
      <c r="F70" s="125"/>
      <c r="G70" s="124"/>
      <c r="H70" s="125"/>
      <c r="I70" s="124"/>
      <c r="J70" s="125"/>
      <c r="K70" s="124"/>
    </row>
    <row r="71" spans="1:11" ht="16.5" customHeight="1" x14ac:dyDescent="0.3">
      <c r="A71" s="131" t="s">
        <v>76</v>
      </c>
      <c r="B71" s="130"/>
      <c r="C71" s="129"/>
      <c r="D71" s="130"/>
      <c r="E71" s="129"/>
      <c r="F71" s="130"/>
      <c r="G71" s="129"/>
      <c r="H71" s="130"/>
      <c r="I71" s="129"/>
      <c r="J71" s="130"/>
      <c r="K71" s="129"/>
    </row>
    <row r="72" spans="1:11" ht="16.5" hidden="1" customHeight="1" x14ac:dyDescent="0.3">
      <c r="A72" s="128" t="s">
        <v>77</v>
      </c>
      <c r="B72" s="125">
        <f t="shared" ref="B72:B79" ca="1" si="23">INDEX(INDIRECT("'"&amp;B$4&amp;"'!$1:$1048576"),MATCH($A72,INDIRECT("'"&amp;B$4&amp;"'!$A:$A"),0),MATCH($A$2,INDIRECT("'"&amp;B$4&amp;"'!$5:$5"),0))</f>
        <v>0</v>
      </c>
      <c r="C72" s="124">
        <f ca="1">IFERROR(B72/B16, "NA")</f>
        <v>0</v>
      </c>
      <c r="D72" s="125">
        <f t="shared" ref="D72:D79" ca="1" si="24">INDEX(INDIRECT("'"&amp;D$4&amp;"'!$1:$1048576"),MATCH($A72,INDIRECT("'"&amp;D$4&amp;"'!$A:$A"),0),MATCH($A$2,INDIRECT("'"&amp;D$4&amp;"'!$5:$5"),0))</f>
        <v>0</v>
      </c>
      <c r="E72" s="124">
        <f ca="1">IFERROR(D72/D16, "NA")</f>
        <v>0</v>
      </c>
      <c r="F72" s="125">
        <f t="shared" ref="F72:F79" ca="1" si="25">INDEX(INDIRECT("'"&amp;F$4&amp;"'!$1:$1048576"),MATCH($A72,INDIRECT("'"&amp;F$4&amp;"'!$A:$A"),0),MATCH($A$2,INDIRECT("'"&amp;F$4&amp;"'!$5:$5"),0))</f>
        <v>0</v>
      </c>
      <c r="G72" s="124">
        <f ca="1">IFERROR(F72/F16, "NA")</f>
        <v>0</v>
      </c>
      <c r="H72" s="125">
        <f t="shared" ref="H72:H79" ca="1" si="26">INDEX(INDIRECT("'"&amp;H$4&amp;"'!$1:$1048576"),MATCH($A72,INDIRECT("'"&amp;H$4&amp;"'!$A:$A"),0),MATCH($A$2,INDIRECT("'"&amp;H$4&amp;"'!$5:$5"),0))</f>
        <v>0</v>
      </c>
      <c r="I72" s="124">
        <f ca="1">IFERROR(H72/H16, "NA")</f>
        <v>0</v>
      </c>
      <c r="J72" s="125"/>
      <c r="K72" s="124">
        <f ca="1">IFERROR(J72/J16, "NA")</f>
        <v>0</v>
      </c>
    </row>
    <row r="73" spans="1:11" ht="16.5" customHeight="1" x14ac:dyDescent="0.3">
      <c r="A73" s="128" t="s">
        <v>78</v>
      </c>
      <c r="B73" s="125">
        <f t="shared" ca="1" si="23"/>
        <v>1192.31</v>
      </c>
      <c r="C73" s="124">
        <f ca="1">IFERROR(B73/B16, "NA")</f>
        <v>2.0233617152560161E-2</v>
      </c>
      <c r="D73" s="125">
        <f t="shared" ca="1" si="24"/>
        <v>1410</v>
      </c>
      <c r="E73" s="124">
        <f ca="1">IFERROR(D73/D16, "NA")</f>
        <v>3.1501882405036909E-2</v>
      </c>
      <c r="F73" s="125">
        <f t="shared" ca="1" si="25"/>
        <v>1461.54</v>
      </c>
      <c r="G73" s="124">
        <f ca="1">IFERROR(F73/F16, "NA")</f>
        <v>4.5588302265097996E-2</v>
      </c>
      <c r="H73" s="125">
        <f t="shared" ca="1" si="26"/>
        <v>1298.08</v>
      </c>
      <c r="I73" s="124">
        <f ca="1">IFERROR(H73/H16, "NA")</f>
        <v>4.2992319488098361E-2</v>
      </c>
      <c r="J73" s="125">
        <f ca="1">+H73+F73+D73+B73</f>
        <v>5361.93</v>
      </c>
      <c r="K73" s="124">
        <f ca="1">IFERROR(J73/J16, "NA")</f>
        <v>3.2312608379271329E-2</v>
      </c>
    </row>
    <row r="74" spans="1:11" ht="16.5" hidden="1" customHeight="1" x14ac:dyDescent="0.3">
      <c r="A74" s="128" t="s">
        <v>79</v>
      </c>
      <c r="B74" s="125">
        <f t="shared" ca="1" si="23"/>
        <v>0</v>
      </c>
      <c r="C74" s="124">
        <f ca="1">IFERROR(B74/B16, "NA")</f>
        <v>0</v>
      </c>
      <c r="D74" s="125">
        <f t="shared" ca="1" si="24"/>
        <v>0</v>
      </c>
      <c r="E74" s="124">
        <f ca="1">IFERROR(D74/D16, "NA")</f>
        <v>0</v>
      </c>
      <c r="F74" s="125">
        <f t="shared" ca="1" si="25"/>
        <v>0</v>
      </c>
      <c r="G74" s="124">
        <f ca="1">IFERROR(F74/F16, "NA")</f>
        <v>0</v>
      </c>
      <c r="H74" s="125">
        <f t="shared" ca="1" si="26"/>
        <v>0</v>
      </c>
      <c r="I74" s="124">
        <f ca="1">IFERROR(H74/H16, "NA")</f>
        <v>0</v>
      </c>
      <c r="J74" s="125" t="e">
        <f ca="1">+H74+F74+D74+B74+#REF!</f>
        <v>#REF!</v>
      </c>
      <c r="K74" s="124" t="str">
        <f ca="1">IFERROR(J74/J16, "NA")</f>
        <v>NA</v>
      </c>
    </row>
    <row r="75" spans="1:11" ht="16.5" customHeight="1" x14ac:dyDescent="0.3">
      <c r="A75" s="128" t="s">
        <v>80</v>
      </c>
      <c r="B75" s="125">
        <f t="shared" ca="1" si="23"/>
        <v>9481.44</v>
      </c>
      <c r="C75" s="124">
        <f ca="1">IFERROR(B75/B16, "NA")</f>
        <v>0.16090096284940161</v>
      </c>
      <c r="D75" s="125">
        <f t="shared" ca="1" si="24"/>
        <v>7511.98</v>
      </c>
      <c r="E75" s="124">
        <f ca="1">IFERROR(D75/D16, "NA")</f>
        <v>0.16783085857375116</v>
      </c>
      <c r="F75" s="125">
        <f t="shared" ca="1" si="25"/>
        <v>4837.6099999999997</v>
      </c>
      <c r="G75" s="124">
        <f ca="1">IFERROR(F75/F16, "NA")</f>
        <v>0.15089455431986859</v>
      </c>
      <c r="H75" s="125">
        <f t="shared" ca="1" si="26"/>
        <v>7525.43</v>
      </c>
      <c r="I75" s="124">
        <f ca="1">IFERROR(H75/H16, "NA")</f>
        <v>0.24924171918935664</v>
      </c>
      <c r="J75" s="125">
        <f ca="1">+H75+F75+D75+B75</f>
        <v>29356.46</v>
      </c>
      <c r="K75" s="124">
        <f ca="1">IFERROR(J75/J16, "NA")</f>
        <v>0.176910887568794</v>
      </c>
    </row>
    <row r="76" spans="1:11" ht="16.5" customHeight="1" x14ac:dyDescent="0.3">
      <c r="A76" s="128" t="s">
        <v>81</v>
      </c>
      <c r="B76" s="125">
        <f t="shared" ca="1" si="23"/>
        <v>331.53</v>
      </c>
      <c r="C76" s="124">
        <f ca="1">IFERROR(B76/B16, "NA")</f>
        <v>5.626096480435684E-3</v>
      </c>
      <c r="D76" s="125">
        <f t="shared" ca="1" si="24"/>
        <v>211.99</v>
      </c>
      <c r="E76" s="124">
        <f ca="1">IFERROR(D76/D16, "NA")</f>
        <v>4.7362298234353006E-3</v>
      </c>
      <c r="F76" s="125">
        <f t="shared" ca="1" si="25"/>
        <v>54.34</v>
      </c>
      <c r="G76" s="124">
        <f ca="1">IFERROR(F76/F16, "NA")</f>
        <v>1.6949712940360342E-3</v>
      </c>
      <c r="H76" s="125">
        <f t="shared" ca="1" si="26"/>
        <v>13.35</v>
      </c>
      <c r="I76" s="124">
        <f ca="1">IFERROR(H76/H16, "NA")</f>
        <v>4.4215107325135057E-4</v>
      </c>
      <c r="J76" s="125">
        <f ca="1">+H76+F76+D76+B76</f>
        <v>611.21</v>
      </c>
      <c r="K76" s="124">
        <f ca="1">IFERROR(J76/J16, "NA")</f>
        <v>3.6833359196211867E-3</v>
      </c>
    </row>
    <row r="77" spans="1:11" ht="16.5" customHeight="1" x14ac:dyDescent="0.3">
      <c r="A77" s="127" t="s">
        <v>82</v>
      </c>
      <c r="B77" s="122">
        <f t="shared" ca="1" si="23"/>
        <v>11005.28</v>
      </c>
      <c r="C77" s="121">
        <f ca="1">IFERROR(B77/B16, "NA")</f>
        <v>0.18676067648239747</v>
      </c>
      <c r="D77" s="122">
        <f t="shared" ca="1" si="24"/>
        <v>9133.9699999999993</v>
      </c>
      <c r="E77" s="121">
        <f ca="1">IFERROR(D77/D16, "NA")</f>
        <v>0.20406897080222336</v>
      </c>
      <c r="F77" s="122">
        <f t="shared" ca="1" si="25"/>
        <v>6353.49</v>
      </c>
      <c r="G77" s="121">
        <f ca="1">IFERROR(F77/F16, "NA")</f>
        <v>0.19817782787900262</v>
      </c>
      <c r="H77" s="122">
        <f t="shared" ca="1" si="26"/>
        <v>8836.86</v>
      </c>
      <c r="I77" s="121">
        <f ca="1">IFERROR(H77/H16, "NA")</f>
        <v>0.29267618975070636</v>
      </c>
      <c r="J77" s="122">
        <f ca="1">+H77+F77+D77+B77</f>
        <v>35329.599999999999</v>
      </c>
      <c r="K77" s="121">
        <f ca="1">IFERROR(J77/J16, "NA")</f>
        <v>0.2129068318676865</v>
      </c>
    </row>
    <row r="78" spans="1:11" ht="16.5" hidden="1" customHeight="1" x14ac:dyDescent="0.3">
      <c r="A78" s="126" t="s">
        <v>83</v>
      </c>
      <c r="B78" s="125">
        <f t="shared" ca="1" si="23"/>
        <v>0</v>
      </c>
      <c r="C78" s="124">
        <f ca="1">IFERROR(B78/B16, "NA")</f>
        <v>0</v>
      </c>
      <c r="D78" s="125">
        <f t="shared" ca="1" si="24"/>
        <v>0</v>
      </c>
      <c r="E78" s="124">
        <f ca="1">IFERROR(D78/D16, "NA")</f>
        <v>0</v>
      </c>
      <c r="F78" s="125">
        <f t="shared" ca="1" si="25"/>
        <v>0</v>
      </c>
      <c r="G78" s="124">
        <f ca="1">IFERROR(F78/F16, "NA")</f>
        <v>0</v>
      </c>
      <c r="H78" s="125">
        <f t="shared" ca="1" si="26"/>
        <v>0</v>
      </c>
      <c r="I78" s="124">
        <f ca="1">IFERROR(H78/H16, "NA")</f>
        <v>0</v>
      </c>
      <c r="J78" s="125"/>
      <c r="K78" s="124">
        <f ca="1">IFERROR(J78/J16, "NA")</f>
        <v>0</v>
      </c>
    </row>
    <row r="79" spans="1:11" ht="16.5" customHeight="1" x14ac:dyDescent="0.3">
      <c r="A79" s="126" t="s">
        <v>84</v>
      </c>
      <c r="B79" s="125">
        <f t="shared" ca="1" si="23"/>
        <v>0</v>
      </c>
      <c r="C79" s="124">
        <f ca="1">IFERROR(B79/B16, "NA")</f>
        <v>0</v>
      </c>
      <c r="D79" s="125">
        <f t="shared" ca="1" si="24"/>
        <v>0</v>
      </c>
      <c r="E79" s="124">
        <f ca="1">IFERROR(D79/D16, "NA")</f>
        <v>0</v>
      </c>
      <c r="F79" s="125">
        <f t="shared" ca="1" si="25"/>
        <v>0</v>
      </c>
      <c r="G79" s="124">
        <f ca="1">IFERROR(F79/F16, "NA")</f>
        <v>0</v>
      </c>
      <c r="H79" s="125">
        <f t="shared" ca="1" si="26"/>
        <v>0</v>
      </c>
      <c r="I79" s="124">
        <f ca="1">IFERROR(H79/H16, "NA")</f>
        <v>0</v>
      </c>
      <c r="J79" s="125">
        <f ca="1">+H79+F79+D79+B79</f>
        <v>0</v>
      </c>
      <c r="K79" s="124">
        <f ca="1">IFERROR(J79/J16, "NA")</f>
        <v>0</v>
      </c>
    </row>
    <row r="80" spans="1:11" ht="16.5" customHeight="1" x14ac:dyDescent="0.3">
      <c r="A80" s="131" t="s">
        <v>85</v>
      </c>
      <c r="B80" s="130"/>
      <c r="C80" s="129"/>
      <c r="D80" s="130"/>
      <c r="E80" s="129"/>
      <c r="F80" s="130"/>
      <c r="G80" s="129"/>
      <c r="H80" s="130"/>
      <c r="I80" s="129"/>
      <c r="J80" s="130"/>
      <c r="K80" s="129"/>
    </row>
    <row r="81" spans="1:11" ht="16.5" customHeight="1" x14ac:dyDescent="0.3">
      <c r="A81" s="128" t="s">
        <v>86</v>
      </c>
      <c r="B81" s="125">
        <f t="shared" ref="B81:B92" ca="1" si="27">INDEX(INDIRECT("'"&amp;B$4&amp;"'!$1:$1048576"),MATCH($A81,INDIRECT("'"&amp;B$4&amp;"'!$A:$A"),0),MATCH($A$2,INDIRECT("'"&amp;B$4&amp;"'!$5:$5"),0))</f>
        <v>1116.1500000000001</v>
      </c>
      <c r="C81" s="124">
        <f ca="1">IFERROR(B81/B16, "NA")</f>
        <v>1.8941174514035802E-2</v>
      </c>
      <c r="D81" s="125">
        <f t="shared" ref="D81:D92" ca="1" si="28">INDEX(INDIRECT("'"&amp;D$4&amp;"'!$1:$1048576"),MATCH($A81,INDIRECT("'"&amp;D$4&amp;"'!$A:$A"),0),MATCH($A$2,INDIRECT("'"&amp;D$4&amp;"'!$5:$5"),0))</f>
        <v>781.94</v>
      </c>
      <c r="E81" s="124">
        <f ca="1">IFERROR(D81/D16, "NA")</f>
        <v>1.7469916260847207E-2</v>
      </c>
      <c r="F81" s="125">
        <f t="shared" ref="F81:F92" ca="1" si="29">INDEX(INDIRECT("'"&amp;F$4&amp;"'!$1:$1048576"),MATCH($A81,INDIRECT("'"&amp;F$4&amp;"'!$A:$A"),0),MATCH($A$2,INDIRECT("'"&amp;F$4&amp;"'!$5:$5"),0))</f>
        <v>559.88</v>
      </c>
      <c r="G81" s="124">
        <f ca="1">IFERROR(F81/F16, "NA")</f>
        <v>1.7463756498065787E-2</v>
      </c>
      <c r="H81" s="125">
        <f t="shared" ref="H81:H92" ca="1" si="30">INDEX(INDIRECT("'"&amp;H$4&amp;"'!$1:$1048576"),MATCH($A81,INDIRECT("'"&amp;H$4&amp;"'!$A:$A"),0),MATCH($A$2,INDIRECT("'"&amp;H$4&amp;"'!$5:$5"),0))</f>
        <v>764.64</v>
      </c>
      <c r="I81" s="124">
        <f ca="1">IFERROR(H81/H16, "NA")</f>
        <v>2.5324823719169491E-2</v>
      </c>
      <c r="J81" s="125">
        <f ca="1">+H81+F81+D81+B81</f>
        <v>3222.61</v>
      </c>
      <c r="K81" s="124">
        <f ca="1">IFERROR(J81/J16, "NA")</f>
        <v>1.942042042494467E-2</v>
      </c>
    </row>
    <row r="82" spans="1:11" ht="16.5" hidden="1" customHeight="1" x14ac:dyDescent="0.3">
      <c r="A82" s="128" t="s">
        <v>87</v>
      </c>
      <c r="B82" s="125">
        <f t="shared" ca="1" si="27"/>
        <v>0</v>
      </c>
      <c r="C82" s="124">
        <f ca="1">IFERROR(B82/B16, "NA")</f>
        <v>0</v>
      </c>
      <c r="D82" s="125">
        <f t="shared" ca="1" si="28"/>
        <v>0</v>
      </c>
      <c r="E82" s="124">
        <f ca="1">IFERROR(D82/D16, "NA")</f>
        <v>0</v>
      </c>
      <c r="F82" s="125">
        <f t="shared" ca="1" si="29"/>
        <v>0</v>
      </c>
      <c r="G82" s="124">
        <f ca="1">IFERROR(F82/F16, "NA")</f>
        <v>0</v>
      </c>
      <c r="H82" s="125">
        <f t="shared" ca="1" si="30"/>
        <v>0</v>
      </c>
      <c r="I82" s="124">
        <f ca="1">IFERROR(H82/H16, "NA")</f>
        <v>0</v>
      </c>
      <c r="J82" s="125" t="e">
        <f ca="1">+H82+F82+D82+B82+#REF!</f>
        <v>#REF!</v>
      </c>
      <c r="K82" s="124" t="str">
        <f ca="1">IFERROR(J82/J16, "NA")</f>
        <v>NA</v>
      </c>
    </row>
    <row r="83" spans="1:11" ht="16.5" hidden="1" customHeight="1" x14ac:dyDescent="0.3">
      <c r="A83" s="128" t="s">
        <v>88</v>
      </c>
      <c r="B83" s="125">
        <f t="shared" ca="1" si="27"/>
        <v>0</v>
      </c>
      <c r="C83" s="124">
        <f ca="1">IFERROR(B83/B16, "NA")</f>
        <v>0</v>
      </c>
      <c r="D83" s="125">
        <f t="shared" ca="1" si="28"/>
        <v>0</v>
      </c>
      <c r="E83" s="124">
        <f ca="1">IFERROR(D83/D16, "NA")</f>
        <v>0</v>
      </c>
      <c r="F83" s="125">
        <f t="shared" ca="1" si="29"/>
        <v>0</v>
      </c>
      <c r="G83" s="124">
        <f ca="1">IFERROR(F83/F16, "NA")</f>
        <v>0</v>
      </c>
      <c r="H83" s="125">
        <f t="shared" ca="1" si="30"/>
        <v>0</v>
      </c>
      <c r="I83" s="124">
        <f ca="1">IFERROR(H83/H16, "NA")</f>
        <v>0</v>
      </c>
      <c r="J83" s="125" t="e">
        <f ca="1">+H83+F83+D83+B83+#REF!</f>
        <v>#REF!</v>
      </c>
      <c r="K83" s="124" t="str">
        <f ca="1">IFERROR(J83/J16, "NA")</f>
        <v>NA</v>
      </c>
    </row>
    <row r="84" spans="1:11" ht="16.5" hidden="1" customHeight="1" x14ac:dyDescent="0.3">
      <c r="A84" s="128" t="s">
        <v>89</v>
      </c>
      <c r="B84" s="125">
        <f t="shared" ca="1" si="27"/>
        <v>0</v>
      </c>
      <c r="C84" s="124">
        <f ca="1">IFERROR(B84/B16, "NA")</f>
        <v>0</v>
      </c>
      <c r="D84" s="125">
        <f t="shared" ca="1" si="28"/>
        <v>0</v>
      </c>
      <c r="E84" s="124">
        <f ca="1">IFERROR(D84/D16, "NA")</f>
        <v>0</v>
      </c>
      <c r="F84" s="125">
        <f t="shared" ca="1" si="29"/>
        <v>0</v>
      </c>
      <c r="G84" s="124">
        <f ca="1">IFERROR(F84/F16, "NA")</f>
        <v>0</v>
      </c>
      <c r="H84" s="125">
        <f t="shared" ca="1" si="30"/>
        <v>0</v>
      </c>
      <c r="I84" s="124">
        <f ca="1">IFERROR(H84/H16, "NA")</f>
        <v>0</v>
      </c>
      <c r="J84" s="125" t="e">
        <f ca="1">+H84+F84+D84+B84+#REF!</f>
        <v>#REF!</v>
      </c>
      <c r="K84" s="124" t="str">
        <f ca="1">IFERROR(J84/J16, "NA")</f>
        <v>NA</v>
      </c>
    </row>
    <row r="85" spans="1:11" ht="16.5" hidden="1" customHeight="1" x14ac:dyDescent="0.3">
      <c r="A85" s="128" t="s">
        <v>90</v>
      </c>
      <c r="B85" s="125">
        <f t="shared" ca="1" si="27"/>
        <v>0</v>
      </c>
      <c r="C85" s="124">
        <f ca="1">IFERROR(B85/B16, "NA")</f>
        <v>0</v>
      </c>
      <c r="D85" s="125">
        <f t="shared" ca="1" si="28"/>
        <v>0</v>
      </c>
      <c r="E85" s="124">
        <f ca="1">IFERROR(D85/D16, "NA")</f>
        <v>0</v>
      </c>
      <c r="F85" s="125">
        <f t="shared" ca="1" si="29"/>
        <v>0</v>
      </c>
      <c r="G85" s="124">
        <f ca="1">IFERROR(F85/F16, "NA")</f>
        <v>0</v>
      </c>
      <c r="H85" s="125">
        <f t="shared" ca="1" si="30"/>
        <v>0</v>
      </c>
      <c r="I85" s="124">
        <f ca="1">IFERROR(H85/H16, "NA")</f>
        <v>0</v>
      </c>
      <c r="J85" s="125" t="e">
        <f ca="1">+H85+F85+D85+B85+#REF!</f>
        <v>#REF!</v>
      </c>
      <c r="K85" s="124" t="str">
        <f ca="1">IFERROR(J85/J16, "NA")</f>
        <v>NA</v>
      </c>
    </row>
    <row r="86" spans="1:11" ht="16.5" hidden="1" customHeight="1" x14ac:dyDescent="0.3">
      <c r="A86" s="128" t="s">
        <v>91</v>
      </c>
      <c r="B86" s="125">
        <f t="shared" ca="1" si="27"/>
        <v>0</v>
      </c>
      <c r="C86" s="124">
        <f ca="1">IFERROR(B86/B16, "NA")</f>
        <v>0</v>
      </c>
      <c r="D86" s="125">
        <f t="shared" ca="1" si="28"/>
        <v>0</v>
      </c>
      <c r="E86" s="124">
        <f ca="1">IFERROR(D86/D16, "NA")</f>
        <v>0</v>
      </c>
      <c r="F86" s="125">
        <f t="shared" ca="1" si="29"/>
        <v>0</v>
      </c>
      <c r="G86" s="124">
        <f ca="1">IFERROR(F86/F16, "NA")</f>
        <v>0</v>
      </c>
      <c r="H86" s="125">
        <f t="shared" ca="1" si="30"/>
        <v>0</v>
      </c>
      <c r="I86" s="124">
        <f ca="1">IFERROR(H86/H16, "NA")</f>
        <v>0</v>
      </c>
      <c r="J86" s="125" t="e">
        <f ca="1">+H86+F86+D86+B86+#REF!</f>
        <v>#REF!</v>
      </c>
      <c r="K86" s="124" t="str">
        <f ca="1">IFERROR(J86/J16, "NA")</f>
        <v>NA</v>
      </c>
    </row>
    <row r="87" spans="1:11" ht="16.5" hidden="1" customHeight="1" x14ac:dyDescent="0.3">
      <c r="A87" s="128" t="s">
        <v>92</v>
      </c>
      <c r="B87" s="125">
        <f t="shared" ca="1" si="27"/>
        <v>0</v>
      </c>
      <c r="C87" s="124">
        <f ca="1">IFERROR(B87/B16, "NA")</f>
        <v>0</v>
      </c>
      <c r="D87" s="125">
        <f t="shared" ca="1" si="28"/>
        <v>0</v>
      </c>
      <c r="E87" s="124">
        <f ca="1">IFERROR(D87/D16, "NA")</f>
        <v>0</v>
      </c>
      <c r="F87" s="125">
        <f t="shared" ca="1" si="29"/>
        <v>0</v>
      </c>
      <c r="G87" s="124">
        <f ca="1">IFERROR(F87/F16, "NA")</f>
        <v>0</v>
      </c>
      <c r="H87" s="125">
        <f t="shared" ca="1" si="30"/>
        <v>0</v>
      </c>
      <c r="I87" s="124">
        <f ca="1">IFERROR(H87/H16, "NA")</f>
        <v>0</v>
      </c>
      <c r="J87" s="125" t="e">
        <f ca="1">+H87+F87+D87+B87+#REF!</f>
        <v>#REF!</v>
      </c>
      <c r="K87" s="124" t="str">
        <f ca="1">IFERROR(J87/J16, "NA")</f>
        <v>NA</v>
      </c>
    </row>
    <row r="88" spans="1:11" ht="16.5" customHeight="1" x14ac:dyDescent="0.3">
      <c r="A88" s="127" t="s">
        <v>93</v>
      </c>
      <c r="B88" s="122">
        <f t="shared" ca="1" si="27"/>
        <v>1116.1500000000001</v>
      </c>
      <c r="C88" s="121">
        <f ca="1">IFERROR(B88/B16, "NA")</f>
        <v>1.8941174514035802E-2</v>
      </c>
      <c r="D88" s="122">
        <f t="shared" ca="1" si="28"/>
        <v>781.94</v>
      </c>
      <c r="E88" s="121">
        <f ca="1">IFERROR(D88/D16, "NA")</f>
        <v>1.7469916260847207E-2</v>
      </c>
      <c r="F88" s="122">
        <f t="shared" ca="1" si="29"/>
        <v>559.88</v>
      </c>
      <c r="G88" s="121">
        <f ca="1">IFERROR(F88/F16, "NA")</f>
        <v>1.7463756498065787E-2</v>
      </c>
      <c r="H88" s="122">
        <f t="shared" ca="1" si="30"/>
        <v>764.64</v>
      </c>
      <c r="I88" s="121">
        <f ca="1">IFERROR(H88/H16, "NA")</f>
        <v>2.5324823719169491E-2</v>
      </c>
      <c r="J88" s="122">
        <f ca="1">+H88+F88+D88+B88</f>
        <v>3222.61</v>
      </c>
      <c r="K88" s="121">
        <f ca="1">IFERROR(J88/J16, "NA")</f>
        <v>1.942042042494467E-2</v>
      </c>
    </row>
    <row r="89" spans="1:11" ht="16.5" customHeight="1" x14ac:dyDescent="0.3">
      <c r="A89" s="126" t="s">
        <v>94</v>
      </c>
      <c r="B89" s="125">
        <f t="shared" ca="1" si="27"/>
        <v>0</v>
      </c>
      <c r="C89" s="124">
        <f ca="1">IFERROR(B89/B16, "NA")</f>
        <v>0</v>
      </c>
      <c r="D89" s="125">
        <f t="shared" ca="1" si="28"/>
        <v>0</v>
      </c>
      <c r="E89" s="124">
        <f ca="1">IFERROR(D89/D16, "NA")</f>
        <v>0</v>
      </c>
      <c r="F89" s="125">
        <f t="shared" ca="1" si="29"/>
        <v>0</v>
      </c>
      <c r="G89" s="124">
        <f ca="1">IFERROR(F89/F16, "NA")</f>
        <v>0</v>
      </c>
      <c r="H89" s="125">
        <f t="shared" ca="1" si="30"/>
        <v>0</v>
      </c>
      <c r="I89" s="124">
        <f ca="1">IFERROR(H89/H16, "NA")</f>
        <v>0</v>
      </c>
      <c r="J89" s="125">
        <f ca="1">+H89+F89+D89+B89</f>
        <v>0</v>
      </c>
      <c r="K89" s="124">
        <f ca="1">IFERROR(J89/J16, "NA")</f>
        <v>0</v>
      </c>
    </row>
    <row r="90" spans="1:11" ht="16.5" customHeight="1" x14ac:dyDescent="0.3">
      <c r="A90" s="126" t="s">
        <v>95</v>
      </c>
      <c r="B90" s="125">
        <f t="shared" ca="1" si="27"/>
        <v>484.37</v>
      </c>
      <c r="C90" s="124">
        <f ca="1">IFERROR(B90/B16, "NA")</f>
        <v>8.2198062082726522E-3</v>
      </c>
      <c r="D90" s="125">
        <f t="shared" ca="1" si="28"/>
        <v>0</v>
      </c>
      <c r="E90" s="124">
        <f ca="1">IFERROR(D90/D16, "NA")</f>
        <v>0</v>
      </c>
      <c r="F90" s="125">
        <f t="shared" ca="1" si="29"/>
        <v>1291.4100000000001</v>
      </c>
      <c r="G90" s="124">
        <f ca="1">IFERROR(F90/F16, "NA")</f>
        <v>4.0281613522839071E-2</v>
      </c>
      <c r="H90" s="125">
        <f t="shared" ca="1" si="30"/>
        <v>0</v>
      </c>
      <c r="I90" s="124">
        <f ca="1">IFERROR(H90/H16, "NA")</f>
        <v>0</v>
      </c>
      <c r="J90" s="125">
        <f ca="1">+H90+F90+D90+B90</f>
        <v>1775.7800000000002</v>
      </c>
      <c r="K90" s="124">
        <f ca="1">IFERROR(J90/J16, "NA")</f>
        <v>1.0701386200070207E-2</v>
      </c>
    </row>
    <row r="91" spans="1:11" ht="16.5" customHeight="1" x14ac:dyDescent="0.3">
      <c r="A91" s="123" t="s">
        <v>96</v>
      </c>
      <c r="B91" s="122">
        <f t="shared" ca="1" si="27"/>
        <v>12605.800000000001</v>
      </c>
      <c r="C91" s="121">
        <f ca="1">IFERROR(B91/B16, "NA")</f>
        <v>0.21392165720470591</v>
      </c>
      <c r="D91" s="122">
        <f t="shared" ca="1" si="28"/>
        <v>9915.91</v>
      </c>
      <c r="E91" s="121">
        <f ca="1">IFERROR(D91/D16, "NA")</f>
        <v>0.22153888706307059</v>
      </c>
      <c r="F91" s="122">
        <f t="shared" ca="1" si="29"/>
        <v>8204.7800000000007</v>
      </c>
      <c r="G91" s="121">
        <f ca="1">IFERROR(F91/F16, "NA")</f>
        <v>0.25592319789990747</v>
      </c>
      <c r="H91" s="122">
        <f t="shared" ca="1" si="30"/>
        <v>9601.5</v>
      </c>
      <c r="I91" s="121">
        <f ca="1">IFERROR(H91/H16, "NA")</f>
        <v>0.31800101346987586</v>
      </c>
      <c r="J91" s="122">
        <f ca="1">+H91+F91+D91+B91</f>
        <v>40327.99</v>
      </c>
      <c r="K91" s="121">
        <f ca="1">IFERROR(J91/J16, "NA")</f>
        <v>0.24302863849270137</v>
      </c>
    </row>
    <row r="92" spans="1:11" ht="16.5" customHeight="1" x14ac:dyDescent="0.3">
      <c r="A92" s="120" t="s">
        <v>96</v>
      </c>
      <c r="B92" s="118">
        <f t="shared" ca="1" si="27"/>
        <v>12605.800000000001</v>
      </c>
      <c r="C92" s="119">
        <f ca="1">IFERROR(B92/B16, "NA")</f>
        <v>0.21392165720470591</v>
      </c>
      <c r="D92" s="118">
        <f t="shared" ca="1" si="28"/>
        <v>9915.91</v>
      </c>
      <c r="E92" s="119">
        <f ca="1">IFERROR(D92/D16, "NA")</f>
        <v>0.22153888706307059</v>
      </c>
      <c r="F92" s="118">
        <f t="shared" ca="1" si="29"/>
        <v>8204.7800000000007</v>
      </c>
      <c r="G92" s="119">
        <f ca="1">IFERROR(F92/F16, "NA")</f>
        <v>0.25592319789990747</v>
      </c>
      <c r="H92" s="118">
        <f t="shared" ca="1" si="30"/>
        <v>9601.5</v>
      </c>
      <c r="I92" s="119">
        <f ca="1">IFERROR(H92/H16, "NA")</f>
        <v>0.31800101346987586</v>
      </c>
      <c r="J92" s="118">
        <f ca="1">+H92+F92+D92+B92</f>
        <v>40327.99</v>
      </c>
      <c r="K92" s="117">
        <f ca="1">IFERROR(J92/J16, "NA")</f>
        <v>0.24302863849270137</v>
      </c>
    </row>
    <row r="93" spans="1:11" ht="3.75" customHeight="1" x14ac:dyDescent="0.3">
      <c r="A93" s="113" t="s">
        <v>3</v>
      </c>
      <c r="B93" s="112"/>
      <c r="C93" s="111"/>
      <c r="D93" s="112"/>
      <c r="E93" s="111"/>
      <c r="F93" s="112"/>
      <c r="G93" s="111"/>
      <c r="H93" s="112"/>
      <c r="I93" s="111"/>
      <c r="J93" s="112"/>
      <c r="K93" s="111"/>
    </row>
    <row r="94" spans="1:11" ht="15" customHeight="1" x14ac:dyDescent="0.3">
      <c r="A94" s="80" t="s">
        <v>97</v>
      </c>
      <c r="B94" s="115">
        <f ca="1">INDEX(INDIRECT("'"&amp;B$4&amp;"'!$1:$1048576"),MATCH($A94,INDIRECT("'"&amp;B$4&amp;"'!$A:$A"),0),MATCH($A$2,INDIRECT("'"&amp;B$4&amp;"'!$5:$5"),0))</f>
        <v>33493.959999999992</v>
      </c>
      <c r="C94" s="116">
        <f ca="1">IFERROR(B94/B16, "NA")</f>
        <v>0.56839577254502927</v>
      </c>
      <c r="D94" s="115">
        <f ca="1">INDEX(INDIRECT("'"&amp;D$4&amp;"'!$1:$1048576"),MATCH($A94,INDIRECT("'"&amp;D$4&amp;"'!$A:$A"),0),MATCH($A$2,INDIRECT("'"&amp;D$4&amp;"'!$5:$5"),0))</f>
        <v>23610.339999999993</v>
      </c>
      <c r="E94" s="116">
        <f ca="1">IFERROR(D94/D16, "NA")</f>
        <v>0.52749656327868011</v>
      </c>
      <c r="F94" s="115">
        <f ca="1">INDEX(INDIRECT("'"&amp;F$4&amp;"'!$1:$1048576"),MATCH($A94,INDIRECT("'"&amp;F$4&amp;"'!$A:$A"),0),MATCH($A$2,INDIRECT("'"&amp;F$4&amp;"'!$5:$5"),0))</f>
        <v>15286.63</v>
      </c>
      <c r="G94" s="116">
        <f ca="1">IFERROR(F94/F16, "NA")</f>
        <v>0.47682000427953736</v>
      </c>
      <c r="H94" s="115">
        <f ca="1">INDEX(INDIRECT("'"&amp;H$4&amp;"'!$1:$1048576"),MATCH($A94,INDIRECT("'"&amp;H$4&amp;"'!$A:$A"),0),MATCH($A$2,INDIRECT("'"&amp;H$4&amp;"'!$5:$5"),0))</f>
        <v>13705.009999999995</v>
      </c>
      <c r="I94" s="116">
        <f ca="1">IFERROR(H94/H16, "NA")</f>
        <v>0.45390897980677825</v>
      </c>
      <c r="J94" s="115">
        <f ca="1">+H94+F94+D94+B94</f>
        <v>86095.939999999973</v>
      </c>
      <c r="K94" s="114">
        <f ca="1">IFERROR(J94/J16, "NA")</f>
        <v>0.51884011769367389</v>
      </c>
    </row>
    <row r="95" spans="1:11" ht="15" customHeight="1" x14ac:dyDescent="0.3">
      <c r="A95" s="113" t="s">
        <v>3</v>
      </c>
      <c r="B95" s="112"/>
      <c r="C95" s="111"/>
      <c r="D95" s="112"/>
      <c r="E95" s="111"/>
      <c r="F95" s="112"/>
      <c r="G95" s="111"/>
      <c r="H95" s="112"/>
      <c r="I95" s="111"/>
    </row>
    <row r="96" spans="1:11" ht="15" customHeight="1" x14ac:dyDescent="0.3"/>
  </sheetData>
  <mergeCells count="8">
    <mergeCell ref="J4:K4"/>
    <mergeCell ref="A1:I1"/>
    <mergeCell ref="A2:I2"/>
    <mergeCell ref="A3:I3"/>
    <mergeCell ref="B4:C4"/>
    <mergeCell ref="D4:E4"/>
    <mergeCell ref="F4:G4"/>
    <mergeCell ref="H4:I4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AL153"/>
  <sheetViews>
    <sheetView showGridLines="0" workbookViewId="0">
      <pane xSplit="1" ySplit="5" topLeftCell="B6" activePane="bottomRight" state="frozen"/>
      <selection pane="topRight" activeCell="B1" sqref="B1"/>
      <selection pane="bottomLeft" activeCell="A6" sqref="A6"/>
      <selection pane="bottomRight" sqref="A1:AL1"/>
    </sheetView>
  </sheetViews>
  <sheetFormatPr defaultRowHeight="14.4" x14ac:dyDescent="0.3"/>
  <cols>
    <col min="1" max="1" width="42.88671875" customWidth="1"/>
    <col min="2" max="2" width="17.109375" customWidth="1"/>
    <col min="3" max="3" width="9.44140625" customWidth="1"/>
    <col min="4" max="4" width="17.109375" customWidth="1"/>
    <col min="5" max="5" width="9.44140625" customWidth="1"/>
    <col min="6" max="6" width="17.109375" customWidth="1"/>
    <col min="7" max="7" width="9.44140625" customWidth="1"/>
    <col min="8" max="8" width="17.109375" customWidth="1"/>
    <col min="9" max="9" width="9.44140625" customWidth="1"/>
    <col min="10" max="10" width="17.109375" customWidth="1"/>
    <col min="11" max="11" width="9.44140625" customWidth="1"/>
    <col min="12" max="12" width="17.109375" customWidth="1"/>
    <col min="13" max="13" width="9.44140625" customWidth="1"/>
    <col min="14" max="14" width="17.109375" customWidth="1"/>
    <col min="15" max="15" width="9.44140625" customWidth="1"/>
    <col min="16" max="16" width="17.109375" customWidth="1"/>
    <col min="17" max="17" width="9.44140625" customWidth="1"/>
    <col min="18" max="18" width="17.109375" customWidth="1"/>
    <col min="19" max="19" width="9.44140625" customWidth="1"/>
    <col min="20" max="20" width="17.109375" customWidth="1"/>
    <col min="21" max="21" width="9.44140625" customWidth="1"/>
    <col min="22" max="22" width="17.109375" customWidth="1"/>
    <col min="23" max="23" width="9.44140625" customWidth="1"/>
    <col min="24" max="24" width="17.109375" customWidth="1"/>
    <col min="25" max="25" width="9.44140625" customWidth="1"/>
    <col min="26" max="26" width="17.109375" customWidth="1"/>
    <col min="27" max="27" width="9.44140625" customWidth="1"/>
    <col min="28" max="28" width="17.109375" customWidth="1"/>
    <col min="29" max="29" width="9.44140625" customWidth="1"/>
    <col min="30" max="30" width="16.6640625" customWidth="1"/>
    <col min="31" max="31" width="0" hidden="1" customWidth="1"/>
    <col min="32" max="32" width="16.6640625" customWidth="1"/>
    <col min="33" max="33" width="17.109375" customWidth="1"/>
    <col min="34" max="34" width="9.44140625" customWidth="1"/>
    <col min="35" max="35" width="16.6640625" customWidth="1"/>
    <col min="36" max="36" width="0" hidden="1" customWidth="1"/>
    <col min="37" max="37" width="16.6640625" customWidth="1"/>
    <col min="38" max="38" width="0" hidden="1" customWidth="1"/>
  </cols>
  <sheetData>
    <row r="1" spans="1:38" ht="33.6" x14ac:dyDescent="0.3">
      <c r="A1" s="153" t="s">
        <v>0</v>
      </c>
      <c r="B1" s="153" t="s">
        <v>0</v>
      </c>
      <c r="C1" s="153" t="s">
        <v>0</v>
      </c>
      <c r="D1" s="153" t="s">
        <v>0</v>
      </c>
      <c r="E1" s="153" t="s">
        <v>0</v>
      </c>
      <c r="F1" s="153" t="s">
        <v>0</v>
      </c>
      <c r="G1" s="153" t="s">
        <v>0</v>
      </c>
      <c r="H1" s="153" t="s">
        <v>0</v>
      </c>
      <c r="I1" s="153" t="s">
        <v>0</v>
      </c>
      <c r="J1" s="153" t="s">
        <v>0</v>
      </c>
      <c r="K1" s="153" t="s">
        <v>0</v>
      </c>
      <c r="L1" s="153" t="s">
        <v>0</v>
      </c>
      <c r="M1" s="153" t="s">
        <v>0</v>
      </c>
      <c r="N1" s="153" t="s">
        <v>0</v>
      </c>
      <c r="O1" s="153" t="s">
        <v>0</v>
      </c>
      <c r="P1" s="153" t="s">
        <v>0</v>
      </c>
      <c r="Q1" s="153" t="s">
        <v>0</v>
      </c>
      <c r="R1" s="153" t="s">
        <v>0</v>
      </c>
      <c r="S1" s="153" t="s">
        <v>0</v>
      </c>
      <c r="T1" s="153" t="s">
        <v>0</v>
      </c>
      <c r="U1" s="153" t="s">
        <v>0</v>
      </c>
      <c r="V1" s="153" t="s">
        <v>0</v>
      </c>
      <c r="W1" s="153" t="s">
        <v>0</v>
      </c>
      <c r="X1" s="153" t="s">
        <v>0</v>
      </c>
      <c r="Y1" s="153" t="s">
        <v>0</v>
      </c>
      <c r="Z1" s="153" t="s">
        <v>0</v>
      </c>
      <c r="AA1" s="153" t="s">
        <v>0</v>
      </c>
      <c r="AB1" s="153" t="s">
        <v>0</v>
      </c>
      <c r="AC1" s="153" t="s">
        <v>0</v>
      </c>
      <c r="AD1" s="153" t="s">
        <v>0</v>
      </c>
      <c r="AE1" s="153" t="s">
        <v>0</v>
      </c>
      <c r="AF1" s="153" t="s">
        <v>0</v>
      </c>
      <c r="AG1" s="153" t="s">
        <v>0</v>
      </c>
      <c r="AH1" s="153" t="s">
        <v>0</v>
      </c>
      <c r="AI1" s="153" t="s">
        <v>0</v>
      </c>
      <c r="AJ1" s="153" t="s">
        <v>0</v>
      </c>
      <c r="AK1" s="153" t="s">
        <v>0</v>
      </c>
      <c r="AL1" s="153" t="s">
        <v>0</v>
      </c>
    </row>
    <row r="2" spans="1:38" ht="23.4" x14ac:dyDescent="0.3">
      <c r="A2" s="154" t="s">
        <v>1</v>
      </c>
      <c r="B2" s="154" t="s">
        <v>1</v>
      </c>
      <c r="C2" s="154" t="s">
        <v>1</v>
      </c>
      <c r="D2" s="154" t="s">
        <v>1</v>
      </c>
      <c r="E2" s="154" t="s">
        <v>1</v>
      </c>
      <c r="F2" s="154" t="s">
        <v>1</v>
      </c>
      <c r="G2" s="154" t="s">
        <v>1</v>
      </c>
      <c r="H2" s="154" t="s">
        <v>1</v>
      </c>
      <c r="I2" s="154" t="s">
        <v>1</v>
      </c>
      <c r="J2" s="154" t="s">
        <v>1</v>
      </c>
      <c r="K2" s="154" t="s">
        <v>1</v>
      </c>
      <c r="L2" s="154" t="s">
        <v>1</v>
      </c>
      <c r="M2" s="154" t="s">
        <v>1</v>
      </c>
      <c r="N2" s="154" t="s">
        <v>1</v>
      </c>
      <c r="O2" s="154" t="s">
        <v>1</v>
      </c>
      <c r="P2" s="154" t="s">
        <v>1</v>
      </c>
      <c r="Q2" s="154" t="s">
        <v>1</v>
      </c>
      <c r="R2" s="154" t="s">
        <v>1</v>
      </c>
      <c r="S2" s="154" t="s">
        <v>1</v>
      </c>
      <c r="T2" s="154" t="s">
        <v>1</v>
      </c>
      <c r="U2" s="154" t="s">
        <v>1</v>
      </c>
      <c r="V2" s="154" t="s">
        <v>1</v>
      </c>
      <c r="W2" s="154" t="s">
        <v>1</v>
      </c>
      <c r="X2" s="154" t="s">
        <v>1</v>
      </c>
      <c r="Y2" s="154" t="s">
        <v>1</v>
      </c>
      <c r="Z2" s="154" t="s">
        <v>1</v>
      </c>
      <c r="AA2" s="154" t="s">
        <v>1</v>
      </c>
      <c r="AB2" s="154" t="s">
        <v>1</v>
      </c>
      <c r="AC2" s="154" t="s">
        <v>1</v>
      </c>
      <c r="AD2" s="154" t="s">
        <v>1</v>
      </c>
      <c r="AE2" s="154" t="s">
        <v>1</v>
      </c>
      <c r="AF2" s="154" t="s">
        <v>1</v>
      </c>
      <c r="AG2" s="154" t="s">
        <v>1</v>
      </c>
      <c r="AH2" s="154" t="s">
        <v>1</v>
      </c>
      <c r="AI2" s="154" t="s">
        <v>1</v>
      </c>
      <c r="AJ2" s="154" t="s">
        <v>1</v>
      </c>
      <c r="AK2" s="154" t="s">
        <v>1</v>
      </c>
      <c r="AL2" s="154" t="s">
        <v>1</v>
      </c>
    </row>
    <row r="3" spans="1:38" ht="15.6" x14ac:dyDescent="0.3">
      <c r="A3" s="155" t="s">
        <v>2</v>
      </c>
      <c r="B3" s="155" t="s">
        <v>2</v>
      </c>
      <c r="C3" s="155" t="s">
        <v>2</v>
      </c>
      <c r="D3" s="155" t="s">
        <v>2</v>
      </c>
      <c r="E3" s="155" t="s">
        <v>2</v>
      </c>
      <c r="F3" s="155" t="s">
        <v>2</v>
      </c>
      <c r="G3" s="155" t="s">
        <v>2</v>
      </c>
      <c r="H3" s="155" t="s">
        <v>2</v>
      </c>
      <c r="I3" s="155" t="s">
        <v>2</v>
      </c>
      <c r="J3" s="155" t="s">
        <v>2</v>
      </c>
      <c r="K3" s="155" t="s">
        <v>2</v>
      </c>
      <c r="L3" s="155" t="s">
        <v>2</v>
      </c>
      <c r="M3" s="155" t="s">
        <v>2</v>
      </c>
      <c r="N3" s="155" t="s">
        <v>2</v>
      </c>
      <c r="O3" s="155" t="s">
        <v>2</v>
      </c>
      <c r="P3" s="155" t="s">
        <v>2</v>
      </c>
      <c r="Q3" s="155" t="s">
        <v>2</v>
      </c>
      <c r="R3" s="155" t="s">
        <v>2</v>
      </c>
      <c r="S3" s="155" t="s">
        <v>2</v>
      </c>
      <c r="T3" s="155" t="s">
        <v>2</v>
      </c>
      <c r="U3" s="155" t="s">
        <v>2</v>
      </c>
      <c r="V3" s="155" t="s">
        <v>2</v>
      </c>
      <c r="W3" s="155" t="s">
        <v>2</v>
      </c>
      <c r="X3" s="155" t="s">
        <v>2</v>
      </c>
      <c r="Y3" s="155" t="s">
        <v>2</v>
      </c>
      <c r="Z3" s="155" t="s">
        <v>2</v>
      </c>
      <c r="AA3" s="155" t="s">
        <v>2</v>
      </c>
      <c r="AB3" s="155" t="s">
        <v>2</v>
      </c>
      <c r="AC3" s="155" t="s">
        <v>2</v>
      </c>
      <c r="AD3" s="155" t="s">
        <v>2</v>
      </c>
      <c r="AE3" s="155" t="s">
        <v>2</v>
      </c>
      <c r="AF3" s="155" t="s">
        <v>2</v>
      </c>
      <c r="AG3" s="155" t="s">
        <v>2</v>
      </c>
      <c r="AH3" s="155" t="s">
        <v>2</v>
      </c>
      <c r="AI3" s="155" t="s">
        <v>2</v>
      </c>
      <c r="AJ3" s="155" t="s">
        <v>2</v>
      </c>
      <c r="AK3" s="155" t="s">
        <v>2</v>
      </c>
      <c r="AL3" s="155" t="s">
        <v>2</v>
      </c>
    </row>
    <row r="5" spans="1:38" ht="13.5" customHeight="1" x14ac:dyDescent="0.3">
      <c r="A5" s="156" t="s">
        <v>3</v>
      </c>
      <c r="B5" s="151" t="s">
        <v>4</v>
      </c>
      <c r="C5" s="152" t="s">
        <v>3</v>
      </c>
      <c r="D5" s="151" t="s">
        <v>5</v>
      </c>
      <c r="E5" s="152" t="s">
        <v>3</v>
      </c>
      <c r="F5" s="151" t="s">
        <v>6</v>
      </c>
      <c r="G5" s="152" t="s">
        <v>3</v>
      </c>
      <c r="H5" s="151" t="s">
        <v>7</v>
      </c>
      <c r="I5" s="152" t="s">
        <v>3</v>
      </c>
      <c r="J5" s="151" t="s">
        <v>8</v>
      </c>
      <c r="K5" s="152" t="s">
        <v>3</v>
      </c>
      <c r="L5" s="151" t="s">
        <v>9</v>
      </c>
      <c r="M5" s="152" t="s">
        <v>3</v>
      </c>
      <c r="N5" s="151" t="s">
        <v>10</v>
      </c>
      <c r="O5" s="152" t="s">
        <v>3</v>
      </c>
      <c r="P5" s="151" t="s">
        <v>11</v>
      </c>
      <c r="Q5" s="152" t="s">
        <v>3</v>
      </c>
      <c r="R5" s="151" t="s">
        <v>12</v>
      </c>
      <c r="S5" s="152" t="s">
        <v>3</v>
      </c>
      <c r="T5" s="151" t="s">
        <v>13</v>
      </c>
      <c r="U5" s="152" t="s">
        <v>3</v>
      </c>
      <c r="V5" s="151" t="s">
        <v>14</v>
      </c>
      <c r="W5" s="152" t="s">
        <v>3</v>
      </c>
      <c r="X5" s="151" t="s">
        <v>15</v>
      </c>
      <c r="Y5" s="152" t="s">
        <v>3</v>
      </c>
      <c r="Z5" s="151" t="s">
        <v>16</v>
      </c>
      <c r="AA5" s="152" t="s">
        <v>3</v>
      </c>
      <c r="AB5" s="151" t="s">
        <v>17</v>
      </c>
      <c r="AC5" s="152" t="s">
        <v>3</v>
      </c>
      <c r="AD5" s="149" t="s">
        <v>18</v>
      </c>
      <c r="AE5" s="150" t="s">
        <v>3</v>
      </c>
      <c r="AF5" s="149" t="s">
        <v>19</v>
      </c>
      <c r="AG5" s="151" t="s">
        <v>20</v>
      </c>
      <c r="AH5" s="152" t="s">
        <v>3</v>
      </c>
      <c r="AI5" s="149" t="s">
        <v>21</v>
      </c>
      <c r="AJ5" s="150" t="s">
        <v>3</v>
      </c>
      <c r="AK5" s="149" t="s">
        <v>22</v>
      </c>
      <c r="AL5" s="150" t="s">
        <v>3</v>
      </c>
    </row>
    <row r="6" spans="1:38" ht="16.5" customHeight="1" x14ac:dyDescent="0.3">
      <c r="A6" s="1" t="s">
        <v>23</v>
      </c>
      <c r="B6" s="2"/>
      <c r="C6" s="3"/>
      <c r="D6" s="2"/>
      <c r="E6" s="3"/>
      <c r="F6" s="2"/>
      <c r="G6" s="3"/>
      <c r="H6" s="2"/>
      <c r="I6" s="3"/>
      <c r="J6" s="2"/>
      <c r="K6" s="3"/>
      <c r="L6" s="2"/>
      <c r="M6" s="3"/>
      <c r="N6" s="2"/>
      <c r="O6" s="3"/>
      <c r="P6" s="2"/>
      <c r="Q6" s="3"/>
      <c r="R6" s="2"/>
      <c r="S6" s="3"/>
      <c r="T6" s="2"/>
      <c r="U6" s="3"/>
      <c r="V6" s="2"/>
      <c r="W6" s="3"/>
      <c r="X6" s="2"/>
      <c r="Y6" s="3"/>
      <c r="Z6" s="2"/>
      <c r="AA6" s="3"/>
      <c r="AB6" s="2"/>
      <c r="AC6" s="3"/>
      <c r="AD6" s="4"/>
      <c r="AE6" s="5"/>
      <c r="AF6" s="4"/>
      <c r="AG6" s="2"/>
      <c r="AH6" s="3"/>
      <c r="AI6" s="4"/>
      <c r="AJ6" s="5"/>
      <c r="AK6" s="4"/>
      <c r="AL6" s="5"/>
    </row>
    <row r="7" spans="1:38" ht="16.5" customHeight="1" x14ac:dyDescent="0.3">
      <c r="A7" s="6" t="s">
        <v>23</v>
      </c>
      <c r="B7" s="7">
        <v>119811.23</v>
      </c>
      <c r="C7" s="8">
        <f>IFERROR(B7/B148, "NA")</f>
        <v>1</v>
      </c>
      <c r="D7" s="7">
        <v>125426.53</v>
      </c>
      <c r="E7" s="8">
        <f>IFERROR(D7/D148, "NA")</f>
        <v>1.0000000000000002</v>
      </c>
      <c r="F7" s="7">
        <v>133941.41999999995</v>
      </c>
      <c r="G7" s="8">
        <f>IFERROR(F7/F148, "NA")</f>
        <v>0.99999999999999978</v>
      </c>
      <c r="H7" s="7">
        <v>128005.73999999999</v>
      </c>
      <c r="I7" s="8">
        <f>IFERROR(H7/H148, "NA")</f>
        <v>1</v>
      </c>
      <c r="J7" s="7">
        <v>115765.26999999995</v>
      </c>
      <c r="K7" s="8">
        <f>IFERROR(J7/J148, "NA")</f>
        <v>0.99999999999999967</v>
      </c>
      <c r="L7" s="7">
        <v>135190.86000000004</v>
      </c>
      <c r="M7" s="8">
        <f>IFERROR(L7/L148, "NA")</f>
        <v>1.0000000000000002</v>
      </c>
      <c r="N7" s="7">
        <v>126751.91</v>
      </c>
      <c r="O7" s="8">
        <f>IFERROR(N7/N148, "NA")</f>
        <v>1</v>
      </c>
      <c r="P7" s="7">
        <v>136718.77000000005</v>
      </c>
      <c r="Q7" s="8">
        <f>IFERROR(P7/P148, "NA")</f>
        <v>1.0000000000000004</v>
      </c>
      <c r="R7" s="7">
        <v>149692.49000000005</v>
      </c>
      <c r="S7" s="8">
        <f>IFERROR(R7/R148, "NA")</f>
        <v>1.0000000000000002</v>
      </c>
      <c r="T7" s="7">
        <v>123097.31000000003</v>
      </c>
      <c r="U7" s="8">
        <f>IFERROR(T7/T148, "NA")</f>
        <v>1.0000000000000002</v>
      </c>
      <c r="V7" s="7">
        <v>166290.49999999997</v>
      </c>
      <c r="W7" s="8">
        <f>IFERROR(V7/V148, "NA")</f>
        <v>0.99999999999999978</v>
      </c>
      <c r="X7" s="7">
        <v>165939.24999999991</v>
      </c>
      <c r="Y7" s="8">
        <f>IFERROR(X7/X148, "NA")</f>
        <v>0.99999999999999944</v>
      </c>
      <c r="Z7" s="7">
        <v>455327.06000000011</v>
      </c>
      <c r="AA7" s="8">
        <f>IFERROR(Z7/Z148, "NA")</f>
        <v>1.0000000000000002</v>
      </c>
      <c r="AB7" s="9">
        <f>IFERROR((R7+T7+V7+X7)/4, "NA")</f>
        <v>151254.88749999998</v>
      </c>
      <c r="AC7" s="8">
        <f>IFERROR(AB7/AB148, "NA")</f>
        <v>0.99999999999999978</v>
      </c>
      <c r="AD7" s="10">
        <f>IFERROR(X7-AB7, "NA")</f>
        <v>14684.36249999993</v>
      </c>
      <c r="AE7" s="11">
        <f>IFERROR(AD7/AD148, "NA")</f>
        <v>0.999999999999996</v>
      </c>
      <c r="AF7" s="10">
        <f>IFERROR((X7-AB7)/AB7, "NA")</f>
        <v>9.7083557051998948E-2</v>
      </c>
      <c r="AG7" s="9">
        <f>IFERROR((J7+L7+N7+P7+R7+T7+V7+X7)/8, "NA")</f>
        <v>139930.79500000001</v>
      </c>
      <c r="AH7" s="8">
        <f>IFERROR(AG7/AG148, "NA")</f>
        <v>1</v>
      </c>
      <c r="AI7" s="10">
        <f>IFERROR(X7-AG7, "NA")</f>
        <v>26008.4549999999</v>
      </c>
      <c r="AJ7" s="11">
        <f>IFERROR(AI7/AI148, "NA")</f>
        <v>0.99999999999999667</v>
      </c>
      <c r="AK7" s="10">
        <f>IFERROR((X7-AG7)/AG7, "NA")</f>
        <v>0.18586655639310773</v>
      </c>
      <c r="AL7" s="11">
        <f>IFERROR(AK7/AK148, "NA")</f>
        <v>0.99999999999999656</v>
      </c>
    </row>
    <row r="8" spans="1:38" ht="30.75" hidden="1" customHeight="1" x14ac:dyDescent="0.3">
      <c r="A8" s="6" t="s">
        <v>24</v>
      </c>
      <c r="B8" s="7">
        <v>0</v>
      </c>
      <c r="C8" s="8">
        <f>IFERROR(B8/B148, "NA")</f>
        <v>0</v>
      </c>
      <c r="D8" s="7">
        <v>0</v>
      </c>
      <c r="E8" s="8">
        <f>IFERROR(D8/D148, "NA")</f>
        <v>0</v>
      </c>
      <c r="F8" s="7">
        <v>0</v>
      </c>
      <c r="G8" s="8">
        <f>IFERROR(F8/F148, "NA")</f>
        <v>0</v>
      </c>
      <c r="H8" s="7">
        <v>0</v>
      </c>
      <c r="I8" s="8">
        <f>IFERROR(H8/H148, "NA")</f>
        <v>0</v>
      </c>
      <c r="J8" s="7">
        <v>0</v>
      </c>
      <c r="K8" s="8">
        <f>IFERROR(J8/J148, "NA")</f>
        <v>0</v>
      </c>
      <c r="L8" s="7">
        <v>0</v>
      </c>
      <c r="M8" s="8">
        <f>IFERROR(L8/L148, "NA")</f>
        <v>0</v>
      </c>
      <c r="N8" s="7">
        <v>0</v>
      </c>
      <c r="O8" s="8">
        <f>IFERROR(N8/N148, "NA")</f>
        <v>0</v>
      </c>
      <c r="P8" s="7">
        <v>0</v>
      </c>
      <c r="Q8" s="8">
        <f>IFERROR(P8/P148, "NA")</f>
        <v>0</v>
      </c>
      <c r="R8" s="7">
        <v>0</v>
      </c>
      <c r="S8" s="8">
        <f>IFERROR(R8/R148, "NA")</f>
        <v>0</v>
      </c>
      <c r="T8" s="7">
        <v>0</v>
      </c>
      <c r="U8" s="8">
        <f>IFERROR(T8/T148, "NA")</f>
        <v>0</v>
      </c>
      <c r="V8" s="7">
        <v>0</v>
      </c>
      <c r="W8" s="8">
        <f>IFERROR(V8/V148, "NA")</f>
        <v>0</v>
      </c>
      <c r="X8" s="7">
        <v>0</v>
      </c>
      <c r="Y8" s="8">
        <f>IFERROR(X8/X148, "NA")</f>
        <v>0</v>
      </c>
      <c r="Z8" s="7">
        <v>0</v>
      </c>
      <c r="AA8" s="8">
        <f>IFERROR(Z8/Z148, "NA")</f>
        <v>0</v>
      </c>
      <c r="AB8" s="9">
        <f>IFERROR((R8+T8+V8+X8)/4, "NA")</f>
        <v>0</v>
      </c>
      <c r="AC8" s="8">
        <f>IFERROR(AB8/AB148, "NA")</f>
        <v>0</v>
      </c>
      <c r="AD8" s="10">
        <f>IFERROR(X8-AB8, "NA")</f>
        <v>0</v>
      </c>
      <c r="AE8" s="11">
        <f>IFERROR(AD8/AD148, "NA")</f>
        <v>0</v>
      </c>
      <c r="AF8" s="10" t="str">
        <f>IFERROR((X8-AB8)/AB8, "NA")</f>
        <v>NA</v>
      </c>
      <c r="AG8" s="9">
        <f>IFERROR((J8+L8+N8+P8+R8+T8+V8+X8)/8, "NA")</f>
        <v>0</v>
      </c>
      <c r="AH8" s="8">
        <f>IFERROR(AG8/AG148, "NA")</f>
        <v>0</v>
      </c>
      <c r="AI8" s="10">
        <f>IFERROR(X8-AG8, "NA")</f>
        <v>0</v>
      </c>
      <c r="AJ8" s="11">
        <f>IFERROR(AI8/AI148, "NA")</f>
        <v>0</v>
      </c>
      <c r="AK8" s="10" t="str">
        <f>IFERROR((X8-AG8)/AG8, "NA")</f>
        <v>NA</v>
      </c>
      <c r="AL8" s="11" t="str">
        <f>IFERROR(AK8/AK148, "NA")</f>
        <v>NA</v>
      </c>
    </row>
    <row r="9" spans="1:38" ht="16.5" customHeight="1" x14ac:dyDescent="0.3">
      <c r="A9" s="12" t="s">
        <v>25</v>
      </c>
      <c r="B9" s="13">
        <f>IFERROR(B7+B8, "NA")</f>
        <v>119811.23</v>
      </c>
      <c r="C9" s="14">
        <f>IFERROR(B9/B148, "NA")</f>
        <v>1</v>
      </c>
      <c r="D9" s="13">
        <f>IFERROR(D7+D8, "NA")</f>
        <v>125426.53</v>
      </c>
      <c r="E9" s="14">
        <f>IFERROR(D9/D148, "NA")</f>
        <v>1.0000000000000002</v>
      </c>
      <c r="F9" s="13">
        <f>IFERROR(F7+F8, "NA")</f>
        <v>133941.41999999995</v>
      </c>
      <c r="G9" s="14">
        <f>IFERROR(F9/F148, "NA")</f>
        <v>0.99999999999999978</v>
      </c>
      <c r="H9" s="13">
        <f>IFERROR(H7+H8, "NA")</f>
        <v>128005.73999999999</v>
      </c>
      <c r="I9" s="14">
        <f>IFERROR(H9/H148, "NA")</f>
        <v>1</v>
      </c>
      <c r="J9" s="13">
        <f>IFERROR(J7+J8, "NA")</f>
        <v>115765.26999999995</v>
      </c>
      <c r="K9" s="14">
        <f>IFERROR(J9/J148, "NA")</f>
        <v>0.99999999999999967</v>
      </c>
      <c r="L9" s="13">
        <f>IFERROR(L7+L8, "NA")</f>
        <v>135190.86000000004</v>
      </c>
      <c r="M9" s="14">
        <f>IFERROR(L9/L148, "NA")</f>
        <v>1.0000000000000002</v>
      </c>
      <c r="N9" s="13">
        <f>IFERROR(N7+N8, "NA")</f>
        <v>126751.91</v>
      </c>
      <c r="O9" s="14">
        <f>IFERROR(N9/N148, "NA")</f>
        <v>1</v>
      </c>
      <c r="P9" s="13">
        <f>IFERROR(P7+P8, "NA")</f>
        <v>136718.77000000005</v>
      </c>
      <c r="Q9" s="14">
        <f>IFERROR(P9/P148, "NA")</f>
        <v>1.0000000000000004</v>
      </c>
      <c r="R9" s="13">
        <f>IFERROR(R7+R8, "NA")</f>
        <v>149692.49000000005</v>
      </c>
      <c r="S9" s="14">
        <f>IFERROR(R9/R148, "NA")</f>
        <v>1.0000000000000002</v>
      </c>
      <c r="T9" s="13">
        <f>IFERROR(T7+T8, "NA")</f>
        <v>123097.31000000003</v>
      </c>
      <c r="U9" s="14">
        <f>IFERROR(T9/T148, "NA")</f>
        <v>1.0000000000000002</v>
      </c>
      <c r="V9" s="13">
        <f>IFERROR(V7+V8, "NA")</f>
        <v>166290.49999999997</v>
      </c>
      <c r="W9" s="14">
        <f>IFERROR(V9/V148, "NA")</f>
        <v>0.99999999999999978</v>
      </c>
      <c r="X9" s="13">
        <f>IFERROR(X7+X8, "NA")</f>
        <v>165939.24999999991</v>
      </c>
      <c r="Y9" s="14">
        <f>IFERROR(X9/X148, "NA")</f>
        <v>0.99999999999999944</v>
      </c>
      <c r="Z9" s="13">
        <f>IFERROR(Z7+Z8, "NA")</f>
        <v>455327.06000000011</v>
      </c>
      <c r="AA9" s="14">
        <f>IFERROR(Z9/Z148, "NA")</f>
        <v>1.0000000000000002</v>
      </c>
      <c r="AB9" s="13">
        <f>IFERROR((R9+T9+V9+X9)/4, "NA")</f>
        <v>151254.88749999998</v>
      </c>
      <c r="AC9" s="14">
        <f>IFERROR(AB9/AB148, "NA")</f>
        <v>0.99999999999999978</v>
      </c>
      <c r="AD9" s="15">
        <f>IFERROR(X9-AB9, "NA")</f>
        <v>14684.36249999993</v>
      </c>
      <c r="AE9" s="16">
        <f>IFERROR(AD9/AD148, "NA")</f>
        <v>0.999999999999996</v>
      </c>
      <c r="AF9" s="15">
        <f>IFERROR((X9-AB9)/AB9, "NA")</f>
        <v>9.7083557051998948E-2</v>
      </c>
      <c r="AG9" s="13">
        <f>IFERROR((J9+L9+N9+P9+R9+T9+V9+X9)/8, "NA")</f>
        <v>139930.79500000001</v>
      </c>
      <c r="AH9" s="14">
        <f>IFERROR(AG9/AG148, "NA")</f>
        <v>1</v>
      </c>
      <c r="AI9" s="15">
        <f>IFERROR(X9-AG9, "NA")</f>
        <v>26008.4549999999</v>
      </c>
      <c r="AJ9" s="16">
        <f>IFERROR(AI9/AI148, "NA")</f>
        <v>0.99999999999999667</v>
      </c>
      <c r="AK9" s="15">
        <f>IFERROR((X9-AG9)/AG9, "NA")</f>
        <v>0.18586655639310773</v>
      </c>
      <c r="AL9" s="16">
        <f>IFERROR(AK9/AK148, "NA")</f>
        <v>0.99999999999999656</v>
      </c>
    </row>
    <row r="10" spans="1:38" ht="3.75" customHeight="1" x14ac:dyDescent="0.3">
      <c r="A10" s="17" t="s">
        <v>3</v>
      </c>
      <c r="B10" s="18"/>
      <c r="C10" s="19"/>
      <c r="D10" s="18"/>
      <c r="E10" s="19"/>
      <c r="F10" s="18"/>
      <c r="G10" s="19"/>
      <c r="H10" s="18"/>
      <c r="I10" s="19"/>
      <c r="J10" s="18"/>
      <c r="K10" s="19"/>
      <c r="L10" s="18"/>
      <c r="M10" s="19"/>
      <c r="N10" s="18"/>
      <c r="O10" s="19"/>
      <c r="P10" s="18"/>
      <c r="Q10" s="19"/>
      <c r="R10" s="18"/>
      <c r="S10" s="19"/>
      <c r="T10" s="18"/>
      <c r="U10" s="19"/>
      <c r="V10" s="18"/>
      <c r="W10" s="19"/>
      <c r="X10" s="18"/>
      <c r="Y10" s="19"/>
      <c r="Z10" s="18"/>
      <c r="AA10" s="19"/>
      <c r="AB10" s="18"/>
      <c r="AC10" s="19"/>
      <c r="AD10" s="20"/>
      <c r="AE10" s="21"/>
      <c r="AF10" s="20"/>
      <c r="AG10" s="18"/>
      <c r="AH10" s="19"/>
      <c r="AI10" s="20"/>
      <c r="AJ10" s="21"/>
      <c r="AK10" s="20"/>
      <c r="AL10" s="21"/>
    </row>
    <row r="11" spans="1:38" ht="16.5" customHeight="1" x14ac:dyDescent="0.3">
      <c r="A11" s="1" t="s">
        <v>26</v>
      </c>
      <c r="B11" s="2"/>
      <c r="C11" s="3"/>
      <c r="D11" s="2"/>
      <c r="E11" s="3"/>
      <c r="F11" s="2"/>
      <c r="G11" s="3"/>
      <c r="H11" s="2"/>
      <c r="I11" s="3"/>
      <c r="J11" s="2"/>
      <c r="K11" s="3"/>
      <c r="L11" s="2"/>
      <c r="M11" s="3"/>
      <c r="N11" s="2"/>
      <c r="O11" s="3"/>
      <c r="P11" s="2"/>
      <c r="Q11" s="3"/>
      <c r="R11" s="2"/>
      <c r="S11" s="3"/>
      <c r="T11" s="2"/>
      <c r="U11" s="3"/>
      <c r="V11" s="2"/>
      <c r="W11" s="3"/>
      <c r="X11" s="2"/>
      <c r="Y11" s="3"/>
      <c r="Z11" s="2"/>
      <c r="AA11" s="3"/>
      <c r="AB11" s="2"/>
      <c r="AC11" s="3"/>
      <c r="AD11" s="4"/>
      <c r="AE11" s="5"/>
      <c r="AF11" s="4"/>
      <c r="AG11" s="2"/>
      <c r="AH11" s="3"/>
      <c r="AI11" s="4"/>
      <c r="AJ11" s="5"/>
      <c r="AK11" s="4"/>
      <c r="AL11" s="5"/>
    </row>
    <row r="12" spans="1:38" ht="16.5" customHeight="1" x14ac:dyDescent="0.3">
      <c r="A12" s="22" t="s">
        <v>27</v>
      </c>
      <c r="B12" s="2"/>
      <c r="C12" s="3"/>
      <c r="D12" s="2"/>
      <c r="E12" s="3"/>
      <c r="F12" s="2"/>
      <c r="G12" s="3"/>
      <c r="H12" s="2"/>
      <c r="I12" s="3"/>
      <c r="J12" s="2"/>
      <c r="K12" s="3"/>
      <c r="L12" s="2"/>
      <c r="M12" s="3"/>
      <c r="N12" s="2"/>
      <c r="O12" s="3"/>
      <c r="P12" s="2"/>
      <c r="Q12" s="3"/>
      <c r="R12" s="2"/>
      <c r="S12" s="3"/>
      <c r="T12" s="2"/>
      <c r="U12" s="3"/>
      <c r="V12" s="2"/>
      <c r="W12" s="3"/>
      <c r="X12" s="2"/>
      <c r="Y12" s="3"/>
      <c r="Z12" s="2"/>
      <c r="AA12" s="3"/>
      <c r="AB12" s="2"/>
      <c r="AC12" s="3"/>
      <c r="AD12" s="4"/>
      <c r="AE12" s="5"/>
      <c r="AF12" s="4"/>
      <c r="AG12" s="2"/>
      <c r="AH12" s="3"/>
      <c r="AI12" s="4"/>
      <c r="AJ12" s="5"/>
      <c r="AK12" s="4"/>
      <c r="AL12" s="5"/>
    </row>
    <row r="13" spans="1:38" ht="16.5" hidden="1" customHeight="1" x14ac:dyDescent="0.3">
      <c r="A13" s="23" t="s">
        <v>28</v>
      </c>
      <c r="B13" s="7">
        <v>0</v>
      </c>
      <c r="C13" s="8">
        <f>IFERROR(B13/B148, "NA")</f>
        <v>0</v>
      </c>
      <c r="D13" s="7">
        <v>0</v>
      </c>
      <c r="E13" s="8">
        <f>IFERROR(D13/D148, "NA")</f>
        <v>0</v>
      </c>
      <c r="F13" s="7">
        <v>0</v>
      </c>
      <c r="G13" s="8">
        <f>IFERROR(F13/F148, "NA")</f>
        <v>0</v>
      </c>
      <c r="H13" s="7">
        <v>0</v>
      </c>
      <c r="I13" s="8">
        <f>IFERROR(H13/H148, "NA")</f>
        <v>0</v>
      </c>
      <c r="J13" s="7">
        <v>0</v>
      </c>
      <c r="K13" s="8">
        <f>IFERROR(J13/J148, "NA")</f>
        <v>0</v>
      </c>
      <c r="L13" s="7">
        <v>0</v>
      </c>
      <c r="M13" s="8">
        <f>IFERROR(L13/L148, "NA")</f>
        <v>0</v>
      </c>
      <c r="N13" s="7">
        <v>0</v>
      </c>
      <c r="O13" s="8">
        <f>IFERROR(N13/N148, "NA")</f>
        <v>0</v>
      </c>
      <c r="P13" s="7">
        <v>0</v>
      </c>
      <c r="Q13" s="8">
        <f>IFERROR(P13/P148, "NA")</f>
        <v>0</v>
      </c>
      <c r="R13" s="7">
        <v>0</v>
      </c>
      <c r="S13" s="8">
        <f>IFERROR(R13/R148, "NA")</f>
        <v>0</v>
      </c>
      <c r="T13" s="7">
        <v>0</v>
      </c>
      <c r="U13" s="8">
        <f>IFERROR(T13/T148, "NA")</f>
        <v>0</v>
      </c>
      <c r="V13" s="7">
        <v>0</v>
      </c>
      <c r="W13" s="8">
        <f>IFERROR(V13/V148, "NA")</f>
        <v>0</v>
      </c>
      <c r="X13" s="7">
        <v>0</v>
      </c>
      <c r="Y13" s="8">
        <f>IFERROR(X13/X148, "NA")</f>
        <v>0</v>
      </c>
      <c r="Z13" s="7">
        <v>0</v>
      </c>
      <c r="AA13" s="8">
        <f>IFERROR(Z13/Z148, "NA")</f>
        <v>0</v>
      </c>
      <c r="AB13" s="9">
        <f>IFERROR((R13+T13+V13+X13)/4, "NA")</f>
        <v>0</v>
      </c>
      <c r="AC13" s="8">
        <f>IFERROR(AB13/AB148, "NA")</f>
        <v>0</v>
      </c>
      <c r="AD13" s="10">
        <f>IFERROR(X13-AB13, "NA")</f>
        <v>0</v>
      </c>
      <c r="AE13" s="11">
        <f>IFERROR(AD13/AD148, "NA")</f>
        <v>0</v>
      </c>
      <c r="AF13" s="10" t="str">
        <f>IFERROR((X13-AB13)/AB13, "NA")</f>
        <v>NA</v>
      </c>
      <c r="AG13" s="9">
        <f>IFERROR((J13+L13+N13+P13+R13+T13+V13+X13)/8, "NA")</f>
        <v>0</v>
      </c>
      <c r="AH13" s="8">
        <f>IFERROR(AG13/AG148, "NA")</f>
        <v>0</v>
      </c>
      <c r="AI13" s="10">
        <f>IFERROR(X13-AG13, "NA")</f>
        <v>0</v>
      </c>
      <c r="AJ13" s="11">
        <f>IFERROR(AI13/AI148, "NA")</f>
        <v>0</v>
      </c>
      <c r="AK13" s="10" t="str">
        <f>IFERROR((X13-AG13)/AG13, "NA")</f>
        <v>NA</v>
      </c>
      <c r="AL13" s="11" t="str">
        <f>IFERROR(AK13/AK148, "NA")</f>
        <v>NA</v>
      </c>
    </row>
    <row r="14" spans="1:38" ht="16.5" customHeight="1" x14ac:dyDescent="0.3">
      <c r="A14" s="24" t="s">
        <v>29</v>
      </c>
      <c r="B14" s="2"/>
      <c r="C14" s="3"/>
      <c r="D14" s="2"/>
      <c r="E14" s="3"/>
      <c r="F14" s="2"/>
      <c r="G14" s="3"/>
      <c r="H14" s="2"/>
      <c r="I14" s="3"/>
      <c r="J14" s="2"/>
      <c r="K14" s="3"/>
      <c r="L14" s="2"/>
      <c r="M14" s="3"/>
      <c r="N14" s="2"/>
      <c r="O14" s="3"/>
      <c r="P14" s="2"/>
      <c r="Q14" s="3"/>
      <c r="R14" s="2"/>
      <c r="S14" s="3"/>
      <c r="T14" s="2"/>
      <c r="U14" s="3"/>
      <c r="V14" s="2"/>
      <c r="W14" s="3"/>
      <c r="X14" s="2"/>
      <c r="Y14" s="3"/>
      <c r="Z14" s="2"/>
      <c r="AA14" s="3"/>
      <c r="AB14" s="2"/>
      <c r="AC14" s="3"/>
      <c r="AD14" s="4"/>
      <c r="AE14" s="5"/>
      <c r="AF14" s="4"/>
      <c r="AG14" s="2"/>
      <c r="AH14" s="3"/>
      <c r="AI14" s="4"/>
      <c r="AJ14" s="5"/>
      <c r="AK14" s="4"/>
      <c r="AL14" s="5"/>
    </row>
    <row r="15" spans="1:38" ht="16.5" hidden="1" customHeight="1" x14ac:dyDescent="0.3">
      <c r="A15" s="25" t="s">
        <v>30</v>
      </c>
      <c r="B15" s="7">
        <v>0</v>
      </c>
      <c r="C15" s="8">
        <f>IFERROR(B15/B148, "NA")</f>
        <v>0</v>
      </c>
      <c r="D15" s="7">
        <v>0</v>
      </c>
      <c r="E15" s="8">
        <f>IFERROR(D15/D148, "NA")</f>
        <v>0</v>
      </c>
      <c r="F15" s="7">
        <v>0</v>
      </c>
      <c r="G15" s="8">
        <f>IFERROR(F15/F148, "NA")</f>
        <v>0</v>
      </c>
      <c r="H15" s="7">
        <v>0</v>
      </c>
      <c r="I15" s="8">
        <f>IFERROR(H15/H148, "NA")</f>
        <v>0</v>
      </c>
      <c r="J15" s="7">
        <v>0</v>
      </c>
      <c r="K15" s="8">
        <f>IFERROR(J15/J148, "NA")</f>
        <v>0</v>
      </c>
      <c r="L15" s="7">
        <v>0</v>
      </c>
      <c r="M15" s="8">
        <f>IFERROR(L15/L148, "NA")</f>
        <v>0</v>
      </c>
      <c r="N15" s="7">
        <v>0</v>
      </c>
      <c r="O15" s="8">
        <f>IFERROR(N15/N148, "NA")</f>
        <v>0</v>
      </c>
      <c r="P15" s="7">
        <v>0</v>
      </c>
      <c r="Q15" s="8">
        <f>IFERROR(P15/P148, "NA")</f>
        <v>0</v>
      </c>
      <c r="R15" s="7">
        <v>0</v>
      </c>
      <c r="S15" s="8">
        <f>IFERROR(R15/R148, "NA")</f>
        <v>0</v>
      </c>
      <c r="T15" s="7">
        <v>0</v>
      </c>
      <c r="U15" s="8">
        <f>IFERROR(T15/T148, "NA")</f>
        <v>0</v>
      </c>
      <c r="V15" s="7">
        <v>0</v>
      </c>
      <c r="W15" s="8">
        <f>IFERROR(V15/V148, "NA")</f>
        <v>0</v>
      </c>
      <c r="X15" s="7">
        <v>0</v>
      </c>
      <c r="Y15" s="8">
        <f>IFERROR(X15/X148, "NA")</f>
        <v>0</v>
      </c>
      <c r="Z15" s="7">
        <v>0</v>
      </c>
      <c r="AA15" s="8">
        <f>IFERROR(Z15/Z148, "NA")</f>
        <v>0</v>
      </c>
      <c r="AB15" s="9">
        <f t="shared" ref="AB15:AB27" si="0">IFERROR((R15+T15+V15+X15)/4, "NA")</f>
        <v>0</v>
      </c>
      <c r="AC15" s="8">
        <f>IFERROR(AB15/AB148, "NA")</f>
        <v>0</v>
      </c>
      <c r="AD15" s="10">
        <f t="shared" ref="AD15:AD27" si="1">IFERROR(X15-AB15, "NA")</f>
        <v>0</v>
      </c>
      <c r="AE15" s="11">
        <f>IFERROR(AD15/AD148, "NA")</f>
        <v>0</v>
      </c>
      <c r="AF15" s="10" t="str">
        <f t="shared" ref="AF15:AF27" si="2">IFERROR((X15-AB15)/AB15, "NA")</f>
        <v>NA</v>
      </c>
      <c r="AG15" s="9">
        <f t="shared" ref="AG15:AG27" si="3">IFERROR((J15+L15+N15+P15+R15+T15+V15+X15)/8, "NA")</f>
        <v>0</v>
      </c>
      <c r="AH15" s="8">
        <f>IFERROR(AG15/AG148, "NA")</f>
        <v>0</v>
      </c>
      <c r="AI15" s="10">
        <f t="shared" ref="AI15:AI27" si="4">IFERROR(X15-AG15, "NA")</f>
        <v>0</v>
      </c>
      <c r="AJ15" s="11">
        <f>IFERROR(AI15/AI148, "NA")</f>
        <v>0</v>
      </c>
      <c r="AK15" s="10" t="str">
        <f t="shared" ref="AK15:AK27" si="5">IFERROR((X15-AG15)/AG15, "NA")</f>
        <v>NA</v>
      </c>
      <c r="AL15" s="11" t="str">
        <f>IFERROR(AK15/AK148, "NA")</f>
        <v>NA</v>
      </c>
    </row>
    <row r="16" spans="1:38" ht="16.5" customHeight="1" x14ac:dyDescent="0.3">
      <c r="A16" s="25" t="s">
        <v>31</v>
      </c>
      <c r="B16" s="7">
        <v>6288.7999999999993</v>
      </c>
      <c r="C16" s="8">
        <f>IFERROR(B16/B148, "NA")</f>
        <v>5.2489236609957177E-2</v>
      </c>
      <c r="D16" s="7">
        <v>6859.92</v>
      </c>
      <c r="E16" s="8">
        <f>IFERROR(D16/D148, "NA")</f>
        <v>5.4692735261032903E-2</v>
      </c>
      <c r="F16" s="7">
        <v>6504.17</v>
      </c>
      <c r="G16" s="8">
        <f>IFERROR(F16/F148, "NA")</f>
        <v>4.8559810699334086E-2</v>
      </c>
      <c r="H16" s="7">
        <v>6787.8099999999995</v>
      </c>
      <c r="I16" s="8">
        <f>IFERROR(H16/H148, "NA")</f>
        <v>5.3027387678083814E-2</v>
      </c>
      <c r="J16" s="7">
        <v>6323.0599999999995</v>
      </c>
      <c r="K16" s="8">
        <f>IFERROR(J16/J148, "NA")</f>
        <v>5.461966270194852E-2</v>
      </c>
      <c r="L16" s="7">
        <v>6116.04</v>
      </c>
      <c r="M16" s="8">
        <f>IFERROR(L16/L148, "NA")</f>
        <v>4.5240040635883216E-2</v>
      </c>
      <c r="N16" s="7">
        <v>5910.54</v>
      </c>
      <c r="O16" s="8">
        <f>IFERROR(N16/N148, "NA")</f>
        <v>4.6630776609204547E-2</v>
      </c>
      <c r="P16" s="7">
        <v>5996.81</v>
      </c>
      <c r="Q16" s="8">
        <f>IFERROR(P16/P148, "NA")</f>
        <v>4.3862375297846819E-2</v>
      </c>
      <c r="R16" s="7">
        <v>6977.5599999999995</v>
      </c>
      <c r="S16" s="8">
        <f>IFERROR(R16/R148, "NA")</f>
        <v>4.6612625656771413E-2</v>
      </c>
      <c r="T16" s="7">
        <v>5125.6900000000005</v>
      </c>
      <c r="U16" s="8">
        <f>IFERROR(T16/T148, "NA")</f>
        <v>4.1639333954576266E-2</v>
      </c>
      <c r="V16" s="7">
        <v>7452.2000000000007</v>
      </c>
      <c r="W16" s="8">
        <f>IFERROR(V16/V148, "NA")</f>
        <v>4.481434597887432E-2</v>
      </c>
      <c r="X16" s="7">
        <v>6999.16</v>
      </c>
      <c r="Y16" s="8">
        <f>IFERROR(X16/X148, "NA")</f>
        <v>4.2179050465757796E-2</v>
      </c>
      <c r="Z16" s="7">
        <v>19577.05</v>
      </c>
      <c r="AA16" s="8">
        <f>IFERROR(Z16/Z148, "NA")</f>
        <v>4.2995577728237803E-2</v>
      </c>
      <c r="AB16" s="9">
        <f t="shared" si="0"/>
        <v>6638.6525000000001</v>
      </c>
      <c r="AC16" s="8">
        <f>IFERROR(AB16/AB148, "NA")</f>
        <v>4.389049907560838E-2</v>
      </c>
      <c r="AD16" s="10">
        <f t="shared" si="1"/>
        <v>360.50749999999971</v>
      </c>
      <c r="AE16" s="11">
        <f>IFERROR(AD16/AD148, "NA")</f>
        <v>2.4550435880345504E-2</v>
      </c>
      <c r="AF16" s="10">
        <f t="shared" si="2"/>
        <v>5.4304318534521834E-2</v>
      </c>
      <c r="AG16" s="9">
        <f t="shared" si="3"/>
        <v>6362.6325000000015</v>
      </c>
      <c r="AH16" s="8">
        <f>IFERROR(AG16/AG148, "NA")</f>
        <v>4.5469851722060188E-2</v>
      </c>
      <c r="AI16" s="10">
        <f t="shared" si="4"/>
        <v>636.52749999999833</v>
      </c>
      <c r="AJ16" s="11">
        <f>IFERROR(AI16/AI148, "NA")</f>
        <v>2.4473868209395701E-2</v>
      </c>
      <c r="AK16" s="10">
        <f t="shared" si="5"/>
        <v>0.10004153155160198</v>
      </c>
      <c r="AL16" s="11">
        <f>IFERROR(AK16/AK148, "NA")</f>
        <v>0.53824385350968584</v>
      </c>
    </row>
    <row r="17" spans="1:38" ht="16.5" customHeight="1" x14ac:dyDescent="0.3">
      <c r="A17" s="25" t="s">
        <v>32</v>
      </c>
      <c r="B17" s="7">
        <v>3355.38</v>
      </c>
      <c r="C17" s="8">
        <f>IFERROR(B17/B148, "NA")</f>
        <v>2.8005555071924395E-2</v>
      </c>
      <c r="D17" s="7">
        <v>3211.34</v>
      </c>
      <c r="E17" s="8">
        <f>IFERROR(D17/D148, "NA")</f>
        <v>2.5603355207227695E-2</v>
      </c>
      <c r="F17" s="7">
        <v>3450.26</v>
      </c>
      <c r="G17" s="8">
        <f>IFERROR(F17/F148, "NA")</f>
        <v>2.5759470072812433E-2</v>
      </c>
      <c r="H17" s="7">
        <v>3404.3</v>
      </c>
      <c r="I17" s="8">
        <f>IFERROR(H17/H148, "NA")</f>
        <v>2.6594901134902236E-2</v>
      </c>
      <c r="J17" s="7">
        <v>3032.23</v>
      </c>
      <c r="K17" s="8">
        <f>IFERROR(J17/J148, "NA")</f>
        <v>2.6192916061958827E-2</v>
      </c>
      <c r="L17" s="7">
        <v>3689.61</v>
      </c>
      <c r="M17" s="8">
        <f>IFERROR(L17/L148, "NA")</f>
        <v>2.7291859819517383E-2</v>
      </c>
      <c r="N17" s="7">
        <v>3583.66</v>
      </c>
      <c r="O17" s="8">
        <f>IFERROR(N17/N148, "NA")</f>
        <v>2.8273025629357379E-2</v>
      </c>
      <c r="P17" s="7">
        <v>3246.62</v>
      </c>
      <c r="Q17" s="8">
        <f>IFERROR(P17/P148, "NA")</f>
        <v>2.3746702811910905E-2</v>
      </c>
      <c r="R17" s="7">
        <v>3501.02</v>
      </c>
      <c r="S17" s="8">
        <f>IFERROR(R17/R148, "NA")</f>
        <v>2.3388080457476521E-2</v>
      </c>
      <c r="T17" s="7">
        <v>3185.6899999999996</v>
      </c>
      <c r="U17" s="8">
        <f>IFERROR(T17/T148, "NA")</f>
        <v>2.587944448176812E-2</v>
      </c>
      <c r="V17" s="7">
        <v>3951.9399999999996</v>
      </c>
      <c r="W17" s="8">
        <f>IFERROR(V17/V148, "NA")</f>
        <v>2.3765278232971816E-2</v>
      </c>
      <c r="X17" s="7">
        <v>4358.68</v>
      </c>
      <c r="Y17" s="8">
        <f>IFERROR(X17/X148, "NA")</f>
        <v>2.6266721104259542E-2</v>
      </c>
      <c r="Z17" s="7">
        <v>11496.310000000001</v>
      </c>
      <c r="AA17" s="8">
        <f>IFERROR(Z17/Z148, "NA")</f>
        <v>2.5248466453981454E-2</v>
      </c>
      <c r="AB17" s="9">
        <f t="shared" si="0"/>
        <v>3749.3324999999995</v>
      </c>
      <c r="AC17" s="8">
        <f>IFERROR(AB17/AB148, "NA")</f>
        <v>2.478817420032129E-2</v>
      </c>
      <c r="AD17" s="10">
        <f t="shared" si="1"/>
        <v>609.34750000000076</v>
      </c>
      <c r="AE17" s="11">
        <f>IFERROR(AD17/AD148, "NA")</f>
        <v>4.1496353689171137E-2</v>
      </c>
      <c r="AF17" s="10">
        <f t="shared" si="2"/>
        <v>0.16252159551066778</v>
      </c>
      <c r="AG17" s="9">
        <f t="shared" si="3"/>
        <v>3568.6812499999996</v>
      </c>
      <c r="AH17" s="8">
        <f>IFERROR(AG17/AG148, "NA")</f>
        <v>2.5503187129037604E-2</v>
      </c>
      <c r="AI17" s="10">
        <f t="shared" si="4"/>
        <v>789.99875000000065</v>
      </c>
      <c r="AJ17" s="11">
        <f>IFERROR(AI17/AI148, "NA")</f>
        <v>3.0374689692255884E-2</v>
      </c>
      <c r="AK17" s="10">
        <f t="shared" si="5"/>
        <v>0.22136993882544168</v>
      </c>
      <c r="AL17" s="11">
        <f>IFERROR(AK17/AK148, "NA")</f>
        <v>1.1910154420531875</v>
      </c>
    </row>
    <row r="18" spans="1:38" ht="16.5" customHeight="1" x14ac:dyDescent="0.3">
      <c r="A18" s="25" t="s">
        <v>33</v>
      </c>
      <c r="B18" s="7">
        <v>4803.13</v>
      </c>
      <c r="C18" s="8">
        <f>IFERROR(B18/B148, "NA")</f>
        <v>4.0089146902172697E-2</v>
      </c>
      <c r="D18" s="7">
        <v>5726.9800000000005</v>
      </c>
      <c r="E18" s="8">
        <f>IFERROR(D18/D148, "NA")</f>
        <v>4.5660036995362953E-2</v>
      </c>
      <c r="F18" s="7">
        <v>5874.91</v>
      </c>
      <c r="G18" s="8">
        <f>IFERROR(F18/F148, "NA")</f>
        <v>4.3861786742293761E-2</v>
      </c>
      <c r="H18" s="7">
        <v>5328.2099999999991</v>
      </c>
      <c r="I18" s="8">
        <f>IFERROR(H18/H148, "NA")</f>
        <v>4.1624774014040307E-2</v>
      </c>
      <c r="J18" s="7">
        <v>5129.57</v>
      </c>
      <c r="K18" s="8">
        <f>IFERROR(J18/J148, "NA")</f>
        <v>4.4310094037702329E-2</v>
      </c>
      <c r="L18" s="7">
        <v>6555.1100000000006</v>
      </c>
      <c r="M18" s="8">
        <f>IFERROR(L18/L148, "NA")</f>
        <v>4.8487819368853782E-2</v>
      </c>
      <c r="N18" s="7">
        <v>5450.2</v>
      </c>
      <c r="O18" s="8">
        <f>IFERROR(N18/N148, "NA")</f>
        <v>4.2998957569949044E-2</v>
      </c>
      <c r="P18" s="7">
        <v>5725.9</v>
      </c>
      <c r="Q18" s="8">
        <f>IFERROR(P18/P148, "NA")</f>
        <v>4.1880862444856691E-2</v>
      </c>
      <c r="R18" s="7">
        <v>6431.6100000000006</v>
      </c>
      <c r="S18" s="8">
        <f>IFERROR(R18/R148, "NA")</f>
        <v>4.2965482102675957E-2</v>
      </c>
      <c r="T18" s="7">
        <v>4078.89</v>
      </c>
      <c r="U18" s="8">
        <f>IFERROR(T18/T148, "NA")</f>
        <v>3.3135492562753811E-2</v>
      </c>
      <c r="V18" s="7">
        <v>6017.6</v>
      </c>
      <c r="W18" s="8">
        <f>IFERROR(V18/V148, "NA")</f>
        <v>3.6187274678950394E-2</v>
      </c>
      <c r="X18" s="7">
        <v>5179.7900000000009</v>
      </c>
      <c r="Y18" s="8">
        <f>IFERROR(X18/X148, "NA")</f>
        <v>3.1214977770479262E-2</v>
      </c>
      <c r="Z18" s="7">
        <v>15276.279999999999</v>
      </c>
      <c r="AA18" s="8">
        <f>IFERROR(Z18/Z148, "NA")</f>
        <v>3.3550125485623451E-2</v>
      </c>
      <c r="AB18" s="9">
        <f t="shared" si="0"/>
        <v>5426.9724999999999</v>
      </c>
      <c r="AC18" s="8">
        <f>IFERROR(AB18/AB148, "NA")</f>
        <v>3.5879650500549934E-2</v>
      </c>
      <c r="AD18" s="10">
        <f t="shared" si="1"/>
        <v>-247.18249999999898</v>
      </c>
      <c r="AE18" s="11">
        <f>IFERROR(AD18/AD148, "NA")</f>
        <v>-1.6833042632936852E-2</v>
      </c>
      <c r="AF18" s="10">
        <f t="shared" si="2"/>
        <v>-4.5547033820421787E-2</v>
      </c>
      <c r="AG18" s="9">
        <f t="shared" si="3"/>
        <v>5571.0837499999998</v>
      </c>
      <c r="AH18" s="8">
        <f>IFERROR(AG18/AG148, "NA")</f>
        <v>3.9813135843328837E-2</v>
      </c>
      <c r="AI18" s="10">
        <f t="shared" si="4"/>
        <v>-391.29374999999891</v>
      </c>
      <c r="AJ18" s="11">
        <f>IFERROR(AI18/AI148, "NA")</f>
        <v>-1.5044867140320295E-2</v>
      </c>
      <c r="AK18" s="10">
        <f t="shared" si="5"/>
        <v>-7.0236558551107567E-2</v>
      </c>
      <c r="AL18" s="11">
        <f>IFERROR(AK18/AK148, "NA")</f>
        <v>-0.37788701697661531</v>
      </c>
    </row>
    <row r="19" spans="1:38" ht="16.5" customHeight="1" x14ac:dyDescent="0.3">
      <c r="A19" s="25" t="s">
        <v>34</v>
      </c>
      <c r="B19" s="7">
        <v>3021.33</v>
      </c>
      <c r="C19" s="8">
        <f>IFERROR(B19/B148, "NA")</f>
        <v>2.5217419101698564E-2</v>
      </c>
      <c r="D19" s="7">
        <v>2538.79</v>
      </c>
      <c r="E19" s="8">
        <f>IFERROR(D19/D148, "NA")</f>
        <v>2.024125199030859E-2</v>
      </c>
      <c r="F19" s="7">
        <v>2914.2799999999997</v>
      </c>
      <c r="G19" s="8">
        <f>IFERROR(F19/F148, "NA")</f>
        <v>2.1757869970319862E-2</v>
      </c>
      <c r="H19" s="7">
        <v>3118.6400000000003</v>
      </c>
      <c r="I19" s="8">
        <f>IFERROR(H19/H148, "NA")</f>
        <v>2.436328245905223E-2</v>
      </c>
      <c r="J19" s="7">
        <v>2565.11</v>
      </c>
      <c r="K19" s="8">
        <f>IFERROR(J19/J148, "NA")</f>
        <v>2.2157854423869961E-2</v>
      </c>
      <c r="L19" s="7">
        <v>3171.0200000000004</v>
      </c>
      <c r="M19" s="8">
        <f>IFERROR(L19/L148, "NA")</f>
        <v>2.3455875641297051E-2</v>
      </c>
      <c r="N19" s="7">
        <v>2551.67</v>
      </c>
      <c r="O19" s="8">
        <f>IFERROR(N19/N148, "NA")</f>
        <v>2.0131215379713015E-2</v>
      </c>
      <c r="P19" s="7">
        <v>2978.3099999999995</v>
      </c>
      <c r="Q19" s="8">
        <f>IFERROR(P19/P148, "NA")</f>
        <v>2.1784207098995988E-2</v>
      </c>
      <c r="R19" s="7">
        <v>2756.3999999999996</v>
      </c>
      <c r="S19" s="8">
        <f>IFERROR(R19/R148, "NA")</f>
        <v>1.8413749413881748E-2</v>
      </c>
      <c r="T19" s="7">
        <v>2706.55</v>
      </c>
      <c r="U19" s="8">
        <f>IFERROR(T19/T148, "NA")</f>
        <v>2.1987076728159211E-2</v>
      </c>
      <c r="V19" s="7">
        <v>2960.49</v>
      </c>
      <c r="W19" s="8">
        <f>IFERROR(V19/V148, "NA")</f>
        <v>1.7803121645554015E-2</v>
      </c>
      <c r="X19" s="7">
        <v>3341.6299999999997</v>
      </c>
      <c r="Y19" s="8">
        <f>IFERROR(X19/X148, "NA")</f>
        <v>2.0137670864488057E-2</v>
      </c>
      <c r="Z19" s="7">
        <v>9008.67</v>
      </c>
      <c r="AA19" s="8">
        <f>IFERROR(Z19/Z148, "NA")</f>
        <v>1.9785052968299313E-2</v>
      </c>
      <c r="AB19" s="9">
        <f t="shared" si="0"/>
        <v>2941.2674999999995</v>
      </c>
      <c r="AC19" s="8">
        <f>IFERROR(AB19/AB148, "NA")</f>
        <v>1.9445768322693038E-2</v>
      </c>
      <c r="AD19" s="10">
        <f t="shared" si="1"/>
        <v>400.36250000000018</v>
      </c>
      <c r="AE19" s="11">
        <f>IFERROR(AD19/AD148, "NA")</f>
        <v>2.7264547575694926E-2</v>
      </c>
      <c r="AF19" s="10">
        <f t="shared" si="2"/>
        <v>0.13611903711580134</v>
      </c>
      <c r="AG19" s="9">
        <f t="shared" si="3"/>
        <v>2878.8975000000005</v>
      </c>
      <c r="AH19" s="8">
        <f>IFERROR(AG19/AG148, "NA")</f>
        <v>2.0573723603871472E-2</v>
      </c>
      <c r="AI19" s="10">
        <f t="shared" si="4"/>
        <v>462.73249999999916</v>
      </c>
      <c r="AJ19" s="11">
        <f>IFERROR(AI19/AI148, "NA")</f>
        <v>1.7791618148790437E-2</v>
      </c>
      <c r="AK19" s="10">
        <f t="shared" si="5"/>
        <v>0.16073253736890566</v>
      </c>
      <c r="AL19" s="11">
        <f>IFERROR(AK19/AK148, "NA")</f>
        <v>0.86477384898096366</v>
      </c>
    </row>
    <row r="20" spans="1:38" ht="16.5" customHeight="1" x14ac:dyDescent="0.3">
      <c r="A20" s="25" t="s">
        <v>35</v>
      </c>
      <c r="B20" s="7">
        <v>1587.17</v>
      </c>
      <c r="C20" s="8">
        <f>IFERROR(B20/B148, "NA")</f>
        <v>1.3247255703826762E-2</v>
      </c>
      <c r="D20" s="7">
        <v>1233.6199999999999</v>
      </c>
      <c r="E20" s="8">
        <f>IFERROR(D20/D148, "NA")</f>
        <v>9.8353992572384804E-3</v>
      </c>
      <c r="F20" s="7">
        <v>1651.8000000000002</v>
      </c>
      <c r="G20" s="8">
        <f>IFERROR(F20/F148, "NA")</f>
        <v>1.2332256892602754E-2</v>
      </c>
      <c r="H20" s="7">
        <v>1651.3</v>
      </c>
      <c r="I20" s="8">
        <f>IFERROR(H20/H148, "NA")</f>
        <v>1.2900202756532638E-2</v>
      </c>
      <c r="J20" s="7">
        <v>1482.24</v>
      </c>
      <c r="K20" s="8">
        <f>IFERROR(J20/J148, "NA")</f>
        <v>1.2803840046328232E-2</v>
      </c>
      <c r="L20" s="7">
        <v>1780.38</v>
      </c>
      <c r="M20" s="8">
        <f>IFERROR(L20/L148, "NA")</f>
        <v>1.3169381421199628E-2</v>
      </c>
      <c r="N20" s="7">
        <v>1421.23</v>
      </c>
      <c r="O20" s="8">
        <f>IFERROR(N20/N148, "NA")</f>
        <v>1.121269099613568E-2</v>
      </c>
      <c r="P20" s="7">
        <v>1622.16</v>
      </c>
      <c r="Q20" s="8">
        <f>IFERROR(P20/P148, "NA")</f>
        <v>1.1864939978614496E-2</v>
      </c>
      <c r="R20" s="7">
        <v>1663.08</v>
      </c>
      <c r="S20" s="8">
        <f>IFERROR(R20/R148, "NA")</f>
        <v>1.1109976191858387E-2</v>
      </c>
      <c r="T20" s="7">
        <v>1486.54</v>
      </c>
      <c r="U20" s="8">
        <f>IFERROR(T20/T148, "NA")</f>
        <v>1.2076137163354747E-2</v>
      </c>
      <c r="V20" s="7">
        <v>2019.0300000000002</v>
      </c>
      <c r="W20" s="8">
        <f>IFERROR(V20/V148, "NA")</f>
        <v>1.2141583554081563E-2</v>
      </c>
      <c r="X20" s="7">
        <v>1618.86</v>
      </c>
      <c r="Y20" s="8">
        <f>IFERROR(X20/X148, "NA")</f>
        <v>9.7557389225273704E-3</v>
      </c>
      <c r="Z20" s="7">
        <v>5124.4299999999994</v>
      </c>
      <c r="AA20" s="8">
        <f>IFERROR(Z20/Z148, "NA")</f>
        <v>1.1254393709875269E-2</v>
      </c>
      <c r="AB20" s="9">
        <f t="shared" si="0"/>
        <v>1696.8774999999998</v>
      </c>
      <c r="AC20" s="8">
        <f>IFERROR(AB20/AB148, "NA")</f>
        <v>1.1218662272979442E-2</v>
      </c>
      <c r="AD20" s="10">
        <f t="shared" si="1"/>
        <v>-78.017499999999927</v>
      </c>
      <c r="AE20" s="11">
        <f>IFERROR(AD20/AD148, "NA")</f>
        <v>-5.3129647269331568E-3</v>
      </c>
      <c r="AF20" s="10">
        <f t="shared" si="2"/>
        <v>-4.5977096166340783E-2</v>
      </c>
      <c r="AG20" s="9">
        <f t="shared" si="3"/>
        <v>1636.6900000000003</v>
      </c>
      <c r="AH20" s="8">
        <f>IFERROR(AG20/AG148, "NA")</f>
        <v>1.1696424650485263E-2</v>
      </c>
      <c r="AI20" s="10">
        <f t="shared" si="4"/>
        <v>-17.830000000000382</v>
      </c>
      <c r="AJ20" s="11">
        <f>IFERROR(AI20/AI148, "NA")</f>
        <v>-6.8554629638709378E-4</v>
      </c>
      <c r="AK20" s="10">
        <f t="shared" si="5"/>
        <v>-1.0893938375624204E-2</v>
      </c>
      <c r="AL20" s="11">
        <f>IFERROR(AK20/AK148, "NA")</f>
        <v>-5.861161140029672E-2</v>
      </c>
    </row>
    <row r="21" spans="1:38" ht="16.5" customHeight="1" x14ac:dyDescent="0.3">
      <c r="A21" s="25" t="s">
        <v>36</v>
      </c>
      <c r="B21" s="7">
        <v>997.99999999999989</v>
      </c>
      <c r="C21" s="8">
        <f>IFERROR(B21/B148, "NA")</f>
        <v>8.3297700891644295E-3</v>
      </c>
      <c r="D21" s="7">
        <v>901.7</v>
      </c>
      <c r="E21" s="8">
        <f>IFERROR(D21/D148, "NA")</f>
        <v>7.1890691706132676E-3</v>
      </c>
      <c r="F21" s="7">
        <v>906.3</v>
      </c>
      <c r="G21" s="8">
        <f>IFERROR(F21/F148, "NA")</f>
        <v>6.7663908595265009E-3</v>
      </c>
      <c r="H21" s="7">
        <v>1025.3</v>
      </c>
      <c r="I21" s="8">
        <f>IFERROR(H21/H148, "NA")</f>
        <v>8.0097970606630604E-3</v>
      </c>
      <c r="J21" s="7">
        <v>1010.49</v>
      </c>
      <c r="K21" s="8">
        <f>IFERROR(J21/J148, "NA")</f>
        <v>8.728783684433165E-3</v>
      </c>
      <c r="L21" s="7">
        <v>1105.0700000000002</v>
      </c>
      <c r="M21" s="8">
        <f>IFERROR(L21/L148, "NA")</f>
        <v>8.1741472759327069E-3</v>
      </c>
      <c r="N21" s="7">
        <v>901.98</v>
      </c>
      <c r="O21" s="8">
        <f>IFERROR(N21/N148, "NA")</f>
        <v>7.1161057849147991E-3</v>
      </c>
      <c r="P21" s="7">
        <v>1168.3899999999999</v>
      </c>
      <c r="Q21" s="8">
        <f>IFERROR(P21/P148, "NA")</f>
        <v>8.5459370355657812E-3</v>
      </c>
      <c r="R21" s="7">
        <v>842.56</v>
      </c>
      <c r="S21" s="8">
        <f>IFERROR(R21/R148, "NA")</f>
        <v>5.6286056835583393E-3</v>
      </c>
      <c r="T21" s="7">
        <v>995.38</v>
      </c>
      <c r="U21" s="8">
        <f>IFERROR(T21/T148, "NA")</f>
        <v>8.0861230842493633E-3</v>
      </c>
      <c r="V21" s="7">
        <v>1375.1399999999999</v>
      </c>
      <c r="W21" s="8">
        <f>IFERROR(V21/V148, "NA")</f>
        <v>8.2695042711399616E-3</v>
      </c>
      <c r="X21" s="7">
        <v>1183.1300000000001</v>
      </c>
      <c r="Y21" s="8">
        <f>IFERROR(X21/X148, "NA")</f>
        <v>7.1298984417490141E-3</v>
      </c>
      <c r="Z21" s="7">
        <v>3553.65</v>
      </c>
      <c r="AA21" s="8">
        <f>IFERROR(Z21/Z148, "NA")</f>
        <v>7.8046097238323592E-3</v>
      </c>
      <c r="AB21" s="9">
        <f t="shared" si="0"/>
        <v>1099.0525</v>
      </c>
      <c r="AC21" s="8">
        <f>IFERROR(AB21/AB148, "NA")</f>
        <v>7.2662280086651741E-3</v>
      </c>
      <c r="AD21" s="10">
        <f t="shared" si="1"/>
        <v>84.0775000000001</v>
      </c>
      <c r="AE21" s="11">
        <f>IFERROR(AD21/AD148, "NA")</f>
        <v>5.7256486279196779E-3</v>
      </c>
      <c r="AF21" s="10">
        <f t="shared" si="2"/>
        <v>7.6499985214537158E-2</v>
      </c>
      <c r="AG21" s="9">
        <f t="shared" si="3"/>
        <v>1072.7674999999999</v>
      </c>
      <c r="AH21" s="8">
        <f>IFERROR(AG21/AG148, "NA")</f>
        <v>7.6664146730532033E-3</v>
      </c>
      <c r="AI21" s="10">
        <f t="shared" si="4"/>
        <v>110.36250000000018</v>
      </c>
      <c r="AJ21" s="11">
        <f>IFERROR(AI21/AI148, "NA")</f>
        <v>4.2433316396533445E-3</v>
      </c>
      <c r="AK21" s="10">
        <f t="shared" si="5"/>
        <v>0.10287643874371678</v>
      </c>
      <c r="AL21" s="11">
        <f>IFERROR(AK21/AK148, "NA")</f>
        <v>0.55349623267422454</v>
      </c>
    </row>
    <row r="22" spans="1:38" ht="16.5" hidden="1" customHeight="1" x14ac:dyDescent="0.3">
      <c r="A22" s="25" t="s">
        <v>37</v>
      </c>
      <c r="B22" s="7">
        <v>0</v>
      </c>
      <c r="C22" s="8">
        <f>IFERROR(B22/B148, "NA")</f>
        <v>0</v>
      </c>
      <c r="D22" s="7">
        <v>0</v>
      </c>
      <c r="E22" s="8">
        <f>IFERROR(D22/D148, "NA")</f>
        <v>0</v>
      </c>
      <c r="F22" s="7">
        <v>0</v>
      </c>
      <c r="G22" s="8">
        <f>IFERROR(F22/F148, "NA")</f>
        <v>0</v>
      </c>
      <c r="H22" s="7">
        <v>0</v>
      </c>
      <c r="I22" s="8">
        <f>IFERROR(H22/H148, "NA")</f>
        <v>0</v>
      </c>
      <c r="J22" s="7">
        <v>0</v>
      </c>
      <c r="K22" s="8">
        <f>IFERROR(J22/J148, "NA")</f>
        <v>0</v>
      </c>
      <c r="L22" s="7">
        <v>0</v>
      </c>
      <c r="M22" s="8">
        <f>IFERROR(L22/L148, "NA")</f>
        <v>0</v>
      </c>
      <c r="N22" s="7">
        <v>0</v>
      </c>
      <c r="O22" s="8">
        <f>IFERROR(N22/N148, "NA")</f>
        <v>0</v>
      </c>
      <c r="P22" s="7">
        <v>0</v>
      </c>
      <c r="Q22" s="8">
        <f>IFERROR(P22/P148, "NA")</f>
        <v>0</v>
      </c>
      <c r="R22" s="7">
        <v>0</v>
      </c>
      <c r="S22" s="8">
        <f>IFERROR(R22/R148, "NA")</f>
        <v>0</v>
      </c>
      <c r="T22" s="7">
        <v>0</v>
      </c>
      <c r="U22" s="8">
        <f>IFERROR(T22/T148, "NA")</f>
        <v>0</v>
      </c>
      <c r="V22" s="7">
        <v>0</v>
      </c>
      <c r="W22" s="8">
        <f>IFERROR(V22/V148, "NA")</f>
        <v>0</v>
      </c>
      <c r="X22" s="7">
        <v>0</v>
      </c>
      <c r="Y22" s="8">
        <f>IFERROR(X22/X148, "NA")</f>
        <v>0</v>
      </c>
      <c r="Z22" s="7">
        <v>0</v>
      </c>
      <c r="AA22" s="8">
        <f>IFERROR(Z22/Z148, "NA")</f>
        <v>0</v>
      </c>
      <c r="AB22" s="9">
        <f t="shared" si="0"/>
        <v>0</v>
      </c>
      <c r="AC22" s="8">
        <f>IFERROR(AB22/AB148, "NA")</f>
        <v>0</v>
      </c>
      <c r="AD22" s="10">
        <f t="shared" si="1"/>
        <v>0</v>
      </c>
      <c r="AE22" s="11">
        <f>IFERROR(AD22/AD148, "NA")</f>
        <v>0</v>
      </c>
      <c r="AF22" s="10" t="str">
        <f t="shared" si="2"/>
        <v>NA</v>
      </c>
      <c r="AG22" s="9">
        <f t="shared" si="3"/>
        <v>0</v>
      </c>
      <c r="AH22" s="8">
        <f>IFERROR(AG22/AG148, "NA")</f>
        <v>0</v>
      </c>
      <c r="AI22" s="10">
        <f t="shared" si="4"/>
        <v>0</v>
      </c>
      <c r="AJ22" s="11">
        <f>IFERROR(AI22/AI148, "NA")</f>
        <v>0</v>
      </c>
      <c r="AK22" s="10" t="str">
        <f t="shared" si="5"/>
        <v>NA</v>
      </c>
      <c r="AL22" s="11" t="str">
        <f>IFERROR(AK22/AK148, "NA")</f>
        <v>NA</v>
      </c>
    </row>
    <row r="23" spans="1:38" ht="16.5" customHeight="1" x14ac:dyDescent="0.3">
      <c r="A23" s="25" t="s">
        <v>38</v>
      </c>
      <c r="B23" s="7">
        <v>420.01</v>
      </c>
      <c r="C23" s="8">
        <f>IFERROR(B23/B148, "NA")</f>
        <v>3.5055979310119763E-3</v>
      </c>
      <c r="D23" s="7">
        <v>629.87000000000012</v>
      </c>
      <c r="E23" s="8">
        <f>IFERROR(D23/D148, "NA")</f>
        <v>5.0218243301476985E-3</v>
      </c>
      <c r="F23" s="7">
        <v>737.67000000000007</v>
      </c>
      <c r="G23" s="8">
        <f>IFERROR(F23/F148, "NA")</f>
        <v>5.5074076413405212E-3</v>
      </c>
      <c r="H23" s="7">
        <v>443.81</v>
      </c>
      <c r="I23" s="8">
        <f>IFERROR(H23/H148, "NA")</f>
        <v>3.4671101467793558E-3</v>
      </c>
      <c r="J23" s="7">
        <v>692.73</v>
      </c>
      <c r="K23" s="8">
        <f>IFERROR(J23/J148, "NA")</f>
        <v>5.9839190112889653E-3</v>
      </c>
      <c r="L23" s="7">
        <v>389.79</v>
      </c>
      <c r="M23" s="8">
        <f>IFERROR(L23/L148, "NA")</f>
        <v>2.8832570485904149E-3</v>
      </c>
      <c r="N23" s="7">
        <v>923.38</v>
      </c>
      <c r="O23" s="8">
        <f>IFERROR(N23/N148, "NA")</f>
        <v>7.2849395326666077E-3</v>
      </c>
      <c r="P23" s="7">
        <v>557.07000000000005</v>
      </c>
      <c r="Q23" s="8">
        <f>IFERROR(P23/P148, "NA")</f>
        <v>4.0745685468059735E-3</v>
      </c>
      <c r="R23" s="7">
        <v>1081.45</v>
      </c>
      <c r="S23" s="8">
        <f>IFERROR(R23/R148, "NA")</f>
        <v>7.2244773268184655E-3</v>
      </c>
      <c r="T23" s="7">
        <v>747.8</v>
      </c>
      <c r="U23" s="8">
        <f>IFERROR(T23/T148, "NA")</f>
        <v>6.0748687359618173E-3</v>
      </c>
      <c r="V23" s="7">
        <v>974.11</v>
      </c>
      <c r="W23" s="8">
        <f>IFERROR(V23/V148, "NA")</f>
        <v>5.8578812379540624E-3</v>
      </c>
      <c r="X23" s="7">
        <v>565.42000000000007</v>
      </c>
      <c r="Y23" s="8">
        <f>IFERROR(X23/X148, "NA")</f>
        <v>3.4073915604656527E-3</v>
      </c>
      <c r="Z23" s="7">
        <v>2287.33</v>
      </c>
      <c r="AA23" s="8">
        <f>IFERROR(Z23/Z148, "NA")</f>
        <v>5.0234879517154106E-3</v>
      </c>
      <c r="AB23" s="9">
        <f t="shared" si="0"/>
        <v>842.19500000000005</v>
      </c>
      <c r="AC23" s="8">
        <f>IFERROR(AB23/AB148, "NA")</f>
        <v>5.5680514786670939E-3</v>
      </c>
      <c r="AD23" s="10">
        <f t="shared" si="1"/>
        <v>-276.77499999999998</v>
      </c>
      <c r="AE23" s="11">
        <f>IFERROR(AD23/AD148, "NA")</f>
        <v>-1.8848281632927559E-2</v>
      </c>
      <c r="AF23" s="10">
        <f t="shared" si="2"/>
        <v>-0.32863529230166405</v>
      </c>
      <c r="AG23" s="9">
        <f t="shared" si="3"/>
        <v>741.46875</v>
      </c>
      <c r="AH23" s="8">
        <f>IFERROR(AG23/AG148, "NA")</f>
        <v>5.2988246797282899E-3</v>
      </c>
      <c r="AI23" s="10">
        <f t="shared" si="4"/>
        <v>-176.04874999999993</v>
      </c>
      <c r="AJ23" s="11">
        <f>IFERROR(AI23/AI148, "NA")</f>
        <v>-6.7689045735319538E-3</v>
      </c>
      <c r="AK23" s="10">
        <f t="shared" si="5"/>
        <v>-0.23743246090951228</v>
      </c>
      <c r="AL23" s="11">
        <f>IFERROR(AK23/AK148, "NA")</f>
        <v>-1.277435088469288</v>
      </c>
    </row>
    <row r="24" spans="1:38" ht="16.5" customHeight="1" x14ac:dyDescent="0.3">
      <c r="A24" s="25" t="s">
        <v>39</v>
      </c>
      <c r="B24" s="7">
        <v>6733.02</v>
      </c>
      <c r="C24" s="8">
        <f>IFERROR(B24/B148, "NA")</f>
        <v>5.6196902410567032E-2</v>
      </c>
      <c r="D24" s="7">
        <v>7306.61</v>
      </c>
      <c r="E24" s="8">
        <f>IFERROR(D24/D148, "NA")</f>
        <v>5.8254103019512705E-2</v>
      </c>
      <c r="F24" s="7">
        <v>8894.0499999999993</v>
      </c>
      <c r="G24" s="8">
        <f>IFERROR(F24/F148, "NA")</f>
        <v>6.6402536272946788E-2</v>
      </c>
      <c r="H24" s="7">
        <v>7095.6</v>
      </c>
      <c r="I24" s="8">
        <f>IFERROR(H24/H148, "NA")</f>
        <v>5.5431889226217522E-2</v>
      </c>
      <c r="J24" s="7">
        <v>6902.17</v>
      </c>
      <c r="K24" s="8">
        <f>IFERROR(J24/J148, "NA")</f>
        <v>5.9622112918667237E-2</v>
      </c>
      <c r="L24" s="7">
        <v>7504.86</v>
      </c>
      <c r="M24" s="8">
        <f>IFERROR(L24/L148, "NA")</f>
        <v>5.5513072407409783E-2</v>
      </c>
      <c r="N24" s="7">
        <v>6691.97</v>
      </c>
      <c r="O24" s="8">
        <f>IFERROR(N24/N148, "NA")</f>
        <v>5.2795811913209041E-2</v>
      </c>
      <c r="P24" s="7">
        <v>8455</v>
      </c>
      <c r="Q24" s="8">
        <f>IFERROR(P24/P148, "NA")</f>
        <v>6.1842276667644101E-2</v>
      </c>
      <c r="R24" s="7">
        <v>8234.26</v>
      </c>
      <c r="S24" s="8">
        <f>IFERROR(R24/R148, "NA")</f>
        <v>5.500783639847262E-2</v>
      </c>
      <c r="T24" s="7">
        <v>7440.5299999999988</v>
      </c>
      <c r="U24" s="8">
        <f>IFERROR(T24/T148, "NA")</f>
        <v>6.0444294030470684E-2</v>
      </c>
      <c r="V24" s="7">
        <v>8909.4499999999989</v>
      </c>
      <c r="W24" s="8">
        <f>IFERROR(V24/V148, "NA")</f>
        <v>5.3577624698945517E-2</v>
      </c>
      <c r="X24" s="7">
        <v>9034.5499999999993</v>
      </c>
      <c r="Y24" s="8">
        <f>IFERROR(X24/X148, "NA")</f>
        <v>5.4444924874615254E-2</v>
      </c>
      <c r="Z24" s="7">
        <v>25384.53</v>
      </c>
      <c r="AA24" s="8">
        <f>IFERROR(Z24/Z148, "NA")</f>
        <v>5.5750101915752602E-2</v>
      </c>
      <c r="AB24" s="9">
        <f t="shared" si="0"/>
        <v>8404.6974999999984</v>
      </c>
      <c r="AC24" s="8">
        <f>IFERROR(AB24/AB148, "NA")</f>
        <v>5.5566452356787463E-2</v>
      </c>
      <c r="AD24" s="10">
        <f t="shared" si="1"/>
        <v>629.85250000000087</v>
      </c>
      <c r="AE24" s="11">
        <f>IFERROR(AD24/AD148, "NA")</f>
        <v>4.2892737086816082E-2</v>
      </c>
      <c r="AF24" s="10">
        <f t="shared" si="2"/>
        <v>7.494053176809766E-2</v>
      </c>
      <c r="AG24" s="9">
        <f t="shared" si="3"/>
        <v>7896.5987499999992</v>
      </c>
      <c r="AH24" s="8">
        <f>IFERROR(AG24/AG148, "NA")</f>
        <v>5.6432172417801234E-2</v>
      </c>
      <c r="AI24" s="10">
        <f t="shared" si="4"/>
        <v>1137.9512500000001</v>
      </c>
      <c r="AJ24" s="11">
        <f>IFERROR(AI24/AI148, "NA")</f>
        <v>4.3753127588701465E-2</v>
      </c>
      <c r="AK24" s="10">
        <f t="shared" si="5"/>
        <v>0.14410650534826785</v>
      </c>
      <c r="AL24" s="11">
        <f>IFERROR(AK24/AK148, "NA")</f>
        <v>0.77532240412030951</v>
      </c>
    </row>
    <row r="25" spans="1:38" ht="16.5" hidden="1" customHeight="1" x14ac:dyDescent="0.3">
      <c r="A25" s="25" t="s">
        <v>40</v>
      </c>
      <c r="B25" s="7">
        <v>0</v>
      </c>
      <c r="C25" s="8">
        <f>IFERROR(B25/B148, "NA")</f>
        <v>0</v>
      </c>
      <c r="D25" s="7">
        <v>0</v>
      </c>
      <c r="E25" s="8">
        <f>IFERROR(D25/D148, "NA")</f>
        <v>0</v>
      </c>
      <c r="F25" s="7">
        <v>0</v>
      </c>
      <c r="G25" s="8">
        <f>IFERROR(F25/F148, "NA")</f>
        <v>0</v>
      </c>
      <c r="H25" s="7">
        <v>0</v>
      </c>
      <c r="I25" s="8">
        <f>IFERROR(H25/H148, "NA")</f>
        <v>0</v>
      </c>
      <c r="J25" s="7">
        <v>0</v>
      </c>
      <c r="K25" s="8">
        <f>IFERROR(J25/J148, "NA")</f>
        <v>0</v>
      </c>
      <c r="L25" s="7">
        <v>0</v>
      </c>
      <c r="M25" s="8">
        <f>IFERROR(L25/L148, "NA")</f>
        <v>0</v>
      </c>
      <c r="N25" s="7">
        <v>0</v>
      </c>
      <c r="O25" s="8">
        <f>IFERROR(N25/N148, "NA")</f>
        <v>0</v>
      </c>
      <c r="P25" s="7">
        <v>0</v>
      </c>
      <c r="Q25" s="8">
        <f>IFERROR(P25/P148, "NA")</f>
        <v>0</v>
      </c>
      <c r="R25" s="7">
        <v>0</v>
      </c>
      <c r="S25" s="8">
        <f>IFERROR(R25/R148, "NA")</f>
        <v>0</v>
      </c>
      <c r="T25" s="7">
        <v>0</v>
      </c>
      <c r="U25" s="8">
        <f>IFERROR(T25/T148, "NA")</f>
        <v>0</v>
      </c>
      <c r="V25" s="7">
        <v>0</v>
      </c>
      <c r="W25" s="8">
        <f>IFERROR(V25/V148, "NA")</f>
        <v>0</v>
      </c>
      <c r="X25" s="7">
        <v>0</v>
      </c>
      <c r="Y25" s="8">
        <f>IFERROR(X25/X148, "NA")</f>
        <v>0</v>
      </c>
      <c r="Z25" s="7">
        <v>0</v>
      </c>
      <c r="AA25" s="8">
        <f>IFERROR(Z25/Z148, "NA")</f>
        <v>0</v>
      </c>
      <c r="AB25" s="9">
        <f t="shared" si="0"/>
        <v>0</v>
      </c>
      <c r="AC25" s="8">
        <f>IFERROR(AB25/AB148, "NA")</f>
        <v>0</v>
      </c>
      <c r="AD25" s="10">
        <f t="shared" si="1"/>
        <v>0</v>
      </c>
      <c r="AE25" s="11">
        <f>IFERROR(AD25/AD148, "NA")</f>
        <v>0</v>
      </c>
      <c r="AF25" s="10" t="str">
        <f t="shared" si="2"/>
        <v>NA</v>
      </c>
      <c r="AG25" s="9">
        <f t="shared" si="3"/>
        <v>0</v>
      </c>
      <c r="AH25" s="8">
        <f>IFERROR(AG25/AG148, "NA")</f>
        <v>0</v>
      </c>
      <c r="AI25" s="10">
        <f t="shared" si="4"/>
        <v>0</v>
      </c>
      <c r="AJ25" s="11">
        <f>IFERROR(AI25/AI148, "NA")</f>
        <v>0</v>
      </c>
      <c r="AK25" s="10" t="str">
        <f t="shared" si="5"/>
        <v>NA</v>
      </c>
      <c r="AL25" s="11" t="str">
        <f>IFERROR(AK25/AK148, "NA")</f>
        <v>NA</v>
      </c>
    </row>
    <row r="26" spans="1:38" ht="16.5" hidden="1" customHeight="1" x14ac:dyDescent="0.3">
      <c r="A26" s="25" t="s">
        <v>41</v>
      </c>
      <c r="B26" s="7">
        <v>0</v>
      </c>
      <c r="C26" s="8">
        <f>IFERROR(B26/B148, "NA")</f>
        <v>0</v>
      </c>
      <c r="D26" s="7">
        <v>0</v>
      </c>
      <c r="E26" s="8">
        <f>IFERROR(D26/D148, "NA")</f>
        <v>0</v>
      </c>
      <c r="F26" s="7">
        <v>0</v>
      </c>
      <c r="G26" s="8">
        <f>IFERROR(F26/F148, "NA")</f>
        <v>0</v>
      </c>
      <c r="H26" s="7">
        <v>0</v>
      </c>
      <c r="I26" s="8">
        <f>IFERROR(H26/H148, "NA")</f>
        <v>0</v>
      </c>
      <c r="J26" s="7">
        <v>0</v>
      </c>
      <c r="K26" s="8">
        <f>IFERROR(J26/J148, "NA")</f>
        <v>0</v>
      </c>
      <c r="L26" s="7">
        <v>0</v>
      </c>
      <c r="M26" s="8">
        <f>IFERROR(L26/L148, "NA")</f>
        <v>0</v>
      </c>
      <c r="N26" s="7">
        <v>0</v>
      </c>
      <c r="O26" s="8">
        <f>IFERROR(N26/N148, "NA")</f>
        <v>0</v>
      </c>
      <c r="P26" s="7">
        <v>0</v>
      </c>
      <c r="Q26" s="8">
        <f>IFERROR(P26/P148, "NA")</f>
        <v>0</v>
      </c>
      <c r="R26" s="7">
        <v>0</v>
      </c>
      <c r="S26" s="8">
        <f>IFERROR(R26/R148, "NA")</f>
        <v>0</v>
      </c>
      <c r="T26" s="7">
        <v>0</v>
      </c>
      <c r="U26" s="8">
        <f>IFERROR(T26/T148, "NA")</f>
        <v>0</v>
      </c>
      <c r="V26" s="7">
        <v>0</v>
      </c>
      <c r="W26" s="8">
        <f>IFERROR(V26/V148, "NA")</f>
        <v>0</v>
      </c>
      <c r="X26" s="7">
        <v>0</v>
      </c>
      <c r="Y26" s="8">
        <f>IFERROR(X26/X148, "NA")</f>
        <v>0</v>
      </c>
      <c r="Z26" s="7">
        <v>0</v>
      </c>
      <c r="AA26" s="8">
        <f>IFERROR(Z26/Z148, "NA")</f>
        <v>0</v>
      </c>
      <c r="AB26" s="9">
        <f t="shared" si="0"/>
        <v>0</v>
      </c>
      <c r="AC26" s="8">
        <f>IFERROR(AB26/AB148, "NA")</f>
        <v>0</v>
      </c>
      <c r="AD26" s="10">
        <f t="shared" si="1"/>
        <v>0</v>
      </c>
      <c r="AE26" s="11">
        <f>IFERROR(AD26/AD148, "NA")</f>
        <v>0</v>
      </c>
      <c r="AF26" s="10" t="str">
        <f t="shared" si="2"/>
        <v>NA</v>
      </c>
      <c r="AG26" s="9">
        <f t="shared" si="3"/>
        <v>0</v>
      </c>
      <c r="AH26" s="8">
        <f>IFERROR(AG26/AG148, "NA")</f>
        <v>0</v>
      </c>
      <c r="AI26" s="10">
        <f t="shared" si="4"/>
        <v>0</v>
      </c>
      <c r="AJ26" s="11">
        <f>IFERROR(AI26/AI148, "NA")</f>
        <v>0</v>
      </c>
      <c r="AK26" s="10" t="str">
        <f t="shared" si="5"/>
        <v>NA</v>
      </c>
      <c r="AL26" s="11" t="str">
        <f>IFERROR(AK26/AK148, "NA")</f>
        <v>NA</v>
      </c>
    </row>
    <row r="27" spans="1:38" ht="16.5" customHeight="1" x14ac:dyDescent="0.3">
      <c r="A27" s="26" t="s">
        <v>42</v>
      </c>
      <c r="B27" s="13">
        <f>IFERROR(B15+B16+B17+B18+B19+B20+B21+B22+B23+B24+B25+B26, "NA")</f>
        <v>27206.839999999997</v>
      </c>
      <c r="C27" s="14">
        <f>IFERROR(B27/B148, "NA")</f>
        <v>0.22708088382032299</v>
      </c>
      <c r="D27" s="13">
        <f>IFERROR(D15+D16+D17+D18+D19+D20+D21+D22+D23+D24+D25+D26, "NA")</f>
        <v>28408.83</v>
      </c>
      <c r="E27" s="14">
        <f>IFERROR(D27/D148, "NA")</f>
        <v>0.22649777523144429</v>
      </c>
      <c r="F27" s="13">
        <f>IFERROR(F15+F16+F17+F18+F19+F20+F21+F22+F23+F24+F25+F26, "NA")</f>
        <v>30933.439999999999</v>
      </c>
      <c r="G27" s="14">
        <f>IFERROR(F27/F148, "NA")</f>
        <v>0.23094752915117669</v>
      </c>
      <c r="H27" s="13">
        <f>IFERROR(H15+H16+H17+H18+H19+H20+H21+H22+H23+H24+H25+H26, "NA")</f>
        <v>28854.97</v>
      </c>
      <c r="I27" s="14">
        <f>IFERROR(H27/H148, "NA")</f>
        <v>0.22541934447627116</v>
      </c>
      <c r="J27" s="13">
        <f>IFERROR(J15+J16+J17+J18+J19+J20+J21+J22+J23+J24+J25+J26, "NA")</f>
        <v>27137.599999999999</v>
      </c>
      <c r="K27" s="14">
        <f>IFERROR(J27/J148, "NA")</f>
        <v>0.23441918288619723</v>
      </c>
      <c r="L27" s="13">
        <f>IFERROR(L15+L16+L17+L18+L19+L20+L21+L22+L23+L24+L25+L26, "NA")</f>
        <v>30311.88</v>
      </c>
      <c r="M27" s="14">
        <f>IFERROR(L27/L148, "NA")</f>
        <v>0.22421545361868397</v>
      </c>
      <c r="N27" s="13">
        <f>IFERROR(N15+N16+N17+N18+N19+N20+N21+N22+N23+N24+N25+N26, "NA")</f>
        <v>27434.63</v>
      </c>
      <c r="O27" s="14">
        <f>IFERROR(N27/N148, "NA")</f>
        <v>0.21644352341515011</v>
      </c>
      <c r="P27" s="13">
        <f>IFERROR(P15+P16+P17+P18+P19+P20+P21+P22+P23+P24+P25+P26, "NA")</f>
        <v>29750.26</v>
      </c>
      <c r="Q27" s="14">
        <f>IFERROR(P27/P148, "NA")</f>
        <v>0.21760186988224076</v>
      </c>
      <c r="R27" s="13">
        <f>IFERROR(R15+R16+R17+R18+R19+R20+R21+R22+R23+R24+R25+R26, "NA")</f>
        <v>31487.94000000001</v>
      </c>
      <c r="S27" s="14">
        <f>IFERROR(R27/R148, "NA")</f>
        <v>0.21035083323151352</v>
      </c>
      <c r="T27" s="13">
        <f>IFERROR(T15+T16+T17+T18+T19+T20+T21+T22+T23+T24+T25+T26, "NA")</f>
        <v>25767.07</v>
      </c>
      <c r="U27" s="14">
        <f>IFERROR(T27/T148, "NA")</f>
        <v>0.20932277074129402</v>
      </c>
      <c r="V27" s="13">
        <f>IFERROR(V15+V16+V17+V18+V19+V20+V21+V22+V23+V24+V25+V26, "NA")</f>
        <v>33659.959999999992</v>
      </c>
      <c r="W27" s="14">
        <f>IFERROR(V27/V148, "NA")</f>
        <v>0.2024166142984716</v>
      </c>
      <c r="X27" s="13">
        <f>IFERROR(X15+X16+X17+X18+X19+X20+X21+X22+X23+X24+X25+X26, "NA")</f>
        <v>32281.220000000005</v>
      </c>
      <c r="Y27" s="14">
        <f>IFERROR(X27/X148, "NA")</f>
        <v>0.19453637400434198</v>
      </c>
      <c r="Z27" s="13">
        <f>IFERROR(Z15+Z16+Z17+Z18+Z19+Z20+Z21+Z22+Z23+Z24+Z25+Z26, "NA")</f>
        <v>91708.25</v>
      </c>
      <c r="AA27" s="14">
        <f>IFERROR(Z27/Z148, "NA")</f>
        <v>0.20141181593731766</v>
      </c>
      <c r="AB27" s="13">
        <f t="shared" si="0"/>
        <v>30799.047500000001</v>
      </c>
      <c r="AC27" s="14">
        <f>IFERROR(AB27/AB148, "NA")</f>
        <v>0.20362348621627185</v>
      </c>
      <c r="AD27" s="15">
        <f t="shared" si="1"/>
        <v>1482.1725000000042</v>
      </c>
      <c r="AE27" s="16">
        <f>IFERROR(AD27/AD148, "NA")</f>
        <v>0.10093543386714986</v>
      </c>
      <c r="AF27" s="15">
        <f t="shared" si="2"/>
        <v>4.8123972015693156E-2</v>
      </c>
      <c r="AG27" s="13">
        <f t="shared" si="3"/>
        <v>29728.82</v>
      </c>
      <c r="AH27" s="14">
        <f>IFERROR(AG27/AG148, "NA")</f>
        <v>0.21245373471936607</v>
      </c>
      <c r="AI27" s="15">
        <f t="shared" si="4"/>
        <v>2552.4000000000051</v>
      </c>
      <c r="AJ27" s="16">
        <f>IFERROR(AI27/AI148, "NA")</f>
        <v>9.8137317268557719E-2</v>
      </c>
      <c r="AK27" s="15">
        <f t="shared" si="5"/>
        <v>8.5856081741556012E-2</v>
      </c>
      <c r="AL27" s="16">
        <f>IFERROR(AK27/AK148, "NA")</f>
        <v>0.46192323894983089</v>
      </c>
    </row>
    <row r="28" spans="1:38" ht="16.5" customHeight="1" x14ac:dyDescent="0.3">
      <c r="A28" s="24" t="s">
        <v>43</v>
      </c>
      <c r="B28" s="2"/>
      <c r="C28" s="3"/>
      <c r="D28" s="2"/>
      <c r="E28" s="3"/>
      <c r="F28" s="2"/>
      <c r="G28" s="3"/>
      <c r="H28" s="2"/>
      <c r="I28" s="3"/>
      <c r="J28" s="2"/>
      <c r="K28" s="3"/>
      <c r="L28" s="2"/>
      <c r="M28" s="3"/>
      <c r="N28" s="2"/>
      <c r="O28" s="3"/>
      <c r="P28" s="2"/>
      <c r="Q28" s="3"/>
      <c r="R28" s="2"/>
      <c r="S28" s="3"/>
      <c r="T28" s="2"/>
      <c r="U28" s="3"/>
      <c r="V28" s="2"/>
      <c r="W28" s="3"/>
      <c r="X28" s="2"/>
      <c r="Y28" s="3"/>
      <c r="Z28" s="2"/>
      <c r="AA28" s="3"/>
      <c r="AB28" s="2"/>
      <c r="AC28" s="3"/>
      <c r="AD28" s="4"/>
      <c r="AE28" s="5"/>
      <c r="AF28" s="4"/>
      <c r="AG28" s="2"/>
      <c r="AH28" s="3"/>
      <c r="AI28" s="4"/>
      <c r="AJ28" s="5"/>
      <c r="AK28" s="4"/>
      <c r="AL28" s="5"/>
    </row>
    <row r="29" spans="1:38" ht="16.5" hidden="1" customHeight="1" x14ac:dyDescent="0.3">
      <c r="A29" s="25" t="s">
        <v>44</v>
      </c>
      <c r="B29" s="7">
        <v>0</v>
      </c>
      <c r="C29" s="8">
        <f>IFERROR(B29/B148, "NA")</f>
        <v>0</v>
      </c>
      <c r="D29" s="7">
        <v>0</v>
      </c>
      <c r="E29" s="8">
        <f>IFERROR(D29/D148, "NA")</f>
        <v>0</v>
      </c>
      <c r="F29" s="7">
        <v>0</v>
      </c>
      <c r="G29" s="8">
        <f>IFERROR(F29/F148, "NA")</f>
        <v>0</v>
      </c>
      <c r="H29" s="7">
        <v>0</v>
      </c>
      <c r="I29" s="8">
        <f>IFERROR(H29/H148, "NA")</f>
        <v>0</v>
      </c>
      <c r="J29" s="7">
        <v>0</v>
      </c>
      <c r="K29" s="8">
        <f>IFERROR(J29/J148, "NA")</f>
        <v>0</v>
      </c>
      <c r="L29" s="7">
        <v>0</v>
      </c>
      <c r="M29" s="8">
        <f>IFERROR(L29/L148, "NA")</f>
        <v>0</v>
      </c>
      <c r="N29" s="7">
        <v>0</v>
      </c>
      <c r="O29" s="8">
        <f>IFERROR(N29/N148, "NA")</f>
        <v>0</v>
      </c>
      <c r="P29" s="7">
        <v>0</v>
      </c>
      <c r="Q29" s="8">
        <f>IFERROR(P29/P148, "NA")</f>
        <v>0</v>
      </c>
      <c r="R29" s="7">
        <v>0</v>
      </c>
      <c r="S29" s="8">
        <f>IFERROR(R29/R148, "NA")</f>
        <v>0</v>
      </c>
      <c r="T29" s="7">
        <v>0</v>
      </c>
      <c r="U29" s="8">
        <f>IFERROR(T29/T148, "NA")</f>
        <v>0</v>
      </c>
      <c r="V29" s="7">
        <v>0</v>
      </c>
      <c r="W29" s="8">
        <f>IFERROR(V29/V148, "NA")</f>
        <v>0</v>
      </c>
      <c r="X29" s="7">
        <v>0</v>
      </c>
      <c r="Y29" s="8">
        <f>IFERROR(X29/X148, "NA")</f>
        <v>0</v>
      </c>
      <c r="Z29" s="7">
        <v>0</v>
      </c>
      <c r="AA29" s="8">
        <f>IFERROR(Z29/Z148, "NA")</f>
        <v>0</v>
      </c>
      <c r="AB29" s="9">
        <f t="shared" ref="AB29:AB35" si="6">IFERROR((R29+T29+V29+X29)/4, "NA")</f>
        <v>0</v>
      </c>
      <c r="AC29" s="8">
        <f>IFERROR(AB29/AB148, "NA")</f>
        <v>0</v>
      </c>
      <c r="AD29" s="10">
        <f t="shared" ref="AD29:AD35" si="7">IFERROR(X29-AB29, "NA")</f>
        <v>0</v>
      </c>
      <c r="AE29" s="11">
        <f>IFERROR(AD29/AD148, "NA")</f>
        <v>0</v>
      </c>
      <c r="AF29" s="10" t="str">
        <f t="shared" ref="AF29:AF35" si="8">IFERROR((X29-AB29)/AB29, "NA")</f>
        <v>NA</v>
      </c>
      <c r="AG29" s="9">
        <f t="shared" ref="AG29:AG35" si="9">IFERROR((J29+L29+N29+P29+R29+T29+V29+X29)/8, "NA")</f>
        <v>0</v>
      </c>
      <c r="AH29" s="8">
        <f>IFERROR(AG29/AG148, "NA")</f>
        <v>0</v>
      </c>
      <c r="AI29" s="10">
        <f t="shared" ref="AI29:AI35" si="10">IFERROR(X29-AG29, "NA")</f>
        <v>0</v>
      </c>
      <c r="AJ29" s="11">
        <f>IFERROR(AI29/AI148, "NA")</f>
        <v>0</v>
      </c>
      <c r="AK29" s="10" t="str">
        <f t="shared" ref="AK29:AK35" si="11">IFERROR((X29-AG29)/AG29, "NA")</f>
        <v>NA</v>
      </c>
      <c r="AL29" s="11" t="str">
        <f>IFERROR(AK29/AK148, "NA")</f>
        <v>NA</v>
      </c>
    </row>
    <row r="30" spans="1:38" ht="16.5" customHeight="1" x14ac:dyDescent="0.3">
      <c r="A30" s="25" t="s">
        <v>45</v>
      </c>
      <c r="B30" s="7">
        <v>1508.67</v>
      </c>
      <c r="C30" s="8">
        <f>IFERROR(B30/B148, "NA")</f>
        <v>1.259205835713397E-2</v>
      </c>
      <c r="D30" s="7">
        <v>1259.31</v>
      </c>
      <c r="E30" s="8">
        <f>IFERROR(D30/D148, "NA")</f>
        <v>1.0040220358483967E-2</v>
      </c>
      <c r="F30" s="7">
        <v>1780.73</v>
      </c>
      <c r="G30" s="8">
        <f>IFERROR(F30/F148, "NA")</f>
        <v>1.3294841879382794E-2</v>
      </c>
      <c r="H30" s="7">
        <v>1358.8999999999999</v>
      </c>
      <c r="I30" s="8">
        <f>IFERROR(H30/H148, "NA")</f>
        <v>1.0615930191880457E-2</v>
      </c>
      <c r="J30" s="7">
        <v>1434.42</v>
      </c>
      <c r="K30" s="8">
        <f>IFERROR(J30/J148, "NA")</f>
        <v>1.239076279094758E-2</v>
      </c>
      <c r="L30" s="7">
        <v>1994.1</v>
      </c>
      <c r="M30" s="8">
        <f>IFERROR(L30/L148, "NA")</f>
        <v>1.4750257524806038E-2</v>
      </c>
      <c r="N30" s="7">
        <v>1231.1100000000001</v>
      </c>
      <c r="O30" s="8">
        <f>IFERROR(N30/N148, "NA")</f>
        <v>9.712753046482692E-3</v>
      </c>
      <c r="P30" s="7">
        <v>2090.69</v>
      </c>
      <c r="Q30" s="8">
        <f>IFERROR(P30/P148, "NA")</f>
        <v>1.5291901763013229E-2</v>
      </c>
      <c r="R30" s="7">
        <v>1596.54</v>
      </c>
      <c r="S30" s="8">
        <f>IFERROR(R30/R148, "NA")</f>
        <v>1.0665464914104908E-2</v>
      </c>
      <c r="T30" s="7">
        <v>1410.54</v>
      </c>
      <c r="U30" s="8">
        <f>IFERROR(T30/T148, "NA")</f>
        <v>1.1458739431430305E-2</v>
      </c>
      <c r="V30" s="7">
        <v>1616.5300000000002</v>
      </c>
      <c r="W30" s="8">
        <f>IFERROR(V30/V148, "NA")</f>
        <v>9.7211205691245146E-3</v>
      </c>
      <c r="X30" s="7">
        <v>1966.42</v>
      </c>
      <c r="Y30" s="8">
        <f>IFERROR(X30/X148, "NA")</f>
        <v>1.1850240374112815E-2</v>
      </c>
      <c r="Z30" s="7">
        <v>4993.49</v>
      </c>
      <c r="AA30" s="8">
        <f>IFERROR(Z30/Z148, "NA")</f>
        <v>1.0966820201724887E-2</v>
      </c>
      <c r="AB30" s="9">
        <f t="shared" si="6"/>
        <v>1647.5075000000002</v>
      </c>
      <c r="AC30" s="8">
        <f>IFERROR(AB30/AB148, "NA")</f>
        <v>1.0892259597231196E-2</v>
      </c>
      <c r="AD30" s="10">
        <f t="shared" si="7"/>
        <v>318.91249999999991</v>
      </c>
      <c r="AE30" s="11">
        <f>IFERROR(AD30/AD148, "NA")</f>
        <v>2.1717830787683166E-2</v>
      </c>
      <c r="AF30" s="10">
        <f t="shared" si="8"/>
        <v>0.19357271514697194</v>
      </c>
      <c r="AG30" s="9">
        <f t="shared" si="9"/>
        <v>1667.5437500000003</v>
      </c>
      <c r="AH30" s="8">
        <f>IFERROR(AG30/AG148, "NA")</f>
        <v>1.1916917573433354E-2</v>
      </c>
      <c r="AI30" s="10">
        <f t="shared" si="10"/>
        <v>298.8762499999998</v>
      </c>
      <c r="AJ30" s="11">
        <f>IFERROR(AI30/AI148, "NA")</f>
        <v>1.1491503436094145E-2</v>
      </c>
      <c r="AK30" s="10">
        <f t="shared" si="11"/>
        <v>0.17923142946024639</v>
      </c>
      <c r="AL30" s="11">
        <f>IFERROR(AK30/AK148, "NA")</f>
        <v>0.9643016631844803</v>
      </c>
    </row>
    <row r="31" spans="1:38" ht="16.5" customHeight="1" x14ac:dyDescent="0.3">
      <c r="A31" s="25" t="s">
        <v>46</v>
      </c>
      <c r="B31" s="7">
        <v>176.12</v>
      </c>
      <c r="C31" s="8">
        <f>IFERROR(B31/B148, "NA")</f>
        <v>1.4699790662361116E-3</v>
      </c>
      <c r="D31" s="7">
        <v>45.42</v>
      </c>
      <c r="E31" s="8">
        <f>IFERROR(D31/D148, "NA")</f>
        <v>3.6212434482561231E-4</v>
      </c>
      <c r="F31" s="7">
        <v>29.060000000000002</v>
      </c>
      <c r="G31" s="8">
        <f>IFERROR(F31/F148, "NA")</f>
        <v>2.1696051900898174E-4</v>
      </c>
      <c r="H31" s="7">
        <v>56.060000000000009</v>
      </c>
      <c r="I31" s="8">
        <f>IFERROR(H31/H148, "NA")</f>
        <v>4.3794911071956625E-4</v>
      </c>
      <c r="J31" s="7">
        <v>92.21</v>
      </c>
      <c r="K31" s="8">
        <f>IFERROR(J31/J148, "NA")</f>
        <v>7.9652559010141822E-4</v>
      </c>
      <c r="L31" s="7">
        <v>82.44</v>
      </c>
      <c r="M31" s="8">
        <f>IFERROR(L31/L148, "NA")</f>
        <v>6.0980453856126062E-4</v>
      </c>
      <c r="N31" s="7">
        <v>67.850000000000009</v>
      </c>
      <c r="O31" s="8">
        <f>IFERROR(N31/N148, "NA")</f>
        <v>5.3529765350281513E-4</v>
      </c>
      <c r="P31" s="7">
        <v>112.12</v>
      </c>
      <c r="Q31" s="8">
        <f>IFERROR(P31/P148, "NA")</f>
        <v>8.2007759432007775E-4</v>
      </c>
      <c r="R31" s="7">
        <v>29.259999999999998</v>
      </c>
      <c r="S31" s="8">
        <f>IFERROR(R31/R148, "NA")</f>
        <v>1.9546738784290377E-4</v>
      </c>
      <c r="T31" s="7">
        <v>63.17</v>
      </c>
      <c r="U31" s="8">
        <f>IFERROR(T31/T148, "NA")</f>
        <v>5.131712463903558E-4</v>
      </c>
      <c r="V31" s="7">
        <v>72.48</v>
      </c>
      <c r="W31" s="8">
        <f>IFERROR(V31/V148, "NA")</f>
        <v>4.3586374447127167E-4</v>
      </c>
      <c r="X31" s="7">
        <v>37.89</v>
      </c>
      <c r="Y31" s="8">
        <f>IFERROR(X31/X148, "NA")</f>
        <v>2.2833657498150679E-4</v>
      </c>
      <c r="Z31" s="7">
        <v>173.54000000000002</v>
      </c>
      <c r="AA31" s="8">
        <f>IFERROR(Z31/Z148, "NA")</f>
        <v>3.811326302460478E-4</v>
      </c>
      <c r="AB31" s="9">
        <f t="shared" si="6"/>
        <v>50.7</v>
      </c>
      <c r="AC31" s="8">
        <f>IFERROR(AB31/AB148, "NA")</f>
        <v>3.3519578003719054E-4</v>
      </c>
      <c r="AD31" s="10">
        <f t="shared" si="7"/>
        <v>-12.810000000000002</v>
      </c>
      <c r="AE31" s="11">
        <f>IFERROR(AD31/AD148, "NA")</f>
        <v>-8.7235656297643242E-4</v>
      </c>
      <c r="AF31" s="10">
        <f t="shared" si="8"/>
        <v>-0.25266272189349115</v>
      </c>
      <c r="AG31" s="9">
        <f t="shared" si="9"/>
        <v>69.677499999999995</v>
      </c>
      <c r="AH31" s="8">
        <f>IFERROR(AG31/AG148, "NA")</f>
        <v>4.9794257225509219E-4</v>
      </c>
      <c r="AI31" s="10">
        <f t="shared" si="10"/>
        <v>-31.787499999999994</v>
      </c>
      <c r="AJ31" s="11">
        <f>IFERROR(AI31/AI148, "NA")</f>
        <v>-1.2221987042290675E-3</v>
      </c>
      <c r="AK31" s="10">
        <f t="shared" si="11"/>
        <v>-0.45620896272110789</v>
      </c>
      <c r="AL31" s="11">
        <f>IFERROR(AK31/AK148, "NA")</f>
        <v>-2.4544973101897067</v>
      </c>
    </row>
    <row r="32" spans="1:38" ht="16.5" customHeight="1" x14ac:dyDescent="0.3">
      <c r="A32" s="25" t="s">
        <v>47</v>
      </c>
      <c r="B32" s="7">
        <v>-2.5100000000000002</v>
      </c>
      <c r="C32" s="8">
        <f>IFERROR(B32/B148, "NA")</f>
        <v>-2.0949622168138998E-5</v>
      </c>
      <c r="D32" s="7">
        <v>59.599999999999994</v>
      </c>
      <c r="E32" s="8">
        <f>IFERROR(D32/D148, "NA")</f>
        <v>4.7517857665359953E-4</v>
      </c>
      <c r="F32" s="7">
        <v>-1.4</v>
      </c>
      <c r="G32" s="8">
        <f>IFERROR(F32/F148, "NA")</f>
        <v>-1.0452330578546951E-5</v>
      </c>
      <c r="H32" s="7">
        <v>1.6</v>
      </c>
      <c r="I32" s="8">
        <f>IFERROR(H32/H148, "NA")</f>
        <v>1.2499439478260898E-5</v>
      </c>
      <c r="J32" s="7">
        <v>1.44</v>
      </c>
      <c r="K32" s="8">
        <f>IFERROR(J32/J148, "NA")</f>
        <v>1.2438963775577944E-5</v>
      </c>
      <c r="L32" s="7">
        <v>1.56</v>
      </c>
      <c r="M32" s="8">
        <f>IFERROR(L32/L148, "NA")</f>
        <v>1.1539241632163594E-5</v>
      </c>
      <c r="N32" s="7">
        <v>2.79</v>
      </c>
      <c r="O32" s="8">
        <f>IFERROR(N32/N148, "NA")</f>
        <v>2.2011502627455475E-5</v>
      </c>
      <c r="P32" s="7">
        <v>1.2</v>
      </c>
      <c r="Q32" s="8">
        <f>IFERROR(P32/P148, "NA")</f>
        <v>8.7771415731724332E-6</v>
      </c>
      <c r="R32" s="7">
        <v>158.75</v>
      </c>
      <c r="S32" s="8">
        <f>IFERROR(R32/R148, "NA")</f>
        <v>1.0605074442946334E-3</v>
      </c>
      <c r="T32" s="7">
        <v>-2.8099999999999996</v>
      </c>
      <c r="U32" s="8">
        <f>IFERROR(T32/T148, "NA")</f>
        <v>-2.2827468772469518E-5</v>
      </c>
      <c r="V32" s="7">
        <v>-0.3899999999999999</v>
      </c>
      <c r="W32" s="8">
        <f>IFERROR(V32/V148, "NA")</f>
        <v>-2.3452933270391268E-6</v>
      </c>
      <c r="X32" s="7">
        <v>-30.7</v>
      </c>
      <c r="Y32" s="8">
        <f>IFERROR(X32/X148, "NA")</f>
        <v>-1.8500746508134754E-4</v>
      </c>
      <c r="Z32" s="7">
        <v>-33.9</v>
      </c>
      <c r="AA32" s="8">
        <f>IFERROR(Z32/Z148, "NA")</f>
        <v>-7.4451977442324639E-5</v>
      </c>
      <c r="AB32" s="9">
        <f t="shared" si="6"/>
        <v>31.212500000000002</v>
      </c>
      <c r="AC32" s="8">
        <f>IFERROR(AB32/AB148, "NA")</f>
        <v>2.0635696813433549E-4</v>
      </c>
      <c r="AD32" s="10">
        <f t="shared" si="7"/>
        <v>-61.912500000000001</v>
      </c>
      <c r="AE32" s="11">
        <f>IFERROR(AD32/AD148, "NA")</f>
        <v>-4.2162198052520189E-3</v>
      </c>
      <c r="AF32" s="10">
        <f t="shared" si="8"/>
        <v>-1.9835802963556266</v>
      </c>
      <c r="AG32" s="9">
        <f t="shared" si="9"/>
        <v>16.480000000000004</v>
      </c>
      <c r="AH32" s="8">
        <f>IFERROR(AG32/AG148, "NA")</f>
        <v>1.1777250318630722E-4</v>
      </c>
      <c r="AI32" s="10">
        <f t="shared" si="10"/>
        <v>-47.180000000000007</v>
      </c>
      <c r="AJ32" s="11">
        <f>IFERROR(AI32/AI148, "NA")</f>
        <v>-1.81402547748415E-3</v>
      </c>
      <c r="AK32" s="10">
        <f t="shared" si="11"/>
        <v>-2.8628640776699026</v>
      </c>
      <c r="AL32" s="11">
        <f>IFERROR(AK32/AK148, "NA")</f>
        <v>-15.402792913507989</v>
      </c>
    </row>
    <row r="33" spans="1:38" ht="16.5" customHeight="1" x14ac:dyDescent="0.3">
      <c r="A33" s="25" t="s">
        <v>48</v>
      </c>
      <c r="B33" s="7">
        <v>11.309999999999999</v>
      </c>
      <c r="C33" s="8">
        <f>IFERROR(B33/B148, "NA")</f>
        <v>9.4398496701853394E-5</v>
      </c>
      <c r="D33" s="7">
        <v>3.35</v>
      </c>
      <c r="E33" s="8">
        <f>IFERROR(D33/D148, "NA")</f>
        <v>2.670886294948924E-5</v>
      </c>
      <c r="F33" s="7">
        <v>0.27</v>
      </c>
      <c r="G33" s="8">
        <f>IFERROR(F33/F148, "NA")</f>
        <v>2.0158066115769122E-6</v>
      </c>
      <c r="H33" s="7">
        <v>6.58</v>
      </c>
      <c r="I33" s="8">
        <f>IFERROR(H33/H148, "NA")</f>
        <v>5.1403944854347942E-5</v>
      </c>
      <c r="J33" s="7">
        <v>6.89</v>
      </c>
      <c r="K33" s="8">
        <f>IFERROR(J33/J148, "NA")</f>
        <v>5.9516986398425021E-5</v>
      </c>
      <c r="L33" s="7">
        <v>9.82</v>
      </c>
      <c r="M33" s="8">
        <f>IFERROR(L33/L148, "NA")</f>
        <v>7.2638046684516975E-5</v>
      </c>
      <c r="N33" s="7">
        <v>0</v>
      </c>
      <c r="O33" s="8">
        <f>IFERROR(N33/N148, "NA")</f>
        <v>0</v>
      </c>
      <c r="P33" s="7">
        <v>27.75</v>
      </c>
      <c r="Q33" s="8">
        <f>IFERROR(P33/P148, "NA")</f>
        <v>2.0297139887961253E-4</v>
      </c>
      <c r="R33" s="7">
        <v>-4.07</v>
      </c>
      <c r="S33" s="8">
        <f>IFERROR(R33/R148, "NA")</f>
        <v>-2.7189072745065566E-5</v>
      </c>
      <c r="T33" s="7">
        <v>6.6000000000000014</v>
      </c>
      <c r="U33" s="8">
        <f>IFERROR(T33/T148, "NA")</f>
        <v>5.3616118825017388E-5</v>
      </c>
      <c r="V33" s="7">
        <v>85.06</v>
      </c>
      <c r="W33" s="8">
        <f>IFERROR(V33/V148, "NA")</f>
        <v>5.1151448819986717E-4</v>
      </c>
      <c r="X33" s="7">
        <v>-78.02</v>
      </c>
      <c r="Y33" s="8">
        <f>IFERROR(X33/X148, "NA")</f>
        <v>-4.7017206598197833E-4</v>
      </c>
      <c r="Z33" s="7">
        <v>13.64</v>
      </c>
      <c r="AA33" s="8">
        <f>IFERROR(Z33/Z148, "NA")</f>
        <v>2.9956488858799652E-5</v>
      </c>
      <c r="AB33" s="9">
        <f t="shared" si="6"/>
        <v>2.3925000000000018</v>
      </c>
      <c r="AC33" s="8">
        <f>IFERROR(AB33/AB148, "NA")</f>
        <v>1.5817670685186961E-5</v>
      </c>
      <c r="AD33" s="10">
        <f t="shared" si="7"/>
        <v>-80.412499999999994</v>
      </c>
      <c r="AE33" s="11">
        <f>IFERROR(AD33/AD148, "NA")</f>
        <v>-5.4760633973725487E-3</v>
      </c>
      <c r="AF33" s="10">
        <f t="shared" si="8"/>
        <v>-33.61024033437824</v>
      </c>
      <c r="AG33" s="9">
        <f t="shared" si="9"/>
        <v>6.7537500000000019</v>
      </c>
      <c r="AH33" s="8">
        <f>IFERROR(AG33/AG148, "NA")</f>
        <v>4.8264929817628787E-5</v>
      </c>
      <c r="AI33" s="10">
        <f t="shared" si="10"/>
        <v>-84.773749999999993</v>
      </c>
      <c r="AJ33" s="11">
        <f>IFERROR(AI33/AI148, "NA")</f>
        <v>-3.2594688919430253E-3</v>
      </c>
      <c r="AK33" s="10">
        <f t="shared" si="11"/>
        <v>-12.552100684804733</v>
      </c>
      <c r="AL33" s="11">
        <f>IFERROR(AK33/AK148, "NA")</f>
        <v>-67.532862976473297</v>
      </c>
    </row>
    <row r="34" spans="1:38" ht="16.5" customHeight="1" x14ac:dyDescent="0.3">
      <c r="A34" s="26" t="s">
        <v>49</v>
      </c>
      <c r="B34" s="13">
        <f>IFERROR(B29+B30+B31+B32+B33, "NA")</f>
        <v>1693.59</v>
      </c>
      <c r="C34" s="14">
        <f>IFERROR(B34/B148, "NA")</f>
        <v>1.4135486297903795E-2</v>
      </c>
      <c r="D34" s="13">
        <f>IFERROR(D29+D30+D31+D32+D33, "NA")</f>
        <v>1367.6799999999998</v>
      </c>
      <c r="E34" s="14">
        <f>IFERROR(D34/D148, "NA")</f>
        <v>1.0904232142912668E-2</v>
      </c>
      <c r="F34" s="13">
        <f>IFERROR(F29+F30+F31+F32+F33, "NA")</f>
        <v>1808.6599999999999</v>
      </c>
      <c r="G34" s="14">
        <f>IFERROR(F34/F148, "NA")</f>
        <v>1.3503365874424805E-2</v>
      </c>
      <c r="H34" s="13">
        <f>IFERROR(H29+H30+H31+H32+H33, "NA")</f>
        <v>1423.1399999999996</v>
      </c>
      <c r="I34" s="14">
        <f>IFERROR(H34/H148, "NA")</f>
        <v>1.111778268693263E-2</v>
      </c>
      <c r="J34" s="13">
        <f>IFERROR(J29+J30+J31+J32+J33, "NA")</f>
        <v>1534.9600000000003</v>
      </c>
      <c r="K34" s="14">
        <f>IFERROR(J34/J148, "NA")</f>
        <v>1.3259244331223004E-2</v>
      </c>
      <c r="L34" s="13">
        <f>IFERROR(L29+L30+L31+L32+L33, "NA")</f>
        <v>2087.92</v>
      </c>
      <c r="M34" s="14">
        <f>IFERROR(L34/L148, "NA")</f>
        <v>1.5444239351683981E-2</v>
      </c>
      <c r="N34" s="13">
        <f>IFERROR(N29+N30+N31+N32+N33, "NA")</f>
        <v>1301.75</v>
      </c>
      <c r="O34" s="14">
        <f>IFERROR(N34/N148, "NA")</f>
        <v>1.0270062202612963E-2</v>
      </c>
      <c r="P34" s="13">
        <f>IFERROR(P29+P30+P31+P32+P33, "NA")</f>
        <v>2231.7599999999998</v>
      </c>
      <c r="Q34" s="14">
        <f>IFERROR(P34/P148, "NA")</f>
        <v>1.6323727897786088E-2</v>
      </c>
      <c r="R34" s="13">
        <f>IFERROR(R29+R30+R31+R32+R33, "NA")</f>
        <v>1780.48</v>
      </c>
      <c r="S34" s="14">
        <f>IFERROR(R34/R148, "NA")</f>
        <v>1.189425067349738E-2</v>
      </c>
      <c r="T34" s="13">
        <f>IFERROR(T29+T30+T31+T32+T33, "NA")</f>
        <v>1477.5</v>
      </c>
      <c r="U34" s="14">
        <f>IFERROR(T34/T148, "NA")</f>
        <v>1.2002699327873208E-2</v>
      </c>
      <c r="V34" s="13">
        <f>IFERROR(V29+V30+V31+V32+V33, "NA")</f>
        <v>1773.68</v>
      </c>
      <c r="W34" s="14">
        <f>IFERROR(V34/V148, "NA")</f>
        <v>1.0666153508468614E-2</v>
      </c>
      <c r="X34" s="13">
        <f>IFERROR(X29+X30+X31+X32+X33, "NA")</f>
        <v>1895.5900000000001</v>
      </c>
      <c r="Y34" s="14">
        <f>IFERROR(X34/X148, "NA")</f>
        <v>1.1423397418030997E-2</v>
      </c>
      <c r="Z34" s="13">
        <f>IFERROR(Z29+Z30+Z31+Z32+Z33, "NA")</f>
        <v>5146.7700000000004</v>
      </c>
      <c r="AA34" s="14">
        <f>IFERROR(Z34/Z148, "NA")</f>
        <v>1.1303457343387412E-2</v>
      </c>
      <c r="AB34" s="13">
        <f t="shared" si="6"/>
        <v>1731.8125</v>
      </c>
      <c r="AC34" s="14">
        <f>IFERROR(AB34/AB148, "NA")</f>
        <v>1.1449630016087909E-2</v>
      </c>
      <c r="AD34" s="15">
        <f t="shared" si="7"/>
        <v>163.77750000000015</v>
      </c>
      <c r="AE34" s="16">
        <f>IFERROR(AD34/AD148, "NA")</f>
        <v>1.1153191022082183E-2</v>
      </c>
      <c r="AF34" s="15">
        <f t="shared" si="8"/>
        <v>9.4569995308383642E-2</v>
      </c>
      <c r="AG34" s="13">
        <f t="shared" si="9"/>
        <v>1760.4549999999999</v>
      </c>
      <c r="AH34" s="14">
        <f>IFERROR(AG34/AG148, "NA")</f>
        <v>1.2580897578692379E-2</v>
      </c>
      <c r="AI34" s="15">
        <f t="shared" si="10"/>
        <v>135.13500000000022</v>
      </c>
      <c r="AJ34" s="16">
        <f>IFERROR(AI34/AI148, "NA")</f>
        <v>5.1958103624379186E-3</v>
      </c>
      <c r="AK34" s="15">
        <f t="shared" si="11"/>
        <v>7.6761405432118526E-2</v>
      </c>
      <c r="AL34" s="16">
        <f>IFERROR(AK34/AK148, "NA")</f>
        <v>0.412992024610215</v>
      </c>
    </row>
    <row r="35" spans="1:38" ht="16.5" customHeight="1" x14ac:dyDescent="0.3">
      <c r="A35" s="27" t="s">
        <v>50</v>
      </c>
      <c r="B35" s="13">
        <f>IFERROR(B13+B15+B16+B17+B18+B19+B20+B21+B22+B23+B24+B25+B26+B29+B30+B31+B32+B33, "NA")</f>
        <v>28900.429999999997</v>
      </c>
      <c r="C35" s="14">
        <f>IFERROR(B35/B148, "NA")</f>
        <v>0.2412163701182268</v>
      </c>
      <c r="D35" s="13">
        <f>IFERROR(D13+D15+D16+D17+D18+D19+D20+D21+D22+D23+D24+D25+D26+D29+D30+D31+D32+D33, "NA")</f>
        <v>29776.51</v>
      </c>
      <c r="E35" s="14">
        <f>IFERROR(D35/D148, "NA")</f>
        <v>0.23740200737435693</v>
      </c>
      <c r="F35" s="13">
        <f>IFERROR(F13+F15+F16+F17+F18+F19+F20+F21+F22+F23+F24+F25+F26+F29+F30+F31+F32+F33, "NA")</f>
        <v>32742.1</v>
      </c>
      <c r="G35" s="14">
        <f>IFERROR(F35/F148, "NA")</f>
        <v>0.24445089502560152</v>
      </c>
      <c r="H35" s="13">
        <f>IFERROR(H13+H15+H16+H17+H18+H19+H20+H21+H22+H23+H24+H25+H26+H29+H30+H31+H32+H33, "NA")</f>
        <v>30278.110000000004</v>
      </c>
      <c r="I35" s="14">
        <f>IFERROR(H35/H148, "NA")</f>
        <v>0.23653712716320383</v>
      </c>
      <c r="J35" s="13">
        <f>IFERROR(J13+J15+J16+J17+J18+J19+J20+J21+J22+J23+J24+J25+J26+J29+J30+J31+J32+J33, "NA")</f>
        <v>28672.559999999994</v>
      </c>
      <c r="K35" s="14">
        <f>IFERROR(J35/J148, "NA")</f>
        <v>0.2476784272174202</v>
      </c>
      <c r="L35" s="13">
        <f>IFERROR(L13+L15+L16+L17+L18+L19+L20+L21+L22+L23+L24+L25+L26+L29+L30+L31+L32+L33, "NA")</f>
        <v>32399.8</v>
      </c>
      <c r="M35" s="14">
        <f>IFERROR(L35/L148, "NA")</f>
        <v>0.23965969297036793</v>
      </c>
      <c r="N35" s="13">
        <f>IFERROR(N13+N15+N16+N17+N18+N19+N20+N21+N22+N23+N24+N25+N26+N29+N30+N31+N32+N33, "NA")</f>
        <v>28736.38</v>
      </c>
      <c r="O35" s="14">
        <f>IFERROR(N35/N148, "NA")</f>
        <v>0.22671358561776309</v>
      </c>
      <c r="P35" s="13">
        <f>IFERROR(P13+P15+P16+P17+P18+P19+P20+P21+P22+P23+P24+P25+P26+P29+P30+P31+P32+P33, "NA")</f>
        <v>31982.019999999997</v>
      </c>
      <c r="Q35" s="14">
        <f>IFERROR(P35/P148, "NA")</f>
        <v>0.23392559778002683</v>
      </c>
      <c r="R35" s="13">
        <f>IFERROR(R13+R15+R16+R17+R18+R19+R20+R21+R22+R23+R24+R25+R26+R29+R30+R31+R32+R33, "NA")</f>
        <v>33268.420000000013</v>
      </c>
      <c r="S35" s="14">
        <f>IFERROR(R35/R148, "NA")</f>
        <v>0.22224508390501091</v>
      </c>
      <c r="T35" s="13">
        <f>IFERROR(T13+T15+T16+T17+T18+T19+T20+T21+T22+T23+T24+T25+T26+T29+T30+T31+T32+T33, "NA")</f>
        <v>27244.569999999996</v>
      </c>
      <c r="U35" s="14">
        <f>IFERROR(T35/T148, "NA")</f>
        <v>0.2213254700691672</v>
      </c>
      <c r="V35" s="13">
        <f>IFERROR(V13+V15+V16+V17+V18+V19+V20+V21+V22+V23+V24+V25+V26+V29+V30+V31+V32+V33, "NA")</f>
        <v>35433.639999999992</v>
      </c>
      <c r="W35" s="14">
        <f>IFERROR(V35/V148, "NA")</f>
        <v>0.21308276780694022</v>
      </c>
      <c r="X35" s="13">
        <f>IFERROR(X13+X15+X16+X17+X18+X19+X20+X21+X22+X23+X24+X25+X26+X29+X30+X31+X32+X33, "NA")</f>
        <v>34176.810000000012</v>
      </c>
      <c r="Y35" s="14">
        <f>IFERROR(X35/X148, "NA")</f>
        <v>0.20595977142237301</v>
      </c>
      <c r="Z35" s="13">
        <f>IFERROR(Z13+Z15+Z16+Z17+Z18+Z19+Z20+Z21+Z22+Z23+Z24+Z25+Z26+Z29+Z30+Z31+Z32+Z33, "NA")</f>
        <v>96855.02</v>
      </c>
      <c r="AA35" s="14">
        <f>IFERROR(Z35/Z148, "NA")</f>
        <v>0.21271527328070508</v>
      </c>
      <c r="AB35" s="13">
        <f t="shared" si="6"/>
        <v>32530.860000000004</v>
      </c>
      <c r="AC35" s="14">
        <f>IFERROR(AB35/AB148, "NA")</f>
        <v>0.21507311623235978</v>
      </c>
      <c r="AD35" s="15">
        <f t="shared" si="7"/>
        <v>1645.950000000008</v>
      </c>
      <c r="AE35" s="16">
        <f>IFERROR(AD35/AD148, "NA")</f>
        <v>0.1120886248892323</v>
      </c>
      <c r="AF35" s="15">
        <f t="shared" si="8"/>
        <v>5.0596571993485807E-2</v>
      </c>
      <c r="AG35" s="13">
        <f t="shared" si="9"/>
        <v>31489.275000000001</v>
      </c>
      <c r="AH35" s="14">
        <f>IFERROR(AG35/AG148, "NA")</f>
        <v>0.22503463229805848</v>
      </c>
      <c r="AI35" s="15">
        <f t="shared" si="10"/>
        <v>2687.5350000000108</v>
      </c>
      <c r="AJ35" s="16">
        <f>IFERROR(AI35/AI148, "NA")</f>
        <v>0.10333312763099585</v>
      </c>
      <c r="AK35" s="15">
        <f t="shared" si="11"/>
        <v>8.5347630264590427E-2</v>
      </c>
      <c r="AL35" s="16">
        <f>IFERROR(AK35/AK148, "NA")</f>
        <v>0.45918766625277069</v>
      </c>
    </row>
    <row r="36" spans="1:38" ht="16.5" customHeight="1" x14ac:dyDescent="0.3">
      <c r="A36" s="22" t="s">
        <v>51</v>
      </c>
      <c r="B36" s="2"/>
      <c r="C36" s="3"/>
      <c r="D36" s="2"/>
      <c r="E36" s="3"/>
      <c r="F36" s="2"/>
      <c r="G36" s="3"/>
      <c r="H36" s="2"/>
      <c r="I36" s="3"/>
      <c r="J36" s="2"/>
      <c r="K36" s="3"/>
      <c r="L36" s="2"/>
      <c r="M36" s="3"/>
      <c r="N36" s="2"/>
      <c r="O36" s="3"/>
      <c r="P36" s="2"/>
      <c r="Q36" s="3"/>
      <c r="R36" s="2"/>
      <c r="S36" s="3"/>
      <c r="T36" s="2"/>
      <c r="U36" s="3"/>
      <c r="V36" s="2"/>
      <c r="W36" s="3"/>
      <c r="X36" s="2"/>
      <c r="Y36" s="3"/>
      <c r="Z36" s="2"/>
      <c r="AA36" s="3"/>
      <c r="AB36" s="2"/>
      <c r="AC36" s="3"/>
      <c r="AD36" s="4"/>
      <c r="AE36" s="5"/>
      <c r="AF36" s="4"/>
      <c r="AG36" s="2"/>
      <c r="AH36" s="3"/>
      <c r="AI36" s="4"/>
      <c r="AJ36" s="5"/>
      <c r="AK36" s="4"/>
      <c r="AL36" s="5"/>
    </row>
    <row r="37" spans="1:38" ht="16.5" hidden="1" customHeight="1" x14ac:dyDescent="0.3">
      <c r="A37" s="23" t="s">
        <v>52</v>
      </c>
      <c r="B37" s="7">
        <v>0</v>
      </c>
      <c r="C37" s="8">
        <f>IFERROR(B37/B148, "NA")</f>
        <v>0</v>
      </c>
      <c r="D37" s="7">
        <v>0</v>
      </c>
      <c r="E37" s="8">
        <f>IFERROR(D37/D148, "NA")</f>
        <v>0</v>
      </c>
      <c r="F37" s="7">
        <v>0</v>
      </c>
      <c r="G37" s="8">
        <f>IFERROR(F37/F148, "NA")</f>
        <v>0</v>
      </c>
      <c r="H37" s="7">
        <v>0</v>
      </c>
      <c r="I37" s="8">
        <f>IFERROR(H37/H148, "NA")</f>
        <v>0</v>
      </c>
      <c r="J37" s="7">
        <v>0</v>
      </c>
      <c r="K37" s="8">
        <f>IFERROR(J37/J148, "NA")</f>
        <v>0</v>
      </c>
      <c r="L37" s="7">
        <v>0</v>
      </c>
      <c r="M37" s="8">
        <f>IFERROR(L37/L148, "NA")</f>
        <v>0</v>
      </c>
      <c r="N37" s="7">
        <v>0</v>
      </c>
      <c r="O37" s="8">
        <f>IFERROR(N37/N148, "NA")</f>
        <v>0</v>
      </c>
      <c r="P37" s="7">
        <v>0</v>
      </c>
      <c r="Q37" s="8">
        <f>IFERROR(P37/P148, "NA")</f>
        <v>0</v>
      </c>
      <c r="R37" s="7">
        <v>0</v>
      </c>
      <c r="S37" s="8">
        <f>IFERROR(R37/R148, "NA")</f>
        <v>0</v>
      </c>
      <c r="T37" s="7">
        <v>0</v>
      </c>
      <c r="U37" s="8">
        <f>IFERROR(T37/T148, "NA")</f>
        <v>0</v>
      </c>
      <c r="V37" s="7">
        <v>0</v>
      </c>
      <c r="W37" s="8">
        <f>IFERROR(V37/V148, "NA")</f>
        <v>0</v>
      </c>
      <c r="X37" s="7">
        <v>0</v>
      </c>
      <c r="Y37" s="8">
        <f>IFERROR(X37/X148, "NA")</f>
        <v>0</v>
      </c>
      <c r="Z37" s="7">
        <v>0</v>
      </c>
      <c r="AA37" s="8">
        <f>IFERROR(Z37/Z148, "NA")</f>
        <v>0</v>
      </c>
      <c r="AB37" s="9">
        <f>IFERROR((R37+T37+V37+X37)/4, "NA")</f>
        <v>0</v>
      </c>
      <c r="AC37" s="8">
        <f>IFERROR(AB37/AB148, "NA")</f>
        <v>0</v>
      </c>
      <c r="AD37" s="10">
        <f>IFERROR(X37-AB37, "NA")</f>
        <v>0</v>
      </c>
      <c r="AE37" s="11">
        <f>IFERROR(AD37/AD148, "NA")</f>
        <v>0</v>
      </c>
      <c r="AF37" s="10" t="str">
        <f>IFERROR((X37-AB37)/AB37, "NA")</f>
        <v>NA</v>
      </c>
      <c r="AG37" s="9">
        <f>IFERROR((J37+L37+N37+P37+R37+T37+V37+X37)/8, "NA")</f>
        <v>0</v>
      </c>
      <c r="AH37" s="8">
        <f>IFERROR(AG37/AG148, "NA")</f>
        <v>0</v>
      </c>
      <c r="AI37" s="10">
        <f>IFERROR(X37-AG37, "NA")</f>
        <v>0</v>
      </c>
      <c r="AJ37" s="11">
        <f>IFERROR(AI37/AI148, "NA")</f>
        <v>0</v>
      </c>
      <c r="AK37" s="10" t="str">
        <f>IFERROR((X37-AG37)/AG37, "NA")</f>
        <v>NA</v>
      </c>
      <c r="AL37" s="11" t="str">
        <f>IFERROR(AK37/AK148, "NA")</f>
        <v>NA</v>
      </c>
    </row>
    <row r="38" spans="1:38" ht="16.5" customHeight="1" x14ac:dyDescent="0.3">
      <c r="A38" s="24" t="s">
        <v>53</v>
      </c>
      <c r="B38" s="2"/>
      <c r="C38" s="3"/>
      <c r="D38" s="2"/>
      <c r="E38" s="3"/>
      <c r="F38" s="2"/>
      <c r="G38" s="3"/>
      <c r="H38" s="2"/>
      <c r="I38" s="3"/>
      <c r="J38" s="2"/>
      <c r="K38" s="3"/>
      <c r="L38" s="2"/>
      <c r="M38" s="3"/>
      <c r="N38" s="2"/>
      <c r="O38" s="3"/>
      <c r="P38" s="2"/>
      <c r="Q38" s="3"/>
      <c r="R38" s="2"/>
      <c r="S38" s="3"/>
      <c r="T38" s="2"/>
      <c r="U38" s="3"/>
      <c r="V38" s="2"/>
      <c r="W38" s="3"/>
      <c r="X38" s="2"/>
      <c r="Y38" s="3"/>
      <c r="Z38" s="2"/>
      <c r="AA38" s="3"/>
      <c r="AB38" s="2"/>
      <c r="AC38" s="3"/>
      <c r="AD38" s="4"/>
      <c r="AE38" s="5"/>
      <c r="AF38" s="4"/>
      <c r="AG38" s="2"/>
      <c r="AH38" s="3"/>
      <c r="AI38" s="4"/>
      <c r="AJ38" s="5"/>
      <c r="AK38" s="4"/>
      <c r="AL38" s="5"/>
    </row>
    <row r="39" spans="1:38" ht="16.5" hidden="1" customHeight="1" x14ac:dyDescent="0.3">
      <c r="A39" s="25" t="s">
        <v>54</v>
      </c>
      <c r="B39" s="7">
        <v>0</v>
      </c>
      <c r="C39" s="8">
        <f>IFERROR(B39/B148, "NA")</f>
        <v>0</v>
      </c>
      <c r="D39" s="7">
        <v>0</v>
      </c>
      <c r="E39" s="8">
        <f>IFERROR(D39/D148, "NA")</f>
        <v>0</v>
      </c>
      <c r="F39" s="7">
        <v>0</v>
      </c>
      <c r="G39" s="8">
        <f>IFERROR(F39/F148, "NA")</f>
        <v>0</v>
      </c>
      <c r="H39" s="7">
        <v>0</v>
      </c>
      <c r="I39" s="8">
        <f>IFERROR(H39/H148, "NA")</f>
        <v>0</v>
      </c>
      <c r="J39" s="7">
        <v>0</v>
      </c>
      <c r="K39" s="8">
        <f>IFERROR(J39/J148, "NA")</f>
        <v>0</v>
      </c>
      <c r="L39" s="7">
        <v>0</v>
      </c>
      <c r="M39" s="8">
        <f>IFERROR(L39/L148, "NA")</f>
        <v>0</v>
      </c>
      <c r="N39" s="7">
        <v>0</v>
      </c>
      <c r="O39" s="8">
        <f>IFERROR(N39/N148, "NA")</f>
        <v>0</v>
      </c>
      <c r="P39" s="7">
        <v>0</v>
      </c>
      <c r="Q39" s="8">
        <f>IFERROR(P39/P148, "NA")</f>
        <v>0</v>
      </c>
      <c r="R39" s="7">
        <v>0</v>
      </c>
      <c r="S39" s="8">
        <f>IFERROR(R39/R148, "NA")</f>
        <v>0</v>
      </c>
      <c r="T39" s="7">
        <v>0</v>
      </c>
      <c r="U39" s="8">
        <f>IFERROR(T39/T148, "NA")</f>
        <v>0</v>
      </c>
      <c r="V39" s="7">
        <v>0</v>
      </c>
      <c r="W39" s="8">
        <f>IFERROR(V39/V148, "NA")</f>
        <v>0</v>
      </c>
      <c r="X39" s="7">
        <v>0</v>
      </c>
      <c r="Y39" s="8">
        <f>IFERROR(X39/X148, "NA")</f>
        <v>0</v>
      </c>
      <c r="Z39" s="7">
        <v>0</v>
      </c>
      <c r="AA39" s="8">
        <f>IFERROR(Z39/Z148, "NA")</f>
        <v>0</v>
      </c>
      <c r="AB39" s="9">
        <f t="shared" ref="AB39:AB44" si="12">IFERROR((R39+T39+V39+X39)/4, "NA")</f>
        <v>0</v>
      </c>
      <c r="AC39" s="8">
        <f>IFERROR(AB39/AB148, "NA")</f>
        <v>0</v>
      </c>
      <c r="AD39" s="10">
        <f t="shared" ref="AD39:AD44" si="13">IFERROR(X39-AB39, "NA")</f>
        <v>0</v>
      </c>
      <c r="AE39" s="11">
        <f>IFERROR(AD39/AD148, "NA")</f>
        <v>0</v>
      </c>
      <c r="AF39" s="10" t="str">
        <f t="shared" ref="AF39:AF44" si="14">IFERROR((X39-AB39)/AB39, "NA")</f>
        <v>NA</v>
      </c>
      <c r="AG39" s="9">
        <f t="shared" ref="AG39:AG44" si="15">IFERROR((J39+L39+N39+P39+R39+T39+V39+X39)/8, "NA")</f>
        <v>0</v>
      </c>
      <c r="AH39" s="8">
        <f>IFERROR(AG39/AG148, "NA")</f>
        <v>0</v>
      </c>
      <c r="AI39" s="10">
        <f t="shared" ref="AI39:AI44" si="16">IFERROR(X39-AG39, "NA")</f>
        <v>0</v>
      </c>
      <c r="AJ39" s="11">
        <f>IFERROR(AI39/AI148, "NA")</f>
        <v>0</v>
      </c>
      <c r="AK39" s="10" t="str">
        <f t="shared" ref="AK39:AK44" si="17">IFERROR((X39-AG39)/AG39, "NA")</f>
        <v>NA</v>
      </c>
      <c r="AL39" s="11" t="str">
        <f>IFERROR(AK39/AK148, "NA")</f>
        <v>NA</v>
      </c>
    </row>
    <row r="40" spans="1:38" ht="16.5" customHeight="1" x14ac:dyDescent="0.3">
      <c r="A40" s="25" t="s">
        <v>55</v>
      </c>
      <c r="B40" s="7">
        <v>3419.87</v>
      </c>
      <c r="C40" s="8">
        <f>IFERROR(B40/B148, "NA")</f>
        <v>2.8543818471774306E-2</v>
      </c>
      <c r="D40" s="7">
        <v>3641.4700000000003</v>
      </c>
      <c r="E40" s="8">
        <f>IFERROR(D40/D148, "NA")</f>
        <v>2.903269348199301E-2</v>
      </c>
      <c r="F40" s="7">
        <v>3923.86</v>
      </c>
      <c r="G40" s="8">
        <f>IFERROR(F40/F148, "NA")</f>
        <v>2.9295344188526602E-2</v>
      </c>
      <c r="H40" s="7">
        <v>3993.36</v>
      </c>
      <c r="I40" s="8">
        <f>IFERROR(H40/H148, "NA")</f>
        <v>3.1196726021817462E-2</v>
      </c>
      <c r="J40" s="7">
        <v>3186.51</v>
      </c>
      <c r="K40" s="8">
        <f>IFERROR(J40/J148, "NA")</f>
        <v>2.7525612819803386E-2</v>
      </c>
      <c r="L40" s="7">
        <v>3693.2099999999996</v>
      </c>
      <c r="M40" s="8">
        <f>IFERROR(L40/L148, "NA")</f>
        <v>2.7318488838668525E-2</v>
      </c>
      <c r="N40" s="7">
        <v>3889.5200000000004</v>
      </c>
      <c r="O40" s="8">
        <f>IFERROR(N40/N148, "NA")</f>
        <v>3.0686085913813846E-2</v>
      </c>
      <c r="P40" s="7">
        <v>3192.06</v>
      </c>
      <c r="Q40" s="8">
        <f>IFERROR(P40/P148, "NA")</f>
        <v>2.3347635441717331E-2</v>
      </c>
      <c r="R40" s="7">
        <v>4103.4799999999996</v>
      </c>
      <c r="S40" s="8">
        <f>IFERROR(R40/R148, "NA")</f>
        <v>2.7412731259931603E-2</v>
      </c>
      <c r="T40" s="7">
        <v>3662.3900000000003</v>
      </c>
      <c r="U40" s="8">
        <f>IFERROR(T40/T148, "NA")</f>
        <v>2.9751990518720517E-2</v>
      </c>
      <c r="V40" s="7">
        <v>3942.89</v>
      </c>
      <c r="W40" s="8">
        <f>IFERROR(V40/V148, "NA")</f>
        <v>2.3710855400639243E-2</v>
      </c>
      <c r="X40" s="7">
        <v>3972.9</v>
      </c>
      <c r="Y40" s="8">
        <f>IFERROR(X40/X148, "NA")</f>
        <v>2.3941894398100509E-2</v>
      </c>
      <c r="Z40" s="7">
        <v>11578.18</v>
      </c>
      <c r="AA40" s="8">
        <f>IFERROR(Z40/Z148, "NA")</f>
        <v>2.5428271273839953E-2</v>
      </c>
      <c r="AB40" s="9">
        <f t="shared" si="12"/>
        <v>3920.415</v>
      </c>
      <c r="AC40" s="8">
        <f>IFERROR(AB40/AB148, "NA")</f>
        <v>2.5919261617248564E-2</v>
      </c>
      <c r="AD40" s="10">
        <f t="shared" si="13"/>
        <v>52.485000000000127</v>
      </c>
      <c r="AE40" s="11">
        <f>IFERROR(AD40/AD148, "NA")</f>
        <v>3.5742103206727678E-3</v>
      </c>
      <c r="AF40" s="10">
        <f t="shared" si="14"/>
        <v>1.3387613301142897E-2</v>
      </c>
      <c r="AG40" s="9">
        <f t="shared" si="15"/>
        <v>3705.37</v>
      </c>
      <c r="AH40" s="8">
        <f>IFERROR(AG40/AG148, "NA")</f>
        <v>2.6480018211859652E-2</v>
      </c>
      <c r="AI40" s="10">
        <f t="shared" si="16"/>
        <v>267.5300000000002</v>
      </c>
      <c r="AJ40" s="11">
        <f>IFERROR(AI40/AI148, "NA")</f>
        <v>1.0286270368616681E-2</v>
      </c>
      <c r="AK40" s="10">
        <f t="shared" si="17"/>
        <v>7.2200616942437651E-2</v>
      </c>
      <c r="AL40" s="11">
        <f>IFERROR(AK40/AK148, "NA")</f>
        <v>0.38845405189373128</v>
      </c>
    </row>
    <row r="41" spans="1:38" ht="16.5" customHeight="1" x14ac:dyDescent="0.3">
      <c r="A41" s="25" t="s">
        <v>56</v>
      </c>
      <c r="B41" s="7">
        <v>1376.23</v>
      </c>
      <c r="C41" s="8">
        <f>IFERROR(B41/B148, "NA")</f>
        <v>1.1486652795401568E-2</v>
      </c>
      <c r="D41" s="7">
        <v>1450.28</v>
      </c>
      <c r="E41" s="8">
        <f>IFERROR(D41/D148, "NA")</f>
        <v>1.1562785002503061E-2</v>
      </c>
      <c r="F41" s="7">
        <v>1638.44</v>
      </c>
      <c r="G41" s="8">
        <f>IFERROR(F41/F148, "NA")</f>
        <v>1.2232511795081762E-2</v>
      </c>
      <c r="H41" s="7">
        <v>1195.81</v>
      </c>
      <c r="I41" s="8">
        <f>IFERROR(H41/H148, "NA")</f>
        <v>9.3418467015619778E-3</v>
      </c>
      <c r="J41" s="7">
        <v>1235.2700000000002</v>
      </c>
      <c r="K41" s="8">
        <f>IFERROR(J41/J148, "NA")</f>
        <v>1.0670471377123729E-2</v>
      </c>
      <c r="L41" s="7">
        <v>1598.96</v>
      </c>
      <c r="M41" s="8">
        <f>IFERROR(L41/L148, "NA")</f>
        <v>1.1827426794977116E-2</v>
      </c>
      <c r="N41" s="7">
        <v>1169.6000000000001</v>
      </c>
      <c r="O41" s="8">
        <f>IFERROR(N41/N148, "NA")</f>
        <v>9.2274743631082182E-3</v>
      </c>
      <c r="P41" s="7">
        <v>1904.04</v>
      </c>
      <c r="Q41" s="8">
        <f>IFERROR(P41/P148, "NA")</f>
        <v>1.39266905341527E-2</v>
      </c>
      <c r="R41" s="7">
        <v>878.40000000000009</v>
      </c>
      <c r="S41" s="8">
        <f>IFERROR(R41/R148, "NA")</f>
        <v>5.8680298523994092E-3</v>
      </c>
      <c r="T41" s="7">
        <v>1440.48</v>
      </c>
      <c r="U41" s="8">
        <f>IFERROR(T41/T148, "NA")</f>
        <v>1.1701961643191067E-2</v>
      </c>
      <c r="V41" s="7">
        <v>1895.9699999999998</v>
      </c>
      <c r="W41" s="8">
        <f>IFERROR(V41/V148, "NA")</f>
        <v>1.1401553305811215E-2</v>
      </c>
      <c r="X41" s="7">
        <v>1472.76</v>
      </c>
      <c r="Y41" s="8">
        <f>IFERROR(X41/X148, "NA")</f>
        <v>8.8752962303975703E-3</v>
      </c>
      <c r="Z41" s="7">
        <v>4809.21</v>
      </c>
      <c r="AA41" s="8">
        <f>IFERROR(Z41/Z148, "NA")</f>
        <v>1.0562100130837821E-2</v>
      </c>
      <c r="AB41" s="9">
        <f t="shared" si="12"/>
        <v>1421.9025000000001</v>
      </c>
      <c r="AC41" s="8">
        <f>IFERROR(AB41/AB148, "NA")</f>
        <v>9.4007044896317823E-3</v>
      </c>
      <c r="AD41" s="10">
        <f t="shared" si="13"/>
        <v>50.857499999999845</v>
      </c>
      <c r="AE41" s="11">
        <f>IFERROR(AD41/AD148, "NA")</f>
        <v>3.463378134392956E-3</v>
      </c>
      <c r="AF41" s="10">
        <f t="shared" si="14"/>
        <v>3.5767220326288082E-2</v>
      </c>
      <c r="AG41" s="9">
        <f t="shared" si="15"/>
        <v>1449.4349999999999</v>
      </c>
      <c r="AH41" s="8">
        <f>IFERROR(AG41/AG148, "NA")</f>
        <v>1.0358227436641089E-2</v>
      </c>
      <c r="AI41" s="10">
        <f t="shared" si="16"/>
        <v>23.325000000000045</v>
      </c>
      <c r="AJ41" s="11">
        <f>IFERROR(AI41/AI148, "NA")</f>
        <v>8.9682374443234155E-4</v>
      </c>
      <c r="AK41" s="10">
        <f t="shared" si="17"/>
        <v>1.6092477413612923E-2</v>
      </c>
      <c r="AL41" s="11">
        <f>IFERROR(AK41/AK148, "NA")</f>
        <v>8.6580812201509136E-2</v>
      </c>
    </row>
    <row r="42" spans="1:38" ht="16.5" hidden="1" customHeight="1" x14ac:dyDescent="0.3">
      <c r="A42" s="25" t="s">
        <v>57</v>
      </c>
      <c r="B42" s="7">
        <v>0</v>
      </c>
      <c r="C42" s="8">
        <f>IFERROR(B42/B148, "NA")</f>
        <v>0</v>
      </c>
      <c r="D42" s="7">
        <v>0</v>
      </c>
      <c r="E42" s="8">
        <f>IFERROR(D42/D148, "NA")</f>
        <v>0</v>
      </c>
      <c r="F42" s="7">
        <v>0</v>
      </c>
      <c r="G42" s="8">
        <f>IFERROR(F42/F148, "NA")</f>
        <v>0</v>
      </c>
      <c r="H42" s="7">
        <v>0</v>
      </c>
      <c r="I42" s="8">
        <f>IFERROR(H42/H148, "NA")</f>
        <v>0</v>
      </c>
      <c r="J42" s="7">
        <v>0</v>
      </c>
      <c r="K42" s="8">
        <f>IFERROR(J42/J148, "NA")</f>
        <v>0</v>
      </c>
      <c r="L42" s="7">
        <v>0</v>
      </c>
      <c r="M42" s="8">
        <f>IFERROR(L42/L148, "NA")</f>
        <v>0</v>
      </c>
      <c r="N42" s="7">
        <v>0</v>
      </c>
      <c r="O42" s="8">
        <f>IFERROR(N42/N148, "NA")</f>
        <v>0</v>
      </c>
      <c r="P42" s="7">
        <v>0</v>
      </c>
      <c r="Q42" s="8">
        <f>IFERROR(P42/P148, "NA")</f>
        <v>0</v>
      </c>
      <c r="R42" s="7">
        <v>0</v>
      </c>
      <c r="S42" s="8">
        <f>IFERROR(R42/R148, "NA")</f>
        <v>0</v>
      </c>
      <c r="T42" s="7">
        <v>0</v>
      </c>
      <c r="U42" s="8">
        <f>IFERROR(T42/T148, "NA")</f>
        <v>0</v>
      </c>
      <c r="V42" s="7">
        <v>0</v>
      </c>
      <c r="W42" s="8">
        <f>IFERROR(V42/V148, "NA")</f>
        <v>0</v>
      </c>
      <c r="X42" s="7">
        <v>0</v>
      </c>
      <c r="Y42" s="8">
        <f>IFERROR(X42/X148, "NA")</f>
        <v>0</v>
      </c>
      <c r="Z42" s="7">
        <v>0</v>
      </c>
      <c r="AA42" s="8">
        <f>IFERROR(Z42/Z148, "NA")</f>
        <v>0</v>
      </c>
      <c r="AB42" s="9">
        <f t="shared" si="12"/>
        <v>0</v>
      </c>
      <c r="AC42" s="8">
        <f>IFERROR(AB42/AB148, "NA")</f>
        <v>0</v>
      </c>
      <c r="AD42" s="10">
        <f t="shared" si="13"/>
        <v>0</v>
      </c>
      <c r="AE42" s="11">
        <f>IFERROR(AD42/AD148, "NA")</f>
        <v>0</v>
      </c>
      <c r="AF42" s="10" t="str">
        <f t="shared" si="14"/>
        <v>NA</v>
      </c>
      <c r="AG42" s="9">
        <f t="shared" si="15"/>
        <v>0</v>
      </c>
      <c r="AH42" s="8">
        <f>IFERROR(AG42/AG148, "NA")</f>
        <v>0</v>
      </c>
      <c r="AI42" s="10">
        <f t="shared" si="16"/>
        <v>0</v>
      </c>
      <c r="AJ42" s="11">
        <f>IFERROR(AI42/AI148, "NA")</f>
        <v>0</v>
      </c>
      <c r="AK42" s="10" t="str">
        <f t="shared" si="17"/>
        <v>NA</v>
      </c>
      <c r="AL42" s="11" t="str">
        <f>IFERROR(AK42/AK148, "NA")</f>
        <v>NA</v>
      </c>
    </row>
    <row r="43" spans="1:38" ht="16.5" hidden="1" customHeight="1" x14ac:dyDescent="0.3">
      <c r="A43" s="25" t="s">
        <v>58</v>
      </c>
      <c r="B43" s="7">
        <v>0</v>
      </c>
      <c r="C43" s="8">
        <f>IFERROR(B43/B148, "NA")</f>
        <v>0</v>
      </c>
      <c r="D43" s="7">
        <v>0</v>
      </c>
      <c r="E43" s="8">
        <f>IFERROR(D43/D148, "NA")</f>
        <v>0</v>
      </c>
      <c r="F43" s="7">
        <v>0</v>
      </c>
      <c r="G43" s="8">
        <f>IFERROR(F43/F148, "NA")</f>
        <v>0</v>
      </c>
      <c r="H43" s="7">
        <v>0</v>
      </c>
      <c r="I43" s="8">
        <f>IFERROR(H43/H148, "NA")</f>
        <v>0</v>
      </c>
      <c r="J43" s="7">
        <v>0</v>
      </c>
      <c r="K43" s="8">
        <f>IFERROR(J43/J148, "NA")</f>
        <v>0</v>
      </c>
      <c r="L43" s="7">
        <v>0</v>
      </c>
      <c r="M43" s="8">
        <f>IFERROR(L43/L148, "NA")</f>
        <v>0</v>
      </c>
      <c r="N43" s="7">
        <v>0</v>
      </c>
      <c r="O43" s="8">
        <f>IFERROR(N43/N148, "NA")</f>
        <v>0</v>
      </c>
      <c r="P43" s="7">
        <v>0</v>
      </c>
      <c r="Q43" s="8">
        <f>IFERROR(P43/P148, "NA")</f>
        <v>0</v>
      </c>
      <c r="R43" s="7">
        <v>0</v>
      </c>
      <c r="S43" s="8">
        <f>IFERROR(R43/R148, "NA")</f>
        <v>0</v>
      </c>
      <c r="T43" s="7">
        <v>0</v>
      </c>
      <c r="U43" s="8">
        <f>IFERROR(T43/T148, "NA")</f>
        <v>0</v>
      </c>
      <c r="V43" s="7">
        <v>0</v>
      </c>
      <c r="W43" s="8">
        <f>IFERROR(V43/V148, "NA")</f>
        <v>0</v>
      </c>
      <c r="X43" s="7">
        <v>0</v>
      </c>
      <c r="Y43" s="8">
        <f>IFERROR(X43/X148, "NA")</f>
        <v>0</v>
      </c>
      <c r="Z43" s="7">
        <v>0</v>
      </c>
      <c r="AA43" s="8">
        <f>IFERROR(Z43/Z148, "NA")</f>
        <v>0</v>
      </c>
      <c r="AB43" s="9">
        <f t="shared" si="12"/>
        <v>0</v>
      </c>
      <c r="AC43" s="8">
        <f>IFERROR(AB43/AB148, "NA")</f>
        <v>0</v>
      </c>
      <c r="AD43" s="10">
        <f t="shared" si="13"/>
        <v>0</v>
      </c>
      <c r="AE43" s="11">
        <f>IFERROR(AD43/AD148, "NA")</f>
        <v>0</v>
      </c>
      <c r="AF43" s="10" t="str">
        <f t="shared" si="14"/>
        <v>NA</v>
      </c>
      <c r="AG43" s="9">
        <f t="shared" si="15"/>
        <v>0</v>
      </c>
      <c r="AH43" s="8">
        <f>IFERROR(AG43/AG148, "NA")</f>
        <v>0</v>
      </c>
      <c r="AI43" s="10">
        <f t="shared" si="16"/>
        <v>0</v>
      </c>
      <c r="AJ43" s="11">
        <f>IFERROR(AI43/AI148, "NA")</f>
        <v>0</v>
      </c>
      <c r="AK43" s="10" t="str">
        <f t="shared" si="17"/>
        <v>NA</v>
      </c>
      <c r="AL43" s="11" t="str">
        <f>IFERROR(AK43/AK148, "NA")</f>
        <v>NA</v>
      </c>
    </row>
    <row r="44" spans="1:38" ht="16.5" customHeight="1" x14ac:dyDescent="0.3">
      <c r="A44" s="26" t="s">
        <v>59</v>
      </c>
      <c r="B44" s="13">
        <f>IFERROR(B39+B40+B41+B42+B43, "NA")</f>
        <v>4796.1000000000004</v>
      </c>
      <c r="C44" s="14">
        <f>IFERROR(B44/B148, "NA")</f>
        <v>4.0030471267175877E-2</v>
      </c>
      <c r="D44" s="13">
        <f>IFERROR(D39+D40+D41+D42+D43, "NA")</f>
        <v>5091.75</v>
      </c>
      <c r="E44" s="14">
        <f>IFERROR(D44/D148, "NA")</f>
        <v>4.0595478484496066E-2</v>
      </c>
      <c r="F44" s="13">
        <f>IFERROR(F39+F40+F41+F42+F43, "NA")</f>
        <v>5562.3</v>
      </c>
      <c r="G44" s="14">
        <f>IFERROR(F44/F148, "NA")</f>
        <v>4.1527855983608364E-2</v>
      </c>
      <c r="H44" s="13">
        <f>IFERROR(H39+H40+H41+H42+H43, "NA")</f>
        <v>5189.17</v>
      </c>
      <c r="I44" s="14">
        <f>IFERROR(H44/H148, "NA")</f>
        <v>4.0538572723379442E-2</v>
      </c>
      <c r="J44" s="13">
        <f>IFERROR(J39+J40+J41+J42+J43, "NA")</f>
        <v>4421.7800000000007</v>
      </c>
      <c r="K44" s="14">
        <f>IFERROR(J44/J148, "NA")</f>
        <v>3.8196084196927119E-2</v>
      </c>
      <c r="L44" s="13">
        <f>IFERROR(L39+L40+L41+L42+L43, "NA")</f>
        <v>5292.17</v>
      </c>
      <c r="M44" s="14">
        <f>IFERROR(L44/L148, "NA")</f>
        <v>3.9145915633645646E-2</v>
      </c>
      <c r="N44" s="13">
        <f>IFERROR(N39+N40+N41+N42+N43, "NA")</f>
        <v>5059.1200000000008</v>
      </c>
      <c r="O44" s="14">
        <f>IFERROR(N44/N148, "NA")</f>
        <v>3.9913560276922062E-2</v>
      </c>
      <c r="P44" s="13">
        <f>IFERROR(P39+P40+P41+P42+P43, "NA")</f>
        <v>5096.1000000000004</v>
      </c>
      <c r="Q44" s="14">
        <f>IFERROR(P44/P148, "NA")</f>
        <v>3.7274325975870035E-2</v>
      </c>
      <c r="R44" s="13">
        <f>IFERROR(R39+R40+R41+R42+R43, "NA")</f>
        <v>4981.8799999999992</v>
      </c>
      <c r="S44" s="14">
        <f>IFERROR(R44/R148, "NA")</f>
        <v>3.3280761112331012E-2</v>
      </c>
      <c r="T44" s="13">
        <f>IFERROR(T39+T40+T41+T42+T43, "NA")</f>
        <v>5102.8700000000008</v>
      </c>
      <c r="U44" s="14">
        <f>IFERROR(T44/T148, "NA")</f>
        <v>4.1453952161911591E-2</v>
      </c>
      <c r="V44" s="13">
        <f>IFERROR(V39+V40+V41+V42+V43, "NA")</f>
        <v>5838.86</v>
      </c>
      <c r="W44" s="14">
        <f>IFERROR(V44/V148, "NA")</f>
        <v>3.5112408706450458E-2</v>
      </c>
      <c r="X44" s="13">
        <f>IFERROR(X39+X40+X41+X42+X43, "NA")</f>
        <v>5445.66</v>
      </c>
      <c r="Y44" s="14">
        <f>IFERROR(X44/X148, "NA")</f>
        <v>3.2817190628498076E-2</v>
      </c>
      <c r="Z44" s="13">
        <f>IFERROR(Z39+Z40+Z41+Z42+Z43, "NA")</f>
        <v>16387.39</v>
      </c>
      <c r="AA44" s="14">
        <f>IFERROR(Z44/Z148, "NA")</f>
        <v>3.5990371404677771E-2</v>
      </c>
      <c r="AB44" s="13">
        <f t="shared" si="12"/>
        <v>5342.3175000000001</v>
      </c>
      <c r="AC44" s="14">
        <f>IFERROR(AB44/AB148, "NA")</f>
        <v>3.5319966106880346E-2</v>
      </c>
      <c r="AD44" s="15">
        <f t="shared" si="13"/>
        <v>103.34249999999975</v>
      </c>
      <c r="AE44" s="16">
        <f>IFERROR(AD44/AD148, "NA")</f>
        <v>7.0375884550657091E-3</v>
      </c>
      <c r="AF44" s="15">
        <f t="shared" si="14"/>
        <v>1.9344132953535566E-2</v>
      </c>
      <c r="AG44" s="13">
        <f t="shared" si="15"/>
        <v>5154.8050000000003</v>
      </c>
      <c r="AH44" s="14">
        <f>IFERROR(AG44/AG148, "NA")</f>
        <v>3.6838245648500745E-2</v>
      </c>
      <c r="AI44" s="15">
        <f t="shared" si="16"/>
        <v>290.85499999999956</v>
      </c>
      <c r="AJ44" s="16">
        <f>IFERROR(AI44/AI148, "NA")</f>
        <v>1.1183094113048995E-2</v>
      </c>
      <c r="AK44" s="15">
        <f t="shared" si="17"/>
        <v>5.6424054838155768E-2</v>
      </c>
      <c r="AL44" s="16">
        <f>IFERROR(AK44/AK148, "NA")</f>
        <v>0.30357292851985007</v>
      </c>
    </row>
    <row r="45" spans="1:38" ht="16.5" customHeight="1" x14ac:dyDescent="0.3">
      <c r="A45" s="24" t="s">
        <v>60</v>
      </c>
      <c r="B45" s="2"/>
      <c r="C45" s="3"/>
      <c r="D45" s="2"/>
      <c r="E45" s="3"/>
      <c r="F45" s="2"/>
      <c r="G45" s="3"/>
      <c r="H45" s="2"/>
      <c r="I45" s="3"/>
      <c r="J45" s="2"/>
      <c r="K45" s="3"/>
      <c r="L45" s="2"/>
      <c r="M45" s="3"/>
      <c r="N45" s="2"/>
      <c r="O45" s="3"/>
      <c r="P45" s="2"/>
      <c r="Q45" s="3"/>
      <c r="R45" s="2"/>
      <c r="S45" s="3"/>
      <c r="T45" s="2"/>
      <c r="U45" s="3"/>
      <c r="V45" s="2"/>
      <c r="W45" s="3"/>
      <c r="X45" s="2"/>
      <c r="Y45" s="3"/>
      <c r="Z45" s="2"/>
      <c r="AA45" s="3"/>
      <c r="AB45" s="2"/>
      <c r="AC45" s="3"/>
      <c r="AD45" s="4"/>
      <c r="AE45" s="5"/>
      <c r="AF45" s="4"/>
      <c r="AG45" s="2"/>
      <c r="AH45" s="3"/>
      <c r="AI45" s="4"/>
      <c r="AJ45" s="5"/>
      <c r="AK45" s="4"/>
      <c r="AL45" s="5"/>
    </row>
    <row r="46" spans="1:38" ht="16.5" hidden="1" customHeight="1" x14ac:dyDescent="0.3">
      <c r="A46" s="25" t="s">
        <v>61</v>
      </c>
      <c r="B46" s="7">
        <v>0</v>
      </c>
      <c r="C46" s="8">
        <f>IFERROR(B46/B148, "NA")</f>
        <v>0</v>
      </c>
      <c r="D46" s="7">
        <v>0</v>
      </c>
      <c r="E46" s="8">
        <f>IFERROR(D46/D148, "NA")</f>
        <v>0</v>
      </c>
      <c r="F46" s="7">
        <v>0</v>
      </c>
      <c r="G46" s="8">
        <f>IFERROR(F46/F148, "NA")</f>
        <v>0</v>
      </c>
      <c r="H46" s="7">
        <v>0</v>
      </c>
      <c r="I46" s="8">
        <f>IFERROR(H46/H148, "NA")</f>
        <v>0</v>
      </c>
      <c r="J46" s="7">
        <v>0</v>
      </c>
      <c r="K46" s="8">
        <f>IFERROR(J46/J148, "NA")</f>
        <v>0</v>
      </c>
      <c r="L46" s="7">
        <v>0</v>
      </c>
      <c r="M46" s="8">
        <f>IFERROR(L46/L148, "NA")</f>
        <v>0</v>
      </c>
      <c r="N46" s="7">
        <v>0</v>
      </c>
      <c r="O46" s="8">
        <f>IFERROR(N46/N148, "NA")</f>
        <v>0</v>
      </c>
      <c r="P46" s="7">
        <v>0</v>
      </c>
      <c r="Q46" s="8">
        <f>IFERROR(P46/P148, "NA")</f>
        <v>0</v>
      </c>
      <c r="R46" s="7">
        <v>0</v>
      </c>
      <c r="S46" s="8">
        <f>IFERROR(R46/R148, "NA")</f>
        <v>0</v>
      </c>
      <c r="T46" s="7">
        <v>0</v>
      </c>
      <c r="U46" s="8">
        <f>IFERROR(T46/T148, "NA")</f>
        <v>0</v>
      </c>
      <c r="V46" s="7">
        <v>0</v>
      </c>
      <c r="W46" s="8">
        <f>IFERROR(V46/V148, "NA")</f>
        <v>0</v>
      </c>
      <c r="X46" s="7">
        <v>0</v>
      </c>
      <c r="Y46" s="8">
        <f>IFERROR(X46/X148, "NA")</f>
        <v>0</v>
      </c>
      <c r="Z46" s="7">
        <v>0</v>
      </c>
      <c r="AA46" s="8">
        <f>IFERROR(Z46/Z148, "NA")</f>
        <v>0</v>
      </c>
      <c r="AB46" s="9">
        <f t="shared" ref="AB46:AB57" si="18">IFERROR((R46+T46+V46+X46)/4, "NA")</f>
        <v>0</v>
      </c>
      <c r="AC46" s="8">
        <f>IFERROR(AB46/AB148, "NA")</f>
        <v>0</v>
      </c>
      <c r="AD46" s="10">
        <f t="shared" ref="AD46:AD57" si="19">IFERROR(X46-AB46, "NA")</f>
        <v>0</v>
      </c>
      <c r="AE46" s="11">
        <f>IFERROR(AD46/AD148, "NA")</f>
        <v>0</v>
      </c>
      <c r="AF46" s="10" t="str">
        <f t="shared" ref="AF46:AF57" si="20">IFERROR((X46-AB46)/AB46, "NA")</f>
        <v>NA</v>
      </c>
      <c r="AG46" s="9">
        <f t="shared" ref="AG46:AG57" si="21">IFERROR((J46+L46+N46+P46+R46+T46+V46+X46)/8, "NA")</f>
        <v>0</v>
      </c>
      <c r="AH46" s="8">
        <f>IFERROR(AG46/AG148, "NA")</f>
        <v>0</v>
      </c>
      <c r="AI46" s="10">
        <f t="shared" ref="AI46:AI57" si="22">IFERROR(X46-AG46, "NA")</f>
        <v>0</v>
      </c>
      <c r="AJ46" s="11">
        <f>IFERROR(AI46/AI148, "NA")</f>
        <v>0</v>
      </c>
      <c r="AK46" s="10" t="str">
        <f t="shared" ref="AK46:AK57" si="23">IFERROR((X46-AG46)/AG46, "NA")</f>
        <v>NA</v>
      </c>
      <c r="AL46" s="11" t="str">
        <f>IFERROR(AK46/AK148, "NA")</f>
        <v>NA</v>
      </c>
    </row>
    <row r="47" spans="1:38" ht="16.5" customHeight="1" x14ac:dyDescent="0.3">
      <c r="A47" s="25" t="s">
        <v>62</v>
      </c>
      <c r="B47" s="7">
        <v>539.71</v>
      </c>
      <c r="C47" s="8">
        <f>IFERROR(B47/B148, "NA")</f>
        <v>4.5046695539307964E-3</v>
      </c>
      <c r="D47" s="7">
        <v>409.22</v>
      </c>
      <c r="E47" s="8">
        <f>IFERROR(D47/D148, "NA")</f>
        <v>3.2626271331910408E-3</v>
      </c>
      <c r="F47" s="7">
        <v>338.55999999999995</v>
      </c>
      <c r="G47" s="8">
        <f>IFERROR(F47/F148, "NA")</f>
        <v>2.5276721719091821E-3</v>
      </c>
      <c r="H47" s="7">
        <v>406.11</v>
      </c>
      <c r="I47" s="8">
        <f>IFERROR(H47/H148, "NA")</f>
        <v>3.1725921040728334E-3</v>
      </c>
      <c r="J47" s="7">
        <v>356.33</v>
      </c>
      <c r="K47" s="8">
        <f>IFERROR(J47/J148, "NA")</f>
        <v>3.0780388626053395E-3</v>
      </c>
      <c r="L47" s="7">
        <v>361.61</v>
      </c>
      <c r="M47" s="8">
        <f>IFERROR(L47/L148, "NA")</f>
        <v>2.6748110042350494E-3</v>
      </c>
      <c r="N47" s="7">
        <v>458.79999999999995</v>
      </c>
      <c r="O47" s="8">
        <f>IFERROR(N47/N148, "NA")</f>
        <v>3.6196693209593444E-3</v>
      </c>
      <c r="P47" s="7">
        <v>321.67999999999995</v>
      </c>
      <c r="Q47" s="8">
        <f>IFERROR(P47/P148, "NA")</f>
        <v>2.3528590843817565E-3</v>
      </c>
      <c r="R47" s="7">
        <v>272.64</v>
      </c>
      <c r="S47" s="8">
        <f>IFERROR(R47/R148, "NA")</f>
        <v>1.8213338558267015E-3</v>
      </c>
      <c r="T47" s="7">
        <v>291.20000000000005</v>
      </c>
      <c r="U47" s="8">
        <f>IFERROR(T47/T148, "NA")</f>
        <v>2.3656081517947065E-3</v>
      </c>
      <c r="V47" s="7">
        <v>352.73</v>
      </c>
      <c r="W47" s="8">
        <f>IFERROR(V47/V148, "NA")</f>
        <v>2.1211674749910549E-3</v>
      </c>
      <c r="X47" s="7">
        <v>398.49</v>
      </c>
      <c r="Y47" s="8">
        <f>IFERROR(X47/X148, "NA")</f>
        <v>2.4014210019630677E-3</v>
      </c>
      <c r="Z47" s="7">
        <v>1042.42</v>
      </c>
      <c r="AA47" s="8">
        <f>IFERROR(Z47/Z148, "NA")</f>
        <v>2.2893873252338662E-3</v>
      </c>
      <c r="AB47" s="9">
        <f t="shared" si="18"/>
        <v>328.76499999999999</v>
      </c>
      <c r="AC47" s="8">
        <f>IFERROR(AB47/AB148, "NA")</f>
        <v>2.1735826553042786E-3</v>
      </c>
      <c r="AD47" s="10">
        <f t="shared" si="19"/>
        <v>69.725000000000023</v>
      </c>
      <c r="AE47" s="11">
        <f>IFERROR(AD47/AD148, "NA")</f>
        <v>4.748248349221839E-3</v>
      </c>
      <c r="AF47" s="10">
        <f t="shared" si="20"/>
        <v>0.21208157802685818</v>
      </c>
      <c r="AG47" s="9">
        <f t="shared" si="21"/>
        <v>351.68500000000006</v>
      </c>
      <c r="AH47" s="8">
        <f>IFERROR(AG47/AG148, "NA")</f>
        <v>2.5132780814973573E-3</v>
      </c>
      <c r="AI47" s="10">
        <f t="shared" si="22"/>
        <v>46.80499999999995</v>
      </c>
      <c r="AJ47" s="11">
        <f>IFERROR(AI47/AI148, "NA")</f>
        <v>1.7996070893099945E-3</v>
      </c>
      <c r="AK47" s="10">
        <f t="shared" si="23"/>
        <v>0.13308784850078889</v>
      </c>
      <c r="AL47" s="11">
        <f>IFERROR(AK47/AK148, "NA")</f>
        <v>0.71603978189227147</v>
      </c>
    </row>
    <row r="48" spans="1:38" ht="16.5" customHeight="1" x14ac:dyDescent="0.3">
      <c r="A48" s="25" t="s">
        <v>63</v>
      </c>
      <c r="B48" s="7">
        <v>0</v>
      </c>
      <c r="C48" s="8">
        <f>IFERROR(B48/B148, "NA")</f>
        <v>0</v>
      </c>
      <c r="D48" s="7">
        <v>0</v>
      </c>
      <c r="E48" s="8">
        <f>IFERROR(D48/D148, "NA")</f>
        <v>0</v>
      </c>
      <c r="F48" s="7">
        <v>0</v>
      </c>
      <c r="G48" s="8">
        <f>IFERROR(F48/F148, "NA")</f>
        <v>0</v>
      </c>
      <c r="H48" s="7">
        <v>7.53</v>
      </c>
      <c r="I48" s="8">
        <f>IFERROR(H48/H148, "NA")</f>
        <v>5.882548704456535E-5</v>
      </c>
      <c r="J48" s="7">
        <v>0</v>
      </c>
      <c r="K48" s="8">
        <f>IFERROR(J48/J148, "NA")</f>
        <v>0</v>
      </c>
      <c r="L48" s="7">
        <v>0</v>
      </c>
      <c r="M48" s="8">
        <f>IFERROR(L48/L148, "NA")</f>
        <v>0</v>
      </c>
      <c r="N48" s="7">
        <v>0</v>
      </c>
      <c r="O48" s="8">
        <f>IFERROR(N48/N148, "NA")</f>
        <v>0</v>
      </c>
      <c r="P48" s="7">
        <v>0</v>
      </c>
      <c r="Q48" s="8">
        <f>IFERROR(P48/P148, "NA")</f>
        <v>0</v>
      </c>
      <c r="R48" s="7">
        <v>0</v>
      </c>
      <c r="S48" s="8">
        <f>IFERROR(R48/R148, "NA")</f>
        <v>0</v>
      </c>
      <c r="T48" s="7">
        <v>0</v>
      </c>
      <c r="U48" s="8">
        <f>IFERROR(T48/T148, "NA")</f>
        <v>0</v>
      </c>
      <c r="V48" s="7">
        <v>0</v>
      </c>
      <c r="W48" s="8">
        <f>IFERROR(V48/V148, "NA")</f>
        <v>0</v>
      </c>
      <c r="X48" s="7">
        <v>0</v>
      </c>
      <c r="Y48" s="8">
        <f>IFERROR(X48/X148, "NA")</f>
        <v>0</v>
      </c>
      <c r="Z48" s="7">
        <v>0</v>
      </c>
      <c r="AA48" s="8">
        <f>IFERROR(Z48/Z148, "NA")</f>
        <v>0</v>
      </c>
      <c r="AB48" s="9">
        <f t="shared" si="18"/>
        <v>0</v>
      </c>
      <c r="AC48" s="8">
        <f>IFERROR(AB48/AB148, "NA")</f>
        <v>0</v>
      </c>
      <c r="AD48" s="10">
        <f t="shared" si="19"/>
        <v>0</v>
      </c>
      <c r="AE48" s="11">
        <f>IFERROR(AD48/AD148, "NA")</f>
        <v>0</v>
      </c>
      <c r="AF48" s="10" t="str">
        <f t="shared" si="20"/>
        <v>NA</v>
      </c>
      <c r="AG48" s="9">
        <f t="shared" si="21"/>
        <v>0</v>
      </c>
      <c r="AH48" s="8">
        <f>IFERROR(AG48/AG148, "NA")</f>
        <v>0</v>
      </c>
      <c r="AI48" s="10">
        <f t="shared" si="22"/>
        <v>0</v>
      </c>
      <c r="AJ48" s="11">
        <f>IFERROR(AI48/AI148, "NA")</f>
        <v>0</v>
      </c>
      <c r="AK48" s="10" t="str">
        <f t="shared" si="23"/>
        <v>NA</v>
      </c>
      <c r="AL48" s="11" t="str">
        <f>IFERROR(AK48/AK148, "NA")</f>
        <v>NA</v>
      </c>
    </row>
    <row r="49" spans="1:38" ht="16.5" hidden="1" customHeight="1" x14ac:dyDescent="0.3">
      <c r="A49" s="25" t="s">
        <v>64</v>
      </c>
      <c r="B49" s="7">
        <v>0</v>
      </c>
      <c r="C49" s="8">
        <f>IFERROR(B49/B148, "NA")</f>
        <v>0</v>
      </c>
      <c r="D49" s="7">
        <v>0</v>
      </c>
      <c r="E49" s="8">
        <f>IFERROR(D49/D148, "NA")</f>
        <v>0</v>
      </c>
      <c r="F49" s="7">
        <v>0</v>
      </c>
      <c r="G49" s="8">
        <f>IFERROR(F49/F148, "NA")</f>
        <v>0</v>
      </c>
      <c r="H49" s="7">
        <v>0</v>
      </c>
      <c r="I49" s="8">
        <f>IFERROR(H49/H148, "NA")</f>
        <v>0</v>
      </c>
      <c r="J49" s="7">
        <v>0</v>
      </c>
      <c r="K49" s="8">
        <f>IFERROR(J49/J148, "NA")</f>
        <v>0</v>
      </c>
      <c r="L49" s="7">
        <v>0</v>
      </c>
      <c r="M49" s="8">
        <f>IFERROR(L49/L148, "NA")</f>
        <v>0</v>
      </c>
      <c r="N49" s="7">
        <v>0</v>
      </c>
      <c r="O49" s="8">
        <f>IFERROR(N49/N148, "NA")</f>
        <v>0</v>
      </c>
      <c r="P49" s="7">
        <v>0</v>
      </c>
      <c r="Q49" s="8">
        <f>IFERROR(P49/P148, "NA")</f>
        <v>0</v>
      </c>
      <c r="R49" s="7">
        <v>0</v>
      </c>
      <c r="S49" s="8">
        <f>IFERROR(R49/R148, "NA")</f>
        <v>0</v>
      </c>
      <c r="T49" s="7">
        <v>0</v>
      </c>
      <c r="U49" s="8">
        <f>IFERROR(T49/T148, "NA")</f>
        <v>0</v>
      </c>
      <c r="V49" s="7">
        <v>0</v>
      </c>
      <c r="W49" s="8">
        <f>IFERROR(V49/V148, "NA")</f>
        <v>0</v>
      </c>
      <c r="X49" s="7">
        <v>0</v>
      </c>
      <c r="Y49" s="8">
        <f>IFERROR(X49/X148, "NA")</f>
        <v>0</v>
      </c>
      <c r="Z49" s="7">
        <v>0</v>
      </c>
      <c r="AA49" s="8">
        <f>IFERROR(Z49/Z148, "NA")</f>
        <v>0</v>
      </c>
      <c r="AB49" s="9">
        <f t="shared" si="18"/>
        <v>0</v>
      </c>
      <c r="AC49" s="8">
        <f>IFERROR(AB49/AB148, "NA")</f>
        <v>0</v>
      </c>
      <c r="AD49" s="10">
        <f t="shared" si="19"/>
        <v>0</v>
      </c>
      <c r="AE49" s="11">
        <f>IFERROR(AD49/AD148, "NA")</f>
        <v>0</v>
      </c>
      <c r="AF49" s="10" t="str">
        <f t="shared" si="20"/>
        <v>NA</v>
      </c>
      <c r="AG49" s="9">
        <f t="shared" si="21"/>
        <v>0</v>
      </c>
      <c r="AH49" s="8">
        <f>IFERROR(AG49/AG148, "NA")</f>
        <v>0</v>
      </c>
      <c r="AI49" s="10">
        <f t="shared" si="22"/>
        <v>0</v>
      </c>
      <c r="AJ49" s="11">
        <f>IFERROR(AI49/AI148, "NA")</f>
        <v>0</v>
      </c>
      <c r="AK49" s="10" t="str">
        <f t="shared" si="23"/>
        <v>NA</v>
      </c>
      <c r="AL49" s="11" t="str">
        <f>IFERROR(AK49/AK148, "NA")</f>
        <v>NA</v>
      </c>
    </row>
    <row r="50" spans="1:38" ht="16.5" hidden="1" customHeight="1" x14ac:dyDescent="0.3">
      <c r="A50" s="25" t="s">
        <v>65</v>
      </c>
      <c r="B50" s="7">
        <v>0</v>
      </c>
      <c r="C50" s="8">
        <f>IFERROR(B50/B148, "NA")</f>
        <v>0</v>
      </c>
      <c r="D50" s="7">
        <v>0</v>
      </c>
      <c r="E50" s="8">
        <f>IFERROR(D50/D148, "NA")</f>
        <v>0</v>
      </c>
      <c r="F50" s="7">
        <v>0</v>
      </c>
      <c r="G50" s="8">
        <f>IFERROR(F50/F148, "NA")</f>
        <v>0</v>
      </c>
      <c r="H50" s="7">
        <v>0</v>
      </c>
      <c r="I50" s="8">
        <f>IFERROR(H50/H148, "NA")</f>
        <v>0</v>
      </c>
      <c r="J50" s="7">
        <v>0</v>
      </c>
      <c r="K50" s="8">
        <f>IFERROR(J50/J148, "NA")</f>
        <v>0</v>
      </c>
      <c r="L50" s="7">
        <v>0</v>
      </c>
      <c r="M50" s="8">
        <f>IFERROR(L50/L148, "NA")</f>
        <v>0</v>
      </c>
      <c r="N50" s="7">
        <v>0</v>
      </c>
      <c r="O50" s="8">
        <f>IFERROR(N50/N148, "NA")</f>
        <v>0</v>
      </c>
      <c r="P50" s="7">
        <v>0</v>
      </c>
      <c r="Q50" s="8">
        <f>IFERROR(P50/P148, "NA")</f>
        <v>0</v>
      </c>
      <c r="R50" s="7">
        <v>0</v>
      </c>
      <c r="S50" s="8">
        <f>IFERROR(R50/R148, "NA")</f>
        <v>0</v>
      </c>
      <c r="T50" s="7">
        <v>0</v>
      </c>
      <c r="U50" s="8">
        <f>IFERROR(T50/T148, "NA")</f>
        <v>0</v>
      </c>
      <c r="V50" s="7">
        <v>0</v>
      </c>
      <c r="W50" s="8">
        <f>IFERROR(V50/V148, "NA")</f>
        <v>0</v>
      </c>
      <c r="X50" s="7">
        <v>0</v>
      </c>
      <c r="Y50" s="8">
        <f>IFERROR(X50/X148, "NA")</f>
        <v>0</v>
      </c>
      <c r="Z50" s="7">
        <v>0</v>
      </c>
      <c r="AA50" s="8">
        <f>IFERROR(Z50/Z148, "NA")</f>
        <v>0</v>
      </c>
      <c r="AB50" s="9">
        <f t="shared" si="18"/>
        <v>0</v>
      </c>
      <c r="AC50" s="8">
        <f>IFERROR(AB50/AB148, "NA")</f>
        <v>0</v>
      </c>
      <c r="AD50" s="10">
        <f t="shared" si="19"/>
        <v>0</v>
      </c>
      <c r="AE50" s="11">
        <f>IFERROR(AD50/AD148, "NA")</f>
        <v>0</v>
      </c>
      <c r="AF50" s="10" t="str">
        <f t="shared" si="20"/>
        <v>NA</v>
      </c>
      <c r="AG50" s="9">
        <f t="shared" si="21"/>
        <v>0</v>
      </c>
      <c r="AH50" s="8">
        <f>IFERROR(AG50/AG148, "NA")</f>
        <v>0</v>
      </c>
      <c r="AI50" s="10">
        <f t="shared" si="22"/>
        <v>0</v>
      </c>
      <c r="AJ50" s="11">
        <f>IFERROR(AI50/AI148, "NA")</f>
        <v>0</v>
      </c>
      <c r="AK50" s="10" t="str">
        <f t="shared" si="23"/>
        <v>NA</v>
      </c>
      <c r="AL50" s="11" t="str">
        <f>IFERROR(AK50/AK148, "NA")</f>
        <v>NA</v>
      </c>
    </row>
    <row r="51" spans="1:38" ht="16.5" hidden="1" customHeight="1" x14ac:dyDescent="0.3">
      <c r="A51" s="25" t="s">
        <v>66</v>
      </c>
      <c r="B51" s="7">
        <v>0</v>
      </c>
      <c r="C51" s="8">
        <f>IFERROR(B51/B148, "NA")</f>
        <v>0</v>
      </c>
      <c r="D51" s="7">
        <v>0</v>
      </c>
      <c r="E51" s="8">
        <f>IFERROR(D51/D148, "NA")</f>
        <v>0</v>
      </c>
      <c r="F51" s="7">
        <v>0</v>
      </c>
      <c r="G51" s="8">
        <f>IFERROR(F51/F148, "NA")</f>
        <v>0</v>
      </c>
      <c r="H51" s="7">
        <v>0</v>
      </c>
      <c r="I51" s="8">
        <f>IFERROR(H51/H148, "NA")</f>
        <v>0</v>
      </c>
      <c r="J51" s="7">
        <v>0</v>
      </c>
      <c r="K51" s="8">
        <f>IFERROR(J51/J148, "NA")</f>
        <v>0</v>
      </c>
      <c r="L51" s="7">
        <v>0</v>
      </c>
      <c r="M51" s="8">
        <f>IFERROR(L51/L148, "NA")</f>
        <v>0</v>
      </c>
      <c r="N51" s="7">
        <v>0</v>
      </c>
      <c r="O51" s="8">
        <f>IFERROR(N51/N148, "NA")</f>
        <v>0</v>
      </c>
      <c r="P51" s="7">
        <v>0</v>
      </c>
      <c r="Q51" s="8">
        <f>IFERROR(P51/P148, "NA")</f>
        <v>0</v>
      </c>
      <c r="R51" s="7">
        <v>0</v>
      </c>
      <c r="S51" s="8">
        <f>IFERROR(R51/R148, "NA")</f>
        <v>0</v>
      </c>
      <c r="T51" s="7">
        <v>0</v>
      </c>
      <c r="U51" s="8">
        <f>IFERROR(T51/T148, "NA")</f>
        <v>0</v>
      </c>
      <c r="V51" s="7">
        <v>0</v>
      </c>
      <c r="W51" s="8">
        <f>IFERROR(V51/V148, "NA")</f>
        <v>0</v>
      </c>
      <c r="X51" s="7">
        <v>0</v>
      </c>
      <c r="Y51" s="8">
        <f>IFERROR(X51/X148, "NA")</f>
        <v>0</v>
      </c>
      <c r="Z51" s="7">
        <v>0</v>
      </c>
      <c r="AA51" s="8">
        <f>IFERROR(Z51/Z148, "NA")</f>
        <v>0</v>
      </c>
      <c r="AB51" s="9">
        <f t="shared" si="18"/>
        <v>0</v>
      </c>
      <c r="AC51" s="8">
        <f>IFERROR(AB51/AB148, "NA")</f>
        <v>0</v>
      </c>
      <c r="AD51" s="10">
        <f t="shared" si="19"/>
        <v>0</v>
      </c>
      <c r="AE51" s="11">
        <f>IFERROR(AD51/AD148, "NA")</f>
        <v>0</v>
      </c>
      <c r="AF51" s="10" t="str">
        <f t="shared" si="20"/>
        <v>NA</v>
      </c>
      <c r="AG51" s="9">
        <f t="shared" si="21"/>
        <v>0</v>
      </c>
      <c r="AH51" s="8">
        <f>IFERROR(AG51/AG148, "NA")</f>
        <v>0</v>
      </c>
      <c r="AI51" s="10">
        <f t="shared" si="22"/>
        <v>0</v>
      </c>
      <c r="AJ51" s="11">
        <f>IFERROR(AI51/AI148, "NA")</f>
        <v>0</v>
      </c>
      <c r="AK51" s="10" t="str">
        <f t="shared" si="23"/>
        <v>NA</v>
      </c>
      <c r="AL51" s="11" t="str">
        <f>IFERROR(AK51/AK148, "NA")</f>
        <v>NA</v>
      </c>
    </row>
    <row r="52" spans="1:38" ht="16.5" customHeight="1" x14ac:dyDescent="0.3">
      <c r="A52" s="26" t="s">
        <v>67</v>
      </c>
      <c r="B52" s="13">
        <f>IFERROR(B46+B47+B48+B49+B50+B51, "NA")</f>
        <v>539.71</v>
      </c>
      <c r="C52" s="14">
        <f>IFERROR(B52/B148, "NA")</f>
        <v>4.5046695539307964E-3</v>
      </c>
      <c r="D52" s="13">
        <f>IFERROR(D46+D47+D48+D49+D50+D51, "NA")</f>
        <v>409.22</v>
      </c>
      <c r="E52" s="14">
        <f>IFERROR(D52/D148, "NA")</f>
        <v>3.2626271331910408E-3</v>
      </c>
      <c r="F52" s="13">
        <f>IFERROR(F46+F47+F48+F49+F50+F51, "NA")</f>
        <v>338.55999999999995</v>
      </c>
      <c r="G52" s="14">
        <f>IFERROR(F52/F148, "NA")</f>
        <v>2.5276721719091821E-3</v>
      </c>
      <c r="H52" s="13">
        <f>IFERROR(H46+H47+H48+H49+H50+H51, "NA")</f>
        <v>413.64</v>
      </c>
      <c r="I52" s="14">
        <f>IFERROR(H52/H148, "NA")</f>
        <v>3.2314175911173984E-3</v>
      </c>
      <c r="J52" s="13">
        <f>IFERROR(J46+J47+J48+J49+J50+J51, "NA")</f>
        <v>356.33</v>
      </c>
      <c r="K52" s="14">
        <f>IFERROR(J52/J148, "NA")</f>
        <v>3.0780388626053395E-3</v>
      </c>
      <c r="L52" s="13">
        <f>IFERROR(L46+L47+L48+L49+L50+L51, "NA")</f>
        <v>361.61</v>
      </c>
      <c r="M52" s="14">
        <f>IFERROR(L52/L148, "NA")</f>
        <v>2.6748110042350494E-3</v>
      </c>
      <c r="N52" s="13">
        <f>IFERROR(N46+N47+N48+N49+N50+N51, "NA")</f>
        <v>458.79999999999995</v>
      </c>
      <c r="O52" s="14">
        <f>IFERROR(N52/N148, "NA")</f>
        <v>3.6196693209593444E-3</v>
      </c>
      <c r="P52" s="13">
        <f>IFERROR(P46+P47+P48+P49+P50+P51, "NA")</f>
        <v>321.67999999999995</v>
      </c>
      <c r="Q52" s="14">
        <f>IFERROR(P52/P148, "NA")</f>
        <v>2.3528590843817565E-3</v>
      </c>
      <c r="R52" s="13">
        <f>IFERROR(R46+R47+R48+R49+R50+R51, "NA")</f>
        <v>272.64</v>
      </c>
      <c r="S52" s="14">
        <f>IFERROR(R52/R148, "NA")</f>
        <v>1.8213338558267015E-3</v>
      </c>
      <c r="T52" s="13">
        <f>IFERROR(T46+T47+T48+T49+T50+T51, "NA")</f>
        <v>291.20000000000005</v>
      </c>
      <c r="U52" s="14">
        <f>IFERROR(T52/T148, "NA")</f>
        <v>2.3656081517947065E-3</v>
      </c>
      <c r="V52" s="13">
        <f>IFERROR(V46+V47+V48+V49+V50+V51, "NA")</f>
        <v>352.73</v>
      </c>
      <c r="W52" s="14">
        <f>IFERROR(V52/V148, "NA")</f>
        <v>2.1211674749910549E-3</v>
      </c>
      <c r="X52" s="13">
        <f>IFERROR(X46+X47+X48+X49+X50+X51, "NA")</f>
        <v>398.49</v>
      </c>
      <c r="Y52" s="14">
        <f>IFERROR(X52/X148, "NA")</f>
        <v>2.4014210019630677E-3</v>
      </c>
      <c r="Z52" s="13">
        <f>IFERROR(Z46+Z47+Z48+Z49+Z50+Z51, "NA")</f>
        <v>1042.42</v>
      </c>
      <c r="AA52" s="14">
        <f>IFERROR(Z52/Z148, "NA")</f>
        <v>2.2893873252338662E-3</v>
      </c>
      <c r="AB52" s="13">
        <f t="shared" si="18"/>
        <v>328.76499999999999</v>
      </c>
      <c r="AC52" s="14">
        <f>IFERROR(AB52/AB148, "NA")</f>
        <v>2.1735826553042786E-3</v>
      </c>
      <c r="AD52" s="15">
        <f t="shared" si="19"/>
        <v>69.725000000000023</v>
      </c>
      <c r="AE52" s="16">
        <f>IFERROR(AD52/AD148, "NA")</f>
        <v>4.748248349221839E-3</v>
      </c>
      <c r="AF52" s="15">
        <f t="shared" si="20"/>
        <v>0.21208157802685818</v>
      </c>
      <c r="AG52" s="13">
        <f t="shared" si="21"/>
        <v>351.68500000000006</v>
      </c>
      <c r="AH52" s="14">
        <f>IFERROR(AG52/AG148, "NA")</f>
        <v>2.5132780814973573E-3</v>
      </c>
      <c r="AI52" s="15">
        <f t="shared" si="22"/>
        <v>46.80499999999995</v>
      </c>
      <c r="AJ52" s="16">
        <f>IFERROR(AI52/AI148, "NA")</f>
        <v>1.7996070893099945E-3</v>
      </c>
      <c r="AK52" s="15">
        <f t="shared" si="23"/>
        <v>0.13308784850078889</v>
      </c>
      <c r="AL52" s="16">
        <f>IFERROR(AK52/AK148, "NA")</f>
        <v>0.71603978189227147</v>
      </c>
    </row>
    <row r="53" spans="1:38" ht="16.5" customHeight="1" x14ac:dyDescent="0.3">
      <c r="A53" s="23" t="s">
        <v>68</v>
      </c>
      <c r="B53" s="7">
        <v>109.34</v>
      </c>
      <c r="C53" s="8">
        <f>IFERROR(B53/B148, "NA")</f>
        <v>9.1260226608140158E-4</v>
      </c>
      <c r="D53" s="7">
        <v>189.33</v>
      </c>
      <c r="E53" s="8">
        <f>IFERROR(D53/D148, "NA")</f>
        <v>1.5094892603662083E-3</v>
      </c>
      <c r="F53" s="7">
        <v>205.57999999999998</v>
      </c>
      <c r="G53" s="8">
        <f>IFERROR(F53/F148, "NA")</f>
        <v>1.5348500859554872E-3</v>
      </c>
      <c r="H53" s="7">
        <v>210.8</v>
      </c>
      <c r="I53" s="8">
        <f>IFERROR(H53/H148, "NA")</f>
        <v>1.6468011512608734E-3</v>
      </c>
      <c r="J53" s="7">
        <v>147.4</v>
      </c>
      <c r="K53" s="8">
        <f>IFERROR(J53/J148, "NA")</f>
        <v>1.2732661531390202E-3</v>
      </c>
      <c r="L53" s="7">
        <v>269.27999999999997</v>
      </c>
      <c r="M53" s="8">
        <f>IFERROR(L53/L148, "NA")</f>
        <v>1.9918506325057768E-3</v>
      </c>
      <c r="N53" s="7">
        <v>196.35</v>
      </c>
      <c r="O53" s="8">
        <f>IFERROR(N53/N148, "NA")</f>
        <v>1.5490890827601729E-3</v>
      </c>
      <c r="P53" s="7">
        <v>158.16999999999999</v>
      </c>
      <c r="Q53" s="8">
        <f>IFERROR(P53/P148, "NA")</f>
        <v>1.1569004021905697E-3</v>
      </c>
      <c r="R53" s="7">
        <v>227.5</v>
      </c>
      <c r="S53" s="8">
        <f>IFERROR(R53/R148, "NA")</f>
        <v>1.5197823217450654E-3</v>
      </c>
      <c r="T53" s="7">
        <v>172.69</v>
      </c>
      <c r="U53" s="8">
        <f>IFERROR(T53/T148, "NA")</f>
        <v>1.4028738727109471E-3</v>
      </c>
      <c r="V53" s="7">
        <v>279.76</v>
      </c>
      <c r="W53" s="8">
        <f>IFERROR(V53/V148, "NA")</f>
        <v>1.6823570799294005E-3</v>
      </c>
      <c r="X53" s="7">
        <v>214.64000000000001</v>
      </c>
      <c r="Y53" s="8">
        <f>IFERROR(X53/X148, "NA")</f>
        <v>1.293485417102946E-3</v>
      </c>
      <c r="Z53" s="7">
        <v>667.09</v>
      </c>
      <c r="AA53" s="8">
        <f>IFERROR(Z53/Z148, "NA")</f>
        <v>1.4650787502065001E-3</v>
      </c>
      <c r="AB53" s="9">
        <f t="shared" si="18"/>
        <v>223.64750000000001</v>
      </c>
      <c r="AC53" s="8">
        <f>IFERROR(AB53/AB148, "NA")</f>
        <v>1.4786133770388081E-3</v>
      </c>
      <c r="AD53" s="10">
        <f t="shared" si="19"/>
        <v>-9.0074999999999932</v>
      </c>
      <c r="AE53" s="11">
        <f>IFERROR(AD53/AD148, "NA")</f>
        <v>-6.1340763005544169E-4</v>
      </c>
      <c r="AF53" s="10">
        <f t="shared" si="20"/>
        <v>-4.0275433438781982E-2</v>
      </c>
      <c r="AG53" s="9">
        <f t="shared" si="21"/>
        <v>208.22375</v>
      </c>
      <c r="AH53" s="8">
        <f>IFERROR(AG53/AG148, "NA")</f>
        <v>1.4880480740497471E-3</v>
      </c>
      <c r="AI53" s="10">
        <f t="shared" si="22"/>
        <v>6.4162500000000193</v>
      </c>
      <c r="AJ53" s="11">
        <f>IFERROR(AI53/AI148, "NA")</f>
        <v>2.4669862165976495E-4</v>
      </c>
      <c r="AK53" s="10">
        <f t="shared" si="23"/>
        <v>3.0814208273551982E-2</v>
      </c>
      <c r="AL53" s="11">
        <f>IFERROR(AK53/AK148, "NA")</f>
        <v>0.1657867282394786</v>
      </c>
    </row>
    <row r="54" spans="1:38" ht="16.5" customHeight="1" x14ac:dyDescent="0.3">
      <c r="A54" s="23" t="s">
        <v>69</v>
      </c>
      <c r="B54" s="7">
        <v>114.25</v>
      </c>
      <c r="C54" s="8">
        <f>IFERROR(B54/B148, "NA")</f>
        <v>9.5358339948600811E-4</v>
      </c>
      <c r="D54" s="7">
        <v>161.75</v>
      </c>
      <c r="E54" s="8">
        <f>IFERROR(D54/D148, "NA")</f>
        <v>1.2895995767402641E-3</v>
      </c>
      <c r="F54" s="7">
        <v>177.25</v>
      </c>
      <c r="G54" s="8">
        <f>IFERROR(F54/F148, "NA")</f>
        <v>1.3233397107481764E-3</v>
      </c>
      <c r="H54" s="7">
        <v>154.75</v>
      </c>
      <c r="I54" s="8">
        <f>IFERROR(H54/H148, "NA")</f>
        <v>1.2089301620380462E-3</v>
      </c>
      <c r="J54" s="7">
        <v>152.49</v>
      </c>
      <c r="K54" s="8">
        <f>IFERROR(J54/J148, "NA")</f>
        <v>1.3172344348179729E-3</v>
      </c>
      <c r="L54" s="7">
        <v>189.25</v>
      </c>
      <c r="M54" s="8">
        <f>IFERROR(L54/L148, "NA")</f>
        <v>1.3998727428762565E-3</v>
      </c>
      <c r="N54" s="7">
        <v>144.31</v>
      </c>
      <c r="O54" s="8">
        <f>IFERROR(N54/N148, "NA")</f>
        <v>1.1385232774796057E-3</v>
      </c>
      <c r="P54" s="7">
        <v>158.93</v>
      </c>
      <c r="Q54" s="8">
        <f>IFERROR(P54/P148, "NA")</f>
        <v>1.1624592585202458E-3</v>
      </c>
      <c r="R54" s="7">
        <v>140</v>
      </c>
      <c r="S54" s="8">
        <f>IFERROR(R54/R148, "NA")</f>
        <v>9.3525065953542475E-4</v>
      </c>
      <c r="T54" s="7">
        <v>146</v>
      </c>
      <c r="U54" s="8">
        <f>IFERROR(T54/T148, "NA")</f>
        <v>1.1860535376443239E-3</v>
      </c>
      <c r="V54" s="7">
        <v>140.81</v>
      </c>
      <c r="W54" s="8">
        <f>IFERROR(V54/V148, "NA")</f>
        <v>8.4677116251379362E-4</v>
      </c>
      <c r="X54" s="7">
        <v>130.31</v>
      </c>
      <c r="Y54" s="8">
        <f>IFERROR(X54/X148, "NA")</f>
        <v>7.852873867996873E-4</v>
      </c>
      <c r="Z54" s="7">
        <v>417.12</v>
      </c>
      <c r="AA54" s="8">
        <f>IFERROR(Z54/Z148, "NA")</f>
        <v>9.1608875606909905E-4</v>
      </c>
      <c r="AB54" s="9">
        <f t="shared" si="18"/>
        <v>139.28</v>
      </c>
      <c r="AC54" s="8">
        <f>IFERROR(AB54/AB148, "NA")</f>
        <v>9.2082974839408072E-4</v>
      </c>
      <c r="AD54" s="10">
        <f t="shared" si="19"/>
        <v>-8.9699999999999989</v>
      </c>
      <c r="AE54" s="11">
        <f>IFERROR(AD54/AD148, "NA")</f>
        <v>-6.1085389304438688E-4</v>
      </c>
      <c r="AF54" s="10">
        <f t="shared" si="20"/>
        <v>-6.4402642159678336E-2</v>
      </c>
      <c r="AG54" s="9">
        <f t="shared" si="21"/>
        <v>150.26249999999999</v>
      </c>
      <c r="AH54" s="8">
        <f>IFERROR(AG54/AG148, "NA")</f>
        <v>1.0738343907786701E-3</v>
      </c>
      <c r="AI54" s="10">
        <f t="shared" si="22"/>
        <v>-19.952499999999986</v>
      </c>
      <c r="AJ54" s="11">
        <f>IFERROR(AI54/AI148, "NA")</f>
        <v>-7.6715437345278663E-4</v>
      </c>
      <c r="AK54" s="10">
        <f t="shared" si="23"/>
        <v>-0.13278429415190077</v>
      </c>
      <c r="AL54" s="11">
        <f>IFERROR(AK54/AK148, "NA")</f>
        <v>-0.71440659755411595</v>
      </c>
    </row>
    <row r="55" spans="1:38" ht="16.5" customHeight="1" x14ac:dyDescent="0.3">
      <c r="A55" s="23" t="s">
        <v>70</v>
      </c>
      <c r="B55" s="7">
        <v>-1028.1100000000001</v>
      </c>
      <c r="C55" s="8">
        <f>IFERROR(B55/B148, "NA")</f>
        <v>-8.5810820905519464E-3</v>
      </c>
      <c r="D55" s="7">
        <v>-1573.71</v>
      </c>
      <c r="E55" s="8">
        <f>IFERROR(D55/D148, "NA")</f>
        <v>-1.2546867078280809E-2</v>
      </c>
      <c r="F55" s="7">
        <v>-957.18</v>
      </c>
      <c r="G55" s="8">
        <f>IFERROR(F55/F148, "NA")</f>
        <v>-7.1462584165525502E-3</v>
      </c>
      <c r="H55" s="7">
        <v>-798.8</v>
      </c>
      <c r="I55" s="8">
        <f>IFERROR(H55/H148, "NA")</f>
        <v>-6.240345159521753E-3</v>
      </c>
      <c r="J55" s="7">
        <v>-944.77</v>
      </c>
      <c r="K55" s="8">
        <f>IFERROR(J55/J148, "NA")</f>
        <v>-8.1610831987866481E-3</v>
      </c>
      <c r="L55" s="7">
        <v>-1081.68</v>
      </c>
      <c r="M55" s="8">
        <f>IFERROR(L55/L148, "NA")</f>
        <v>-8.0011326209478949E-3</v>
      </c>
      <c r="N55" s="7">
        <v>-1005.6500000000001</v>
      </c>
      <c r="O55" s="8">
        <f>IFERROR(N55/N148, "NA")</f>
        <v>-7.9340027302152692E-3</v>
      </c>
      <c r="P55" s="7">
        <v>-1114.4000000000001</v>
      </c>
      <c r="Q55" s="8">
        <f>IFERROR(P55/P148, "NA")</f>
        <v>-8.1510388076194672E-3</v>
      </c>
      <c r="R55" s="7">
        <v>-823.2299999999999</v>
      </c>
      <c r="S55" s="8">
        <f>IFERROR(R55/R148, "NA")</f>
        <v>-5.4994742889239116E-3</v>
      </c>
      <c r="T55" s="7">
        <v>-1046.73</v>
      </c>
      <c r="U55" s="8">
        <f>IFERROR(T55/T148, "NA")</f>
        <v>-8.5032727360167329E-3</v>
      </c>
      <c r="V55" s="7">
        <v>-969.12000000000012</v>
      </c>
      <c r="W55" s="8">
        <f>IFERROR(V55/V148, "NA")</f>
        <v>-5.8278735105132288E-3</v>
      </c>
      <c r="X55" s="7">
        <v>-850.58999999999992</v>
      </c>
      <c r="Y55" s="8">
        <f>IFERROR(X55/X148, "NA")</f>
        <v>-5.125912043112163E-3</v>
      </c>
      <c r="Z55" s="7">
        <v>-2866.4399999999996</v>
      </c>
      <c r="AA55" s="8">
        <f>IFERROR(Z55/Z148, "NA")</f>
        <v>-6.2953429563356051E-3</v>
      </c>
      <c r="AB55" s="9">
        <f t="shared" si="18"/>
        <v>-922.41750000000002</v>
      </c>
      <c r="AC55" s="8">
        <f>IFERROR(AB55/AB148, "NA")</f>
        <v>-6.0984310341707136E-3</v>
      </c>
      <c r="AD55" s="10">
        <f t="shared" si="19"/>
        <v>71.8275000000001</v>
      </c>
      <c r="AE55" s="11">
        <f>IFERROR(AD55/AD148, "NA")</f>
        <v>4.8914278709750016E-3</v>
      </c>
      <c r="AF55" s="10">
        <f t="shared" si="20"/>
        <v>-7.78687524900602E-2</v>
      </c>
      <c r="AG55" s="9">
        <f t="shared" si="21"/>
        <v>-979.5212499999999</v>
      </c>
      <c r="AH55" s="8">
        <f>IFERROR(AG55/AG148, "NA")</f>
        <v>-7.0000406272257643E-3</v>
      </c>
      <c r="AI55" s="10">
        <f t="shared" si="22"/>
        <v>128.93124999999998</v>
      </c>
      <c r="AJ55" s="11">
        <f>IFERROR(AI55/AI148, "NA")</f>
        <v>4.9572821607434979E-3</v>
      </c>
      <c r="AK55" s="10">
        <f t="shared" si="23"/>
        <v>-0.1316268023792235</v>
      </c>
      <c r="AL55" s="11">
        <f>IFERROR(AK55/AK148, "NA")</f>
        <v>-0.70817905562758898</v>
      </c>
    </row>
    <row r="56" spans="1:38" ht="16.5" customHeight="1" x14ac:dyDescent="0.3">
      <c r="A56" s="27" t="s">
        <v>71</v>
      </c>
      <c r="B56" s="13">
        <f>IFERROR(B37+B39+B40+B41+B42+B43+B46+B47+B48+B49+B50+B51+B53+B54+B55, "NA")</f>
        <v>4531.2900000000009</v>
      </c>
      <c r="C56" s="14">
        <f>IFERROR(B56/B148, "NA")</f>
        <v>3.7820244396122145E-2</v>
      </c>
      <c r="D56" s="13">
        <f>IFERROR(D37+D39+D40+D41+D42+D43+D46+D47+D48+D49+D50+D51+D53+D54+D55, "NA")</f>
        <v>4278.34</v>
      </c>
      <c r="E56" s="14">
        <f>IFERROR(D56/D148, "NA")</f>
        <v>3.4110327376512775E-2</v>
      </c>
      <c r="F56" s="13">
        <f>IFERROR(F37+F39+F40+F41+F42+F43+F46+F47+F48+F49+F50+F51+F53+F54+F55, "NA")</f>
        <v>5326.51</v>
      </c>
      <c r="G56" s="14">
        <f>IFERROR(F56/F148, "NA")</f>
        <v>3.976745953566866E-2</v>
      </c>
      <c r="H56" s="13">
        <f>IFERROR(H37+H39+H40+H41+H42+H43+H46+H47+H48+H49+H50+H51+H53+H54+H55, "NA")</f>
        <v>5169.5599999999995</v>
      </c>
      <c r="I56" s="14">
        <f>IFERROR(H56/H148, "NA")</f>
        <v>4.0385376468273997E-2</v>
      </c>
      <c r="J56" s="13">
        <f>IFERROR(J37+J39+J40+J41+J42+J43+J46+J47+J48+J49+J50+J51+J53+J54+J55, "NA")</f>
        <v>4133.2299999999996</v>
      </c>
      <c r="K56" s="14">
        <f>IFERROR(J56/J148, "NA")</f>
        <v>3.5703540448702796E-2</v>
      </c>
      <c r="L56" s="13">
        <f>IFERROR(L37+L39+L40+L41+L42+L43+L46+L47+L48+L49+L50+L51+L53+L54+L55, "NA")</f>
        <v>5030.6299999999992</v>
      </c>
      <c r="M56" s="14">
        <f>IFERROR(L56/L148, "NA")</f>
        <v>3.7211317392314827E-2</v>
      </c>
      <c r="N56" s="13">
        <f>IFERROR(N37+N39+N40+N41+N42+N43+N46+N47+N48+N49+N50+N51+N53+N54+N55, "NA")</f>
        <v>4852.9300000000021</v>
      </c>
      <c r="O56" s="14">
        <f>IFERROR(N56/N148, "NA")</f>
        <v>3.8286839227905933E-2</v>
      </c>
      <c r="P56" s="13">
        <f>IFERROR(P37+P39+P40+P41+P42+P43+P46+P47+P48+P49+P50+P51+P53+P54+P55, "NA")</f>
        <v>4620.4800000000014</v>
      </c>
      <c r="Q56" s="14">
        <f>IFERROR(P56/P148, "NA")</f>
        <v>3.3795505913343148E-2</v>
      </c>
      <c r="R56" s="13">
        <f>IFERROR(R37+R39+R40+R41+R42+R43+R46+R47+R48+R49+R50+R51+R53+R54+R55, "NA")</f>
        <v>4798.79</v>
      </c>
      <c r="S56" s="14">
        <f>IFERROR(R56/R148, "NA")</f>
        <v>3.2057653660514294E-2</v>
      </c>
      <c r="T56" s="13">
        <f>IFERROR(T37+T39+T40+T41+T42+T43+T46+T47+T48+T49+T50+T51+T53+T54+T55, "NA")</f>
        <v>4666.0300000000007</v>
      </c>
      <c r="U56" s="14">
        <f>IFERROR(T56/T148, "NA")</f>
        <v>3.7905214988044833E-2</v>
      </c>
      <c r="V56" s="13">
        <f>IFERROR(V37+V39+V40+V41+V42+V43+V46+V47+V48+V49+V50+V51+V53+V54+V55, "NA")</f>
        <v>5643.0400000000009</v>
      </c>
      <c r="W56" s="14">
        <f>IFERROR(V56/V148, "NA")</f>
        <v>3.3934830913371482E-2</v>
      </c>
      <c r="X56" s="13">
        <f>IFERROR(X37+X39+X40+X41+X42+X43+X46+X47+X48+X49+X50+X51+X53+X54+X55, "NA")</f>
        <v>5338.51</v>
      </c>
      <c r="Y56" s="14">
        <f>IFERROR(X56/X148, "NA")</f>
        <v>3.2171472391251621E-2</v>
      </c>
      <c r="Z56" s="13">
        <f>IFERROR(Z37+Z39+Z40+Z41+Z42+Z43+Z46+Z47+Z48+Z49+Z50+Z51+Z53+Z54+Z55, "NA")</f>
        <v>15647.579999999998</v>
      </c>
      <c r="AA56" s="14">
        <f>IFERROR(Z56/Z148, "NA")</f>
        <v>3.4365583279851626E-2</v>
      </c>
      <c r="AB56" s="13">
        <f t="shared" si="18"/>
        <v>5111.5925000000007</v>
      </c>
      <c r="AC56" s="14">
        <f>IFERROR(AB56/AB148, "NA")</f>
        <v>3.3794560853446801E-2</v>
      </c>
      <c r="AD56" s="15">
        <f t="shared" si="19"/>
        <v>226.91749999999956</v>
      </c>
      <c r="AE56" s="16">
        <f>IFERROR(AD56/AD148, "NA")</f>
        <v>1.5453003152162699E-2</v>
      </c>
      <c r="AF56" s="15">
        <f t="shared" si="20"/>
        <v>4.4392721055130965E-2</v>
      </c>
      <c r="AG56" s="13">
        <f t="shared" si="21"/>
        <v>4885.4550000000008</v>
      </c>
      <c r="AH56" s="14">
        <f>IFERROR(AG56/AG148, "NA")</f>
        <v>3.491336556760076E-2</v>
      </c>
      <c r="AI56" s="15">
        <f t="shared" si="22"/>
        <v>453.05499999999938</v>
      </c>
      <c r="AJ56" s="16">
        <f>IFERROR(AI56/AI148, "NA")</f>
        <v>1.7419527611309462E-2</v>
      </c>
      <c r="AK56" s="15">
        <f t="shared" si="23"/>
        <v>9.2735477043591502E-2</v>
      </c>
      <c r="AL56" s="16">
        <f>IFERROR(AK56/AK148, "NA")</f>
        <v>0.49893578943516698</v>
      </c>
    </row>
    <row r="57" spans="1:38" ht="16.5" customHeight="1" x14ac:dyDescent="0.3">
      <c r="A57" s="12" t="s">
        <v>72</v>
      </c>
      <c r="B57" s="28">
        <f>IFERROR(B13+B15+B16+B17+B18+B19+B20+B21+B22+B23+B24+B25+B26+B29+B30+B31+B32+B33+B37+B39+B40+B41+B42+B43+B46+B47+B48+B49+B50+B51+B53+B54+B55, "NA")</f>
        <v>33431.719999999994</v>
      </c>
      <c r="C57" s="29">
        <f>IFERROR(B57/B148, "NA")</f>
        <v>0.27903661451434891</v>
      </c>
      <c r="D57" s="28">
        <f>IFERROR(D13+D15+D16+D17+D18+D19+D20+D21+D22+D23+D24+D25+D26+D29+D30+D31+D32+D33+D37+D39+D40+D41+D42+D43+D46+D47+D48+D49+D50+D51+D53+D54+D55, "NA")</f>
        <v>34054.85</v>
      </c>
      <c r="E57" s="29">
        <f>IFERROR(D57/D148, "NA")</f>
        <v>0.27151233475086972</v>
      </c>
      <c r="F57" s="28">
        <f>IFERROR(F13+F15+F16+F17+F18+F19+F20+F21+F22+F23+F24+F25+F26+F29+F30+F31+F32+F33+F37+F39+F40+F41+F42+F43+F46+F47+F48+F49+F50+F51+F53+F54+F55, "NA")</f>
        <v>38068.61</v>
      </c>
      <c r="G57" s="29">
        <f>IFERROR(F57/F148, "NA")</f>
        <v>0.2842183545612702</v>
      </c>
      <c r="H57" s="28">
        <f>IFERROR(H13+H15+H16+H17+H18+H19+H20+H21+H22+H23+H24+H25+H26+H29+H30+H31+H32+H33+H37+H39+H40+H41+H42+H43+H46+H47+H48+H49+H50+H51+H53+H54+H55, "NA")</f>
        <v>35447.67</v>
      </c>
      <c r="I57" s="29">
        <f>IFERROR(H57/H148, "NA")</f>
        <v>0.2769225036314778</v>
      </c>
      <c r="J57" s="28">
        <f>IFERROR(J13+J15+J16+J17+J18+J19+J20+J21+J22+J23+J24+J25+J26+J29+J30+J31+J32+J33+J37+J39+J40+J41+J42+J43+J46+J47+J48+J49+J50+J51+J53+J54+J55, "NA")</f>
        <v>32805.789999999994</v>
      </c>
      <c r="K57" s="29">
        <f>IFERROR(J57/J148, "NA")</f>
        <v>0.283381967666123</v>
      </c>
      <c r="L57" s="28">
        <f>IFERROR(L13+L15+L16+L17+L18+L19+L20+L21+L22+L23+L24+L25+L26+L29+L30+L31+L32+L33+L37+L39+L40+L41+L42+L43+L46+L47+L48+L49+L50+L51+L53+L54+L55, "NA")</f>
        <v>37430.43</v>
      </c>
      <c r="M57" s="29">
        <f>IFERROR(L57/L148, "NA")</f>
        <v>0.2768710103626828</v>
      </c>
      <c r="N57" s="28">
        <f>IFERROR(N13+N15+N16+N17+N18+N19+N20+N21+N22+N23+N24+N25+N26+N29+N30+N31+N32+N33+N37+N39+N40+N41+N42+N43+N46+N47+N48+N49+N50+N51+N53+N54+N55, "NA")</f>
        <v>33589.31</v>
      </c>
      <c r="O57" s="29">
        <f>IFERROR(N57/N148, "NA")</f>
        <v>0.26500042484566899</v>
      </c>
      <c r="P57" s="28">
        <f>IFERROR(P13+P15+P16+P17+P18+P19+P20+P21+P22+P23+P24+P25+P26+P29+P30+P31+P32+P33+P37+P39+P40+P41+P42+P43+P46+P47+P48+P49+P50+P51+P53+P54+P55, "NA")</f>
        <v>36602.499999999993</v>
      </c>
      <c r="Q57" s="29">
        <f>IFERROR(P57/P148, "NA")</f>
        <v>0.26772110369336993</v>
      </c>
      <c r="R57" s="28">
        <f>IFERROR(R13+R15+R16+R17+R18+R19+R20+R21+R22+R23+R24+R25+R26+R29+R30+R31+R32+R33+R37+R39+R40+R41+R42+R43+R46+R47+R48+R49+R50+R51+R53+R54+R55, "NA")</f>
        <v>38067.210000000006</v>
      </c>
      <c r="S57" s="29">
        <f>IFERROR(R57/R148, "NA")</f>
        <v>0.25430273756552518</v>
      </c>
      <c r="T57" s="28">
        <f>IFERROR(T13+T15+T16+T17+T18+T19+T20+T21+T22+T23+T24+T25+T26+T29+T30+T31+T32+T33+T37+T39+T40+T41+T42+T43+T46+T47+T48+T49+T50+T51+T53+T54+T55, "NA")</f>
        <v>31910.599999999995</v>
      </c>
      <c r="U57" s="29">
        <f>IFERROR(T57/T148, "NA")</f>
        <v>0.25923068505721203</v>
      </c>
      <c r="V57" s="28">
        <f>IFERROR(V13+V15+V16+V17+V18+V19+V20+V21+V22+V23+V24+V25+V26+V29+V30+V31+V32+V33+V37+V39+V40+V41+V42+V43+V46+V47+V48+V49+V50+V51+V53+V54+V55, "NA")</f>
        <v>41076.679999999993</v>
      </c>
      <c r="W57" s="29">
        <f>IFERROR(V57/V148, "NA")</f>
        <v>0.2470175987203117</v>
      </c>
      <c r="X57" s="28">
        <f>IFERROR(X13+X15+X16+X17+X18+X19+X20+X21+X22+X23+X24+X25+X26+X29+X30+X31+X32+X33+X37+X39+X40+X41+X42+X43+X46+X47+X48+X49+X50+X51+X53+X54+X55, "NA")</f>
        <v>39515.320000000014</v>
      </c>
      <c r="Y57" s="29">
        <f>IFERROR(X57/X148, "NA")</f>
        <v>0.23813124381362466</v>
      </c>
      <c r="Z57" s="28">
        <f>IFERROR(Z13+Z15+Z16+Z17+Z18+Z19+Z20+Z21+Z22+Z23+Z24+Z25+Z26+Z29+Z30+Z31+Z32+Z33+Z37+Z39+Z40+Z41+Z42+Z43+Z46+Z47+Z48+Z49+Z50+Z51+Z53+Z54+Z55, "NA")</f>
        <v>112502.6</v>
      </c>
      <c r="AA57" s="29">
        <f>IFERROR(Z57/Z148, "NA")</f>
        <v>0.24708085656055673</v>
      </c>
      <c r="AB57" s="28">
        <f t="shared" si="18"/>
        <v>37642.452499999999</v>
      </c>
      <c r="AC57" s="29">
        <f>IFERROR(AB57/AB148, "NA")</f>
        <v>0.24886767708580654</v>
      </c>
      <c r="AD57" s="30">
        <f t="shared" si="19"/>
        <v>1872.8675000000148</v>
      </c>
      <c r="AE57" s="31">
        <f>IFERROR(AD57/AD148, "NA")</f>
        <v>0.12754162804139549</v>
      </c>
      <c r="AF57" s="30">
        <f t="shared" si="20"/>
        <v>4.9754130658729391E-2</v>
      </c>
      <c r="AG57" s="28">
        <f t="shared" si="21"/>
        <v>36374.730000000003</v>
      </c>
      <c r="AH57" s="29">
        <f>IFERROR(AG57/AG148, "NA")</f>
        <v>0.25994799786565925</v>
      </c>
      <c r="AI57" s="30">
        <f t="shared" si="22"/>
        <v>3140.5900000000111</v>
      </c>
      <c r="AJ57" s="31">
        <f>IFERROR(AI57/AI148, "NA")</f>
        <v>0.12075265524230534</v>
      </c>
      <c r="AK57" s="30">
        <f t="shared" si="23"/>
        <v>8.633988485962675E-2</v>
      </c>
      <c r="AL57" s="31">
        <f>IFERROR(AK57/AK148, "NA")</f>
        <v>0.46452619844646831</v>
      </c>
    </row>
    <row r="58" spans="1:38" ht="3.75" customHeight="1" x14ac:dyDescent="0.3">
      <c r="A58" s="17" t="s">
        <v>3</v>
      </c>
      <c r="B58" s="18"/>
      <c r="C58" s="19"/>
      <c r="D58" s="18"/>
      <c r="E58" s="19"/>
      <c r="F58" s="18"/>
      <c r="G58" s="19"/>
      <c r="H58" s="18"/>
      <c r="I58" s="19"/>
      <c r="J58" s="18"/>
      <c r="K58" s="19"/>
      <c r="L58" s="18"/>
      <c r="M58" s="19"/>
      <c r="N58" s="18"/>
      <c r="O58" s="19"/>
      <c r="P58" s="18"/>
      <c r="Q58" s="19"/>
      <c r="R58" s="18"/>
      <c r="S58" s="19"/>
      <c r="T58" s="18"/>
      <c r="U58" s="19"/>
      <c r="V58" s="18"/>
      <c r="W58" s="19"/>
      <c r="X58" s="18"/>
      <c r="Y58" s="19"/>
      <c r="Z58" s="18"/>
      <c r="AA58" s="19"/>
      <c r="AB58" s="18"/>
      <c r="AC58" s="19"/>
      <c r="AD58" s="20"/>
      <c r="AE58" s="21"/>
      <c r="AF58" s="20"/>
      <c r="AG58" s="18"/>
      <c r="AH58" s="19"/>
      <c r="AI58" s="20"/>
      <c r="AJ58" s="21"/>
      <c r="AK58" s="20"/>
      <c r="AL58" s="21"/>
    </row>
    <row r="59" spans="1:38" ht="16.5" customHeight="1" x14ac:dyDescent="0.3">
      <c r="A59" s="32" t="s">
        <v>73</v>
      </c>
      <c r="B59" s="33">
        <f>IFERROR(B9-B57, "NA")</f>
        <v>86379.510000000009</v>
      </c>
      <c r="C59" s="34">
        <f>IFERROR(B59/B148, "NA")</f>
        <v>0.7209633854856512</v>
      </c>
      <c r="D59" s="33">
        <f>IFERROR(D9-D57, "NA")</f>
        <v>91371.68</v>
      </c>
      <c r="E59" s="34">
        <f>IFERROR(D59/D148, "NA")</f>
        <v>0.72848766524913033</v>
      </c>
      <c r="F59" s="33">
        <f>IFERROR(F9-F57, "NA")</f>
        <v>95872.809999999954</v>
      </c>
      <c r="G59" s="34">
        <f>IFERROR(F59/F148, "NA")</f>
        <v>0.71578164543872957</v>
      </c>
      <c r="H59" s="33">
        <f>IFERROR(H9-H57, "NA")</f>
        <v>92558.069999999992</v>
      </c>
      <c r="I59" s="34">
        <f>IFERROR(H59/H148, "NA")</f>
        <v>0.72307749636852225</v>
      </c>
      <c r="J59" s="33">
        <f>IFERROR(J9-J57, "NA")</f>
        <v>82959.479999999952</v>
      </c>
      <c r="K59" s="34">
        <f>IFERROR(J59/J148, "NA")</f>
        <v>0.71661803233387666</v>
      </c>
      <c r="L59" s="33">
        <f>IFERROR(L9-L57, "NA")</f>
        <v>97760.430000000051</v>
      </c>
      <c r="M59" s="34">
        <f>IFERROR(L59/L148, "NA")</f>
        <v>0.72312898963731753</v>
      </c>
      <c r="N59" s="33">
        <f>IFERROR(N9-N57, "NA")</f>
        <v>93162.6</v>
      </c>
      <c r="O59" s="34">
        <f>IFERROR(N59/N148, "NA")</f>
        <v>0.73499957515433101</v>
      </c>
      <c r="P59" s="33">
        <f>IFERROR(P9-P57, "NA")</f>
        <v>100116.27000000005</v>
      </c>
      <c r="Q59" s="34">
        <f>IFERROR(P59/P148, "NA")</f>
        <v>0.73227889630663046</v>
      </c>
      <c r="R59" s="33">
        <f>IFERROR(R9-R57, "NA")</f>
        <v>111625.28000000004</v>
      </c>
      <c r="S59" s="34">
        <f>IFERROR(R59/R148, "NA")</f>
        <v>0.74569726243447498</v>
      </c>
      <c r="T59" s="33">
        <f>IFERROR(T9-T57, "NA")</f>
        <v>91186.710000000036</v>
      </c>
      <c r="U59" s="34">
        <f>IFERROR(T59/T148, "NA")</f>
        <v>0.74076931494278819</v>
      </c>
      <c r="V59" s="33">
        <f>IFERROR(V9-V57, "NA")</f>
        <v>125213.81999999998</v>
      </c>
      <c r="W59" s="34">
        <f>IFERROR(V59/V148, "NA")</f>
        <v>0.75298240127968807</v>
      </c>
      <c r="X59" s="33">
        <f>IFERROR(X9-X57, "NA")</f>
        <v>126423.92999999991</v>
      </c>
      <c r="Y59" s="34">
        <f>IFERROR(X59/X148, "NA")</f>
        <v>0.76186875618637484</v>
      </c>
      <c r="Z59" s="33">
        <f>IFERROR(Z9-Z57, "NA")</f>
        <v>342824.46000000008</v>
      </c>
      <c r="AA59" s="34">
        <f>IFERROR(Z59/Z148, "NA")</f>
        <v>0.75291914343944344</v>
      </c>
      <c r="AB59" s="33">
        <f>IFERROR((R59+T59+V59+X59)/4, "NA")</f>
        <v>113612.435</v>
      </c>
      <c r="AC59" s="34">
        <f>IFERROR(AB59/AB148, "NA")</f>
        <v>0.75113232291419341</v>
      </c>
      <c r="AD59" s="15">
        <f>IFERROR(X59-AB59, "NA")</f>
        <v>12811.494999999908</v>
      </c>
      <c r="AE59" s="16">
        <f>IFERROR(AD59/AD148, "NA")</f>
        <v>0.8724583719586001</v>
      </c>
      <c r="AF59" s="15">
        <f>IFERROR((X59-AB59)/AB59, "NA")</f>
        <v>0.1127649011307601</v>
      </c>
      <c r="AG59" s="33">
        <f>IFERROR((J59+L59+N59+P59+R59+T59+V59+X59)/8, "NA")</f>
        <v>103556.065</v>
      </c>
      <c r="AH59" s="34">
        <f>IFERROR(AG59/AG148, "NA")</f>
        <v>0.74005200213434075</v>
      </c>
      <c r="AI59" s="15">
        <f>IFERROR(X59-AG59, "NA")</f>
        <v>22867.864999999903</v>
      </c>
      <c r="AJ59" s="16">
        <f>IFERROR(AI59/AI148, "NA")</f>
        <v>0.87924734475769184</v>
      </c>
      <c r="AK59" s="15">
        <f>IFERROR((X59-AG59)/AG59, "NA")</f>
        <v>0.22082593617283452</v>
      </c>
      <c r="AL59" s="16">
        <f>IFERROR(AK59/AK148, "NA")</f>
        <v>1.1880885967768562</v>
      </c>
    </row>
    <row r="60" spans="1:38" ht="3.75" customHeight="1" x14ac:dyDescent="0.3">
      <c r="A60" s="35" t="s">
        <v>3</v>
      </c>
      <c r="B60" s="36"/>
      <c r="C60" s="19"/>
      <c r="D60" s="36"/>
      <c r="E60" s="19"/>
      <c r="F60" s="36"/>
      <c r="G60" s="19"/>
      <c r="H60" s="36"/>
      <c r="I60" s="19"/>
      <c r="J60" s="36"/>
      <c r="K60" s="19"/>
      <c r="L60" s="36"/>
      <c r="M60" s="19"/>
      <c r="N60" s="36"/>
      <c r="O60" s="19"/>
      <c r="P60" s="36"/>
      <c r="Q60" s="19"/>
      <c r="R60" s="36"/>
      <c r="S60" s="19"/>
      <c r="T60" s="36"/>
      <c r="U60" s="19"/>
      <c r="V60" s="36"/>
      <c r="W60" s="19"/>
      <c r="X60" s="36"/>
      <c r="Y60" s="19"/>
      <c r="Z60" s="36"/>
      <c r="AA60" s="19"/>
      <c r="AB60" s="36"/>
      <c r="AC60" s="19"/>
      <c r="AD60" s="37"/>
      <c r="AE60" s="21"/>
      <c r="AF60" s="37"/>
      <c r="AG60" s="36"/>
      <c r="AH60" s="19"/>
      <c r="AI60" s="37"/>
      <c r="AJ60" s="21"/>
      <c r="AK60" s="37"/>
      <c r="AL60" s="21"/>
    </row>
    <row r="61" spans="1:38" ht="16.5" customHeight="1" x14ac:dyDescent="0.3">
      <c r="A61" s="1" t="s">
        <v>74</v>
      </c>
      <c r="B61" s="2"/>
      <c r="C61" s="3"/>
      <c r="D61" s="2"/>
      <c r="E61" s="3"/>
      <c r="F61" s="2"/>
      <c r="G61" s="3"/>
      <c r="H61" s="2"/>
      <c r="I61" s="3"/>
      <c r="J61" s="2"/>
      <c r="K61" s="3"/>
      <c r="L61" s="2"/>
      <c r="M61" s="3"/>
      <c r="N61" s="2"/>
      <c r="O61" s="3"/>
      <c r="P61" s="2"/>
      <c r="Q61" s="3"/>
      <c r="R61" s="2"/>
      <c r="S61" s="3"/>
      <c r="T61" s="2"/>
      <c r="U61" s="3"/>
      <c r="V61" s="2"/>
      <c r="W61" s="3"/>
      <c r="X61" s="2"/>
      <c r="Y61" s="3"/>
      <c r="Z61" s="2"/>
      <c r="AA61" s="3"/>
      <c r="AB61" s="2"/>
      <c r="AC61" s="3"/>
      <c r="AD61" s="4"/>
      <c r="AE61" s="5"/>
      <c r="AF61" s="4"/>
      <c r="AG61" s="2"/>
      <c r="AH61" s="3"/>
      <c r="AI61" s="4"/>
      <c r="AJ61" s="5"/>
      <c r="AK61" s="4"/>
      <c r="AL61" s="5"/>
    </row>
    <row r="62" spans="1:38" ht="16.5" customHeight="1" x14ac:dyDescent="0.3">
      <c r="A62" s="22" t="s">
        <v>74</v>
      </c>
      <c r="B62" s="2"/>
      <c r="C62" s="3"/>
      <c r="D62" s="2"/>
      <c r="E62" s="3"/>
      <c r="F62" s="2"/>
      <c r="G62" s="3"/>
      <c r="H62" s="2"/>
      <c r="I62" s="3"/>
      <c r="J62" s="2"/>
      <c r="K62" s="3"/>
      <c r="L62" s="2"/>
      <c r="M62" s="3"/>
      <c r="N62" s="2"/>
      <c r="O62" s="3"/>
      <c r="P62" s="2"/>
      <c r="Q62" s="3"/>
      <c r="R62" s="2"/>
      <c r="S62" s="3"/>
      <c r="T62" s="2"/>
      <c r="U62" s="3"/>
      <c r="V62" s="2"/>
      <c r="W62" s="3"/>
      <c r="X62" s="2"/>
      <c r="Y62" s="3"/>
      <c r="Z62" s="2"/>
      <c r="AA62" s="3"/>
      <c r="AB62" s="2"/>
      <c r="AC62" s="3"/>
      <c r="AD62" s="4"/>
      <c r="AE62" s="5"/>
      <c r="AF62" s="4"/>
      <c r="AG62" s="2"/>
      <c r="AH62" s="3"/>
      <c r="AI62" s="4"/>
      <c r="AJ62" s="5"/>
      <c r="AK62" s="4"/>
      <c r="AL62" s="5"/>
    </row>
    <row r="63" spans="1:38" ht="16.5" hidden="1" customHeight="1" x14ac:dyDescent="0.3">
      <c r="A63" s="23" t="s">
        <v>75</v>
      </c>
      <c r="B63" s="7">
        <v>0</v>
      </c>
      <c r="C63" s="8">
        <f>IFERROR(B63/B148, "NA")</f>
        <v>0</v>
      </c>
      <c r="D63" s="7">
        <v>0</v>
      </c>
      <c r="E63" s="8">
        <f>IFERROR(D63/D148, "NA")</f>
        <v>0</v>
      </c>
      <c r="F63" s="7">
        <v>0</v>
      </c>
      <c r="G63" s="8">
        <f>IFERROR(F63/F148, "NA")</f>
        <v>0</v>
      </c>
      <c r="H63" s="7">
        <v>0</v>
      </c>
      <c r="I63" s="8">
        <f>IFERROR(H63/H148, "NA")</f>
        <v>0</v>
      </c>
      <c r="J63" s="7">
        <v>0</v>
      </c>
      <c r="K63" s="8">
        <f>IFERROR(J63/J148, "NA")</f>
        <v>0</v>
      </c>
      <c r="L63" s="7">
        <v>0</v>
      </c>
      <c r="M63" s="8">
        <f>IFERROR(L63/L148, "NA")</f>
        <v>0</v>
      </c>
      <c r="N63" s="7">
        <v>0</v>
      </c>
      <c r="O63" s="8">
        <f>IFERROR(N63/N148, "NA")</f>
        <v>0</v>
      </c>
      <c r="P63" s="7">
        <v>0</v>
      </c>
      <c r="Q63" s="8">
        <f>IFERROR(P63/P148, "NA")</f>
        <v>0</v>
      </c>
      <c r="R63" s="7">
        <v>0</v>
      </c>
      <c r="S63" s="8">
        <f>IFERROR(R63/R148, "NA")</f>
        <v>0</v>
      </c>
      <c r="T63" s="7">
        <v>0</v>
      </c>
      <c r="U63" s="8">
        <f>IFERROR(T63/T148, "NA")</f>
        <v>0</v>
      </c>
      <c r="V63" s="7">
        <v>0</v>
      </c>
      <c r="W63" s="8">
        <f>IFERROR(V63/V148, "NA")</f>
        <v>0</v>
      </c>
      <c r="X63" s="7">
        <v>0</v>
      </c>
      <c r="Y63" s="8">
        <f>IFERROR(X63/X148, "NA")</f>
        <v>0</v>
      </c>
      <c r="Z63" s="7">
        <v>0</v>
      </c>
      <c r="AA63" s="8">
        <f>IFERROR(Z63/Z148, "NA")</f>
        <v>0</v>
      </c>
      <c r="AB63" s="9">
        <f>IFERROR((R63+T63+V63+X63)/4, "NA")</f>
        <v>0</v>
      </c>
      <c r="AC63" s="8">
        <f>IFERROR(AB63/AB148, "NA")</f>
        <v>0</v>
      </c>
      <c r="AD63" s="10">
        <f>IFERROR(X63-AB63, "NA")</f>
        <v>0</v>
      </c>
      <c r="AE63" s="11">
        <f>IFERROR(AD63/AD148, "NA")</f>
        <v>0</v>
      </c>
      <c r="AF63" s="10" t="str">
        <f>IFERROR((X63-AB63)/AB63, "NA")</f>
        <v>NA</v>
      </c>
      <c r="AG63" s="9">
        <f>IFERROR((J63+L63+N63+P63+R63+T63+V63+X63)/8, "NA")</f>
        <v>0</v>
      </c>
      <c r="AH63" s="8">
        <f>IFERROR(AG63/AG148, "NA")</f>
        <v>0</v>
      </c>
      <c r="AI63" s="10">
        <f>IFERROR(X63-AG63, "NA")</f>
        <v>0</v>
      </c>
      <c r="AJ63" s="11">
        <f>IFERROR(AI63/AI148, "NA")</f>
        <v>0</v>
      </c>
      <c r="AK63" s="10" t="str">
        <f>IFERROR((X63-AG63)/AG63, "NA")</f>
        <v>NA</v>
      </c>
      <c r="AL63" s="11" t="str">
        <f>IFERROR(AK63/AK148, "NA")</f>
        <v>NA</v>
      </c>
    </row>
    <row r="64" spans="1:38" ht="16.5" customHeight="1" x14ac:dyDescent="0.3">
      <c r="A64" s="24" t="s">
        <v>76</v>
      </c>
      <c r="B64" s="2"/>
      <c r="C64" s="3"/>
      <c r="D64" s="2"/>
      <c r="E64" s="3"/>
      <c r="F64" s="2"/>
      <c r="G64" s="3"/>
      <c r="H64" s="2"/>
      <c r="I64" s="3"/>
      <c r="J64" s="2"/>
      <c r="K64" s="3"/>
      <c r="L64" s="2"/>
      <c r="M64" s="3"/>
      <c r="N64" s="2"/>
      <c r="O64" s="3"/>
      <c r="P64" s="2"/>
      <c r="Q64" s="3"/>
      <c r="R64" s="2"/>
      <c r="S64" s="3"/>
      <c r="T64" s="2"/>
      <c r="U64" s="3"/>
      <c r="V64" s="2"/>
      <c r="W64" s="3"/>
      <c r="X64" s="2"/>
      <c r="Y64" s="3"/>
      <c r="Z64" s="2"/>
      <c r="AA64" s="3"/>
      <c r="AB64" s="2"/>
      <c r="AC64" s="3"/>
      <c r="AD64" s="4"/>
      <c r="AE64" s="5"/>
      <c r="AF64" s="4"/>
      <c r="AG64" s="2"/>
      <c r="AH64" s="3"/>
      <c r="AI64" s="4"/>
      <c r="AJ64" s="5"/>
      <c r="AK64" s="4"/>
      <c r="AL64" s="5"/>
    </row>
    <row r="65" spans="1:38" ht="16.5" hidden="1" customHeight="1" x14ac:dyDescent="0.3">
      <c r="A65" s="25" t="s">
        <v>77</v>
      </c>
      <c r="B65" s="7">
        <v>0</v>
      </c>
      <c r="C65" s="8">
        <f>IFERROR(B65/B148, "NA")</f>
        <v>0</v>
      </c>
      <c r="D65" s="7">
        <v>0</v>
      </c>
      <c r="E65" s="8">
        <f>IFERROR(D65/D148, "NA")</f>
        <v>0</v>
      </c>
      <c r="F65" s="7">
        <v>0</v>
      </c>
      <c r="G65" s="8">
        <f>IFERROR(F65/F148, "NA")</f>
        <v>0</v>
      </c>
      <c r="H65" s="7">
        <v>0</v>
      </c>
      <c r="I65" s="8">
        <f>IFERROR(H65/H148, "NA")</f>
        <v>0</v>
      </c>
      <c r="J65" s="7">
        <v>0</v>
      </c>
      <c r="K65" s="8">
        <f>IFERROR(J65/J148, "NA")</f>
        <v>0</v>
      </c>
      <c r="L65" s="7">
        <v>0</v>
      </c>
      <c r="M65" s="8">
        <f>IFERROR(L65/L148, "NA")</f>
        <v>0</v>
      </c>
      <c r="N65" s="7">
        <v>0</v>
      </c>
      <c r="O65" s="8">
        <f>IFERROR(N65/N148, "NA")</f>
        <v>0</v>
      </c>
      <c r="P65" s="7">
        <v>0</v>
      </c>
      <c r="Q65" s="8">
        <f>IFERROR(P65/P148, "NA")</f>
        <v>0</v>
      </c>
      <c r="R65" s="7">
        <v>0</v>
      </c>
      <c r="S65" s="8">
        <f>IFERROR(R65/R148, "NA")</f>
        <v>0</v>
      </c>
      <c r="T65" s="7">
        <v>0</v>
      </c>
      <c r="U65" s="8">
        <f>IFERROR(T65/T148, "NA")</f>
        <v>0</v>
      </c>
      <c r="V65" s="7">
        <v>0</v>
      </c>
      <c r="W65" s="8">
        <f>IFERROR(V65/V148, "NA")</f>
        <v>0</v>
      </c>
      <c r="X65" s="7">
        <v>0</v>
      </c>
      <c r="Y65" s="8">
        <f>IFERROR(X65/X148, "NA")</f>
        <v>0</v>
      </c>
      <c r="Z65" s="7">
        <v>0</v>
      </c>
      <c r="AA65" s="8">
        <f>IFERROR(Z65/Z148, "NA")</f>
        <v>0</v>
      </c>
      <c r="AB65" s="9">
        <f t="shared" ref="AB65:AB72" si="24">IFERROR((R65+T65+V65+X65)/4, "NA")</f>
        <v>0</v>
      </c>
      <c r="AC65" s="8">
        <f>IFERROR(AB65/AB148, "NA")</f>
        <v>0</v>
      </c>
      <c r="AD65" s="10">
        <f t="shared" ref="AD65:AD72" si="25">IFERROR(X65-AB65, "NA")</f>
        <v>0</v>
      </c>
      <c r="AE65" s="11">
        <f>IFERROR(AD65/AD148, "NA")</f>
        <v>0</v>
      </c>
      <c r="AF65" s="10" t="str">
        <f t="shared" ref="AF65:AF72" si="26">IFERROR((X65-AB65)/AB65, "NA")</f>
        <v>NA</v>
      </c>
      <c r="AG65" s="9">
        <f t="shared" ref="AG65:AG72" si="27">IFERROR((J65+L65+N65+P65+R65+T65+V65+X65)/8, "NA")</f>
        <v>0</v>
      </c>
      <c r="AH65" s="8">
        <f>IFERROR(AG65/AG148, "NA")</f>
        <v>0</v>
      </c>
      <c r="AI65" s="10">
        <f t="shared" ref="AI65:AI72" si="28">IFERROR(X65-AG65, "NA")</f>
        <v>0</v>
      </c>
      <c r="AJ65" s="11">
        <f>IFERROR(AI65/AI148, "NA")</f>
        <v>0</v>
      </c>
      <c r="AK65" s="10" t="str">
        <f t="shared" ref="AK65:AK72" si="29">IFERROR((X65-AG65)/AG65, "NA")</f>
        <v>NA</v>
      </c>
      <c r="AL65" s="11" t="str">
        <f>IFERROR(AK65/AK148, "NA")</f>
        <v>NA</v>
      </c>
    </row>
    <row r="66" spans="1:38" ht="16.5" customHeight="1" x14ac:dyDescent="0.3">
      <c r="A66" s="25" t="s">
        <v>78</v>
      </c>
      <c r="B66" s="7">
        <v>6688.85</v>
      </c>
      <c r="C66" s="8">
        <f>IFERROR(B66/B148, "NA")</f>
        <v>5.5828239139185873E-2</v>
      </c>
      <c r="D66" s="7">
        <v>6688.85</v>
      </c>
      <c r="E66" s="8">
        <f>IFERROR(D66/D148, "NA")</f>
        <v>5.3328829235728688E-2</v>
      </c>
      <c r="F66" s="7">
        <v>6688.85</v>
      </c>
      <c r="G66" s="8">
        <f>IFERROR(F66/F148, "NA")</f>
        <v>4.9938622421652701E-2</v>
      </c>
      <c r="H66" s="7">
        <v>6688.85</v>
      </c>
      <c r="I66" s="8">
        <f>IFERROR(H66/H148, "NA")</f>
        <v>5.2254297346353382E-2</v>
      </c>
      <c r="J66" s="7">
        <v>6688.85</v>
      </c>
      <c r="K66" s="8">
        <f>IFERROR(J66/J148, "NA")</f>
        <v>5.7779418646023983E-2</v>
      </c>
      <c r="L66" s="7">
        <v>6688.85</v>
      </c>
      <c r="M66" s="8">
        <f>IFERROR(L66/L148, "NA")</f>
        <v>4.9477087430318881E-2</v>
      </c>
      <c r="N66" s="7">
        <v>6688.85</v>
      </c>
      <c r="O66" s="8">
        <f>IFERROR(N66/N148, "NA")</f>
        <v>5.2771196899518126E-2</v>
      </c>
      <c r="P66" s="7">
        <v>6688.85</v>
      </c>
      <c r="Q66" s="8">
        <f>IFERROR(P66/P148, "NA")</f>
        <v>4.8924152843095363E-2</v>
      </c>
      <c r="R66" s="7">
        <v>6688.85</v>
      </c>
      <c r="S66" s="8">
        <f>IFERROR(R66/R148, "NA")</f>
        <v>4.4683938385953761E-2</v>
      </c>
      <c r="T66" s="7">
        <v>6688.85</v>
      </c>
      <c r="U66" s="8">
        <f>IFERROR(T66/T148, "NA")</f>
        <v>5.4337905515563258E-2</v>
      </c>
      <c r="V66" s="7">
        <v>5361.93</v>
      </c>
      <c r="W66" s="8">
        <f>IFERROR(V66/V148, "NA")</f>
        <v>3.2244355510386943E-2</v>
      </c>
      <c r="X66" s="7">
        <v>5361.93</v>
      </c>
      <c r="Y66" s="8">
        <f>IFERROR(X66/X148, "NA")</f>
        <v>3.2312608379271329E-2</v>
      </c>
      <c r="Z66" s="7">
        <v>17412.71</v>
      </c>
      <c r="AA66" s="8">
        <f>IFERROR(Z66/Z148, "NA")</f>
        <v>3.8242203307661968E-2</v>
      </c>
      <c r="AB66" s="9">
        <f t="shared" si="24"/>
        <v>6025.39</v>
      </c>
      <c r="AC66" s="8">
        <f>IFERROR(AB66/AB148, "NA")</f>
        <v>3.9836001993654585E-2</v>
      </c>
      <c r="AD66" s="10">
        <f t="shared" si="25"/>
        <v>-663.46</v>
      </c>
      <c r="AE66" s="11">
        <f>IFERROR(AD66/AD148, "NA")</f>
        <v>-4.5181396196123637E-2</v>
      </c>
      <c r="AF66" s="10">
        <f t="shared" si="26"/>
        <v>-0.11011071482509846</v>
      </c>
      <c r="AG66" s="9">
        <f t="shared" si="27"/>
        <v>6357.12</v>
      </c>
      <c r="AH66" s="8">
        <f>IFERROR(AG66/AG148, "NA")</f>
        <v>4.5430457248527741E-2</v>
      </c>
      <c r="AI66" s="10">
        <f t="shared" si="28"/>
        <v>-995.1899999999996</v>
      </c>
      <c r="AJ66" s="11">
        <f>IFERROR(AI66/AI148, "NA")</f>
        <v>-3.8264095272095171E-2</v>
      </c>
      <c r="AK66" s="10">
        <f t="shared" si="29"/>
        <v>-0.15654730443974624</v>
      </c>
      <c r="AL66" s="11">
        <f>IFERROR(AK66/AK148, "NA")</f>
        <v>-0.84225644181327697</v>
      </c>
    </row>
    <row r="67" spans="1:38" ht="16.5" hidden="1" customHeight="1" x14ac:dyDescent="0.3">
      <c r="A67" s="25" t="s">
        <v>79</v>
      </c>
      <c r="B67" s="7">
        <v>0</v>
      </c>
      <c r="C67" s="8">
        <f>IFERROR(B67/B148, "NA")</f>
        <v>0</v>
      </c>
      <c r="D67" s="7">
        <v>0</v>
      </c>
      <c r="E67" s="8">
        <f>IFERROR(D67/D148, "NA")</f>
        <v>0</v>
      </c>
      <c r="F67" s="7">
        <v>0</v>
      </c>
      <c r="G67" s="8">
        <f>IFERROR(F67/F148, "NA")</f>
        <v>0</v>
      </c>
      <c r="H67" s="7">
        <v>0</v>
      </c>
      <c r="I67" s="8">
        <f>IFERROR(H67/H148, "NA")</f>
        <v>0</v>
      </c>
      <c r="J67" s="7">
        <v>0</v>
      </c>
      <c r="K67" s="8">
        <f>IFERROR(J67/J148, "NA")</f>
        <v>0</v>
      </c>
      <c r="L67" s="7">
        <v>0</v>
      </c>
      <c r="M67" s="8">
        <f>IFERROR(L67/L148, "NA")</f>
        <v>0</v>
      </c>
      <c r="N67" s="7">
        <v>0</v>
      </c>
      <c r="O67" s="8">
        <f>IFERROR(N67/N148, "NA")</f>
        <v>0</v>
      </c>
      <c r="P67" s="7">
        <v>0</v>
      </c>
      <c r="Q67" s="8">
        <f>IFERROR(P67/P148, "NA")</f>
        <v>0</v>
      </c>
      <c r="R67" s="7">
        <v>0</v>
      </c>
      <c r="S67" s="8">
        <f>IFERROR(R67/R148, "NA")</f>
        <v>0</v>
      </c>
      <c r="T67" s="7">
        <v>0</v>
      </c>
      <c r="U67" s="8">
        <f>IFERROR(T67/T148, "NA")</f>
        <v>0</v>
      </c>
      <c r="V67" s="7">
        <v>0</v>
      </c>
      <c r="W67" s="8">
        <f>IFERROR(V67/V148, "NA")</f>
        <v>0</v>
      </c>
      <c r="X67" s="7">
        <v>0</v>
      </c>
      <c r="Y67" s="8">
        <f>IFERROR(X67/X148, "NA")</f>
        <v>0</v>
      </c>
      <c r="Z67" s="7">
        <v>0</v>
      </c>
      <c r="AA67" s="8">
        <f>IFERROR(Z67/Z148, "NA")</f>
        <v>0</v>
      </c>
      <c r="AB67" s="9">
        <f t="shared" si="24"/>
        <v>0</v>
      </c>
      <c r="AC67" s="8">
        <f>IFERROR(AB67/AB148, "NA")</f>
        <v>0</v>
      </c>
      <c r="AD67" s="10">
        <f t="shared" si="25"/>
        <v>0</v>
      </c>
      <c r="AE67" s="11">
        <f>IFERROR(AD67/AD148, "NA")</f>
        <v>0</v>
      </c>
      <c r="AF67" s="10" t="str">
        <f t="shared" si="26"/>
        <v>NA</v>
      </c>
      <c r="AG67" s="9">
        <f t="shared" si="27"/>
        <v>0</v>
      </c>
      <c r="AH67" s="8">
        <f>IFERROR(AG67/AG148, "NA")</f>
        <v>0</v>
      </c>
      <c r="AI67" s="10">
        <f t="shared" si="28"/>
        <v>0</v>
      </c>
      <c r="AJ67" s="11">
        <f>IFERROR(AI67/AI148, "NA")</f>
        <v>0</v>
      </c>
      <c r="AK67" s="10" t="str">
        <f t="shared" si="29"/>
        <v>NA</v>
      </c>
      <c r="AL67" s="11" t="str">
        <f>IFERROR(AK67/AK148, "NA")</f>
        <v>NA</v>
      </c>
    </row>
    <row r="68" spans="1:38" ht="16.5" customHeight="1" x14ac:dyDescent="0.3">
      <c r="A68" s="25" t="s">
        <v>80</v>
      </c>
      <c r="B68" s="7">
        <v>20791.3</v>
      </c>
      <c r="C68" s="8">
        <f>IFERROR(B68/B148, "NA")</f>
        <v>0.17353381648782004</v>
      </c>
      <c r="D68" s="7">
        <v>22389.930000000004</v>
      </c>
      <c r="E68" s="8">
        <f>IFERROR(D68/D148, "NA")</f>
        <v>0.17851031994586797</v>
      </c>
      <c r="F68" s="7">
        <v>22654.3</v>
      </c>
      <c r="G68" s="8">
        <f>IFERROR(F68/F148, "NA")</f>
        <v>0.16913588044684014</v>
      </c>
      <c r="H68" s="7">
        <v>21727.510000000002</v>
      </c>
      <c r="I68" s="8">
        <f>IFERROR(H68/H148, "NA")</f>
        <v>0.16973856016144279</v>
      </c>
      <c r="J68" s="7">
        <v>21203.81</v>
      </c>
      <c r="K68" s="8">
        <f>IFERROR(J68/J148, "NA")</f>
        <v>0.18316210034322042</v>
      </c>
      <c r="L68" s="7">
        <v>23108.69</v>
      </c>
      <c r="M68" s="8">
        <f>IFERROR(L68/L148, "NA")</f>
        <v>0.17093381904664262</v>
      </c>
      <c r="N68" s="7">
        <v>22196.1</v>
      </c>
      <c r="O68" s="8">
        <f>IFERROR(N68/N148, "NA")</f>
        <v>0.17511452095672561</v>
      </c>
      <c r="P68" s="7">
        <v>22945.510000000002</v>
      </c>
      <c r="Q68" s="8">
        <f>IFERROR(P68/P148, "NA")</f>
        <v>0.16782999144886984</v>
      </c>
      <c r="R68" s="7">
        <v>23048.149999999998</v>
      </c>
      <c r="S68" s="8">
        <f>IFERROR(R68/R148, "NA")</f>
        <v>0.15396998206122428</v>
      </c>
      <c r="T68" s="7">
        <v>21093.800000000003</v>
      </c>
      <c r="U68" s="8">
        <f>IFERROR(T68/T148, "NA")</f>
        <v>0.17135874049562905</v>
      </c>
      <c r="V68" s="7">
        <v>28208.299999999996</v>
      </c>
      <c r="W68" s="8">
        <f>IFERROR(V68/V148, "NA")</f>
        <v>0.16963266091568668</v>
      </c>
      <c r="X68" s="7">
        <v>29356.46</v>
      </c>
      <c r="Y68" s="8">
        <f>IFERROR(X68/X148, "NA")</f>
        <v>0.176910887568794</v>
      </c>
      <c r="Z68" s="7">
        <v>78658.559999999998</v>
      </c>
      <c r="AA68" s="8">
        <f>IFERROR(Z68/Z148, "NA")</f>
        <v>0.17275177978659997</v>
      </c>
      <c r="AB68" s="9">
        <f t="shared" si="24"/>
        <v>25426.677499999998</v>
      </c>
      <c r="AC68" s="8">
        <f>IFERROR(AB68/AB148, "NA")</f>
        <v>0.16810483231492268</v>
      </c>
      <c r="AD68" s="10">
        <f t="shared" si="25"/>
        <v>3929.7825000000012</v>
      </c>
      <c r="AE68" s="11">
        <f>IFERROR(AD68/AD148, "NA")</f>
        <v>0.26761682708391354</v>
      </c>
      <c r="AF68" s="10">
        <f t="shared" si="26"/>
        <v>0.15455351962520472</v>
      </c>
      <c r="AG68" s="9">
        <f t="shared" si="27"/>
        <v>23895.102499999997</v>
      </c>
      <c r="AH68" s="8">
        <f>IFERROR(AG68/AG148, "NA")</f>
        <v>0.17076371573533899</v>
      </c>
      <c r="AI68" s="10">
        <f t="shared" si="28"/>
        <v>5461.3575000000019</v>
      </c>
      <c r="AJ68" s="11">
        <f>IFERROR(AI68/AI148, "NA")</f>
        <v>0.20998392638086363</v>
      </c>
      <c r="AK68" s="10">
        <f t="shared" si="29"/>
        <v>0.22855551676332012</v>
      </c>
      <c r="AL68" s="11">
        <f>IFERROR(AK68/AK148, "NA")</f>
        <v>1.2296753175968056</v>
      </c>
    </row>
    <row r="69" spans="1:38" ht="16.5" customHeight="1" x14ac:dyDescent="0.3">
      <c r="A69" s="25" t="s">
        <v>81</v>
      </c>
      <c r="B69" s="7">
        <v>779.54</v>
      </c>
      <c r="C69" s="8">
        <f>IFERROR(B69/B148, "NA")</f>
        <v>6.5064017788649692E-3</v>
      </c>
      <c r="D69" s="7">
        <v>410.89</v>
      </c>
      <c r="E69" s="8">
        <f>IFERROR(D69/D148, "NA")</f>
        <v>3.2759417006912339E-3</v>
      </c>
      <c r="F69" s="7">
        <v>287.64</v>
      </c>
      <c r="G69" s="8">
        <f>IFERROR(F69/F148, "NA")</f>
        <v>2.1475059768666033E-3</v>
      </c>
      <c r="H69" s="7">
        <v>245.57</v>
      </c>
      <c r="I69" s="8">
        <f>IFERROR(H69/H148, "NA")</f>
        <v>1.9184295954228303E-3</v>
      </c>
      <c r="J69" s="7">
        <v>184.34</v>
      </c>
      <c r="K69" s="8">
        <f>IFERROR(J69/J148, "NA")</f>
        <v>1.5923601266597488E-3</v>
      </c>
      <c r="L69" s="7">
        <v>670.44</v>
      </c>
      <c r="M69" s="8">
        <f>IFERROR(L69/L148, "NA")</f>
        <v>4.9592109999152308E-3</v>
      </c>
      <c r="N69" s="7">
        <v>340.71999999999997</v>
      </c>
      <c r="O69" s="8">
        <f>IFERROR(N69/N148, "NA")</f>
        <v>2.6880857258876805E-3</v>
      </c>
      <c r="P69" s="7">
        <v>256.44</v>
      </c>
      <c r="Q69" s="8">
        <f>IFERROR(P69/P148, "NA")</f>
        <v>1.8756751541869491E-3</v>
      </c>
      <c r="R69" s="7">
        <v>926.77</v>
      </c>
      <c r="S69" s="8">
        <f>IFERROR(R69/R148, "NA")</f>
        <v>6.1911589552688974E-3</v>
      </c>
      <c r="T69" s="7">
        <v>74.06</v>
      </c>
      <c r="U69" s="8">
        <f>IFERROR(T69/T148, "NA")</f>
        <v>6.0163784245163441E-4</v>
      </c>
      <c r="V69" s="7">
        <v>810.69</v>
      </c>
      <c r="W69" s="8">
        <f>IFERROR(V69/V148, "NA")</f>
        <v>4.8751431981983338E-3</v>
      </c>
      <c r="X69" s="7">
        <v>611.21</v>
      </c>
      <c r="Y69" s="8">
        <f>IFERROR(X69/X148, "NA")</f>
        <v>3.6833359196211867E-3</v>
      </c>
      <c r="Z69" s="7">
        <v>1495.9599999999998</v>
      </c>
      <c r="AA69" s="8">
        <f>IFERROR(Z69/Z148, "NA")</f>
        <v>3.2854625420241875E-3</v>
      </c>
      <c r="AB69" s="9">
        <f t="shared" si="24"/>
        <v>605.6825</v>
      </c>
      <c r="AC69" s="8">
        <f>IFERROR(AB69/AB148, "NA")</f>
        <v>4.004382998863425E-3</v>
      </c>
      <c r="AD69" s="10">
        <f t="shared" si="25"/>
        <v>5.5275000000000318</v>
      </c>
      <c r="AE69" s="11">
        <f>IFERROR(AD69/AD148, "NA")</f>
        <v>3.7642083542952827E-4</v>
      </c>
      <c r="AF69" s="10">
        <f t="shared" si="26"/>
        <v>9.126068526001712E-3</v>
      </c>
      <c r="AG69" s="9">
        <f t="shared" si="27"/>
        <v>484.33375000000001</v>
      </c>
      <c r="AH69" s="8">
        <f>IFERROR(AG69/AG148, "NA")</f>
        <v>3.4612377497033444E-3</v>
      </c>
      <c r="AI69" s="10">
        <f t="shared" si="28"/>
        <v>126.87625000000003</v>
      </c>
      <c r="AJ69" s="11">
        <f>IFERROR(AI69/AI148, "NA")</f>
        <v>4.8782693935491396E-3</v>
      </c>
      <c r="AK69" s="10">
        <f t="shared" si="29"/>
        <v>0.26196037339954115</v>
      </c>
      <c r="AL69" s="11">
        <f>IFERROR(AK69/AK148, "NA")</f>
        <v>1.4094002626566886</v>
      </c>
    </row>
    <row r="70" spans="1:38" ht="16.5" customHeight="1" x14ac:dyDescent="0.3">
      <c r="A70" s="26" t="s">
        <v>82</v>
      </c>
      <c r="B70" s="13">
        <f>IFERROR(B65+B66+B67+B68+B69, "NA")</f>
        <v>28259.690000000002</v>
      </c>
      <c r="C70" s="14">
        <f>IFERROR(B70/B148, "NA")</f>
        <v>0.23586845740587092</v>
      </c>
      <c r="D70" s="13">
        <f>IFERROR(D65+D66+D67+D68+D69, "NA")</f>
        <v>29489.670000000006</v>
      </c>
      <c r="E70" s="14">
        <f>IFERROR(D70/D148, "NA")</f>
        <v>0.23511509088228791</v>
      </c>
      <c r="F70" s="13">
        <f>IFERROR(F65+F66+F67+F68+F69, "NA")</f>
        <v>29630.79</v>
      </c>
      <c r="G70" s="14">
        <f>IFERROR(F70/F148, "NA")</f>
        <v>0.22122200884535945</v>
      </c>
      <c r="H70" s="13">
        <f>IFERROR(H65+H66+H67+H68+H69, "NA")</f>
        <v>28661.93</v>
      </c>
      <c r="I70" s="14">
        <f>IFERROR(H70/H148, "NA")</f>
        <v>0.22391128710321898</v>
      </c>
      <c r="J70" s="13">
        <f>IFERROR(J65+J66+J67+J68+J69, "NA")</f>
        <v>28077.000000000004</v>
      </c>
      <c r="K70" s="14">
        <f>IFERROR(J70/J148, "NA")</f>
        <v>0.24253387911590416</v>
      </c>
      <c r="L70" s="13">
        <f>IFERROR(L65+L66+L67+L68+L69, "NA")</f>
        <v>30467.98</v>
      </c>
      <c r="M70" s="14">
        <f>IFERROR(L70/L148, "NA")</f>
        <v>0.22537011747687674</v>
      </c>
      <c r="N70" s="13">
        <f>IFERROR(N65+N66+N67+N68+N69, "NA")</f>
        <v>29225.67</v>
      </c>
      <c r="O70" s="14">
        <f>IFERROR(N70/N148, "NA")</f>
        <v>0.23057380358213139</v>
      </c>
      <c r="P70" s="13">
        <f>IFERROR(P65+P66+P67+P68+P69, "NA")</f>
        <v>29890.799999999999</v>
      </c>
      <c r="Q70" s="14">
        <f>IFERROR(P70/P148, "NA")</f>
        <v>0.21862981944615215</v>
      </c>
      <c r="R70" s="13">
        <f>IFERROR(R65+R66+R67+R68+R69, "NA")</f>
        <v>30663.77</v>
      </c>
      <c r="S70" s="14">
        <f>IFERROR(R70/R148, "NA")</f>
        <v>0.20484507940244695</v>
      </c>
      <c r="T70" s="13">
        <f>IFERROR(T65+T66+T67+T68+T69, "NA")</f>
        <v>27856.710000000003</v>
      </c>
      <c r="U70" s="14">
        <f>IFERROR(T70/T148, "NA")</f>
        <v>0.22629828385364395</v>
      </c>
      <c r="V70" s="13">
        <f>IFERROR(V65+V66+V67+V68+V69, "NA")</f>
        <v>34380.92</v>
      </c>
      <c r="W70" s="14">
        <f>IFERROR(V70/V148, "NA")</f>
        <v>0.20675215962427196</v>
      </c>
      <c r="X70" s="13">
        <f>IFERROR(X65+X66+X67+X68+X69, "NA")</f>
        <v>35329.599999999999</v>
      </c>
      <c r="Y70" s="14">
        <f>IFERROR(X70/X148, "NA")</f>
        <v>0.2129068318676865</v>
      </c>
      <c r="Z70" s="13">
        <f>IFERROR(Z65+Z66+Z67+Z68+Z69, "NA")</f>
        <v>97567.23</v>
      </c>
      <c r="AA70" s="14">
        <f>IFERROR(Z70/Z148, "NA")</f>
        <v>0.21427944563628615</v>
      </c>
      <c r="AB70" s="13">
        <f t="shared" si="24"/>
        <v>32057.75</v>
      </c>
      <c r="AC70" s="14">
        <f>IFERROR(AB70/AB148, "NA")</f>
        <v>0.2119452173074407</v>
      </c>
      <c r="AD70" s="15">
        <f t="shared" si="25"/>
        <v>3271.8499999999985</v>
      </c>
      <c r="AE70" s="16">
        <f>IFERROR(AD70/AD148, "NA")</f>
        <v>0.22281185172321924</v>
      </c>
      <c r="AF70" s="15">
        <f t="shared" si="26"/>
        <v>0.1020611240651636</v>
      </c>
      <c r="AG70" s="13">
        <f t="shared" si="27"/>
        <v>30736.556249999998</v>
      </c>
      <c r="AH70" s="14">
        <f>IFERROR(AG70/AG148, "NA")</f>
        <v>0.21965541073357009</v>
      </c>
      <c r="AI70" s="15">
        <f t="shared" si="28"/>
        <v>4593.0437500000007</v>
      </c>
      <c r="AJ70" s="16">
        <f>IFERROR(AI70/AI148, "NA")</f>
        <v>0.17659810050231753</v>
      </c>
      <c r="AK70" s="15">
        <f t="shared" si="29"/>
        <v>0.1494326076298805</v>
      </c>
      <c r="AL70" s="16">
        <f>IFERROR(AK70/AK148, "NA")</f>
        <v>0.80397792120186518</v>
      </c>
    </row>
    <row r="71" spans="1:38" ht="16.5" hidden="1" customHeight="1" x14ac:dyDescent="0.3">
      <c r="A71" s="23" t="s">
        <v>83</v>
      </c>
      <c r="B71" s="7">
        <v>0</v>
      </c>
      <c r="C71" s="8">
        <f>IFERROR(B71/B148, "NA")</f>
        <v>0</v>
      </c>
      <c r="D71" s="7">
        <v>0</v>
      </c>
      <c r="E71" s="8">
        <f>IFERROR(D71/D148, "NA")</f>
        <v>0</v>
      </c>
      <c r="F71" s="7">
        <v>0</v>
      </c>
      <c r="G71" s="8">
        <f>IFERROR(F71/F148, "NA")</f>
        <v>0</v>
      </c>
      <c r="H71" s="7">
        <v>0</v>
      </c>
      <c r="I71" s="8">
        <f>IFERROR(H71/H148, "NA")</f>
        <v>0</v>
      </c>
      <c r="J71" s="7">
        <v>0</v>
      </c>
      <c r="K71" s="8">
        <f>IFERROR(J71/J148, "NA")</f>
        <v>0</v>
      </c>
      <c r="L71" s="7">
        <v>0</v>
      </c>
      <c r="M71" s="8">
        <f>IFERROR(L71/L148, "NA")</f>
        <v>0</v>
      </c>
      <c r="N71" s="7">
        <v>0</v>
      </c>
      <c r="O71" s="8">
        <f>IFERROR(N71/N148, "NA")</f>
        <v>0</v>
      </c>
      <c r="P71" s="7">
        <v>0</v>
      </c>
      <c r="Q71" s="8">
        <f>IFERROR(P71/P148, "NA")</f>
        <v>0</v>
      </c>
      <c r="R71" s="7">
        <v>0</v>
      </c>
      <c r="S71" s="8">
        <f>IFERROR(R71/R148, "NA")</f>
        <v>0</v>
      </c>
      <c r="T71" s="7">
        <v>0</v>
      </c>
      <c r="U71" s="8">
        <f>IFERROR(T71/T148, "NA")</f>
        <v>0</v>
      </c>
      <c r="V71" s="7">
        <v>0</v>
      </c>
      <c r="W71" s="8">
        <f>IFERROR(V71/V148, "NA")</f>
        <v>0</v>
      </c>
      <c r="X71" s="7">
        <v>0</v>
      </c>
      <c r="Y71" s="8">
        <f>IFERROR(X71/X148, "NA")</f>
        <v>0</v>
      </c>
      <c r="Z71" s="7">
        <v>0</v>
      </c>
      <c r="AA71" s="8">
        <f>IFERROR(Z71/Z148, "NA")</f>
        <v>0</v>
      </c>
      <c r="AB71" s="9">
        <f t="shared" si="24"/>
        <v>0</v>
      </c>
      <c r="AC71" s="8">
        <f>IFERROR(AB71/AB148, "NA")</f>
        <v>0</v>
      </c>
      <c r="AD71" s="10">
        <f t="shared" si="25"/>
        <v>0</v>
      </c>
      <c r="AE71" s="11">
        <f>IFERROR(AD71/AD148, "NA")</f>
        <v>0</v>
      </c>
      <c r="AF71" s="10" t="str">
        <f t="shared" si="26"/>
        <v>NA</v>
      </c>
      <c r="AG71" s="9">
        <f t="shared" si="27"/>
        <v>0</v>
      </c>
      <c r="AH71" s="8">
        <f>IFERROR(AG71/AG148, "NA")</f>
        <v>0</v>
      </c>
      <c r="AI71" s="10">
        <f t="shared" si="28"/>
        <v>0</v>
      </c>
      <c r="AJ71" s="11">
        <f>IFERROR(AI71/AI148, "NA")</f>
        <v>0</v>
      </c>
      <c r="AK71" s="10" t="str">
        <f t="shared" si="29"/>
        <v>NA</v>
      </c>
      <c r="AL71" s="11" t="str">
        <f>IFERROR(AK71/AK148, "NA")</f>
        <v>NA</v>
      </c>
    </row>
    <row r="72" spans="1:38" ht="16.5" customHeight="1" x14ac:dyDescent="0.3">
      <c r="A72" s="23" t="s">
        <v>84</v>
      </c>
      <c r="B72" s="7">
        <v>0</v>
      </c>
      <c r="C72" s="8">
        <f>IFERROR(B72/B148, "NA")</f>
        <v>0</v>
      </c>
      <c r="D72" s="7">
        <v>0</v>
      </c>
      <c r="E72" s="8">
        <f>IFERROR(D72/D148, "NA")</f>
        <v>0</v>
      </c>
      <c r="F72" s="7">
        <v>0</v>
      </c>
      <c r="G72" s="8">
        <f>IFERROR(F72/F148, "NA")</f>
        <v>0</v>
      </c>
      <c r="H72" s="7">
        <v>95</v>
      </c>
      <c r="I72" s="8">
        <f>IFERROR(H72/H148, "NA")</f>
        <v>7.4215421902174082E-4</v>
      </c>
      <c r="J72" s="7">
        <v>0</v>
      </c>
      <c r="K72" s="8">
        <f>IFERROR(J72/J148, "NA")</f>
        <v>0</v>
      </c>
      <c r="L72" s="7">
        <v>0</v>
      </c>
      <c r="M72" s="8">
        <f>IFERROR(L72/L148, "NA")</f>
        <v>0</v>
      </c>
      <c r="N72" s="7">
        <v>0</v>
      </c>
      <c r="O72" s="8">
        <f>IFERROR(N72/N148, "NA")</f>
        <v>0</v>
      </c>
      <c r="P72" s="7">
        <v>0</v>
      </c>
      <c r="Q72" s="8">
        <f>IFERROR(P72/P148, "NA")</f>
        <v>0</v>
      </c>
      <c r="R72" s="7">
        <v>2449</v>
      </c>
      <c r="S72" s="8">
        <f>IFERROR(R72/R148, "NA")</f>
        <v>1.6360206180016108E-2</v>
      </c>
      <c r="T72" s="7">
        <v>0</v>
      </c>
      <c r="U72" s="8">
        <f>IFERROR(T72/T148, "NA")</f>
        <v>0</v>
      </c>
      <c r="V72" s="7">
        <v>0</v>
      </c>
      <c r="W72" s="8">
        <f>IFERROR(V72/V148, "NA")</f>
        <v>0</v>
      </c>
      <c r="X72" s="7">
        <v>0</v>
      </c>
      <c r="Y72" s="8">
        <f>IFERROR(X72/X148, "NA")</f>
        <v>0</v>
      </c>
      <c r="Z72" s="7">
        <v>0</v>
      </c>
      <c r="AA72" s="8">
        <f>IFERROR(Z72/Z148, "NA")</f>
        <v>0</v>
      </c>
      <c r="AB72" s="9">
        <f t="shared" si="24"/>
        <v>612.25</v>
      </c>
      <c r="AC72" s="8">
        <f>IFERROR(AB72/AB148, "NA")</f>
        <v>4.0478030833879667E-3</v>
      </c>
      <c r="AD72" s="10">
        <f t="shared" si="25"/>
        <v>-612.25</v>
      </c>
      <c r="AE72" s="11">
        <f>IFERROR(AD72/AD148, "NA")</f>
        <v>-4.1694012933826748E-2</v>
      </c>
      <c r="AF72" s="10">
        <f t="shared" si="26"/>
        <v>-1</v>
      </c>
      <c r="AG72" s="9">
        <f t="shared" si="27"/>
        <v>306.125</v>
      </c>
      <c r="AH72" s="8">
        <f>IFERROR(AG72/AG148, "NA")</f>
        <v>2.1876885641934642E-3</v>
      </c>
      <c r="AI72" s="10">
        <f t="shared" si="28"/>
        <v>-306.125</v>
      </c>
      <c r="AJ72" s="11">
        <f>IFERROR(AI72/AI148, "NA")</f>
        <v>-1.1770210879500538E-2</v>
      </c>
      <c r="AK72" s="10">
        <f t="shared" si="29"/>
        <v>-1</v>
      </c>
      <c r="AL72" s="11">
        <f>IFERROR(AK72/AK148, "NA")</f>
        <v>-5.3802040528743467</v>
      </c>
    </row>
    <row r="73" spans="1:38" ht="16.5" customHeight="1" x14ac:dyDescent="0.3">
      <c r="A73" s="24" t="s">
        <v>85</v>
      </c>
      <c r="B73" s="2"/>
      <c r="C73" s="3"/>
      <c r="D73" s="2"/>
      <c r="E73" s="3"/>
      <c r="F73" s="2"/>
      <c r="G73" s="3"/>
      <c r="H73" s="2"/>
      <c r="I73" s="3"/>
      <c r="J73" s="2"/>
      <c r="K73" s="3"/>
      <c r="L73" s="2"/>
      <c r="M73" s="3"/>
      <c r="N73" s="2"/>
      <c r="O73" s="3"/>
      <c r="P73" s="2"/>
      <c r="Q73" s="3"/>
      <c r="R73" s="2"/>
      <c r="S73" s="3"/>
      <c r="T73" s="2"/>
      <c r="U73" s="3"/>
      <c r="V73" s="2"/>
      <c r="W73" s="3"/>
      <c r="X73" s="2"/>
      <c r="Y73" s="3"/>
      <c r="Z73" s="2"/>
      <c r="AA73" s="3"/>
      <c r="AB73" s="2"/>
      <c r="AC73" s="3"/>
      <c r="AD73" s="4"/>
      <c r="AE73" s="5"/>
      <c r="AF73" s="4"/>
      <c r="AG73" s="2"/>
      <c r="AH73" s="3"/>
      <c r="AI73" s="4"/>
      <c r="AJ73" s="5"/>
      <c r="AK73" s="4"/>
      <c r="AL73" s="5"/>
    </row>
    <row r="74" spans="1:38" ht="16.5" customHeight="1" x14ac:dyDescent="0.3">
      <c r="A74" s="25" t="s">
        <v>86</v>
      </c>
      <c r="B74" s="7">
        <v>2600.1400000000003</v>
      </c>
      <c r="C74" s="8">
        <f>IFERROR(B74/B148, "NA")</f>
        <v>2.1701972344328663E-2</v>
      </c>
      <c r="D74" s="7">
        <v>3027.7400000000002</v>
      </c>
      <c r="E74" s="8">
        <f>IFERROR(D74/D148, "NA")</f>
        <v>2.413955006169748E-2</v>
      </c>
      <c r="F74" s="7">
        <v>2728.3700000000003</v>
      </c>
      <c r="G74" s="8">
        <f>IFERROR(F74/F148, "NA")</f>
        <v>2.0369875128992965E-2</v>
      </c>
      <c r="H74" s="7">
        <v>2599.2399999999998</v>
      </c>
      <c r="I74" s="8">
        <f>IFERROR(H74/H148, "NA")</f>
        <v>2.0305651918421784E-2</v>
      </c>
      <c r="J74" s="7">
        <v>2567.3900000000003</v>
      </c>
      <c r="K74" s="8">
        <f>IFERROR(J74/J148, "NA")</f>
        <v>2.2177549449847959E-2</v>
      </c>
      <c r="L74" s="7">
        <v>2799.66</v>
      </c>
      <c r="M74" s="8">
        <f>IFERROR(L74/L148, "NA")</f>
        <v>2.0708944376860976E-2</v>
      </c>
      <c r="N74" s="7">
        <v>2693.8399999999997</v>
      </c>
      <c r="O74" s="8">
        <f>IFERROR(N74/N148, "NA")</f>
        <v>2.1252855282417438E-2</v>
      </c>
      <c r="P74" s="7">
        <v>2715.1499999999996</v>
      </c>
      <c r="Q74" s="8">
        <f>IFERROR(P74/P148, "NA")</f>
        <v>1.9859379951999274E-2</v>
      </c>
      <c r="R74" s="7">
        <v>2772.2599999999998</v>
      </c>
      <c r="S74" s="8">
        <f>IFERROR(R74/R148, "NA")</f>
        <v>1.8519699952883405E-2</v>
      </c>
      <c r="T74" s="7">
        <v>2496.5500000000002</v>
      </c>
      <c r="U74" s="8">
        <f>IFERROR(T74/T148, "NA")</f>
        <v>2.0281109310999568E-2</v>
      </c>
      <c r="V74" s="7">
        <v>3139.09</v>
      </c>
      <c r="W74" s="8">
        <f>IFERROR(V74/V148, "NA")</f>
        <v>1.8877145717885267E-2</v>
      </c>
      <c r="X74" s="7">
        <v>3222.61</v>
      </c>
      <c r="Y74" s="8">
        <f>IFERROR(X74/X148, "NA")</f>
        <v>1.942042042494467E-2</v>
      </c>
      <c r="Z74" s="7">
        <v>8858.25</v>
      </c>
      <c r="AA74" s="8">
        <f>IFERROR(Z74/Z148, "NA")</f>
        <v>1.9454697025913636E-2</v>
      </c>
      <c r="AB74" s="9">
        <f t="shared" ref="AB74:AB85" si="30">IFERROR((R74+T74+V74+X74)/4, "NA")</f>
        <v>2907.6275000000001</v>
      </c>
      <c r="AC74" s="8">
        <f>IFERROR(AB74/AB148, "NA")</f>
        <v>1.9223362286392234E-2</v>
      </c>
      <c r="AD74" s="10">
        <f t="shared" ref="AD74:AD85" si="31">IFERROR(X74-AB74, "NA")</f>
        <v>314.98250000000007</v>
      </c>
      <c r="AE74" s="11">
        <f>IFERROR(AD74/AD148, "NA")</f>
        <v>2.1450199148924601E-2</v>
      </c>
      <c r="AF74" s="10">
        <f t="shared" ref="AF74:AF85" si="32">IFERROR((X74-AB74)/AB74, "NA")</f>
        <v>0.10832972930679741</v>
      </c>
      <c r="AG74" s="9">
        <f t="shared" ref="AG74:AG85" si="33">IFERROR((J74+L74+N74+P74+R74+T74+V74+X74)/8, "NA")</f>
        <v>2800.8187499999999</v>
      </c>
      <c r="AH74" s="8">
        <f>IFERROR(AG74/AG148, "NA")</f>
        <v>2.0015742424674996E-2</v>
      </c>
      <c r="AI74" s="10">
        <f t="shared" ref="AI74:AI85" si="34">IFERROR(X74-AG74, "NA")</f>
        <v>421.79125000000022</v>
      </c>
      <c r="AJ74" s="11">
        <f>IFERROR(AI74/AI148, "NA")</f>
        <v>1.6217466589230328E-2</v>
      </c>
      <c r="AK74" s="10">
        <f t="shared" ref="AK74:AK85" si="35">IFERROR((X74-AG74)/AG74, "NA")</f>
        <v>0.15059569634771983</v>
      </c>
      <c r="AL74" s="11">
        <f>IFERROR(AK74/AK148, "NA")</f>
        <v>0.81023557583543671</v>
      </c>
    </row>
    <row r="75" spans="1:38" ht="16.5" hidden="1" customHeight="1" x14ac:dyDescent="0.3">
      <c r="A75" s="25" t="s">
        <v>87</v>
      </c>
      <c r="B75" s="7">
        <v>0</v>
      </c>
      <c r="C75" s="8">
        <f>IFERROR(B75/B148, "NA")</f>
        <v>0</v>
      </c>
      <c r="D75" s="7">
        <v>0</v>
      </c>
      <c r="E75" s="8">
        <f>IFERROR(D75/D148, "NA")</f>
        <v>0</v>
      </c>
      <c r="F75" s="7">
        <v>0</v>
      </c>
      <c r="G75" s="8">
        <f>IFERROR(F75/F148, "NA")</f>
        <v>0</v>
      </c>
      <c r="H75" s="7">
        <v>0</v>
      </c>
      <c r="I75" s="8">
        <f>IFERROR(H75/H148, "NA")</f>
        <v>0</v>
      </c>
      <c r="J75" s="7">
        <v>0</v>
      </c>
      <c r="K75" s="8">
        <f>IFERROR(J75/J148, "NA")</f>
        <v>0</v>
      </c>
      <c r="L75" s="7">
        <v>0</v>
      </c>
      <c r="M75" s="8">
        <f>IFERROR(L75/L148, "NA")</f>
        <v>0</v>
      </c>
      <c r="N75" s="7">
        <v>0</v>
      </c>
      <c r="O75" s="8">
        <f>IFERROR(N75/N148, "NA")</f>
        <v>0</v>
      </c>
      <c r="P75" s="7">
        <v>0</v>
      </c>
      <c r="Q75" s="8">
        <f>IFERROR(P75/P148, "NA")</f>
        <v>0</v>
      </c>
      <c r="R75" s="7">
        <v>0</v>
      </c>
      <c r="S75" s="8">
        <f>IFERROR(R75/R148, "NA")</f>
        <v>0</v>
      </c>
      <c r="T75" s="7">
        <v>0</v>
      </c>
      <c r="U75" s="8">
        <f>IFERROR(T75/T148, "NA")</f>
        <v>0</v>
      </c>
      <c r="V75" s="7">
        <v>0</v>
      </c>
      <c r="W75" s="8">
        <f>IFERROR(V75/V148, "NA")</f>
        <v>0</v>
      </c>
      <c r="X75" s="7">
        <v>0</v>
      </c>
      <c r="Y75" s="8">
        <f>IFERROR(X75/X148, "NA")</f>
        <v>0</v>
      </c>
      <c r="Z75" s="7">
        <v>0</v>
      </c>
      <c r="AA75" s="8">
        <f>IFERROR(Z75/Z148, "NA")</f>
        <v>0</v>
      </c>
      <c r="AB75" s="9">
        <f t="shared" si="30"/>
        <v>0</v>
      </c>
      <c r="AC75" s="8">
        <f>IFERROR(AB75/AB148, "NA")</f>
        <v>0</v>
      </c>
      <c r="AD75" s="10">
        <f t="shared" si="31"/>
        <v>0</v>
      </c>
      <c r="AE75" s="11">
        <f>IFERROR(AD75/AD148, "NA")</f>
        <v>0</v>
      </c>
      <c r="AF75" s="10" t="str">
        <f t="shared" si="32"/>
        <v>NA</v>
      </c>
      <c r="AG75" s="9">
        <f t="shared" si="33"/>
        <v>0</v>
      </c>
      <c r="AH75" s="8">
        <f>IFERROR(AG75/AG148, "NA")</f>
        <v>0</v>
      </c>
      <c r="AI75" s="10">
        <f t="shared" si="34"/>
        <v>0</v>
      </c>
      <c r="AJ75" s="11">
        <f>IFERROR(AI75/AI148, "NA")</f>
        <v>0</v>
      </c>
      <c r="AK75" s="10" t="str">
        <f t="shared" si="35"/>
        <v>NA</v>
      </c>
      <c r="AL75" s="11" t="str">
        <f>IFERROR(AK75/AK148, "NA")</f>
        <v>NA</v>
      </c>
    </row>
    <row r="76" spans="1:38" ht="16.5" hidden="1" customHeight="1" x14ac:dyDescent="0.3">
      <c r="A76" s="25" t="s">
        <v>88</v>
      </c>
      <c r="B76" s="7">
        <v>0</v>
      </c>
      <c r="C76" s="8">
        <f>IFERROR(B76/B148, "NA")</f>
        <v>0</v>
      </c>
      <c r="D76" s="7">
        <v>0</v>
      </c>
      <c r="E76" s="8">
        <f>IFERROR(D76/D148, "NA")</f>
        <v>0</v>
      </c>
      <c r="F76" s="7">
        <v>0</v>
      </c>
      <c r="G76" s="8">
        <f>IFERROR(F76/F148, "NA")</f>
        <v>0</v>
      </c>
      <c r="H76" s="7">
        <v>0</v>
      </c>
      <c r="I76" s="8">
        <f>IFERROR(H76/H148, "NA")</f>
        <v>0</v>
      </c>
      <c r="J76" s="7">
        <v>0</v>
      </c>
      <c r="K76" s="8">
        <f>IFERROR(J76/J148, "NA")</f>
        <v>0</v>
      </c>
      <c r="L76" s="7">
        <v>0</v>
      </c>
      <c r="M76" s="8">
        <f>IFERROR(L76/L148, "NA")</f>
        <v>0</v>
      </c>
      <c r="N76" s="7">
        <v>0</v>
      </c>
      <c r="O76" s="8">
        <f>IFERROR(N76/N148, "NA")</f>
        <v>0</v>
      </c>
      <c r="P76" s="7">
        <v>0</v>
      </c>
      <c r="Q76" s="8">
        <f>IFERROR(P76/P148, "NA")</f>
        <v>0</v>
      </c>
      <c r="R76" s="7">
        <v>0</v>
      </c>
      <c r="S76" s="8">
        <f>IFERROR(R76/R148, "NA")</f>
        <v>0</v>
      </c>
      <c r="T76" s="7">
        <v>0</v>
      </c>
      <c r="U76" s="8">
        <f>IFERROR(T76/T148, "NA")</f>
        <v>0</v>
      </c>
      <c r="V76" s="7">
        <v>0</v>
      </c>
      <c r="W76" s="8">
        <f>IFERROR(V76/V148, "NA")</f>
        <v>0</v>
      </c>
      <c r="X76" s="7">
        <v>0</v>
      </c>
      <c r="Y76" s="8">
        <f>IFERROR(X76/X148, "NA")</f>
        <v>0</v>
      </c>
      <c r="Z76" s="7">
        <v>0</v>
      </c>
      <c r="AA76" s="8">
        <f>IFERROR(Z76/Z148, "NA")</f>
        <v>0</v>
      </c>
      <c r="AB76" s="9">
        <f t="shared" si="30"/>
        <v>0</v>
      </c>
      <c r="AC76" s="8">
        <f>IFERROR(AB76/AB148, "NA")</f>
        <v>0</v>
      </c>
      <c r="AD76" s="10">
        <f t="shared" si="31"/>
        <v>0</v>
      </c>
      <c r="AE76" s="11">
        <f>IFERROR(AD76/AD148, "NA")</f>
        <v>0</v>
      </c>
      <c r="AF76" s="10" t="str">
        <f t="shared" si="32"/>
        <v>NA</v>
      </c>
      <c r="AG76" s="9">
        <f t="shared" si="33"/>
        <v>0</v>
      </c>
      <c r="AH76" s="8">
        <f>IFERROR(AG76/AG148, "NA")</f>
        <v>0</v>
      </c>
      <c r="AI76" s="10">
        <f t="shared" si="34"/>
        <v>0</v>
      </c>
      <c r="AJ76" s="11">
        <f>IFERROR(AI76/AI148, "NA")</f>
        <v>0</v>
      </c>
      <c r="AK76" s="10" t="str">
        <f t="shared" si="35"/>
        <v>NA</v>
      </c>
      <c r="AL76" s="11" t="str">
        <f>IFERROR(AK76/AK148, "NA")</f>
        <v>NA</v>
      </c>
    </row>
    <row r="77" spans="1:38" ht="16.5" hidden="1" customHeight="1" x14ac:dyDescent="0.3">
      <c r="A77" s="25" t="s">
        <v>89</v>
      </c>
      <c r="B77" s="7">
        <v>0</v>
      </c>
      <c r="C77" s="8">
        <f>IFERROR(B77/B148, "NA")</f>
        <v>0</v>
      </c>
      <c r="D77" s="7">
        <v>0</v>
      </c>
      <c r="E77" s="8">
        <f>IFERROR(D77/D148, "NA")</f>
        <v>0</v>
      </c>
      <c r="F77" s="7">
        <v>0</v>
      </c>
      <c r="G77" s="8">
        <f>IFERROR(F77/F148, "NA")</f>
        <v>0</v>
      </c>
      <c r="H77" s="7">
        <v>0</v>
      </c>
      <c r="I77" s="8">
        <f>IFERROR(H77/H148, "NA")</f>
        <v>0</v>
      </c>
      <c r="J77" s="7">
        <v>0</v>
      </c>
      <c r="K77" s="8">
        <f>IFERROR(J77/J148, "NA")</f>
        <v>0</v>
      </c>
      <c r="L77" s="7">
        <v>0</v>
      </c>
      <c r="M77" s="8">
        <f>IFERROR(L77/L148, "NA")</f>
        <v>0</v>
      </c>
      <c r="N77" s="7">
        <v>0</v>
      </c>
      <c r="O77" s="8">
        <f>IFERROR(N77/N148, "NA")</f>
        <v>0</v>
      </c>
      <c r="P77" s="7">
        <v>0</v>
      </c>
      <c r="Q77" s="8">
        <f>IFERROR(P77/P148, "NA")</f>
        <v>0</v>
      </c>
      <c r="R77" s="7">
        <v>0</v>
      </c>
      <c r="S77" s="8">
        <f>IFERROR(R77/R148, "NA")</f>
        <v>0</v>
      </c>
      <c r="T77" s="7">
        <v>0</v>
      </c>
      <c r="U77" s="8">
        <f>IFERROR(T77/T148, "NA")</f>
        <v>0</v>
      </c>
      <c r="V77" s="7">
        <v>0</v>
      </c>
      <c r="W77" s="8">
        <f>IFERROR(V77/V148, "NA")</f>
        <v>0</v>
      </c>
      <c r="X77" s="7">
        <v>0</v>
      </c>
      <c r="Y77" s="8">
        <f>IFERROR(X77/X148, "NA")</f>
        <v>0</v>
      </c>
      <c r="Z77" s="7">
        <v>0</v>
      </c>
      <c r="AA77" s="8">
        <f>IFERROR(Z77/Z148, "NA")</f>
        <v>0</v>
      </c>
      <c r="AB77" s="9">
        <f t="shared" si="30"/>
        <v>0</v>
      </c>
      <c r="AC77" s="8">
        <f>IFERROR(AB77/AB148, "NA")</f>
        <v>0</v>
      </c>
      <c r="AD77" s="10">
        <f t="shared" si="31"/>
        <v>0</v>
      </c>
      <c r="AE77" s="11">
        <f>IFERROR(AD77/AD148, "NA")</f>
        <v>0</v>
      </c>
      <c r="AF77" s="10" t="str">
        <f t="shared" si="32"/>
        <v>NA</v>
      </c>
      <c r="AG77" s="9">
        <f t="shared" si="33"/>
        <v>0</v>
      </c>
      <c r="AH77" s="8">
        <f>IFERROR(AG77/AG148, "NA")</f>
        <v>0</v>
      </c>
      <c r="AI77" s="10">
        <f t="shared" si="34"/>
        <v>0</v>
      </c>
      <c r="AJ77" s="11">
        <f>IFERROR(AI77/AI148, "NA")</f>
        <v>0</v>
      </c>
      <c r="AK77" s="10" t="str">
        <f t="shared" si="35"/>
        <v>NA</v>
      </c>
      <c r="AL77" s="11" t="str">
        <f>IFERROR(AK77/AK148, "NA")</f>
        <v>NA</v>
      </c>
    </row>
    <row r="78" spans="1:38" ht="16.5" hidden="1" customHeight="1" x14ac:dyDescent="0.3">
      <c r="A78" s="25" t="s">
        <v>90</v>
      </c>
      <c r="B78" s="7">
        <v>0</v>
      </c>
      <c r="C78" s="8">
        <f>IFERROR(B78/B148, "NA")</f>
        <v>0</v>
      </c>
      <c r="D78" s="7">
        <v>0</v>
      </c>
      <c r="E78" s="8">
        <f>IFERROR(D78/D148, "NA")</f>
        <v>0</v>
      </c>
      <c r="F78" s="7">
        <v>0</v>
      </c>
      <c r="G78" s="8">
        <f>IFERROR(F78/F148, "NA")</f>
        <v>0</v>
      </c>
      <c r="H78" s="7">
        <v>0</v>
      </c>
      <c r="I78" s="8">
        <f>IFERROR(H78/H148, "NA")</f>
        <v>0</v>
      </c>
      <c r="J78" s="7">
        <v>0</v>
      </c>
      <c r="K78" s="8">
        <f>IFERROR(J78/J148, "NA")</f>
        <v>0</v>
      </c>
      <c r="L78" s="7">
        <v>0</v>
      </c>
      <c r="M78" s="8">
        <f>IFERROR(L78/L148, "NA")</f>
        <v>0</v>
      </c>
      <c r="N78" s="7">
        <v>0</v>
      </c>
      <c r="O78" s="8">
        <f>IFERROR(N78/N148, "NA")</f>
        <v>0</v>
      </c>
      <c r="P78" s="7">
        <v>0</v>
      </c>
      <c r="Q78" s="8">
        <f>IFERROR(P78/P148, "NA")</f>
        <v>0</v>
      </c>
      <c r="R78" s="7">
        <v>0</v>
      </c>
      <c r="S78" s="8">
        <f>IFERROR(R78/R148, "NA")</f>
        <v>0</v>
      </c>
      <c r="T78" s="7">
        <v>0</v>
      </c>
      <c r="U78" s="8">
        <f>IFERROR(T78/T148, "NA")</f>
        <v>0</v>
      </c>
      <c r="V78" s="7">
        <v>0</v>
      </c>
      <c r="W78" s="8">
        <f>IFERROR(V78/V148, "NA")</f>
        <v>0</v>
      </c>
      <c r="X78" s="7">
        <v>0</v>
      </c>
      <c r="Y78" s="8">
        <f>IFERROR(X78/X148, "NA")</f>
        <v>0</v>
      </c>
      <c r="Z78" s="7">
        <v>0</v>
      </c>
      <c r="AA78" s="8">
        <f>IFERROR(Z78/Z148, "NA")</f>
        <v>0</v>
      </c>
      <c r="AB78" s="9">
        <f t="shared" si="30"/>
        <v>0</v>
      </c>
      <c r="AC78" s="8">
        <f>IFERROR(AB78/AB148, "NA")</f>
        <v>0</v>
      </c>
      <c r="AD78" s="10">
        <f t="shared" si="31"/>
        <v>0</v>
      </c>
      <c r="AE78" s="11">
        <f>IFERROR(AD78/AD148, "NA")</f>
        <v>0</v>
      </c>
      <c r="AF78" s="10" t="str">
        <f t="shared" si="32"/>
        <v>NA</v>
      </c>
      <c r="AG78" s="9">
        <f t="shared" si="33"/>
        <v>0</v>
      </c>
      <c r="AH78" s="8">
        <f>IFERROR(AG78/AG148, "NA")</f>
        <v>0</v>
      </c>
      <c r="AI78" s="10">
        <f t="shared" si="34"/>
        <v>0</v>
      </c>
      <c r="AJ78" s="11">
        <f>IFERROR(AI78/AI148, "NA")</f>
        <v>0</v>
      </c>
      <c r="AK78" s="10" t="str">
        <f t="shared" si="35"/>
        <v>NA</v>
      </c>
      <c r="AL78" s="11" t="str">
        <f>IFERROR(AK78/AK148, "NA")</f>
        <v>NA</v>
      </c>
    </row>
    <row r="79" spans="1:38" ht="16.5" hidden="1" customHeight="1" x14ac:dyDescent="0.3">
      <c r="A79" s="25" t="s">
        <v>91</v>
      </c>
      <c r="B79" s="7">
        <v>0</v>
      </c>
      <c r="C79" s="8">
        <f>IFERROR(B79/B148, "NA")</f>
        <v>0</v>
      </c>
      <c r="D79" s="7">
        <v>0</v>
      </c>
      <c r="E79" s="8">
        <f>IFERROR(D79/D148, "NA")</f>
        <v>0</v>
      </c>
      <c r="F79" s="7">
        <v>0</v>
      </c>
      <c r="G79" s="8">
        <f>IFERROR(F79/F148, "NA")</f>
        <v>0</v>
      </c>
      <c r="H79" s="7">
        <v>0</v>
      </c>
      <c r="I79" s="8">
        <f>IFERROR(H79/H148, "NA")</f>
        <v>0</v>
      </c>
      <c r="J79" s="7">
        <v>0</v>
      </c>
      <c r="K79" s="8">
        <f>IFERROR(J79/J148, "NA")</f>
        <v>0</v>
      </c>
      <c r="L79" s="7">
        <v>0</v>
      </c>
      <c r="M79" s="8">
        <f>IFERROR(L79/L148, "NA")</f>
        <v>0</v>
      </c>
      <c r="N79" s="7">
        <v>0</v>
      </c>
      <c r="O79" s="8">
        <f>IFERROR(N79/N148, "NA")</f>
        <v>0</v>
      </c>
      <c r="P79" s="7">
        <v>0</v>
      </c>
      <c r="Q79" s="8">
        <f>IFERROR(P79/P148, "NA")</f>
        <v>0</v>
      </c>
      <c r="R79" s="7">
        <v>0</v>
      </c>
      <c r="S79" s="8">
        <f>IFERROR(R79/R148, "NA")</f>
        <v>0</v>
      </c>
      <c r="T79" s="7">
        <v>0</v>
      </c>
      <c r="U79" s="8">
        <f>IFERROR(T79/T148, "NA")</f>
        <v>0</v>
      </c>
      <c r="V79" s="7">
        <v>0</v>
      </c>
      <c r="W79" s="8">
        <f>IFERROR(V79/V148, "NA")</f>
        <v>0</v>
      </c>
      <c r="X79" s="7">
        <v>0</v>
      </c>
      <c r="Y79" s="8">
        <f>IFERROR(X79/X148, "NA")</f>
        <v>0</v>
      </c>
      <c r="Z79" s="7">
        <v>0</v>
      </c>
      <c r="AA79" s="8">
        <f>IFERROR(Z79/Z148, "NA")</f>
        <v>0</v>
      </c>
      <c r="AB79" s="9">
        <f t="shared" si="30"/>
        <v>0</v>
      </c>
      <c r="AC79" s="8">
        <f>IFERROR(AB79/AB148, "NA")</f>
        <v>0</v>
      </c>
      <c r="AD79" s="10">
        <f t="shared" si="31"/>
        <v>0</v>
      </c>
      <c r="AE79" s="11">
        <f>IFERROR(AD79/AD148, "NA")</f>
        <v>0</v>
      </c>
      <c r="AF79" s="10" t="str">
        <f t="shared" si="32"/>
        <v>NA</v>
      </c>
      <c r="AG79" s="9">
        <f t="shared" si="33"/>
        <v>0</v>
      </c>
      <c r="AH79" s="8">
        <f>IFERROR(AG79/AG148, "NA")</f>
        <v>0</v>
      </c>
      <c r="AI79" s="10">
        <f t="shared" si="34"/>
        <v>0</v>
      </c>
      <c r="AJ79" s="11">
        <f>IFERROR(AI79/AI148, "NA")</f>
        <v>0</v>
      </c>
      <c r="AK79" s="10" t="str">
        <f t="shared" si="35"/>
        <v>NA</v>
      </c>
      <c r="AL79" s="11" t="str">
        <f>IFERROR(AK79/AK148, "NA")</f>
        <v>NA</v>
      </c>
    </row>
    <row r="80" spans="1:38" ht="16.5" hidden="1" customHeight="1" x14ac:dyDescent="0.3">
      <c r="A80" s="25" t="s">
        <v>92</v>
      </c>
      <c r="B80" s="7">
        <v>0</v>
      </c>
      <c r="C80" s="8">
        <f>IFERROR(B80/B148, "NA")</f>
        <v>0</v>
      </c>
      <c r="D80" s="7">
        <v>0</v>
      </c>
      <c r="E80" s="8">
        <f>IFERROR(D80/D148, "NA")</f>
        <v>0</v>
      </c>
      <c r="F80" s="7">
        <v>0</v>
      </c>
      <c r="G80" s="8">
        <f>IFERROR(F80/F148, "NA")</f>
        <v>0</v>
      </c>
      <c r="H80" s="7">
        <v>0</v>
      </c>
      <c r="I80" s="8">
        <f>IFERROR(H80/H148, "NA")</f>
        <v>0</v>
      </c>
      <c r="J80" s="7">
        <v>0</v>
      </c>
      <c r="K80" s="8">
        <f>IFERROR(J80/J148, "NA")</f>
        <v>0</v>
      </c>
      <c r="L80" s="7">
        <v>0</v>
      </c>
      <c r="M80" s="8">
        <f>IFERROR(L80/L148, "NA")</f>
        <v>0</v>
      </c>
      <c r="N80" s="7">
        <v>0</v>
      </c>
      <c r="O80" s="8">
        <f>IFERROR(N80/N148, "NA")</f>
        <v>0</v>
      </c>
      <c r="P80" s="7">
        <v>0</v>
      </c>
      <c r="Q80" s="8">
        <f>IFERROR(P80/P148, "NA")</f>
        <v>0</v>
      </c>
      <c r="R80" s="7">
        <v>0</v>
      </c>
      <c r="S80" s="8">
        <f>IFERROR(R80/R148, "NA")</f>
        <v>0</v>
      </c>
      <c r="T80" s="7">
        <v>0</v>
      </c>
      <c r="U80" s="8">
        <f>IFERROR(T80/T148, "NA")</f>
        <v>0</v>
      </c>
      <c r="V80" s="7">
        <v>0</v>
      </c>
      <c r="W80" s="8">
        <f>IFERROR(V80/V148, "NA")</f>
        <v>0</v>
      </c>
      <c r="X80" s="7">
        <v>0</v>
      </c>
      <c r="Y80" s="8">
        <f>IFERROR(X80/X148, "NA")</f>
        <v>0</v>
      </c>
      <c r="Z80" s="7">
        <v>0</v>
      </c>
      <c r="AA80" s="8">
        <f>IFERROR(Z80/Z148, "NA")</f>
        <v>0</v>
      </c>
      <c r="AB80" s="9">
        <f t="shared" si="30"/>
        <v>0</v>
      </c>
      <c r="AC80" s="8">
        <f>IFERROR(AB80/AB148, "NA")</f>
        <v>0</v>
      </c>
      <c r="AD80" s="10">
        <f t="shared" si="31"/>
        <v>0</v>
      </c>
      <c r="AE80" s="11">
        <f>IFERROR(AD80/AD148, "NA")</f>
        <v>0</v>
      </c>
      <c r="AF80" s="10" t="str">
        <f t="shared" si="32"/>
        <v>NA</v>
      </c>
      <c r="AG80" s="9">
        <f t="shared" si="33"/>
        <v>0</v>
      </c>
      <c r="AH80" s="8">
        <f>IFERROR(AG80/AG148, "NA")</f>
        <v>0</v>
      </c>
      <c r="AI80" s="10">
        <f t="shared" si="34"/>
        <v>0</v>
      </c>
      <c r="AJ80" s="11">
        <f>IFERROR(AI80/AI148, "NA")</f>
        <v>0</v>
      </c>
      <c r="AK80" s="10" t="str">
        <f t="shared" si="35"/>
        <v>NA</v>
      </c>
      <c r="AL80" s="11" t="str">
        <f>IFERROR(AK80/AK148, "NA")</f>
        <v>NA</v>
      </c>
    </row>
    <row r="81" spans="1:38" ht="16.5" customHeight="1" x14ac:dyDescent="0.3">
      <c r="A81" s="26" t="s">
        <v>93</v>
      </c>
      <c r="B81" s="13">
        <f>IFERROR(B74+B75+B76+B77+B78+B79+B80, "NA")</f>
        <v>2600.1400000000003</v>
      </c>
      <c r="C81" s="14">
        <f>IFERROR(B81/B148, "NA")</f>
        <v>2.1701972344328663E-2</v>
      </c>
      <c r="D81" s="13">
        <f>IFERROR(D74+D75+D76+D77+D78+D79+D80, "NA")</f>
        <v>3027.7400000000002</v>
      </c>
      <c r="E81" s="14">
        <f>IFERROR(D81/D148, "NA")</f>
        <v>2.413955006169748E-2</v>
      </c>
      <c r="F81" s="13">
        <f>IFERROR(F74+F75+F76+F77+F78+F79+F80, "NA")</f>
        <v>2728.3700000000003</v>
      </c>
      <c r="G81" s="14">
        <f>IFERROR(F81/F148, "NA")</f>
        <v>2.0369875128992965E-2</v>
      </c>
      <c r="H81" s="13">
        <f>IFERROR(H74+H75+H76+H77+H78+H79+H80, "NA")</f>
        <v>2599.2399999999998</v>
      </c>
      <c r="I81" s="14">
        <f>IFERROR(H81/H148, "NA")</f>
        <v>2.0305651918421784E-2</v>
      </c>
      <c r="J81" s="13">
        <f>IFERROR(J74+J75+J76+J77+J78+J79+J80, "NA")</f>
        <v>2567.3900000000003</v>
      </c>
      <c r="K81" s="14">
        <f>IFERROR(J81/J148, "NA")</f>
        <v>2.2177549449847959E-2</v>
      </c>
      <c r="L81" s="13">
        <f>IFERROR(L74+L75+L76+L77+L78+L79+L80, "NA")</f>
        <v>2799.66</v>
      </c>
      <c r="M81" s="14">
        <f>IFERROR(L81/L148, "NA")</f>
        <v>2.0708944376860976E-2</v>
      </c>
      <c r="N81" s="13">
        <f>IFERROR(N74+N75+N76+N77+N78+N79+N80, "NA")</f>
        <v>2693.8399999999997</v>
      </c>
      <c r="O81" s="14">
        <f>IFERROR(N81/N148, "NA")</f>
        <v>2.1252855282417438E-2</v>
      </c>
      <c r="P81" s="13">
        <f>IFERROR(P74+P75+P76+P77+P78+P79+P80, "NA")</f>
        <v>2715.1499999999996</v>
      </c>
      <c r="Q81" s="14">
        <f>IFERROR(P81/P148, "NA")</f>
        <v>1.9859379951999274E-2</v>
      </c>
      <c r="R81" s="13">
        <f>IFERROR(R74+R75+R76+R77+R78+R79+R80, "NA")</f>
        <v>2772.2599999999998</v>
      </c>
      <c r="S81" s="14">
        <f>IFERROR(R81/R148, "NA")</f>
        <v>1.8519699952883405E-2</v>
      </c>
      <c r="T81" s="13">
        <f>IFERROR(T74+T75+T76+T77+T78+T79+T80, "NA")</f>
        <v>2496.5500000000002</v>
      </c>
      <c r="U81" s="14">
        <f>IFERROR(T81/T148, "NA")</f>
        <v>2.0281109310999568E-2</v>
      </c>
      <c r="V81" s="13">
        <f>IFERROR(V74+V75+V76+V77+V78+V79+V80, "NA")</f>
        <v>3139.09</v>
      </c>
      <c r="W81" s="14">
        <f>IFERROR(V81/V148, "NA")</f>
        <v>1.8877145717885267E-2</v>
      </c>
      <c r="X81" s="13">
        <f>IFERROR(X74+X75+X76+X77+X78+X79+X80, "NA")</f>
        <v>3222.61</v>
      </c>
      <c r="Y81" s="14">
        <f>IFERROR(X81/X148, "NA")</f>
        <v>1.942042042494467E-2</v>
      </c>
      <c r="Z81" s="13">
        <f>IFERROR(Z74+Z75+Z76+Z77+Z78+Z79+Z80, "NA")</f>
        <v>8858.25</v>
      </c>
      <c r="AA81" s="14">
        <f>IFERROR(Z81/Z148, "NA")</f>
        <v>1.9454697025913636E-2</v>
      </c>
      <c r="AB81" s="13">
        <f t="shared" si="30"/>
        <v>2907.6275000000001</v>
      </c>
      <c r="AC81" s="14">
        <f>IFERROR(AB81/AB148, "NA")</f>
        <v>1.9223362286392234E-2</v>
      </c>
      <c r="AD81" s="15">
        <f t="shared" si="31"/>
        <v>314.98250000000007</v>
      </c>
      <c r="AE81" s="16">
        <f>IFERROR(AD81/AD148, "NA")</f>
        <v>2.1450199148924601E-2</v>
      </c>
      <c r="AF81" s="15">
        <f t="shared" si="32"/>
        <v>0.10832972930679741</v>
      </c>
      <c r="AG81" s="13">
        <f t="shared" si="33"/>
        <v>2800.8187499999999</v>
      </c>
      <c r="AH81" s="14">
        <f>IFERROR(AG81/AG148, "NA")</f>
        <v>2.0015742424674996E-2</v>
      </c>
      <c r="AI81" s="15">
        <f t="shared" si="34"/>
        <v>421.79125000000022</v>
      </c>
      <c r="AJ81" s="16">
        <f>IFERROR(AI81/AI148, "NA")</f>
        <v>1.6217466589230328E-2</v>
      </c>
      <c r="AK81" s="15">
        <f t="shared" si="35"/>
        <v>0.15059569634771983</v>
      </c>
      <c r="AL81" s="16">
        <f>IFERROR(AK81/AK148, "NA")</f>
        <v>0.81023557583543671</v>
      </c>
    </row>
    <row r="82" spans="1:38" ht="16.5" customHeight="1" x14ac:dyDescent="0.3">
      <c r="A82" s="23" t="s">
        <v>94</v>
      </c>
      <c r="B82" s="7">
        <v>985.81</v>
      </c>
      <c r="C82" s="8">
        <f>IFERROR(B82/B148, "NA")</f>
        <v>8.2280267050092049E-3</v>
      </c>
      <c r="D82" s="7">
        <v>0</v>
      </c>
      <c r="E82" s="8">
        <f>IFERROR(D82/D148, "NA")</f>
        <v>0</v>
      </c>
      <c r="F82" s="7">
        <v>0</v>
      </c>
      <c r="G82" s="8">
        <f>IFERROR(F82/F148, "NA")</f>
        <v>0</v>
      </c>
      <c r="H82" s="7">
        <v>0</v>
      </c>
      <c r="I82" s="8">
        <f>IFERROR(H82/H148, "NA")</f>
        <v>0</v>
      </c>
      <c r="J82" s="7">
        <v>1048.6399999999999</v>
      </c>
      <c r="K82" s="8">
        <f>IFERROR(J82/J148, "NA")</f>
        <v>9.0583298427930926E-3</v>
      </c>
      <c r="L82" s="7">
        <v>0</v>
      </c>
      <c r="M82" s="8">
        <f>IFERROR(L82/L148, "NA")</f>
        <v>0</v>
      </c>
      <c r="N82" s="7">
        <v>0</v>
      </c>
      <c r="O82" s="8">
        <f>IFERROR(N82/N148, "NA")</f>
        <v>0</v>
      </c>
      <c r="P82" s="7">
        <v>0</v>
      </c>
      <c r="Q82" s="8">
        <f>IFERROR(P82/P148, "NA")</f>
        <v>0</v>
      </c>
      <c r="R82" s="7">
        <v>0</v>
      </c>
      <c r="S82" s="8">
        <f>IFERROR(R82/R148, "NA")</f>
        <v>0</v>
      </c>
      <c r="T82" s="7">
        <v>1021.04</v>
      </c>
      <c r="U82" s="8">
        <f>IFERROR(T82/T148, "NA")</f>
        <v>8.2945760553175367E-3</v>
      </c>
      <c r="V82" s="7">
        <v>0</v>
      </c>
      <c r="W82" s="8">
        <f>IFERROR(V82/V148, "NA")</f>
        <v>0</v>
      </c>
      <c r="X82" s="7">
        <v>0</v>
      </c>
      <c r="Y82" s="8">
        <f>IFERROR(X82/X148, "NA")</f>
        <v>0</v>
      </c>
      <c r="Z82" s="7">
        <v>1021.04</v>
      </c>
      <c r="AA82" s="8">
        <f>IFERROR(Z82/Z148, "NA")</f>
        <v>2.2424320663041639E-3</v>
      </c>
      <c r="AB82" s="9">
        <f t="shared" si="30"/>
        <v>255.26</v>
      </c>
      <c r="AC82" s="8">
        <f>IFERROR(AB82/AB148, "NA")</f>
        <v>1.6876148878164348E-3</v>
      </c>
      <c r="AD82" s="10">
        <f t="shared" si="31"/>
        <v>-255.26</v>
      </c>
      <c r="AE82" s="11">
        <f>IFERROR(AD82/AD148, "NA")</f>
        <v>-1.7383117585118197E-2</v>
      </c>
      <c r="AF82" s="10">
        <f t="shared" si="32"/>
        <v>-1</v>
      </c>
      <c r="AG82" s="9">
        <f t="shared" si="33"/>
        <v>258.70999999999998</v>
      </c>
      <c r="AH82" s="8">
        <f>IFERROR(AG82/AG148, "NA")</f>
        <v>1.848842493891355E-3</v>
      </c>
      <c r="AI82" s="10">
        <f t="shared" si="34"/>
        <v>-258.70999999999998</v>
      </c>
      <c r="AJ82" s="11">
        <f>IFERROR(AI82/AI148, "NA")</f>
        <v>-9.947149878760584E-3</v>
      </c>
      <c r="AK82" s="10">
        <f t="shared" si="35"/>
        <v>-1</v>
      </c>
      <c r="AL82" s="11">
        <f>IFERROR(AK82/AK148, "NA")</f>
        <v>-5.3802040528743467</v>
      </c>
    </row>
    <row r="83" spans="1:38" ht="16.5" customHeight="1" x14ac:dyDescent="0.3">
      <c r="A83" s="23" t="s">
        <v>95</v>
      </c>
      <c r="B83" s="7">
        <v>-297.74</v>
      </c>
      <c r="C83" s="8">
        <f>IFERROR(B83/B148, "NA")</f>
        <v>-2.4850758981441057E-3</v>
      </c>
      <c r="D83" s="7">
        <v>-297.74</v>
      </c>
      <c r="E83" s="8">
        <f>IFERROR(D83/D148, "NA")</f>
        <v>-2.373819956591321E-3</v>
      </c>
      <c r="F83" s="7">
        <v>2812.2999999999997</v>
      </c>
      <c r="G83" s="8">
        <f>IFERROR(F83/F148, "NA")</f>
        <v>2.0996492347176848E-2</v>
      </c>
      <c r="H83" s="7">
        <v>-297.74</v>
      </c>
      <c r="I83" s="8">
        <f>IFERROR(H83/H148, "NA")</f>
        <v>-2.3259894439108747E-3</v>
      </c>
      <c r="J83" s="7">
        <v>-297.74</v>
      </c>
      <c r="K83" s="8">
        <f>IFERROR(J83/J148, "NA")</f>
        <v>-2.571928523986512E-3</v>
      </c>
      <c r="L83" s="7">
        <v>-220.91</v>
      </c>
      <c r="M83" s="8">
        <f>IFERROR(L83/L148, "NA")</f>
        <v>-1.6340601724110636E-3</v>
      </c>
      <c r="N83" s="7">
        <v>-220.91</v>
      </c>
      <c r="O83" s="8">
        <f>IFERROR(N83/N148, "NA")</f>
        <v>-1.7428534213015014E-3</v>
      </c>
      <c r="P83" s="7">
        <v>2889.13</v>
      </c>
      <c r="Q83" s="8">
        <f>IFERROR(P83/P148, "NA")</f>
        <v>2.1131919194416395E-2</v>
      </c>
      <c r="R83" s="7">
        <v>-220.91</v>
      </c>
      <c r="S83" s="8">
        <f>IFERROR(R83/R148, "NA")</f>
        <v>-1.475758737128362E-3</v>
      </c>
      <c r="T83" s="7">
        <v>-220.91</v>
      </c>
      <c r="U83" s="8">
        <f>IFERROR(T83/T148, "NA")</f>
        <v>-1.7945964863082711E-3</v>
      </c>
      <c r="V83" s="7">
        <v>-109.13</v>
      </c>
      <c r="W83" s="8">
        <f>IFERROR(V83/V148, "NA")</f>
        <v>-6.5626118148661523E-4</v>
      </c>
      <c r="X83" s="7">
        <v>1775.7800000000002</v>
      </c>
      <c r="Y83" s="8">
        <f>IFERROR(X83/X148, "NA")</f>
        <v>1.0701386200070207E-2</v>
      </c>
      <c r="Z83" s="7">
        <v>1445.74</v>
      </c>
      <c r="AA83" s="8">
        <f>IFERROR(Z83/Z148, "NA")</f>
        <v>3.1751681966804258E-3</v>
      </c>
      <c r="AB83" s="9">
        <f t="shared" si="30"/>
        <v>306.20750000000004</v>
      </c>
      <c r="AC83" s="8">
        <f>IFERROR(AB83/AB148, "NA")</f>
        <v>2.0244469786141624E-3</v>
      </c>
      <c r="AD83" s="10">
        <f t="shared" si="31"/>
        <v>1469.5725000000002</v>
      </c>
      <c r="AE83" s="11">
        <f>IFERROR(AD83/AD148, "NA")</f>
        <v>0.10007737823143506</v>
      </c>
      <c r="AF83" s="10">
        <f t="shared" si="32"/>
        <v>4.7992701027897748</v>
      </c>
      <c r="AG83" s="9">
        <f t="shared" si="33"/>
        <v>421.8</v>
      </c>
      <c r="AH83" s="8">
        <f>IFERROR(AG83/AG148, "NA")</f>
        <v>3.0143471992708963E-3</v>
      </c>
      <c r="AI83" s="10">
        <f t="shared" si="34"/>
        <v>1353.9800000000002</v>
      </c>
      <c r="AJ83" s="11">
        <f>IFERROR(AI83/AI148, "NA")</f>
        <v>5.2059224586773839E-2</v>
      </c>
      <c r="AK83" s="10">
        <f t="shared" si="35"/>
        <v>3.2100047415836896</v>
      </c>
      <c r="AL83" s="11">
        <f>IFERROR(AK83/AK148, "NA")</f>
        <v>17.270480520414438</v>
      </c>
    </row>
    <row r="84" spans="1:38" ht="16.5" customHeight="1" x14ac:dyDescent="0.3">
      <c r="A84" s="27" t="s">
        <v>96</v>
      </c>
      <c r="B84" s="13">
        <f>IFERROR(B63+B65+B66+B67+B68+B69+B71+B72+B74+B75+B76+B77+B78+B79+B80+B82+B83, "NA")</f>
        <v>31547.9</v>
      </c>
      <c r="C84" s="14">
        <f>IFERROR(B84/B148, "NA")</f>
        <v>0.26331338055706466</v>
      </c>
      <c r="D84" s="13">
        <f>IFERROR(D63+D65+D66+D67+D68+D69+D71+D72+D74+D75+D76+D77+D78+D79+D80+D82+D83, "NA")</f>
        <v>32219.670000000006</v>
      </c>
      <c r="E84" s="14">
        <f>IFERROR(D84/D148, "NA")</f>
        <v>0.25688082098739407</v>
      </c>
      <c r="F84" s="13">
        <f>IFERROR(F63+F65+F66+F67+F68+F69+F71+F72+F74+F75+F76+F77+F78+F79+F80+F82+F83, "NA")</f>
        <v>35171.46</v>
      </c>
      <c r="G84" s="14">
        <f>IFERROR(F84/F148, "NA")</f>
        <v>0.26258837632152926</v>
      </c>
      <c r="H84" s="13">
        <f>IFERROR(H63+H65+H66+H67+H68+H69+H71+H72+H74+H75+H76+H77+H78+H79+H80+H82+H83, "NA")</f>
        <v>31058.429999999997</v>
      </c>
      <c r="I84" s="14">
        <f>IFERROR(H84/H148, "NA")</f>
        <v>0.2426331037967516</v>
      </c>
      <c r="J84" s="13">
        <f>IFERROR(J63+J65+J66+J67+J68+J69+J71+J72+J74+J75+J76+J77+J78+J79+J80+J82+J83, "NA")</f>
        <v>31395.29</v>
      </c>
      <c r="K84" s="14">
        <f>IFERROR(J84/J148, "NA")</f>
        <v>0.27119782988455865</v>
      </c>
      <c r="L84" s="13">
        <f>IFERROR(L63+L65+L66+L67+L68+L69+L71+L72+L74+L75+L76+L77+L78+L79+L80+L82+L83, "NA")</f>
        <v>33046.729999999996</v>
      </c>
      <c r="M84" s="14">
        <f>IFERROR(L84/L148, "NA")</f>
        <v>0.24444500168132663</v>
      </c>
      <c r="N84" s="13">
        <f>IFERROR(N63+N65+N66+N67+N68+N69+N71+N72+N74+N75+N76+N77+N78+N79+N80+N82+N83, "NA")</f>
        <v>31698.6</v>
      </c>
      <c r="O84" s="14">
        <f>IFERROR(N84/N148, "NA")</f>
        <v>0.25008380544324732</v>
      </c>
      <c r="P84" s="13">
        <f>IFERROR(P63+P65+P66+P67+P68+P69+P71+P72+P74+P75+P76+P77+P78+P79+P80+P82+P83, "NA")</f>
        <v>35495.079999999994</v>
      </c>
      <c r="Q84" s="14">
        <f>IFERROR(P84/P148, "NA")</f>
        <v>0.25962111859256776</v>
      </c>
      <c r="R84" s="13">
        <f>IFERROR(R63+R65+R66+R67+R68+R69+R71+R72+R74+R75+R76+R77+R78+R79+R80+R82+R83, "NA")</f>
        <v>35664.120000000003</v>
      </c>
      <c r="S84" s="14">
        <f>IFERROR(R84/R148, "NA")</f>
        <v>0.23824922679821811</v>
      </c>
      <c r="T84" s="13">
        <f>IFERROR(T63+T65+T66+T67+T68+T69+T71+T72+T74+T75+T76+T77+T78+T79+T80+T82+T83, "NA")</f>
        <v>31153.390000000003</v>
      </c>
      <c r="U84" s="14">
        <f>IFERROR(T84/T148, "NA")</f>
        <v>0.25307937273365277</v>
      </c>
      <c r="V84" s="13">
        <f>IFERROR(V63+V65+V66+V67+V68+V69+V71+V72+V74+V75+V76+V77+V78+V79+V80+V82+V83, "NA")</f>
        <v>37410.879999999997</v>
      </c>
      <c r="W84" s="14">
        <f>IFERROR(V84/V148, "NA")</f>
        <v>0.22497304416067063</v>
      </c>
      <c r="X84" s="13">
        <f>IFERROR(X63+X65+X66+X67+X68+X69+X71+X72+X74+X75+X76+X77+X78+X79+X80+X82+X83, "NA")</f>
        <v>40327.99</v>
      </c>
      <c r="Y84" s="14">
        <f>IFERROR(X84/X148, "NA")</f>
        <v>0.24302863849270137</v>
      </c>
      <c r="Z84" s="13">
        <f>IFERROR(Z63+Z65+Z66+Z67+Z68+Z69+Z71+Z72+Z74+Z75+Z76+Z77+Z78+Z79+Z80+Z82+Z83, "NA")</f>
        <v>108892.26</v>
      </c>
      <c r="AA84" s="14">
        <f>IFERROR(Z84/Z148, "NA")</f>
        <v>0.23915174292518437</v>
      </c>
      <c r="AB84" s="13">
        <f t="shared" si="30"/>
        <v>36139.095000000001</v>
      </c>
      <c r="AC84" s="14">
        <f>IFERROR(AB84/AB148, "NA")</f>
        <v>0.2389284445436515</v>
      </c>
      <c r="AD84" s="15">
        <f t="shared" si="31"/>
        <v>4188.8949999999968</v>
      </c>
      <c r="AE84" s="16">
        <f>IFERROR(AD84/AD148, "NA")</f>
        <v>0.28526229858463381</v>
      </c>
      <c r="AF84" s="15">
        <f t="shared" si="32"/>
        <v>0.11591034584568309</v>
      </c>
      <c r="AG84" s="13">
        <f t="shared" si="33"/>
        <v>34524.01</v>
      </c>
      <c r="AH84" s="14">
        <f>IFERROR(AG84/AG148, "NA")</f>
        <v>0.24672203141560081</v>
      </c>
      <c r="AI84" s="15">
        <f t="shared" si="34"/>
        <v>5803.9799999999959</v>
      </c>
      <c r="AJ84" s="16">
        <f>IFERROR(AI84/AI148, "NA")</f>
        <v>0.22315743092006038</v>
      </c>
      <c r="AK84" s="15">
        <f t="shared" si="35"/>
        <v>0.16811430653623363</v>
      </c>
      <c r="AL84" s="16">
        <f>IFERROR(AK84/AK148, "NA")</f>
        <v>0.90448927337240448</v>
      </c>
    </row>
    <row r="85" spans="1:38" ht="16.5" customHeight="1" x14ac:dyDescent="0.3">
      <c r="A85" s="12" t="s">
        <v>96</v>
      </c>
      <c r="B85" s="28">
        <f>IFERROR(B63+B65+B66+B67+B68+B69+B71+B72+B74+B75+B76+B77+B78+B79+B80+B82+B83, "NA")</f>
        <v>31547.9</v>
      </c>
      <c r="C85" s="29">
        <f>IFERROR(B85/B148, "NA")</f>
        <v>0.26331338055706466</v>
      </c>
      <c r="D85" s="28">
        <f>IFERROR(D63+D65+D66+D67+D68+D69+D71+D72+D74+D75+D76+D77+D78+D79+D80+D82+D83, "NA")</f>
        <v>32219.670000000006</v>
      </c>
      <c r="E85" s="29">
        <f>IFERROR(D85/D148, "NA")</f>
        <v>0.25688082098739407</v>
      </c>
      <c r="F85" s="28">
        <f>IFERROR(F63+F65+F66+F67+F68+F69+F71+F72+F74+F75+F76+F77+F78+F79+F80+F82+F83, "NA")</f>
        <v>35171.46</v>
      </c>
      <c r="G85" s="29">
        <f>IFERROR(F85/F148, "NA")</f>
        <v>0.26258837632152926</v>
      </c>
      <c r="H85" s="28">
        <f>IFERROR(H63+H65+H66+H67+H68+H69+H71+H72+H74+H75+H76+H77+H78+H79+H80+H82+H83, "NA")</f>
        <v>31058.429999999997</v>
      </c>
      <c r="I85" s="29">
        <f>IFERROR(H85/H148, "NA")</f>
        <v>0.2426331037967516</v>
      </c>
      <c r="J85" s="28">
        <f>IFERROR(J63+J65+J66+J67+J68+J69+J71+J72+J74+J75+J76+J77+J78+J79+J80+J82+J83, "NA")</f>
        <v>31395.29</v>
      </c>
      <c r="K85" s="29">
        <f>IFERROR(J85/J148, "NA")</f>
        <v>0.27119782988455865</v>
      </c>
      <c r="L85" s="28">
        <f>IFERROR(L63+L65+L66+L67+L68+L69+L71+L72+L74+L75+L76+L77+L78+L79+L80+L82+L83, "NA")</f>
        <v>33046.729999999996</v>
      </c>
      <c r="M85" s="29">
        <f>IFERROR(L85/L148, "NA")</f>
        <v>0.24444500168132663</v>
      </c>
      <c r="N85" s="28">
        <f>IFERROR(N63+N65+N66+N67+N68+N69+N71+N72+N74+N75+N76+N77+N78+N79+N80+N82+N83, "NA")</f>
        <v>31698.6</v>
      </c>
      <c r="O85" s="29">
        <f>IFERROR(N85/N148, "NA")</f>
        <v>0.25008380544324732</v>
      </c>
      <c r="P85" s="28">
        <f>IFERROR(P63+P65+P66+P67+P68+P69+P71+P72+P74+P75+P76+P77+P78+P79+P80+P82+P83, "NA")</f>
        <v>35495.079999999994</v>
      </c>
      <c r="Q85" s="29">
        <f>IFERROR(P85/P148, "NA")</f>
        <v>0.25962111859256776</v>
      </c>
      <c r="R85" s="28">
        <f>IFERROR(R63+R65+R66+R67+R68+R69+R71+R72+R74+R75+R76+R77+R78+R79+R80+R82+R83, "NA")</f>
        <v>35664.120000000003</v>
      </c>
      <c r="S85" s="29">
        <f>IFERROR(R85/R148, "NA")</f>
        <v>0.23824922679821811</v>
      </c>
      <c r="T85" s="28">
        <f>IFERROR(T63+T65+T66+T67+T68+T69+T71+T72+T74+T75+T76+T77+T78+T79+T80+T82+T83, "NA")</f>
        <v>31153.390000000003</v>
      </c>
      <c r="U85" s="29">
        <f>IFERROR(T85/T148, "NA")</f>
        <v>0.25307937273365277</v>
      </c>
      <c r="V85" s="28">
        <f>IFERROR(V63+V65+V66+V67+V68+V69+V71+V72+V74+V75+V76+V77+V78+V79+V80+V82+V83, "NA")</f>
        <v>37410.879999999997</v>
      </c>
      <c r="W85" s="29">
        <f>IFERROR(V85/V148, "NA")</f>
        <v>0.22497304416067063</v>
      </c>
      <c r="X85" s="28">
        <f>IFERROR(X63+X65+X66+X67+X68+X69+X71+X72+X74+X75+X76+X77+X78+X79+X80+X82+X83, "NA")</f>
        <v>40327.99</v>
      </c>
      <c r="Y85" s="29">
        <f>IFERROR(X85/X148, "NA")</f>
        <v>0.24302863849270137</v>
      </c>
      <c r="Z85" s="28">
        <f>IFERROR(Z63+Z65+Z66+Z67+Z68+Z69+Z71+Z72+Z74+Z75+Z76+Z77+Z78+Z79+Z80+Z82+Z83, "NA")</f>
        <v>108892.26</v>
      </c>
      <c r="AA85" s="29">
        <f>IFERROR(Z85/Z148, "NA")</f>
        <v>0.23915174292518437</v>
      </c>
      <c r="AB85" s="28">
        <f t="shared" si="30"/>
        <v>36139.095000000001</v>
      </c>
      <c r="AC85" s="29">
        <f>IFERROR(AB85/AB148, "NA")</f>
        <v>0.2389284445436515</v>
      </c>
      <c r="AD85" s="30">
        <f t="shared" si="31"/>
        <v>4188.8949999999968</v>
      </c>
      <c r="AE85" s="31">
        <f>IFERROR(AD85/AD148, "NA")</f>
        <v>0.28526229858463381</v>
      </c>
      <c r="AF85" s="30">
        <f t="shared" si="32"/>
        <v>0.11591034584568309</v>
      </c>
      <c r="AG85" s="28">
        <f t="shared" si="33"/>
        <v>34524.01</v>
      </c>
      <c r="AH85" s="29">
        <f>IFERROR(AG85/AG148, "NA")</f>
        <v>0.24672203141560081</v>
      </c>
      <c r="AI85" s="30">
        <f t="shared" si="34"/>
        <v>5803.9799999999959</v>
      </c>
      <c r="AJ85" s="31">
        <f>IFERROR(AI85/AI148, "NA")</f>
        <v>0.22315743092006038</v>
      </c>
      <c r="AK85" s="30">
        <f t="shared" si="35"/>
        <v>0.16811430653623363</v>
      </c>
      <c r="AL85" s="31">
        <f>IFERROR(AK85/AK148, "NA")</f>
        <v>0.90448927337240448</v>
      </c>
    </row>
    <row r="86" spans="1:38" ht="3.75" customHeight="1" x14ac:dyDescent="0.3">
      <c r="A86" s="35" t="s">
        <v>3</v>
      </c>
      <c r="B86" s="36"/>
      <c r="C86" s="19"/>
      <c r="D86" s="36"/>
      <c r="E86" s="19"/>
      <c r="F86" s="36"/>
      <c r="G86" s="19"/>
      <c r="H86" s="36"/>
      <c r="I86" s="19"/>
      <c r="J86" s="36"/>
      <c r="K86" s="19"/>
      <c r="L86" s="36"/>
      <c r="M86" s="19"/>
      <c r="N86" s="36"/>
      <c r="O86" s="19"/>
      <c r="P86" s="36"/>
      <c r="Q86" s="19"/>
      <c r="R86" s="36"/>
      <c r="S86" s="19"/>
      <c r="T86" s="36"/>
      <c r="U86" s="19"/>
      <c r="V86" s="36"/>
      <c r="W86" s="19"/>
      <c r="X86" s="36"/>
      <c r="Y86" s="19"/>
      <c r="Z86" s="36"/>
      <c r="AA86" s="19"/>
      <c r="AB86" s="36"/>
      <c r="AC86" s="19"/>
      <c r="AD86" s="37"/>
      <c r="AE86" s="21"/>
      <c r="AF86" s="37"/>
      <c r="AG86" s="36"/>
      <c r="AH86" s="19"/>
      <c r="AI86" s="37"/>
      <c r="AJ86" s="21"/>
      <c r="AK86" s="37"/>
      <c r="AL86" s="21"/>
    </row>
    <row r="87" spans="1:38" ht="16.5" customHeight="1" x14ac:dyDescent="0.3">
      <c r="A87" s="32" t="s">
        <v>97</v>
      </c>
      <c r="B87" s="33">
        <f>IFERROR(B59-B85, "NA")</f>
        <v>54831.610000000008</v>
      </c>
      <c r="C87" s="34">
        <f>IFERROR(B87/B148, "NA")</f>
        <v>0.45765000492858648</v>
      </c>
      <c r="D87" s="33">
        <f>IFERROR(D59-D85, "NA")</f>
        <v>59152.009999999987</v>
      </c>
      <c r="E87" s="34">
        <f>IFERROR(D87/D148, "NA")</f>
        <v>0.47160684426173627</v>
      </c>
      <c r="F87" s="33">
        <f>IFERROR(F59-F85, "NA")</f>
        <v>60701.349999999955</v>
      </c>
      <c r="G87" s="34">
        <f>IFERROR(F87/F148, "NA")</f>
        <v>0.45319326911720037</v>
      </c>
      <c r="H87" s="33">
        <f>IFERROR(H59-H85, "NA")</f>
        <v>61499.64</v>
      </c>
      <c r="I87" s="34">
        <f>IFERROR(H87/H148, "NA")</f>
        <v>0.48044439257177063</v>
      </c>
      <c r="J87" s="33">
        <f>IFERROR(J59-J85, "NA")</f>
        <v>51564.189999999951</v>
      </c>
      <c r="K87" s="34">
        <f>IFERROR(J87/J148, "NA")</f>
        <v>0.44542020244931796</v>
      </c>
      <c r="L87" s="33">
        <f>IFERROR(L59-L85, "NA")</f>
        <v>64713.700000000055</v>
      </c>
      <c r="M87" s="34">
        <f>IFERROR(L87/L148, "NA")</f>
        <v>0.47868398795599088</v>
      </c>
      <c r="N87" s="33">
        <f>IFERROR(N59-N85, "NA")</f>
        <v>61464.000000000007</v>
      </c>
      <c r="O87" s="34">
        <f>IFERROR(N87/N148, "NA")</f>
        <v>0.48491576971108369</v>
      </c>
      <c r="P87" s="33">
        <f>IFERROR(P59-P85, "NA")</f>
        <v>64621.190000000053</v>
      </c>
      <c r="Q87" s="34">
        <f>IFERROR(P87/P148, "NA")</f>
        <v>0.47265777771406264</v>
      </c>
      <c r="R87" s="33">
        <f>IFERROR(R59-R85, "NA")</f>
        <v>75961.160000000033</v>
      </c>
      <c r="S87" s="34">
        <f>IFERROR(R87/R148, "NA")</f>
        <v>0.50744803563625684</v>
      </c>
      <c r="T87" s="33">
        <f>IFERROR(T59-T85, "NA")</f>
        <v>60033.320000000036</v>
      </c>
      <c r="U87" s="34">
        <f>IFERROR(T87/T148, "NA")</f>
        <v>0.48768994220913547</v>
      </c>
      <c r="V87" s="33">
        <f>IFERROR(V59-V85, "NA")</f>
        <v>87802.939999999973</v>
      </c>
      <c r="W87" s="34">
        <f>IFERROR(V87/V148, "NA")</f>
        <v>0.52800935711901742</v>
      </c>
      <c r="X87" s="33">
        <f>IFERROR(X59-X85, "NA")</f>
        <v>86095.939999999915</v>
      </c>
      <c r="Y87" s="34">
        <f>IFERROR(X87/X148, "NA")</f>
        <v>0.51884011769367355</v>
      </c>
      <c r="Z87" s="33">
        <f>IFERROR(Z59-Z85, "NA")</f>
        <v>233932.20000000007</v>
      </c>
      <c r="AA87" s="34">
        <f>IFERROR(Z87/Z148, "NA")</f>
        <v>0.51376740051425906</v>
      </c>
      <c r="AB87" s="33">
        <f>IFERROR((R87+T87+V87+X87)/4, "NA")</f>
        <v>77473.34</v>
      </c>
      <c r="AC87" s="34">
        <f>IFERROR(AB87/AB148, "NA")</f>
        <v>0.51220387837054182</v>
      </c>
      <c r="AD87" s="15">
        <f>IFERROR(X87-AB87, "NA")</f>
        <v>8622.5999999999185</v>
      </c>
      <c r="AE87" s="16">
        <f>IFERROR(AD87/AD148, "NA")</f>
        <v>0.58719607337396673</v>
      </c>
      <c r="AF87" s="15">
        <f>IFERROR((X87-AB87)/AB87, "NA")</f>
        <v>0.11129764122729081</v>
      </c>
      <c r="AG87" s="33">
        <f>IFERROR((J87+L87+N87+P87+R87+T87+V87+X87)/8, "NA")</f>
        <v>69032.055000000008</v>
      </c>
      <c r="AH87" s="34">
        <f>IFERROR(AG87/AG148, "NA")</f>
        <v>0.49332997071873996</v>
      </c>
      <c r="AI87" s="15">
        <f>IFERROR(X87-AG87, "NA")</f>
        <v>17063.884999999907</v>
      </c>
      <c r="AJ87" s="16">
        <f>IFERROR(AI87/AI148, "NA")</f>
        <v>0.65608991383763149</v>
      </c>
      <c r="AK87" s="15">
        <f>IFERROR((X87-AG87)/AG87, "NA")</f>
        <v>0.24718784628387355</v>
      </c>
      <c r="AL87" s="16">
        <f>IFERROR(AK87/AK148, "NA")</f>
        <v>1.3299210523977776</v>
      </c>
    </row>
    <row r="88" spans="1:38" ht="3.75" customHeight="1" x14ac:dyDescent="0.3">
      <c r="A88" s="35" t="s">
        <v>3</v>
      </c>
      <c r="B88" s="36"/>
      <c r="C88" s="19"/>
      <c r="D88" s="36"/>
      <c r="E88" s="19"/>
      <c r="F88" s="36"/>
      <c r="G88" s="19"/>
      <c r="H88" s="36"/>
      <c r="I88" s="19"/>
      <c r="J88" s="36"/>
      <c r="K88" s="19"/>
      <c r="L88" s="36"/>
      <c r="M88" s="19"/>
      <c r="N88" s="36"/>
      <c r="O88" s="19"/>
      <c r="P88" s="36"/>
      <c r="Q88" s="19"/>
      <c r="R88" s="36"/>
      <c r="S88" s="19"/>
      <c r="T88" s="36"/>
      <c r="U88" s="19"/>
      <c r="V88" s="36"/>
      <c r="W88" s="19"/>
      <c r="X88" s="36"/>
      <c r="Y88" s="19"/>
      <c r="Z88" s="36"/>
      <c r="AA88" s="19"/>
      <c r="AB88" s="36"/>
      <c r="AC88" s="19"/>
      <c r="AD88" s="37"/>
      <c r="AE88" s="21"/>
      <c r="AF88" s="37"/>
      <c r="AG88" s="36"/>
      <c r="AH88" s="19"/>
      <c r="AI88" s="37"/>
      <c r="AJ88" s="21"/>
      <c r="AK88" s="37"/>
      <c r="AL88" s="21"/>
    </row>
    <row r="89" spans="1:38" ht="16.5" hidden="1" customHeight="1" x14ac:dyDescent="0.3">
      <c r="A89" s="1" t="s">
        <v>98</v>
      </c>
      <c r="B89" s="2"/>
      <c r="C89" s="3"/>
      <c r="D89" s="2"/>
      <c r="E89" s="3"/>
      <c r="F89" s="2"/>
      <c r="G89" s="3"/>
      <c r="H89" s="2"/>
      <c r="I89" s="3"/>
      <c r="J89" s="2"/>
      <c r="K89" s="3"/>
      <c r="L89" s="2"/>
      <c r="M89" s="3"/>
      <c r="N89" s="2"/>
      <c r="O89" s="3"/>
      <c r="P89" s="2"/>
      <c r="Q89" s="3"/>
      <c r="R89" s="2"/>
      <c r="S89" s="3"/>
      <c r="T89" s="2"/>
      <c r="U89" s="3"/>
      <c r="V89" s="2"/>
      <c r="W89" s="3"/>
      <c r="X89" s="2"/>
      <c r="Y89" s="3"/>
      <c r="Z89" s="2"/>
      <c r="AA89" s="3"/>
      <c r="AB89" s="2"/>
      <c r="AC89" s="3"/>
      <c r="AD89" s="4"/>
      <c r="AE89" s="5"/>
      <c r="AF89" s="4"/>
      <c r="AG89" s="2"/>
      <c r="AH89" s="3"/>
      <c r="AI89" s="4"/>
      <c r="AJ89" s="5"/>
      <c r="AK89" s="4"/>
      <c r="AL89" s="5"/>
    </row>
    <row r="90" spans="1:38" ht="16.5" hidden="1" customHeight="1" x14ac:dyDescent="0.3">
      <c r="A90" s="6" t="s">
        <v>99</v>
      </c>
      <c r="B90" s="7">
        <v>3238.6799999999994</v>
      </c>
      <c r="C90" s="8">
        <f>IFERROR(B90/B148, "NA")</f>
        <v>2.7031522838051155E-2</v>
      </c>
      <c r="D90" s="7">
        <v>2392.42</v>
      </c>
      <c r="E90" s="8">
        <f>IFERROR(D90/D148, "NA")</f>
        <v>1.9074273999288672E-2</v>
      </c>
      <c r="F90" s="7">
        <v>4307.5600000000013</v>
      </c>
      <c r="G90" s="8">
        <f>IFERROR(F90/F148, "NA")</f>
        <v>3.2160029362089802E-2</v>
      </c>
      <c r="H90" s="7">
        <v>3736.3699999999994</v>
      </c>
      <c r="I90" s="8">
        <f>IFERROR(H90/H148, "NA")</f>
        <v>2.918908167711854E-2</v>
      </c>
      <c r="J90" s="7">
        <v>2176.33</v>
      </c>
      <c r="K90" s="8">
        <f>IFERROR(J90/J148, "NA")</f>
        <v>1.8799506967849686E-2</v>
      </c>
      <c r="L90" s="7">
        <v>1534.1099999999997</v>
      </c>
      <c r="M90" s="8">
        <f>IFERROR(L90/L148, "NA")</f>
        <v>1.1347734602768261E-2</v>
      </c>
      <c r="N90" s="7">
        <v>2228.44</v>
      </c>
      <c r="O90" s="8">
        <f>IFERROR(N90/N148, "NA")</f>
        <v>1.7581115740188846E-2</v>
      </c>
      <c r="P90" s="7">
        <v>2760.5899999999997</v>
      </c>
      <c r="Q90" s="8">
        <f>IFERROR(P90/P148, "NA")</f>
        <v>2.0191741046236739E-2</v>
      </c>
      <c r="R90" s="7">
        <v>3078.1600000000003</v>
      </c>
      <c r="S90" s="8">
        <f>IFERROR(R90/R148, "NA")</f>
        <v>2.0563222643968312E-2</v>
      </c>
      <c r="T90" s="7">
        <v>2775.24</v>
      </c>
      <c r="U90" s="8">
        <f>IFERROR(T90/T148, "NA")</f>
        <v>2.2545090546657761E-2</v>
      </c>
      <c r="V90" s="7">
        <v>3621.2200000000003</v>
      </c>
      <c r="W90" s="8">
        <f>IFERROR(V90/V148, "NA")</f>
        <v>2.1776469491642639E-2</v>
      </c>
      <c r="X90" s="7">
        <v>2207.6999999999998</v>
      </c>
      <c r="Y90" s="8">
        <f>IFERROR(X90/X148, "NA")</f>
        <v>1.3304266471012734E-2</v>
      </c>
      <c r="Z90" s="7">
        <v>8604.16</v>
      </c>
      <c r="AA90" s="8">
        <f>IFERROR(Z90/Z148, "NA")</f>
        <v>1.8896658590859941E-2</v>
      </c>
      <c r="AB90" s="9">
        <f t="shared" ref="AB90:AB99" si="36">IFERROR((R90+T90+V90+X90)/4, "NA")</f>
        <v>2920.58</v>
      </c>
      <c r="AC90" s="8">
        <f>IFERROR(AB90/AB148, "NA")</f>
        <v>1.9308995882860312E-2</v>
      </c>
      <c r="AD90" s="10">
        <f t="shared" ref="AD90:AD99" si="37">IFERROR(X90-AB90, "NA")</f>
        <v>-712.88000000000011</v>
      </c>
      <c r="AE90" s="11">
        <f>IFERROR(AD90/AD148, "NA")</f>
        <v>-4.8546881078426161E-2</v>
      </c>
      <c r="AF90" s="10">
        <f t="shared" ref="AF90:AF99" si="38">IFERROR((X90-AB90)/AB90, "NA")</f>
        <v>-0.24408850296858847</v>
      </c>
      <c r="AG90" s="9">
        <f t="shared" ref="AG90:AG99" si="39">IFERROR((J90+L90+N90+P90+R90+T90+V90+X90)/8, "NA")</f>
        <v>2547.7237500000001</v>
      </c>
      <c r="AH90" s="8">
        <f>IFERROR(AG90/AG148, "NA")</f>
        <v>1.8207026909266111E-2</v>
      </c>
      <c r="AI90" s="10">
        <f t="shared" ref="AI90:AI99" si="40">IFERROR(X90-AG90, "NA")</f>
        <v>-340.02375000000029</v>
      </c>
      <c r="AJ90" s="11">
        <f>IFERROR(AI90/AI148, "NA")</f>
        <v>-1.3073585109150099E-2</v>
      </c>
      <c r="AK90" s="10">
        <f t="shared" ref="AK90:AK99" si="41">IFERROR((X90-AG90)/AG90, "NA")</f>
        <v>-0.13346178132538911</v>
      </c>
      <c r="AL90" s="11">
        <f>IFERROR(AK90/AK148, "NA")</f>
        <v>-0.7180516167906883</v>
      </c>
    </row>
    <row r="91" spans="1:38" ht="16.5" hidden="1" customHeight="1" x14ac:dyDescent="0.3">
      <c r="A91" s="6" t="s">
        <v>100</v>
      </c>
      <c r="B91" s="7">
        <v>4559.34</v>
      </c>
      <c r="C91" s="8">
        <f>IFERROR(B91/B148, "NA")</f>
        <v>3.8054362683698349E-2</v>
      </c>
      <c r="D91" s="7">
        <v>3013.23</v>
      </c>
      <c r="E91" s="8">
        <f>IFERROR(D91/D148, "NA")</f>
        <v>2.4023864807549093E-2</v>
      </c>
      <c r="F91" s="7">
        <v>3523.6299999999997</v>
      </c>
      <c r="G91" s="8">
        <f>IFERROR(F91/F148, "NA")</f>
        <v>2.630724685463242E-2</v>
      </c>
      <c r="H91" s="7">
        <v>3978.79</v>
      </c>
      <c r="I91" s="8">
        <f>IFERROR(H91/H148, "NA")</f>
        <v>3.1082903001068547E-2</v>
      </c>
      <c r="J91" s="7">
        <v>2058.41</v>
      </c>
      <c r="K91" s="8">
        <f>IFERROR(J91/J148, "NA")</f>
        <v>1.7780894045338468E-2</v>
      </c>
      <c r="L91" s="7">
        <v>2376.0800000000004</v>
      </c>
      <c r="M91" s="8">
        <f>IFERROR(L91/L148, "NA")</f>
        <v>1.7575744395737995E-2</v>
      </c>
      <c r="N91" s="7">
        <v>1849.46</v>
      </c>
      <c r="O91" s="8">
        <f>IFERROR(N91/N148, "NA")</f>
        <v>1.4591180519488819E-2</v>
      </c>
      <c r="P91" s="7">
        <v>6030.4599999999991</v>
      </c>
      <c r="Q91" s="8">
        <f>IFERROR(P91/P148, "NA")</f>
        <v>4.4108500976127854E-2</v>
      </c>
      <c r="R91" s="7">
        <v>11001.4</v>
      </c>
      <c r="S91" s="8">
        <f>IFERROR(R91/R148, "NA")</f>
        <v>7.3493332898664443E-2</v>
      </c>
      <c r="T91" s="7">
        <v>10001.31</v>
      </c>
      <c r="U91" s="8">
        <f>IFERROR(T91/T148, "NA")</f>
        <v>8.1247185661490084E-2</v>
      </c>
      <c r="V91" s="7">
        <v>11686.550000000001</v>
      </c>
      <c r="W91" s="8">
        <f>IFERROR(V91/V148, "NA")</f>
        <v>7.0277917259254141E-2</v>
      </c>
      <c r="X91" s="7">
        <v>13216.490000000003</v>
      </c>
      <c r="Y91" s="8">
        <f>IFERROR(X91/X148, "NA")</f>
        <v>7.964655739977132E-2</v>
      </c>
      <c r="Z91" s="7">
        <v>34904.35</v>
      </c>
      <c r="AA91" s="8">
        <f>IFERROR(Z91/Z148, "NA")</f>
        <v>7.6657754538023717E-2</v>
      </c>
      <c r="AB91" s="9">
        <f t="shared" si="36"/>
        <v>11476.437500000002</v>
      </c>
      <c r="AC91" s="8">
        <f>IFERROR(AB91/AB148, "NA")</f>
        <v>7.5874820904547641E-2</v>
      </c>
      <c r="AD91" s="10">
        <f t="shared" si="37"/>
        <v>1740.0525000000016</v>
      </c>
      <c r="AE91" s="11">
        <f>IFERROR(AD91/AD148, "NA")</f>
        <v>0.11849697254477359</v>
      </c>
      <c r="AF91" s="10">
        <f t="shared" si="38"/>
        <v>0.15161956835472692</v>
      </c>
      <c r="AG91" s="9">
        <f t="shared" si="39"/>
        <v>7277.52</v>
      </c>
      <c r="AH91" s="8">
        <f>IFERROR(AG91/AG148, "NA")</f>
        <v>5.200799438036495E-2</v>
      </c>
      <c r="AI91" s="10">
        <f t="shared" si="40"/>
        <v>5938.970000000003</v>
      </c>
      <c r="AJ91" s="11">
        <f>IFERROR(AI91/AI148, "NA")</f>
        <v>0.22834766617240454</v>
      </c>
      <c r="AK91" s="10">
        <f t="shared" si="41"/>
        <v>0.81607058448482483</v>
      </c>
      <c r="AL91" s="11">
        <f>IFERROR(AK91/AK148, "NA")</f>
        <v>4.3906262660767919</v>
      </c>
    </row>
    <row r="92" spans="1:38" ht="16.5" hidden="1" customHeight="1" x14ac:dyDescent="0.3">
      <c r="A92" s="6" t="s">
        <v>101</v>
      </c>
      <c r="B92" s="7">
        <v>2274.2200000000003</v>
      </c>
      <c r="C92" s="8">
        <f>IFERROR(B92/B148, "NA")</f>
        <v>1.8981693118416364E-2</v>
      </c>
      <c r="D92" s="7">
        <v>1809.03</v>
      </c>
      <c r="E92" s="8">
        <f>IFERROR(D92/D148, "NA")</f>
        <v>1.4423025176571498E-2</v>
      </c>
      <c r="F92" s="7">
        <v>1980.6299999999999</v>
      </c>
      <c r="G92" s="8">
        <f>IFERROR(F92/F148, "NA")</f>
        <v>1.4787285366991034E-2</v>
      </c>
      <c r="H92" s="7">
        <v>2281.4500000000003</v>
      </c>
      <c r="I92" s="8">
        <f>IFERROR(H92/H148, "NA")</f>
        <v>1.7823028873548957E-2</v>
      </c>
      <c r="J92" s="7">
        <v>1989.3200000000002</v>
      </c>
      <c r="K92" s="8">
        <f>IFERROR(J92/J148, "NA")</f>
        <v>1.7184082929189388E-2</v>
      </c>
      <c r="L92" s="7">
        <v>2289.94</v>
      </c>
      <c r="M92" s="8">
        <f>IFERROR(L92/L148, "NA")</f>
        <v>1.6938571143049166E-2</v>
      </c>
      <c r="N92" s="7">
        <v>1576.95</v>
      </c>
      <c r="O92" s="8">
        <f>IFERROR(N92/N148, "NA")</f>
        <v>1.2441232640991366E-2</v>
      </c>
      <c r="P92" s="7">
        <v>2342.59</v>
      </c>
      <c r="Q92" s="8">
        <f>IFERROR(P92/P148, "NA")</f>
        <v>1.713437006491501E-2</v>
      </c>
      <c r="R92" s="7">
        <v>2000.31</v>
      </c>
      <c r="S92" s="8">
        <f>IFERROR(R92/R148, "NA")</f>
        <v>1.3362794619823612E-2</v>
      </c>
      <c r="T92" s="7">
        <v>1606.7600000000002</v>
      </c>
      <c r="U92" s="8">
        <f>IFERROR(T92/T148, "NA")</f>
        <v>1.3052762891406808E-2</v>
      </c>
      <c r="V92" s="7">
        <v>2215.56</v>
      </c>
      <c r="W92" s="8">
        <f>IFERROR(V92/V148, "NA")</f>
        <v>1.3323430983730278E-2</v>
      </c>
      <c r="X92" s="7">
        <v>2161.0600000000004</v>
      </c>
      <c r="Y92" s="8">
        <f>IFERROR(X92/X148, "NA")</f>
        <v>1.302319975533215E-2</v>
      </c>
      <c r="Z92" s="7">
        <v>5983.3799999999992</v>
      </c>
      <c r="AA92" s="8">
        <f>IFERROR(Z92/Z148, "NA")</f>
        <v>1.3140839905276E-2</v>
      </c>
      <c r="AB92" s="9">
        <f t="shared" si="36"/>
        <v>1995.9225000000001</v>
      </c>
      <c r="AC92" s="8">
        <f>IFERROR(AB92/AB148, "NA")</f>
        <v>1.3195755409887168E-2</v>
      </c>
      <c r="AD92" s="10">
        <f t="shared" si="37"/>
        <v>165.13750000000027</v>
      </c>
      <c r="AE92" s="11">
        <f>IFERROR(AD92/AD148, "NA")</f>
        <v>1.1245806551016457E-2</v>
      </c>
      <c r="AF92" s="10">
        <f t="shared" si="38"/>
        <v>8.2737430937323594E-2</v>
      </c>
      <c r="AG92" s="9">
        <f t="shared" si="39"/>
        <v>2022.8112499999997</v>
      </c>
      <c r="AH92" s="8">
        <f>IFERROR(AG92/AG148, "NA")</f>
        <v>1.4455797596233192E-2</v>
      </c>
      <c r="AI92" s="10">
        <f t="shared" si="40"/>
        <v>138.24875000000065</v>
      </c>
      <c r="AJ92" s="11">
        <f>IFERROR(AI92/AI148, "NA")</f>
        <v>5.3155310455773215E-3</v>
      </c>
      <c r="AK92" s="10">
        <f t="shared" si="41"/>
        <v>6.8344859165678784E-2</v>
      </c>
      <c r="AL92" s="11">
        <f>IFERROR(AK92/AK148, "NA")</f>
        <v>0.36770928827631144</v>
      </c>
    </row>
    <row r="93" spans="1:38" ht="16.5" hidden="1" customHeight="1" x14ac:dyDescent="0.3">
      <c r="A93" s="6" t="s">
        <v>102</v>
      </c>
      <c r="B93" s="7">
        <v>9297.17</v>
      </c>
      <c r="C93" s="8">
        <f>IFERROR(B93/B148, "NA")</f>
        <v>7.7598485550978827E-2</v>
      </c>
      <c r="D93" s="7">
        <v>10715.010000000002</v>
      </c>
      <c r="E93" s="8">
        <f>IFERROR(D93/D148, "NA")</f>
        <v>8.5428577191763208E-2</v>
      </c>
      <c r="F93" s="7">
        <v>11203.87</v>
      </c>
      <c r="G93" s="8">
        <f>IFERROR(F93/F148, "NA")</f>
        <v>8.3647537856474885E-2</v>
      </c>
      <c r="H93" s="7">
        <v>9973.5300000000007</v>
      </c>
      <c r="I93" s="8">
        <f>IFERROR(H93/H148, "NA")</f>
        <v>7.7914709137262131E-2</v>
      </c>
      <c r="J93" s="7">
        <v>8375.9500000000007</v>
      </c>
      <c r="K93" s="8">
        <f>IFERROR(J93/J148, "NA")</f>
        <v>7.2352874052813959E-2</v>
      </c>
      <c r="L93" s="7">
        <v>11601.640000000001</v>
      </c>
      <c r="M93" s="8">
        <f>IFERROR(L93/L148, "NA")</f>
        <v>8.5816748262419515E-2</v>
      </c>
      <c r="N93" s="7">
        <v>10669.54</v>
      </c>
      <c r="O93" s="8">
        <f>IFERROR(N93/N148, "NA")</f>
        <v>8.417656191531947E-2</v>
      </c>
      <c r="P93" s="7">
        <v>11700.53</v>
      </c>
      <c r="Q93" s="8">
        <f>IFERROR(P93/P148, "NA")</f>
        <v>8.5581006909292712E-2</v>
      </c>
      <c r="R93" s="7">
        <v>14078.039999999999</v>
      </c>
      <c r="S93" s="8">
        <f>IFERROR(R93/R148, "NA")</f>
        <v>9.4046401392614928E-2</v>
      </c>
      <c r="T93" s="7">
        <v>10171.449999999999</v>
      </c>
      <c r="U93" s="8">
        <f>IFERROR(T93/T148, "NA")</f>
        <v>8.2629344215564088E-2</v>
      </c>
      <c r="V93" s="7">
        <v>15826.859999999997</v>
      </c>
      <c r="W93" s="8">
        <f>IFERROR(V93/V148, "NA")</f>
        <v>9.517597216918583E-2</v>
      </c>
      <c r="X93" s="7">
        <v>13587.16</v>
      </c>
      <c r="Y93" s="8">
        <f>IFERROR(X93/X148, "NA")</f>
        <v>8.1880326685820265E-2</v>
      </c>
      <c r="Z93" s="7">
        <v>39585.469999999994</v>
      </c>
      <c r="AA93" s="8">
        <f>IFERROR(Z93/Z148, "NA")</f>
        <v>8.6938540397752756E-2</v>
      </c>
      <c r="AB93" s="9">
        <f t="shared" si="36"/>
        <v>13415.877499999999</v>
      </c>
      <c r="AC93" s="8">
        <f>IFERROR(AB93/AB148, "NA")</f>
        <v>8.8697150364810504E-2</v>
      </c>
      <c r="AD93" s="10">
        <f t="shared" si="37"/>
        <v>171.28250000000116</v>
      </c>
      <c r="AE93" s="11">
        <f>IFERROR(AD93/AD148, "NA")</f>
        <v>1.1664278922561418E-2</v>
      </c>
      <c r="AF93" s="10">
        <f t="shared" si="38"/>
        <v>1.276714847761551E-2</v>
      </c>
      <c r="AG93" s="9">
        <f t="shared" si="39"/>
        <v>12001.396250000002</v>
      </c>
      <c r="AH93" s="8">
        <f>IFERROR(AG93/AG148, "NA")</f>
        <v>8.5766655224105606E-2</v>
      </c>
      <c r="AI93" s="10">
        <f t="shared" si="40"/>
        <v>1585.7637499999983</v>
      </c>
      <c r="AJ93" s="11">
        <f>IFERROR(AI93/AI148, "NA")</f>
        <v>6.0971086133336218E-2</v>
      </c>
      <c r="AK93" s="10">
        <f t="shared" si="41"/>
        <v>0.13213160510386432</v>
      </c>
      <c r="AL93" s="11">
        <f>IFERROR(AK93/AK148, "NA")</f>
        <v>0.71089499729260353</v>
      </c>
    </row>
    <row r="94" spans="1:38" ht="16.5" hidden="1" customHeight="1" x14ac:dyDescent="0.3">
      <c r="A94" s="6" t="s">
        <v>103</v>
      </c>
      <c r="B94" s="7">
        <v>3301.83</v>
      </c>
      <c r="C94" s="8">
        <f>IFERROR(B94/B148, "NA")</f>
        <v>2.7558601977460712E-2</v>
      </c>
      <c r="D94" s="7">
        <v>3282.9700000000003</v>
      </c>
      <c r="E94" s="8">
        <f>IFERROR(D94/D148, "NA")</f>
        <v>2.6174446506652148E-2</v>
      </c>
      <c r="F94" s="7">
        <v>3605.25</v>
      </c>
      <c r="G94" s="8">
        <f>IFERROR(F94/F148, "NA")</f>
        <v>2.6916617727361709E-2</v>
      </c>
      <c r="H94" s="7">
        <v>3475.29</v>
      </c>
      <c r="I94" s="8">
        <f>IFERROR(H94/H148, "NA")</f>
        <v>2.714948564025332E-2</v>
      </c>
      <c r="J94" s="7">
        <v>3058.6400000000003</v>
      </c>
      <c r="K94" s="8">
        <f>IFERROR(J94/J148, "NA")</f>
        <v>2.6421050112870645E-2</v>
      </c>
      <c r="L94" s="7">
        <v>3660.86</v>
      </c>
      <c r="M94" s="8">
        <f>IFERROR(L94/L148, "NA")</f>
        <v>2.7079197513796418E-2</v>
      </c>
      <c r="N94" s="7">
        <v>3283.0400000000004</v>
      </c>
      <c r="O94" s="8">
        <f>IFERROR(N94/N148, "NA")</f>
        <v>2.5901305944817717E-2</v>
      </c>
      <c r="P94" s="7">
        <v>3761.34</v>
      </c>
      <c r="Q94" s="8">
        <f>IFERROR(P94/P148, "NA")</f>
        <v>2.7511511404030336E-2</v>
      </c>
      <c r="R94" s="7">
        <v>3902.21</v>
      </c>
      <c r="S94" s="8">
        <f>IFERROR(R94/R148, "NA")</f>
        <v>2.6068174829612357E-2</v>
      </c>
      <c r="T94" s="7">
        <v>3352.45</v>
      </c>
      <c r="U94" s="8">
        <f>IFERROR(T94/T148, "NA")</f>
        <v>2.7234145084080227E-2</v>
      </c>
      <c r="V94" s="7">
        <v>4295.76</v>
      </c>
      <c r="W94" s="8">
        <f>IFERROR(V94/V148, "NA")</f>
        <v>2.5832864775798981E-2</v>
      </c>
      <c r="X94" s="7">
        <v>3663.6</v>
      </c>
      <c r="Y94" s="8">
        <f>IFERROR(X94/X148, "NA")</f>
        <v>2.2077959253160417E-2</v>
      </c>
      <c r="Z94" s="7">
        <v>11311.810000000001</v>
      </c>
      <c r="AA94" s="8">
        <f>IFERROR(Z94/Z148, "NA")</f>
        <v>2.4843263213919248E-2</v>
      </c>
      <c r="AB94" s="9">
        <f t="shared" si="36"/>
        <v>3803.5050000000001</v>
      </c>
      <c r="AC94" s="8">
        <f>IFERROR(AB94/AB148, "NA")</f>
        <v>2.5146327916180558E-2</v>
      </c>
      <c r="AD94" s="10">
        <f t="shared" si="37"/>
        <v>-139.9050000000002</v>
      </c>
      <c r="AE94" s="11">
        <f>IFERROR(AD94/AD148, "NA")</f>
        <v>-9.5274820408444913E-3</v>
      </c>
      <c r="AF94" s="10">
        <f t="shared" si="38"/>
        <v>-3.6783177621693725E-2</v>
      </c>
      <c r="AG94" s="9">
        <f t="shared" si="39"/>
        <v>3622.2375000000002</v>
      </c>
      <c r="AH94" s="8">
        <f>IFERROR(AG94/AG148, "NA")</f>
        <v>2.5885920965431519E-2</v>
      </c>
      <c r="AI94" s="10">
        <f t="shared" si="40"/>
        <v>41.362499999999727</v>
      </c>
      <c r="AJ94" s="11">
        <f>IFERROR(AI94/AI148, "NA")</f>
        <v>1.5903482156091066E-3</v>
      </c>
      <c r="AK94" s="10">
        <f t="shared" si="41"/>
        <v>1.1419046928866404E-2</v>
      </c>
      <c r="AL94" s="11">
        <f>IFERROR(AK94/AK148, "NA")</f>
        <v>6.1436802566649393E-2</v>
      </c>
    </row>
    <row r="95" spans="1:38" ht="16.5" hidden="1" customHeight="1" x14ac:dyDescent="0.3">
      <c r="A95" s="6" t="s">
        <v>104</v>
      </c>
      <c r="B95" s="7">
        <v>0</v>
      </c>
      <c r="C95" s="8">
        <f>IFERROR(B95/B148, "NA")</f>
        <v>0</v>
      </c>
      <c r="D95" s="7">
        <v>0</v>
      </c>
      <c r="E95" s="8">
        <f>IFERROR(D95/D148, "NA")</f>
        <v>0</v>
      </c>
      <c r="F95" s="7">
        <v>0</v>
      </c>
      <c r="G95" s="8">
        <f>IFERROR(F95/F148, "NA")</f>
        <v>0</v>
      </c>
      <c r="H95" s="7">
        <v>5004.49</v>
      </c>
      <c r="I95" s="8">
        <f>IFERROR(H95/H148, "NA")</f>
        <v>3.9095824921601172E-2</v>
      </c>
      <c r="J95" s="7">
        <v>0</v>
      </c>
      <c r="K95" s="8">
        <f>IFERROR(J95/J148, "NA")</f>
        <v>0</v>
      </c>
      <c r="L95" s="7">
        <v>0</v>
      </c>
      <c r="M95" s="8">
        <f>IFERROR(L95/L148, "NA")</f>
        <v>0</v>
      </c>
      <c r="N95" s="7">
        <v>0</v>
      </c>
      <c r="O95" s="8">
        <f>IFERROR(N95/N148, "NA")</f>
        <v>0</v>
      </c>
      <c r="P95" s="7">
        <v>0</v>
      </c>
      <c r="Q95" s="8">
        <f>IFERROR(P95/P148, "NA")</f>
        <v>0</v>
      </c>
      <c r="R95" s="7">
        <v>4191.0099999999993</v>
      </c>
      <c r="S95" s="8">
        <f>IFERROR(R95/R148, "NA")</f>
        <v>2.7997463332996856E-2</v>
      </c>
      <c r="T95" s="7">
        <v>0</v>
      </c>
      <c r="U95" s="8">
        <f>IFERROR(T95/T148, "NA")</f>
        <v>0</v>
      </c>
      <c r="V95" s="7">
        <v>-1346</v>
      </c>
      <c r="W95" s="8">
        <f>IFERROR(V95/V148, "NA")</f>
        <v>-8.0942687646017066E-3</v>
      </c>
      <c r="X95" s="7">
        <v>0</v>
      </c>
      <c r="Y95" s="8">
        <f>IFERROR(X95/X148, "NA")</f>
        <v>0</v>
      </c>
      <c r="Z95" s="7">
        <v>-1346</v>
      </c>
      <c r="AA95" s="8">
        <f>IFERROR(Z95/Z148, "NA")</f>
        <v>-2.9561168624592615E-3</v>
      </c>
      <c r="AB95" s="9">
        <f t="shared" si="36"/>
        <v>711.25249999999983</v>
      </c>
      <c r="AC95" s="8">
        <f>IFERROR(AB95/AB148, "NA")</f>
        <v>4.7023439159941177E-3</v>
      </c>
      <c r="AD95" s="10">
        <f t="shared" si="37"/>
        <v>-711.25249999999983</v>
      </c>
      <c r="AE95" s="11">
        <f>IFERROR(AD95/AD148, "NA")</f>
        <v>-4.8436048892146352E-2</v>
      </c>
      <c r="AF95" s="10">
        <f t="shared" si="38"/>
        <v>-1</v>
      </c>
      <c r="AG95" s="9">
        <f t="shared" si="39"/>
        <v>355.62624999999991</v>
      </c>
      <c r="AH95" s="8">
        <f>IFERROR(AG95/AG148, "NA")</f>
        <v>2.5414437901249676E-3</v>
      </c>
      <c r="AI95" s="10">
        <f t="shared" si="40"/>
        <v>-355.62624999999991</v>
      </c>
      <c r="AJ95" s="11">
        <f>IFERROR(AI95/AI148, "NA")</f>
        <v>-1.3673486179782693E-2</v>
      </c>
      <c r="AK95" s="10">
        <f t="shared" si="41"/>
        <v>-1</v>
      </c>
      <c r="AL95" s="11">
        <f>IFERROR(AK95/AK148, "NA")</f>
        <v>-5.3802040528743467</v>
      </c>
    </row>
    <row r="96" spans="1:38" ht="16.5" hidden="1" customHeight="1" x14ac:dyDescent="0.3">
      <c r="A96" s="6" t="s">
        <v>105</v>
      </c>
      <c r="B96" s="7">
        <v>0</v>
      </c>
      <c r="C96" s="8">
        <f>IFERROR(B96/B148, "NA")</f>
        <v>0</v>
      </c>
      <c r="D96" s="7">
        <v>0</v>
      </c>
      <c r="E96" s="8">
        <f>IFERROR(D96/D148, "NA")</f>
        <v>0</v>
      </c>
      <c r="F96" s="7">
        <v>0</v>
      </c>
      <c r="G96" s="8">
        <f>IFERROR(F96/F148, "NA")</f>
        <v>0</v>
      </c>
      <c r="H96" s="7">
        <v>0</v>
      </c>
      <c r="I96" s="8">
        <f>IFERROR(H96/H148, "NA")</f>
        <v>0</v>
      </c>
      <c r="J96" s="7">
        <v>0</v>
      </c>
      <c r="K96" s="8">
        <f>IFERROR(J96/J148, "NA")</f>
        <v>0</v>
      </c>
      <c r="L96" s="7">
        <v>0</v>
      </c>
      <c r="M96" s="8">
        <f>IFERROR(L96/L148, "NA")</f>
        <v>0</v>
      </c>
      <c r="N96" s="7">
        <v>0</v>
      </c>
      <c r="O96" s="8">
        <f>IFERROR(N96/N148, "NA")</f>
        <v>0</v>
      </c>
      <c r="P96" s="7">
        <v>0</v>
      </c>
      <c r="Q96" s="8">
        <f>IFERROR(P96/P148, "NA")</f>
        <v>0</v>
      </c>
      <c r="R96" s="7">
        <v>0</v>
      </c>
      <c r="S96" s="8">
        <f>IFERROR(R96/R148, "NA")</f>
        <v>0</v>
      </c>
      <c r="T96" s="7">
        <v>0</v>
      </c>
      <c r="U96" s="8">
        <f>IFERROR(T96/T148, "NA")</f>
        <v>0</v>
      </c>
      <c r="V96" s="7">
        <v>0</v>
      </c>
      <c r="W96" s="8">
        <f>IFERROR(V96/V148, "NA")</f>
        <v>0</v>
      </c>
      <c r="X96" s="7">
        <v>0</v>
      </c>
      <c r="Y96" s="8">
        <f>IFERROR(X96/X148, "NA")</f>
        <v>0</v>
      </c>
      <c r="Z96" s="7">
        <v>0</v>
      </c>
      <c r="AA96" s="8">
        <f>IFERROR(Z96/Z148, "NA")</f>
        <v>0</v>
      </c>
      <c r="AB96" s="9">
        <f t="shared" si="36"/>
        <v>0</v>
      </c>
      <c r="AC96" s="8">
        <f>IFERROR(AB96/AB148, "NA")</f>
        <v>0</v>
      </c>
      <c r="AD96" s="10">
        <f t="shared" si="37"/>
        <v>0</v>
      </c>
      <c r="AE96" s="11">
        <f>IFERROR(AD96/AD148, "NA")</f>
        <v>0</v>
      </c>
      <c r="AF96" s="10" t="str">
        <f t="shared" si="38"/>
        <v>NA</v>
      </c>
      <c r="AG96" s="9">
        <f t="shared" si="39"/>
        <v>0</v>
      </c>
      <c r="AH96" s="8">
        <f>IFERROR(AG96/AG148, "NA")</f>
        <v>0</v>
      </c>
      <c r="AI96" s="10">
        <f t="shared" si="40"/>
        <v>0</v>
      </c>
      <c r="AJ96" s="11">
        <f>IFERROR(AI96/AI148, "NA")</f>
        <v>0</v>
      </c>
      <c r="AK96" s="10" t="str">
        <f t="shared" si="41"/>
        <v>NA</v>
      </c>
      <c r="AL96" s="11" t="str">
        <f>IFERROR(AK96/AK148, "NA")</f>
        <v>NA</v>
      </c>
    </row>
    <row r="97" spans="1:38" ht="16.5" hidden="1" customHeight="1" x14ac:dyDescent="0.3">
      <c r="A97" s="6" t="s">
        <v>106</v>
      </c>
      <c r="B97" s="7">
        <v>3665.4900000000002</v>
      </c>
      <c r="C97" s="8">
        <f>IFERROR(B97/B148, "NA")</f>
        <v>3.059387671756646E-2</v>
      </c>
      <c r="D97" s="7">
        <v>6828.17</v>
      </c>
      <c r="E97" s="8">
        <f>IFERROR(D97/D148, "NA")</f>
        <v>5.4439599022631027E-2</v>
      </c>
      <c r="F97" s="7">
        <v>1459.1200000000001</v>
      </c>
      <c r="G97" s="8">
        <f>IFERROR(F97/F148, "NA")</f>
        <v>1.0893717566978163E-2</v>
      </c>
      <c r="H97" s="7">
        <v>1983.58</v>
      </c>
      <c r="I97" s="8">
        <f>IFERROR(H97/H148, "NA")</f>
        <v>1.5496023850180469E-2</v>
      </c>
      <c r="J97" s="7">
        <v>1931.98</v>
      </c>
      <c r="K97" s="8">
        <f>IFERROR(J97/J148, "NA")</f>
        <v>1.6688770302181303E-2</v>
      </c>
      <c r="L97" s="7">
        <v>222.33</v>
      </c>
      <c r="M97" s="8">
        <f>IFERROR(L97/L148, "NA")</f>
        <v>1.6445638410762383E-3</v>
      </c>
      <c r="N97" s="7">
        <v>1899.3999999999999</v>
      </c>
      <c r="O97" s="8">
        <f>IFERROR(N97/N148, "NA")</f>
        <v>1.4985178527092805E-2</v>
      </c>
      <c r="P97" s="7">
        <v>4733.74</v>
      </c>
      <c r="Q97" s="8">
        <f>IFERROR(P97/P148, "NA")</f>
        <v>3.462392179215773E-2</v>
      </c>
      <c r="R97" s="7">
        <v>2400.5199999999995</v>
      </c>
      <c r="S97" s="8">
        <f>IFERROR(R97/R148, "NA")</f>
        <v>1.6036342237342696E-2</v>
      </c>
      <c r="T97" s="7">
        <v>3630.01</v>
      </c>
      <c r="U97" s="8">
        <f>IFERROR(T97/T148, "NA")</f>
        <v>2.9488946590303235E-2</v>
      </c>
      <c r="V97" s="7">
        <v>2759.74</v>
      </c>
      <c r="W97" s="8">
        <f>IFERROR(V97/V148, "NA")</f>
        <v>1.6595896939392205E-2</v>
      </c>
      <c r="X97" s="7">
        <v>780.75</v>
      </c>
      <c r="Y97" s="8">
        <f>IFERROR(X97/X148, "NA")</f>
        <v>4.7050351258065828E-3</v>
      </c>
      <c r="Z97" s="7">
        <v>7170.5</v>
      </c>
      <c r="AA97" s="8">
        <f>IFERROR(Z97/Z148, "NA")</f>
        <v>1.5748020774341856E-2</v>
      </c>
      <c r="AB97" s="9">
        <f t="shared" si="36"/>
        <v>2392.7550000000001</v>
      </c>
      <c r="AC97" s="8">
        <f>IFERROR(AB97/AB148, "NA")</f>
        <v>1.5819356581122046E-2</v>
      </c>
      <c r="AD97" s="10">
        <f t="shared" si="37"/>
        <v>-1612.0050000000001</v>
      </c>
      <c r="AE97" s="11">
        <f>IFERROR(AD97/AD148, "NA")</f>
        <v>-0.10977698214682464</v>
      </c>
      <c r="AF97" s="10">
        <f t="shared" si="38"/>
        <v>-0.67370248938984556</v>
      </c>
      <c r="AG97" s="9">
        <f t="shared" si="39"/>
        <v>2294.8087500000001</v>
      </c>
      <c r="AH97" s="8">
        <f>IFERROR(AG97/AG148, "NA")</f>
        <v>1.6399597744013387E-2</v>
      </c>
      <c r="AI97" s="10">
        <f t="shared" si="40"/>
        <v>-1514.0587500000001</v>
      </c>
      <c r="AJ97" s="11">
        <f>IFERROR(AI97/AI148, "NA")</f>
        <v>-5.8214098069262511E-2</v>
      </c>
      <c r="AK97" s="10">
        <f t="shared" si="41"/>
        <v>-0.65977556953275518</v>
      </c>
      <c r="AL97" s="11">
        <f>IFERROR(AK97/AK148, "NA")</f>
        <v>-3.5497271931876098</v>
      </c>
    </row>
    <row r="98" spans="1:38" ht="16.5" hidden="1" customHeight="1" x14ac:dyDescent="0.3">
      <c r="A98" s="6" t="s">
        <v>107</v>
      </c>
      <c r="B98" s="7">
        <v>1740.6499999999999</v>
      </c>
      <c r="C98" s="8">
        <f>IFERROR(B98/B148, "NA")</f>
        <v>1.4528270847398862E-2</v>
      </c>
      <c r="D98" s="7">
        <v>2430.4699999999998</v>
      </c>
      <c r="E98" s="8">
        <f>IFERROR(D98/D148, "NA")</f>
        <v>1.9377638845625406E-2</v>
      </c>
      <c r="F98" s="7">
        <v>12051.37</v>
      </c>
      <c r="G98" s="8">
        <f>IFERROR(F98/F148, "NA")</f>
        <v>8.997493083170241E-2</v>
      </c>
      <c r="H98" s="7">
        <v>4557.38</v>
      </c>
      <c r="I98" s="8">
        <f>IFERROR(H98/H148, "NA")</f>
        <v>3.560293468089791E-2</v>
      </c>
      <c r="J98" s="7">
        <v>1447.5199999999998</v>
      </c>
      <c r="K98" s="8">
        <f>IFERROR(J98/J148, "NA")</f>
        <v>1.2503922808628182E-2</v>
      </c>
      <c r="L98" s="7">
        <v>2925.55</v>
      </c>
      <c r="M98" s="8">
        <f>IFERROR(L98/L148, "NA")</f>
        <v>2.1640146382677052E-2</v>
      </c>
      <c r="N98" s="7">
        <v>3789.8700000000003</v>
      </c>
      <c r="O98" s="8">
        <f>IFERROR(N98/N148, "NA")</f>
        <v>2.9899904466922828E-2</v>
      </c>
      <c r="P98" s="7">
        <v>9271.9000000000015</v>
      </c>
      <c r="Q98" s="8">
        <f>IFERROR(P98/P148, "NA")</f>
        <v>6.7817315793581245E-2</v>
      </c>
      <c r="R98" s="7">
        <v>4059.21</v>
      </c>
      <c r="S98" s="8">
        <f>IFERROR(R98/R148, "NA")</f>
        <v>2.7116991640662797E-2</v>
      </c>
      <c r="T98" s="7">
        <v>2003.01</v>
      </c>
      <c r="U98" s="8">
        <f>IFERROR(T98/T148, "NA")</f>
        <v>1.6271760934499706E-2</v>
      </c>
      <c r="V98" s="7">
        <v>1619.2099999999998</v>
      </c>
      <c r="W98" s="8">
        <f>IFERROR(V98/V148, "NA")</f>
        <v>9.7372369437821148E-3</v>
      </c>
      <c r="X98" s="7">
        <v>8846.630000000001</v>
      </c>
      <c r="Y98" s="8">
        <f>IFERROR(X98/X148, "NA")</f>
        <v>5.3312462241452828E-2</v>
      </c>
      <c r="Z98" s="7">
        <v>12468.850000000002</v>
      </c>
      <c r="AA98" s="8">
        <f>IFERROR(Z98/Z148, "NA")</f>
        <v>2.7384381679402058E-2</v>
      </c>
      <c r="AB98" s="9">
        <f t="shared" si="36"/>
        <v>4132.0150000000003</v>
      </c>
      <c r="AC98" s="8">
        <f>IFERROR(AB98/AB148, "NA")</f>
        <v>2.731822467554974E-2</v>
      </c>
      <c r="AD98" s="10">
        <f t="shared" si="37"/>
        <v>4714.6150000000007</v>
      </c>
      <c r="AE98" s="11">
        <f>IFERROR(AD98/AD148, "NA")</f>
        <v>0.32106364849001817</v>
      </c>
      <c r="AF98" s="10">
        <f t="shared" si="38"/>
        <v>1.1409965839911036</v>
      </c>
      <c r="AG98" s="9">
        <f t="shared" si="39"/>
        <v>4245.3625000000002</v>
      </c>
      <c r="AH98" s="8">
        <f>IFERROR(AG98/AG148, "NA")</f>
        <v>3.0339015082419849E-2</v>
      </c>
      <c r="AI98" s="10">
        <f t="shared" si="40"/>
        <v>4601.2675000000008</v>
      </c>
      <c r="AJ98" s="11">
        <f>IFERROR(AI98/AI148, "NA")</f>
        <v>0.17691429575497672</v>
      </c>
      <c r="AK98" s="10">
        <f t="shared" si="41"/>
        <v>1.0838338304443969</v>
      </c>
      <c r="AL98" s="11">
        <f>IFERROR(AK98/AK148, "NA")</f>
        <v>5.8312471671992716</v>
      </c>
    </row>
    <row r="99" spans="1:38" ht="16.5" hidden="1" customHeight="1" x14ac:dyDescent="0.3">
      <c r="A99" s="12" t="s">
        <v>108</v>
      </c>
      <c r="B99" s="13">
        <f>IFERROR(B90+B91+B92+B93+B94+B95+B96+B97+B98, "NA")</f>
        <v>28077.38</v>
      </c>
      <c r="C99" s="14">
        <f>IFERROR(B99/B148, "NA")</f>
        <v>0.23434681373357075</v>
      </c>
      <c r="D99" s="13">
        <f>IFERROR(D90+D91+D92+D93+D94+D95+D96+D97+D98, "NA")</f>
        <v>30471.300000000003</v>
      </c>
      <c r="E99" s="14">
        <f>IFERROR(D99/D148, "NA")</f>
        <v>0.24294142555008105</v>
      </c>
      <c r="F99" s="13">
        <f>IFERROR(F90+F91+F92+F93+F94+F95+F96+F97+F98, "NA")</f>
        <v>38131.43</v>
      </c>
      <c r="G99" s="14">
        <f>IFERROR(F99/F148, "NA")</f>
        <v>0.28468736556623042</v>
      </c>
      <c r="H99" s="13">
        <f>IFERROR(H90+H91+H92+H93+H94+H95+H96+H97+H98, "NA")</f>
        <v>34990.879999999997</v>
      </c>
      <c r="I99" s="14">
        <f>IFERROR(H99/H148, "NA")</f>
        <v>0.27335399178193104</v>
      </c>
      <c r="J99" s="13">
        <f>IFERROR(J90+J91+J92+J93+J94+J95+J96+J97+J98, "NA")</f>
        <v>21038.15</v>
      </c>
      <c r="K99" s="14">
        <f>IFERROR(J99/J148, "NA")</f>
        <v>0.18173110121887162</v>
      </c>
      <c r="L99" s="13">
        <f>IFERROR(L90+L91+L92+L93+L94+L95+L96+L97+L98, "NA")</f>
        <v>24610.510000000002</v>
      </c>
      <c r="M99" s="14">
        <f>IFERROR(L99/L148, "NA")</f>
        <v>0.18204270614152465</v>
      </c>
      <c r="N99" s="13">
        <f>IFERROR(N90+N91+N92+N93+N94+N95+N96+N97+N98, "NA")</f>
        <v>25296.7</v>
      </c>
      <c r="O99" s="14">
        <f>IFERROR(N99/N148, "NA")</f>
        <v>0.19957647975482184</v>
      </c>
      <c r="P99" s="13">
        <f>IFERROR(P90+P91+P92+P93+P94+P95+P96+P97+P98, "NA")</f>
        <v>40601.15</v>
      </c>
      <c r="Q99" s="14">
        <f>IFERROR(P99/P148, "NA")</f>
        <v>0.29696836798634163</v>
      </c>
      <c r="R99" s="13">
        <f>IFERROR(R90+R91+R92+R93+R94+R95+R96+R97+R98, "NA")</f>
        <v>44710.859999999993</v>
      </c>
      <c r="S99" s="14">
        <f>IFERROR(R99/R148, "NA")</f>
        <v>0.29868472359568599</v>
      </c>
      <c r="T99" s="13">
        <f>IFERROR(T90+T91+T92+T93+T94+T95+T96+T97+T98, "NA")</f>
        <v>33540.230000000003</v>
      </c>
      <c r="U99" s="14">
        <f>IFERROR(T99/T148, "NA")</f>
        <v>0.27246923592400196</v>
      </c>
      <c r="V99" s="13">
        <f>IFERROR(V90+V91+V92+V93+V94+V95+V96+V97+V98, "NA")</f>
        <v>40678.9</v>
      </c>
      <c r="W99" s="14">
        <f>IFERROR(V99/V148, "NA")</f>
        <v>0.2446255197981845</v>
      </c>
      <c r="X99" s="13">
        <f>IFERROR(X90+X91+X92+X93+X94+X95+X96+X97+X98, "NA")</f>
        <v>44463.39</v>
      </c>
      <c r="Y99" s="14">
        <f>IFERROR(X99/X148, "NA")</f>
        <v>0.26794980693235626</v>
      </c>
      <c r="Z99" s="13">
        <f>IFERROR(Z90+Z91+Z92+Z93+Z94+Z95+Z96+Z97+Z98, "NA")</f>
        <v>118682.51999999999</v>
      </c>
      <c r="AA99" s="14">
        <f>IFERROR(Z99/Z148, "NA")</f>
        <v>0.26065334223711628</v>
      </c>
      <c r="AB99" s="13">
        <f t="shared" si="36"/>
        <v>40848.345000000001</v>
      </c>
      <c r="AC99" s="14">
        <f>IFERROR(AB99/AB148, "NA")</f>
        <v>0.27006297565095211</v>
      </c>
      <c r="AD99" s="15">
        <f t="shared" si="37"/>
        <v>3615.0449999999983</v>
      </c>
      <c r="AE99" s="16">
        <f>IFERROR(AD99/AD148, "NA")</f>
        <v>0.24618331235012764</v>
      </c>
      <c r="AF99" s="15">
        <f t="shared" si="38"/>
        <v>8.8499179097708811E-2</v>
      </c>
      <c r="AG99" s="13">
        <f t="shared" si="39"/>
        <v>34367.486250000002</v>
      </c>
      <c r="AH99" s="14">
        <f>IFERROR(AG99/AG148, "NA")</f>
        <v>0.24560345169195957</v>
      </c>
      <c r="AI99" s="15">
        <f t="shared" si="40"/>
        <v>10095.903749999998</v>
      </c>
      <c r="AJ99" s="16">
        <f>IFERROR(AI99/AI148, "NA")</f>
        <v>0.38817775796370846</v>
      </c>
      <c r="AK99" s="15">
        <f t="shared" si="41"/>
        <v>0.29376322948263339</v>
      </c>
      <c r="AL99" s="16">
        <f>IFERROR(AK99/AK148, "NA")</f>
        <v>1.5805061178479209</v>
      </c>
    </row>
    <row r="100" spans="1:38" ht="16.5" hidden="1" customHeight="1" x14ac:dyDescent="0.3">
      <c r="A100" s="35" t="s">
        <v>3</v>
      </c>
      <c r="B100" s="36"/>
      <c r="C100" s="19"/>
      <c r="D100" s="36"/>
      <c r="E100" s="19"/>
      <c r="F100" s="36"/>
      <c r="G100" s="19"/>
      <c r="H100" s="36"/>
      <c r="I100" s="19"/>
      <c r="J100" s="36"/>
      <c r="K100" s="19"/>
      <c r="L100" s="36"/>
      <c r="M100" s="19"/>
      <c r="N100" s="36"/>
      <c r="O100" s="19"/>
      <c r="P100" s="36"/>
      <c r="Q100" s="19"/>
      <c r="R100" s="36"/>
      <c r="S100" s="19"/>
      <c r="T100" s="36"/>
      <c r="U100" s="19"/>
      <c r="V100" s="36"/>
      <c r="W100" s="19"/>
      <c r="X100" s="36"/>
      <c r="Y100" s="19"/>
      <c r="Z100" s="36"/>
      <c r="AA100" s="19"/>
      <c r="AB100" s="36"/>
      <c r="AC100" s="19"/>
      <c r="AD100" s="37"/>
      <c r="AE100" s="21"/>
      <c r="AF100" s="37"/>
      <c r="AG100" s="36"/>
      <c r="AH100" s="19"/>
      <c r="AI100" s="37"/>
      <c r="AJ100" s="21"/>
      <c r="AK100" s="37"/>
      <c r="AL100" s="21"/>
    </row>
    <row r="101" spans="1:38" ht="16.5" hidden="1" customHeight="1" x14ac:dyDescent="0.3">
      <c r="A101" s="32" t="s">
        <v>109</v>
      </c>
      <c r="B101" s="33">
        <f>IFERROR(B87-B99, "NA")</f>
        <v>26754.230000000007</v>
      </c>
      <c r="C101" s="34">
        <f>IFERROR(B101/B148, "NA")</f>
        <v>0.22330319119501577</v>
      </c>
      <c r="D101" s="33">
        <f>IFERROR(D87-D99, "NA")</f>
        <v>28680.709999999985</v>
      </c>
      <c r="E101" s="34">
        <f>IFERROR(D101/D148, "NA")</f>
        <v>0.22866541871165524</v>
      </c>
      <c r="F101" s="33">
        <f>IFERROR(F87-F99, "NA")</f>
        <v>22569.919999999955</v>
      </c>
      <c r="G101" s="34">
        <f>IFERROR(F101/F148, "NA")</f>
        <v>0.16850590355096995</v>
      </c>
      <c r="H101" s="33">
        <f>IFERROR(H87-H99, "NA")</f>
        <v>26508.760000000002</v>
      </c>
      <c r="I101" s="34">
        <f>IFERROR(H101/H148, "NA")</f>
        <v>0.20709040078983962</v>
      </c>
      <c r="J101" s="33">
        <f>IFERROR(J87-J99, "NA")</f>
        <v>30526.03999999995</v>
      </c>
      <c r="K101" s="34">
        <f>IFERROR(J101/J148, "NA")</f>
        <v>0.26368910123044637</v>
      </c>
      <c r="L101" s="33">
        <f>IFERROR(L87-L99, "NA")</f>
        <v>40103.190000000053</v>
      </c>
      <c r="M101" s="34">
        <f>IFERROR(L101/L148, "NA")</f>
        <v>0.2966412818144662</v>
      </c>
      <c r="N101" s="33">
        <f>IFERROR(N87-N99, "NA")</f>
        <v>36167.300000000003</v>
      </c>
      <c r="O101" s="34">
        <f>IFERROR(N101/N148, "NA")</f>
        <v>0.28533928995626184</v>
      </c>
      <c r="P101" s="33">
        <f>IFERROR(P87-P99, "NA")</f>
        <v>24020.040000000052</v>
      </c>
      <c r="Q101" s="34">
        <f>IFERROR(P101/P148, "NA")</f>
        <v>0.17568940972772101</v>
      </c>
      <c r="R101" s="33">
        <f>IFERROR(R87-R99, "NA")</f>
        <v>31250.300000000039</v>
      </c>
      <c r="S101" s="34">
        <f>IFERROR(R101/R148, "NA")</f>
        <v>0.20876331204057089</v>
      </c>
      <c r="T101" s="33">
        <f>IFERROR(T87-T99, "NA")</f>
        <v>26493.090000000033</v>
      </c>
      <c r="U101" s="34">
        <f>IFERROR(T101/T148, "NA")</f>
        <v>0.21522070628513354</v>
      </c>
      <c r="V101" s="33">
        <f>IFERROR(V87-V99, "NA")</f>
        <v>47124.039999999972</v>
      </c>
      <c r="W101" s="34">
        <f>IFERROR(V101/V148, "NA")</f>
        <v>0.28338383732083294</v>
      </c>
      <c r="X101" s="33">
        <f>IFERROR(X87-X99, "NA")</f>
        <v>41632.549999999916</v>
      </c>
      <c r="Y101" s="34">
        <f>IFERROR(X101/X148, "NA")</f>
        <v>0.25089031076131724</v>
      </c>
      <c r="Z101" s="33">
        <f>IFERROR(Z87-Z99, "NA")</f>
        <v>115249.68000000008</v>
      </c>
      <c r="AA101" s="34">
        <f>IFERROR(Z101/Z148, "NA")</f>
        <v>0.25311405827714278</v>
      </c>
      <c r="AB101" s="33">
        <f>IFERROR((R101+T101+V101+X101)/4, "NA")</f>
        <v>36624.994999999995</v>
      </c>
      <c r="AC101" s="34">
        <f>IFERROR(AB101/AB148, "NA")</f>
        <v>0.24214090271958977</v>
      </c>
      <c r="AD101" s="15">
        <f>IFERROR(X101-AB101, "NA")</f>
        <v>5007.5549999999203</v>
      </c>
      <c r="AE101" s="16">
        <f>IFERROR(AD101/AD148, "NA")</f>
        <v>0.34101276102383909</v>
      </c>
      <c r="AF101" s="15">
        <f>IFERROR((X101-AB101)/AB101, "NA")</f>
        <v>0.13672506986007563</v>
      </c>
      <c r="AG101" s="33">
        <f>IFERROR((J101+L101+N101+P101+R101+T101+V101+X101)/8, "NA")</f>
        <v>34664.568750000006</v>
      </c>
      <c r="AH101" s="34">
        <f>IFERROR(AG101/AG148, "NA")</f>
        <v>0.24772651902678036</v>
      </c>
      <c r="AI101" s="15">
        <f>IFERROR(X101-AG101, "NA")</f>
        <v>6967.9812499999098</v>
      </c>
      <c r="AJ101" s="16">
        <f>IFERROR(AI101/AI148, "NA")</f>
        <v>0.26791215587392303</v>
      </c>
      <c r="AK101" s="15">
        <f>IFERROR((X101-AG101)/AG101, "NA")</f>
        <v>0.20101162372025497</v>
      </c>
      <c r="AL101" s="16">
        <f>IFERROR(AK101/AK148, "NA")</f>
        <v>1.081483552614569</v>
      </c>
    </row>
    <row r="102" spans="1:38" ht="3.75" hidden="1" customHeight="1" x14ac:dyDescent="0.3">
      <c r="A102" s="35" t="s">
        <v>3</v>
      </c>
      <c r="B102" s="36"/>
      <c r="C102" s="19"/>
      <c r="D102" s="36"/>
      <c r="E102" s="19"/>
      <c r="F102" s="36"/>
      <c r="G102" s="19"/>
      <c r="H102" s="36"/>
      <c r="I102" s="19"/>
      <c r="J102" s="36"/>
      <c r="K102" s="19"/>
      <c r="L102" s="36"/>
      <c r="M102" s="19"/>
      <c r="N102" s="36"/>
      <c r="O102" s="19"/>
      <c r="P102" s="36"/>
      <c r="Q102" s="19"/>
      <c r="R102" s="36"/>
      <c r="S102" s="19"/>
      <c r="T102" s="36"/>
      <c r="U102" s="19"/>
      <c r="V102" s="36"/>
      <c r="W102" s="19"/>
      <c r="X102" s="36"/>
      <c r="Y102" s="19"/>
      <c r="Z102" s="36"/>
      <c r="AA102" s="19"/>
      <c r="AB102" s="36"/>
      <c r="AC102" s="19"/>
      <c r="AD102" s="37"/>
      <c r="AE102" s="21"/>
      <c r="AF102" s="37"/>
      <c r="AG102" s="36"/>
      <c r="AH102" s="19"/>
      <c r="AI102" s="37"/>
      <c r="AJ102" s="21"/>
      <c r="AK102" s="37"/>
      <c r="AL102" s="21"/>
    </row>
    <row r="103" spans="1:38" ht="16.5" hidden="1" customHeight="1" x14ac:dyDescent="0.3">
      <c r="A103" s="1" t="s">
        <v>110</v>
      </c>
      <c r="B103" s="2"/>
      <c r="C103" s="3"/>
      <c r="D103" s="2"/>
      <c r="E103" s="3"/>
      <c r="F103" s="2"/>
      <c r="G103" s="3"/>
      <c r="H103" s="2"/>
      <c r="I103" s="3"/>
      <c r="J103" s="2"/>
      <c r="K103" s="3"/>
      <c r="L103" s="2"/>
      <c r="M103" s="3"/>
      <c r="N103" s="2"/>
      <c r="O103" s="3"/>
      <c r="P103" s="2"/>
      <c r="Q103" s="3"/>
      <c r="R103" s="2"/>
      <c r="S103" s="3"/>
      <c r="T103" s="2"/>
      <c r="U103" s="3"/>
      <c r="V103" s="2"/>
      <c r="W103" s="3"/>
      <c r="X103" s="2"/>
      <c r="Y103" s="3"/>
      <c r="Z103" s="2"/>
      <c r="AA103" s="3"/>
      <c r="AB103" s="2"/>
      <c r="AC103" s="3"/>
      <c r="AD103" s="4"/>
      <c r="AE103" s="5"/>
      <c r="AF103" s="4"/>
      <c r="AG103" s="2"/>
      <c r="AH103" s="3"/>
      <c r="AI103" s="4"/>
      <c r="AJ103" s="5"/>
      <c r="AK103" s="4"/>
      <c r="AL103" s="5"/>
    </row>
    <row r="104" spans="1:38" ht="16.5" hidden="1" customHeight="1" x14ac:dyDescent="0.3">
      <c r="A104" s="38" t="s">
        <v>111</v>
      </c>
      <c r="B104" s="39">
        <v>-4196.78</v>
      </c>
      <c r="C104" s="34">
        <f>IFERROR(B104/B148, "NA")</f>
        <v>-3.5028269052909317E-2</v>
      </c>
      <c r="D104" s="39">
        <v>-294.70999999999998</v>
      </c>
      <c r="E104" s="34">
        <f>IFERROR(D104/D148, "NA")</f>
        <v>-2.3496623880131262E-3</v>
      </c>
      <c r="F104" s="39">
        <v>12313.260000000002</v>
      </c>
      <c r="G104" s="34">
        <f>IFERROR(F104/F148, "NA")</f>
        <v>9.1930188585427897E-2</v>
      </c>
      <c r="H104" s="39">
        <v>68584.259999999995</v>
      </c>
      <c r="I104" s="34">
        <f>IFERROR(H104/H148, "NA")</f>
        <v>0.53579050439456855</v>
      </c>
      <c r="J104" s="39">
        <v>-5736.97</v>
      </c>
      <c r="K104" s="34">
        <f>IFERROR(J104/J148, "NA")</f>
        <v>-4.9556918063595419E-2</v>
      </c>
      <c r="L104" s="39">
        <v>-544.22</v>
      </c>
      <c r="M104" s="34">
        <f>IFERROR(L104/L148, "NA")</f>
        <v>-4.0255680006769682E-3</v>
      </c>
      <c r="N104" s="39">
        <v>0</v>
      </c>
      <c r="O104" s="34">
        <f>IFERROR(N104/N148, "NA")</f>
        <v>0</v>
      </c>
      <c r="P104" s="39">
        <v>11114.62</v>
      </c>
      <c r="Q104" s="34">
        <f>IFERROR(P104/P148, "NA")</f>
        <v>8.1295494393344839E-2</v>
      </c>
      <c r="R104" s="39">
        <v>82425.87999999999</v>
      </c>
      <c r="S104" s="34">
        <f>IFERROR(R104/R148, "NA")</f>
        <v>0.5506347045199127</v>
      </c>
      <c r="T104" s="39">
        <v>-6844.3099999999995</v>
      </c>
      <c r="U104" s="34">
        <f>IFERROR(T104/T148, "NA")</f>
        <v>-5.5600808823523439E-2</v>
      </c>
      <c r="V104" s="39">
        <v>0</v>
      </c>
      <c r="W104" s="34">
        <f>IFERROR(V104/V148, "NA")</f>
        <v>0</v>
      </c>
      <c r="X104" s="39">
        <v>7396.7900000000009</v>
      </c>
      <c r="Y104" s="34">
        <f>IFERROR(X104/X148, "NA")</f>
        <v>4.457528884817788E-2</v>
      </c>
      <c r="Z104" s="39">
        <v>552.48000000000093</v>
      </c>
      <c r="AA104" s="34">
        <f>IFERROR(Z104/Z148, "NA")</f>
        <v>1.2133695721927903E-3</v>
      </c>
      <c r="AB104" s="33">
        <f>IFERROR((R104+T104+V104+X104)/4, "NA")</f>
        <v>20744.589999999997</v>
      </c>
      <c r="AC104" s="34">
        <f>IFERROR(AB104/AB148, "NA")</f>
        <v>0.1371498821814931</v>
      </c>
      <c r="AD104" s="15">
        <f>IFERROR(X104-AB104, "NA")</f>
        <v>-13347.799999999996</v>
      </c>
      <c r="AE104" s="16">
        <f>IFERROR(AD104/AD148, "NA")</f>
        <v>-0.90898055669764388</v>
      </c>
      <c r="AF104" s="15">
        <f>IFERROR((X104-AB104)/AB104, "NA")</f>
        <v>-0.64343522817274279</v>
      </c>
      <c r="AG104" s="33">
        <f>IFERROR((J104+L104+N104+P104+R104+T104+V104+X104)/8, "NA")</f>
        <v>10976.473750000001</v>
      </c>
      <c r="AH104" s="34">
        <f>IFERROR(AG104/AG148, "NA")</f>
        <v>7.8442159568949774E-2</v>
      </c>
      <c r="AI104" s="15">
        <f>IFERROR(X104-AG104, "NA")</f>
        <v>-3579.6837500000001</v>
      </c>
      <c r="AJ104" s="16">
        <f>IFERROR(AI104/AI148, "NA")</f>
        <v>-0.13763538626189067</v>
      </c>
      <c r="AK104" s="15">
        <f>IFERROR((X104-AG104)/AG104, "NA")</f>
        <v>-0.32612329164455023</v>
      </c>
      <c r="AL104" s="16">
        <f>IFERROR(AK104/AK148, "NA")</f>
        <v>-1.7546098554427318</v>
      </c>
    </row>
    <row r="105" spans="1:38" ht="16.5" hidden="1" customHeight="1" x14ac:dyDescent="0.3">
      <c r="A105" s="12" t="s">
        <v>112</v>
      </c>
      <c r="B105" s="13">
        <f>IFERROR(B104, "NA")</f>
        <v>-4196.78</v>
      </c>
      <c r="C105" s="14">
        <f>IFERROR(B105/B148, "NA")</f>
        <v>-3.5028269052909317E-2</v>
      </c>
      <c r="D105" s="13">
        <f>IFERROR(D104, "NA")</f>
        <v>-294.70999999999998</v>
      </c>
      <c r="E105" s="14">
        <f>IFERROR(D105/D148, "NA")</f>
        <v>-2.3496623880131262E-3</v>
      </c>
      <c r="F105" s="13">
        <f>IFERROR(F104, "NA")</f>
        <v>12313.260000000002</v>
      </c>
      <c r="G105" s="14">
        <f>IFERROR(F105/F148, "NA")</f>
        <v>9.1930188585427897E-2</v>
      </c>
      <c r="H105" s="13">
        <f>IFERROR(H104, "NA")</f>
        <v>68584.259999999995</v>
      </c>
      <c r="I105" s="14">
        <f>IFERROR(H105/H148, "NA")</f>
        <v>0.53579050439456855</v>
      </c>
      <c r="J105" s="13">
        <f>IFERROR(J104, "NA")</f>
        <v>-5736.97</v>
      </c>
      <c r="K105" s="14">
        <f>IFERROR(J105/J148, "NA")</f>
        <v>-4.9556918063595419E-2</v>
      </c>
      <c r="L105" s="13">
        <f>IFERROR(L104, "NA")</f>
        <v>-544.22</v>
      </c>
      <c r="M105" s="14">
        <f>IFERROR(L105/L148, "NA")</f>
        <v>-4.0255680006769682E-3</v>
      </c>
      <c r="N105" s="13">
        <f>IFERROR(N104, "NA")</f>
        <v>0</v>
      </c>
      <c r="O105" s="14">
        <f>IFERROR(N105/N148, "NA")</f>
        <v>0</v>
      </c>
      <c r="P105" s="13">
        <f>IFERROR(P104, "NA")</f>
        <v>11114.62</v>
      </c>
      <c r="Q105" s="14">
        <f>IFERROR(P105/P148, "NA")</f>
        <v>8.1295494393344839E-2</v>
      </c>
      <c r="R105" s="13">
        <f>IFERROR(R104, "NA")</f>
        <v>82425.87999999999</v>
      </c>
      <c r="S105" s="14">
        <f>IFERROR(R105/R148, "NA")</f>
        <v>0.5506347045199127</v>
      </c>
      <c r="T105" s="13">
        <f>IFERROR(T104, "NA")</f>
        <v>-6844.3099999999995</v>
      </c>
      <c r="U105" s="14">
        <f>IFERROR(T105/T148, "NA")</f>
        <v>-5.5600808823523439E-2</v>
      </c>
      <c r="V105" s="13">
        <f>IFERROR(V104, "NA")</f>
        <v>0</v>
      </c>
      <c r="W105" s="14">
        <f>IFERROR(V105/V148, "NA")</f>
        <v>0</v>
      </c>
      <c r="X105" s="13">
        <f>IFERROR(X104, "NA")</f>
        <v>7396.7900000000009</v>
      </c>
      <c r="Y105" s="14">
        <f>IFERROR(X105/X148, "NA")</f>
        <v>4.457528884817788E-2</v>
      </c>
      <c r="Z105" s="13">
        <f>IFERROR(Z104, "NA")</f>
        <v>552.48000000000093</v>
      </c>
      <c r="AA105" s="14">
        <f>IFERROR(Z105/Z148, "NA")</f>
        <v>1.2133695721927903E-3</v>
      </c>
      <c r="AB105" s="13">
        <f>IFERROR((R105+T105+V105+X105)/4, "NA")</f>
        <v>20744.589999999997</v>
      </c>
      <c r="AC105" s="14">
        <f>IFERROR(AB105/AB148, "NA")</f>
        <v>0.1371498821814931</v>
      </c>
      <c r="AD105" s="15">
        <f>IFERROR(X105-AB105, "NA")</f>
        <v>-13347.799999999996</v>
      </c>
      <c r="AE105" s="16">
        <f>IFERROR(AD105/AD148, "NA")</f>
        <v>-0.90898055669764388</v>
      </c>
      <c r="AF105" s="15">
        <f>IFERROR((X105-AB105)/AB105, "NA")</f>
        <v>-0.64343522817274279</v>
      </c>
      <c r="AG105" s="13">
        <f>IFERROR((J105+L105+N105+P105+R105+T105+V105+X105)/8, "NA")</f>
        <v>10976.473750000001</v>
      </c>
      <c r="AH105" s="14">
        <f>IFERROR(AG105/AG148, "NA")</f>
        <v>7.8442159568949774E-2</v>
      </c>
      <c r="AI105" s="15">
        <f>IFERROR(X105-AG105, "NA")</f>
        <v>-3579.6837500000001</v>
      </c>
      <c r="AJ105" s="16">
        <f>IFERROR(AI105/AI148, "NA")</f>
        <v>-0.13763538626189067</v>
      </c>
      <c r="AK105" s="15">
        <f>IFERROR((X105-AG105)/AG105, "NA")</f>
        <v>-0.32612329164455023</v>
      </c>
      <c r="AL105" s="16">
        <f>IFERROR(AK105/AK148, "NA")</f>
        <v>-1.7546098554427318</v>
      </c>
    </row>
    <row r="106" spans="1:38" ht="16.5" hidden="1" customHeight="1" x14ac:dyDescent="0.3">
      <c r="A106" s="35" t="s">
        <v>3</v>
      </c>
      <c r="B106" s="36"/>
      <c r="C106" s="19"/>
      <c r="D106" s="36"/>
      <c r="E106" s="19"/>
      <c r="F106" s="36"/>
      <c r="G106" s="19"/>
      <c r="H106" s="36"/>
      <c r="I106" s="19"/>
      <c r="J106" s="36"/>
      <c r="K106" s="19"/>
      <c r="L106" s="36"/>
      <c r="M106" s="19"/>
      <c r="N106" s="36"/>
      <c r="O106" s="19"/>
      <c r="P106" s="36"/>
      <c r="Q106" s="19"/>
      <c r="R106" s="36"/>
      <c r="S106" s="19"/>
      <c r="T106" s="36"/>
      <c r="U106" s="19"/>
      <c r="V106" s="36"/>
      <c r="W106" s="19"/>
      <c r="X106" s="36"/>
      <c r="Y106" s="19"/>
      <c r="Z106" s="36"/>
      <c r="AA106" s="19"/>
      <c r="AB106" s="36"/>
      <c r="AC106" s="19"/>
      <c r="AD106" s="37"/>
      <c r="AE106" s="21"/>
      <c r="AF106" s="37"/>
      <c r="AG106" s="36"/>
      <c r="AH106" s="19"/>
      <c r="AI106" s="37"/>
      <c r="AJ106" s="21"/>
      <c r="AK106" s="37"/>
      <c r="AL106" s="21"/>
    </row>
    <row r="107" spans="1:38" ht="16.5" hidden="1" customHeight="1" x14ac:dyDescent="0.3">
      <c r="A107" s="32" t="s">
        <v>113</v>
      </c>
      <c r="B107" s="33">
        <f>IFERROR(B87-B99-B105, "NA")</f>
        <v>30951.010000000006</v>
      </c>
      <c r="C107" s="34">
        <f>IFERROR(B107/B148, "NA")</f>
        <v>0.25833146024792508</v>
      </c>
      <c r="D107" s="33">
        <f>IFERROR(D87-D99-D105, "NA")</f>
        <v>28975.419999999984</v>
      </c>
      <c r="E107" s="34">
        <f>IFERROR(D107/D148, "NA")</f>
        <v>0.23101508109966837</v>
      </c>
      <c r="F107" s="33">
        <f>IFERROR(F87-F99-F105, "NA")</f>
        <v>10256.659999999953</v>
      </c>
      <c r="G107" s="34">
        <f>IFERROR(F107/F148, "NA")</f>
        <v>7.6575714965542052E-2</v>
      </c>
      <c r="H107" s="33">
        <f>IFERROR(H87-H99-H105, "NA")</f>
        <v>-42075.499999999993</v>
      </c>
      <c r="I107" s="34">
        <f>IFERROR(H107/H148, "NA")</f>
        <v>-0.32870010360472895</v>
      </c>
      <c r="J107" s="33">
        <f>IFERROR(J87-J99-J105, "NA")</f>
        <v>36263.009999999951</v>
      </c>
      <c r="K107" s="34">
        <f>IFERROR(J107/J148, "NA")</f>
        <v>0.31324601929404178</v>
      </c>
      <c r="L107" s="33">
        <f>IFERROR(L87-L99-L105, "NA")</f>
        <v>40647.410000000054</v>
      </c>
      <c r="M107" s="34">
        <f>IFERROR(L107/L148, "NA")</f>
        <v>0.30066684981514319</v>
      </c>
      <c r="N107" s="33">
        <f>IFERROR(N87-N99-N105, "NA")</f>
        <v>36167.300000000003</v>
      </c>
      <c r="O107" s="34">
        <f>IFERROR(N107/N148, "NA")</f>
        <v>0.28533928995626184</v>
      </c>
      <c r="P107" s="33">
        <f>IFERROR(P87-P99-P105, "NA")</f>
        <v>12905.420000000051</v>
      </c>
      <c r="Q107" s="34">
        <f>IFERROR(P107/P148, "NA")</f>
        <v>9.4393915334376188E-2</v>
      </c>
      <c r="R107" s="33">
        <f>IFERROR(R87-R99-R105, "NA")</f>
        <v>-51175.579999999951</v>
      </c>
      <c r="S107" s="34">
        <f>IFERROR(R107/R148, "NA")</f>
        <v>-0.34187139247934178</v>
      </c>
      <c r="T107" s="33">
        <f>IFERROR(T87-T99-T105, "NA")</f>
        <v>33337.400000000031</v>
      </c>
      <c r="U107" s="34">
        <f>IFERROR(T107/T148, "NA")</f>
        <v>0.27082151510865698</v>
      </c>
      <c r="V107" s="33">
        <f>IFERROR(V87-V99-V105, "NA")</f>
        <v>47124.039999999972</v>
      </c>
      <c r="W107" s="34">
        <f>IFERROR(V107/V148, "NA")</f>
        <v>0.28338383732083294</v>
      </c>
      <c r="X107" s="33">
        <f>IFERROR(X87-X99-X105, "NA")</f>
        <v>34235.759999999915</v>
      </c>
      <c r="Y107" s="34">
        <f>IFERROR(X107/X148, "NA")</f>
        <v>0.20631502191313938</v>
      </c>
      <c r="Z107" s="33">
        <f>IFERROR(Z87-Z99-Z105, "NA")</f>
        <v>114697.20000000008</v>
      </c>
      <c r="AA107" s="34">
        <f>IFERROR(Z107/Z148, "NA")</f>
        <v>0.25190068870494997</v>
      </c>
      <c r="AB107" s="33">
        <f>IFERROR((R107+T107+V107+X107)/4, "NA")</f>
        <v>15880.404999999992</v>
      </c>
      <c r="AC107" s="34">
        <f>IFERROR(AB107/AB148, "NA")</f>
        <v>0.1049910205380966</v>
      </c>
      <c r="AD107" s="15">
        <f>IFERROR(X107-AB107, "NA")</f>
        <v>18355.354999999923</v>
      </c>
      <c r="AE107" s="16">
        <f>IFERROR(AD107/AD148, "NA")</f>
        <v>1.2499933177214835</v>
      </c>
      <c r="AF107" s="15">
        <f>IFERROR((X107-AB107)/AB107, "NA")</f>
        <v>1.1558492998131933</v>
      </c>
      <c r="AG107" s="33">
        <f>IFERROR((J107+L107+N107+P107+R107+T107+V107+X107)/8, "NA")</f>
        <v>23688.095000000005</v>
      </c>
      <c r="AH107" s="34">
        <f>IFERROR(AG107/AG148, "NA")</f>
        <v>0.16928435945783057</v>
      </c>
      <c r="AI107" s="15">
        <f>IFERROR(X107-AG107, "NA")</f>
        <v>10547.66499999991</v>
      </c>
      <c r="AJ107" s="16">
        <f>IFERROR(AI107/AI148, "NA")</f>
        <v>0.40554754213581373</v>
      </c>
      <c r="AK107" s="15">
        <f>IFERROR((X107-AG107)/AG107, "NA")</f>
        <v>0.44527282586463401</v>
      </c>
      <c r="AL107" s="16">
        <f>IFERROR(AK107/AK148, "NA")</f>
        <v>2.3956586623517171</v>
      </c>
    </row>
    <row r="108" spans="1:38" ht="3.75" hidden="1" customHeight="1" x14ac:dyDescent="0.3">
      <c r="A108" s="35" t="s">
        <v>3</v>
      </c>
      <c r="B108" s="36"/>
      <c r="C108" s="19"/>
      <c r="D108" s="36"/>
      <c r="E108" s="19"/>
      <c r="F108" s="36"/>
      <c r="G108" s="19"/>
      <c r="H108" s="36"/>
      <c r="I108" s="19"/>
      <c r="J108" s="36"/>
      <c r="K108" s="19"/>
      <c r="L108" s="36"/>
      <c r="M108" s="19"/>
      <c r="N108" s="36"/>
      <c r="O108" s="19"/>
      <c r="P108" s="36"/>
      <c r="Q108" s="19"/>
      <c r="R108" s="36"/>
      <c r="S108" s="19"/>
      <c r="T108" s="36"/>
      <c r="U108" s="19"/>
      <c r="V108" s="36"/>
      <c r="W108" s="19"/>
      <c r="X108" s="36"/>
      <c r="Y108" s="19"/>
      <c r="Z108" s="36"/>
      <c r="AA108" s="19"/>
      <c r="AB108" s="36"/>
      <c r="AC108" s="19"/>
      <c r="AD108" s="37"/>
      <c r="AE108" s="21"/>
      <c r="AF108" s="37"/>
      <c r="AG108" s="36"/>
      <c r="AH108" s="19"/>
      <c r="AI108" s="37"/>
      <c r="AJ108" s="21"/>
      <c r="AK108" s="37"/>
      <c r="AL108" s="21"/>
    </row>
    <row r="109" spans="1:38" ht="16.5" hidden="1" customHeight="1" x14ac:dyDescent="0.3">
      <c r="A109" s="1" t="s">
        <v>114</v>
      </c>
      <c r="B109" s="2"/>
      <c r="C109" s="3"/>
      <c r="D109" s="2"/>
      <c r="E109" s="3"/>
      <c r="F109" s="2"/>
      <c r="G109" s="3"/>
      <c r="H109" s="2"/>
      <c r="I109" s="3"/>
      <c r="J109" s="2"/>
      <c r="K109" s="3"/>
      <c r="L109" s="2"/>
      <c r="M109" s="3"/>
      <c r="N109" s="2"/>
      <c r="O109" s="3"/>
      <c r="P109" s="2"/>
      <c r="Q109" s="3"/>
      <c r="R109" s="2"/>
      <c r="S109" s="3"/>
      <c r="T109" s="2"/>
      <c r="U109" s="3"/>
      <c r="V109" s="2"/>
      <c r="W109" s="3"/>
      <c r="X109" s="2"/>
      <c r="Y109" s="3"/>
      <c r="Z109" s="2"/>
      <c r="AA109" s="3"/>
      <c r="AB109" s="2"/>
      <c r="AC109" s="3"/>
      <c r="AD109" s="4"/>
      <c r="AE109" s="5"/>
      <c r="AF109" s="4"/>
      <c r="AG109" s="2"/>
      <c r="AH109" s="3"/>
      <c r="AI109" s="4"/>
      <c r="AJ109" s="5"/>
      <c r="AK109" s="4"/>
      <c r="AL109" s="5"/>
    </row>
    <row r="110" spans="1:38" ht="16.5" hidden="1" customHeight="1" x14ac:dyDescent="0.3">
      <c r="A110" s="6" t="s">
        <v>115</v>
      </c>
      <c r="B110" s="7">
        <v>0</v>
      </c>
      <c r="C110" s="8">
        <f>IFERROR(B110/B148, "NA")</f>
        <v>0</v>
      </c>
      <c r="D110" s="7">
        <v>0</v>
      </c>
      <c r="E110" s="8">
        <f>IFERROR(D110/D148, "NA")</f>
        <v>0</v>
      </c>
      <c r="F110" s="7">
        <v>0</v>
      </c>
      <c r="G110" s="8">
        <f>IFERROR(F110/F148, "NA")</f>
        <v>0</v>
      </c>
      <c r="H110" s="7">
        <v>0</v>
      </c>
      <c r="I110" s="8">
        <f>IFERROR(H110/H148, "NA")</f>
        <v>0</v>
      </c>
      <c r="J110" s="7">
        <v>0</v>
      </c>
      <c r="K110" s="8">
        <f>IFERROR(J110/J148, "NA")</f>
        <v>0</v>
      </c>
      <c r="L110" s="7">
        <v>0</v>
      </c>
      <c r="M110" s="8">
        <f>IFERROR(L110/L148, "NA")</f>
        <v>0</v>
      </c>
      <c r="N110" s="7">
        <v>0</v>
      </c>
      <c r="O110" s="8">
        <f>IFERROR(N110/N148, "NA")</f>
        <v>0</v>
      </c>
      <c r="P110" s="7">
        <v>0</v>
      </c>
      <c r="Q110" s="8">
        <f>IFERROR(P110/P148, "NA")</f>
        <v>0</v>
      </c>
      <c r="R110" s="7">
        <v>0</v>
      </c>
      <c r="S110" s="8">
        <f>IFERROR(R110/R148, "NA")</f>
        <v>0</v>
      </c>
      <c r="T110" s="7">
        <v>0</v>
      </c>
      <c r="U110" s="8">
        <f>IFERROR(T110/T148, "NA")</f>
        <v>0</v>
      </c>
      <c r="V110" s="7">
        <v>0</v>
      </c>
      <c r="W110" s="8">
        <f>IFERROR(V110/V148, "NA")</f>
        <v>0</v>
      </c>
      <c r="X110" s="7">
        <v>0</v>
      </c>
      <c r="Y110" s="8">
        <f>IFERROR(X110/X148, "NA")</f>
        <v>0</v>
      </c>
      <c r="Z110" s="7">
        <v>0</v>
      </c>
      <c r="AA110" s="8">
        <f>IFERROR(Z110/Z148, "NA")</f>
        <v>0</v>
      </c>
      <c r="AB110" s="9">
        <f t="shared" ref="AB110:AB135" si="42">IFERROR((R110+T110+V110+X110)/4, "NA")</f>
        <v>0</v>
      </c>
      <c r="AC110" s="8">
        <f>IFERROR(AB110/AB148, "NA")</f>
        <v>0</v>
      </c>
      <c r="AD110" s="10">
        <f t="shared" ref="AD110:AD135" si="43">IFERROR(X110-AB110, "NA")</f>
        <v>0</v>
      </c>
      <c r="AE110" s="11">
        <f>IFERROR(AD110/AD148, "NA")</f>
        <v>0</v>
      </c>
      <c r="AF110" s="10" t="str">
        <f t="shared" ref="AF110:AF135" si="44">IFERROR((X110-AB110)/AB110, "NA")</f>
        <v>NA</v>
      </c>
      <c r="AG110" s="9">
        <f t="shared" ref="AG110:AG135" si="45">IFERROR((J110+L110+N110+P110+R110+T110+V110+X110)/8, "NA")</f>
        <v>0</v>
      </c>
      <c r="AH110" s="8">
        <f>IFERROR(AG110/AG148, "NA")</f>
        <v>0</v>
      </c>
      <c r="AI110" s="10">
        <f t="shared" ref="AI110:AI135" si="46">IFERROR(X110-AG110, "NA")</f>
        <v>0</v>
      </c>
      <c r="AJ110" s="11">
        <f>IFERROR(AI110/AI148, "NA")</f>
        <v>0</v>
      </c>
      <c r="AK110" s="10" t="str">
        <f t="shared" ref="AK110:AK135" si="47">IFERROR((X110-AG110)/AG110, "NA")</f>
        <v>NA</v>
      </c>
      <c r="AL110" s="11" t="str">
        <f>IFERROR(AK110/AK148, "NA")</f>
        <v>NA</v>
      </c>
    </row>
    <row r="111" spans="1:38" ht="16.5" hidden="1" customHeight="1" x14ac:dyDescent="0.3">
      <c r="A111" s="6" t="s">
        <v>116</v>
      </c>
      <c r="B111" s="7">
        <v>0</v>
      </c>
      <c r="C111" s="8">
        <f>IFERROR(B111/B148, "NA")</f>
        <v>0</v>
      </c>
      <c r="D111" s="7">
        <v>0</v>
      </c>
      <c r="E111" s="8">
        <f>IFERROR(D111/D148, "NA")</f>
        <v>0</v>
      </c>
      <c r="F111" s="7">
        <v>0</v>
      </c>
      <c r="G111" s="8">
        <f>IFERROR(F111/F148, "NA")</f>
        <v>0</v>
      </c>
      <c r="H111" s="7">
        <v>0</v>
      </c>
      <c r="I111" s="8">
        <f>IFERROR(H111/H148, "NA")</f>
        <v>0</v>
      </c>
      <c r="J111" s="7">
        <v>0</v>
      </c>
      <c r="K111" s="8">
        <f>IFERROR(J111/J148, "NA")</f>
        <v>0</v>
      </c>
      <c r="L111" s="7">
        <v>0</v>
      </c>
      <c r="M111" s="8">
        <f>IFERROR(L111/L148, "NA")</f>
        <v>0</v>
      </c>
      <c r="N111" s="7">
        <v>0</v>
      </c>
      <c r="O111" s="8">
        <f>IFERROR(N111/N148, "NA")</f>
        <v>0</v>
      </c>
      <c r="P111" s="7">
        <v>0</v>
      </c>
      <c r="Q111" s="8">
        <f>IFERROR(P111/P148, "NA")</f>
        <v>0</v>
      </c>
      <c r="R111" s="7">
        <v>0</v>
      </c>
      <c r="S111" s="8">
        <f>IFERROR(R111/R148, "NA")</f>
        <v>0</v>
      </c>
      <c r="T111" s="7">
        <v>0</v>
      </c>
      <c r="U111" s="8">
        <f>IFERROR(T111/T148, "NA")</f>
        <v>0</v>
      </c>
      <c r="V111" s="7">
        <v>0</v>
      </c>
      <c r="W111" s="8">
        <f>IFERROR(V111/V148, "NA")</f>
        <v>0</v>
      </c>
      <c r="X111" s="7">
        <v>0</v>
      </c>
      <c r="Y111" s="8">
        <f>IFERROR(X111/X148, "NA")</f>
        <v>0</v>
      </c>
      <c r="Z111" s="7">
        <v>0</v>
      </c>
      <c r="AA111" s="8">
        <f>IFERROR(Z111/Z148, "NA")</f>
        <v>0</v>
      </c>
      <c r="AB111" s="9">
        <f t="shared" si="42"/>
        <v>0</v>
      </c>
      <c r="AC111" s="8">
        <f>IFERROR(AB111/AB148, "NA")</f>
        <v>0</v>
      </c>
      <c r="AD111" s="10">
        <f t="shared" si="43"/>
        <v>0</v>
      </c>
      <c r="AE111" s="11">
        <f>IFERROR(AD111/AD148, "NA")</f>
        <v>0</v>
      </c>
      <c r="AF111" s="10" t="str">
        <f t="shared" si="44"/>
        <v>NA</v>
      </c>
      <c r="AG111" s="9">
        <f t="shared" si="45"/>
        <v>0</v>
      </c>
      <c r="AH111" s="8">
        <f>IFERROR(AG111/AG148, "NA")</f>
        <v>0</v>
      </c>
      <c r="AI111" s="10">
        <f t="shared" si="46"/>
        <v>0</v>
      </c>
      <c r="AJ111" s="11">
        <f>IFERROR(AI111/AI148, "NA")</f>
        <v>0</v>
      </c>
      <c r="AK111" s="10" t="str">
        <f t="shared" si="47"/>
        <v>NA</v>
      </c>
      <c r="AL111" s="11" t="str">
        <f>IFERROR(AK111/AK148, "NA")</f>
        <v>NA</v>
      </c>
    </row>
    <row r="112" spans="1:38" ht="16.5" hidden="1" customHeight="1" x14ac:dyDescent="0.3">
      <c r="A112" s="6" t="s">
        <v>117</v>
      </c>
      <c r="B112" s="7">
        <v>0</v>
      </c>
      <c r="C112" s="8">
        <f>IFERROR(B112/B148, "NA")</f>
        <v>0</v>
      </c>
      <c r="D112" s="7">
        <v>0</v>
      </c>
      <c r="E112" s="8">
        <f>IFERROR(D112/D148, "NA")</f>
        <v>0</v>
      </c>
      <c r="F112" s="7">
        <v>0</v>
      </c>
      <c r="G112" s="8">
        <f>IFERROR(F112/F148, "NA")</f>
        <v>0</v>
      </c>
      <c r="H112" s="7">
        <v>0</v>
      </c>
      <c r="I112" s="8">
        <f>IFERROR(H112/H148, "NA")</f>
        <v>0</v>
      </c>
      <c r="J112" s="7">
        <v>0</v>
      </c>
      <c r="K112" s="8">
        <f>IFERROR(J112/J148, "NA")</f>
        <v>0</v>
      </c>
      <c r="L112" s="7">
        <v>0</v>
      </c>
      <c r="M112" s="8">
        <f>IFERROR(L112/L148, "NA")</f>
        <v>0</v>
      </c>
      <c r="N112" s="7">
        <v>0</v>
      </c>
      <c r="O112" s="8">
        <f>IFERROR(N112/N148, "NA")</f>
        <v>0</v>
      </c>
      <c r="P112" s="7">
        <v>0</v>
      </c>
      <c r="Q112" s="8">
        <f>IFERROR(P112/P148, "NA")</f>
        <v>0</v>
      </c>
      <c r="R112" s="7">
        <v>0</v>
      </c>
      <c r="S112" s="8">
        <f>IFERROR(R112/R148, "NA")</f>
        <v>0</v>
      </c>
      <c r="T112" s="7">
        <v>0</v>
      </c>
      <c r="U112" s="8">
        <f>IFERROR(T112/T148, "NA")</f>
        <v>0</v>
      </c>
      <c r="V112" s="7">
        <v>0</v>
      </c>
      <c r="W112" s="8">
        <f>IFERROR(V112/V148, "NA")</f>
        <v>0</v>
      </c>
      <c r="X112" s="7">
        <v>0</v>
      </c>
      <c r="Y112" s="8">
        <f>IFERROR(X112/X148, "NA")</f>
        <v>0</v>
      </c>
      <c r="Z112" s="7">
        <v>0</v>
      </c>
      <c r="AA112" s="8">
        <f>IFERROR(Z112/Z148, "NA")</f>
        <v>0</v>
      </c>
      <c r="AB112" s="9">
        <f t="shared" si="42"/>
        <v>0</v>
      </c>
      <c r="AC112" s="8">
        <f>IFERROR(AB112/AB148, "NA")</f>
        <v>0</v>
      </c>
      <c r="AD112" s="10">
        <f t="shared" si="43"/>
        <v>0</v>
      </c>
      <c r="AE112" s="11">
        <f>IFERROR(AD112/AD148, "NA")</f>
        <v>0</v>
      </c>
      <c r="AF112" s="10" t="str">
        <f t="shared" si="44"/>
        <v>NA</v>
      </c>
      <c r="AG112" s="9">
        <f t="shared" si="45"/>
        <v>0</v>
      </c>
      <c r="AH112" s="8">
        <f>IFERROR(AG112/AG148, "NA")</f>
        <v>0</v>
      </c>
      <c r="AI112" s="10">
        <f t="shared" si="46"/>
        <v>0</v>
      </c>
      <c r="AJ112" s="11">
        <f>IFERROR(AI112/AI148, "NA")</f>
        <v>0</v>
      </c>
      <c r="AK112" s="10" t="str">
        <f t="shared" si="47"/>
        <v>NA</v>
      </c>
      <c r="AL112" s="11" t="str">
        <f>IFERROR(AK112/AK148, "NA")</f>
        <v>NA</v>
      </c>
    </row>
    <row r="113" spans="1:38" ht="16.5" hidden="1" customHeight="1" x14ac:dyDescent="0.3">
      <c r="A113" s="6" t="s">
        <v>118</v>
      </c>
      <c r="B113" s="7">
        <v>0</v>
      </c>
      <c r="C113" s="8">
        <f>IFERROR(B113/B148, "NA")</f>
        <v>0</v>
      </c>
      <c r="D113" s="7">
        <v>0</v>
      </c>
      <c r="E113" s="8">
        <f>IFERROR(D113/D148, "NA")</f>
        <v>0</v>
      </c>
      <c r="F113" s="7">
        <v>0</v>
      </c>
      <c r="G113" s="8">
        <f>IFERROR(F113/F148, "NA")</f>
        <v>0</v>
      </c>
      <c r="H113" s="7">
        <v>0</v>
      </c>
      <c r="I113" s="8">
        <f>IFERROR(H113/H148, "NA")</f>
        <v>0</v>
      </c>
      <c r="J113" s="7">
        <v>0</v>
      </c>
      <c r="K113" s="8">
        <f>IFERROR(J113/J148, "NA")</f>
        <v>0</v>
      </c>
      <c r="L113" s="7">
        <v>0</v>
      </c>
      <c r="M113" s="8">
        <f>IFERROR(L113/L148, "NA")</f>
        <v>0</v>
      </c>
      <c r="N113" s="7">
        <v>0</v>
      </c>
      <c r="O113" s="8">
        <f>IFERROR(N113/N148, "NA")</f>
        <v>0</v>
      </c>
      <c r="P113" s="7">
        <v>0</v>
      </c>
      <c r="Q113" s="8">
        <f>IFERROR(P113/P148, "NA")</f>
        <v>0</v>
      </c>
      <c r="R113" s="7">
        <v>0</v>
      </c>
      <c r="S113" s="8">
        <f>IFERROR(R113/R148, "NA")</f>
        <v>0</v>
      </c>
      <c r="T113" s="7">
        <v>0</v>
      </c>
      <c r="U113" s="8">
        <f>IFERROR(T113/T148, "NA")</f>
        <v>0</v>
      </c>
      <c r="V113" s="7">
        <v>0</v>
      </c>
      <c r="W113" s="8">
        <f>IFERROR(V113/V148, "NA")</f>
        <v>0</v>
      </c>
      <c r="X113" s="7">
        <v>0</v>
      </c>
      <c r="Y113" s="8">
        <f>IFERROR(X113/X148, "NA")</f>
        <v>0</v>
      </c>
      <c r="Z113" s="7">
        <v>0</v>
      </c>
      <c r="AA113" s="8">
        <f>IFERROR(Z113/Z148, "NA")</f>
        <v>0</v>
      </c>
      <c r="AB113" s="9">
        <f t="shared" si="42"/>
        <v>0</v>
      </c>
      <c r="AC113" s="8">
        <f>IFERROR(AB113/AB148, "NA")</f>
        <v>0</v>
      </c>
      <c r="AD113" s="10">
        <f t="shared" si="43"/>
        <v>0</v>
      </c>
      <c r="AE113" s="11">
        <f>IFERROR(AD113/AD148, "NA")</f>
        <v>0</v>
      </c>
      <c r="AF113" s="10" t="str">
        <f t="shared" si="44"/>
        <v>NA</v>
      </c>
      <c r="AG113" s="9">
        <f t="shared" si="45"/>
        <v>0</v>
      </c>
      <c r="AH113" s="8">
        <f>IFERROR(AG113/AG148, "NA")</f>
        <v>0</v>
      </c>
      <c r="AI113" s="10">
        <f t="shared" si="46"/>
        <v>0</v>
      </c>
      <c r="AJ113" s="11">
        <f>IFERROR(AI113/AI148, "NA")</f>
        <v>0</v>
      </c>
      <c r="AK113" s="10" t="str">
        <f t="shared" si="47"/>
        <v>NA</v>
      </c>
      <c r="AL113" s="11" t="str">
        <f>IFERROR(AK113/AK148, "NA")</f>
        <v>NA</v>
      </c>
    </row>
    <row r="114" spans="1:38" ht="16.5" hidden="1" customHeight="1" x14ac:dyDescent="0.3">
      <c r="A114" s="6" t="s">
        <v>119</v>
      </c>
      <c r="B114" s="7">
        <v>0</v>
      </c>
      <c r="C114" s="8">
        <f>IFERROR(B114/B148, "NA")</f>
        <v>0</v>
      </c>
      <c r="D114" s="7">
        <v>0</v>
      </c>
      <c r="E114" s="8">
        <f>IFERROR(D114/D148, "NA")</f>
        <v>0</v>
      </c>
      <c r="F114" s="7">
        <v>0</v>
      </c>
      <c r="G114" s="8">
        <f>IFERROR(F114/F148, "NA")</f>
        <v>0</v>
      </c>
      <c r="H114" s="7">
        <v>0</v>
      </c>
      <c r="I114" s="8">
        <f>IFERROR(H114/H148, "NA")</f>
        <v>0</v>
      </c>
      <c r="J114" s="7">
        <v>0</v>
      </c>
      <c r="K114" s="8">
        <f>IFERROR(J114/J148, "NA")</f>
        <v>0</v>
      </c>
      <c r="L114" s="7">
        <v>0</v>
      </c>
      <c r="M114" s="8">
        <f>IFERROR(L114/L148, "NA")</f>
        <v>0</v>
      </c>
      <c r="N114" s="7">
        <v>0</v>
      </c>
      <c r="O114" s="8">
        <f>IFERROR(N114/N148, "NA")</f>
        <v>0</v>
      </c>
      <c r="P114" s="7">
        <v>0</v>
      </c>
      <c r="Q114" s="8">
        <f>IFERROR(P114/P148, "NA")</f>
        <v>0</v>
      </c>
      <c r="R114" s="7">
        <v>0</v>
      </c>
      <c r="S114" s="8">
        <f>IFERROR(R114/R148, "NA")</f>
        <v>0</v>
      </c>
      <c r="T114" s="7">
        <v>0</v>
      </c>
      <c r="U114" s="8">
        <f>IFERROR(T114/T148, "NA")</f>
        <v>0</v>
      </c>
      <c r="V114" s="7">
        <v>0</v>
      </c>
      <c r="W114" s="8">
        <f>IFERROR(V114/V148, "NA")</f>
        <v>0</v>
      </c>
      <c r="X114" s="7">
        <v>0</v>
      </c>
      <c r="Y114" s="8">
        <f>IFERROR(X114/X148, "NA")</f>
        <v>0</v>
      </c>
      <c r="Z114" s="7">
        <v>0</v>
      </c>
      <c r="AA114" s="8">
        <f>IFERROR(Z114/Z148, "NA")</f>
        <v>0</v>
      </c>
      <c r="AB114" s="9">
        <f t="shared" si="42"/>
        <v>0</v>
      </c>
      <c r="AC114" s="8">
        <f>IFERROR(AB114/AB148, "NA")</f>
        <v>0</v>
      </c>
      <c r="AD114" s="10">
        <f t="shared" si="43"/>
        <v>0</v>
      </c>
      <c r="AE114" s="11">
        <f>IFERROR(AD114/AD148, "NA")</f>
        <v>0</v>
      </c>
      <c r="AF114" s="10" t="str">
        <f t="shared" si="44"/>
        <v>NA</v>
      </c>
      <c r="AG114" s="9">
        <f t="shared" si="45"/>
        <v>0</v>
      </c>
      <c r="AH114" s="8">
        <f>IFERROR(AG114/AG148, "NA")</f>
        <v>0</v>
      </c>
      <c r="AI114" s="10">
        <f t="shared" si="46"/>
        <v>0</v>
      </c>
      <c r="AJ114" s="11">
        <f>IFERROR(AI114/AI148, "NA")</f>
        <v>0</v>
      </c>
      <c r="AK114" s="10" t="str">
        <f t="shared" si="47"/>
        <v>NA</v>
      </c>
      <c r="AL114" s="11" t="str">
        <f>IFERROR(AK114/AK148, "NA")</f>
        <v>NA</v>
      </c>
    </row>
    <row r="115" spans="1:38" ht="16.5" hidden="1" customHeight="1" x14ac:dyDescent="0.3">
      <c r="A115" s="6" t="s">
        <v>120</v>
      </c>
      <c r="B115" s="7">
        <v>0</v>
      </c>
      <c r="C115" s="8">
        <f>IFERROR(B115/B148, "NA")</f>
        <v>0</v>
      </c>
      <c r="D115" s="7">
        <v>0</v>
      </c>
      <c r="E115" s="8">
        <f>IFERROR(D115/D148, "NA")</f>
        <v>0</v>
      </c>
      <c r="F115" s="7">
        <v>0</v>
      </c>
      <c r="G115" s="8">
        <f>IFERROR(F115/F148, "NA")</f>
        <v>0</v>
      </c>
      <c r="H115" s="7">
        <v>0</v>
      </c>
      <c r="I115" s="8">
        <f>IFERROR(H115/H148, "NA")</f>
        <v>0</v>
      </c>
      <c r="J115" s="7">
        <v>0</v>
      </c>
      <c r="K115" s="8">
        <f>IFERROR(J115/J148, "NA")</f>
        <v>0</v>
      </c>
      <c r="L115" s="7">
        <v>0</v>
      </c>
      <c r="M115" s="8">
        <f>IFERROR(L115/L148, "NA")</f>
        <v>0</v>
      </c>
      <c r="N115" s="7">
        <v>0</v>
      </c>
      <c r="O115" s="8">
        <f>IFERROR(N115/N148, "NA")</f>
        <v>0</v>
      </c>
      <c r="P115" s="7">
        <v>0</v>
      </c>
      <c r="Q115" s="8">
        <f>IFERROR(P115/P148, "NA")</f>
        <v>0</v>
      </c>
      <c r="R115" s="7">
        <v>0</v>
      </c>
      <c r="S115" s="8">
        <f>IFERROR(R115/R148, "NA")</f>
        <v>0</v>
      </c>
      <c r="T115" s="7">
        <v>0</v>
      </c>
      <c r="U115" s="8">
        <f>IFERROR(T115/T148, "NA")</f>
        <v>0</v>
      </c>
      <c r="V115" s="7">
        <v>7.41</v>
      </c>
      <c r="W115" s="8">
        <f>IFERROR(V115/V148, "NA")</f>
        <v>4.4560573213743419E-5</v>
      </c>
      <c r="X115" s="7">
        <v>0</v>
      </c>
      <c r="Y115" s="8">
        <f>IFERROR(X115/X148, "NA")</f>
        <v>0</v>
      </c>
      <c r="Z115" s="7">
        <v>7.41</v>
      </c>
      <c r="AA115" s="8">
        <f>IFERROR(Z115/Z148, "NA")</f>
        <v>1.6274016308189547E-5</v>
      </c>
      <c r="AB115" s="9">
        <f t="shared" si="42"/>
        <v>1.8525</v>
      </c>
      <c r="AC115" s="8">
        <f>IFERROR(AB115/AB148, "NA")</f>
        <v>1.22475381167435E-5</v>
      </c>
      <c r="AD115" s="10">
        <f t="shared" si="43"/>
        <v>-1.8525</v>
      </c>
      <c r="AE115" s="11">
        <f>IFERROR(AD115/AD148, "NA")</f>
        <v>-1.2615460834612341E-4</v>
      </c>
      <c r="AF115" s="10">
        <f t="shared" si="44"/>
        <v>-1</v>
      </c>
      <c r="AG115" s="9">
        <f t="shared" si="45"/>
        <v>0.92625000000000002</v>
      </c>
      <c r="AH115" s="8">
        <f>IFERROR(AG115/AG148, "NA")</f>
        <v>6.619343511912442E-6</v>
      </c>
      <c r="AI115" s="10">
        <f t="shared" si="46"/>
        <v>-0.92625000000000002</v>
      </c>
      <c r="AJ115" s="11">
        <f>IFERROR(AI115/AI148, "NA")</f>
        <v>-3.5613418790158835E-5</v>
      </c>
      <c r="AK115" s="10">
        <f t="shared" si="47"/>
        <v>-1</v>
      </c>
      <c r="AL115" s="11">
        <f>IFERROR(AK115/AK148, "NA")</f>
        <v>-5.3802040528743467</v>
      </c>
    </row>
    <row r="116" spans="1:38" ht="16.5" hidden="1" customHeight="1" x14ac:dyDescent="0.3">
      <c r="A116" s="6" t="s">
        <v>121</v>
      </c>
      <c r="B116" s="7">
        <v>0</v>
      </c>
      <c r="C116" s="8">
        <f>IFERROR(B116/B148, "NA")</f>
        <v>0</v>
      </c>
      <c r="D116" s="7">
        <v>0</v>
      </c>
      <c r="E116" s="8">
        <f>IFERROR(D116/D148, "NA")</f>
        <v>0</v>
      </c>
      <c r="F116" s="7">
        <v>0</v>
      </c>
      <c r="G116" s="8">
        <f>IFERROR(F116/F148, "NA")</f>
        <v>0</v>
      </c>
      <c r="H116" s="7">
        <v>0</v>
      </c>
      <c r="I116" s="8">
        <f>IFERROR(H116/H148, "NA")</f>
        <v>0</v>
      </c>
      <c r="J116" s="7">
        <v>0</v>
      </c>
      <c r="K116" s="8">
        <f>IFERROR(J116/J148, "NA")</f>
        <v>0</v>
      </c>
      <c r="L116" s="7">
        <v>0</v>
      </c>
      <c r="M116" s="8">
        <f>IFERROR(L116/L148, "NA")</f>
        <v>0</v>
      </c>
      <c r="N116" s="7">
        <v>0</v>
      </c>
      <c r="O116" s="8">
        <f>IFERROR(N116/N148, "NA")</f>
        <v>0</v>
      </c>
      <c r="P116" s="7">
        <v>0</v>
      </c>
      <c r="Q116" s="8">
        <f>IFERROR(P116/P148, "NA")</f>
        <v>0</v>
      </c>
      <c r="R116" s="7">
        <v>0</v>
      </c>
      <c r="S116" s="8">
        <f>IFERROR(R116/R148, "NA")</f>
        <v>0</v>
      </c>
      <c r="T116" s="7">
        <v>0</v>
      </c>
      <c r="U116" s="8">
        <f>IFERROR(T116/T148, "NA")</f>
        <v>0</v>
      </c>
      <c r="V116" s="7">
        <v>0</v>
      </c>
      <c r="W116" s="8">
        <f>IFERROR(V116/V148, "NA")</f>
        <v>0</v>
      </c>
      <c r="X116" s="7">
        <v>0</v>
      </c>
      <c r="Y116" s="8">
        <f>IFERROR(X116/X148, "NA")</f>
        <v>0</v>
      </c>
      <c r="Z116" s="7">
        <v>0</v>
      </c>
      <c r="AA116" s="8">
        <f>IFERROR(Z116/Z148, "NA")</f>
        <v>0</v>
      </c>
      <c r="AB116" s="9">
        <f t="shared" si="42"/>
        <v>0</v>
      </c>
      <c r="AC116" s="8">
        <f>IFERROR(AB116/AB148, "NA")</f>
        <v>0</v>
      </c>
      <c r="AD116" s="10">
        <f t="shared" si="43"/>
        <v>0</v>
      </c>
      <c r="AE116" s="11">
        <f>IFERROR(AD116/AD148, "NA")</f>
        <v>0</v>
      </c>
      <c r="AF116" s="10" t="str">
        <f t="shared" si="44"/>
        <v>NA</v>
      </c>
      <c r="AG116" s="9">
        <f t="shared" si="45"/>
        <v>0</v>
      </c>
      <c r="AH116" s="8">
        <f>IFERROR(AG116/AG148, "NA")</f>
        <v>0</v>
      </c>
      <c r="AI116" s="10">
        <f t="shared" si="46"/>
        <v>0</v>
      </c>
      <c r="AJ116" s="11">
        <f>IFERROR(AI116/AI148, "NA")</f>
        <v>0</v>
      </c>
      <c r="AK116" s="10" t="str">
        <f t="shared" si="47"/>
        <v>NA</v>
      </c>
      <c r="AL116" s="11" t="str">
        <f>IFERROR(AK116/AK148, "NA")</f>
        <v>NA</v>
      </c>
    </row>
    <row r="117" spans="1:38" ht="16.5" hidden="1" customHeight="1" x14ac:dyDescent="0.3">
      <c r="A117" s="6" t="s">
        <v>122</v>
      </c>
      <c r="B117" s="7">
        <v>0</v>
      </c>
      <c r="C117" s="8">
        <f>IFERROR(B117/B148, "NA")</f>
        <v>0</v>
      </c>
      <c r="D117" s="7">
        <v>0</v>
      </c>
      <c r="E117" s="8">
        <f>IFERROR(D117/D148, "NA")</f>
        <v>0</v>
      </c>
      <c r="F117" s="7">
        <v>0</v>
      </c>
      <c r="G117" s="8">
        <f>IFERROR(F117/F148, "NA")</f>
        <v>0</v>
      </c>
      <c r="H117" s="7">
        <v>0</v>
      </c>
      <c r="I117" s="8">
        <f>IFERROR(H117/H148, "NA")</f>
        <v>0</v>
      </c>
      <c r="J117" s="7">
        <v>0</v>
      </c>
      <c r="K117" s="8">
        <f>IFERROR(J117/J148, "NA")</f>
        <v>0</v>
      </c>
      <c r="L117" s="7">
        <v>0</v>
      </c>
      <c r="M117" s="8">
        <f>IFERROR(L117/L148, "NA")</f>
        <v>0</v>
      </c>
      <c r="N117" s="7">
        <v>0</v>
      </c>
      <c r="O117" s="8">
        <f>IFERROR(N117/N148, "NA")</f>
        <v>0</v>
      </c>
      <c r="P117" s="7">
        <v>0</v>
      </c>
      <c r="Q117" s="8">
        <f>IFERROR(P117/P148, "NA")</f>
        <v>0</v>
      </c>
      <c r="R117" s="7">
        <v>0</v>
      </c>
      <c r="S117" s="8">
        <f>IFERROR(R117/R148, "NA")</f>
        <v>0</v>
      </c>
      <c r="T117" s="7">
        <v>0</v>
      </c>
      <c r="U117" s="8">
        <f>IFERROR(T117/T148, "NA")</f>
        <v>0</v>
      </c>
      <c r="V117" s="7">
        <v>0</v>
      </c>
      <c r="W117" s="8">
        <f>IFERROR(V117/V148, "NA")</f>
        <v>0</v>
      </c>
      <c r="X117" s="7">
        <v>0</v>
      </c>
      <c r="Y117" s="8">
        <f>IFERROR(X117/X148, "NA")</f>
        <v>0</v>
      </c>
      <c r="Z117" s="7">
        <v>0</v>
      </c>
      <c r="AA117" s="8">
        <f>IFERROR(Z117/Z148, "NA")</f>
        <v>0</v>
      </c>
      <c r="AB117" s="9">
        <f t="shared" si="42"/>
        <v>0</v>
      </c>
      <c r="AC117" s="8">
        <f>IFERROR(AB117/AB148, "NA")</f>
        <v>0</v>
      </c>
      <c r="AD117" s="10">
        <f t="shared" si="43"/>
        <v>0</v>
      </c>
      <c r="AE117" s="11">
        <f>IFERROR(AD117/AD148, "NA")</f>
        <v>0</v>
      </c>
      <c r="AF117" s="10" t="str">
        <f t="shared" si="44"/>
        <v>NA</v>
      </c>
      <c r="AG117" s="9">
        <f t="shared" si="45"/>
        <v>0</v>
      </c>
      <c r="AH117" s="8">
        <f>IFERROR(AG117/AG148, "NA")</f>
        <v>0</v>
      </c>
      <c r="AI117" s="10">
        <f t="shared" si="46"/>
        <v>0</v>
      </c>
      <c r="AJ117" s="11">
        <f>IFERROR(AI117/AI148, "NA")</f>
        <v>0</v>
      </c>
      <c r="AK117" s="10" t="str">
        <f t="shared" si="47"/>
        <v>NA</v>
      </c>
      <c r="AL117" s="11" t="str">
        <f>IFERROR(AK117/AK148, "NA")</f>
        <v>NA</v>
      </c>
    </row>
    <row r="118" spans="1:38" ht="16.5" hidden="1" customHeight="1" x14ac:dyDescent="0.3">
      <c r="A118" s="6" t="s">
        <v>123</v>
      </c>
      <c r="B118" s="7">
        <v>0</v>
      </c>
      <c r="C118" s="8">
        <f>IFERROR(B118/B148, "NA")</f>
        <v>0</v>
      </c>
      <c r="D118" s="7">
        <v>0</v>
      </c>
      <c r="E118" s="8">
        <f>IFERROR(D118/D148, "NA")</f>
        <v>0</v>
      </c>
      <c r="F118" s="7">
        <v>0</v>
      </c>
      <c r="G118" s="8">
        <f>IFERROR(F118/F148, "NA")</f>
        <v>0</v>
      </c>
      <c r="H118" s="7">
        <v>0</v>
      </c>
      <c r="I118" s="8">
        <f>IFERROR(H118/H148, "NA")</f>
        <v>0</v>
      </c>
      <c r="J118" s="7">
        <v>0</v>
      </c>
      <c r="K118" s="8">
        <f>IFERROR(J118/J148, "NA")</f>
        <v>0</v>
      </c>
      <c r="L118" s="7">
        <v>0</v>
      </c>
      <c r="M118" s="8">
        <f>IFERROR(L118/L148, "NA")</f>
        <v>0</v>
      </c>
      <c r="N118" s="7">
        <v>0</v>
      </c>
      <c r="O118" s="8">
        <f>IFERROR(N118/N148, "NA")</f>
        <v>0</v>
      </c>
      <c r="P118" s="7">
        <v>0</v>
      </c>
      <c r="Q118" s="8">
        <f>IFERROR(P118/P148, "NA")</f>
        <v>0</v>
      </c>
      <c r="R118" s="7">
        <v>0</v>
      </c>
      <c r="S118" s="8">
        <f>IFERROR(R118/R148, "NA")</f>
        <v>0</v>
      </c>
      <c r="T118" s="7">
        <v>0</v>
      </c>
      <c r="U118" s="8">
        <f>IFERROR(T118/T148, "NA")</f>
        <v>0</v>
      </c>
      <c r="V118" s="7">
        <v>0</v>
      </c>
      <c r="W118" s="8">
        <f>IFERROR(V118/V148, "NA")</f>
        <v>0</v>
      </c>
      <c r="X118" s="7">
        <v>0</v>
      </c>
      <c r="Y118" s="8">
        <f>IFERROR(X118/X148, "NA")</f>
        <v>0</v>
      </c>
      <c r="Z118" s="7">
        <v>0</v>
      </c>
      <c r="AA118" s="8">
        <f>IFERROR(Z118/Z148, "NA")</f>
        <v>0</v>
      </c>
      <c r="AB118" s="9">
        <f t="shared" si="42"/>
        <v>0</v>
      </c>
      <c r="AC118" s="8">
        <f>IFERROR(AB118/AB148, "NA")</f>
        <v>0</v>
      </c>
      <c r="AD118" s="10">
        <f t="shared" si="43"/>
        <v>0</v>
      </c>
      <c r="AE118" s="11">
        <f>IFERROR(AD118/AD148, "NA")</f>
        <v>0</v>
      </c>
      <c r="AF118" s="10" t="str">
        <f t="shared" si="44"/>
        <v>NA</v>
      </c>
      <c r="AG118" s="9">
        <f t="shared" si="45"/>
        <v>0</v>
      </c>
      <c r="AH118" s="8">
        <f>IFERROR(AG118/AG148, "NA")</f>
        <v>0</v>
      </c>
      <c r="AI118" s="10">
        <f t="shared" si="46"/>
        <v>0</v>
      </c>
      <c r="AJ118" s="11">
        <f>IFERROR(AI118/AI148, "NA")</f>
        <v>0</v>
      </c>
      <c r="AK118" s="10" t="str">
        <f t="shared" si="47"/>
        <v>NA</v>
      </c>
      <c r="AL118" s="11" t="str">
        <f>IFERROR(AK118/AK148, "NA")</f>
        <v>NA</v>
      </c>
    </row>
    <row r="119" spans="1:38" ht="16.5" hidden="1" customHeight="1" x14ac:dyDescent="0.3">
      <c r="A119" s="6" t="s">
        <v>124</v>
      </c>
      <c r="B119" s="7">
        <v>0</v>
      </c>
      <c r="C119" s="8">
        <f>IFERROR(B119/B148, "NA")</f>
        <v>0</v>
      </c>
      <c r="D119" s="7">
        <v>0</v>
      </c>
      <c r="E119" s="8">
        <f>IFERROR(D119/D148, "NA")</f>
        <v>0</v>
      </c>
      <c r="F119" s="7">
        <v>0</v>
      </c>
      <c r="G119" s="8">
        <f>IFERROR(F119/F148, "NA")</f>
        <v>0</v>
      </c>
      <c r="H119" s="7">
        <v>0</v>
      </c>
      <c r="I119" s="8">
        <f>IFERROR(H119/H148, "NA")</f>
        <v>0</v>
      </c>
      <c r="J119" s="7">
        <v>0</v>
      </c>
      <c r="K119" s="8">
        <f>IFERROR(J119/J148, "NA")</f>
        <v>0</v>
      </c>
      <c r="L119" s="7">
        <v>0</v>
      </c>
      <c r="M119" s="8">
        <f>IFERROR(L119/L148, "NA")</f>
        <v>0</v>
      </c>
      <c r="N119" s="7">
        <v>0</v>
      </c>
      <c r="O119" s="8">
        <f>IFERROR(N119/N148, "NA")</f>
        <v>0</v>
      </c>
      <c r="P119" s="7">
        <v>0</v>
      </c>
      <c r="Q119" s="8">
        <f>IFERROR(P119/P148, "NA")</f>
        <v>0</v>
      </c>
      <c r="R119" s="7">
        <v>0</v>
      </c>
      <c r="S119" s="8">
        <f>IFERROR(R119/R148, "NA")</f>
        <v>0</v>
      </c>
      <c r="T119" s="7">
        <v>0</v>
      </c>
      <c r="U119" s="8">
        <f>IFERROR(T119/T148, "NA")</f>
        <v>0</v>
      </c>
      <c r="V119" s="7">
        <v>0</v>
      </c>
      <c r="W119" s="8">
        <f>IFERROR(V119/V148, "NA")</f>
        <v>0</v>
      </c>
      <c r="X119" s="7">
        <v>0</v>
      </c>
      <c r="Y119" s="8">
        <f>IFERROR(X119/X148, "NA")</f>
        <v>0</v>
      </c>
      <c r="Z119" s="7">
        <v>0</v>
      </c>
      <c r="AA119" s="8">
        <f>IFERROR(Z119/Z148, "NA")</f>
        <v>0</v>
      </c>
      <c r="AB119" s="9">
        <f t="shared" si="42"/>
        <v>0</v>
      </c>
      <c r="AC119" s="8">
        <f>IFERROR(AB119/AB148, "NA")</f>
        <v>0</v>
      </c>
      <c r="AD119" s="10">
        <f t="shared" si="43"/>
        <v>0</v>
      </c>
      <c r="AE119" s="11">
        <f>IFERROR(AD119/AD148, "NA")</f>
        <v>0</v>
      </c>
      <c r="AF119" s="10" t="str">
        <f t="shared" si="44"/>
        <v>NA</v>
      </c>
      <c r="AG119" s="9">
        <f t="shared" si="45"/>
        <v>0</v>
      </c>
      <c r="AH119" s="8">
        <f>IFERROR(AG119/AG148, "NA")</f>
        <v>0</v>
      </c>
      <c r="AI119" s="10">
        <f t="shared" si="46"/>
        <v>0</v>
      </c>
      <c r="AJ119" s="11">
        <f>IFERROR(AI119/AI148, "NA")</f>
        <v>0</v>
      </c>
      <c r="AK119" s="10" t="str">
        <f t="shared" si="47"/>
        <v>NA</v>
      </c>
      <c r="AL119" s="11" t="str">
        <f>IFERROR(AK119/AK148, "NA")</f>
        <v>NA</v>
      </c>
    </row>
    <row r="120" spans="1:38" ht="16.5" hidden="1" customHeight="1" x14ac:dyDescent="0.3">
      <c r="A120" s="6" t="s">
        <v>125</v>
      </c>
      <c r="B120" s="7">
        <v>0</v>
      </c>
      <c r="C120" s="8">
        <f>IFERROR(B120/B148, "NA")</f>
        <v>0</v>
      </c>
      <c r="D120" s="7">
        <v>0</v>
      </c>
      <c r="E120" s="8">
        <f>IFERROR(D120/D148, "NA")</f>
        <v>0</v>
      </c>
      <c r="F120" s="7">
        <v>0</v>
      </c>
      <c r="G120" s="8">
        <f>IFERROR(F120/F148, "NA")</f>
        <v>0</v>
      </c>
      <c r="H120" s="7">
        <v>0</v>
      </c>
      <c r="I120" s="8">
        <f>IFERROR(H120/H148, "NA")</f>
        <v>0</v>
      </c>
      <c r="J120" s="7">
        <v>0</v>
      </c>
      <c r="K120" s="8">
        <f>IFERROR(J120/J148, "NA")</f>
        <v>0</v>
      </c>
      <c r="L120" s="7">
        <v>0</v>
      </c>
      <c r="M120" s="8">
        <f>IFERROR(L120/L148, "NA")</f>
        <v>0</v>
      </c>
      <c r="N120" s="7">
        <v>0</v>
      </c>
      <c r="O120" s="8">
        <f>IFERROR(N120/N148, "NA")</f>
        <v>0</v>
      </c>
      <c r="P120" s="7">
        <v>0</v>
      </c>
      <c r="Q120" s="8">
        <f>IFERROR(P120/P148, "NA")</f>
        <v>0</v>
      </c>
      <c r="R120" s="7">
        <v>0</v>
      </c>
      <c r="S120" s="8">
        <f>IFERROR(R120/R148, "NA")</f>
        <v>0</v>
      </c>
      <c r="T120" s="7">
        <v>0</v>
      </c>
      <c r="U120" s="8">
        <f>IFERROR(T120/T148, "NA")</f>
        <v>0</v>
      </c>
      <c r="V120" s="7">
        <v>0</v>
      </c>
      <c r="W120" s="8">
        <f>IFERROR(V120/V148, "NA")</f>
        <v>0</v>
      </c>
      <c r="X120" s="7">
        <v>0</v>
      </c>
      <c r="Y120" s="8">
        <f>IFERROR(X120/X148, "NA")</f>
        <v>0</v>
      </c>
      <c r="Z120" s="7">
        <v>0</v>
      </c>
      <c r="AA120" s="8">
        <f>IFERROR(Z120/Z148, "NA")</f>
        <v>0</v>
      </c>
      <c r="AB120" s="9">
        <f t="shared" si="42"/>
        <v>0</v>
      </c>
      <c r="AC120" s="8">
        <f>IFERROR(AB120/AB148, "NA")</f>
        <v>0</v>
      </c>
      <c r="AD120" s="10">
        <f t="shared" si="43"/>
        <v>0</v>
      </c>
      <c r="AE120" s="11">
        <f>IFERROR(AD120/AD148, "NA")</f>
        <v>0</v>
      </c>
      <c r="AF120" s="10" t="str">
        <f t="shared" si="44"/>
        <v>NA</v>
      </c>
      <c r="AG120" s="9">
        <f t="shared" si="45"/>
        <v>0</v>
      </c>
      <c r="AH120" s="8">
        <f>IFERROR(AG120/AG148, "NA")</f>
        <v>0</v>
      </c>
      <c r="AI120" s="10">
        <f t="shared" si="46"/>
        <v>0</v>
      </c>
      <c r="AJ120" s="11">
        <f>IFERROR(AI120/AI148, "NA")</f>
        <v>0</v>
      </c>
      <c r="AK120" s="10" t="str">
        <f t="shared" si="47"/>
        <v>NA</v>
      </c>
      <c r="AL120" s="11" t="str">
        <f>IFERROR(AK120/AK148, "NA")</f>
        <v>NA</v>
      </c>
    </row>
    <row r="121" spans="1:38" ht="16.5" hidden="1" customHeight="1" x14ac:dyDescent="0.3">
      <c r="A121" s="6" t="s">
        <v>126</v>
      </c>
      <c r="B121" s="7">
        <v>0</v>
      </c>
      <c r="C121" s="8">
        <f>IFERROR(B121/B148, "NA")</f>
        <v>0</v>
      </c>
      <c r="D121" s="7">
        <v>0</v>
      </c>
      <c r="E121" s="8">
        <f>IFERROR(D121/D148, "NA")</f>
        <v>0</v>
      </c>
      <c r="F121" s="7">
        <v>0</v>
      </c>
      <c r="G121" s="8">
        <f>IFERROR(F121/F148, "NA")</f>
        <v>0</v>
      </c>
      <c r="H121" s="7">
        <v>0</v>
      </c>
      <c r="I121" s="8">
        <f>IFERROR(H121/H148, "NA")</f>
        <v>0</v>
      </c>
      <c r="J121" s="7">
        <v>0</v>
      </c>
      <c r="K121" s="8">
        <f>IFERROR(J121/J148, "NA")</f>
        <v>0</v>
      </c>
      <c r="L121" s="7">
        <v>0</v>
      </c>
      <c r="M121" s="8">
        <f>IFERROR(L121/L148, "NA")</f>
        <v>0</v>
      </c>
      <c r="N121" s="7">
        <v>0</v>
      </c>
      <c r="O121" s="8">
        <f>IFERROR(N121/N148, "NA")</f>
        <v>0</v>
      </c>
      <c r="P121" s="7">
        <v>0</v>
      </c>
      <c r="Q121" s="8">
        <f>IFERROR(P121/P148, "NA")</f>
        <v>0</v>
      </c>
      <c r="R121" s="7">
        <v>0</v>
      </c>
      <c r="S121" s="8">
        <f>IFERROR(R121/R148, "NA")</f>
        <v>0</v>
      </c>
      <c r="T121" s="7">
        <v>0</v>
      </c>
      <c r="U121" s="8">
        <f>IFERROR(T121/T148, "NA")</f>
        <v>0</v>
      </c>
      <c r="V121" s="7">
        <v>0</v>
      </c>
      <c r="W121" s="8">
        <f>IFERROR(V121/V148, "NA")</f>
        <v>0</v>
      </c>
      <c r="X121" s="7">
        <v>0</v>
      </c>
      <c r="Y121" s="8">
        <f>IFERROR(X121/X148, "NA")</f>
        <v>0</v>
      </c>
      <c r="Z121" s="7">
        <v>0</v>
      </c>
      <c r="AA121" s="8">
        <f>IFERROR(Z121/Z148, "NA")</f>
        <v>0</v>
      </c>
      <c r="AB121" s="9">
        <f t="shared" si="42"/>
        <v>0</v>
      </c>
      <c r="AC121" s="8">
        <f>IFERROR(AB121/AB148, "NA")</f>
        <v>0</v>
      </c>
      <c r="AD121" s="10">
        <f t="shared" si="43"/>
        <v>0</v>
      </c>
      <c r="AE121" s="11">
        <f>IFERROR(AD121/AD148, "NA")</f>
        <v>0</v>
      </c>
      <c r="AF121" s="10" t="str">
        <f t="shared" si="44"/>
        <v>NA</v>
      </c>
      <c r="AG121" s="9">
        <f t="shared" si="45"/>
        <v>0</v>
      </c>
      <c r="AH121" s="8">
        <f>IFERROR(AG121/AG148, "NA")</f>
        <v>0</v>
      </c>
      <c r="AI121" s="10">
        <f t="shared" si="46"/>
        <v>0</v>
      </c>
      <c r="AJ121" s="11">
        <f>IFERROR(AI121/AI148, "NA")</f>
        <v>0</v>
      </c>
      <c r="AK121" s="10" t="str">
        <f t="shared" si="47"/>
        <v>NA</v>
      </c>
      <c r="AL121" s="11" t="str">
        <f>IFERROR(AK121/AK148, "NA")</f>
        <v>NA</v>
      </c>
    </row>
    <row r="122" spans="1:38" ht="16.5" hidden="1" customHeight="1" x14ac:dyDescent="0.3">
      <c r="A122" s="6" t="s">
        <v>127</v>
      </c>
      <c r="B122" s="7">
        <v>0</v>
      </c>
      <c r="C122" s="8">
        <f>IFERROR(B122/B148, "NA")</f>
        <v>0</v>
      </c>
      <c r="D122" s="7">
        <v>0</v>
      </c>
      <c r="E122" s="8">
        <f>IFERROR(D122/D148, "NA")</f>
        <v>0</v>
      </c>
      <c r="F122" s="7">
        <v>0</v>
      </c>
      <c r="G122" s="8">
        <f>IFERROR(F122/F148, "NA")</f>
        <v>0</v>
      </c>
      <c r="H122" s="7">
        <v>0</v>
      </c>
      <c r="I122" s="8">
        <f>IFERROR(H122/H148, "NA")</f>
        <v>0</v>
      </c>
      <c r="J122" s="7">
        <v>0</v>
      </c>
      <c r="K122" s="8">
        <f>IFERROR(J122/J148, "NA")</f>
        <v>0</v>
      </c>
      <c r="L122" s="7">
        <v>0</v>
      </c>
      <c r="M122" s="8">
        <f>IFERROR(L122/L148, "NA")</f>
        <v>0</v>
      </c>
      <c r="N122" s="7">
        <v>0</v>
      </c>
      <c r="O122" s="8">
        <f>IFERROR(N122/N148, "NA")</f>
        <v>0</v>
      </c>
      <c r="P122" s="7">
        <v>0</v>
      </c>
      <c r="Q122" s="8">
        <f>IFERROR(P122/P148, "NA")</f>
        <v>0</v>
      </c>
      <c r="R122" s="7">
        <v>0</v>
      </c>
      <c r="S122" s="8">
        <f>IFERROR(R122/R148, "NA")</f>
        <v>0</v>
      </c>
      <c r="T122" s="7">
        <v>0</v>
      </c>
      <c r="U122" s="8">
        <f>IFERROR(T122/T148, "NA")</f>
        <v>0</v>
      </c>
      <c r="V122" s="7">
        <v>0</v>
      </c>
      <c r="W122" s="8">
        <f>IFERROR(V122/V148, "NA")</f>
        <v>0</v>
      </c>
      <c r="X122" s="7">
        <v>0</v>
      </c>
      <c r="Y122" s="8">
        <f>IFERROR(X122/X148, "NA")</f>
        <v>0</v>
      </c>
      <c r="Z122" s="7">
        <v>0</v>
      </c>
      <c r="AA122" s="8">
        <f>IFERROR(Z122/Z148, "NA")</f>
        <v>0</v>
      </c>
      <c r="AB122" s="9">
        <f t="shared" si="42"/>
        <v>0</v>
      </c>
      <c r="AC122" s="8">
        <f>IFERROR(AB122/AB148, "NA")</f>
        <v>0</v>
      </c>
      <c r="AD122" s="10">
        <f t="shared" si="43"/>
        <v>0</v>
      </c>
      <c r="AE122" s="11">
        <f>IFERROR(AD122/AD148, "NA")</f>
        <v>0</v>
      </c>
      <c r="AF122" s="10" t="str">
        <f t="shared" si="44"/>
        <v>NA</v>
      </c>
      <c r="AG122" s="9">
        <f t="shared" si="45"/>
        <v>0</v>
      </c>
      <c r="AH122" s="8">
        <f>IFERROR(AG122/AG148, "NA")</f>
        <v>0</v>
      </c>
      <c r="AI122" s="10">
        <f t="shared" si="46"/>
        <v>0</v>
      </c>
      <c r="AJ122" s="11">
        <f>IFERROR(AI122/AI148, "NA")</f>
        <v>0</v>
      </c>
      <c r="AK122" s="10" t="str">
        <f t="shared" si="47"/>
        <v>NA</v>
      </c>
      <c r="AL122" s="11" t="str">
        <f>IFERROR(AK122/AK148, "NA")</f>
        <v>NA</v>
      </c>
    </row>
    <row r="123" spans="1:38" ht="16.5" hidden="1" customHeight="1" x14ac:dyDescent="0.3">
      <c r="A123" s="6" t="s">
        <v>128</v>
      </c>
      <c r="B123" s="7">
        <v>0</v>
      </c>
      <c r="C123" s="8">
        <f>IFERROR(B123/B148, "NA")</f>
        <v>0</v>
      </c>
      <c r="D123" s="7">
        <v>0</v>
      </c>
      <c r="E123" s="8">
        <f>IFERROR(D123/D148, "NA")</f>
        <v>0</v>
      </c>
      <c r="F123" s="7">
        <v>0</v>
      </c>
      <c r="G123" s="8">
        <f>IFERROR(F123/F148, "NA")</f>
        <v>0</v>
      </c>
      <c r="H123" s="7">
        <v>0</v>
      </c>
      <c r="I123" s="8">
        <f>IFERROR(H123/H148, "NA")</f>
        <v>0</v>
      </c>
      <c r="J123" s="7">
        <v>0</v>
      </c>
      <c r="K123" s="8">
        <f>IFERROR(J123/J148, "NA")</f>
        <v>0</v>
      </c>
      <c r="L123" s="7">
        <v>0</v>
      </c>
      <c r="M123" s="8">
        <f>IFERROR(L123/L148, "NA")</f>
        <v>0</v>
      </c>
      <c r="N123" s="7">
        <v>0</v>
      </c>
      <c r="O123" s="8">
        <f>IFERROR(N123/N148, "NA")</f>
        <v>0</v>
      </c>
      <c r="P123" s="7">
        <v>0</v>
      </c>
      <c r="Q123" s="8">
        <f>IFERROR(P123/P148, "NA")</f>
        <v>0</v>
      </c>
      <c r="R123" s="7">
        <v>0</v>
      </c>
      <c r="S123" s="8">
        <f>IFERROR(R123/R148, "NA")</f>
        <v>0</v>
      </c>
      <c r="T123" s="7">
        <v>0</v>
      </c>
      <c r="U123" s="8">
        <f>IFERROR(T123/T148, "NA")</f>
        <v>0</v>
      </c>
      <c r="V123" s="7">
        <v>0</v>
      </c>
      <c r="W123" s="8">
        <f>IFERROR(V123/V148, "NA")</f>
        <v>0</v>
      </c>
      <c r="X123" s="7">
        <v>0</v>
      </c>
      <c r="Y123" s="8">
        <f>IFERROR(X123/X148, "NA")</f>
        <v>0</v>
      </c>
      <c r="Z123" s="7">
        <v>0</v>
      </c>
      <c r="AA123" s="8">
        <f>IFERROR(Z123/Z148, "NA")</f>
        <v>0</v>
      </c>
      <c r="AB123" s="9">
        <f t="shared" si="42"/>
        <v>0</v>
      </c>
      <c r="AC123" s="8">
        <f>IFERROR(AB123/AB148, "NA")</f>
        <v>0</v>
      </c>
      <c r="AD123" s="10">
        <f t="shared" si="43"/>
        <v>0</v>
      </c>
      <c r="AE123" s="11">
        <f>IFERROR(AD123/AD148, "NA")</f>
        <v>0</v>
      </c>
      <c r="AF123" s="10" t="str">
        <f t="shared" si="44"/>
        <v>NA</v>
      </c>
      <c r="AG123" s="9">
        <f t="shared" si="45"/>
        <v>0</v>
      </c>
      <c r="AH123" s="8">
        <f>IFERROR(AG123/AG148, "NA")</f>
        <v>0</v>
      </c>
      <c r="AI123" s="10">
        <f t="shared" si="46"/>
        <v>0</v>
      </c>
      <c r="AJ123" s="11">
        <f>IFERROR(AI123/AI148, "NA")</f>
        <v>0</v>
      </c>
      <c r="AK123" s="10" t="str">
        <f t="shared" si="47"/>
        <v>NA</v>
      </c>
      <c r="AL123" s="11" t="str">
        <f>IFERROR(AK123/AK148, "NA")</f>
        <v>NA</v>
      </c>
    </row>
    <row r="124" spans="1:38" ht="16.5" hidden="1" customHeight="1" x14ac:dyDescent="0.3">
      <c r="A124" s="6" t="s">
        <v>129</v>
      </c>
      <c r="B124" s="7">
        <v>0</v>
      </c>
      <c r="C124" s="8">
        <f>IFERROR(B124/B148, "NA")</f>
        <v>0</v>
      </c>
      <c r="D124" s="7">
        <v>0</v>
      </c>
      <c r="E124" s="8">
        <f>IFERROR(D124/D148, "NA")</f>
        <v>0</v>
      </c>
      <c r="F124" s="7">
        <v>0</v>
      </c>
      <c r="G124" s="8">
        <f>IFERROR(F124/F148, "NA")</f>
        <v>0</v>
      </c>
      <c r="H124" s="7">
        <v>0</v>
      </c>
      <c r="I124" s="8">
        <f>IFERROR(H124/H148, "NA")</f>
        <v>0</v>
      </c>
      <c r="J124" s="7">
        <v>0</v>
      </c>
      <c r="K124" s="8">
        <f>IFERROR(J124/J148, "NA")</f>
        <v>0</v>
      </c>
      <c r="L124" s="7">
        <v>0</v>
      </c>
      <c r="M124" s="8">
        <f>IFERROR(L124/L148, "NA")</f>
        <v>0</v>
      </c>
      <c r="N124" s="7">
        <v>0</v>
      </c>
      <c r="O124" s="8">
        <f>IFERROR(N124/N148, "NA")</f>
        <v>0</v>
      </c>
      <c r="P124" s="7">
        <v>0</v>
      </c>
      <c r="Q124" s="8">
        <f>IFERROR(P124/P148, "NA")</f>
        <v>0</v>
      </c>
      <c r="R124" s="7">
        <v>0</v>
      </c>
      <c r="S124" s="8">
        <f>IFERROR(R124/R148, "NA")</f>
        <v>0</v>
      </c>
      <c r="T124" s="7">
        <v>0</v>
      </c>
      <c r="U124" s="8">
        <f>IFERROR(T124/T148, "NA")</f>
        <v>0</v>
      </c>
      <c r="V124" s="7">
        <v>0</v>
      </c>
      <c r="W124" s="8">
        <f>IFERROR(V124/V148, "NA")</f>
        <v>0</v>
      </c>
      <c r="X124" s="7">
        <v>0</v>
      </c>
      <c r="Y124" s="8">
        <f>IFERROR(X124/X148, "NA")</f>
        <v>0</v>
      </c>
      <c r="Z124" s="7">
        <v>0</v>
      </c>
      <c r="AA124" s="8">
        <f>IFERROR(Z124/Z148, "NA")</f>
        <v>0</v>
      </c>
      <c r="AB124" s="9">
        <f t="shared" si="42"/>
        <v>0</v>
      </c>
      <c r="AC124" s="8">
        <f>IFERROR(AB124/AB148, "NA")</f>
        <v>0</v>
      </c>
      <c r="AD124" s="10">
        <f t="shared" si="43"/>
        <v>0</v>
      </c>
      <c r="AE124" s="11">
        <f>IFERROR(AD124/AD148, "NA")</f>
        <v>0</v>
      </c>
      <c r="AF124" s="10" t="str">
        <f t="shared" si="44"/>
        <v>NA</v>
      </c>
      <c r="AG124" s="9">
        <f t="shared" si="45"/>
        <v>0</v>
      </c>
      <c r="AH124" s="8">
        <f>IFERROR(AG124/AG148, "NA")</f>
        <v>0</v>
      </c>
      <c r="AI124" s="10">
        <f t="shared" si="46"/>
        <v>0</v>
      </c>
      <c r="AJ124" s="11">
        <f>IFERROR(AI124/AI148, "NA")</f>
        <v>0</v>
      </c>
      <c r="AK124" s="10" t="str">
        <f t="shared" si="47"/>
        <v>NA</v>
      </c>
      <c r="AL124" s="11" t="str">
        <f>IFERROR(AK124/AK148, "NA")</f>
        <v>NA</v>
      </c>
    </row>
    <row r="125" spans="1:38" ht="16.5" hidden="1" customHeight="1" x14ac:dyDescent="0.3">
      <c r="A125" s="6" t="s">
        <v>130</v>
      </c>
      <c r="B125" s="7">
        <v>0</v>
      </c>
      <c r="C125" s="8">
        <f>IFERROR(B125/B148, "NA")</f>
        <v>0</v>
      </c>
      <c r="D125" s="7">
        <v>0</v>
      </c>
      <c r="E125" s="8">
        <f>IFERROR(D125/D148, "NA")</f>
        <v>0</v>
      </c>
      <c r="F125" s="7">
        <v>0</v>
      </c>
      <c r="G125" s="8">
        <f>IFERROR(F125/F148, "NA")</f>
        <v>0</v>
      </c>
      <c r="H125" s="7">
        <v>0</v>
      </c>
      <c r="I125" s="8">
        <f>IFERROR(H125/H148, "NA")</f>
        <v>0</v>
      </c>
      <c r="J125" s="7">
        <v>0</v>
      </c>
      <c r="K125" s="8">
        <f>IFERROR(J125/J148, "NA")</f>
        <v>0</v>
      </c>
      <c r="L125" s="7">
        <v>0</v>
      </c>
      <c r="M125" s="8">
        <f>IFERROR(L125/L148, "NA")</f>
        <v>0</v>
      </c>
      <c r="N125" s="7">
        <v>0</v>
      </c>
      <c r="O125" s="8">
        <f>IFERROR(N125/N148, "NA")</f>
        <v>0</v>
      </c>
      <c r="P125" s="7">
        <v>0</v>
      </c>
      <c r="Q125" s="8">
        <f>IFERROR(P125/P148, "NA")</f>
        <v>0</v>
      </c>
      <c r="R125" s="7">
        <v>0</v>
      </c>
      <c r="S125" s="8">
        <f>IFERROR(R125/R148, "NA")</f>
        <v>0</v>
      </c>
      <c r="T125" s="7">
        <v>0</v>
      </c>
      <c r="U125" s="8">
        <f>IFERROR(T125/T148, "NA")</f>
        <v>0</v>
      </c>
      <c r="V125" s="7">
        <v>0</v>
      </c>
      <c r="W125" s="8">
        <f>IFERROR(V125/V148, "NA")</f>
        <v>0</v>
      </c>
      <c r="X125" s="7">
        <v>0</v>
      </c>
      <c r="Y125" s="8">
        <f>IFERROR(X125/X148, "NA")</f>
        <v>0</v>
      </c>
      <c r="Z125" s="7">
        <v>0</v>
      </c>
      <c r="AA125" s="8">
        <f>IFERROR(Z125/Z148, "NA")</f>
        <v>0</v>
      </c>
      <c r="AB125" s="9">
        <f t="shared" si="42"/>
        <v>0</v>
      </c>
      <c r="AC125" s="8">
        <f>IFERROR(AB125/AB148, "NA")</f>
        <v>0</v>
      </c>
      <c r="AD125" s="10">
        <f t="shared" si="43"/>
        <v>0</v>
      </c>
      <c r="AE125" s="11">
        <f>IFERROR(AD125/AD148, "NA")</f>
        <v>0</v>
      </c>
      <c r="AF125" s="10" t="str">
        <f t="shared" si="44"/>
        <v>NA</v>
      </c>
      <c r="AG125" s="9">
        <f t="shared" si="45"/>
        <v>0</v>
      </c>
      <c r="AH125" s="8">
        <f>IFERROR(AG125/AG148, "NA")</f>
        <v>0</v>
      </c>
      <c r="AI125" s="10">
        <f t="shared" si="46"/>
        <v>0</v>
      </c>
      <c r="AJ125" s="11">
        <f>IFERROR(AI125/AI148, "NA")</f>
        <v>0</v>
      </c>
      <c r="AK125" s="10" t="str">
        <f t="shared" si="47"/>
        <v>NA</v>
      </c>
      <c r="AL125" s="11" t="str">
        <f>IFERROR(AK125/AK148, "NA")</f>
        <v>NA</v>
      </c>
    </row>
    <row r="126" spans="1:38" ht="16.5" hidden="1" customHeight="1" x14ac:dyDescent="0.3">
      <c r="A126" s="6" t="s">
        <v>131</v>
      </c>
      <c r="B126" s="7">
        <v>0</v>
      </c>
      <c r="C126" s="8">
        <f>IFERROR(B126/B148, "NA")</f>
        <v>0</v>
      </c>
      <c r="D126" s="7">
        <v>0</v>
      </c>
      <c r="E126" s="8">
        <f>IFERROR(D126/D148, "NA")</f>
        <v>0</v>
      </c>
      <c r="F126" s="7">
        <v>0</v>
      </c>
      <c r="G126" s="8">
        <f>IFERROR(F126/F148, "NA")</f>
        <v>0</v>
      </c>
      <c r="H126" s="7">
        <v>0</v>
      </c>
      <c r="I126" s="8">
        <f>IFERROR(H126/H148, "NA")</f>
        <v>0</v>
      </c>
      <c r="J126" s="7">
        <v>0</v>
      </c>
      <c r="K126" s="8">
        <f>IFERROR(J126/J148, "NA")</f>
        <v>0</v>
      </c>
      <c r="L126" s="7">
        <v>0</v>
      </c>
      <c r="M126" s="8">
        <f>IFERROR(L126/L148, "NA")</f>
        <v>0</v>
      </c>
      <c r="N126" s="7">
        <v>0</v>
      </c>
      <c r="O126" s="8">
        <f>IFERROR(N126/N148, "NA")</f>
        <v>0</v>
      </c>
      <c r="P126" s="7">
        <v>0</v>
      </c>
      <c r="Q126" s="8">
        <f>IFERROR(P126/P148, "NA")</f>
        <v>0</v>
      </c>
      <c r="R126" s="7">
        <v>0</v>
      </c>
      <c r="S126" s="8">
        <f>IFERROR(R126/R148, "NA")</f>
        <v>0</v>
      </c>
      <c r="T126" s="7">
        <v>0</v>
      </c>
      <c r="U126" s="8">
        <f>IFERROR(T126/T148, "NA")</f>
        <v>0</v>
      </c>
      <c r="V126" s="7">
        <v>0</v>
      </c>
      <c r="W126" s="8">
        <f>IFERROR(V126/V148, "NA")</f>
        <v>0</v>
      </c>
      <c r="X126" s="7">
        <v>0</v>
      </c>
      <c r="Y126" s="8">
        <f>IFERROR(X126/X148, "NA")</f>
        <v>0</v>
      </c>
      <c r="Z126" s="7">
        <v>0</v>
      </c>
      <c r="AA126" s="8">
        <f>IFERROR(Z126/Z148, "NA")</f>
        <v>0</v>
      </c>
      <c r="AB126" s="9">
        <f t="shared" si="42"/>
        <v>0</v>
      </c>
      <c r="AC126" s="8">
        <f>IFERROR(AB126/AB148, "NA")</f>
        <v>0</v>
      </c>
      <c r="AD126" s="10">
        <f t="shared" si="43"/>
        <v>0</v>
      </c>
      <c r="AE126" s="11">
        <f>IFERROR(AD126/AD148, "NA")</f>
        <v>0</v>
      </c>
      <c r="AF126" s="10" t="str">
        <f t="shared" si="44"/>
        <v>NA</v>
      </c>
      <c r="AG126" s="9">
        <f t="shared" si="45"/>
        <v>0</v>
      </c>
      <c r="AH126" s="8">
        <f>IFERROR(AG126/AG148, "NA")</f>
        <v>0</v>
      </c>
      <c r="AI126" s="10">
        <f t="shared" si="46"/>
        <v>0</v>
      </c>
      <c r="AJ126" s="11">
        <f>IFERROR(AI126/AI148, "NA")</f>
        <v>0</v>
      </c>
      <c r="AK126" s="10" t="str">
        <f t="shared" si="47"/>
        <v>NA</v>
      </c>
      <c r="AL126" s="11" t="str">
        <f>IFERROR(AK126/AK148, "NA")</f>
        <v>NA</v>
      </c>
    </row>
    <row r="127" spans="1:38" ht="16.5" hidden="1" customHeight="1" x14ac:dyDescent="0.3">
      <c r="A127" s="6" t="s">
        <v>132</v>
      </c>
      <c r="B127" s="7">
        <v>0</v>
      </c>
      <c r="C127" s="8">
        <f>IFERROR(B127/B148, "NA")</f>
        <v>0</v>
      </c>
      <c r="D127" s="7">
        <v>0</v>
      </c>
      <c r="E127" s="8">
        <f>IFERROR(D127/D148, "NA")</f>
        <v>0</v>
      </c>
      <c r="F127" s="7">
        <v>0</v>
      </c>
      <c r="G127" s="8">
        <f>IFERROR(F127/F148, "NA")</f>
        <v>0</v>
      </c>
      <c r="H127" s="7">
        <v>0</v>
      </c>
      <c r="I127" s="8">
        <f>IFERROR(H127/H148, "NA")</f>
        <v>0</v>
      </c>
      <c r="J127" s="7">
        <v>0</v>
      </c>
      <c r="K127" s="8">
        <f>IFERROR(J127/J148, "NA")</f>
        <v>0</v>
      </c>
      <c r="L127" s="7">
        <v>0</v>
      </c>
      <c r="M127" s="8">
        <f>IFERROR(L127/L148, "NA")</f>
        <v>0</v>
      </c>
      <c r="N127" s="7">
        <v>0</v>
      </c>
      <c r="O127" s="8">
        <f>IFERROR(N127/N148, "NA")</f>
        <v>0</v>
      </c>
      <c r="P127" s="7">
        <v>0</v>
      </c>
      <c r="Q127" s="8">
        <f>IFERROR(P127/P148, "NA")</f>
        <v>0</v>
      </c>
      <c r="R127" s="7">
        <v>0</v>
      </c>
      <c r="S127" s="8">
        <f>IFERROR(R127/R148, "NA")</f>
        <v>0</v>
      </c>
      <c r="T127" s="7">
        <v>0</v>
      </c>
      <c r="U127" s="8">
        <f>IFERROR(T127/T148, "NA")</f>
        <v>0</v>
      </c>
      <c r="V127" s="7">
        <v>0</v>
      </c>
      <c r="W127" s="8">
        <f>IFERROR(V127/V148, "NA")</f>
        <v>0</v>
      </c>
      <c r="X127" s="7">
        <v>0</v>
      </c>
      <c r="Y127" s="8">
        <f>IFERROR(X127/X148, "NA")</f>
        <v>0</v>
      </c>
      <c r="Z127" s="7">
        <v>0</v>
      </c>
      <c r="AA127" s="8">
        <f>IFERROR(Z127/Z148, "NA")</f>
        <v>0</v>
      </c>
      <c r="AB127" s="9">
        <f t="shared" si="42"/>
        <v>0</v>
      </c>
      <c r="AC127" s="8">
        <f>IFERROR(AB127/AB148, "NA")</f>
        <v>0</v>
      </c>
      <c r="AD127" s="10">
        <f t="shared" si="43"/>
        <v>0</v>
      </c>
      <c r="AE127" s="11">
        <f>IFERROR(AD127/AD148, "NA")</f>
        <v>0</v>
      </c>
      <c r="AF127" s="10" t="str">
        <f t="shared" si="44"/>
        <v>NA</v>
      </c>
      <c r="AG127" s="9">
        <f t="shared" si="45"/>
        <v>0</v>
      </c>
      <c r="AH127" s="8">
        <f>IFERROR(AG127/AG148, "NA")</f>
        <v>0</v>
      </c>
      <c r="AI127" s="10">
        <f t="shared" si="46"/>
        <v>0</v>
      </c>
      <c r="AJ127" s="11">
        <f>IFERROR(AI127/AI148, "NA")</f>
        <v>0</v>
      </c>
      <c r="AK127" s="10" t="str">
        <f t="shared" si="47"/>
        <v>NA</v>
      </c>
      <c r="AL127" s="11" t="str">
        <f>IFERROR(AK127/AK148, "NA")</f>
        <v>NA</v>
      </c>
    </row>
    <row r="128" spans="1:38" ht="16.5" hidden="1" customHeight="1" x14ac:dyDescent="0.3">
      <c r="A128" s="6" t="s">
        <v>133</v>
      </c>
      <c r="B128" s="7">
        <v>2063.63</v>
      </c>
      <c r="C128" s="8">
        <f>IFERROR(B128/B148, "NA")</f>
        <v>1.7224011472046486E-2</v>
      </c>
      <c r="D128" s="7">
        <v>2055.75</v>
      </c>
      <c r="E128" s="8">
        <f>IFERROR(D128/D148, "NA")</f>
        <v>1.6390073136839552E-2</v>
      </c>
      <c r="F128" s="7">
        <v>2210.92</v>
      </c>
      <c r="G128" s="8">
        <f>IFERROR(F128/F148, "NA")</f>
        <v>1.6506619087657874E-2</v>
      </c>
      <c r="H128" s="7">
        <v>-6330.3</v>
      </c>
      <c r="I128" s="8">
        <f>IFERROR(H128/H148, "NA")</f>
        <v>-4.9453251080771851E-2</v>
      </c>
      <c r="J128" s="7">
        <v>2037.8000000000002</v>
      </c>
      <c r="K128" s="8">
        <f>IFERROR(J128/J148, "NA")</f>
        <v>1.7602861376300512E-2</v>
      </c>
      <c r="L128" s="7">
        <v>2151.5099999999998</v>
      </c>
      <c r="M128" s="8">
        <f>IFERROR(L128/L148, "NA")</f>
        <v>1.5914611387189928E-2</v>
      </c>
      <c r="N128" s="7">
        <v>2074.5100000000002</v>
      </c>
      <c r="O128" s="8">
        <f>IFERROR(N128/N148, "NA")</f>
        <v>1.6366696170495579E-2</v>
      </c>
      <c r="P128" s="7">
        <v>2026.8800000000003</v>
      </c>
      <c r="Q128" s="8">
        <f>IFERROR(P128/P148, "NA")</f>
        <v>1.4825177259859787E-2</v>
      </c>
      <c r="R128" s="7">
        <v>-8290.7000000000007</v>
      </c>
      <c r="S128" s="8">
        <f>IFERROR(R128/R148, "NA")</f>
        <v>-5.538487602150248E-2</v>
      </c>
      <c r="T128" s="7">
        <v>1635.1200000000003</v>
      </c>
      <c r="U128" s="8">
        <f>IFERROR(T128/T148, "NA")</f>
        <v>1.3283149729267035E-2</v>
      </c>
      <c r="V128" s="7">
        <v>1761.7100000000005</v>
      </c>
      <c r="W128" s="8">
        <f>IFERROR(V128/V148, "NA")</f>
        <v>1.0594171044046415E-2</v>
      </c>
      <c r="X128" s="7">
        <v>1826.3899999999999</v>
      </c>
      <c r="Y128" s="8">
        <f>IFERROR(X128/X148, "NA")</f>
        <v>1.100637733387369E-2</v>
      </c>
      <c r="Z128" s="7">
        <v>5223.22</v>
      </c>
      <c r="AA128" s="8">
        <f>IFERROR(Z128/Z148, "NA")</f>
        <v>1.1471358631749232E-2</v>
      </c>
      <c r="AB128" s="9">
        <f t="shared" si="42"/>
        <v>-766.86999999999978</v>
      </c>
      <c r="AC128" s="8">
        <f>IFERROR(AB128/AB148, "NA")</f>
        <v>-5.070051042152272E-3</v>
      </c>
      <c r="AD128" s="10">
        <f t="shared" si="43"/>
        <v>2593.2599999999998</v>
      </c>
      <c r="AE128" s="11">
        <f>IFERROR(AD128/AD148, "NA")</f>
        <v>0.17660010776770199</v>
      </c>
      <c r="AF128" s="10">
        <f t="shared" si="44"/>
        <v>-3.3816161800565943</v>
      </c>
      <c r="AG128" s="9">
        <f t="shared" si="45"/>
        <v>652.90250000000015</v>
      </c>
      <c r="AH128" s="8">
        <f>IFERROR(AG128/AG148, "NA")</f>
        <v>4.665895737961041E-3</v>
      </c>
      <c r="AI128" s="10">
        <f t="shared" si="46"/>
        <v>1173.4874999999997</v>
      </c>
      <c r="AJ128" s="11">
        <f>IFERROR(AI128/AI148, "NA")</f>
        <v>4.5119462113378139E-2</v>
      </c>
      <c r="AK128" s="10">
        <f t="shared" si="47"/>
        <v>1.7973395721413219</v>
      </c>
      <c r="AL128" s="11">
        <f>IFERROR(AK128/AK148, "NA")</f>
        <v>9.6700536504261851</v>
      </c>
    </row>
    <row r="129" spans="1:38" ht="16.5" hidden="1" customHeight="1" x14ac:dyDescent="0.3">
      <c r="A129" s="6" t="s">
        <v>134</v>
      </c>
      <c r="B129" s="7">
        <v>0</v>
      </c>
      <c r="C129" s="8">
        <f>IFERROR(B129/B148, "NA")</f>
        <v>0</v>
      </c>
      <c r="D129" s="7">
        <v>0</v>
      </c>
      <c r="E129" s="8">
        <f>IFERROR(D129/D148, "NA")</f>
        <v>0</v>
      </c>
      <c r="F129" s="7">
        <v>0</v>
      </c>
      <c r="G129" s="8">
        <f>IFERROR(F129/F148, "NA")</f>
        <v>0</v>
      </c>
      <c r="H129" s="7">
        <v>0</v>
      </c>
      <c r="I129" s="8">
        <f>IFERROR(H129/H148, "NA")</f>
        <v>0</v>
      </c>
      <c r="J129" s="7">
        <v>0</v>
      </c>
      <c r="K129" s="8">
        <f>IFERROR(J129/J148, "NA")</f>
        <v>0</v>
      </c>
      <c r="L129" s="7">
        <v>0</v>
      </c>
      <c r="M129" s="8">
        <f>IFERROR(L129/L148, "NA")</f>
        <v>0</v>
      </c>
      <c r="N129" s="7">
        <v>0</v>
      </c>
      <c r="O129" s="8">
        <f>IFERROR(N129/N148, "NA")</f>
        <v>0</v>
      </c>
      <c r="P129" s="7">
        <v>0</v>
      </c>
      <c r="Q129" s="8">
        <f>IFERROR(P129/P148, "NA")</f>
        <v>0</v>
      </c>
      <c r="R129" s="7">
        <v>0</v>
      </c>
      <c r="S129" s="8">
        <f>IFERROR(R129/R148, "NA")</f>
        <v>0</v>
      </c>
      <c r="T129" s="7">
        <v>0</v>
      </c>
      <c r="U129" s="8">
        <f>IFERROR(T129/T148, "NA")</f>
        <v>0</v>
      </c>
      <c r="V129" s="7">
        <v>0</v>
      </c>
      <c r="W129" s="8">
        <f>IFERROR(V129/V148, "NA")</f>
        <v>0</v>
      </c>
      <c r="X129" s="7">
        <v>0</v>
      </c>
      <c r="Y129" s="8">
        <f>IFERROR(X129/X148, "NA")</f>
        <v>0</v>
      </c>
      <c r="Z129" s="7">
        <v>0</v>
      </c>
      <c r="AA129" s="8">
        <f>IFERROR(Z129/Z148, "NA")</f>
        <v>0</v>
      </c>
      <c r="AB129" s="9">
        <f t="shared" si="42"/>
        <v>0</v>
      </c>
      <c r="AC129" s="8">
        <f>IFERROR(AB129/AB148, "NA")</f>
        <v>0</v>
      </c>
      <c r="AD129" s="10">
        <f t="shared" si="43"/>
        <v>0</v>
      </c>
      <c r="AE129" s="11">
        <f>IFERROR(AD129/AD148, "NA")</f>
        <v>0</v>
      </c>
      <c r="AF129" s="10" t="str">
        <f t="shared" si="44"/>
        <v>NA</v>
      </c>
      <c r="AG129" s="9">
        <f t="shared" si="45"/>
        <v>0</v>
      </c>
      <c r="AH129" s="8">
        <f>IFERROR(AG129/AG148, "NA")</f>
        <v>0</v>
      </c>
      <c r="AI129" s="10">
        <f t="shared" si="46"/>
        <v>0</v>
      </c>
      <c r="AJ129" s="11">
        <f>IFERROR(AI129/AI148, "NA")</f>
        <v>0</v>
      </c>
      <c r="AK129" s="10" t="str">
        <f t="shared" si="47"/>
        <v>NA</v>
      </c>
      <c r="AL129" s="11" t="str">
        <f>IFERROR(AK129/AK148, "NA")</f>
        <v>NA</v>
      </c>
    </row>
    <row r="130" spans="1:38" ht="16.5" hidden="1" customHeight="1" x14ac:dyDescent="0.3">
      <c r="A130" s="6" t="s">
        <v>135</v>
      </c>
      <c r="B130" s="7">
        <v>0</v>
      </c>
      <c r="C130" s="8">
        <f>IFERROR(B130/B148, "NA")</f>
        <v>0</v>
      </c>
      <c r="D130" s="7">
        <v>0</v>
      </c>
      <c r="E130" s="8">
        <f>IFERROR(D130/D148, "NA")</f>
        <v>0</v>
      </c>
      <c r="F130" s="7">
        <v>0</v>
      </c>
      <c r="G130" s="8">
        <f>IFERROR(F130/F148, "NA")</f>
        <v>0</v>
      </c>
      <c r="H130" s="7">
        <v>0</v>
      </c>
      <c r="I130" s="8">
        <f>IFERROR(H130/H148, "NA")</f>
        <v>0</v>
      </c>
      <c r="J130" s="7">
        <v>0</v>
      </c>
      <c r="K130" s="8">
        <f>IFERROR(J130/J148, "NA")</f>
        <v>0</v>
      </c>
      <c r="L130" s="7">
        <v>0</v>
      </c>
      <c r="M130" s="8">
        <f>IFERROR(L130/L148, "NA")</f>
        <v>0</v>
      </c>
      <c r="N130" s="7">
        <v>0</v>
      </c>
      <c r="O130" s="8">
        <f>IFERROR(N130/N148, "NA")</f>
        <v>0</v>
      </c>
      <c r="P130" s="7">
        <v>0</v>
      </c>
      <c r="Q130" s="8">
        <f>IFERROR(P130/P148, "NA")</f>
        <v>0</v>
      </c>
      <c r="R130" s="7">
        <v>0</v>
      </c>
      <c r="S130" s="8">
        <f>IFERROR(R130/R148, "NA")</f>
        <v>0</v>
      </c>
      <c r="T130" s="7">
        <v>0</v>
      </c>
      <c r="U130" s="8">
        <f>IFERROR(T130/T148, "NA")</f>
        <v>0</v>
      </c>
      <c r="V130" s="7">
        <v>0</v>
      </c>
      <c r="W130" s="8">
        <f>IFERROR(V130/V148, "NA")</f>
        <v>0</v>
      </c>
      <c r="X130" s="7">
        <v>0</v>
      </c>
      <c r="Y130" s="8">
        <f>IFERROR(X130/X148, "NA")</f>
        <v>0</v>
      </c>
      <c r="Z130" s="7">
        <v>0</v>
      </c>
      <c r="AA130" s="8">
        <f>IFERROR(Z130/Z148, "NA")</f>
        <v>0</v>
      </c>
      <c r="AB130" s="9">
        <f t="shared" si="42"/>
        <v>0</v>
      </c>
      <c r="AC130" s="8">
        <f>IFERROR(AB130/AB148, "NA")</f>
        <v>0</v>
      </c>
      <c r="AD130" s="10">
        <f t="shared" si="43"/>
        <v>0</v>
      </c>
      <c r="AE130" s="11">
        <f>IFERROR(AD130/AD148, "NA")</f>
        <v>0</v>
      </c>
      <c r="AF130" s="10" t="str">
        <f t="shared" si="44"/>
        <v>NA</v>
      </c>
      <c r="AG130" s="9">
        <f t="shared" si="45"/>
        <v>0</v>
      </c>
      <c r="AH130" s="8">
        <f>IFERROR(AG130/AG148, "NA")</f>
        <v>0</v>
      </c>
      <c r="AI130" s="10">
        <f t="shared" si="46"/>
        <v>0</v>
      </c>
      <c r="AJ130" s="11">
        <f>IFERROR(AI130/AI148, "NA")</f>
        <v>0</v>
      </c>
      <c r="AK130" s="10" t="str">
        <f t="shared" si="47"/>
        <v>NA</v>
      </c>
      <c r="AL130" s="11" t="str">
        <f>IFERROR(AK130/AK148, "NA")</f>
        <v>NA</v>
      </c>
    </row>
    <row r="131" spans="1:38" ht="16.5" hidden="1" customHeight="1" x14ac:dyDescent="0.3">
      <c r="A131" s="6" t="s">
        <v>136</v>
      </c>
      <c r="B131" s="7">
        <v>0</v>
      </c>
      <c r="C131" s="8">
        <f>IFERROR(B131/B148, "NA")</f>
        <v>0</v>
      </c>
      <c r="D131" s="7">
        <v>0</v>
      </c>
      <c r="E131" s="8">
        <f>IFERROR(D131/D148, "NA")</f>
        <v>0</v>
      </c>
      <c r="F131" s="7">
        <v>0</v>
      </c>
      <c r="G131" s="8">
        <f>IFERROR(F131/F148, "NA")</f>
        <v>0</v>
      </c>
      <c r="H131" s="7">
        <v>0</v>
      </c>
      <c r="I131" s="8">
        <f>IFERROR(H131/H148, "NA")</f>
        <v>0</v>
      </c>
      <c r="J131" s="7">
        <v>0</v>
      </c>
      <c r="K131" s="8">
        <f>IFERROR(J131/J148, "NA")</f>
        <v>0</v>
      </c>
      <c r="L131" s="7">
        <v>0</v>
      </c>
      <c r="M131" s="8">
        <f>IFERROR(L131/L148, "NA")</f>
        <v>0</v>
      </c>
      <c r="N131" s="7">
        <v>0</v>
      </c>
      <c r="O131" s="8">
        <f>IFERROR(N131/N148, "NA")</f>
        <v>0</v>
      </c>
      <c r="P131" s="7">
        <v>0</v>
      </c>
      <c r="Q131" s="8">
        <f>IFERROR(P131/P148, "NA")</f>
        <v>0</v>
      </c>
      <c r="R131" s="7">
        <v>0</v>
      </c>
      <c r="S131" s="8">
        <f>IFERROR(R131/R148, "NA")</f>
        <v>0</v>
      </c>
      <c r="T131" s="7">
        <v>0</v>
      </c>
      <c r="U131" s="8">
        <f>IFERROR(T131/T148, "NA")</f>
        <v>0</v>
      </c>
      <c r="V131" s="7">
        <v>0</v>
      </c>
      <c r="W131" s="8">
        <f>IFERROR(V131/V148, "NA")</f>
        <v>0</v>
      </c>
      <c r="X131" s="7">
        <v>0</v>
      </c>
      <c r="Y131" s="8">
        <f>IFERROR(X131/X148, "NA")</f>
        <v>0</v>
      </c>
      <c r="Z131" s="7">
        <v>0</v>
      </c>
      <c r="AA131" s="8">
        <f>IFERROR(Z131/Z148, "NA")</f>
        <v>0</v>
      </c>
      <c r="AB131" s="9">
        <f t="shared" si="42"/>
        <v>0</v>
      </c>
      <c r="AC131" s="8">
        <f>IFERROR(AB131/AB148, "NA")</f>
        <v>0</v>
      </c>
      <c r="AD131" s="10">
        <f t="shared" si="43"/>
        <v>0</v>
      </c>
      <c r="AE131" s="11">
        <f>IFERROR(AD131/AD148, "NA")</f>
        <v>0</v>
      </c>
      <c r="AF131" s="10" t="str">
        <f t="shared" si="44"/>
        <v>NA</v>
      </c>
      <c r="AG131" s="9">
        <f t="shared" si="45"/>
        <v>0</v>
      </c>
      <c r="AH131" s="8">
        <f>IFERROR(AG131/AG148, "NA")</f>
        <v>0</v>
      </c>
      <c r="AI131" s="10">
        <f t="shared" si="46"/>
        <v>0</v>
      </c>
      <c r="AJ131" s="11">
        <f>IFERROR(AI131/AI148, "NA")</f>
        <v>0</v>
      </c>
      <c r="AK131" s="10" t="str">
        <f t="shared" si="47"/>
        <v>NA</v>
      </c>
      <c r="AL131" s="11" t="str">
        <f>IFERROR(AK131/AK148, "NA")</f>
        <v>NA</v>
      </c>
    </row>
    <row r="132" spans="1:38" ht="16.5" hidden="1" customHeight="1" x14ac:dyDescent="0.3">
      <c r="A132" s="6" t="s">
        <v>137</v>
      </c>
      <c r="B132" s="7">
        <v>0</v>
      </c>
      <c r="C132" s="8">
        <f>IFERROR(B132/B148, "NA")</f>
        <v>0</v>
      </c>
      <c r="D132" s="7">
        <v>0</v>
      </c>
      <c r="E132" s="8">
        <f>IFERROR(D132/D148, "NA")</f>
        <v>0</v>
      </c>
      <c r="F132" s="7">
        <v>0</v>
      </c>
      <c r="G132" s="8">
        <f>IFERROR(F132/F148, "NA")</f>
        <v>0</v>
      </c>
      <c r="H132" s="7">
        <v>0</v>
      </c>
      <c r="I132" s="8">
        <f>IFERROR(H132/H148, "NA")</f>
        <v>0</v>
      </c>
      <c r="J132" s="7">
        <v>0</v>
      </c>
      <c r="K132" s="8">
        <f>IFERROR(J132/J148, "NA")</f>
        <v>0</v>
      </c>
      <c r="L132" s="7">
        <v>0</v>
      </c>
      <c r="M132" s="8">
        <f>IFERROR(L132/L148, "NA")</f>
        <v>0</v>
      </c>
      <c r="N132" s="7">
        <v>0</v>
      </c>
      <c r="O132" s="8">
        <f>IFERROR(N132/N148, "NA")</f>
        <v>0</v>
      </c>
      <c r="P132" s="7">
        <v>0</v>
      </c>
      <c r="Q132" s="8">
        <f>IFERROR(P132/P148, "NA")</f>
        <v>0</v>
      </c>
      <c r="R132" s="7">
        <v>0</v>
      </c>
      <c r="S132" s="8">
        <f>IFERROR(R132/R148, "NA")</f>
        <v>0</v>
      </c>
      <c r="T132" s="7">
        <v>0</v>
      </c>
      <c r="U132" s="8">
        <f>IFERROR(T132/T148, "NA")</f>
        <v>0</v>
      </c>
      <c r="V132" s="7">
        <v>0</v>
      </c>
      <c r="W132" s="8">
        <f>IFERROR(V132/V148, "NA")</f>
        <v>0</v>
      </c>
      <c r="X132" s="7">
        <v>0</v>
      </c>
      <c r="Y132" s="8">
        <f>IFERROR(X132/X148, "NA")</f>
        <v>0</v>
      </c>
      <c r="Z132" s="7">
        <v>0</v>
      </c>
      <c r="AA132" s="8">
        <f>IFERROR(Z132/Z148, "NA")</f>
        <v>0</v>
      </c>
      <c r="AB132" s="9">
        <f t="shared" si="42"/>
        <v>0</v>
      </c>
      <c r="AC132" s="8">
        <f>IFERROR(AB132/AB148, "NA")</f>
        <v>0</v>
      </c>
      <c r="AD132" s="10">
        <f t="shared" si="43"/>
        <v>0</v>
      </c>
      <c r="AE132" s="11">
        <f>IFERROR(AD132/AD148, "NA")</f>
        <v>0</v>
      </c>
      <c r="AF132" s="10" t="str">
        <f t="shared" si="44"/>
        <v>NA</v>
      </c>
      <c r="AG132" s="9">
        <f t="shared" si="45"/>
        <v>0</v>
      </c>
      <c r="AH132" s="8">
        <f>IFERROR(AG132/AG148, "NA")</f>
        <v>0</v>
      </c>
      <c r="AI132" s="10">
        <f t="shared" si="46"/>
        <v>0</v>
      </c>
      <c r="AJ132" s="11">
        <f>IFERROR(AI132/AI148, "NA")</f>
        <v>0</v>
      </c>
      <c r="AK132" s="10" t="str">
        <f t="shared" si="47"/>
        <v>NA</v>
      </c>
      <c r="AL132" s="11" t="str">
        <f>IFERROR(AK132/AK148, "NA")</f>
        <v>NA</v>
      </c>
    </row>
    <row r="133" spans="1:38" ht="16.5" hidden="1" customHeight="1" x14ac:dyDescent="0.3">
      <c r="A133" s="6" t="s">
        <v>138</v>
      </c>
      <c r="B133" s="7">
        <v>0</v>
      </c>
      <c r="C133" s="8">
        <f>IFERROR(B133/B148, "NA")</f>
        <v>0</v>
      </c>
      <c r="D133" s="7">
        <v>0</v>
      </c>
      <c r="E133" s="8">
        <f>IFERROR(D133/D148, "NA")</f>
        <v>0</v>
      </c>
      <c r="F133" s="7">
        <v>0</v>
      </c>
      <c r="G133" s="8">
        <f>IFERROR(F133/F148, "NA")</f>
        <v>0</v>
      </c>
      <c r="H133" s="7">
        <v>0</v>
      </c>
      <c r="I133" s="8">
        <f>IFERROR(H133/H148, "NA")</f>
        <v>0</v>
      </c>
      <c r="J133" s="7">
        <v>0</v>
      </c>
      <c r="K133" s="8">
        <f>IFERROR(J133/J148, "NA")</f>
        <v>0</v>
      </c>
      <c r="L133" s="7">
        <v>0</v>
      </c>
      <c r="M133" s="8">
        <f>IFERROR(L133/L148, "NA")</f>
        <v>0</v>
      </c>
      <c r="N133" s="7">
        <v>0</v>
      </c>
      <c r="O133" s="8">
        <f>IFERROR(N133/N148, "NA")</f>
        <v>0</v>
      </c>
      <c r="P133" s="7">
        <v>0</v>
      </c>
      <c r="Q133" s="8">
        <f>IFERROR(P133/P148, "NA")</f>
        <v>0</v>
      </c>
      <c r="R133" s="7">
        <v>0</v>
      </c>
      <c r="S133" s="8">
        <f>IFERROR(R133/R148, "NA")</f>
        <v>0</v>
      </c>
      <c r="T133" s="7">
        <v>0</v>
      </c>
      <c r="U133" s="8">
        <f>IFERROR(T133/T148, "NA")</f>
        <v>0</v>
      </c>
      <c r="V133" s="7">
        <v>0</v>
      </c>
      <c r="W133" s="8">
        <f>IFERROR(V133/V148, "NA")</f>
        <v>0</v>
      </c>
      <c r="X133" s="7">
        <v>0</v>
      </c>
      <c r="Y133" s="8">
        <f>IFERROR(X133/X148, "NA")</f>
        <v>0</v>
      </c>
      <c r="Z133" s="7">
        <v>0</v>
      </c>
      <c r="AA133" s="8">
        <f>IFERROR(Z133/Z148, "NA")</f>
        <v>0</v>
      </c>
      <c r="AB133" s="9">
        <f t="shared" si="42"/>
        <v>0</v>
      </c>
      <c r="AC133" s="8">
        <f>IFERROR(AB133/AB148, "NA")</f>
        <v>0</v>
      </c>
      <c r="AD133" s="10">
        <f t="shared" si="43"/>
        <v>0</v>
      </c>
      <c r="AE133" s="11">
        <f>IFERROR(AD133/AD148, "NA")</f>
        <v>0</v>
      </c>
      <c r="AF133" s="10" t="str">
        <f t="shared" si="44"/>
        <v>NA</v>
      </c>
      <c r="AG133" s="9">
        <f t="shared" si="45"/>
        <v>0</v>
      </c>
      <c r="AH133" s="8">
        <f>IFERROR(AG133/AG148, "NA")</f>
        <v>0</v>
      </c>
      <c r="AI133" s="10">
        <f t="shared" si="46"/>
        <v>0</v>
      </c>
      <c r="AJ133" s="11">
        <f>IFERROR(AI133/AI148, "NA")</f>
        <v>0</v>
      </c>
      <c r="AK133" s="10" t="str">
        <f t="shared" si="47"/>
        <v>NA</v>
      </c>
      <c r="AL133" s="11" t="str">
        <f>IFERROR(AK133/AK148, "NA")</f>
        <v>NA</v>
      </c>
    </row>
    <row r="134" spans="1:38" ht="16.5" hidden="1" customHeight="1" x14ac:dyDescent="0.3">
      <c r="A134" s="6" t="s">
        <v>139</v>
      </c>
      <c r="B134" s="7">
        <v>0</v>
      </c>
      <c r="C134" s="8">
        <f>IFERROR(B134/B148, "NA")</f>
        <v>0</v>
      </c>
      <c r="D134" s="7">
        <v>0</v>
      </c>
      <c r="E134" s="8">
        <f>IFERROR(D134/D148, "NA")</f>
        <v>0</v>
      </c>
      <c r="F134" s="7">
        <v>0</v>
      </c>
      <c r="G134" s="8">
        <f>IFERROR(F134/F148, "NA")</f>
        <v>0</v>
      </c>
      <c r="H134" s="7">
        <v>0</v>
      </c>
      <c r="I134" s="8">
        <f>IFERROR(H134/H148, "NA")</f>
        <v>0</v>
      </c>
      <c r="J134" s="7">
        <v>0</v>
      </c>
      <c r="K134" s="8">
        <f>IFERROR(J134/J148, "NA")</f>
        <v>0</v>
      </c>
      <c r="L134" s="7">
        <v>0</v>
      </c>
      <c r="M134" s="8">
        <f>IFERROR(L134/L148, "NA")</f>
        <v>0</v>
      </c>
      <c r="N134" s="7">
        <v>0</v>
      </c>
      <c r="O134" s="8">
        <f>IFERROR(N134/N148, "NA")</f>
        <v>0</v>
      </c>
      <c r="P134" s="7">
        <v>0</v>
      </c>
      <c r="Q134" s="8">
        <f>IFERROR(P134/P148, "NA")</f>
        <v>0</v>
      </c>
      <c r="R134" s="7">
        <v>0</v>
      </c>
      <c r="S134" s="8">
        <f>IFERROR(R134/R148, "NA")</f>
        <v>0</v>
      </c>
      <c r="T134" s="7">
        <v>0</v>
      </c>
      <c r="U134" s="8">
        <f>IFERROR(T134/T148, "NA")</f>
        <v>0</v>
      </c>
      <c r="V134" s="7">
        <v>0</v>
      </c>
      <c r="W134" s="8">
        <f>IFERROR(V134/V148, "NA")</f>
        <v>0</v>
      </c>
      <c r="X134" s="7">
        <v>0</v>
      </c>
      <c r="Y134" s="8">
        <f>IFERROR(X134/X148, "NA")</f>
        <v>0</v>
      </c>
      <c r="Z134" s="7">
        <v>0</v>
      </c>
      <c r="AA134" s="8">
        <f>IFERROR(Z134/Z148, "NA")</f>
        <v>0</v>
      </c>
      <c r="AB134" s="9">
        <f t="shared" si="42"/>
        <v>0</v>
      </c>
      <c r="AC134" s="8">
        <f>IFERROR(AB134/AB148, "NA")</f>
        <v>0</v>
      </c>
      <c r="AD134" s="10">
        <f t="shared" si="43"/>
        <v>0</v>
      </c>
      <c r="AE134" s="11">
        <f>IFERROR(AD134/AD148, "NA")</f>
        <v>0</v>
      </c>
      <c r="AF134" s="10" t="str">
        <f t="shared" si="44"/>
        <v>NA</v>
      </c>
      <c r="AG134" s="9">
        <f t="shared" si="45"/>
        <v>0</v>
      </c>
      <c r="AH134" s="8">
        <f>IFERROR(AG134/AG148, "NA")</f>
        <v>0</v>
      </c>
      <c r="AI134" s="10">
        <f t="shared" si="46"/>
        <v>0</v>
      </c>
      <c r="AJ134" s="11">
        <f>IFERROR(AI134/AI148, "NA")</f>
        <v>0</v>
      </c>
      <c r="AK134" s="10" t="str">
        <f t="shared" si="47"/>
        <v>NA</v>
      </c>
      <c r="AL134" s="11" t="str">
        <f>IFERROR(AK134/AK148, "NA")</f>
        <v>NA</v>
      </c>
    </row>
    <row r="135" spans="1:38" ht="16.5" hidden="1" customHeight="1" x14ac:dyDescent="0.3">
      <c r="A135" s="12" t="s">
        <v>140</v>
      </c>
      <c r="B135" s="13">
        <f>IFERROR(B110+B111+B112+B113+B114+B115+B116+B117+B118+B119+B120+B121+B122+B123+B124+B125+B126+B127+B128+B129+B130+B131+B132+B133+B134, "NA")</f>
        <v>2063.63</v>
      </c>
      <c r="C135" s="14">
        <f>IFERROR(B135/B148, "NA")</f>
        <v>1.7224011472046486E-2</v>
      </c>
      <c r="D135" s="13">
        <f>IFERROR(D110+D111+D112+D113+D114+D115+D116+D117+D118+D119+D120+D121+D122+D123+D124+D125+D126+D127+D128+D129+D130+D131+D132+D133+D134, "NA")</f>
        <v>2055.75</v>
      </c>
      <c r="E135" s="14">
        <f>IFERROR(D135/D148, "NA")</f>
        <v>1.6390073136839552E-2</v>
      </c>
      <c r="F135" s="13">
        <f>IFERROR(F110+F111+F112+F113+F114+F115+F116+F117+F118+F119+F120+F121+F122+F123+F124+F125+F126+F127+F128+F129+F130+F131+F132+F133+F134, "NA")</f>
        <v>2210.92</v>
      </c>
      <c r="G135" s="14">
        <f>IFERROR(F135/F148, "NA")</f>
        <v>1.6506619087657874E-2</v>
      </c>
      <c r="H135" s="13">
        <f>IFERROR(H110+H111+H112+H113+H114+H115+H116+H117+H118+H119+H120+H121+H122+H123+H124+H125+H126+H127+H128+H129+H130+H131+H132+H133+H134, "NA")</f>
        <v>-6330.3</v>
      </c>
      <c r="I135" s="14">
        <f>IFERROR(H135/H148, "NA")</f>
        <v>-4.9453251080771851E-2</v>
      </c>
      <c r="J135" s="13">
        <f>IFERROR(J110+J111+J112+J113+J114+J115+J116+J117+J118+J119+J120+J121+J122+J123+J124+J125+J126+J127+J128+J129+J130+J131+J132+J133+J134, "NA")</f>
        <v>2037.8000000000002</v>
      </c>
      <c r="K135" s="14">
        <f>IFERROR(J135/J148, "NA")</f>
        <v>1.7602861376300512E-2</v>
      </c>
      <c r="L135" s="13">
        <f>IFERROR(L110+L111+L112+L113+L114+L115+L116+L117+L118+L119+L120+L121+L122+L123+L124+L125+L126+L127+L128+L129+L130+L131+L132+L133+L134, "NA")</f>
        <v>2151.5099999999998</v>
      </c>
      <c r="M135" s="14">
        <f>IFERROR(L135/L148, "NA")</f>
        <v>1.5914611387189928E-2</v>
      </c>
      <c r="N135" s="13">
        <f>IFERROR(N110+N111+N112+N113+N114+N115+N116+N117+N118+N119+N120+N121+N122+N123+N124+N125+N126+N127+N128+N129+N130+N131+N132+N133+N134, "NA")</f>
        <v>2074.5100000000002</v>
      </c>
      <c r="O135" s="14">
        <f>IFERROR(N135/N148, "NA")</f>
        <v>1.6366696170495579E-2</v>
      </c>
      <c r="P135" s="13">
        <f>IFERROR(P110+P111+P112+P113+P114+P115+P116+P117+P118+P119+P120+P121+P122+P123+P124+P125+P126+P127+P128+P129+P130+P131+P132+P133+P134, "NA")</f>
        <v>2026.8800000000003</v>
      </c>
      <c r="Q135" s="14">
        <f>IFERROR(P135/P148, "NA")</f>
        <v>1.4825177259859787E-2</v>
      </c>
      <c r="R135" s="13">
        <f>IFERROR(R110+R111+R112+R113+R114+R115+R116+R117+R118+R119+R120+R121+R122+R123+R124+R125+R126+R127+R128+R129+R130+R131+R132+R133+R134, "NA")</f>
        <v>-8290.7000000000007</v>
      </c>
      <c r="S135" s="14">
        <f>IFERROR(R135/R148, "NA")</f>
        <v>-5.538487602150248E-2</v>
      </c>
      <c r="T135" s="13">
        <f>IFERROR(T110+T111+T112+T113+T114+T115+T116+T117+T118+T119+T120+T121+T122+T123+T124+T125+T126+T127+T128+T129+T130+T131+T132+T133+T134, "NA")</f>
        <v>1635.1200000000003</v>
      </c>
      <c r="U135" s="14">
        <f>IFERROR(T135/T148, "NA")</f>
        <v>1.3283149729267035E-2</v>
      </c>
      <c r="V135" s="13">
        <f>IFERROR(V110+V111+V112+V113+V114+V115+V116+V117+V118+V119+V120+V121+V122+V123+V124+V125+V126+V127+V128+V129+V130+V131+V132+V133+V134, "NA")</f>
        <v>1769.1200000000006</v>
      </c>
      <c r="W135" s="14">
        <f>IFERROR(V135/V148, "NA")</f>
        <v>1.063873161726016E-2</v>
      </c>
      <c r="X135" s="13">
        <f>IFERROR(X110+X111+X112+X113+X114+X115+X116+X117+X118+X119+X120+X121+X122+X123+X124+X125+X126+X127+X128+X129+X130+X131+X132+X133+X134, "NA")</f>
        <v>1826.3899999999999</v>
      </c>
      <c r="Y135" s="14">
        <f>IFERROR(X135/X148, "NA")</f>
        <v>1.100637733387369E-2</v>
      </c>
      <c r="Z135" s="13">
        <f>IFERROR(Z110+Z111+Z112+Z113+Z114+Z115+Z116+Z117+Z118+Z119+Z120+Z121+Z122+Z123+Z124+Z125+Z126+Z127+Z128+Z129+Z130+Z131+Z132+Z133+Z134, "NA")</f>
        <v>5230.63</v>
      </c>
      <c r="AA135" s="14">
        <f>IFERROR(Z135/Z148, "NA")</f>
        <v>1.1487632648057421E-2</v>
      </c>
      <c r="AB135" s="13">
        <f t="shared" si="42"/>
        <v>-765.01749999999981</v>
      </c>
      <c r="AC135" s="14">
        <f>IFERROR(AB135/AB148, "NA")</f>
        <v>-5.0578035040355291E-3</v>
      </c>
      <c r="AD135" s="15">
        <f t="shared" si="43"/>
        <v>2591.4074999999998</v>
      </c>
      <c r="AE135" s="16">
        <f>IFERROR(AD135/AD148, "NA")</f>
        <v>0.17647395315935588</v>
      </c>
      <c r="AF135" s="15">
        <f t="shared" si="44"/>
        <v>-3.3873832951533793</v>
      </c>
      <c r="AG135" s="13">
        <f t="shared" si="45"/>
        <v>653.82875000000013</v>
      </c>
      <c r="AH135" s="14">
        <f>IFERROR(AG135/AG148, "NA")</f>
        <v>4.6725150814729529E-3</v>
      </c>
      <c r="AI135" s="15">
        <f t="shared" si="46"/>
        <v>1172.5612499999997</v>
      </c>
      <c r="AJ135" s="16">
        <f>IFERROR(AI135/AI148, "NA")</f>
        <v>4.5083848694587987E-2</v>
      </c>
      <c r="AK135" s="15">
        <f t="shared" si="47"/>
        <v>1.7933767060564398</v>
      </c>
      <c r="AL135" s="16">
        <f>IFERROR(AK135/AK148, "NA")</f>
        <v>9.648732622255304</v>
      </c>
    </row>
    <row r="136" spans="1:38" ht="16.5" hidden="1" customHeight="1" x14ac:dyDescent="0.3">
      <c r="A136" s="35" t="s">
        <v>3</v>
      </c>
      <c r="B136" s="36"/>
      <c r="C136" s="19"/>
      <c r="D136" s="36"/>
      <c r="E136" s="19"/>
      <c r="F136" s="36"/>
      <c r="G136" s="19"/>
      <c r="H136" s="36"/>
      <c r="I136" s="19"/>
      <c r="J136" s="36"/>
      <c r="K136" s="19"/>
      <c r="L136" s="36"/>
      <c r="M136" s="19"/>
      <c r="N136" s="36"/>
      <c r="O136" s="19"/>
      <c r="P136" s="36"/>
      <c r="Q136" s="19"/>
      <c r="R136" s="36"/>
      <c r="S136" s="19"/>
      <c r="T136" s="36"/>
      <c r="U136" s="19"/>
      <c r="V136" s="36"/>
      <c r="W136" s="19"/>
      <c r="X136" s="36"/>
      <c r="Y136" s="19"/>
      <c r="Z136" s="36"/>
      <c r="AA136" s="19"/>
      <c r="AB136" s="36"/>
      <c r="AC136" s="19"/>
      <c r="AD136" s="37"/>
      <c r="AE136" s="21"/>
      <c r="AF136" s="37"/>
      <c r="AG136" s="36"/>
      <c r="AH136" s="19"/>
      <c r="AI136" s="37"/>
      <c r="AJ136" s="21"/>
      <c r="AK136" s="37"/>
      <c r="AL136" s="21"/>
    </row>
    <row r="137" spans="1:38" ht="16.5" hidden="1" customHeight="1" x14ac:dyDescent="0.3">
      <c r="A137" s="32" t="s">
        <v>141</v>
      </c>
      <c r="B137" s="33">
        <f>IFERROR(B107-B135, "NA")</f>
        <v>28887.380000000005</v>
      </c>
      <c r="C137" s="34">
        <f>IFERROR(B137/B148, "NA")</f>
        <v>0.24110744877587856</v>
      </c>
      <c r="D137" s="33">
        <f>IFERROR(D107-D135, "NA")</f>
        <v>26919.669999999984</v>
      </c>
      <c r="E137" s="34">
        <f>IFERROR(D137/D148, "NA")</f>
        <v>0.21462500796282882</v>
      </c>
      <c r="F137" s="33">
        <f>IFERROR(F107-F135, "NA")</f>
        <v>8045.7399999999525</v>
      </c>
      <c r="G137" s="34">
        <f>IFERROR(F137/F148, "NA")</f>
        <v>6.0069095877884178E-2</v>
      </c>
      <c r="H137" s="33">
        <f>IFERROR(H107-H135, "NA")</f>
        <v>-35745.19999999999</v>
      </c>
      <c r="I137" s="34">
        <f>IFERROR(H137/H148, "NA")</f>
        <v>-0.27924685252395709</v>
      </c>
      <c r="J137" s="33">
        <f>IFERROR(J107-J135, "NA")</f>
        <v>34225.209999999948</v>
      </c>
      <c r="K137" s="34">
        <f>IFERROR(J137/J148, "NA")</f>
        <v>0.29564315791774121</v>
      </c>
      <c r="L137" s="33">
        <f>IFERROR(L107-L135, "NA")</f>
        <v>38495.900000000052</v>
      </c>
      <c r="M137" s="34">
        <f>IFERROR(L137/L148, "NA")</f>
        <v>0.28475223842795327</v>
      </c>
      <c r="N137" s="33">
        <f>IFERROR(N107-N135, "NA")</f>
        <v>34092.79</v>
      </c>
      <c r="O137" s="34">
        <f>IFERROR(N137/N148, "NA")</f>
        <v>0.26897259378576621</v>
      </c>
      <c r="P137" s="33">
        <f>IFERROR(P107-P135, "NA")</f>
        <v>10878.54000000005</v>
      </c>
      <c r="Q137" s="34">
        <f>IFERROR(P137/P148, "NA")</f>
        <v>7.9568738074516407E-2</v>
      </c>
      <c r="R137" s="33">
        <f>IFERROR(R107-R135, "NA")</f>
        <v>-42884.879999999946</v>
      </c>
      <c r="S137" s="34">
        <f>IFERROR(R137/R148, "NA")</f>
        <v>-0.28648651645783929</v>
      </c>
      <c r="T137" s="33">
        <f>IFERROR(T107-T135, "NA")</f>
        <v>31702.280000000032</v>
      </c>
      <c r="U137" s="34">
        <f>IFERROR(T137/T148, "NA")</f>
        <v>0.25753836537938996</v>
      </c>
      <c r="V137" s="33">
        <f>IFERROR(V107-V135, "NA")</f>
        <v>45354.919999999969</v>
      </c>
      <c r="W137" s="34">
        <f>IFERROR(V137/V148, "NA")</f>
        <v>0.2727451057035728</v>
      </c>
      <c r="X137" s="33">
        <f>IFERROR(X107-X135, "NA")</f>
        <v>32409.369999999915</v>
      </c>
      <c r="Y137" s="34">
        <f>IFERROR(X137/X148, "NA")</f>
        <v>0.19530864457926569</v>
      </c>
      <c r="Z137" s="33">
        <f>IFERROR(Z107-Z135, "NA")</f>
        <v>109466.57000000008</v>
      </c>
      <c r="AA137" s="34">
        <f>IFERROR(Z137/Z148, "NA")</f>
        <v>0.24041305605689256</v>
      </c>
      <c r="AB137" s="33">
        <f>IFERROR((R137+T137+V137+X137)/4, "NA")</f>
        <v>16645.422499999993</v>
      </c>
      <c r="AC137" s="34">
        <f>IFERROR(AB137/AB148, "NA")</f>
        <v>0.11004882404213213</v>
      </c>
      <c r="AD137" s="15">
        <f>IFERROR(X137-AB137, "NA")</f>
        <v>15763.947499999922</v>
      </c>
      <c r="AE137" s="16">
        <f>IFERROR(AD137/AD148, "NA")</f>
        <v>1.0735193645621275</v>
      </c>
      <c r="AF137" s="15">
        <f>IFERROR((X137-AB137)/AB137, "NA")</f>
        <v>0.94704399963412933</v>
      </c>
      <c r="AG137" s="33">
        <f>IFERROR((J137+L137+N137+P137+R137+T137+V137+X137)/8, "NA")</f>
        <v>23034.266250000001</v>
      </c>
      <c r="AH137" s="34">
        <f>IFERROR(AG137/AG148, "NA")</f>
        <v>0.16461184437635759</v>
      </c>
      <c r="AI137" s="15">
        <f>IFERROR(X137-AG137, "NA")</f>
        <v>9375.1037499999147</v>
      </c>
      <c r="AJ137" s="16">
        <f>IFERROR(AI137/AI148, "NA")</f>
        <v>0.36046369344122592</v>
      </c>
      <c r="AK137" s="15">
        <f>IFERROR((X137-AG137)/AG137, "NA")</f>
        <v>0.40700683270082089</v>
      </c>
      <c r="AL137" s="16">
        <f>IFERROR(AK137/AK148, "NA")</f>
        <v>2.1897798108445077</v>
      </c>
    </row>
    <row r="138" spans="1:38" ht="3.75" hidden="1" customHeight="1" x14ac:dyDescent="0.3">
      <c r="A138" s="35" t="s">
        <v>3</v>
      </c>
      <c r="B138" s="36"/>
      <c r="C138" s="19"/>
      <c r="D138" s="36"/>
      <c r="E138" s="19"/>
      <c r="F138" s="36"/>
      <c r="G138" s="19"/>
      <c r="H138" s="36"/>
      <c r="I138" s="19"/>
      <c r="J138" s="36"/>
      <c r="K138" s="19"/>
      <c r="L138" s="36"/>
      <c r="M138" s="19"/>
      <c r="N138" s="36"/>
      <c r="O138" s="19"/>
      <c r="P138" s="36"/>
      <c r="Q138" s="19"/>
      <c r="R138" s="36"/>
      <c r="S138" s="19"/>
      <c r="T138" s="36"/>
      <c r="U138" s="19"/>
      <c r="V138" s="36"/>
      <c r="W138" s="19"/>
      <c r="X138" s="36"/>
      <c r="Y138" s="19"/>
      <c r="Z138" s="36"/>
      <c r="AA138" s="19"/>
      <c r="AB138" s="36"/>
      <c r="AC138" s="19"/>
      <c r="AD138" s="37"/>
      <c r="AE138" s="21"/>
      <c r="AF138" s="37"/>
      <c r="AG138" s="36"/>
      <c r="AH138" s="19"/>
      <c r="AI138" s="37"/>
      <c r="AJ138" s="21"/>
      <c r="AK138" s="37"/>
      <c r="AL138" s="21"/>
    </row>
    <row r="139" spans="1:38" ht="16.5" hidden="1" customHeight="1" x14ac:dyDescent="0.3">
      <c r="A139" s="1" t="s">
        <v>142</v>
      </c>
      <c r="B139" s="2"/>
      <c r="C139" s="3"/>
      <c r="D139" s="2"/>
      <c r="E139" s="3"/>
      <c r="F139" s="2"/>
      <c r="G139" s="3"/>
      <c r="H139" s="2"/>
      <c r="I139" s="3"/>
      <c r="J139" s="2"/>
      <c r="K139" s="3"/>
      <c r="L139" s="2"/>
      <c r="M139" s="3"/>
      <c r="N139" s="2"/>
      <c r="O139" s="3"/>
      <c r="P139" s="2"/>
      <c r="Q139" s="3"/>
      <c r="R139" s="2"/>
      <c r="S139" s="3"/>
      <c r="T139" s="2"/>
      <c r="U139" s="3"/>
      <c r="V139" s="2"/>
      <c r="W139" s="3"/>
      <c r="X139" s="2"/>
      <c r="Y139" s="3"/>
      <c r="Z139" s="2"/>
      <c r="AA139" s="3"/>
      <c r="AB139" s="2"/>
      <c r="AC139" s="3"/>
      <c r="AD139" s="4"/>
      <c r="AE139" s="5"/>
      <c r="AF139" s="4"/>
      <c r="AG139" s="2"/>
      <c r="AH139" s="3"/>
      <c r="AI139" s="4"/>
      <c r="AJ139" s="5"/>
      <c r="AK139" s="4"/>
      <c r="AL139" s="5"/>
    </row>
    <row r="140" spans="1:38" ht="16.5" hidden="1" customHeight="1" x14ac:dyDescent="0.3">
      <c r="A140" s="6" t="s">
        <v>143</v>
      </c>
      <c r="B140" s="7">
        <v>0</v>
      </c>
      <c r="C140" s="8">
        <f>IFERROR(B140/B148, "NA")</f>
        <v>0</v>
      </c>
      <c r="D140" s="7">
        <v>0</v>
      </c>
      <c r="E140" s="8">
        <f>IFERROR(D140/D148, "NA")</f>
        <v>0</v>
      </c>
      <c r="F140" s="7">
        <v>0</v>
      </c>
      <c r="G140" s="8">
        <f>IFERROR(F140/F148, "NA")</f>
        <v>0</v>
      </c>
      <c r="H140" s="7">
        <v>26807.71</v>
      </c>
      <c r="I140" s="8">
        <f>IFERROR(H140/H148, "NA")</f>
        <v>0.20942584293485589</v>
      </c>
      <c r="J140" s="7">
        <v>0</v>
      </c>
      <c r="K140" s="8">
        <f>IFERROR(J140/J148, "NA")</f>
        <v>0</v>
      </c>
      <c r="L140" s="7">
        <v>0</v>
      </c>
      <c r="M140" s="8">
        <f>IFERROR(L140/L148, "NA")</f>
        <v>0</v>
      </c>
      <c r="N140" s="7">
        <v>0</v>
      </c>
      <c r="O140" s="8">
        <f>IFERROR(N140/N148, "NA")</f>
        <v>0</v>
      </c>
      <c r="P140" s="7">
        <v>-390.07000000000005</v>
      </c>
      <c r="Q140" s="8">
        <f>IFERROR(P140/P148, "NA")</f>
        <v>-2.853083011206143E-3</v>
      </c>
      <c r="R140" s="7">
        <v>28287.869999999995</v>
      </c>
      <c r="S140" s="8">
        <f>IFERROR(R140/R148, "NA")</f>
        <v>0.18897320767394538</v>
      </c>
      <c r="T140" s="7">
        <v>0</v>
      </c>
      <c r="U140" s="8">
        <f>IFERROR(T140/T148, "NA")</f>
        <v>0</v>
      </c>
      <c r="V140" s="7">
        <v>0</v>
      </c>
      <c r="W140" s="8">
        <f>IFERROR(V140/V148, "NA")</f>
        <v>0</v>
      </c>
      <c r="X140" s="7">
        <v>0</v>
      </c>
      <c r="Y140" s="8">
        <f>IFERROR(X140/X148, "NA")</f>
        <v>0</v>
      </c>
      <c r="Z140" s="7">
        <v>0</v>
      </c>
      <c r="AA140" s="8">
        <f>IFERROR(Z140/Z148, "NA")</f>
        <v>0</v>
      </c>
      <c r="AB140" s="9">
        <f>IFERROR((R140+T140+V140+X140)/4, "NA")</f>
        <v>7071.9674999999988</v>
      </c>
      <c r="AC140" s="8">
        <f>IFERROR(AB140/AB148, "NA")</f>
        <v>4.6755299064302952E-2</v>
      </c>
      <c r="AD140" s="10">
        <f>IFERROR(X140-AB140, "NA")</f>
        <v>-7071.9674999999988</v>
      </c>
      <c r="AE140" s="11">
        <f>IFERROR(AD140/AD148, "NA")</f>
        <v>-0.48159853721944035</v>
      </c>
      <c r="AF140" s="10">
        <f>IFERROR((X140-AB140)/AB140, "NA")</f>
        <v>-1</v>
      </c>
      <c r="AG140" s="9">
        <f>IFERROR((J140+L140+N140+P140+R140+T140+V140+X140)/8, "NA")</f>
        <v>3487.2249999999995</v>
      </c>
      <c r="AH140" s="8">
        <f>IFERROR(AG140/AG148, "NA")</f>
        <v>2.4921069018438716E-2</v>
      </c>
      <c r="AI140" s="10">
        <f>IFERROR(X140-AG140, "NA")</f>
        <v>-3487.2249999999995</v>
      </c>
      <c r="AJ140" s="11">
        <f>IFERROR(AI140/AI148, "NA")</f>
        <v>-0.13408043653496532</v>
      </c>
      <c r="AK140" s="10">
        <f>IFERROR((X140-AG140)/AG140, "NA")</f>
        <v>-1</v>
      </c>
      <c r="AL140" s="11">
        <f>IFERROR(AK140/AK148, "NA")</f>
        <v>-5.3802040528743467</v>
      </c>
    </row>
    <row r="141" spans="1:38" ht="16.5" hidden="1" customHeight="1" x14ac:dyDescent="0.3">
      <c r="A141" s="12" t="s">
        <v>144</v>
      </c>
      <c r="B141" s="13">
        <f>IFERROR(B140, "NA")</f>
        <v>0</v>
      </c>
      <c r="C141" s="14">
        <f>IFERROR(B141/B148, "NA")</f>
        <v>0</v>
      </c>
      <c r="D141" s="13">
        <f>IFERROR(D140, "NA")</f>
        <v>0</v>
      </c>
      <c r="E141" s="14">
        <f>IFERROR(D141/D148, "NA")</f>
        <v>0</v>
      </c>
      <c r="F141" s="13">
        <f>IFERROR(F140, "NA")</f>
        <v>0</v>
      </c>
      <c r="G141" s="14">
        <f>IFERROR(F141/F148, "NA")</f>
        <v>0</v>
      </c>
      <c r="H141" s="13">
        <f>IFERROR(H140, "NA")</f>
        <v>26807.71</v>
      </c>
      <c r="I141" s="14">
        <f>IFERROR(H141/H148, "NA")</f>
        <v>0.20942584293485589</v>
      </c>
      <c r="J141" s="13">
        <f>IFERROR(J140, "NA")</f>
        <v>0</v>
      </c>
      <c r="K141" s="14">
        <f>IFERROR(J141/J148, "NA")</f>
        <v>0</v>
      </c>
      <c r="L141" s="13">
        <f>IFERROR(L140, "NA")</f>
        <v>0</v>
      </c>
      <c r="M141" s="14">
        <f>IFERROR(L141/L148, "NA")</f>
        <v>0</v>
      </c>
      <c r="N141" s="13">
        <f>IFERROR(N140, "NA")</f>
        <v>0</v>
      </c>
      <c r="O141" s="14">
        <f>IFERROR(N141/N148, "NA")</f>
        <v>0</v>
      </c>
      <c r="P141" s="13">
        <f>IFERROR(P140, "NA")</f>
        <v>-390.07000000000005</v>
      </c>
      <c r="Q141" s="14">
        <f>IFERROR(P141/P148, "NA")</f>
        <v>-2.853083011206143E-3</v>
      </c>
      <c r="R141" s="13">
        <f>IFERROR(R140, "NA")</f>
        <v>28287.869999999995</v>
      </c>
      <c r="S141" s="14">
        <f>IFERROR(R141/R148, "NA")</f>
        <v>0.18897320767394538</v>
      </c>
      <c r="T141" s="13">
        <f>IFERROR(T140, "NA")</f>
        <v>0</v>
      </c>
      <c r="U141" s="14">
        <f>IFERROR(T141/T148, "NA")</f>
        <v>0</v>
      </c>
      <c r="V141" s="13">
        <f>IFERROR(V140, "NA")</f>
        <v>0</v>
      </c>
      <c r="W141" s="14">
        <f>IFERROR(V141/V148, "NA")</f>
        <v>0</v>
      </c>
      <c r="X141" s="13">
        <f>IFERROR(X140, "NA")</f>
        <v>0</v>
      </c>
      <c r="Y141" s="14">
        <f>IFERROR(X141/X148, "NA")</f>
        <v>0</v>
      </c>
      <c r="Z141" s="13">
        <f>IFERROR(Z140, "NA")</f>
        <v>0</v>
      </c>
      <c r="AA141" s="14">
        <f>IFERROR(Z141/Z148, "NA")</f>
        <v>0</v>
      </c>
      <c r="AB141" s="13">
        <f>IFERROR((R141+T141+V141+X141)/4, "NA")</f>
        <v>7071.9674999999988</v>
      </c>
      <c r="AC141" s="14">
        <f>IFERROR(AB141/AB148, "NA")</f>
        <v>4.6755299064302952E-2</v>
      </c>
      <c r="AD141" s="15">
        <f>IFERROR(X141-AB141, "NA")</f>
        <v>-7071.9674999999988</v>
      </c>
      <c r="AE141" s="16">
        <f>IFERROR(AD141/AD148, "NA")</f>
        <v>-0.48159853721944035</v>
      </c>
      <c r="AF141" s="15">
        <f>IFERROR((X141-AB141)/AB141, "NA")</f>
        <v>-1</v>
      </c>
      <c r="AG141" s="13">
        <f>IFERROR((J141+L141+N141+P141+R141+T141+V141+X141)/8, "NA")</f>
        <v>3487.2249999999995</v>
      </c>
      <c r="AH141" s="14">
        <f>IFERROR(AG141/AG148, "NA")</f>
        <v>2.4921069018438716E-2</v>
      </c>
      <c r="AI141" s="15">
        <f>IFERROR(X141-AG141, "NA")</f>
        <v>-3487.2249999999995</v>
      </c>
      <c r="AJ141" s="16">
        <f>IFERROR(AI141/AI148, "NA")</f>
        <v>-0.13408043653496532</v>
      </c>
      <c r="AK141" s="15">
        <f>IFERROR((X141-AG141)/AG141, "NA")</f>
        <v>-1</v>
      </c>
      <c r="AL141" s="16">
        <f>IFERROR(AK141/AK148, "NA")</f>
        <v>-5.3802040528743467</v>
      </c>
    </row>
    <row r="142" spans="1:38" ht="3.75" hidden="1" customHeight="1" x14ac:dyDescent="0.3">
      <c r="A142" s="35" t="s">
        <v>3</v>
      </c>
      <c r="B142" s="36"/>
      <c r="C142" s="19"/>
      <c r="D142" s="36"/>
      <c r="E142" s="19"/>
      <c r="F142" s="36"/>
      <c r="G142" s="19"/>
      <c r="H142" s="36"/>
      <c r="I142" s="19"/>
      <c r="J142" s="36"/>
      <c r="K142" s="19"/>
      <c r="L142" s="36"/>
      <c r="M142" s="19"/>
      <c r="N142" s="36"/>
      <c r="O142" s="19"/>
      <c r="P142" s="36"/>
      <c r="Q142" s="19"/>
      <c r="R142" s="36"/>
      <c r="S142" s="19"/>
      <c r="T142" s="36"/>
      <c r="U142" s="19"/>
      <c r="V142" s="36"/>
      <c r="W142" s="19"/>
      <c r="X142" s="36"/>
      <c r="Y142" s="19"/>
      <c r="Z142" s="36"/>
      <c r="AA142" s="19"/>
      <c r="AB142" s="36"/>
      <c r="AC142" s="19"/>
      <c r="AD142" s="37"/>
      <c r="AE142" s="21"/>
      <c r="AF142" s="37"/>
      <c r="AG142" s="36"/>
      <c r="AH142" s="19"/>
      <c r="AI142" s="37"/>
      <c r="AJ142" s="21"/>
      <c r="AK142" s="37"/>
      <c r="AL142" s="21"/>
    </row>
    <row r="143" spans="1:38" ht="16.5" hidden="1" customHeight="1" x14ac:dyDescent="0.3">
      <c r="A143" s="1" t="s">
        <v>145</v>
      </c>
      <c r="B143" s="2"/>
      <c r="C143" s="3"/>
      <c r="D143" s="2"/>
      <c r="E143" s="3"/>
      <c r="F143" s="2"/>
      <c r="G143" s="3"/>
      <c r="H143" s="2"/>
      <c r="I143" s="3"/>
      <c r="J143" s="2"/>
      <c r="K143" s="3"/>
      <c r="L143" s="2"/>
      <c r="M143" s="3"/>
      <c r="N143" s="2"/>
      <c r="O143" s="3"/>
      <c r="P143" s="2"/>
      <c r="Q143" s="3"/>
      <c r="R143" s="2"/>
      <c r="S143" s="3"/>
      <c r="T143" s="2"/>
      <c r="U143" s="3"/>
      <c r="V143" s="2"/>
      <c r="W143" s="3"/>
      <c r="X143" s="2"/>
      <c r="Y143" s="3"/>
      <c r="Z143" s="2"/>
      <c r="AA143" s="3"/>
      <c r="AB143" s="2"/>
      <c r="AC143" s="3"/>
      <c r="AD143" s="4"/>
      <c r="AE143" s="5"/>
      <c r="AF143" s="4"/>
      <c r="AG143" s="2"/>
      <c r="AH143" s="3"/>
      <c r="AI143" s="4"/>
      <c r="AJ143" s="5"/>
      <c r="AK143" s="4"/>
      <c r="AL143" s="5"/>
    </row>
    <row r="144" spans="1:38" ht="16.5" hidden="1" customHeight="1" x14ac:dyDescent="0.3">
      <c r="A144" s="6" t="s">
        <v>146</v>
      </c>
      <c r="B144" s="7">
        <v>0</v>
      </c>
      <c r="C144" s="8">
        <f>IFERROR(B144/B148, "NA")</f>
        <v>0</v>
      </c>
      <c r="D144" s="7">
        <v>0</v>
      </c>
      <c r="E144" s="8">
        <f>IFERROR(D144/D148, "NA")</f>
        <v>0</v>
      </c>
      <c r="F144" s="7">
        <v>0</v>
      </c>
      <c r="G144" s="8">
        <f>IFERROR(F144/F148, "NA")</f>
        <v>0</v>
      </c>
      <c r="H144" s="7">
        <v>0</v>
      </c>
      <c r="I144" s="8">
        <f>IFERROR(H144/H148, "NA")</f>
        <v>0</v>
      </c>
      <c r="J144" s="7">
        <v>0</v>
      </c>
      <c r="K144" s="8">
        <f>IFERROR(J144/J148, "NA")</f>
        <v>0</v>
      </c>
      <c r="L144" s="7">
        <v>0</v>
      </c>
      <c r="M144" s="8">
        <f>IFERROR(L144/L148, "NA")</f>
        <v>0</v>
      </c>
      <c r="N144" s="7">
        <v>0</v>
      </c>
      <c r="O144" s="8">
        <f>IFERROR(N144/N148, "NA")</f>
        <v>0</v>
      </c>
      <c r="P144" s="7">
        <v>0</v>
      </c>
      <c r="Q144" s="8">
        <f>IFERROR(P144/P148, "NA")</f>
        <v>0</v>
      </c>
      <c r="R144" s="7">
        <v>0</v>
      </c>
      <c r="S144" s="8">
        <f>IFERROR(R144/R148, "NA")</f>
        <v>0</v>
      </c>
      <c r="T144" s="7">
        <v>0</v>
      </c>
      <c r="U144" s="8">
        <f>IFERROR(T144/T148, "NA")</f>
        <v>0</v>
      </c>
      <c r="V144" s="7">
        <v>0</v>
      </c>
      <c r="W144" s="8">
        <f>IFERROR(V144/V148, "NA")</f>
        <v>0</v>
      </c>
      <c r="X144" s="7">
        <v>0</v>
      </c>
      <c r="Y144" s="8">
        <f>IFERROR(X144/X148, "NA")</f>
        <v>0</v>
      </c>
      <c r="Z144" s="7">
        <v>0</v>
      </c>
      <c r="AA144" s="8">
        <f>IFERROR(Z144/Z148, "NA")</f>
        <v>0</v>
      </c>
      <c r="AB144" s="9">
        <f>IFERROR((R144+T144+V144+X144)/4, "NA")</f>
        <v>0</v>
      </c>
      <c r="AC144" s="8">
        <f>IFERROR(AB144/AB148, "NA")</f>
        <v>0</v>
      </c>
      <c r="AD144" s="10">
        <f>IFERROR(X144-AB144, "NA")</f>
        <v>0</v>
      </c>
      <c r="AE144" s="11">
        <f>IFERROR(AD144/AD148, "NA")</f>
        <v>0</v>
      </c>
      <c r="AF144" s="10" t="str">
        <f>IFERROR((X144-AB144)/AB144, "NA")</f>
        <v>NA</v>
      </c>
      <c r="AG144" s="9">
        <f>IFERROR((J144+L144+N144+P144+R144+T144+V144+X144)/8, "NA")</f>
        <v>0</v>
      </c>
      <c r="AH144" s="8">
        <f>IFERROR(AG144/AG148, "NA")</f>
        <v>0</v>
      </c>
      <c r="AI144" s="10">
        <f>IFERROR(X144-AG144, "NA")</f>
        <v>0</v>
      </c>
      <c r="AJ144" s="11">
        <f>IFERROR(AI144/AI148, "NA")</f>
        <v>0</v>
      </c>
      <c r="AK144" s="10" t="str">
        <f>IFERROR((X144-AG144)/AG144, "NA")</f>
        <v>NA</v>
      </c>
      <c r="AL144" s="11" t="str">
        <f>IFERROR(AK144/AK148, "NA")</f>
        <v>NA</v>
      </c>
    </row>
    <row r="145" spans="1:38" ht="16.5" hidden="1" customHeight="1" x14ac:dyDescent="0.3">
      <c r="A145" s="12" t="s">
        <v>147</v>
      </c>
      <c r="B145" s="13">
        <f>IFERROR(B144, "NA")</f>
        <v>0</v>
      </c>
      <c r="C145" s="14">
        <f>IFERROR(B145/B148, "NA")</f>
        <v>0</v>
      </c>
      <c r="D145" s="13">
        <f>IFERROR(D144, "NA")</f>
        <v>0</v>
      </c>
      <c r="E145" s="14">
        <f>IFERROR(D145/D148, "NA")</f>
        <v>0</v>
      </c>
      <c r="F145" s="13">
        <f>IFERROR(F144, "NA")</f>
        <v>0</v>
      </c>
      <c r="G145" s="14">
        <f>IFERROR(F145/F148, "NA")</f>
        <v>0</v>
      </c>
      <c r="H145" s="13">
        <f>IFERROR(H144, "NA")</f>
        <v>0</v>
      </c>
      <c r="I145" s="14">
        <f>IFERROR(H145/H148, "NA")</f>
        <v>0</v>
      </c>
      <c r="J145" s="13">
        <f>IFERROR(J144, "NA")</f>
        <v>0</v>
      </c>
      <c r="K145" s="14">
        <f>IFERROR(J145/J148, "NA")</f>
        <v>0</v>
      </c>
      <c r="L145" s="13">
        <f>IFERROR(L144, "NA")</f>
        <v>0</v>
      </c>
      <c r="M145" s="14">
        <f>IFERROR(L145/L148, "NA")</f>
        <v>0</v>
      </c>
      <c r="N145" s="13">
        <f>IFERROR(N144, "NA")</f>
        <v>0</v>
      </c>
      <c r="O145" s="14">
        <f>IFERROR(N145/N148, "NA")</f>
        <v>0</v>
      </c>
      <c r="P145" s="13">
        <f>IFERROR(P144, "NA")</f>
        <v>0</v>
      </c>
      <c r="Q145" s="14">
        <f>IFERROR(P145/P148, "NA")</f>
        <v>0</v>
      </c>
      <c r="R145" s="13">
        <f>IFERROR(R144, "NA")</f>
        <v>0</v>
      </c>
      <c r="S145" s="14">
        <f>IFERROR(R145/R148, "NA")</f>
        <v>0</v>
      </c>
      <c r="T145" s="13">
        <f>IFERROR(T144, "NA")</f>
        <v>0</v>
      </c>
      <c r="U145" s="14">
        <f>IFERROR(T145/T148, "NA")</f>
        <v>0</v>
      </c>
      <c r="V145" s="13">
        <f>IFERROR(V144, "NA")</f>
        <v>0</v>
      </c>
      <c r="W145" s="14">
        <f>IFERROR(V145/V148, "NA")</f>
        <v>0</v>
      </c>
      <c r="X145" s="13">
        <f>IFERROR(X144, "NA")</f>
        <v>0</v>
      </c>
      <c r="Y145" s="14">
        <f>IFERROR(X145/X148, "NA")</f>
        <v>0</v>
      </c>
      <c r="Z145" s="13">
        <f>IFERROR(Z144, "NA")</f>
        <v>0</v>
      </c>
      <c r="AA145" s="14">
        <f>IFERROR(Z145/Z148, "NA")</f>
        <v>0</v>
      </c>
      <c r="AB145" s="13">
        <f>IFERROR((R145+T145+V145+X145)/4, "NA")</f>
        <v>0</v>
      </c>
      <c r="AC145" s="14">
        <f>IFERROR(AB145/AB148, "NA")</f>
        <v>0</v>
      </c>
      <c r="AD145" s="15">
        <f>IFERROR(X145-AB145, "NA")</f>
        <v>0</v>
      </c>
      <c r="AE145" s="16">
        <f>IFERROR(AD145/AD148, "NA")</f>
        <v>0</v>
      </c>
      <c r="AF145" s="15" t="str">
        <f>IFERROR((X145-AB145)/AB145, "NA")</f>
        <v>NA</v>
      </c>
      <c r="AG145" s="13">
        <f>IFERROR((J145+L145+N145+P145+R145+T145+V145+X145)/8, "NA")</f>
        <v>0</v>
      </c>
      <c r="AH145" s="14">
        <f>IFERROR(AG145/AG148, "NA")</f>
        <v>0</v>
      </c>
      <c r="AI145" s="15">
        <f>IFERROR(X145-AG145, "NA")</f>
        <v>0</v>
      </c>
      <c r="AJ145" s="16">
        <f>IFERROR(AI145/AI148, "NA")</f>
        <v>0</v>
      </c>
      <c r="AK145" s="15" t="str">
        <f>IFERROR((X145-AG145)/AG145, "NA")</f>
        <v>NA</v>
      </c>
      <c r="AL145" s="16" t="str">
        <f>IFERROR(AK145/AK148, "NA")</f>
        <v>NA</v>
      </c>
    </row>
    <row r="146" spans="1:38" ht="3.75" hidden="1" customHeight="1" x14ac:dyDescent="0.3">
      <c r="A146" s="35" t="s">
        <v>3</v>
      </c>
      <c r="B146" s="36"/>
      <c r="C146" s="19"/>
      <c r="D146" s="36"/>
      <c r="E146" s="19"/>
      <c r="F146" s="36"/>
      <c r="G146" s="19"/>
      <c r="H146" s="36"/>
      <c r="I146" s="19"/>
      <c r="J146" s="36"/>
      <c r="K146" s="19"/>
      <c r="L146" s="36"/>
      <c r="M146" s="19"/>
      <c r="N146" s="36"/>
      <c r="O146" s="19"/>
      <c r="P146" s="36"/>
      <c r="Q146" s="19"/>
      <c r="R146" s="36"/>
      <c r="S146" s="19"/>
      <c r="T146" s="36"/>
      <c r="U146" s="19"/>
      <c r="V146" s="36"/>
      <c r="W146" s="19"/>
      <c r="X146" s="36"/>
      <c r="Y146" s="19"/>
      <c r="Z146" s="36"/>
      <c r="AA146" s="19"/>
      <c r="AB146" s="36"/>
      <c r="AC146" s="19"/>
      <c r="AD146" s="37"/>
      <c r="AE146" s="21"/>
      <c r="AF146" s="37"/>
      <c r="AG146" s="36"/>
      <c r="AH146" s="19"/>
      <c r="AI146" s="37"/>
      <c r="AJ146" s="21"/>
      <c r="AK146" s="37"/>
      <c r="AL146" s="21"/>
    </row>
    <row r="147" spans="1:38" ht="16.5" hidden="1" customHeight="1" x14ac:dyDescent="0.3">
      <c r="A147" s="32" t="s">
        <v>148</v>
      </c>
      <c r="B147" s="33">
        <f>IFERROR(B137-B141-B145, "NA")</f>
        <v>28887.380000000005</v>
      </c>
      <c r="C147" s="34">
        <f>IFERROR(B147/B148, "NA")</f>
        <v>0.24110744877587856</v>
      </c>
      <c r="D147" s="33">
        <f>IFERROR(D137-D141-D145, "NA")</f>
        <v>26919.669999999984</v>
      </c>
      <c r="E147" s="34">
        <f>IFERROR(D147/D148, "NA")</f>
        <v>0.21462500796282882</v>
      </c>
      <c r="F147" s="33">
        <f>IFERROR(F137-F141-F145, "NA")</f>
        <v>8045.7399999999525</v>
      </c>
      <c r="G147" s="34">
        <f>IFERROR(F147/F148, "NA")</f>
        <v>6.0069095877884178E-2</v>
      </c>
      <c r="H147" s="33">
        <f>IFERROR(H137-H141-H145, "NA")</f>
        <v>-62552.909999999989</v>
      </c>
      <c r="I147" s="34">
        <f>IFERROR(H147/H148, "NA")</f>
        <v>-0.48867269545881298</v>
      </c>
      <c r="J147" s="33">
        <f>IFERROR(J137-J141-J145, "NA")</f>
        <v>34225.209999999948</v>
      </c>
      <c r="K147" s="34">
        <f>IFERROR(J147/J148, "NA")</f>
        <v>0.29564315791774121</v>
      </c>
      <c r="L147" s="33">
        <f>IFERROR(L137-L141-L145, "NA")</f>
        <v>38495.900000000052</v>
      </c>
      <c r="M147" s="34">
        <f>IFERROR(L147/L148, "NA")</f>
        <v>0.28475223842795327</v>
      </c>
      <c r="N147" s="33">
        <f>IFERROR(N137-N141-N145, "NA")</f>
        <v>34092.79</v>
      </c>
      <c r="O147" s="34">
        <f>IFERROR(N147/N148, "NA")</f>
        <v>0.26897259378576621</v>
      </c>
      <c r="P147" s="33">
        <f>IFERROR(P137-P141-P145, "NA")</f>
        <v>11268.61000000005</v>
      </c>
      <c r="Q147" s="34">
        <f>IFERROR(P147/P148, "NA")</f>
        <v>8.2421821085722546E-2</v>
      </c>
      <c r="R147" s="33">
        <f>IFERROR(R137-R141-R145, "NA")</f>
        <v>-71172.749999999942</v>
      </c>
      <c r="S147" s="34">
        <f>IFERROR(R147/R148, "NA")</f>
        <v>-0.47545972413178467</v>
      </c>
      <c r="T147" s="33">
        <f>IFERROR(T137-T141-T145, "NA")</f>
        <v>31702.280000000032</v>
      </c>
      <c r="U147" s="34">
        <f>IFERROR(T147/T148, "NA")</f>
        <v>0.25753836537938996</v>
      </c>
      <c r="V147" s="33">
        <f>IFERROR(V137-V141-V145, "NA")</f>
        <v>45354.919999999969</v>
      </c>
      <c r="W147" s="34">
        <f>IFERROR(V147/V148, "NA")</f>
        <v>0.2727451057035728</v>
      </c>
      <c r="X147" s="33">
        <f>IFERROR(X137-X141-X145, "NA")</f>
        <v>32409.369999999915</v>
      </c>
      <c r="Y147" s="34">
        <f>IFERROR(X147/X148, "NA")</f>
        <v>0.19530864457926569</v>
      </c>
      <c r="Z147" s="33">
        <f>IFERROR(Z137-Z141-Z145, "NA")</f>
        <v>109466.57000000008</v>
      </c>
      <c r="AA147" s="34">
        <f>IFERROR(Z147/Z148, "NA")</f>
        <v>0.24041305605689256</v>
      </c>
      <c r="AB147" s="33">
        <f>IFERROR((R147+T147+V147+X147)/4, "NA")</f>
        <v>9573.4549999999927</v>
      </c>
      <c r="AC147" s="34">
        <f>IFERROR(AB147/AB148, "NA")</f>
        <v>6.3293524977829169E-2</v>
      </c>
      <c r="AD147" s="15">
        <f>IFERROR(X147-AB147, "NA")</f>
        <v>22835.914999999921</v>
      </c>
      <c r="AE147" s="16">
        <f>IFERROR(AD147/AD148, "NA")</f>
        <v>1.5551179017815679</v>
      </c>
      <c r="AF147" s="15">
        <f>IFERROR((X147-AB147)/AB147, "NA")</f>
        <v>2.3853368506980956</v>
      </c>
      <c r="AG147" s="33">
        <f>IFERROR((J147+L147+N147+P147+R147+T147+V147+X147)/8, "NA")</f>
        <v>19547.041250000002</v>
      </c>
      <c r="AH147" s="34">
        <f>IFERROR(AG147/AG148, "NA")</f>
        <v>0.13969077535791891</v>
      </c>
      <c r="AI147" s="15">
        <f>IFERROR(X147-AG147, "NA")</f>
        <v>12862.328749999913</v>
      </c>
      <c r="AJ147" s="16">
        <f>IFERROR(AI147/AI148, "NA")</f>
        <v>0.49454412997619118</v>
      </c>
      <c r="AK147" s="15">
        <f>IFERROR((X147-AG147)/AG147, "NA")</f>
        <v>0.65801921556797816</v>
      </c>
      <c r="AL147" s="16">
        <f>IFERROR(AK147/AK148, "NA")</f>
        <v>3.5402776504680347</v>
      </c>
    </row>
    <row r="148" spans="1:38" ht="15.6" hidden="1" x14ac:dyDescent="0.3">
      <c r="A148" s="40" t="s">
        <v>25</v>
      </c>
      <c r="B148" s="7">
        <v>119811.23</v>
      </c>
      <c r="C148" s="41"/>
      <c r="D148" s="7">
        <v>125426.52999999998</v>
      </c>
      <c r="E148" s="41"/>
      <c r="F148" s="7">
        <v>133941.41999999998</v>
      </c>
      <c r="G148" s="41"/>
      <c r="H148" s="7">
        <v>128005.73999999999</v>
      </c>
      <c r="I148" s="41"/>
      <c r="J148" s="7">
        <v>115765.26999999999</v>
      </c>
      <c r="K148" s="41"/>
      <c r="L148" s="7">
        <v>135190.86000000002</v>
      </c>
      <c r="M148" s="41"/>
      <c r="N148" s="7">
        <v>126751.91</v>
      </c>
      <c r="O148" s="41"/>
      <c r="P148" s="7">
        <v>136718.76999999999</v>
      </c>
      <c r="Q148" s="41"/>
      <c r="R148" s="7">
        <v>149692.49000000002</v>
      </c>
      <c r="S148" s="41"/>
      <c r="T148" s="7">
        <v>123097.31</v>
      </c>
      <c r="U148" s="41"/>
      <c r="V148" s="7">
        <v>166290.5</v>
      </c>
      <c r="W148" s="41"/>
      <c r="X148" s="7">
        <v>165939.25</v>
      </c>
      <c r="Y148" s="41"/>
      <c r="Z148" s="7">
        <v>455327.06</v>
      </c>
      <c r="AA148" s="41"/>
      <c r="AB148" s="9">
        <f>IFERROR((R148+T148+V148+X148)/4, "NA")</f>
        <v>151254.88750000001</v>
      </c>
      <c r="AC148" s="41"/>
      <c r="AD148" s="10">
        <f>IFERROR(X148-AB148, "NA")</f>
        <v>14684.362499999988</v>
      </c>
      <c r="AE148" s="42"/>
      <c r="AF148" s="10">
        <f>IFERROR((X148-AB148)/AB148, "NA")</f>
        <v>9.7083557051999309E-2</v>
      </c>
      <c r="AG148" s="9">
        <f>IFERROR((J148+L148+N148+P148+R148+T148+V148+X148)/8, "NA")</f>
        <v>139930.79500000001</v>
      </c>
      <c r="AH148" s="41"/>
      <c r="AI148" s="10">
        <f>IFERROR(X148-AG148, "NA")</f>
        <v>26008.454999999987</v>
      </c>
      <c r="AJ148" s="42"/>
      <c r="AK148" s="10">
        <f>IFERROR((X148-AG148)/AG148, "NA")</f>
        <v>0.18586655639310837</v>
      </c>
      <c r="AL148" s="42"/>
    </row>
    <row r="151" spans="1:38" ht="15.6" x14ac:dyDescent="0.3">
      <c r="A151" s="43" t="s">
        <v>149</v>
      </c>
    </row>
    <row r="152" spans="1:38" ht="15.6" x14ac:dyDescent="0.3">
      <c r="A152" s="43" t="s">
        <v>150</v>
      </c>
    </row>
    <row r="153" spans="1:38" ht="15.6" x14ac:dyDescent="0.3">
      <c r="A153" s="43" t="s">
        <v>151</v>
      </c>
    </row>
  </sheetData>
  <mergeCells count="23">
    <mergeCell ref="A1:AL1"/>
    <mergeCell ref="A2:AL2"/>
    <mergeCell ref="A3:AL3"/>
    <mergeCell ref="A5"/>
    <mergeCell ref="B5:C5"/>
    <mergeCell ref="D5:E5"/>
    <mergeCell ref="F5:G5"/>
    <mergeCell ref="H5:I5"/>
    <mergeCell ref="J5:K5"/>
    <mergeCell ref="L5:M5"/>
    <mergeCell ref="N5:O5"/>
    <mergeCell ref="P5:Q5"/>
    <mergeCell ref="R5:S5"/>
    <mergeCell ref="T5:U5"/>
    <mergeCell ref="V5:W5"/>
    <mergeCell ref="X5:Y5"/>
    <mergeCell ref="AI5:AJ5"/>
    <mergeCell ref="AK5:AL5"/>
    <mergeCell ref="Z5:AA5"/>
    <mergeCell ref="AB5:AC5"/>
    <mergeCell ref="AD5:AE5"/>
    <mergeCell ref="AF5"/>
    <mergeCell ref="AG5:AH5"/>
  </mergeCells>
  <pageMargins left="0.7" right="0.7" top="0.75" bottom="0.75" header="0.3" footer="0.3"/>
  <ignoredErrors>
    <ignoredError sqref="A1:AL153" numberStoredAsText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/>
  </sheetPr>
  <dimension ref="A1:AL153"/>
  <sheetViews>
    <sheetView showGridLines="0" workbookViewId="0">
      <pane xSplit="1" ySplit="5" topLeftCell="B6" activePane="bottomRight" state="frozen"/>
      <selection pane="topRight" activeCell="B1" sqref="B1"/>
      <selection pane="bottomLeft" activeCell="A6" sqref="A6"/>
      <selection pane="bottomRight" sqref="A1:AL1"/>
    </sheetView>
  </sheetViews>
  <sheetFormatPr defaultRowHeight="14.4" x14ac:dyDescent="0.3"/>
  <cols>
    <col min="1" max="1" width="42.88671875" customWidth="1"/>
    <col min="2" max="2" width="17.109375" customWidth="1"/>
    <col min="3" max="3" width="9.44140625" customWidth="1"/>
    <col min="4" max="4" width="17.109375" customWidth="1"/>
    <col min="5" max="5" width="9.44140625" customWidth="1"/>
    <col min="6" max="6" width="17.109375" customWidth="1"/>
    <col min="7" max="7" width="9.44140625" customWidth="1"/>
    <col min="8" max="8" width="17.109375" customWidth="1"/>
    <col min="9" max="9" width="9.44140625" customWidth="1"/>
    <col min="10" max="10" width="17.109375" customWidth="1"/>
    <col min="11" max="11" width="9.44140625" customWidth="1"/>
    <col min="12" max="12" width="17.109375" customWidth="1"/>
    <col min="13" max="13" width="9.44140625" customWidth="1"/>
    <col min="14" max="14" width="17.109375" customWidth="1"/>
    <col min="15" max="15" width="9.44140625" customWidth="1"/>
    <col min="16" max="16" width="17.109375" customWidth="1"/>
    <col min="17" max="17" width="9.44140625" customWidth="1"/>
    <col min="18" max="18" width="17.109375" customWidth="1"/>
    <col min="19" max="19" width="9.44140625" customWidth="1"/>
    <col min="20" max="20" width="17.109375" customWidth="1"/>
    <col min="21" max="21" width="9.44140625" customWidth="1"/>
    <col min="22" max="22" width="17.109375" customWidth="1"/>
    <col min="23" max="23" width="9.44140625" customWidth="1"/>
    <col min="24" max="24" width="17.109375" customWidth="1"/>
    <col min="25" max="25" width="9.44140625" customWidth="1"/>
    <col min="26" max="26" width="17.109375" customWidth="1"/>
    <col min="27" max="27" width="9.44140625" customWidth="1"/>
    <col min="28" max="28" width="17.109375" customWidth="1"/>
    <col min="29" max="29" width="9.44140625" customWidth="1"/>
    <col min="30" max="30" width="16.6640625" customWidth="1"/>
    <col min="31" max="31" width="0" hidden="1" customWidth="1"/>
    <col min="32" max="32" width="16.6640625" customWidth="1"/>
    <col min="33" max="33" width="17.109375" customWidth="1"/>
    <col min="34" max="34" width="9.44140625" customWidth="1"/>
    <col min="35" max="35" width="16.6640625" customWidth="1"/>
    <col min="36" max="36" width="0" hidden="1" customWidth="1"/>
    <col min="37" max="37" width="16.6640625" customWidth="1"/>
    <col min="38" max="38" width="0" hidden="1" customWidth="1"/>
  </cols>
  <sheetData>
    <row r="1" spans="1:38" ht="33.6" x14ac:dyDescent="0.3">
      <c r="A1" s="153" t="s">
        <v>0</v>
      </c>
      <c r="B1" s="153" t="s">
        <v>0</v>
      </c>
      <c r="C1" s="153" t="s">
        <v>0</v>
      </c>
      <c r="D1" s="153" t="s">
        <v>0</v>
      </c>
      <c r="E1" s="153" t="s">
        <v>0</v>
      </c>
      <c r="F1" s="153" t="s">
        <v>0</v>
      </c>
      <c r="G1" s="153" t="s">
        <v>0</v>
      </c>
      <c r="H1" s="153" t="s">
        <v>0</v>
      </c>
      <c r="I1" s="153" t="s">
        <v>0</v>
      </c>
      <c r="J1" s="153" t="s">
        <v>0</v>
      </c>
      <c r="K1" s="153" t="s">
        <v>0</v>
      </c>
      <c r="L1" s="153" t="s">
        <v>0</v>
      </c>
      <c r="M1" s="153" t="s">
        <v>0</v>
      </c>
      <c r="N1" s="153" t="s">
        <v>0</v>
      </c>
      <c r="O1" s="153" t="s">
        <v>0</v>
      </c>
      <c r="P1" s="153" t="s">
        <v>0</v>
      </c>
      <c r="Q1" s="153" t="s">
        <v>0</v>
      </c>
      <c r="R1" s="153" t="s">
        <v>0</v>
      </c>
      <c r="S1" s="153" t="s">
        <v>0</v>
      </c>
      <c r="T1" s="153" t="s">
        <v>0</v>
      </c>
      <c r="U1" s="153" t="s">
        <v>0</v>
      </c>
      <c r="V1" s="153" t="s">
        <v>0</v>
      </c>
      <c r="W1" s="153" t="s">
        <v>0</v>
      </c>
      <c r="X1" s="153" t="s">
        <v>0</v>
      </c>
      <c r="Y1" s="153" t="s">
        <v>0</v>
      </c>
      <c r="Z1" s="153" t="s">
        <v>0</v>
      </c>
      <c r="AA1" s="153" t="s">
        <v>0</v>
      </c>
      <c r="AB1" s="153" t="s">
        <v>0</v>
      </c>
      <c r="AC1" s="153" t="s">
        <v>0</v>
      </c>
      <c r="AD1" s="153" t="s">
        <v>0</v>
      </c>
      <c r="AE1" s="153" t="s">
        <v>0</v>
      </c>
      <c r="AF1" s="153" t="s">
        <v>0</v>
      </c>
      <c r="AG1" s="153" t="s">
        <v>0</v>
      </c>
      <c r="AH1" s="153" t="s">
        <v>0</v>
      </c>
      <c r="AI1" s="153" t="s">
        <v>0</v>
      </c>
      <c r="AJ1" s="153" t="s">
        <v>0</v>
      </c>
      <c r="AK1" s="153" t="s">
        <v>0</v>
      </c>
      <c r="AL1" s="153" t="s">
        <v>0</v>
      </c>
    </row>
    <row r="2" spans="1:38" ht="23.4" x14ac:dyDescent="0.3">
      <c r="A2" s="154" t="s">
        <v>1</v>
      </c>
      <c r="B2" s="154" t="s">
        <v>1</v>
      </c>
      <c r="C2" s="154" t="s">
        <v>1</v>
      </c>
      <c r="D2" s="154" t="s">
        <v>1</v>
      </c>
      <c r="E2" s="154" t="s">
        <v>1</v>
      </c>
      <c r="F2" s="154" t="s">
        <v>1</v>
      </c>
      <c r="G2" s="154" t="s">
        <v>1</v>
      </c>
      <c r="H2" s="154" t="s">
        <v>1</v>
      </c>
      <c r="I2" s="154" t="s">
        <v>1</v>
      </c>
      <c r="J2" s="154" t="s">
        <v>1</v>
      </c>
      <c r="K2" s="154" t="s">
        <v>1</v>
      </c>
      <c r="L2" s="154" t="s">
        <v>1</v>
      </c>
      <c r="M2" s="154" t="s">
        <v>1</v>
      </c>
      <c r="N2" s="154" t="s">
        <v>1</v>
      </c>
      <c r="O2" s="154" t="s">
        <v>1</v>
      </c>
      <c r="P2" s="154" t="s">
        <v>1</v>
      </c>
      <c r="Q2" s="154" t="s">
        <v>1</v>
      </c>
      <c r="R2" s="154" t="s">
        <v>1</v>
      </c>
      <c r="S2" s="154" t="s">
        <v>1</v>
      </c>
      <c r="T2" s="154" t="s">
        <v>1</v>
      </c>
      <c r="U2" s="154" t="s">
        <v>1</v>
      </c>
      <c r="V2" s="154" t="s">
        <v>1</v>
      </c>
      <c r="W2" s="154" t="s">
        <v>1</v>
      </c>
      <c r="X2" s="154" t="s">
        <v>1</v>
      </c>
      <c r="Y2" s="154" t="s">
        <v>1</v>
      </c>
      <c r="Z2" s="154" t="s">
        <v>1</v>
      </c>
      <c r="AA2" s="154" t="s">
        <v>1</v>
      </c>
      <c r="AB2" s="154" t="s">
        <v>1</v>
      </c>
      <c r="AC2" s="154" t="s">
        <v>1</v>
      </c>
      <c r="AD2" s="154" t="s">
        <v>1</v>
      </c>
      <c r="AE2" s="154" t="s">
        <v>1</v>
      </c>
      <c r="AF2" s="154" t="s">
        <v>1</v>
      </c>
      <c r="AG2" s="154" t="s">
        <v>1</v>
      </c>
      <c r="AH2" s="154" t="s">
        <v>1</v>
      </c>
      <c r="AI2" s="154" t="s">
        <v>1</v>
      </c>
      <c r="AJ2" s="154" t="s">
        <v>1</v>
      </c>
      <c r="AK2" s="154" t="s">
        <v>1</v>
      </c>
      <c r="AL2" s="154" t="s">
        <v>1</v>
      </c>
    </row>
    <row r="3" spans="1:38" ht="15.6" x14ac:dyDescent="0.3">
      <c r="A3" s="155" t="s">
        <v>152</v>
      </c>
      <c r="B3" s="155" t="s">
        <v>152</v>
      </c>
      <c r="C3" s="155" t="s">
        <v>152</v>
      </c>
      <c r="D3" s="155" t="s">
        <v>152</v>
      </c>
      <c r="E3" s="155" t="s">
        <v>152</v>
      </c>
      <c r="F3" s="155" t="s">
        <v>152</v>
      </c>
      <c r="G3" s="155" t="s">
        <v>152</v>
      </c>
      <c r="H3" s="155" t="s">
        <v>152</v>
      </c>
      <c r="I3" s="155" t="s">
        <v>152</v>
      </c>
      <c r="J3" s="155" t="s">
        <v>152</v>
      </c>
      <c r="K3" s="155" t="s">
        <v>152</v>
      </c>
      <c r="L3" s="155" t="s">
        <v>152</v>
      </c>
      <c r="M3" s="155" t="s">
        <v>152</v>
      </c>
      <c r="N3" s="155" t="s">
        <v>152</v>
      </c>
      <c r="O3" s="155" t="s">
        <v>152</v>
      </c>
      <c r="P3" s="155" t="s">
        <v>152</v>
      </c>
      <c r="Q3" s="155" t="s">
        <v>152</v>
      </c>
      <c r="R3" s="155" t="s">
        <v>152</v>
      </c>
      <c r="S3" s="155" t="s">
        <v>152</v>
      </c>
      <c r="T3" s="155" t="s">
        <v>152</v>
      </c>
      <c r="U3" s="155" t="s">
        <v>152</v>
      </c>
      <c r="V3" s="155" t="s">
        <v>152</v>
      </c>
      <c r="W3" s="155" t="s">
        <v>152</v>
      </c>
      <c r="X3" s="155" t="s">
        <v>152</v>
      </c>
      <c r="Y3" s="155" t="s">
        <v>152</v>
      </c>
      <c r="Z3" s="155" t="s">
        <v>152</v>
      </c>
      <c r="AA3" s="155" t="s">
        <v>152</v>
      </c>
      <c r="AB3" s="155" t="s">
        <v>152</v>
      </c>
      <c r="AC3" s="155" t="s">
        <v>152</v>
      </c>
      <c r="AD3" s="155" t="s">
        <v>152</v>
      </c>
      <c r="AE3" s="155" t="s">
        <v>152</v>
      </c>
      <c r="AF3" s="155" t="s">
        <v>152</v>
      </c>
      <c r="AG3" s="155" t="s">
        <v>152</v>
      </c>
      <c r="AH3" s="155" t="s">
        <v>152</v>
      </c>
      <c r="AI3" s="155" t="s">
        <v>152</v>
      </c>
      <c r="AJ3" s="155" t="s">
        <v>152</v>
      </c>
      <c r="AK3" s="155" t="s">
        <v>152</v>
      </c>
      <c r="AL3" s="155" t="s">
        <v>152</v>
      </c>
    </row>
    <row r="5" spans="1:38" ht="13.5" customHeight="1" x14ac:dyDescent="0.3">
      <c r="A5" s="156" t="s">
        <v>3</v>
      </c>
      <c r="B5" s="151" t="s">
        <v>4</v>
      </c>
      <c r="C5" s="152" t="s">
        <v>3</v>
      </c>
      <c r="D5" s="151" t="s">
        <v>5</v>
      </c>
      <c r="E5" s="152" t="s">
        <v>3</v>
      </c>
      <c r="F5" s="151" t="s">
        <v>6</v>
      </c>
      <c r="G5" s="152" t="s">
        <v>3</v>
      </c>
      <c r="H5" s="151" t="s">
        <v>7</v>
      </c>
      <c r="I5" s="152" t="s">
        <v>3</v>
      </c>
      <c r="J5" s="151" t="s">
        <v>8</v>
      </c>
      <c r="K5" s="152" t="s">
        <v>3</v>
      </c>
      <c r="L5" s="151" t="s">
        <v>9</v>
      </c>
      <c r="M5" s="152" t="s">
        <v>3</v>
      </c>
      <c r="N5" s="151" t="s">
        <v>10</v>
      </c>
      <c r="O5" s="152" t="s">
        <v>3</v>
      </c>
      <c r="P5" s="151" t="s">
        <v>11</v>
      </c>
      <c r="Q5" s="152" t="s">
        <v>3</v>
      </c>
      <c r="R5" s="151" t="s">
        <v>12</v>
      </c>
      <c r="S5" s="152" t="s">
        <v>3</v>
      </c>
      <c r="T5" s="151" t="s">
        <v>13</v>
      </c>
      <c r="U5" s="152" t="s">
        <v>3</v>
      </c>
      <c r="V5" s="151" t="s">
        <v>14</v>
      </c>
      <c r="W5" s="152" t="s">
        <v>3</v>
      </c>
      <c r="X5" s="151" t="s">
        <v>15</v>
      </c>
      <c r="Y5" s="152" t="s">
        <v>3</v>
      </c>
      <c r="Z5" s="151" t="s">
        <v>16</v>
      </c>
      <c r="AA5" s="152" t="s">
        <v>3</v>
      </c>
      <c r="AB5" s="151" t="s">
        <v>17</v>
      </c>
      <c r="AC5" s="152" t="s">
        <v>3</v>
      </c>
      <c r="AD5" s="149" t="s">
        <v>18</v>
      </c>
      <c r="AE5" s="150" t="s">
        <v>3</v>
      </c>
      <c r="AF5" s="149" t="s">
        <v>19</v>
      </c>
      <c r="AG5" s="151" t="s">
        <v>20</v>
      </c>
      <c r="AH5" s="152" t="s">
        <v>3</v>
      </c>
      <c r="AI5" s="149" t="s">
        <v>21</v>
      </c>
      <c r="AJ5" s="150" t="s">
        <v>3</v>
      </c>
      <c r="AK5" s="149" t="s">
        <v>22</v>
      </c>
      <c r="AL5" s="150" t="s">
        <v>3</v>
      </c>
    </row>
    <row r="6" spans="1:38" ht="16.5" customHeight="1" x14ac:dyDescent="0.3">
      <c r="A6" s="1" t="s">
        <v>23</v>
      </c>
      <c r="B6" s="2"/>
      <c r="C6" s="3"/>
      <c r="D6" s="2"/>
      <c r="E6" s="3"/>
      <c r="F6" s="2"/>
      <c r="G6" s="3"/>
      <c r="H6" s="2"/>
      <c r="I6" s="3"/>
      <c r="J6" s="2"/>
      <c r="K6" s="3"/>
      <c r="L6" s="2"/>
      <c r="M6" s="3"/>
      <c r="N6" s="2"/>
      <c r="O6" s="3"/>
      <c r="P6" s="2"/>
      <c r="Q6" s="3"/>
      <c r="R6" s="2"/>
      <c r="S6" s="3"/>
      <c r="T6" s="2"/>
      <c r="U6" s="3"/>
      <c r="V6" s="2"/>
      <c r="W6" s="3"/>
      <c r="X6" s="2"/>
      <c r="Y6" s="3"/>
      <c r="Z6" s="2"/>
      <c r="AA6" s="3"/>
      <c r="AB6" s="2"/>
      <c r="AC6" s="3"/>
      <c r="AD6" s="4"/>
      <c r="AE6" s="5"/>
      <c r="AF6" s="4"/>
      <c r="AG6" s="2"/>
      <c r="AH6" s="3"/>
      <c r="AI6" s="4"/>
      <c r="AJ6" s="5"/>
      <c r="AK6" s="4"/>
      <c r="AL6" s="5"/>
    </row>
    <row r="7" spans="1:38" ht="16.5" customHeight="1" x14ac:dyDescent="0.3">
      <c r="A7" s="6" t="s">
        <v>23</v>
      </c>
      <c r="B7" s="7">
        <v>35456.800000000003</v>
      </c>
      <c r="C7" s="8">
        <f>IFERROR(B7/B148, "NA")</f>
        <v>1</v>
      </c>
      <c r="D7" s="7">
        <v>38579.340000000004</v>
      </c>
      <c r="E7" s="8">
        <f>IFERROR(D7/D148, "NA")</f>
        <v>1.0000000000000002</v>
      </c>
      <c r="F7" s="7">
        <v>44951.459999999985</v>
      </c>
      <c r="G7" s="8">
        <f>IFERROR(F7/F148, "NA")</f>
        <v>0.99999999999999967</v>
      </c>
      <c r="H7" s="7">
        <v>41204.029999999992</v>
      </c>
      <c r="I7" s="8">
        <f>IFERROR(H7/H148, "NA")</f>
        <v>0.99999999999999978</v>
      </c>
      <c r="J7" s="7">
        <v>38753.799999999996</v>
      </c>
      <c r="K7" s="8">
        <f>IFERROR(J7/J148, "NA")</f>
        <v>0.99999999999999978</v>
      </c>
      <c r="L7" s="7">
        <v>52305.73</v>
      </c>
      <c r="M7" s="8">
        <f>IFERROR(L7/L148, "NA")</f>
        <v>1</v>
      </c>
      <c r="N7" s="7">
        <v>50542.39</v>
      </c>
      <c r="O7" s="8">
        <f>IFERROR(N7/N148, "NA")</f>
        <v>1</v>
      </c>
      <c r="P7" s="7">
        <v>47289.110000000008</v>
      </c>
      <c r="Q7" s="8">
        <f>IFERROR(P7/P148, "NA")</f>
        <v>1.0000000000000002</v>
      </c>
      <c r="R7" s="7">
        <v>48050.12</v>
      </c>
      <c r="S7" s="8">
        <f>IFERROR(R7/R148, "NA")</f>
        <v>1</v>
      </c>
      <c r="T7" s="7">
        <v>42443.339999999989</v>
      </c>
      <c r="U7" s="8">
        <f>IFERROR(T7/T148, "NA")</f>
        <v>0.99999999999999978</v>
      </c>
      <c r="V7" s="7">
        <v>59625.96</v>
      </c>
      <c r="W7" s="8">
        <f>IFERROR(V7/V148, "NA")</f>
        <v>1</v>
      </c>
      <c r="X7" s="7">
        <v>58927.179999999993</v>
      </c>
      <c r="Y7" s="8">
        <f>IFERROR(X7/X148, "NA")</f>
        <v>0.99999999999999989</v>
      </c>
      <c r="Z7" s="7">
        <v>160996.48000000004</v>
      </c>
      <c r="AA7" s="8">
        <f>IFERROR(Z7/Z148, "NA")</f>
        <v>1.0000000000000002</v>
      </c>
      <c r="AB7" s="9">
        <f>IFERROR((R7+T7+V7+X7)/4, "NA")</f>
        <v>52261.649999999994</v>
      </c>
      <c r="AC7" s="8">
        <f>IFERROR(AB7/AB148, "NA")</f>
        <v>1</v>
      </c>
      <c r="AD7" s="10">
        <f>IFERROR(X7-AB7, "NA")</f>
        <v>6665.5299999999988</v>
      </c>
      <c r="AE7" s="11">
        <f>IFERROR(AD7/AD148, "NA")</f>
        <v>0.99999999999999889</v>
      </c>
      <c r="AF7" s="10">
        <f>IFERROR((X7-AB7)/AB7, "NA")</f>
        <v>0.12754151466706465</v>
      </c>
      <c r="AG7" s="9">
        <f>IFERROR((J7+L7+N7+P7+R7+T7+V7+X7)/8, "NA")</f>
        <v>49742.203750000001</v>
      </c>
      <c r="AH7" s="8">
        <f>IFERROR(AG7/AG148, "NA")</f>
        <v>1</v>
      </c>
      <c r="AI7" s="10">
        <f>IFERROR(X7-AG7, "NA")</f>
        <v>9184.9762499999924</v>
      </c>
      <c r="AJ7" s="11">
        <f>IFERROR(AI7/AI148, "NA")</f>
        <v>0.99999999999999922</v>
      </c>
      <c r="AK7" s="10">
        <f>IFERROR((X7-AG7)/AG7, "NA")</f>
        <v>0.18465157467013094</v>
      </c>
      <c r="AL7" s="11">
        <f>IFERROR(AK7/AK148, "NA")</f>
        <v>0.99999999999999922</v>
      </c>
    </row>
    <row r="8" spans="1:38" ht="30.75" hidden="1" customHeight="1" x14ac:dyDescent="0.3">
      <c r="A8" s="6" t="s">
        <v>24</v>
      </c>
      <c r="B8" s="7">
        <v>0</v>
      </c>
      <c r="C8" s="8">
        <f>IFERROR(B8/B148, "NA")</f>
        <v>0</v>
      </c>
      <c r="D8" s="7">
        <v>0</v>
      </c>
      <c r="E8" s="8">
        <f>IFERROR(D8/D148, "NA")</f>
        <v>0</v>
      </c>
      <c r="F8" s="7">
        <v>0</v>
      </c>
      <c r="G8" s="8">
        <f>IFERROR(F8/F148, "NA")</f>
        <v>0</v>
      </c>
      <c r="H8" s="7">
        <v>0</v>
      </c>
      <c r="I8" s="8">
        <f>IFERROR(H8/H148, "NA")</f>
        <v>0</v>
      </c>
      <c r="J8" s="7">
        <v>0</v>
      </c>
      <c r="K8" s="8">
        <f>IFERROR(J8/J148, "NA")</f>
        <v>0</v>
      </c>
      <c r="L8" s="7">
        <v>0</v>
      </c>
      <c r="M8" s="8">
        <f>IFERROR(L8/L148, "NA")</f>
        <v>0</v>
      </c>
      <c r="N8" s="7">
        <v>0</v>
      </c>
      <c r="O8" s="8">
        <f>IFERROR(N8/N148, "NA")</f>
        <v>0</v>
      </c>
      <c r="P8" s="7">
        <v>0</v>
      </c>
      <c r="Q8" s="8">
        <f>IFERROR(P8/P148, "NA")</f>
        <v>0</v>
      </c>
      <c r="R8" s="7">
        <v>0</v>
      </c>
      <c r="S8" s="8">
        <f>IFERROR(R8/R148, "NA")</f>
        <v>0</v>
      </c>
      <c r="T8" s="7">
        <v>0</v>
      </c>
      <c r="U8" s="8">
        <f>IFERROR(T8/T148, "NA")</f>
        <v>0</v>
      </c>
      <c r="V8" s="7">
        <v>0</v>
      </c>
      <c r="W8" s="8">
        <f>IFERROR(V8/V148, "NA")</f>
        <v>0</v>
      </c>
      <c r="X8" s="7">
        <v>0</v>
      </c>
      <c r="Y8" s="8">
        <f>IFERROR(X8/X148, "NA")</f>
        <v>0</v>
      </c>
      <c r="Z8" s="7">
        <v>0</v>
      </c>
      <c r="AA8" s="8">
        <f>IFERROR(Z8/Z148, "NA")</f>
        <v>0</v>
      </c>
      <c r="AB8" s="9">
        <f>IFERROR((R8+T8+V8+X8)/4, "NA")</f>
        <v>0</v>
      </c>
      <c r="AC8" s="8">
        <f>IFERROR(AB8/AB148, "NA")</f>
        <v>0</v>
      </c>
      <c r="AD8" s="10">
        <f>IFERROR(X8-AB8, "NA")</f>
        <v>0</v>
      </c>
      <c r="AE8" s="11">
        <f>IFERROR(AD8/AD148, "NA")</f>
        <v>0</v>
      </c>
      <c r="AF8" s="10" t="str">
        <f>IFERROR((X8-AB8)/AB8, "NA")</f>
        <v>NA</v>
      </c>
      <c r="AG8" s="9">
        <f>IFERROR((J8+L8+N8+P8+R8+T8+V8+X8)/8, "NA")</f>
        <v>0</v>
      </c>
      <c r="AH8" s="8">
        <f>IFERROR(AG8/AG148, "NA")</f>
        <v>0</v>
      </c>
      <c r="AI8" s="10">
        <f>IFERROR(X8-AG8, "NA")</f>
        <v>0</v>
      </c>
      <c r="AJ8" s="11">
        <f>IFERROR(AI8/AI148, "NA")</f>
        <v>0</v>
      </c>
      <c r="AK8" s="10" t="str">
        <f>IFERROR((X8-AG8)/AG8, "NA")</f>
        <v>NA</v>
      </c>
      <c r="AL8" s="11" t="str">
        <f>IFERROR(AK8/AK148, "NA")</f>
        <v>NA</v>
      </c>
    </row>
    <row r="9" spans="1:38" ht="16.5" customHeight="1" x14ac:dyDescent="0.3">
      <c r="A9" s="12" t="s">
        <v>25</v>
      </c>
      <c r="B9" s="13">
        <f>IFERROR(B7+B8, "NA")</f>
        <v>35456.800000000003</v>
      </c>
      <c r="C9" s="14">
        <f>IFERROR(B9/B148, "NA")</f>
        <v>1</v>
      </c>
      <c r="D9" s="13">
        <f>IFERROR(D7+D8, "NA")</f>
        <v>38579.340000000004</v>
      </c>
      <c r="E9" s="14">
        <f>IFERROR(D9/D148, "NA")</f>
        <v>1.0000000000000002</v>
      </c>
      <c r="F9" s="13">
        <f>IFERROR(F7+F8, "NA")</f>
        <v>44951.459999999985</v>
      </c>
      <c r="G9" s="14">
        <f>IFERROR(F9/F148, "NA")</f>
        <v>0.99999999999999967</v>
      </c>
      <c r="H9" s="13">
        <f>IFERROR(H7+H8, "NA")</f>
        <v>41204.029999999992</v>
      </c>
      <c r="I9" s="14">
        <f>IFERROR(H9/H148, "NA")</f>
        <v>0.99999999999999978</v>
      </c>
      <c r="J9" s="13">
        <f>IFERROR(J7+J8, "NA")</f>
        <v>38753.799999999996</v>
      </c>
      <c r="K9" s="14">
        <f>IFERROR(J9/J148, "NA")</f>
        <v>0.99999999999999978</v>
      </c>
      <c r="L9" s="13">
        <f>IFERROR(L7+L8, "NA")</f>
        <v>52305.73</v>
      </c>
      <c r="M9" s="14">
        <f>IFERROR(L9/L148, "NA")</f>
        <v>1</v>
      </c>
      <c r="N9" s="13">
        <f>IFERROR(N7+N8, "NA")</f>
        <v>50542.39</v>
      </c>
      <c r="O9" s="14">
        <f>IFERROR(N9/N148, "NA")</f>
        <v>1</v>
      </c>
      <c r="P9" s="13">
        <f>IFERROR(P7+P8, "NA")</f>
        <v>47289.110000000008</v>
      </c>
      <c r="Q9" s="14">
        <f>IFERROR(P9/P148, "NA")</f>
        <v>1.0000000000000002</v>
      </c>
      <c r="R9" s="13">
        <f>IFERROR(R7+R8, "NA")</f>
        <v>48050.12</v>
      </c>
      <c r="S9" s="14">
        <f>IFERROR(R9/R148, "NA")</f>
        <v>1</v>
      </c>
      <c r="T9" s="13">
        <f>IFERROR(T7+T8, "NA")</f>
        <v>42443.339999999989</v>
      </c>
      <c r="U9" s="14">
        <f>IFERROR(T9/T148, "NA")</f>
        <v>0.99999999999999978</v>
      </c>
      <c r="V9" s="13">
        <f>IFERROR(V7+V8, "NA")</f>
        <v>59625.96</v>
      </c>
      <c r="W9" s="14">
        <f>IFERROR(V9/V148, "NA")</f>
        <v>1</v>
      </c>
      <c r="X9" s="13">
        <f>IFERROR(X7+X8, "NA")</f>
        <v>58927.179999999993</v>
      </c>
      <c r="Y9" s="14">
        <f>IFERROR(X9/X148, "NA")</f>
        <v>0.99999999999999989</v>
      </c>
      <c r="Z9" s="13">
        <f>IFERROR(Z7+Z8, "NA")</f>
        <v>160996.48000000004</v>
      </c>
      <c r="AA9" s="14">
        <f>IFERROR(Z9/Z148, "NA")</f>
        <v>1.0000000000000002</v>
      </c>
      <c r="AB9" s="13">
        <f>IFERROR((R9+T9+V9+X9)/4, "NA")</f>
        <v>52261.649999999994</v>
      </c>
      <c r="AC9" s="14">
        <f>IFERROR(AB9/AB148, "NA")</f>
        <v>1</v>
      </c>
      <c r="AD9" s="15">
        <f>IFERROR(X9-AB9, "NA")</f>
        <v>6665.5299999999988</v>
      </c>
      <c r="AE9" s="16">
        <f>IFERROR(AD9/AD148, "NA")</f>
        <v>0.99999999999999889</v>
      </c>
      <c r="AF9" s="15">
        <f>IFERROR((X9-AB9)/AB9, "NA")</f>
        <v>0.12754151466706465</v>
      </c>
      <c r="AG9" s="13">
        <f>IFERROR((J9+L9+N9+P9+R9+T9+V9+X9)/8, "NA")</f>
        <v>49742.203750000001</v>
      </c>
      <c r="AH9" s="14">
        <f>IFERROR(AG9/AG148, "NA")</f>
        <v>1</v>
      </c>
      <c r="AI9" s="15">
        <f>IFERROR(X9-AG9, "NA")</f>
        <v>9184.9762499999924</v>
      </c>
      <c r="AJ9" s="16">
        <f>IFERROR(AI9/AI148, "NA")</f>
        <v>0.99999999999999922</v>
      </c>
      <c r="AK9" s="15">
        <f>IFERROR((X9-AG9)/AG9, "NA")</f>
        <v>0.18465157467013094</v>
      </c>
      <c r="AL9" s="16">
        <f>IFERROR(AK9/AK148, "NA")</f>
        <v>0.99999999999999922</v>
      </c>
    </row>
    <row r="10" spans="1:38" ht="3.75" customHeight="1" x14ac:dyDescent="0.3">
      <c r="A10" s="17" t="s">
        <v>3</v>
      </c>
      <c r="B10" s="18"/>
      <c r="C10" s="19"/>
      <c r="D10" s="18"/>
      <c r="E10" s="19"/>
      <c r="F10" s="18"/>
      <c r="G10" s="19"/>
      <c r="H10" s="18"/>
      <c r="I10" s="19"/>
      <c r="J10" s="18"/>
      <c r="K10" s="19"/>
      <c r="L10" s="18"/>
      <c r="M10" s="19"/>
      <c r="N10" s="18"/>
      <c r="O10" s="19"/>
      <c r="P10" s="18"/>
      <c r="Q10" s="19"/>
      <c r="R10" s="18"/>
      <c r="S10" s="19"/>
      <c r="T10" s="18"/>
      <c r="U10" s="19"/>
      <c r="V10" s="18"/>
      <c r="W10" s="19"/>
      <c r="X10" s="18"/>
      <c r="Y10" s="19"/>
      <c r="Z10" s="18"/>
      <c r="AA10" s="19"/>
      <c r="AB10" s="18"/>
      <c r="AC10" s="19"/>
      <c r="AD10" s="20"/>
      <c r="AE10" s="21"/>
      <c r="AF10" s="20"/>
      <c r="AG10" s="18"/>
      <c r="AH10" s="19"/>
      <c r="AI10" s="20"/>
      <c r="AJ10" s="21"/>
      <c r="AK10" s="20"/>
      <c r="AL10" s="21"/>
    </row>
    <row r="11" spans="1:38" ht="16.5" customHeight="1" x14ac:dyDescent="0.3">
      <c r="A11" s="1" t="s">
        <v>26</v>
      </c>
      <c r="B11" s="2"/>
      <c r="C11" s="3"/>
      <c r="D11" s="2"/>
      <c r="E11" s="3"/>
      <c r="F11" s="2"/>
      <c r="G11" s="3"/>
      <c r="H11" s="2"/>
      <c r="I11" s="3"/>
      <c r="J11" s="2"/>
      <c r="K11" s="3"/>
      <c r="L11" s="2"/>
      <c r="M11" s="3"/>
      <c r="N11" s="2"/>
      <c r="O11" s="3"/>
      <c r="P11" s="2"/>
      <c r="Q11" s="3"/>
      <c r="R11" s="2"/>
      <c r="S11" s="3"/>
      <c r="T11" s="2"/>
      <c r="U11" s="3"/>
      <c r="V11" s="2"/>
      <c r="W11" s="3"/>
      <c r="X11" s="2"/>
      <c r="Y11" s="3"/>
      <c r="Z11" s="2"/>
      <c r="AA11" s="3"/>
      <c r="AB11" s="2"/>
      <c r="AC11" s="3"/>
      <c r="AD11" s="4"/>
      <c r="AE11" s="5"/>
      <c r="AF11" s="4"/>
      <c r="AG11" s="2"/>
      <c r="AH11" s="3"/>
      <c r="AI11" s="4"/>
      <c r="AJ11" s="5"/>
      <c r="AK11" s="4"/>
      <c r="AL11" s="5"/>
    </row>
    <row r="12" spans="1:38" ht="16.5" customHeight="1" x14ac:dyDescent="0.3">
      <c r="A12" s="22" t="s">
        <v>27</v>
      </c>
      <c r="B12" s="2"/>
      <c r="C12" s="3"/>
      <c r="D12" s="2"/>
      <c r="E12" s="3"/>
      <c r="F12" s="2"/>
      <c r="G12" s="3"/>
      <c r="H12" s="2"/>
      <c r="I12" s="3"/>
      <c r="J12" s="2"/>
      <c r="K12" s="3"/>
      <c r="L12" s="2"/>
      <c r="M12" s="3"/>
      <c r="N12" s="2"/>
      <c r="O12" s="3"/>
      <c r="P12" s="2"/>
      <c r="Q12" s="3"/>
      <c r="R12" s="2"/>
      <c r="S12" s="3"/>
      <c r="T12" s="2"/>
      <c r="U12" s="3"/>
      <c r="V12" s="2"/>
      <c r="W12" s="3"/>
      <c r="X12" s="2"/>
      <c r="Y12" s="3"/>
      <c r="Z12" s="2"/>
      <c r="AA12" s="3"/>
      <c r="AB12" s="2"/>
      <c r="AC12" s="3"/>
      <c r="AD12" s="4"/>
      <c r="AE12" s="5"/>
      <c r="AF12" s="4"/>
      <c r="AG12" s="2"/>
      <c r="AH12" s="3"/>
      <c r="AI12" s="4"/>
      <c r="AJ12" s="5"/>
      <c r="AK12" s="4"/>
      <c r="AL12" s="5"/>
    </row>
    <row r="13" spans="1:38" ht="16.5" hidden="1" customHeight="1" x14ac:dyDescent="0.3">
      <c r="A13" s="23" t="s">
        <v>28</v>
      </c>
      <c r="B13" s="7">
        <v>0</v>
      </c>
      <c r="C13" s="8">
        <f>IFERROR(B13/B148, "NA")</f>
        <v>0</v>
      </c>
      <c r="D13" s="7">
        <v>0</v>
      </c>
      <c r="E13" s="8">
        <f>IFERROR(D13/D148, "NA")</f>
        <v>0</v>
      </c>
      <c r="F13" s="7">
        <v>0</v>
      </c>
      <c r="G13" s="8">
        <f>IFERROR(F13/F148, "NA")</f>
        <v>0</v>
      </c>
      <c r="H13" s="7">
        <v>0</v>
      </c>
      <c r="I13" s="8">
        <f>IFERROR(H13/H148, "NA")</f>
        <v>0</v>
      </c>
      <c r="J13" s="7">
        <v>0</v>
      </c>
      <c r="K13" s="8">
        <f>IFERROR(J13/J148, "NA")</f>
        <v>0</v>
      </c>
      <c r="L13" s="7">
        <v>0</v>
      </c>
      <c r="M13" s="8">
        <f>IFERROR(L13/L148, "NA")</f>
        <v>0</v>
      </c>
      <c r="N13" s="7">
        <v>0</v>
      </c>
      <c r="O13" s="8">
        <f>IFERROR(N13/N148, "NA")</f>
        <v>0</v>
      </c>
      <c r="P13" s="7">
        <v>0</v>
      </c>
      <c r="Q13" s="8">
        <f>IFERROR(P13/P148, "NA")</f>
        <v>0</v>
      </c>
      <c r="R13" s="7">
        <v>0</v>
      </c>
      <c r="S13" s="8">
        <f>IFERROR(R13/R148, "NA")</f>
        <v>0</v>
      </c>
      <c r="T13" s="7">
        <v>0</v>
      </c>
      <c r="U13" s="8">
        <f>IFERROR(T13/T148, "NA")</f>
        <v>0</v>
      </c>
      <c r="V13" s="7">
        <v>0</v>
      </c>
      <c r="W13" s="8">
        <f>IFERROR(V13/V148, "NA")</f>
        <v>0</v>
      </c>
      <c r="X13" s="7">
        <v>0</v>
      </c>
      <c r="Y13" s="8">
        <f>IFERROR(X13/X148, "NA")</f>
        <v>0</v>
      </c>
      <c r="Z13" s="7">
        <v>0</v>
      </c>
      <c r="AA13" s="8">
        <f>IFERROR(Z13/Z148, "NA")</f>
        <v>0</v>
      </c>
      <c r="AB13" s="9">
        <f>IFERROR((R13+T13+V13+X13)/4, "NA")</f>
        <v>0</v>
      </c>
      <c r="AC13" s="8">
        <f>IFERROR(AB13/AB148, "NA")</f>
        <v>0</v>
      </c>
      <c r="AD13" s="10">
        <f>IFERROR(X13-AB13, "NA")</f>
        <v>0</v>
      </c>
      <c r="AE13" s="11">
        <f>IFERROR(AD13/AD148, "NA")</f>
        <v>0</v>
      </c>
      <c r="AF13" s="10" t="str">
        <f>IFERROR((X13-AB13)/AB13, "NA")</f>
        <v>NA</v>
      </c>
      <c r="AG13" s="9">
        <f>IFERROR((J13+L13+N13+P13+R13+T13+V13+X13)/8, "NA")</f>
        <v>0</v>
      </c>
      <c r="AH13" s="8">
        <f>IFERROR(AG13/AG148, "NA")</f>
        <v>0</v>
      </c>
      <c r="AI13" s="10">
        <f>IFERROR(X13-AG13, "NA")</f>
        <v>0</v>
      </c>
      <c r="AJ13" s="11">
        <f>IFERROR(AI13/AI148, "NA")</f>
        <v>0</v>
      </c>
      <c r="AK13" s="10" t="str">
        <f>IFERROR((X13-AG13)/AG13, "NA")</f>
        <v>NA</v>
      </c>
      <c r="AL13" s="11" t="str">
        <f>IFERROR(AK13/AK148, "NA")</f>
        <v>NA</v>
      </c>
    </row>
    <row r="14" spans="1:38" ht="16.5" customHeight="1" x14ac:dyDescent="0.3">
      <c r="A14" s="24" t="s">
        <v>29</v>
      </c>
      <c r="B14" s="2"/>
      <c r="C14" s="3"/>
      <c r="D14" s="2"/>
      <c r="E14" s="3"/>
      <c r="F14" s="2"/>
      <c r="G14" s="3"/>
      <c r="H14" s="2"/>
      <c r="I14" s="3"/>
      <c r="J14" s="2"/>
      <c r="K14" s="3"/>
      <c r="L14" s="2"/>
      <c r="M14" s="3"/>
      <c r="N14" s="2"/>
      <c r="O14" s="3"/>
      <c r="P14" s="2"/>
      <c r="Q14" s="3"/>
      <c r="R14" s="2"/>
      <c r="S14" s="3"/>
      <c r="T14" s="2"/>
      <c r="U14" s="3"/>
      <c r="V14" s="2"/>
      <c r="W14" s="3"/>
      <c r="X14" s="2"/>
      <c r="Y14" s="3"/>
      <c r="Z14" s="2"/>
      <c r="AA14" s="3"/>
      <c r="AB14" s="2"/>
      <c r="AC14" s="3"/>
      <c r="AD14" s="4"/>
      <c r="AE14" s="5"/>
      <c r="AF14" s="4"/>
      <c r="AG14" s="2"/>
      <c r="AH14" s="3"/>
      <c r="AI14" s="4"/>
      <c r="AJ14" s="5"/>
      <c r="AK14" s="4"/>
      <c r="AL14" s="5"/>
    </row>
    <row r="15" spans="1:38" ht="16.5" hidden="1" customHeight="1" x14ac:dyDescent="0.3">
      <c r="A15" s="25" t="s">
        <v>30</v>
      </c>
      <c r="B15" s="7">
        <v>0</v>
      </c>
      <c r="C15" s="8">
        <f>IFERROR(B15/B148, "NA")</f>
        <v>0</v>
      </c>
      <c r="D15" s="7">
        <v>0</v>
      </c>
      <c r="E15" s="8">
        <f>IFERROR(D15/D148, "NA")</f>
        <v>0</v>
      </c>
      <c r="F15" s="7">
        <v>0</v>
      </c>
      <c r="G15" s="8">
        <f>IFERROR(F15/F148, "NA")</f>
        <v>0</v>
      </c>
      <c r="H15" s="7">
        <v>0</v>
      </c>
      <c r="I15" s="8">
        <f>IFERROR(H15/H148, "NA")</f>
        <v>0</v>
      </c>
      <c r="J15" s="7">
        <v>0</v>
      </c>
      <c r="K15" s="8">
        <f>IFERROR(J15/J148, "NA")</f>
        <v>0</v>
      </c>
      <c r="L15" s="7">
        <v>0</v>
      </c>
      <c r="M15" s="8">
        <f>IFERROR(L15/L148, "NA")</f>
        <v>0</v>
      </c>
      <c r="N15" s="7">
        <v>0</v>
      </c>
      <c r="O15" s="8">
        <f>IFERROR(N15/N148, "NA")</f>
        <v>0</v>
      </c>
      <c r="P15" s="7">
        <v>0</v>
      </c>
      <c r="Q15" s="8">
        <f>IFERROR(P15/P148, "NA")</f>
        <v>0</v>
      </c>
      <c r="R15" s="7">
        <v>0</v>
      </c>
      <c r="S15" s="8">
        <f>IFERROR(R15/R148, "NA")</f>
        <v>0</v>
      </c>
      <c r="T15" s="7">
        <v>0</v>
      </c>
      <c r="U15" s="8">
        <f>IFERROR(T15/T148, "NA")</f>
        <v>0</v>
      </c>
      <c r="V15" s="7">
        <v>0</v>
      </c>
      <c r="W15" s="8">
        <f>IFERROR(V15/V148, "NA")</f>
        <v>0</v>
      </c>
      <c r="X15" s="7">
        <v>0</v>
      </c>
      <c r="Y15" s="8">
        <f>IFERROR(X15/X148, "NA")</f>
        <v>0</v>
      </c>
      <c r="Z15" s="7">
        <v>0</v>
      </c>
      <c r="AA15" s="8">
        <f>IFERROR(Z15/Z148, "NA")</f>
        <v>0</v>
      </c>
      <c r="AB15" s="9">
        <f t="shared" ref="AB15:AB27" si="0">IFERROR((R15+T15+V15+X15)/4, "NA")</f>
        <v>0</v>
      </c>
      <c r="AC15" s="8">
        <f>IFERROR(AB15/AB148, "NA")</f>
        <v>0</v>
      </c>
      <c r="AD15" s="10">
        <f t="shared" ref="AD15:AD27" si="1">IFERROR(X15-AB15, "NA")</f>
        <v>0</v>
      </c>
      <c r="AE15" s="11">
        <f>IFERROR(AD15/AD148, "NA")</f>
        <v>0</v>
      </c>
      <c r="AF15" s="10" t="str">
        <f t="shared" ref="AF15:AF27" si="2">IFERROR((X15-AB15)/AB15, "NA")</f>
        <v>NA</v>
      </c>
      <c r="AG15" s="9">
        <f t="shared" ref="AG15:AG27" si="3">IFERROR((J15+L15+N15+P15+R15+T15+V15+X15)/8, "NA")</f>
        <v>0</v>
      </c>
      <c r="AH15" s="8">
        <f>IFERROR(AG15/AG148, "NA")</f>
        <v>0</v>
      </c>
      <c r="AI15" s="10">
        <f t="shared" ref="AI15:AI27" si="4">IFERROR(X15-AG15, "NA")</f>
        <v>0</v>
      </c>
      <c r="AJ15" s="11">
        <f>IFERROR(AI15/AI148, "NA")</f>
        <v>0</v>
      </c>
      <c r="AK15" s="10" t="str">
        <f t="shared" ref="AK15:AK27" si="5">IFERROR((X15-AG15)/AG15, "NA")</f>
        <v>NA</v>
      </c>
      <c r="AL15" s="11" t="str">
        <f>IFERROR(AK15/AK148, "NA")</f>
        <v>NA</v>
      </c>
    </row>
    <row r="16" spans="1:38" ht="16.5" customHeight="1" x14ac:dyDescent="0.3">
      <c r="A16" s="25" t="s">
        <v>31</v>
      </c>
      <c r="B16" s="7">
        <v>1678.29</v>
      </c>
      <c r="C16" s="8">
        <f>IFERROR(B16/B148, "NA")</f>
        <v>4.7333374698224316E-2</v>
      </c>
      <c r="D16" s="7">
        <v>2300.5</v>
      </c>
      <c r="E16" s="8">
        <f>IFERROR(D16/D148, "NA")</f>
        <v>5.9630361742839567E-2</v>
      </c>
      <c r="F16" s="7">
        <v>2048.3000000000002</v>
      </c>
      <c r="G16" s="8">
        <f>IFERROR(F16/F148, "NA")</f>
        <v>4.5566929305522003E-2</v>
      </c>
      <c r="H16" s="7">
        <v>2306.79</v>
      </c>
      <c r="I16" s="8">
        <f>IFERROR(H16/H148, "NA")</f>
        <v>5.5984572382847021E-2</v>
      </c>
      <c r="J16" s="7">
        <v>2062.98</v>
      </c>
      <c r="K16" s="8">
        <f>IFERROR(J16/J148, "NA")</f>
        <v>5.3232973282620021E-2</v>
      </c>
      <c r="L16" s="7">
        <v>1922.47</v>
      </c>
      <c r="M16" s="8">
        <f>IFERROR(L16/L148, "NA")</f>
        <v>3.675448177475011E-2</v>
      </c>
      <c r="N16" s="7">
        <v>2214.9699999999998</v>
      </c>
      <c r="O16" s="8">
        <f>IFERROR(N16/N148, "NA")</f>
        <v>4.3824005948274306E-2</v>
      </c>
      <c r="P16" s="7">
        <v>1994.99</v>
      </c>
      <c r="Q16" s="8">
        <f>IFERROR(P16/P148, "NA")</f>
        <v>4.218709127746325E-2</v>
      </c>
      <c r="R16" s="7">
        <v>2293.08</v>
      </c>
      <c r="S16" s="8">
        <f>IFERROR(R16/R148, "NA")</f>
        <v>4.7722669579181067E-2</v>
      </c>
      <c r="T16" s="7">
        <v>1491.24</v>
      </c>
      <c r="U16" s="8">
        <f>IFERROR(T16/T148, "NA")</f>
        <v>3.5134840943243394E-2</v>
      </c>
      <c r="V16" s="7">
        <v>2534.56</v>
      </c>
      <c r="W16" s="8">
        <f>IFERROR(V16/V148, "NA")</f>
        <v>4.2507659415462661E-2</v>
      </c>
      <c r="X16" s="7">
        <v>2644.52</v>
      </c>
      <c r="Y16" s="8">
        <f>IFERROR(X16/X148, "NA")</f>
        <v>4.4877762689475381E-2</v>
      </c>
      <c r="Z16" s="7">
        <v>6670.32</v>
      </c>
      <c r="AA16" s="8">
        <f>IFERROR(Z16/Z148, "NA")</f>
        <v>4.143146483699519E-2</v>
      </c>
      <c r="AB16" s="9">
        <f t="shared" si="0"/>
        <v>2240.85</v>
      </c>
      <c r="AC16" s="8">
        <f>IFERROR(AB16/AB148, "NA")</f>
        <v>4.2877521088599387E-2</v>
      </c>
      <c r="AD16" s="10">
        <f t="shared" si="1"/>
        <v>403.67000000000007</v>
      </c>
      <c r="AE16" s="11">
        <f>IFERROR(AD16/AD148, "NA")</f>
        <v>6.0560825620768297E-2</v>
      </c>
      <c r="AF16" s="10">
        <f t="shared" si="2"/>
        <v>0.1801414641765402</v>
      </c>
      <c r="AG16" s="9">
        <f t="shared" si="3"/>
        <v>2144.8512499999997</v>
      </c>
      <c r="AH16" s="8">
        <f>IFERROR(AG16/AG148, "NA")</f>
        <v>4.3119345109433348E-2</v>
      </c>
      <c r="AI16" s="10">
        <f t="shared" si="4"/>
        <v>499.66875000000027</v>
      </c>
      <c r="AJ16" s="11">
        <f>IFERROR(AI16/AI148, "NA")</f>
        <v>5.4400657813350392E-2</v>
      </c>
      <c r="AK16" s="10">
        <f t="shared" si="5"/>
        <v>0.23296195948320442</v>
      </c>
      <c r="AL16" s="11">
        <f>IFERROR(AK16/AK148, "NA")</f>
        <v>1.261629963889433</v>
      </c>
    </row>
    <row r="17" spans="1:38" ht="16.5" customHeight="1" x14ac:dyDescent="0.3">
      <c r="A17" s="25" t="s">
        <v>32</v>
      </c>
      <c r="B17" s="7">
        <v>996.69</v>
      </c>
      <c r="C17" s="8">
        <f>IFERROR(B17/B148, "NA")</f>
        <v>2.8109981724239074E-2</v>
      </c>
      <c r="D17" s="7">
        <v>996.06</v>
      </c>
      <c r="E17" s="8">
        <f>IFERROR(D17/D148, "NA")</f>
        <v>2.5818482120222898E-2</v>
      </c>
      <c r="F17" s="7">
        <v>1027.1500000000001</v>
      </c>
      <c r="G17" s="8">
        <f>IFERROR(F17/F148, "NA")</f>
        <v>2.285020330819066E-2</v>
      </c>
      <c r="H17" s="7">
        <v>1214.53</v>
      </c>
      <c r="I17" s="8">
        <f>IFERROR(H17/H148, "NA")</f>
        <v>2.9476000284438197E-2</v>
      </c>
      <c r="J17" s="7">
        <v>932.38</v>
      </c>
      <c r="K17" s="8">
        <f>IFERROR(J17/J148, "NA")</f>
        <v>2.4059060014759839E-2</v>
      </c>
      <c r="L17" s="7">
        <v>1184.67</v>
      </c>
      <c r="M17" s="8">
        <f>IFERROR(L17/L148, "NA")</f>
        <v>2.2648952609972177E-2</v>
      </c>
      <c r="N17" s="7">
        <v>1255</v>
      </c>
      <c r="O17" s="8">
        <f>IFERROR(N17/N148, "NA")</f>
        <v>2.4830642159977E-2</v>
      </c>
      <c r="P17" s="7">
        <v>1018.99</v>
      </c>
      <c r="Q17" s="8">
        <f>IFERROR(P17/P148, "NA")</f>
        <v>2.1548090035951196E-2</v>
      </c>
      <c r="R17" s="7">
        <v>1027.3900000000001</v>
      </c>
      <c r="S17" s="8">
        <f>IFERROR(R17/R148, "NA")</f>
        <v>2.138163234555918E-2</v>
      </c>
      <c r="T17" s="7">
        <v>1106.8599999999999</v>
      </c>
      <c r="U17" s="8">
        <f>IFERROR(T17/T148, "NA")</f>
        <v>2.6078531991120396E-2</v>
      </c>
      <c r="V17" s="7">
        <v>1329.3</v>
      </c>
      <c r="W17" s="8">
        <f>IFERROR(V17/V148, "NA")</f>
        <v>2.2293980675531261E-2</v>
      </c>
      <c r="X17" s="7">
        <v>1296.6400000000001</v>
      </c>
      <c r="Y17" s="8">
        <f>IFERROR(X17/X148, "NA")</f>
        <v>2.2004107442439975E-2</v>
      </c>
      <c r="Z17" s="7">
        <v>3732.8</v>
      </c>
      <c r="AA17" s="8">
        <f>IFERROR(Z17/Z148, "NA")</f>
        <v>2.3185600082685037E-2</v>
      </c>
      <c r="AB17" s="9">
        <f t="shared" si="0"/>
        <v>1190.0475000000001</v>
      </c>
      <c r="AC17" s="8">
        <f>IFERROR(AB17/AB148, "NA")</f>
        <v>2.2770951548602088E-2</v>
      </c>
      <c r="AD17" s="10">
        <f t="shared" si="1"/>
        <v>106.59249999999997</v>
      </c>
      <c r="AE17" s="11">
        <f>IFERROR(AD17/AD148, "NA")</f>
        <v>1.5991601568067337E-2</v>
      </c>
      <c r="AF17" s="10">
        <f t="shared" si="2"/>
        <v>8.9569954140485963E-2</v>
      </c>
      <c r="AG17" s="9">
        <f t="shared" si="3"/>
        <v>1143.9037499999999</v>
      </c>
      <c r="AH17" s="8">
        <f>IFERROR(AG17/AG148, "NA")</f>
        <v>2.2996643971569111E-2</v>
      </c>
      <c r="AI17" s="10">
        <f t="shared" si="4"/>
        <v>152.73625000000015</v>
      </c>
      <c r="AJ17" s="11">
        <f>IFERROR(AI17/AI148, "NA")</f>
        <v>1.6628921604451636E-2</v>
      </c>
      <c r="AK17" s="10">
        <f t="shared" si="5"/>
        <v>0.13352194185918193</v>
      </c>
      <c r="AL17" s="11">
        <f>IFERROR(AK17/AK148, "NA")</f>
        <v>0.72310210242025197</v>
      </c>
    </row>
    <row r="18" spans="1:38" ht="16.5" customHeight="1" x14ac:dyDescent="0.3">
      <c r="A18" s="25" t="s">
        <v>33</v>
      </c>
      <c r="B18" s="7">
        <v>1351.36</v>
      </c>
      <c r="C18" s="8">
        <f>IFERROR(B18/B148, "NA")</f>
        <v>3.8112858464384822E-2</v>
      </c>
      <c r="D18" s="7">
        <v>1589.54</v>
      </c>
      <c r="E18" s="8">
        <f>IFERROR(D18/D148, "NA")</f>
        <v>4.1201845340018778E-2</v>
      </c>
      <c r="F18" s="7">
        <v>1918.84</v>
      </c>
      <c r="G18" s="8">
        <f>IFERROR(F18/F148, "NA")</f>
        <v>4.2686933861547545E-2</v>
      </c>
      <c r="H18" s="7">
        <v>1770.34</v>
      </c>
      <c r="I18" s="8">
        <f>IFERROR(H18/H148, "NA")</f>
        <v>4.2965214810298892E-2</v>
      </c>
      <c r="J18" s="7">
        <v>1727.14</v>
      </c>
      <c r="K18" s="8">
        <f>IFERROR(J18/J148, "NA")</f>
        <v>4.4566984398949266E-2</v>
      </c>
      <c r="L18" s="7">
        <v>2253.38</v>
      </c>
      <c r="M18" s="8">
        <f>IFERROR(L18/L148, "NA")</f>
        <v>4.3080939698193675E-2</v>
      </c>
      <c r="N18" s="7">
        <v>2105.16</v>
      </c>
      <c r="O18" s="8">
        <f>IFERROR(N18/N148, "NA")</f>
        <v>4.165137422270692E-2</v>
      </c>
      <c r="P18" s="7">
        <v>1917.75</v>
      </c>
      <c r="Q18" s="8">
        <f>IFERROR(P18/P148, "NA")</f>
        <v>4.055373425298129E-2</v>
      </c>
      <c r="R18" s="7">
        <v>2463.0500000000002</v>
      </c>
      <c r="S18" s="8">
        <f>IFERROR(R18/R148, "NA")</f>
        <v>5.1260017664888247E-2</v>
      </c>
      <c r="T18" s="7">
        <v>941.31</v>
      </c>
      <c r="U18" s="8">
        <f>IFERROR(T18/T148, "NA")</f>
        <v>2.2178037826429305E-2</v>
      </c>
      <c r="V18" s="7">
        <v>2006.71</v>
      </c>
      <c r="W18" s="8">
        <f>IFERROR(V18/V148, "NA")</f>
        <v>3.365497176062239E-2</v>
      </c>
      <c r="X18" s="7">
        <v>1954.19</v>
      </c>
      <c r="Y18" s="8">
        <f>IFERROR(X18/X148, "NA")</f>
        <v>3.3162795165151297E-2</v>
      </c>
      <c r="Z18" s="7">
        <v>4902.21</v>
      </c>
      <c r="AA18" s="8">
        <f>IFERROR(Z18/Z148, "NA")</f>
        <v>3.0449175037864179E-2</v>
      </c>
      <c r="AB18" s="9">
        <f t="shared" si="0"/>
        <v>1841.3150000000001</v>
      </c>
      <c r="AC18" s="8">
        <f>IFERROR(AB18/AB148, "NA")</f>
        <v>3.5232622774060911E-2</v>
      </c>
      <c r="AD18" s="10">
        <f t="shared" si="1"/>
        <v>112.875</v>
      </c>
      <c r="AE18" s="11">
        <f>IFERROR(AD18/AD148, "NA")</f>
        <v>1.6934137270404589E-2</v>
      </c>
      <c r="AF18" s="10">
        <f t="shared" si="2"/>
        <v>6.1301298256952227E-2</v>
      </c>
      <c r="AG18" s="9">
        <f t="shared" si="3"/>
        <v>1921.0862500000001</v>
      </c>
      <c r="AH18" s="8">
        <f>IFERROR(AG18/AG148, "NA")</f>
        <v>3.8620851212286707E-2</v>
      </c>
      <c r="AI18" s="10">
        <f t="shared" si="4"/>
        <v>33.103749999999991</v>
      </c>
      <c r="AJ18" s="11">
        <f>IFERROR(AI18/AI148, "NA")</f>
        <v>3.6041192812011889E-3</v>
      </c>
      <c r="AK18" s="10">
        <f t="shared" si="5"/>
        <v>1.7231787484814902E-2</v>
      </c>
      <c r="AL18" s="11">
        <f>IFERROR(AK18/AK148, "NA")</f>
        <v>9.3320555297719252E-2</v>
      </c>
    </row>
    <row r="19" spans="1:38" ht="16.5" customHeight="1" x14ac:dyDescent="0.3">
      <c r="A19" s="25" t="s">
        <v>34</v>
      </c>
      <c r="B19" s="7">
        <v>1045.19</v>
      </c>
      <c r="C19" s="8">
        <f>IFERROR(B19/B148, "NA")</f>
        <v>2.9477843460210734E-2</v>
      </c>
      <c r="D19" s="7">
        <v>592.29999999999995</v>
      </c>
      <c r="E19" s="8">
        <f>IFERROR(D19/D148, "NA")</f>
        <v>1.5352776900797163E-2</v>
      </c>
      <c r="F19" s="7">
        <v>940.45</v>
      </c>
      <c r="G19" s="8">
        <f>IFERROR(F19/F148, "NA")</f>
        <v>2.0921456166273576E-2</v>
      </c>
      <c r="H19" s="7">
        <v>999.61</v>
      </c>
      <c r="I19" s="8">
        <f>IFERROR(H19/H148, "NA")</f>
        <v>2.4260005635371104E-2</v>
      </c>
      <c r="J19" s="7">
        <v>842.63</v>
      </c>
      <c r="K19" s="8">
        <f>IFERROR(J19/J148, "NA")</f>
        <v>2.1743158090303402E-2</v>
      </c>
      <c r="L19" s="7">
        <v>1168.21</v>
      </c>
      <c r="M19" s="8">
        <f>IFERROR(L19/L148, "NA")</f>
        <v>2.2334264333945822E-2</v>
      </c>
      <c r="N19" s="7">
        <v>826.99</v>
      </c>
      <c r="O19" s="8">
        <f>IFERROR(N19/N148, "NA")</f>
        <v>1.6362304987951697E-2</v>
      </c>
      <c r="P19" s="7">
        <v>1046.05</v>
      </c>
      <c r="Q19" s="8">
        <f>IFERROR(P19/P148, "NA")</f>
        <v>2.212031480397918E-2</v>
      </c>
      <c r="R19" s="7">
        <v>737.21</v>
      </c>
      <c r="S19" s="8">
        <f>IFERROR(R19/R148, "NA")</f>
        <v>1.5342521517115877E-2</v>
      </c>
      <c r="T19" s="7">
        <v>1062.75</v>
      </c>
      <c r="U19" s="8">
        <f>IFERROR(T19/T148, "NA")</f>
        <v>2.50392641106944E-2</v>
      </c>
      <c r="V19" s="7">
        <v>1048.99</v>
      </c>
      <c r="W19" s="8">
        <f>IFERROR(V19/V148, "NA")</f>
        <v>1.7592840433931799E-2</v>
      </c>
      <c r="X19" s="7">
        <v>1080.03</v>
      </c>
      <c r="Y19" s="8">
        <f>IFERROR(X19/X148, "NA")</f>
        <v>1.8328214586206228E-2</v>
      </c>
      <c r="Z19" s="7">
        <v>3191.77</v>
      </c>
      <c r="AA19" s="8">
        <f>IFERROR(Z19/Z148, "NA")</f>
        <v>1.9825091828094624E-2</v>
      </c>
      <c r="AB19" s="9">
        <f t="shared" si="0"/>
        <v>982.24499999999989</v>
      </c>
      <c r="AC19" s="8">
        <f>IFERROR(AB19/AB148, "NA")</f>
        <v>1.8794756767151439E-2</v>
      </c>
      <c r="AD19" s="10">
        <f t="shared" si="1"/>
        <v>97.785000000000082</v>
      </c>
      <c r="AE19" s="11">
        <f>IFERROR(AD19/AD148, "NA")</f>
        <v>1.4670251277842871E-2</v>
      </c>
      <c r="AF19" s="10">
        <f t="shared" si="2"/>
        <v>9.9552555625124176E-2</v>
      </c>
      <c r="AG19" s="9">
        <f t="shared" si="3"/>
        <v>976.60749999999996</v>
      </c>
      <c r="AH19" s="8">
        <f>IFERROR(AG19/AG148, "NA")</f>
        <v>1.9633378225627971E-2</v>
      </c>
      <c r="AI19" s="10">
        <f t="shared" si="4"/>
        <v>103.42250000000001</v>
      </c>
      <c r="AJ19" s="11">
        <f>IFERROR(AI19/AI148, "NA")</f>
        <v>1.1259963791414269E-2</v>
      </c>
      <c r="AK19" s="10">
        <f t="shared" si="5"/>
        <v>0.10589976013905281</v>
      </c>
      <c r="AL19" s="11">
        <f>IFERROR(AK19/AK148, "NA")</f>
        <v>0.57351127564569304</v>
      </c>
    </row>
    <row r="20" spans="1:38" ht="16.5" customHeight="1" x14ac:dyDescent="0.3">
      <c r="A20" s="25" t="s">
        <v>35</v>
      </c>
      <c r="B20" s="7">
        <v>476.46</v>
      </c>
      <c r="C20" s="8">
        <f>IFERROR(B20/B148, "NA")</f>
        <v>1.343776088084655E-2</v>
      </c>
      <c r="D20" s="7">
        <v>485.52</v>
      </c>
      <c r="E20" s="8">
        <f>IFERROR(D20/D148, "NA")</f>
        <v>1.2584974237506397E-2</v>
      </c>
      <c r="F20" s="7">
        <v>511.35</v>
      </c>
      <c r="G20" s="8">
        <f>IFERROR(F20/F148, "NA")</f>
        <v>1.1375603817985001E-2</v>
      </c>
      <c r="H20" s="7">
        <v>528.26</v>
      </c>
      <c r="I20" s="8">
        <f>IFERROR(H20/H148, "NA")</f>
        <v>1.2820590607277978E-2</v>
      </c>
      <c r="J20" s="7">
        <v>505.54</v>
      </c>
      <c r="K20" s="8">
        <f>IFERROR(J20/J148, "NA")</f>
        <v>1.3044914305177815E-2</v>
      </c>
      <c r="L20" s="7">
        <v>711.08</v>
      </c>
      <c r="M20" s="8">
        <f>IFERROR(L20/L148, "NA")</f>
        <v>1.3594686471252768E-2</v>
      </c>
      <c r="N20" s="7">
        <v>471.91</v>
      </c>
      <c r="O20" s="8">
        <f>IFERROR(N20/N148, "NA")</f>
        <v>9.3369150133185246E-3</v>
      </c>
      <c r="P20" s="7">
        <v>464.1</v>
      </c>
      <c r="Q20" s="8">
        <f>IFERROR(P20/P148, "NA")</f>
        <v>9.8140988485509676E-3</v>
      </c>
      <c r="R20" s="7">
        <v>567.64</v>
      </c>
      <c r="S20" s="8">
        <f>IFERROR(R20/R148, "NA")</f>
        <v>1.181349807242937E-2</v>
      </c>
      <c r="T20" s="7">
        <v>511.4</v>
      </c>
      <c r="U20" s="8">
        <f>IFERROR(T20/T148, "NA")</f>
        <v>1.204900462593189E-2</v>
      </c>
      <c r="V20" s="7">
        <v>598.74</v>
      </c>
      <c r="W20" s="8">
        <f>IFERROR(V20/V148, "NA")</f>
        <v>1.004159933022462E-2</v>
      </c>
      <c r="X20" s="7">
        <v>700.65</v>
      </c>
      <c r="Y20" s="8">
        <f>IFERROR(X20/X148, "NA")</f>
        <v>1.1890098932275394E-2</v>
      </c>
      <c r="Z20" s="7">
        <v>1810.79</v>
      </c>
      <c r="AA20" s="8">
        <f>IFERROR(Z20/Z148, "NA")</f>
        <v>1.1247388762785372E-2</v>
      </c>
      <c r="AB20" s="9">
        <f t="shared" si="0"/>
        <v>594.60749999999996</v>
      </c>
      <c r="AC20" s="8">
        <f>IFERROR(AB20/AB148, "NA")</f>
        <v>1.1377511042992328E-2</v>
      </c>
      <c r="AD20" s="10">
        <f t="shared" si="1"/>
        <v>106.04250000000002</v>
      </c>
      <c r="AE20" s="11">
        <f>IFERROR(AD20/AD148, "NA")</f>
        <v>1.5909087499418641E-2</v>
      </c>
      <c r="AF20" s="10">
        <f t="shared" si="2"/>
        <v>0.17834033374957434</v>
      </c>
      <c r="AG20" s="9">
        <f t="shared" si="3"/>
        <v>566.38249999999994</v>
      </c>
      <c r="AH20" s="8">
        <f>IFERROR(AG20/AG148, "NA")</f>
        <v>1.1386357203765825E-2</v>
      </c>
      <c r="AI20" s="10">
        <f t="shared" si="4"/>
        <v>134.26750000000004</v>
      </c>
      <c r="AJ20" s="11">
        <f>IFERROR(AI20/AI148, "NA")</f>
        <v>1.461816518034002E-2</v>
      </c>
      <c r="AK20" s="10">
        <f t="shared" si="5"/>
        <v>0.23706152644193643</v>
      </c>
      <c r="AL20" s="11">
        <f>IFERROR(AK20/AK148, "NA")</f>
        <v>1.2838315994078717</v>
      </c>
    </row>
    <row r="21" spans="1:38" ht="16.5" customHeight="1" x14ac:dyDescent="0.3">
      <c r="A21" s="25" t="s">
        <v>36</v>
      </c>
      <c r="B21" s="7">
        <v>390.95</v>
      </c>
      <c r="C21" s="8">
        <f>IFERROR(B21/B148, "NA")</f>
        <v>1.1026093725322081E-2</v>
      </c>
      <c r="D21" s="7">
        <v>299.60000000000002</v>
      </c>
      <c r="E21" s="8">
        <f>IFERROR(D21/D148, "NA")</f>
        <v>7.7658145525558511E-3</v>
      </c>
      <c r="F21" s="7">
        <v>389.66</v>
      </c>
      <c r="G21" s="8">
        <f>IFERROR(F21/F148, "NA")</f>
        <v>8.6684614915733555E-3</v>
      </c>
      <c r="H21" s="7">
        <v>367.47</v>
      </c>
      <c r="I21" s="8">
        <f>IFERROR(H21/H148, "NA")</f>
        <v>8.9183024087692402E-3</v>
      </c>
      <c r="J21" s="7">
        <v>452.34</v>
      </c>
      <c r="K21" s="8">
        <f>IFERROR(J21/J148, "NA")</f>
        <v>1.1672145699260459E-2</v>
      </c>
      <c r="L21" s="7">
        <v>567.08000000000004</v>
      </c>
      <c r="M21" s="8">
        <f>IFERROR(L21/L148, "NA")</f>
        <v>1.0841642015129126E-2</v>
      </c>
      <c r="N21" s="7">
        <v>427.84</v>
      </c>
      <c r="O21" s="8">
        <f>IFERROR(N21/N148, "NA")</f>
        <v>8.4649736587446688E-3</v>
      </c>
      <c r="P21" s="7">
        <v>624.79999999999995</v>
      </c>
      <c r="Q21" s="8">
        <f>IFERROR(P21/P148, "NA")</f>
        <v>1.321234423739419E-2</v>
      </c>
      <c r="R21" s="7">
        <v>242.66</v>
      </c>
      <c r="S21" s="8">
        <f>IFERROR(R21/R148, "NA")</f>
        <v>5.0501434751879905E-3</v>
      </c>
      <c r="T21" s="7">
        <v>463.03</v>
      </c>
      <c r="U21" s="8">
        <f>IFERROR(T21/T148, "NA")</f>
        <v>1.0909367641660624E-2</v>
      </c>
      <c r="V21" s="7">
        <v>753.68</v>
      </c>
      <c r="W21" s="8">
        <f>IFERROR(V21/V148, "NA")</f>
        <v>1.264013191569578E-2</v>
      </c>
      <c r="X21" s="7">
        <v>277.8</v>
      </c>
      <c r="Y21" s="8">
        <f>IFERROR(X21/X148, "NA")</f>
        <v>4.7142931326426959E-3</v>
      </c>
      <c r="Z21" s="7">
        <v>1494.51</v>
      </c>
      <c r="AA21" s="8">
        <f>IFERROR(Z21/Z148, "NA")</f>
        <v>9.2828737622089614E-3</v>
      </c>
      <c r="AB21" s="9">
        <f t="shared" si="0"/>
        <v>434.29249999999996</v>
      </c>
      <c r="AC21" s="8">
        <f>IFERROR(AB21/AB148, "NA")</f>
        <v>8.3099653378720349E-3</v>
      </c>
      <c r="AD21" s="10">
        <f t="shared" si="1"/>
        <v>-156.49249999999995</v>
      </c>
      <c r="AE21" s="11">
        <f>IFERROR(AD21/AD148, "NA")</f>
        <v>-2.3477877978195252E-2</v>
      </c>
      <c r="AF21" s="10">
        <f t="shared" si="2"/>
        <v>-0.3603389420724511</v>
      </c>
      <c r="AG21" s="9">
        <f t="shared" si="3"/>
        <v>476.15375</v>
      </c>
      <c r="AH21" s="8">
        <f>IFERROR(AG21/AG148, "NA")</f>
        <v>9.572429729754384E-3</v>
      </c>
      <c r="AI21" s="10">
        <f t="shared" si="4"/>
        <v>-198.35374999999999</v>
      </c>
      <c r="AJ21" s="11">
        <f>IFERROR(AI21/AI148, "NA")</f>
        <v>-2.1595455949055938E-2</v>
      </c>
      <c r="AK21" s="10">
        <f t="shared" si="5"/>
        <v>-0.4165750033471331</v>
      </c>
      <c r="AL21" s="11">
        <f>IFERROR(AK21/AK148, "NA")</f>
        <v>-2.2560056912123239</v>
      </c>
    </row>
    <row r="22" spans="1:38" ht="16.5" hidden="1" customHeight="1" x14ac:dyDescent="0.3">
      <c r="A22" s="25" t="s">
        <v>37</v>
      </c>
      <c r="B22" s="7">
        <v>0</v>
      </c>
      <c r="C22" s="8">
        <f>IFERROR(B22/B148, "NA")</f>
        <v>0</v>
      </c>
      <c r="D22" s="7">
        <v>0</v>
      </c>
      <c r="E22" s="8">
        <f>IFERROR(D22/D148, "NA")</f>
        <v>0</v>
      </c>
      <c r="F22" s="7">
        <v>0</v>
      </c>
      <c r="G22" s="8">
        <f>IFERROR(F22/F148, "NA")</f>
        <v>0</v>
      </c>
      <c r="H22" s="7">
        <v>0</v>
      </c>
      <c r="I22" s="8">
        <f>IFERROR(H22/H148, "NA")</f>
        <v>0</v>
      </c>
      <c r="J22" s="7">
        <v>0</v>
      </c>
      <c r="K22" s="8">
        <f>IFERROR(J22/J148, "NA")</f>
        <v>0</v>
      </c>
      <c r="L22" s="7">
        <v>0</v>
      </c>
      <c r="M22" s="8">
        <f>IFERROR(L22/L148, "NA")</f>
        <v>0</v>
      </c>
      <c r="N22" s="7">
        <v>0</v>
      </c>
      <c r="O22" s="8">
        <f>IFERROR(N22/N148, "NA")</f>
        <v>0</v>
      </c>
      <c r="P22" s="7">
        <v>0</v>
      </c>
      <c r="Q22" s="8">
        <f>IFERROR(P22/P148, "NA")</f>
        <v>0</v>
      </c>
      <c r="R22" s="7">
        <v>0</v>
      </c>
      <c r="S22" s="8">
        <f>IFERROR(R22/R148, "NA")</f>
        <v>0</v>
      </c>
      <c r="T22" s="7">
        <v>0</v>
      </c>
      <c r="U22" s="8">
        <f>IFERROR(T22/T148, "NA")</f>
        <v>0</v>
      </c>
      <c r="V22" s="7">
        <v>0</v>
      </c>
      <c r="W22" s="8">
        <f>IFERROR(V22/V148, "NA")</f>
        <v>0</v>
      </c>
      <c r="X22" s="7">
        <v>0</v>
      </c>
      <c r="Y22" s="8">
        <f>IFERROR(X22/X148, "NA")</f>
        <v>0</v>
      </c>
      <c r="Z22" s="7">
        <v>0</v>
      </c>
      <c r="AA22" s="8">
        <f>IFERROR(Z22/Z148, "NA")</f>
        <v>0</v>
      </c>
      <c r="AB22" s="9">
        <f t="shared" si="0"/>
        <v>0</v>
      </c>
      <c r="AC22" s="8">
        <f>IFERROR(AB22/AB148, "NA")</f>
        <v>0</v>
      </c>
      <c r="AD22" s="10">
        <f t="shared" si="1"/>
        <v>0</v>
      </c>
      <c r="AE22" s="11">
        <f>IFERROR(AD22/AD148, "NA")</f>
        <v>0</v>
      </c>
      <c r="AF22" s="10" t="str">
        <f t="shared" si="2"/>
        <v>NA</v>
      </c>
      <c r="AG22" s="9">
        <f t="shared" si="3"/>
        <v>0</v>
      </c>
      <c r="AH22" s="8">
        <f>IFERROR(AG22/AG148, "NA")</f>
        <v>0</v>
      </c>
      <c r="AI22" s="10">
        <f t="shared" si="4"/>
        <v>0</v>
      </c>
      <c r="AJ22" s="11">
        <f>IFERROR(AI22/AI148, "NA")</f>
        <v>0</v>
      </c>
      <c r="AK22" s="10" t="str">
        <f t="shared" si="5"/>
        <v>NA</v>
      </c>
      <c r="AL22" s="11" t="str">
        <f>IFERROR(AK22/AK148, "NA")</f>
        <v>NA</v>
      </c>
    </row>
    <row r="23" spans="1:38" ht="16.5" customHeight="1" x14ac:dyDescent="0.3">
      <c r="A23" s="25" t="s">
        <v>38</v>
      </c>
      <c r="B23" s="7">
        <v>116.98</v>
      </c>
      <c r="C23" s="8">
        <f>IFERROR(B23/B148, "NA")</f>
        <v>3.2992261004941223E-3</v>
      </c>
      <c r="D23" s="7">
        <v>154.46</v>
      </c>
      <c r="E23" s="8">
        <f>IFERROR(D23/D148, "NA")</f>
        <v>4.0036973157135409E-3</v>
      </c>
      <c r="F23" s="7">
        <v>298.63</v>
      </c>
      <c r="G23" s="8">
        <f>IFERROR(F23/F148, "NA")</f>
        <v>6.6433882236528021E-3</v>
      </c>
      <c r="H23" s="7">
        <v>66.98</v>
      </c>
      <c r="I23" s="8">
        <f>IFERROR(H23/H148, "NA")</f>
        <v>1.6255691494254326E-3</v>
      </c>
      <c r="J23" s="7">
        <v>234.92</v>
      </c>
      <c r="K23" s="8">
        <f>IFERROR(J23/J148, "NA")</f>
        <v>6.0618571598140044E-3</v>
      </c>
      <c r="L23" s="7">
        <v>114.7</v>
      </c>
      <c r="M23" s="8">
        <f>IFERROR(L23/L148, "NA")</f>
        <v>2.1928763827595943E-3</v>
      </c>
      <c r="N23" s="7">
        <v>254.91</v>
      </c>
      <c r="O23" s="8">
        <f>IFERROR(N23/N148, "NA")</f>
        <v>5.0434892374499902E-3</v>
      </c>
      <c r="P23" s="7">
        <v>306.16000000000003</v>
      </c>
      <c r="Q23" s="8">
        <f>IFERROR(P23/P148, "NA")</f>
        <v>6.4742178484644775E-3</v>
      </c>
      <c r="R23" s="7">
        <v>281.05</v>
      </c>
      <c r="S23" s="8">
        <f>IFERROR(R23/R148, "NA")</f>
        <v>5.8491008971465631E-3</v>
      </c>
      <c r="T23" s="7">
        <v>340.68</v>
      </c>
      <c r="U23" s="8">
        <f>IFERROR(T23/T148, "NA")</f>
        <v>8.0267010089215413E-3</v>
      </c>
      <c r="V23" s="7">
        <v>425.63</v>
      </c>
      <c r="W23" s="8">
        <f>IFERROR(V23/V148, "NA")</f>
        <v>7.1383337056543832E-3</v>
      </c>
      <c r="X23" s="7">
        <v>23.59</v>
      </c>
      <c r="Y23" s="8">
        <f>IFERROR(X23/X148, "NA")</f>
        <v>4.0032460402822601E-4</v>
      </c>
      <c r="Z23" s="7">
        <v>789.9</v>
      </c>
      <c r="AA23" s="8">
        <f>IFERROR(Z23/Z148, "NA")</f>
        <v>4.9063184487014863E-3</v>
      </c>
      <c r="AB23" s="9">
        <f t="shared" si="0"/>
        <v>267.73750000000001</v>
      </c>
      <c r="AC23" s="8">
        <f>IFERROR(AB23/AB148, "NA")</f>
        <v>5.1230204174571607E-3</v>
      </c>
      <c r="AD23" s="10">
        <f t="shared" si="1"/>
        <v>-244.14750000000001</v>
      </c>
      <c r="AE23" s="11">
        <f>IFERROR(AD23/AD148, "NA")</f>
        <v>-3.6628370137108346E-2</v>
      </c>
      <c r="AF23" s="10">
        <f t="shared" si="2"/>
        <v>-0.91189131145244873</v>
      </c>
      <c r="AG23" s="9">
        <f t="shared" si="3"/>
        <v>247.70500000000001</v>
      </c>
      <c r="AH23" s="8">
        <f>IFERROR(AG23/AG148, "NA")</f>
        <v>4.9797753482122313E-3</v>
      </c>
      <c r="AI23" s="10">
        <f t="shared" si="4"/>
        <v>-224.11500000000001</v>
      </c>
      <c r="AJ23" s="11">
        <f>IFERROR(AI23/AI148, "NA")</f>
        <v>-2.4400171965605247E-2</v>
      </c>
      <c r="AK23" s="10">
        <f t="shared" si="5"/>
        <v>-0.90476574958115497</v>
      </c>
      <c r="AL23" s="11">
        <f>IFERROR(AK23/AK148, "NA")</f>
        <v>-4.8998539611561096</v>
      </c>
    </row>
    <row r="24" spans="1:38" ht="16.5" customHeight="1" x14ac:dyDescent="0.3">
      <c r="A24" s="25" t="s">
        <v>39</v>
      </c>
      <c r="B24" s="7">
        <v>1971.34</v>
      </c>
      <c r="C24" s="8">
        <f>IFERROR(B24/B148, "NA")</f>
        <v>5.5598361950316998E-2</v>
      </c>
      <c r="D24" s="7">
        <v>2300.92</v>
      </c>
      <c r="E24" s="8">
        <f>IFERROR(D24/D148, "NA")</f>
        <v>5.9641248398754364E-2</v>
      </c>
      <c r="F24" s="7">
        <v>2803.12</v>
      </c>
      <c r="G24" s="8">
        <f>IFERROR(F24/F148, "NA")</f>
        <v>6.2358819935993182E-2</v>
      </c>
      <c r="H24" s="7">
        <v>2159.5</v>
      </c>
      <c r="I24" s="8">
        <f>IFERROR(H24/H148, "NA")</f>
        <v>5.2409922039179178E-2</v>
      </c>
      <c r="J24" s="7">
        <v>2322.25</v>
      </c>
      <c r="K24" s="8">
        <f>IFERROR(J24/J148, "NA")</f>
        <v>5.9923155922774023E-2</v>
      </c>
      <c r="L24" s="7">
        <v>2862.04</v>
      </c>
      <c r="M24" s="8">
        <f>IFERROR(L24/L148, "NA")</f>
        <v>5.4717523300028499E-2</v>
      </c>
      <c r="N24" s="7">
        <v>2713.38</v>
      </c>
      <c r="O24" s="8">
        <f>IFERROR(N24/N148, "NA")</f>
        <v>5.3685233325927013E-2</v>
      </c>
      <c r="P24" s="7">
        <v>2596.9</v>
      </c>
      <c r="Q24" s="8">
        <f>IFERROR(P24/P148, "NA")</f>
        <v>5.491539172549452E-2</v>
      </c>
      <c r="R24" s="7">
        <v>2607.4499999999998</v>
      </c>
      <c r="S24" s="8">
        <f>IFERROR(R24/R148, "NA")</f>
        <v>5.4265213073349236E-2</v>
      </c>
      <c r="T24" s="7">
        <v>2356.64</v>
      </c>
      <c r="U24" s="8">
        <f>IFERROR(T24/T148, "NA")</f>
        <v>5.5524376733782028E-2</v>
      </c>
      <c r="V24" s="7">
        <v>2963.89</v>
      </c>
      <c r="W24" s="8">
        <f>IFERROR(V24/V148, "NA")</f>
        <v>4.9708046629354061E-2</v>
      </c>
      <c r="X24" s="7">
        <v>2755.98</v>
      </c>
      <c r="Y24" s="8">
        <f>IFERROR(X24/X148, "NA")</f>
        <v>4.6769249775740158E-2</v>
      </c>
      <c r="Z24" s="7">
        <v>8076.51</v>
      </c>
      <c r="AA24" s="8">
        <f>IFERROR(Z24/Z148, "NA")</f>
        <v>5.0165755176759141E-2</v>
      </c>
      <c r="AB24" s="9">
        <f t="shared" si="0"/>
        <v>2670.99</v>
      </c>
      <c r="AC24" s="8">
        <f>IFERROR(AB24/AB148, "NA")</f>
        <v>5.1108030458280593E-2</v>
      </c>
      <c r="AD24" s="10">
        <f t="shared" si="1"/>
        <v>84.990000000000236</v>
      </c>
      <c r="AE24" s="11">
        <f>IFERROR(AD24/AD148, "NA")</f>
        <v>1.2750673989915305E-2</v>
      </c>
      <c r="AF24" s="10">
        <f t="shared" si="2"/>
        <v>3.1819662372378869E-2</v>
      </c>
      <c r="AG24" s="9">
        <f t="shared" si="3"/>
        <v>2647.3162499999999</v>
      </c>
      <c r="AH24" s="8">
        <f>IFERROR(AG24/AG148, "NA")</f>
        <v>5.3220727077255794E-2</v>
      </c>
      <c r="AI24" s="10">
        <f t="shared" si="4"/>
        <v>108.66375000000016</v>
      </c>
      <c r="AJ24" s="11">
        <f>IFERROR(AI24/AI148, "NA")</f>
        <v>1.1830596731265382E-2</v>
      </c>
      <c r="AK24" s="10">
        <f t="shared" si="5"/>
        <v>4.1046758202764842E-2</v>
      </c>
      <c r="AL24" s="11">
        <f>IFERROR(AK24/AK148, "NA")</f>
        <v>0.22229303094811081</v>
      </c>
    </row>
    <row r="25" spans="1:38" ht="16.5" hidden="1" customHeight="1" x14ac:dyDescent="0.3">
      <c r="A25" s="25" t="s">
        <v>40</v>
      </c>
      <c r="B25" s="7">
        <v>0</v>
      </c>
      <c r="C25" s="8">
        <f>IFERROR(B25/B148, "NA")</f>
        <v>0</v>
      </c>
      <c r="D25" s="7">
        <v>0</v>
      </c>
      <c r="E25" s="8">
        <f>IFERROR(D25/D148, "NA")</f>
        <v>0</v>
      </c>
      <c r="F25" s="7">
        <v>0</v>
      </c>
      <c r="G25" s="8">
        <f>IFERROR(F25/F148, "NA")</f>
        <v>0</v>
      </c>
      <c r="H25" s="7">
        <v>0</v>
      </c>
      <c r="I25" s="8">
        <f>IFERROR(H25/H148, "NA")</f>
        <v>0</v>
      </c>
      <c r="J25" s="7">
        <v>0</v>
      </c>
      <c r="K25" s="8">
        <f>IFERROR(J25/J148, "NA")</f>
        <v>0</v>
      </c>
      <c r="L25" s="7">
        <v>0</v>
      </c>
      <c r="M25" s="8">
        <f>IFERROR(L25/L148, "NA")</f>
        <v>0</v>
      </c>
      <c r="N25" s="7">
        <v>0</v>
      </c>
      <c r="O25" s="8">
        <f>IFERROR(N25/N148, "NA")</f>
        <v>0</v>
      </c>
      <c r="P25" s="7">
        <v>0</v>
      </c>
      <c r="Q25" s="8">
        <f>IFERROR(P25/P148, "NA")</f>
        <v>0</v>
      </c>
      <c r="R25" s="7">
        <v>0</v>
      </c>
      <c r="S25" s="8">
        <f>IFERROR(R25/R148, "NA")</f>
        <v>0</v>
      </c>
      <c r="T25" s="7">
        <v>0</v>
      </c>
      <c r="U25" s="8">
        <f>IFERROR(T25/T148, "NA")</f>
        <v>0</v>
      </c>
      <c r="V25" s="7">
        <v>0</v>
      </c>
      <c r="W25" s="8">
        <f>IFERROR(V25/V148, "NA")</f>
        <v>0</v>
      </c>
      <c r="X25" s="7">
        <v>0</v>
      </c>
      <c r="Y25" s="8">
        <f>IFERROR(X25/X148, "NA")</f>
        <v>0</v>
      </c>
      <c r="Z25" s="7">
        <v>0</v>
      </c>
      <c r="AA25" s="8">
        <f>IFERROR(Z25/Z148, "NA")</f>
        <v>0</v>
      </c>
      <c r="AB25" s="9">
        <f t="shared" si="0"/>
        <v>0</v>
      </c>
      <c r="AC25" s="8">
        <f>IFERROR(AB25/AB148, "NA")</f>
        <v>0</v>
      </c>
      <c r="AD25" s="10">
        <f t="shared" si="1"/>
        <v>0</v>
      </c>
      <c r="AE25" s="11">
        <f>IFERROR(AD25/AD148, "NA")</f>
        <v>0</v>
      </c>
      <c r="AF25" s="10" t="str">
        <f t="shared" si="2"/>
        <v>NA</v>
      </c>
      <c r="AG25" s="9">
        <f t="shared" si="3"/>
        <v>0</v>
      </c>
      <c r="AH25" s="8">
        <f>IFERROR(AG25/AG148, "NA")</f>
        <v>0</v>
      </c>
      <c r="AI25" s="10">
        <f t="shared" si="4"/>
        <v>0</v>
      </c>
      <c r="AJ25" s="11">
        <f>IFERROR(AI25/AI148, "NA")</f>
        <v>0</v>
      </c>
      <c r="AK25" s="10" t="str">
        <f t="shared" si="5"/>
        <v>NA</v>
      </c>
      <c r="AL25" s="11" t="str">
        <f>IFERROR(AK25/AK148, "NA")</f>
        <v>NA</v>
      </c>
    </row>
    <row r="26" spans="1:38" ht="16.5" hidden="1" customHeight="1" x14ac:dyDescent="0.3">
      <c r="A26" s="25" t="s">
        <v>41</v>
      </c>
      <c r="B26" s="7">
        <v>0</v>
      </c>
      <c r="C26" s="8">
        <f>IFERROR(B26/B148, "NA")</f>
        <v>0</v>
      </c>
      <c r="D26" s="7">
        <v>0</v>
      </c>
      <c r="E26" s="8">
        <f>IFERROR(D26/D148, "NA")</f>
        <v>0</v>
      </c>
      <c r="F26" s="7">
        <v>0</v>
      </c>
      <c r="G26" s="8">
        <f>IFERROR(F26/F148, "NA")</f>
        <v>0</v>
      </c>
      <c r="H26" s="7">
        <v>0</v>
      </c>
      <c r="I26" s="8">
        <f>IFERROR(H26/H148, "NA")</f>
        <v>0</v>
      </c>
      <c r="J26" s="7">
        <v>0</v>
      </c>
      <c r="K26" s="8">
        <f>IFERROR(J26/J148, "NA")</f>
        <v>0</v>
      </c>
      <c r="L26" s="7">
        <v>0</v>
      </c>
      <c r="M26" s="8">
        <f>IFERROR(L26/L148, "NA")</f>
        <v>0</v>
      </c>
      <c r="N26" s="7">
        <v>0</v>
      </c>
      <c r="O26" s="8">
        <f>IFERROR(N26/N148, "NA")</f>
        <v>0</v>
      </c>
      <c r="P26" s="7">
        <v>0</v>
      </c>
      <c r="Q26" s="8">
        <f>IFERROR(P26/P148, "NA")</f>
        <v>0</v>
      </c>
      <c r="R26" s="7">
        <v>0</v>
      </c>
      <c r="S26" s="8">
        <f>IFERROR(R26/R148, "NA")</f>
        <v>0</v>
      </c>
      <c r="T26" s="7">
        <v>0</v>
      </c>
      <c r="U26" s="8">
        <f>IFERROR(T26/T148, "NA")</f>
        <v>0</v>
      </c>
      <c r="V26" s="7">
        <v>0</v>
      </c>
      <c r="W26" s="8">
        <f>IFERROR(V26/V148, "NA")</f>
        <v>0</v>
      </c>
      <c r="X26" s="7">
        <v>0</v>
      </c>
      <c r="Y26" s="8">
        <f>IFERROR(X26/X148, "NA")</f>
        <v>0</v>
      </c>
      <c r="Z26" s="7">
        <v>0</v>
      </c>
      <c r="AA26" s="8">
        <f>IFERROR(Z26/Z148, "NA")</f>
        <v>0</v>
      </c>
      <c r="AB26" s="9">
        <f t="shared" si="0"/>
        <v>0</v>
      </c>
      <c r="AC26" s="8">
        <f>IFERROR(AB26/AB148, "NA")</f>
        <v>0</v>
      </c>
      <c r="AD26" s="10">
        <f t="shared" si="1"/>
        <v>0</v>
      </c>
      <c r="AE26" s="11">
        <f>IFERROR(AD26/AD148, "NA")</f>
        <v>0</v>
      </c>
      <c r="AF26" s="10" t="str">
        <f t="shared" si="2"/>
        <v>NA</v>
      </c>
      <c r="AG26" s="9">
        <f t="shared" si="3"/>
        <v>0</v>
      </c>
      <c r="AH26" s="8">
        <f>IFERROR(AG26/AG148, "NA")</f>
        <v>0</v>
      </c>
      <c r="AI26" s="10">
        <f t="shared" si="4"/>
        <v>0</v>
      </c>
      <c r="AJ26" s="11">
        <f>IFERROR(AI26/AI148, "NA")</f>
        <v>0</v>
      </c>
      <c r="AK26" s="10" t="str">
        <f t="shared" si="5"/>
        <v>NA</v>
      </c>
      <c r="AL26" s="11" t="str">
        <f>IFERROR(AK26/AK148, "NA")</f>
        <v>NA</v>
      </c>
    </row>
    <row r="27" spans="1:38" ht="16.5" customHeight="1" x14ac:dyDescent="0.3">
      <c r="A27" s="26" t="s">
        <v>42</v>
      </c>
      <c r="B27" s="13">
        <f>IFERROR(B15+B16+B17+B18+B19+B20+B21+B22+B23+B24+B25+B26, "NA")</f>
        <v>8027.26</v>
      </c>
      <c r="C27" s="14">
        <f>IFERROR(B27/B148, "NA")</f>
        <v>0.22639550100403871</v>
      </c>
      <c r="D27" s="13">
        <f>IFERROR(D15+D16+D17+D18+D19+D20+D21+D22+D23+D24+D25+D26, "NA")</f>
        <v>8718.9000000000015</v>
      </c>
      <c r="E27" s="14">
        <f>IFERROR(D27/D148, "NA")</f>
        <v>0.22599920060840861</v>
      </c>
      <c r="F27" s="13">
        <f>IFERROR(F15+F16+F17+F18+F19+F20+F21+F22+F23+F24+F25+F26, "NA")</f>
        <v>9937.5</v>
      </c>
      <c r="G27" s="14">
        <f>IFERROR(F27/F148, "NA")</f>
        <v>0.22107179611073813</v>
      </c>
      <c r="H27" s="13">
        <f>IFERROR(H15+H16+H17+H18+H19+H20+H21+H22+H23+H24+H25+H26, "NA")</f>
        <v>9413.48</v>
      </c>
      <c r="I27" s="14">
        <f>IFERROR(H27/H148, "NA")</f>
        <v>0.22846017731760704</v>
      </c>
      <c r="J27" s="13">
        <f>IFERROR(J15+J16+J17+J18+J19+J20+J21+J22+J23+J24+J25+J26, "NA")</f>
        <v>9080.18</v>
      </c>
      <c r="K27" s="14">
        <f>IFERROR(J27/J148, "NA")</f>
        <v>0.23430424887365883</v>
      </c>
      <c r="L27" s="13">
        <f>IFERROR(L15+L16+L17+L18+L19+L20+L21+L22+L23+L24+L25+L26, "NA")</f>
        <v>10783.630000000001</v>
      </c>
      <c r="M27" s="14">
        <f>IFERROR(L27/L148, "NA")</f>
        <v>0.2061653665860318</v>
      </c>
      <c r="N27" s="13">
        <f>IFERROR(N15+N16+N17+N18+N19+N20+N21+N22+N23+N24+N25+N26, "NA")</f>
        <v>10270.16</v>
      </c>
      <c r="O27" s="14">
        <f>IFERROR(N27/N148, "NA")</f>
        <v>0.20319893855435012</v>
      </c>
      <c r="P27" s="13">
        <f>IFERROR(P15+P16+P17+P18+P19+P20+P21+P22+P23+P24+P25+P26, "NA")</f>
        <v>9969.74</v>
      </c>
      <c r="Q27" s="14">
        <f>IFERROR(P27/P148, "NA")</f>
        <v>0.21082528303027906</v>
      </c>
      <c r="R27" s="13">
        <f>IFERROR(R15+R16+R17+R18+R19+R20+R21+R22+R23+R24+R25+R26, "NA")</f>
        <v>10219.530000000001</v>
      </c>
      <c r="S27" s="14">
        <f>IFERROR(R27/R148, "NA")</f>
        <v>0.21268479662485754</v>
      </c>
      <c r="T27" s="13">
        <f>IFERROR(T15+T16+T17+T18+T19+T20+T21+T22+T23+T24+T25+T26, "NA")</f>
        <v>8273.91</v>
      </c>
      <c r="U27" s="14">
        <f>IFERROR(T27/T148, "NA")</f>
        <v>0.19494012488178358</v>
      </c>
      <c r="V27" s="13">
        <f>IFERROR(V15+V16+V17+V18+V19+V20+V21+V22+V23+V24+V25+V26, "NA")</f>
        <v>11661.499999999998</v>
      </c>
      <c r="W27" s="14">
        <f>IFERROR(V27/V148, "NA")</f>
        <v>0.19557756386647693</v>
      </c>
      <c r="X27" s="13">
        <f>IFERROR(X15+X16+X17+X18+X19+X20+X21+X22+X23+X24+X25+X26, "NA")</f>
        <v>10733.4</v>
      </c>
      <c r="Y27" s="14">
        <f>IFERROR(X27/X148, "NA")</f>
        <v>0.18214684632795936</v>
      </c>
      <c r="Z27" s="13">
        <f>IFERROR(Z15+Z16+Z17+Z18+Z19+Z20+Z21+Z22+Z23+Z24+Z25+Z26, "NA")</f>
        <v>30668.809999999998</v>
      </c>
      <c r="AA27" s="14">
        <f>IFERROR(Z27/Z148, "NA")</f>
        <v>0.19049366793609399</v>
      </c>
      <c r="AB27" s="13">
        <f t="shared" si="0"/>
        <v>10222.085000000001</v>
      </c>
      <c r="AC27" s="14">
        <f>IFERROR(AB27/AB148, "NA")</f>
        <v>0.19559437943501595</v>
      </c>
      <c r="AD27" s="15">
        <f t="shared" si="1"/>
        <v>511.31499999999869</v>
      </c>
      <c r="AE27" s="16">
        <f>IFERROR(AD27/AD148, "NA")</f>
        <v>7.6710329111113182E-2</v>
      </c>
      <c r="AF27" s="15">
        <f t="shared" si="2"/>
        <v>5.002061712458844E-2</v>
      </c>
      <c r="AG27" s="13">
        <f t="shared" si="3"/>
        <v>10124.006249999999</v>
      </c>
      <c r="AH27" s="14">
        <f>IFERROR(AG27/AG148, "NA")</f>
        <v>0.20352950787790536</v>
      </c>
      <c r="AI27" s="15">
        <f t="shared" si="4"/>
        <v>609.39375000000109</v>
      </c>
      <c r="AJ27" s="16">
        <f>IFERROR(AI27/AI148, "NA")</f>
        <v>6.6346796487361748E-2</v>
      </c>
      <c r="AK27" s="15">
        <f t="shared" si="5"/>
        <v>6.0192944863107049E-2</v>
      </c>
      <c r="AL27" s="16">
        <f>IFERROR(AK27/AK148, "NA")</f>
        <v>0.32598121608569069</v>
      </c>
    </row>
    <row r="28" spans="1:38" ht="16.5" customHeight="1" x14ac:dyDescent="0.3">
      <c r="A28" s="24" t="s">
        <v>43</v>
      </c>
      <c r="B28" s="2"/>
      <c r="C28" s="3"/>
      <c r="D28" s="2"/>
      <c r="E28" s="3"/>
      <c r="F28" s="2"/>
      <c r="G28" s="3"/>
      <c r="H28" s="2"/>
      <c r="I28" s="3"/>
      <c r="J28" s="2"/>
      <c r="K28" s="3"/>
      <c r="L28" s="2"/>
      <c r="M28" s="3"/>
      <c r="N28" s="2"/>
      <c r="O28" s="3"/>
      <c r="P28" s="2"/>
      <c r="Q28" s="3"/>
      <c r="R28" s="2"/>
      <c r="S28" s="3"/>
      <c r="T28" s="2"/>
      <c r="U28" s="3"/>
      <c r="V28" s="2"/>
      <c r="W28" s="3"/>
      <c r="X28" s="2"/>
      <c r="Y28" s="3"/>
      <c r="Z28" s="2"/>
      <c r="AA28" s="3"/>
      <c r="AB28" s="2"/>
      <c r="AC28" s="3"/>
      <c r="AD28" s="4"/>
      <c r="AE28" s="5"/>
      <c r="AF28" s="4"/>
      <c r="AG28" s="2"/>
      <c r="AH28" s="3"/>
      <c r="AI28" s="4"/>
      <c r="AJ28" s="5"/>
      <c r="AK28" s="4"/>
      <c r="AL28" s="5"/>
    </row>
    <row r="29" spans="1:38" ht="16.5" hidden="1" customHeight="1" x14ac:dyDescent="0.3">
      <c r="A29" s="25" t="s">
        <v>44</v>
      </c>
      <c r="B29" s="7">
        <v>0</v>
      </c>
      <c r="C29" s="8">
        <f>IFERROR(B29/B148, "NA")</f>
        <v>0</v>
      </c>
      <c r="D29" s="7">
        <v>0</v>
      </c>
      <c r="E29" s="8">
        <f>IFERROR(D29/D148, "NA")</f>
        <v>0</v>
      </c>
      <c r="F29" s="7">
        <v>0</v>
      </c>
      <c r="G29" s="8">
        <f>IFERROR(F29/F148, "NA")</f>
        <v>0</v>
      </c>
      <c r="H29" s="7">
        <v>0</v>
      </c>
      <c r="I29" s="8">
        <f>IFERROR(H29/H148, "NA")</f>
        <v>0</v>
      </c>
      <c r="J29" s="7">
        <v>0</v>
      </c>
      <c r="K29" s="8">
        <f>IFERROR(J29/J148, "NA")</f>
        <v>0</v>
      </c>
      <c r="L29" s="7">
        <v>0</v>
      </c>
      <c r="M29" s="8">
        <f>IFERROR(L29/L148, "NA")</f>
        <v>0</v>
      </c>
      <c r="N29" s="7">
        <v>0</v>
      </c>
      <c r="O29" s="8">
        <f>IFERROR(N29/N148, "NA")</f>
        <v>0</v>
      </c>
      <c r="P29" s="7">
        <v>0</v>
      </c>
      <c r="Q29" s="8">
        <f>IFERROR(P29/P148, "NA")</f>
        <v>0</v>
      </c>
      <c r="R29" s="7">
        <v>0</v>
      </c>
      <c r="S29" s="8">
        <f>IFERROR(R29/R148, "NA")</f>
        <v>0</v>
      </c>
      <c r="T29" s="7">
        <v>0</v>
      </c>
      <c r="U29" s="8">
        <f>IFERROR(T29/T148, "NA")</f>
        <v>0</v>
      </c>
      <c r="V29" s="7">
        <v>0</v>
      </c>
      <c r="W29" s="8">
        <f>IFERROR(V29/V148, "NA")</f>
        <v>0</v>
      </c>
      <c r="X29" s="7">
        <v>0</v>
      </c>
      <c r="Y29" s="8">
        <f>IFERROR(X29/X148, "NA")</f>
        <v>0</v>
      </c>
      <c r="Z29" s="7">
        <v>0</v>
      </c>
      <c r="AA29" s="8">
        <f>IFERROR(Z29/Z148, "NA")</f>
        <v>0</v>
      </c>
      <c r="AB29" s="9">
        <f t="shared" ref="AB29:AB35" si="6">IFERROR((R29+T29+V29+X29)/4, "NA")</f>
        <v>0</v>
      </c>
      <c r="AC29" s="8">
        <f>IFERROR(AB29/AB148, "NA")</f>
        <v>0</v>
      </c>
      <c r="AD29" s="10">
        <f t="shared" ref="AD29:AD35" si="7">IFERROR(X29-AB29, "NA")</f>
        <v>0</v>
      </c>
      <c r="AE29" s="11">
        <f>IFERROR(AD29/AD148, "NA")</f>
        <v>0</v>
      </c>
      <c r="AF29" s="10" t="str">
        <f t="shared" ref="AF29:AF35" si="8">IFERROR((X29-AB29)/AB29, "NA")</f>
        <v>NA</v>
      </c>
      <c r="AG29" s="9">
        <f t="shared" ref="AG29:AG35" si="9">IFERROR((J29+L29+N29+P29+R29+T29+V29+X29)/8, "NA")</f>
        <v>0</v>
      </c>
      <c r="AH29" s="8">
        <f>IFERROR(AG29/AG148, "NA")</f>
        <v>0</v>
      </c>
      <c r="AI29" s="10">
        <f t="shared" ref="AI29:AI35" si="10">IFERROR(X29-AG29, "NA")</f>
        <v>0</v>
      </c>
      <c r="AJ29" s="11">
        <f>IFERROR(AI29/AI148, "NA")</f>
        <v>0</v>
      </c>
      <c r="AK29" s="10" t="str">
        <f t="shared" ref="AK29:AK35" si="11">IFERROR((X29-AG29)/AG29, "NA")</f>
        <v>NA</v>
      </c>
      <c r="AL29" s="11" t="str">
        <f>IFERROR(AK29/AK148, "NA")</f>
        <v>NA</v>
      </c>
    </row>
    <row r="30" spans="1:38" ht="16.5" customHeight="1" x14ac:dyDescent="0.3">
      <c r="A30" s="25" t="s">
        <v>45</v>
      </c>
      <c r="B30" s="7">
        <v>313.08999999999997</v>
      </c>
      <c r="C30" s="8">
        <f>IFERROR(B30/B148, "NA")</f>
        <v>8.8301820807292243E-3</v>
      </c>
      <c r="D30" s="7">
        <v>516.38</v>
      </c>
      <c r="E30" s="8">
        <f>IFERROR(D30/D148, "NA")</f>
        <v>1.3384884241150835E-2</v>
      </c>
      <c r="F30" s="7">
        <v>558.66999999999996</v>
      </c>
      <c r="G30" s="8">
        <f>IFERROR(F30/F148, "NA")</f>
        <v>1.2428294876295452E-2</v>
      </c>
      <c r="H30" s="7">
        <v>362.39</v>
      </c>
      <c r="I30" s="8">
        <f>IFERROR(H30/H148, "NA")</f>
        <v>8.7950134974661455E-3</v>
      </c>
      <c r="J30" s="7">
        <v>270.79000000000002</v>
      </c>
      <c r="K30" s="8">
        <f>IFERROR(J30/J148, "NA")</f>
        <v>6.9874438119616657E-3</v>
      </c>
      <c r="L30" s="7">
        <v>777.03</v>
      </c>
      <c r="M30" s="8">
        <f>IFERROR(L30/L148, "NA")</f>
        <v>1.4855542595428836E-2</v>
      </c>
      <c r="N30" s="7">
        <v>597.16</v>
      </c>
      <c r="O30" s="8">
        <f>IFERROR(N30/N148, "NA")</f>
        <v>1.1815032886256467E-2</v>
      </c>
      <c r="P30" s="7">
        <v>729.24</v>
      </c>
      <c r="Q30" s="8">
        <f>IFERROR(P30/P148, "NA")</f>
        <v>1.5420886542377304E-2</v>
      </c>
      <c r="R30" s="7">
        <v>495.73</v>
      </c>
      <c r="S30" s="8">
        <f>IFERROR(R30/R148, "NA")</f>
        <v>1.0316935732938856E-2</v>
      </c>
      <c r="T30" s="7">
        <v>196.56</v>
      </c>
      <c r="U30" s="8">
        <f>IFERROR(T30/T148, "NA")</f>
        <v>4.6311152703816432E-3</v>
      </c>
      <c r="V30" s="7">
        <v>595.21</v>
      </c>
      <c r="W30" s="8">
        <f>IFERROR(V30/V148, "NA")</f>
        <v>9.9823969291228196E-3</v>
      </c>
      <c r="X30" s="7">
        <v>399.56</v>
      </c>
      <c r="Y30" s="8">
        <f>IFERROR(X30/X148, "NA")</f>
        <v>6.7805722249053828E-3</v>
      </c>
      <c r="Z30" s="7">
        <v>1191.33</v>
      </c>
      <c r="AA30" s="8">
        <f>IFERROR(Z30/Z148, "NA")</f>
        <v>7.3997270002424892E-3</v>
      </c>
      <c r="AB30" s="9">
        <f t="shared" si="6"/>
        <v>421.76499999999999</v>
      </c>
      <c r="AC30" s="8">
        <f>IFERROR(AB30/AB148, "NA")</f>
        <v>8.0702580190254239E-3</v>
      </c>
      <c r="AD30" s="10">
        <f t="shared" si="7"/>
        <v>-22.204999999999984</v>
      </c>
      <c r="AE30" s="11">
        <f>IFERROR(AD30/AD148, "NA")</f>
        <v>-3.3313179897172412E-3</v>
      </c>
      <c r="AF30" s="10">
        <f t="shared" si="8"/>
        <v>-5.2647801500835735E-2</v>
      </c>
      <c r="AG30" s="9">
        <f t="shared" si="9"/>
        <v>507.66</v>
      </c>
      <c r="AH30" s="8">
        <f>IFERROR(AG30/AG148, "NA")</f>
        <v>1.0205820444776735E-2</v>
      </c>
      <c r="AI30" s="10">
        <f t="shared" si="10"/>
        <v>-108.10000000000002</v>
      </c>
      <c r="AJ30" s="11">
        <f>IFERROR(AI30/AI148, "NA")</f>
        <v>-1.1769219327050521E-2</v>
      </c>
      <c r="AK30" s="10">
        <f t="shared" si="11"/>
        <v>-0.21293779301107044</v>
      </c>
      <c r="AL30" s="11">
        <f>IFERROR(AK30/AK148, "NA")</f>
        <v>-1.1531869868506184</v>
      </c>
    </row>
    <row r="31" spans="1:38" ht="16.5" customHeight="1" x14ac:dyDescent="0.3">
      <c r="A31" s="25" t="s">
        <v>46</v>
      </c>
      <c r="B31" s="7">
        <v>8.06</v>
      </c>
      <c r="C31" s="8">
        <f>IFERROR(B31/B148, "NA")</f>
        <v>2.2731887818415648E-4</v>
      </c>
      <c r="D31" s="7">
        <v>11.34</v>
      </c>
      <c r="E31" s="8">
        <f>IFERROR(D31/D148, "NA")</f>
        <v>2.9393970969954388E-4</v>
      </c>
      <c r="F31" s="7">
        <v>0</v>
      </c>
      <c r="G31" s="8">
        <f>IFERROR(F31/F148, "NA")</f>
        <v>0</v>
      </c>
      <c r="H31" s="7">
        <v>11.34</v>
      </c>
      <c r="I31" s="8">
        <f>IFERROR(H31/H148, "NA")</f>
        <v>2.752157980663542E-4</v>
      </c>
      <c r="J31" s="7">
        <v>28.39</v>
      </c>
      <c r="K31" s="8">
        <f>IFERROR(J31/J148, "NA")</f>
        <v>7.3257332184198702E-4</v>
      </c>
      <c r="L31" s="7">
        <v>17.739999999999998</v>
      </c>
      <c r="M31" s="8">
        <f>IFERROR(L31/L148, "NA")</f>
        <v>3.391597823030096E-4</v>
      </c>
      <c r="N31" s="7">
        <v>1.59</v>
      </c>
      <c r="O31" s="8">
        <f>IFERROR(N31/N148, "NA")</f>
        <v>3.1458741860050546E-5</v>
      </c>
      <c r="P31" s="7">
        <v>16.14</v>
      </c>
      <c r="Q31" s="8">
        <f>IFERROR(P31/P148, "NA")</f>
        <v>3.413047951209063E-4</v>
      </c>
      <c r="R31" s="7">
        <v>17.73</v>
      </c>
      <c r="S31" s="8">
        <f>IFERROR(R31/R148, "NA")</f>
        <v>3.6898971324109077E-4</v>
      </c>
      <c r="T31" s="7">
        <v>25.05</v>
      </c>
      <c r="U31" s="8">
        <f>IFERROR(T31/T148, "NA")</f>
        <v>5.9019860359717225E-4</v>
      </c>
      <c r="V31" s="7">
        <v>9.66</v>
      </c>
      <c r="W31" s="8">
        <f>IFERROR(V31/V148, "NA")</f>
        <v>1.6200997015393967E-4</v>
      </c>
      <c r="X31" s="7">
        <v>4.87</v>
      </c>
      <c r="Y31" s="8">
        <f>IFERROR(X31/X148, "NA")</f>
        <v>8.2644375651439632E-5</v>
      </c>
      <c r="Z31" s="7">
        <v>39.58</v>
      </c>
      <c r="AA31" s="8">
        <f>IFERROR(Z31/Z148, "NA")</f>
        <v>2.4584388428865026E-4</v>
      </c>
      <c r="AB31" s="9">
        <f t="shared" si="6"/>
        <v>14.327499999999999</v>
      </c>
      <c r="AC31" s="8">
        <f>IFERROR(AB31/AB148, "NA")</f>
        <v>2.7414940018158634E-4</v>
      </c>
      <c r="AD31" s="10">
        <f t="shared" si="7"/>
        <v>-9.4574999999999996</v>
      </c>
      <c r="AE31" s="11">
        <f>IFERROR(AD31/AD148, "NA")</f>
        <v>-1.4188669168093146E-3</v>
      </c>
      <c r="AF31" s="10">
        <f t="shared" si="8"/>
        <v>-0.66009422439364862</v>
      </c>
      <c r="AG31" s="9">
        <f t="shared" si="9"/>
        <v>15.14625</v>
      </c>
      <c r="AH31" s="8">
        <f>IFERROR(AG31/AG148, "NA")</f>
        <v>3.0449495314127493E-4</v>
      </c>
      <c r="AI31" s="10">
        <f t="shared" si="10"/>
        <v>-10.276250000000001</v>
      </c>
      <c r="AJ31" s="11">
        <f>IFERROR(AI31/AI148, "NA")</f>
        <v>-1.1188107318187133E-3</v>
      </c>
      <c r="AK31" s="10">
        <f t="shared" si="11"/>
        <v>-0.67846826772303381</v>
      </c>
      <c r="AL31" s="11">
        <f>IFERROR(AK31/AK148, "NA")</f>
        <v>-3.6743161759388001</v>
      </c>
    </row>
    <row r="32" spans="1:38" ht="16.5" customHeight="1" x14ac:dyDescent="0.3">
      <c r="A32" s="25" t="s">
        <v>47</v>
      </c>
      <c r="B32" s="7">
        <v>2.4</v>
      </c>
      <c r="C32" s="8">
        <f>IFERROR(B32/B148, "NA")</f>
        <v>6.7688003429525496E-5</v>
      </c>
      <c r="D32" s="7">
        <v>0.8</v>
      </c>
      <c r="E32" s="8">
        <f>IFERROR(D32/D148, "NA")</f>
        <v>2.0736487456757948E-5</v>
      </c>
      <c r="F32" s="7">
        <v>-2.4</v>
      </c>
      <c r="G32" s="8">
        <f>IFERROR(F32/F148, "NA")</f>
        <v>-5.3390924343725431E-5</v>
      </c>
      <c r="H32" s="7">
        <v>1.6</v>
      </c>
      <c r="I32" s="8">
        <f>IFERROR(H32/H148, "NA")</f>
        <v>3.8831153166328634E-5</v>
      </c>
      <c r="J32" s="7">
        <v>1.44</v>
      </c>
      <c r="K32" s="8">
        <f>IFERROR(J32/J148, "NA")</f>
        <v>3.7157646475958483E-5</v>
      </c>
      <c r="L32" s="7">
        <v>-1.44</v>
      </c>
      <c r="M32" s="8">
        <f>IFERROR(L32/L148, "NA")</f>
        <v>-2.7530444561236404E-5</v>
      </c>
      <c r="N32" s="7">
        <v>0.8</v>
      </c>
      <c r="O32" s="8">
        <f>IFERROR(N32/N148, "NA")</f>
        <v>1.5828297791220402E-5</v>
      </c>
      <c r="P32" s="7">
        <v>3.19</v>
      </c>
      <c r="Q32" s="8">
        <f>IFERROR(P32/P148, "NA")</f>
        <v>6.745739135289287E-5</v>
      </c>
      <c r="R32" s="7">
        <v>158.75</v>
      </c>
      <c r="S32" s="8">
        <f>IFERROR(R32/R148, "NA")</f>
        <v>3.303841905077448E-3</v>
      </c>
      <c r="T32" s="7">
        <v>-4.8</v>
      </c>
      <c r="U32" s="8">
        <f>IFERROR(T32/T148, "NA")</f>
        <v>-1.1309194799466772E-4</v>
      </c>
      <c r="V32" s="7">
        <v>1.6</v>
      </c>
      <c r="W32" s="8">
        <f>IFERROR(V32/V148, "NA")</f>
        <v>2.683394950789891E-5</v>
      </c>
      <c r="X32" s="7">
        <v>-0.8</v>
      </c>
      <c r="Y32" s="8">
        <f>IFERROR(X32/X148, "NA")</f>
        <v>-1.3576078135760103E-5</v>
      </c>
      <c r="Z32" s="7">
        <v>-4</v>
      </c>
      <c r="AA32" s="8">
        <f>IFERROR(Z32/Z148, "NA")</f>
        <v>-2.4845263697690779E-5</v>
      </c>
      <c r="AB32" s="9">
        <f t="shared" si="6"/>
        <v>38.687499999999993</v>
      </c>
      <c r="AC32" s="8">
        <f>IFERROR(AB32/AB148, "NA")</f>
        <v>7.4026556758158225E-4</v>
      </c>
      <c r="AD32" s="10">
        <f t="shared" si="7"/>
        <v>-39.48749999999999</v>
      </c>
      <c r="AE32" s="11">
        <f>IFERROR(AD32/AD148, "NA")</f>
        <v>-5.9241350650285803E-3</v>
      </c>
      <c r="AF32" s="10">
        <f t="shared" si="8"/>
        <v>-1.0206785137318255</v>
      </c>
      <c r="AG32" s="9">
        <f t="shared" si="9"/>
        <v>19.842499999999998</v>
      </c>
      <c r="AH32" s="8">
        <f>IFERROR(AG32/AG148, "NA")</f>
        <v>3.9890673319836571E-4</v>
      </c>
      <c r="AI32" s="10">
        <f t="shared" si="10"/>
        <v>-20.642499999999998</v>
      </c>
      <c r="AJ32" s="11">
        <f>IFERROR(AI32/AI148, "NA")</f>
        <v>-2.247420073622945E-3</v>
      </c>
      <c r="AK32" s="10">
        <f t="shared" si="11"/>
        <v>-1.0403175003149805</v>
      </c>
      <c r="AL32" s="11">
        <f>IFERROR(AK32/AK148, "NA")</f>
        <v>-5.6339487067654046</v>
      </c>
    </row>
    <row r="33" spans="1:38" ht="16.5" customHeight="1" x14ac:dyDescent="0.3">
      <c r="A33" s="25" t="s">
        <v>48</v>
      </c>
      <c r="B33" s="7">
        <v>3.96</v>
      </c>
      <c r="C33" s="8">
        <f>IFERROR(B33/B148, "NA")</f>
        <v>1.1168520565871708E-4</v>
      </c>
      <c r="D33" s="7">
        <v>3.35</v>
      </c>
      <c r="E33" s="8">
        <f>IFERROR(D33/D148, "NA")</f>
        <v>8.6834041225173898E-5</v>
      </c>
      <c r="F33" s="7">
        <v>0.27</v>
      </c>
      <c r="G33" s="8">
        <f>IFERROR(F33/F148, "NA")</f>
        <v>6.0064789886691116E-6</v>
      </c>
      <c r="H33" s="7">
        <v>6.58</v>
      </c>
      <c r="I33" s="8">
        <f>IFERROR(H33/H148, "NA")</f>
        <v>1.596931173965265E-4</v>
      </c>
      <c r="J33" s="7">
        <v>6.89</v>
      </c>
      <c r="K33" s="8">
        <f>IFERROR(J33/J148, "NA")</f>
        <v>1.777890168189958E-4</v>
      </c>
      <c r="L33" s="7">
        <v>2.4700000000000002</v>
      </c>
      <c r="M33" s="8">
        <f>IFERROR(L33/L148, "NA")</f>
        <v>4.7222359768231892E-5</v>
      </c>
      <c r="N33" s="7">
        <v>0</v>
      </c>
      <c r="O33" s="8">
        <f>IFERROR(N33/N148, "NA")</f>
        <v>0</v>
      </c>
      <c r="P33" s="7">
        <v>13.39</v>
      </c>
      <c r="Q33" s="8">
        <f>IFERROR(P33/P148, "NA")</f>
        <v>2.831518715408262E-4</v>
      </c>
      <c r="R33" s="7">
        <v>3.28</v>
      </c>
      <c r="S33" s="8">
        <f>IFERROR(R33/R148, "NA")</f>
        <v>6.8262056369474197E-5</v>
      </c>
      <c r="T33" s="7">
        <v>-14.43</v>
      </c>
      <c r="U33" s="8">
        <f>IFERROR(T33/T148, "NA")</f>
        <v>-3.3998266865896984E-4</v>
      </c>
      <c r="V33" s="7">
        <v>99.76</v>
      </c>
      <c r="W33" s="8">
        <f>IFERROR(V33/V148, "NA")</f>
        <v>1.6730967518174971E-3</v>
      </c>
      <c r="X33" s="7">
        <v>-92.72</v>
      </c>
      <c r="Y33" s="8">
        <f>IFERROR(X33/X148, "NA")</f>
        <v>-1.5734674559345959E-3</v>
      </c>
      <c r="Z33" s="7">
        <v>-7.39</v>
      </c>
      <c r="AA33" s="8">
        <f>IFERROR(Z33/Z148, "NA")</f>
        <v>-4.5901624681483712E-5</v>
      </c>
      <c r="AB33" s="9">
        <f t="shared" si="6"/>
        <v>-1.0274999999999999</v>
      </c>
      <c r="AC33" s="8">
        <f>IFERROR(AB33/AB148, "NA")</f>
        <v>-1.9660688095381602E-5</v>
      </c>
      <c r="AD33" s="10">
        <f t="shared" si="7"/>
        <v>-91.692499999999995</v>
      </c>
      <c r="AE33" s="11">
        <f>IFERROR(AD33/AD148, "NA")</f>
        <v>-1.3756220435584254E-2</v>
      </c>
      <c r="AF33" s="10">
        <f t="shared" si="8"/>
        <v>89.238442822384442</v>
      </c>
      <c r="AG33" s="9">
        <f t="shared" si="9"/>
        <v>2.3300000000000018</v>
      </c>
      <c r="AH33" s="8">
        <f>IFERROR(AG33/AG148, "NA")</f>
        <v>4.6841511319248736E-5</v>
      </c>
      <c r="AI33" s="10">
        <f t="shared" si="10"/>
        <v>-95.05</v>
      </c>
      <c r="AJ33" s="11">
        <f>IFERROR(AI33/AI148, "NA")</f>
        <v>-1.0348420879150342E-2</v>
      </c>
      <c r="AK33" s="10">
        <f t="shared" si="11"/>
        <v>-40.793991416308977</v>
      </c>
      <c r="AL33" s="11">
        <f>IFERROR(AK33/AK148, "NA")</f>
        <v>-220.92414586328326</v>
      </c>
    </row>
    <row r="34" spans="1:38" ht="16.5" customHeight="1" x14ac:dyDescent="0.3">
      <c r="A34" s="26" t="s">
        <v>49</v>
      </c>
      <c r="B34" s="13">
        <f>IFERROR(B29+B30+B31+B32+B33, "NA")</f>
        <v>327.50999999999993</v>
      </c>
      <c r="C34" s="14">
        <f>IFERROR(B34/B148, "NA")</f>
        <v>9.2368741680016221E-3</v>
      </c>
      <c r="D34" s="13">
        <f>IFERROR(D29+D30+D31+D32+D33, "NA")</f>
        <v>531.87</v>
      </c>
      <c r="E34" s="14">
        <f>IFERROR(D34/D148, "NA")</f>
        <v>1.378639447953231E-2</v>
      </c>
      <c r="F34" s="13">
        <f>IFERROR(F29+F30+F31+F32+F33, "NA")</f>
        <v>556.54</v>
      </c>
      <c r="G34" s="14">
        <f>IFERROR(F34/F148, "NA")</f>
        <v>1.2380910430940396E-2</v>
      </c>
      <c r="H34" s="13">
        <f>IFERROR(H29+H30+H31+H32+H33, "NA")</f>
        <v>381.90999999999997</v>
      </c>
      <c r="I34" s="14">
        <f>IFERROR(H34/H148, "NA")</f>
        <v>9.268753566095354E-3</v>
      </c>
      <c r="J34" s="13">
        <f>IFERROR(J29+J30+J31+J32+J33, "NA")</f>
        <v>307.51</v>
      </c>
      <c r="K34" s="14">
        <f>IFERROR(J34/J148, "NA")</f>
        <v>7.9349637970986056E-3</v>
      </c>
      <c r="L34" s="13">
        <f>IFERROR(L29+L30+L31+L32+L33, "NA")</f>
        <v>795.8</v>
      </c>
      <c r="M34" s="14">
        <f>IFERROR(L34/L148, "NA")</f>
        <v>1.5214394292938841E-2</v>
      </c>
      <c r="N34" s="13">
        <f>IFERROR(N29+N30+N31+N32+N33, "NA")</f>
        <v>599.54999999999995</v>
      </c>
      <c r="O34" s="14">
        <f>IFERROR(N34/N148, "NA")</f>
        <v>1.1862319925907737E-2</v>
      </c>
      <c r="P34" s="13">
        <f>IFERROR(P29+P30+P31+P32+P33, "NA")</f>
        <v>761.96</v>
      </c>
      <c r="Q34" s="14">
        <f>IFERROR(P34/P148, "NA")</f>
        <v>1.6112800600391931E-2</v>
      </c>
      <c r="R34" s="13">
        <f>IFERROR(R29+R30+R31+R32+R33, "NA")</f>
        <v>675.49</v>
      </c>
      <c r="S34" s="14">
        <f>IFERROR(R34/R148, "NA")</f>
        <v>1.4058029407626869E-2</v>
      </c>
      <c r="T34" s="13">
        <f>IFERROR(T29+T30+T31+T32+T33, "NA")</f>
        <v>202.38</v>
      </c>
      <c r="U34" s="14">
        <f>IFERROR(T34/T148, "NA")</f>
        <v>4.7682392573251782E-3</v>
      </c>
      <c r="V34" s="13">
        <f>IFERROR(V29+V30+V31+V32+V33, "NA")</f>
        <v>706.23</v>
      </c>
      <c r="W34" s="14">
        <f>IFERROR(V34/V148, "NA")</f>
        <v>1.1844337600602155E-2</v>
      </c>
      <c r="X34" s="13">
        <f>IFERROR(X29+X30+X31+X32+X33, "NA")</f>
        <v>310.90999999999997</v>
      </c>
      <c r="Y34" s="14">
        <f>IFERROR(X34/X148, "NA")</f>
        <v>5.276173066486466E-3</v>
      </c>
      <c r="Z34" s="13">
        <f>IFERROR(Z29+Z30+Z31+Z32+Z33, "NA")</f>
        <v>1219.5199999999998</v>
      </c>
      <c r="AA34" s="14">
        <f>IFERROR(Z34/Z148, "NA")</f>
        <v>7.5748239961519635E-3</v>
      </c>
      <c r="AB34" s="13">
        <f t="shared" si="6"/>
        <v>473.75249999999994</v>
      </c>
      <c r="AC34" s="14">
        <f>IFERROR(AB34/AB148, "NA")</f>
        <v>9.0650122986932098E-3</v>
      </c>
      <c r="AD34" s="15">
        <f t="shared" si="7"/>
        <v>-162.84249999999997</v>
      </c>
      <c r="AE34" s="16">
        <f>IFERROR(AD34/AD148, "NA")</f>
        <v>-2.4430540407139392E-2</v>
      </c>
      <c r="AF34" s="15">
        <f t="shared" si="8"/>
        <v>-0.34372905683875016</v>
      </c>
      <c r="AG34" s="13">
        <f t="shared" si="9"/>
        <v>544.97874999999999</v>
      </c>
      <c r="AH34" s="14">
        <f>IFERROR(AG34/AG148, "NA")</f>
        <v>1.0956063642435624E-2</v>
      </c>
      <c r="AI34" s="15">
        <f t="shared" si="10"/>
        <v>-234.06875000000002</v>
      </c>
      <c r="AJ34" s="16">
        <f>IFERROR(AI34/AI148, "NA")</f>
        <v>-2.5483871011642522E-2</v>
      </c>
      <c r="AK34" s="15">
        <f t="shared" si="11"/>
        <v>-0.42950069154072529</v>
      </c>
      <c r="AL34" s="16">
        <f>IFERROR(AK34/AK148, "NA")</f>
        <v>-2.3260061134490861</v>
      </c>
    </row>
    <row r="35" spans="1:38" ht="16.5" customHeight="1" x14ac:dyDescent="0.3">
      <c r="A35" s="27" t="s">
        <v>50</v>
      </c>
      <c r="B35" s="13">
        <f>IFERROR(B13+B15+B16+B17+B18+B19+B20+B21+B22+B23+B24+B25+B26+B29+B30+B31+B32+B33, "NA")</f>
        <v>8354.7699999999986</v>
      </c>
      <c r="C35" s="14">
        <f>IFERROR(B35/B148, "NA")</f>
        <v>0.23563237517204028</v>
      </c>
      <c r="D35" s="13">
        <f>IFERROR(D13+D15+D16+D17+D18+D19+D20+D21+D22+D23+D24+D25+D26+D29+D30+D31+D32+D33, "NA")</f>
        <v>9250.77</v>
      </c>
      <c r="E35" s="14">
        <f>IFERROR(D35/D148, "NA")</f>
        <v>0.23978559508794089</v>
      </c>
      <c r="F35" s="13">
        <f>IFERROR(F13+F15+F16+F17+F18+F19+F20+F21+F22+F23+F24+F25+F26+F29+F30+F31+F32+F33, "NA")</f>
        <v>10494.04</v>
      </c>
      <c r="G35" s="14">
        <f>IFERROR(F35/F148, "NA")</f>
        <v>0.23345270654167855</v>
      </c>
      <c r="H35" s="13">
        <f>IFERROR(H13+H15+H16+H17+H18+H19+H20+H21+H22+H23+H24+H25+H26+H29+H30+H31+H32+H33, "NA")</f>
        <v>9795.39</v>
      </c>
      <c r="I35" s="14">
        <f>IFERROR(H35/H148, "NA")</f>
        <v>0.23772893088370239</v>
      </c>
      <c r="J35" s="13">
        <f>IFERROR(J13+J15+J16+J17+J18+J19+J20+J21+J22+J23+J24+J25+J26+J29+J30+J31+J32+J33, "NA")</f>
        <v>9387.69</v>
      </c>
      <c r="K35" s="14">
        <f>IFERROR(J35/J148, "NA")</f>
        <v>0.24223921267075743</v>
      </c>
      <c r="L35" s="13">
        <f>IFERROR(L13+L15+L16+L17+L18+L19+L20+L21+L22+L23+L24+L25+L26+L29+L30+L31+L32+L33, "NA")</f>
        <v>11579.43</v>
      </c>
      <c r="M35" s="14">
        <f>IFERROR(L35/L148, "NA")</f>
        <v>0.2213797608789706</v>
      </c>
      <c r="N35" s="13">
        <f>IFERROR(N13+N15+N16+N17+N18+N19+N20+N21+N22+N23+N24+N25+N26+N29+N30+N31+N32+N33, "NA")</f>
        <v>10869.71</v>
      </c>
      <c r="O35" s="14">
        <f>IFERROR(N35/N148, "NA")</f>
        <v>0.21506125848025784</v>
      </c>
      <c r="P35" s="13">
        <f>IFERROR(P13+P15+P16+P17+P18+P19+P20+P21+P22+P23+P24+P25+P26+P29+P30+P31+P32+P33, "NA")</f>
        <v>10731.699999999999</v>
      </c>
      <c r="Q35" s="14">
        <f>IFERROR(P35/P148, "NA")</f>
        <v>0.22693808363067097</v>
      </c>
      <c r="R35" s="13">
        <f>IFERROR(R13+R15+R16+R17+R18+R19+R20+R21+R22+R23+R24+R25+R26+R29+R30+R31+R32+R33, "NA")</f>
        <v>10895.02</v>
      </c>
      <c r="S35" s="14">
        <f>IFERROR(R35/R148, "NA")</f>
        <v>0.22674282603248441</v>
      </c>
      <c r="T35" s="13">
        <f>IFERROR(T13+T15+T16+T17+T18+T19+T20+T21+T22+T23+T24+T25+T26+T29+T30+T31+T32+T33, "NA")</f>
        <v>8476.2899999999991</v>
      </c>
      <c r="U35" s="14">
        <f>IFERROR(T35/T148, "NA")</f>
        <v>0.19970836413910875</v>
      </c>
      <c r="V35" s="13">
        <f>IFERROR(V13+V15+V16+V17+V18+V19+V20+V21+V22+V23+V24+V25+V26+V29+V30+V31+V32+V33, "NA")</f>
        <v>12367.73</v>
      </c>
      <c r="W35" s="14">
        <f>IFERROR(V35/V148, "NA")</f>
        <v>0.20742190146707909</v>
      </c>
      <c r="X35" s="13">
        <f>IFERROR(X13+X15+X16+X17+X18+X19+X20+X21+X22+X23+X24+X25+X26+X29+X30+X31+X32+X33, "NA")</f>
        <v>11044.310000000001</v>
      </c>
      <c r="Y35" s="14">
        <f>IFERROR(X35/X148, "NA")</f>
        <v>0.18742301939444583</v>
      </c>
      <c r="Z35" s="13">
        <f>IFERROR(Z13+Z15+Z16+Z17+Z18+Z19+Z20+Z21+Z22+Z23+Z24+Z25+Z26+Z29+Z30+Z31+Z32+Z33, "NA")</f>
        <v>31888.33</v>
      </c>
      <c r="AA35" s="14">
        <f>IFERROR(Z35/Z148, "NA")</f>
        <v>0.19806849193224596</v>
      </c>
      <c r="AB35" s="13">
        <f t="shared" si="6"/>
        <v>10695.8375</v>
      </c>
      <c r="AC35" s="14">
        <f>IFERROR(AB35/AB148, "NA")</f>
        <v>0.20465939173370915</v>
      </c>
      <c r="AD35" s="15">
        <f t="shared" si="7"/>
        <v>348.47250000000167</v>
      </c>
      <c r="AE35" s="16">
        <f>IFERROR(AD35/AD148, "NA")</f>
        <v>5.2279788703974234E-2</v>
      </c>
      <c r="AF35" s="15">
        <f t="shared" si="8"/>
        <v>3.2580197670355568E-2</v>
      </c>
      <c r="AG35" s="13">
        <f t="shared" si="9"/>
        <v>10668.985000000001</v>
      </c>
      <c r="AH35" s="14">
        <f>IFERROR(AG35/AG148, "NA")</f>
        <v>0.21448557152034103</v>
      </c>
      <c r="AI35" s="15">
        <f t="shared" si="10"/>
        <v>375.32500000000073</v>
      </c>
      <c r="AJ35" s="16">
        <f>IFERROR(AI35/AI148, "NA")</f>
        <v>4.0862925475719195E-2</v>
      </c>
      <c r="AK35" s="15">
        <f t="shared" si="11"/>
        <v>3.5179072798396542E-2</v>
      </c>
      <c r="AL35" s="16">
        <f>IFERROR(AK35/AK148, "NA")</f>
        <v>0.19051596424910991</v>
      </c>
    </row>
    <row r="36" spans="1:38" ht="16.5" customHeight="1" x14ac:dyDescent="0.3">
      <c r="A36" s="22" t="s">
        <v>51</v>
      </c>
      <c r="B36" s="2"/>
      <c r="C36" s="3"/>
      <c r="D36" s="2"/>
      <c r="E36" s="3"/>
      <c r="F36" s="2"/>
      <c r="G36" s="3"/>
      <c r="H36" s="2"/>
      <c r="I36" s="3"/>
      <c r="J36" s="2"/>
      <c r="K36" s="3"/>
      <c r="L36" s="2"/>
      <c r="M36" s="3"/>
      <c r="N36" s="2"/>
      <c r="O36" s="3"/>
      <c r="P36" s="2"/>
      <c r="Q36" s="3"/>
      <c r="R36" s="2"/>
      <c r="S36" s="3"/>
      <c r="T36" s="2"/>
      <c r="U36" s="3"/>
      <c r="V36" s="2"/>
      <c r="W36" s="3"/>
      <c r="X36" s="2"/>
      <c r="Y36" s="3"/>
      <c r="Z36" s="2"/>
      <c r="AA36" s="3"/>
      <c r="AB36" s="2"/>
      <c r="AC36" s="3"/>
      <c r="AD36" s="4"/>
      <c r="AE36" s="5"/>
      <c r="AF36" s="4"/>
      <c r="AG36" s="2"/>
      <c r="AH36" s="3"/>
      <c r="AI36" s="4"/>
      <c r="AJ36" s="5"/>
      <c r="AK36" s="4"/>
      <c r="AL36" s="5"/>
    </row>
    <row r="37" spans="1:38" ht="16.5" hidden="1" customHeight="1" x14ac:dyDescent="0.3">
      <c r="A37" s="23" t="s">
        <v>52</v>
      </c>
      <c r="B37" s="7">
        <v>0</v>
      </c>
      <c r="C37" s="8">
        <f>IFERROR(B37/B148, "NA")</f>
        <v>0</v>
      </c>
      <c r="D37" s="7">
        <v>0</v>
      </c>
      <c r="E37" s="8">
        <f>IFERROR(D37/D148, "NA")</f>
        <v>0</v>
      </c>
      <c r="F37" s="7">
        <v>0</v>
      </c>
      <c r="G37" s="8">
        <f>IFERROR(F37/F148, "NA")</f>
        <v>0</v>
      </c>
      <c r="H37" s="7">
        <v>0</v>
      </c>
      <c r="I37" s="8">
        <f>IFERROR(H37/H148, "NA")</f>
        <v>0</v>
      </c>
      <c r="J37" s="7">
        <v>0</v>
      </c>
      <c r="K37" s="8">
        <f>IFERROR(J37/J148, "NA")</f>
        <v>0</v>
      </c>
      <c r="L37" s="7">
        <v>0</v>
      </c>
      <c r="M37" s="8">
        <f>IFERROR(L37/L148, "NA")</f>
        <v>0</v>
      </c>
      <c r="N37" s="7">
        <v>0</v>
      </c>
      <c r="O37" s="8">
        <f>IFERROR(N37/N148, "NA")</f>
        <v>0</v>
      </c>
      <c r="P37" s="7">
        <v>0</v>
      </c>
      <c r="Q37" s="8">
        <f>IFERROR(P37/P148, "NA")</f>
        <v>0</v>
      </c>
      <c r="R37" s="7">
        <v>0</v>
      </c>
      <c r="S37" s="8">
        <f>IFERROR(R37/R148, "NA")</f>
        <v>0</v>
      </c>
      <c r="T37" s="7">
        <v>0</v>
      </c>
      <c r="U37" s="8">
        <f>IFERROR(T37/T148, "NA")</f>
        <v>0</v>
      </c>
      <c r="V37" s="7">
        <v>0</v>
      </c>
      <c r="W37" s="8">
        <f>IFERROR(V37/V148, "NA")</f>
        <v>0</v>
      </c>
      <c r="X37" s="7">
        <v>0</v>
      </c>
      <c r="Y37" s="8">
        <f>IFERROR(X37/X148, "NA")</f>
        <v>0</v>
      </c>
      <c r="Z37" s="7">
        <v>0</v>
      </c>
      <c r="AA37" s="8">
        <f>IFERROR(Z37/Z148, "NA")</f>
        <v>0</v>
      </c>
      <c r="AB37" s="9">
        <f>IFERROR((R37+T37+V37+X37)/4, "NA")</f>
        <v>0</v>
      </c>
      <c r="AC37" s="8">
        <f>IFERROR(AB37/AB148, "NA")</f>
        <v>0</v>
      </c>
      <c r="AD37" s="10">
        <f>IFERROR(X37-AB37, "NA")</f>
        <v>0</v>
      </c>
      <c r="AE37" s="11">
        <f>IFERROR(AD37/AD148, "NA")</f>
        <v>0</v>
      </c>
      <c r="AF37" s="10" t="str">
        <f>IFERROR((X37-AB37)/AB37, "NA")</f>
        <v>NA</v>
      </c>
      <c r="AG37" s="9">
        <f>IFERROR((J37+L37+N37+P37+R37+T37+V37+X37)/8, "NA")</f>
        <v>0</v>
      </c>
      <c r="AH37" s="8">
        <f>IFERROR(AG37/AG148, "NA")</f>
        <v>0</v>
      </c>
      <c r="AI37" s="10">
        <f>IFERROR(X37-AG37, "NA")</f>
        <v>0</v>
      </c>
      <c r="AJ37" s="11">
        <f>IFERROR(AI37/AI148, "NA")</f>
        <v>0</v>
      </c>
      <c r="AK37" s="10" t="str">
        <f>IFERROR((X37-AG37)/AG37, "NA")</f>
        <v>NA</v>
      </c>
      <c r="AL37" s="11" t="str">
        <f>IFERROR(AK37/AK148, "NA")</f>
        <v>NA</v>
      </c>
    </row>
    <row r="38" spans="1:38" ht="16.5" customHeight="1" x14ac:dyDescent="0.3">
      <c r="A38" s="24" t="s">
        <v>53</v>
      </c>
      <c r="B38" s="2"/>
      <c r="C38" s="3"/>
      <c r="D38" s="2"/>
      <c r="E38" s="3"/>
      <c r="F38" s="2"/>
      <c r="G38" s="3"/>
      <c r="H38" s="2"/>
      <c r="I38" s="3"/>
      <c r="J38" s="2"/>
      <c r="K38" s="3"/>
      <c r="L38" s="2"/>
      <c r="M38" s="3"/>
      <c r="N38" s="2"/>
      <c r="O38" s="3"/>
      <c r="P38" s="2"/>
      <c r="Q38" s="3"/>
      <c r="R38" s="2"/>
      <c r="S38" s="3"/>
      <c r="T38" s="2"/>
      <c r="U38" s="3"/>
      <c r="V38" s="2"/>
      <c r="W38" s="3"/>
      <c r="X38" s="2"/>
      <c r="Y38" s="3"/>
      <c r="Z38" s="2"/>
      <c r="AA38" s="3"/>
      <c r="AB38" s="2"/>
      <c r="AC38" s="3"/>
      <c r="AD38" s="4"/>
      <c r="AE38" s="5"/>
      <c r="AF38" s="4"/>
      <c r="AG38" s="2"/>
      <c r="AH38" s="3"/>
      <c r="AI38" s="4"/>
      <c r="AJ38" s="5"/>
      <c r="AK38" s="4"/>
      <c r="AL38" s="5"/>
    </row>
    <row r="39" spans="1:38" ht="16.5" hidden="1" customHeight="1" x14ac:dyDescent="0.3">
      <c r="A39" s="25" t="s">
        <v>54</v>
      </c>
      <c r="B39" s="7">
        <v>0</v>
      </c>
      <c r="C39" s="8">
        <f>IFERROR(B39/B148, "NA")</f>
        <v>0</v>
      </c>
      <c r="D39" s="7">
        <v>0</v>
      </c>
      <c r="E39" s="8">
        <f>IFERROR(D39/D148, "NA")</f>
        <v>0</v>
      </c>
      <c r="F39" s="7">
        <v>0</v>
      </c>
      <c r="G39" s="8">
        <f>IFERROR(F39/F148, "NA")</f>
        <v>0</v>
      </c>
      <c r="H39" s="7">
        <v>0</v>
      </c>
      <c r="I39" s="8">
        <f>IFERROR(H39/H148, "NA")</f>
        <v>0</v>
      </c>
      <c r="J39" s="7">
        <v>0</v>
      </c>
      <c r="K39" s="8">
        <f>IFERROR(J39/J148, "NA")</f>
        <v>0</v>
      </c>
      <c r="L39" s="7">
        <v>0</v>
      </c>
      <c r="M39" s="8">
        <f>IFERROR(L39/L148, "NA")</f>
        <v>0</v>
      </c>
      <c r="N39" s="7">
        <v>0</v>
      </c>
      <c r="O39" s="8">
        <f>IFERROR(N39/N148, "NA")</f>
        <v>0</v>
      </c>
      <c r="P39" s="7">
        <v>0</v>
      </c>
      <c r="Q39" s="8">
        <f>IFERROR(P39/P148, "NA")</f>
        <v>0</v>
      </c>
      <c r="R39" s="7">
        <v>0</v>
      </c>
      <c r="S39" s="8">
        <f>IFERROR(R39/R148, "NA")</f>
        <v>0</v>
      </c>
      <c r="T39" s="7">
        <v>0</v>
      </c>
      <c r="U39" s="8">
        <f>IFERROR(T39/T148, "NA")</f>
        <v>0</v>
      </c>
      <c r="V39" s="7">
        <v>0</v>
      </c>
      <c r="W39" s="8">
        <f>IFERROR(V39/V148, "NA")</f>
        <v>0</v>
      </c>
      <c r="X39" s="7">
        <v>0</v>
      </c>
      <c r="Y39" s="8">
        <f>IFERROR(X39/X148, "NA")</f>
        <v>0</v>
      </c>
      <c r="Z39" s="7">
        <v>0</v>
      </c>
      <c r="AA39" s="8">
        <f>IFERROR(Z39/Z148, "NA")</f>
        <v>0</v>
      </c>
      <c r="AB39" s="9">
        <f t="shared" ref="AB39:AB44" si="12">IFERROR((R39+T39+V39+X39)/4, "NA")</f>
        <v>0</v>
      </c>
      <c r="AC39" s="8">
        <f>IFERROR(AB39/AB148, "NA")</f>
        <v>0</v>
      </c>
      <c r="AD39" s="10">
        <f t="shared" ref="AD39:AD44" si="13">IFERROR(X39-AB39, "NA")</f>
        <v>0</v>
      </c>
      <c r="AE39" s="11">
        <f>IFERROR(AD39/AD148, "NA")</f>
        <v>0</v>
      </c>
      <c r="AF39" s="10" t="str">
        <f t="shared" ref="AF39:AF44" si="14">IFERROR((X39-AB39)/AB39, "NA")</f>
        <v>NA</v>
      </c>
      <c r="AG39" s="9">
        <f t="shared" ref="AG39:AG44" si="15">IFERROR((J39+L39+N39+P39+R39+T39+V39+X39)/8, "NA")</f>
        <v>0</v>
      </c>
      <c r="AH39" s="8">
        <f>IFERROR(AG39/AG148, "NA")</f>
        <v>0</v>
      </c>
      <c r="AI39" s="10">
        <f t="shared" ref="AI39:AI44" si="16">IFERROR(X39-AG39, "NA")</f>
        <v>0</v>
      </c>
      <c r="AJ39" s="11">
        <f>IFERROR(AI39/AI148, "NA")</f>
        <v>0</v>
      </c>
      <c r="AK39" s="10" t="str">
        <f t="shared" ref="AK39:AK44" si="17">IFERROR((X39-AG39)/AG39, "NA")</f>
        <v>NA</v>
      </c>
      <c r="AL39" s="11" t="str">
        <f>IFERROR(AK39/AK148, "NA")</f>
        <v>NA</v>
      </c>
    </row>
    <row r="40" spans="1:38" ht="16.5" customHeight="1" x14ac:dyDescent="0.3">
      <c r="A40" s="25" t="s">
        <v>55</v>
      </c>
      <c r="B40" s="7">
        <v>886.84</v>
      </c>
      <c r="C40" s="8">
        <f>IFERROR(B40/B148, "NA")</f>
        <v>2.5011845400600165E-2</v>
      </c>
      <c r="D40" s="7">
        <v>982.42</v>
      </c>
      <c r="E40" s="8">
        <f>IFERROR(D40/D148, "NA")</f>
        <v>2.5464925009085176E-2</v>
      </c>
      <c r="F40" s="7">
        <v>1104.8800000000001</v>
      </c>
      <c r="G40" s="8">
        <f>IFERROR(F40/F148, "NA")</f>
        <v>2.4579401870373066E-2</v>
      </c>
      <c r="H40" s="7">
        <v>1451.22</v>
      </c>
      <c r="I40" s="8">
        <f>IFERROR(H40/H148, "NA")</f>
        <v>3.5220341311274654E-2</v>
      </c>
      <c r="J40" s="7">
        <v>626.67999999999995</v>
      </c>
      <c r="K40" s="8">
        <f>IFERROR(J40/J148, "NA")</f>
        <v>1.6170801314967821E-2</v>
      </c>
      <c r="L40" s="7">
        <v>1112.8499999999999</v>
      </c>
      <c r="M40" s="8">
        <f>IFERROR(L40/L148, "NA")</f>
        <v>2.1275871687480508E-2</v>
      </c>
      <c r="N40" s="7">
        <v>1431.78</v>
      </c>
      <c r="O40" s="8">
        <f>IFERROR(N40/N148, "NA")</f>
        <v>2.8328300264391929E-2</v>
      </c>
      <c r="P40" s="7">
        <v>900.8</v>
      </c>
      <c r="Q40" s="8">
        <f>IFERROR(P40/P148, "NA")</f>
        <v>1.904878311306768E-2</v>
      </c>
      <c r="R40" s="7">
        <v>921.97</v>
      </c>
      <c r="S40" s="8">
        <f>IFERROR(R40/R148, "NA")</f>
        <v>1.9187673204562238E-2</v>
      </c>
      <c r="T40" s="7">
        <v>1089</v>
      </c>
      <c r="U40" s="8">
        <f>IFERROR(T40/T148, "NA")</f>
        <v>2.5657735701290239E-2</v>
      </c>
      <c r="V40" s="7">
        <v>1173.48</v>
      </c>
      <c r="W40" s="8">
        <f>IFERROR(V40/V148, "NA")</f>
        <v>1.9680689417830757E-2</v>
      </c>
      <c r="X40" s="7">
        <v>1277.51</v>
      </c>
      <c r="Y40" s="8">
        <f>IFERROR(X40/X148, "NA")</f>
        <v>2.1679469474018609E-2</v>
      </c>
      <c r="Z40" s="7">
        <v>3539.99</v>
      </c>
      <c r="AA40" s="8">
        <f>IFERROR(Z40/Z148, "NA")</f>
        <v>2.1987996259297093E-2</v>
      </c>
      <c r="AB40" s="9">
        <f t="shared" si="12"/>
        <v>1115.49</v>
      </c>
      <c r="AC40" s="8">
        <f>IFERROR(AB40/AB148, "NA")</f>
        <v>2.134433183797297E-2</v>
      </c>
      <c r="AD40" s="10">
        <f t="shared" si="13"/>
        <v>162.01999999999998</v>
      </c>
      <c r="AE40" s="11">
        <f>IFERROR(AD40/AD148, "NA")</f>
        <v>2.4307144368114739E-2</v>
      </c>
      <c r="AF40" s="10">
        <f t="shared" si="14"/>
        <v>0.14524558714107699</v>
      </c>
      <c r="AG40" s="9">
        <f t="shared" si="15"/>
        <v>1066.75875</v>
      </c>
      <c r="AH40" s="8">
        <f>IFERROR(AG40/AG148, "NA")</f>
        <v>2.144574766653759E-2</v>
      </c>
      <c r="AI40" s="10">
        <f t="shared" si="16"/>
        <v>210.75125000000003</v>
      </c>
      <c r="AJ40" s="11">
        <f>IFERROR(AI40/AI148, "NA")</f>
        <v>2.2945214474561111E-2</v>
      </c>
      <c r="AK40" s="10">
        <f t="shared" si="17"/>
        <v>0.19756224169710351</v>
      </c>
      <c r="AL40" s="11">
        <f>IFERROR(AK40/AK148, "NA")</f>
        <v>1.0699190735309816</v>
      </c>
    </row>
    <row r="41" spans="1:38" ht="16.5" customHeight="1" x14ac:dyDescent="0.3">
      <c r="A41" s="25" t="s">
        <v>56</v>
      </c>
      <c r="B41" s="7">
        <v>519.66</v>
      </c>
      <c r="C41" s="8">
        <f>IFERROR(B41/B148, "NA")</f>
        <v>1.4656144942578008E-2</v>
      </c>
      <c r="D41" s="7">
        <v>606.53</v>
      </c>
      <c r="E41" s="8">
        <f>IFERROR(D41/D148, "NA")</f>
        <v>1.5721627171434244E-2</v>
      </c>
      <c r="F41" s="7">
        <v>671.36</v>
      </c>
      <c r="G41" s="8">
        <f>IFERROR(F41/F148, "NA")</f>
        <v>1.4935221236418128E-2</v>
      </c>
      <c r="H41" s="7">
        <v>487.76</v>
      </c>
      <c r="I41" s="8">
        <f>IFERROR(H41/H148, "NA")</f>
        <v>1.1837677042755283E-2</v>
      </c>
      <c r="J41" s="7">
        <v>517.71</v>
      </c>
      <c r="K41" s="8">
        <f>IFERROR(J41/J148, "NA")</f>
        <v>1.3358948025741991E-2</v>
      </c>
      <c r="L41" s="7">
        <v>1030.28</v>
      </c>
      <c r="M41" s="8">
        <f>IFERROR(L41/L148, "NA")</f>
        <v>1.9697268348993501E-2</v>
      </c>
      <c r="N41" s="7">
        <v>657.52</v>
      </c>
      <c r="O41" s="8">
        <f>IFERROR(N41/N148, "NA")</f>
        <v>1.3009277954604046E-2</v>
      </c>
      <c r="P41" s="7">
        <v>791.5</v>
      </c>
      <c r="Q41" s="8">
        <f>IFERROR(P41/P148, "NA")</f>
        <v>1.6737468732230316E-2</v>
      </c>
      <c r="R41" s="7">
        <v>244.19</v>
      </c>
      <c r="S41" s="8">
        <f>IFERROR(R41/R148, "NA")</f>
        <v>5.0819852270920446E-3</v>
      </c>
      <c r="T41" s="7">
        <v>583.16999999999996</v>
      </c>
      <c r="U41" s="8">
        <f>IFERROR(T41/T148, "NA")</f>
        <v>1.373996485667716E-2</v>
      </c>
      <c r="V41" s="7">
        <v>766.6</v>
      </c>
      <c r="W41" s="8">
        <f>IFERROR(V41/V148, "NA")</f>
        <v>1.2856816057972065E-2</v>
      </c>
      <c r="X41" s="7">
        <v>626.83000000000004</v>
      </c>
      <c r="Y41" s="8">
        <f>IFERROR(X41/X148, "NA")</f>
        <v>1.0637366322298131E-2</v>
      </c>
      <c r="Z41" s="7">
        <v>1976.6</v>
      </c>
      <c r="AA41" s="8">
        <f>IFERROR(Z41/Z148, "NA")</f>
        <v>1.2277287056213898E-2</v>
      </c>
      <c r="AB41" s="9">
        <f t="shared" si="12"/>
        <v>555.19749999999999</v>
      </c>
      <c r="AC41" s="8">
        <f>IFERROR(AB41/AB148, "NA")</f>
        <v>1.062342080665268E-2</v>
      </c>
      <c r="AD41" s="10">
        <f t="shared" si="13"/>
        <v>71.63250000000005</v>
      </c>
      <c r="AE41" s="11">
        <f>IFERROR(AD41/AD148, "NA")</f>
        <v>1.0746707313596966E-2</v>
      </c>
      <c r="AF41" s="10">
        <f t="shared" si="14"/>
        <v>0.12902165445629718</v>
      </c>
      <c r="AG41" s="9">
        <f t="shared" si="15"/>
        <v>652.22500000000002</v>
      </c>
      <c r="AH41" s="8">
        <f>IFERROR(AG41/AG148, "NA")</f>
        <v>1.311210503012746E-2</v>
      </c>
      <c r="AI41" s="10">
        <f t="shared" si="16"/>
        <v>-25.394999999999982</v>
      </c>
      <c r="AJ41" s="11">
        <f>IFERROR(AI41/AI148, "NA")</f>
        <v>-2.7648411175804602E-3</v>
      </c>
      <c r="AK41" s="10">
        <f t="shared" si="17"/>
        <v>-3.8935950017248616E-2</v>
      </c>
      <c r="AL41" s="11">
        <f>IFERROR(AK41/AK148, "NA")</f>
        <v>-0.21086172748218013</v>
      </c>
    </row>
    <row r="42" spans="1:38" ht="16.5" hidden="1" customHeight="1" x14ac:dyDescent="0.3">
      <c r="A42" s="25" t="s">
        <v>57</v>
      </c>
      <c r="B42" s="7">
        <v>0</v>
      </c>
      <c r="C42" s="8">
        <f>IFERROR(B42/B148, "NA")</f>
        <v>0</v>
      </c>
      <c r="D42" s="7">
        <v>0</v>
      </c>
      <c r="E42" s="8">
        <f>IFERROR(D42/D148, "NA")</f>
        <v>0</v>
      </c>
      <c r="F42" s="7">
        <v>0</v>
      </c>
      <c r="G42" s="8">
        <f>IFERROR(F42/F148, "NA")</f>
        <v>0</v>
      </c>
      <c r="H42" s="7">
        <v>0</v>
      </c>
      <c r="I42" s="8">
        <f>IFERROR(H42/H148, "NA")</f>
        <v>0</v>
      </c>
      <c r="J42" s="7">
        <v>0</v>
      </c>
      <c r="K42" s="8">
        <f>IFERROR(J42/J148, "NA")</f>
        <v>0</v>
      </c>
      <c r="L42" s="7">
        <v>0</v>
      </c>
      <c r="M42" s="8">
        <f>IFERROR(L42/L148, "NA")</f>
        <v>0</v>
      </c>
      <c r="N42" s="7">
        <v>0</v>
      </c>
      <c r="O42" s="8">
        <f>IFERROR(N42/N148, "NA")</f>
        <v>0</v>
      </c>
      <c r="P42" s="7">
        <v>0</v>
      </c>
      <c r="Q42" s="8">
        <f>IFERROR(P42/P148, "NA")</f>
        <v>0</v>
      </c>
      <c r="R42" s="7">
        <v>0</v>
      </c>
      <c r="S42" s="8">
        <f>IFERROR(R42/R148, "NA")</f>
        <v>0</v>
      </c>
      <c r="T42" s="7">
        <v>0</v>
      </c>
      <c r="U42" s="8">
        <f>IFERROR(T42/T148, "NA")</f>
        <v>0</v>
      </c>
      <c r="V42" s="7">
        <v>0</v>
      </c>
      <c r="W42" s="8">
        <f>IFERROR(V42/V148, "NA")</f>
        <v>0</v>
      </c>
      <c r="X42" s="7">
        <v>0</v>
      </c>
      <c r="Y42" s="8">
        <f>IFERROR(X42/X148, "NA")</f>
        <v>0</v>
      </c>
      <c r="Z42" s="7">
        <v>0</v>
      </c>
      <c r="AA42" s="8">
        <f>IFERROR(Z42/Z148, "NA")</f>
        <v>0</v>
      </c>
      <c r="AB42" s="9">
        <f t="shared" si="12"/>
        <v>0</v>
      </c>
      <c r="AC42" s="8">
        <f>IFERROR(AB42/AB148, "NA")</f>
        <v>0</v>
      </c>
      <c r="AD42" s="10">
        <f t="shared" si="13"/>
        <v>0</v>
      </c>
      <c r="AE42" s="11">
        <f>IFERROR(AD42/AD148, "NA")</f>
        <v>0</v>
      </c>
      <c r="AF42" s="10" t="str">
        <f t="shared" si="14"/>
        <v>NA</v>
      </c>
      <c r="AG42" s="9">
        <f t="shared" si="15"/>
        <v>0</v>
      </c>
      <c r="AH42" s="8">
        <f>IFERROR(AG42/AG148, "NA")</f>
        <v>0</v>
      </c>
      <c r="AI42" s="10">
        <f t="shared" si="16"/>
        <v>0</v>
      </c>
      <c r="AJ42" s="11">
        <f>IFERROR(AI42/AI148, "NA")</f>
        <v>0</v>
      </c>
      <c r="AK42" s="10" t="str">
        <f t="shared" si="17"/>
        <v>NA</v>
      </c>
      <c r="AL42" s="11" t="str">
        <f>IFERROR(AK42/AK148, "NA")</f>
        <v>NA</v>
      </c>
    </row>
    <row r="43" spans="1:38" ht="16.5" hidden="1" customHeight="1" x14ac:dyDescent="0.3">
      <c r="A43" s="25" t="s">
        <v>58</v>
      </c>
      <c r="B43" s="7">
        <v>0</v>
      </c>
      <c r="C43" s="8">
        <f>IFERROR(B43/B148, "NA")</f>
        <v>0</v>
      </c>
      <c r="D43" s="7">
        <v>0</v>
      </c>
      <c r="E43" s="8">
        <f>IFERROR(D43/D148, "NA")</f>
        <v>0</v>
      </c>
      <c r="F43" s="7">
        <v>0</v>
      </c>
      <c r="G43" s="8">
        <f>IFERROR(F43/F148, "NA")</f>
        <v>0</v>
      </c>
      <c r="H43" s="7">
        <v>0</v>
      </c>
      <c r="I43" s="8">
        <f>IFERROR(H43/H148, "NA")</f>
        <v>0</v>
      </c>
      <c r="J43" s="7">
        <v>0</v>
      </c>
      <c r="K43" s="8">
        <f>IFERROR(J43/J148, "NA")</f>
        <v>0</v>
      </c>
      <c r="L43" s="7">
        <v>0</v>
      </c>
      <c r="M43" s="8">
        <f>IFERROR(L43/L148, "NA")</f>
        <v>0</v>
      </c>
      <c r="N43" s="7">
        <v>0</v>
      </c>
      <c r="O43" s="8">
        <f>IFERROR(N43/N148, "NA")</f>
        <v>0</v>
      </c>
      <c r="P43" s="7">
        <v>0</v>
      </c>
      <c r="Q43" s="8">
        <f>IFERROR(P43/P148, "NA")</f>
        <v>0</v>
      </c>
      <c r="R43" s="7">
        <v>0</v>
      </c>
      <c r="S43" s="8">
        <f>IFERROR(R43/R148, "NA")</f>
        <v>0</v>
      </c>
      <c r="T43" s="7">
        <v>0</v>
      </c>
      <c r="U43" s="8">
        <f>IFERROR(T43/T148, "NA")</f>
        <v>0</v>
      </c>
      <c r="V43" s="7">
        <v>0</v>
      </c>
      <c r="W43" s="8">
        <f>IFERROR(V43/V148, "NA")</f>
        <v>0</v>
      </c>
      <c r="X43" s="7">
        <v>0</v>
      </c>
      <c r="Y43" s="8">
        <f>IFERROR(X43/X148, "NA")</f>
        <v>0</v>
      </c>
      <c r="Z43" s="7">
        <v>0</v>
      </c>
      <c r="AA43" s="8">
        <f>IFERROR(Z43/Z148, "NA")</f>
        <v>0</v>
      </c>
      <c r="AB43" s="9">
        <f t="shared" si="12"/>
        <v>0</v>
      </c>
      <c r="AC43" s="8">
        <f>IFERROR(AB43/AB148, "NA")</f>
        <v>0</v>
      </c>
      <c r="AD43" s="10">
        <f t="shared" si="13"/>
        <v>0</v>
      </c>
      <c r="AE43" s="11">
        <f>IFERROR(AD43/AD148, "NA")</f>
        <v>0</v>
      </c>
      <c r="AF43" s="10" t="str">
        <f t="shared" si="14"/>
        <v>NA</v>
      </c>
      <c r="AG43" s="9">
        <f t="shared" si="15"/>
        <v>0</v>
      </c>
      <c r="AH43" s="8">
        <f>IFERROR(AG43/AG148, "NA")</f>
        <v>0</v>
      </c>
      <c r="AI43" s="10">
        <f t="shared" si="16"/>
        <v>0</v>
      </c>
      <c r="AJ43" s="11">
        <f>IFERROR(AI43/AI148, "NA")</f>
        <v>0</v>
      </c>
      <c r="AK43" s="10" t="str">
        <f t="shared" si="17"/>
        <v>NA</v>
      </c>
      <c r="AL43" s="11" t="str">
        <f>IFERROR(AK43/AK148, "NA")</f>
        <v>NA</v>
      </c>
    </row>
    <row r="44" spans="1:38" ht="16.5" customHeight="1" x14ac:dyDescent="0.3">
      <c r="A44" s="26" t="s">
        <v>59</v>
      </c>
      <c r="B44" s="13">
        <f>IFERROR(B39+B40+B41+B42+B43, "NA")</f>
        <v>1406.5</v>
      </c>
      <c r="C44" s="14">
        <f>IFERROR(B44/B148, "NA")</f>
        <v>3.9667990343178174E-2</v>
      </c>
      <c r="D44" s="13">
        <f>IFERROR(D39+D40+D41+D42+D43, "NA")</f>
        <v>1588.9499999999998</v>
      </c>
      <c r="E44" s="14">
        <f>IFERROR(D44/D148, "NA")</f>
        <v>4.118655218051942E-2</v>
      </c>
      <c r="F44" s="13">
        <f>IFERROR(F39+F40+F41+F42+F43, "NA")</f>
        <v>1776.2400000000002</v>
      </c>
      <c r="G44" s="14">
        <f>IFERROR(F44/F148, "NA")</f>
        <v>3.95146231067912E-2</v>
      </c>
      <c r="H44" s="13">
        <f>IFERROR(H39+H40+H41+H42+H43, "NA")</f>
        <v>1938.98</v>
      </c>
      <c r="I44" s="14">
        <f>IFERROR(H44/H148, "NA")</f>
        <v>4.7058018354029937E-2</v>
      </c>
      <c r="J44" s="13">
        <f>IFERROR(J39+J40+J41+J42+J43, "NA")</f>
        <v>1144.3899999999999</v>
      </c>
      <c r="K44" s="14">
        <f>IFERROR(J44/J148, "NA")</f>
        <v>2.9529749340709809E-2</v>
      </c>
      <c r="L44" s="13">
        <f>IFERROR(L39+L40+L41+L42+L43, "NA")</f>
        <v>2143.13</v>
      </c>
      <c r="M44" s="14">
        <f>IFERROR(L44/L148, "NA")</f>
        <v>4.0973140036474016E-2</v>
      </c>
      <c r="N44" s="13">
        <f>IFERROR(N39+N40+N41+N42+N43, "NA")</f>
        <v>2089.3000000000002</v>
      </c>
      <c r="O44" s="14">
        <f>IFERROR(N44/N148, "NA")</f>
        <v>4.1337578218995981E-2</v>
      </c>
      <c r="P44" s="13">
        <f>IFERROR(P39+P40+P41+P42+P43, "NA")</f>
        <v>1692.3</v>
      </c>
      <c r="Q44" s="14">
        <f>IFERROR(P44/P148, "NA")</f>
        <v>3.5786251845297996E-2</v>
      </c>
      <c r="R44" s="13">
        <f>IFERROR(R39+R40+R41+R42+R43, "NA")</f>
        <v>1166.1600000000001</v>
      </c>
      <c r="S44" s="14">
        <f>IFERROR(R44/R148, "NA")</f>
        <v>2.4269658431654281E-2</v>
      </c>
      <c r="T44" s="13">
        <f>IFERROR(T39+T40+T41+T42+T43, "NA")</f>
        <v>1672.17</v>
      </c>
      <c r="U44" s="14">
        <f>IFERROR(T44/T148, "NA")</f>
        <v>3.9397700557967402E-2</v>
      </c>
      <c r="V44" s="13">
        <f>IFERROR(V39+V40+V41+V42+V43, "NA")</f>
        <v>1940.08</v>
      </c>
      <c r="W44" s="14">
        <f>IFERROR(V44/V148, "NA")</f>
        <v>3.2537505475802822E-2</v>
      </c>
      <c r="X44" s="13">
        <f>IFERROR(X39+X40+X41+X42+X43, "NA")</f>
        <v>1904.3400000000001</v>
      </c>
      <c r="Y44" s="14">
        <f>IFERROR(X44/X148, "NA")</f>
        <v>3.2316835796316744E-2</v>
      </c>
      <c r="Z44" s="13">
        <f>IFERROR(Z39+Z40+Z41+Z42+Z43, "NA")</f>
        <v>5516.59</v>
      </c>
      <c r="AA44" s="14">
        <f>IFERROR(Z44/Z148, "NA")</f>
        <v>3.4265283315510993E-2</v>
      </c>
      <c r="AB44" s="13">
        <f t="shared" si="12"/>
        <v>1670.6875</v>
      </c>
      <c r="AC44" s="14">
        <f>IFERROR(AB44/AB148, "NA")</f>
        <v>3.1967752644625654E-2</v>
      </c>
      <c r="AD44" s="15">
        <f t="shared" si="13"/>
        <v>233.65250000000015</v>
      </c>
      <c r="AE44" s="16">
        <f>IFERROR(AD44/AD148, "NA")</f>
        <v>3.5053851681711719E-2</v>
      </c>
      <c r="AF44" s="15">
        <f t="shared" si="14"/>
        <v>0.1398541019789758</v>
      </c>
      <c r="AG44" s="13">
        <f t="shared" si="15"/>
        <v>1718.9837500000001</v>
      </c>
      <c r="AH44" s="14">
        <f>IFERROR(AG44/AG148, "NA")</f>
        <v>3.4557852696665052E-2</v>
      </c>
      <c r="AI44" s="15">
        <f t="shared" si="16"/>
        <v>185.35625000000005</v>
      </c>
      <c r="AJ44" s="16">
        <f>IFERROR(AI44/AI148, "NA")</f>
        <v>2.0180373356980651E-2</v>
      </c>
      <c r="AK44" s="15">
        <f t="shared" si="17"/>
        <v>0.10782897162349558</v>
      </c>
      <c r="AL44" s="16">
        <f>IFERROR(AK44/AK148, "NA")</f>
        <v>0.58395912310049647</v>
      </c>
    </row>
    <row r="45" spans="1:38" ht="16.5" customHeight="1" x14ac:dyDescent="0.3">
      <c r="A45" s="24" t="s">
        <v>60</v>
      </c>
      <c r="B45" s="2"/>
      <c r="C45" s="3"/>
      <c r="D45" s="2"/>
      <c r="E45" s="3"/>
      <c r="F45" s="2"/>
      <c r="G45" s="3"/>
      <c r="H45" s="2"/>
      <c r="I45" s="3"/>
      <c r="J45" s="2"/>
      <c r="K45" s="3"/>
      <c r="L45" s="2"/>
      <c r="M45" s="3"/>
      <c r="N45" s="2"/>
      <c r="O45" s="3"/>
      <c r="P45" s="2"/>
      <c r="Q45" s="3"/>
      <c r="R45" s="2"/>
      <c r="S45" s="3"/>
      <c r="T45" s="2"/>
      <c r="U45" s="3"/>
      <c r="V45" s="2"/>
      <c r="W45" s="3"/>
      <c r="X45" s="2"/>
      <c r="Y45" s="3"/>
      <c r="Z45" s="2"/>
      <c r="AA45" s="3"/>
      <c r="AB45" s="2"/>
      <c r="AC45" s="3"/>
      <c r="AD45" s="4"/>
      <c r="AE45" s="5"/>
      <c r="AF45" s="4"/>
      <c r="AG45" s="2"/>
      <c r="AH45" s="3"/>
      <c r="AI45" s="4"/>
      <c r="AJ45" s="5"/>
      <c r="AK45" s="4"/>
      <c r="AL45" s="5"/>
    </row>
    <row r="46" spans="1:38" ht="16.5" hidden="1" customHeight="1" x14ac:dyDescent="0.3">
      <c r="A46" s="25" t="s">
        <v>61</v>
      </c>
      <c r="B46" s="7">
        <v>0</v>
      </c>
      <c r="C46" s="8">
        <f>IFERROR(B46/B148, "NA")</f>
        <v>0</v>
      </c>
      <c r="D46" s="7">
        <v>0</v>
      </c>
      <c r="E46" s="8">
        <f>IFERROR(D46/D148, "NA")</f>
        <v>0</v>
      </c>
      <c r="F46" s="7">
        <v>0</v>
      </c>
      <c r="G46" s="8">
        <f>IFERROR(F46/F148, "NA")</f>
        <v>0</v>
      </c>
      <c r="H46" s="7">
        <v>0</v>
      </c>
      <c r="I46" s="8">
        <f>IFERROR(H46/H148, "NA")</f>
        <v>0</v>
      </c>
      <c r="J46" s="7">
        <v>0</v>
      </c>
      <c r="K46" s="8">
        <f>IFERROR(J46/J148, "NA")</f>
        <v>0</v>
      </c>
      <c r="L46" s="7">
        <v>0</v>
      </c>
      <c r="M46" s="8">
        <f>IFERROR(L46/L148, "NA")</f>
        <v>0</v>
      </c>
      <c r="N46" s="7">
        <v>0</v>
      </c>
      <c r="O46" s="8">
        <f>IFERROR(N46/N148, "NA")</f>
        <v>0</v>
      </c>
      <c r="P46" s="7">
        <v>0</v>
      </c>
      <c r="Q46" s="8">
        <f>IFERROR(P46/P148, "NA")</f>
        <v>0</v>
      </c>
      <c r="R46" s="7">
        <v>0</v>
      </c>
      <c r="S46" s="8">
        <f>IFERROR(R46/R148, "NA")</f>
        <v>0</v>
      </c>
      <c r="T46" s="7">
        <v>0</v>
      </c>
      <c r="U46" s="8">
        <f>IFERROR(T46/T148, "NA")</f>
        <v>0</v>
      </c>
      <c r="V46" s="7">
        <v>0</v>
      </c>
      <c r="W46" s="8">
        <f>IFERROR(V46/V148, "NA")</f>
        <v>0</v>
      </c>
      <c r="X46" s="7">
        <v>0</v>
      </c>
      <c r="Y46" s="8">
        <f>IFERROR(X46/X148, "NA")</f>
        <v>0</v>
      </c>
      <c r="Z46" s="7">
        <v>0</v>
      </c>
      <c r="AA46" s="8">
        <f>IFERROR(Z46/Z148, "NA")</f>
        <v>0</v>
      </c>
      <c r="AB46" s="9">
        <f t="shared" ref="AB46:AB57" si="18">IFERROR((R46+T46+V46+X46)/4, "NA")</f>
        <v>0</v>
      </c>
      <c r="AC46" s="8">
        <f>IFERROR(AB46/AB148, "NA")</f>
        <v>0</v>
      </c>
      <c r="AD46" s="10">
        <f t="shared" ref="AD46:AD57" si="19">IFERROR(X46-AB46, "NA")</f>
        <v>0</v>
      </c>
      <c r="AE46" s="11">
        <f>IFERROR(AD46/AD148, "NA")</f>
        <v>0</v>
      </c>
      <c r="AF46" s="10" t="str">
        <f t="shared" ref="AF46:AF57" si="20">IFERROR((X46-AB46)/AB46, "NA")</f>
        <v>NA</v>
      </c>
      <c r="AG46" s="9">
        <f t="shared" ref="AG46:AG57" si="21">IFERROR((J46+L46+N46+P46+R46+T46+V46+X46)/8, "NA")</f>
        <v>0</v>
      </c>
      <c r="AH46" s="8">
        <f>IFERROR(AG46/AG148, "NA")</f>
        <v>0</v>
      </c>
      <c r="AI46" s="10">
        <f t="shared" ref="AI46:AI57" si="22">IFERROR(X46-AG46, "NA")</f>
        <v>0</v>
      </c>
      <c r="AJ46" s="11">
        <f>IFERROR(AI46/AI148, "NA")</f>
        <v>0</v>
      </c>
      <c r="AK46" s="10" t="str">
        <f t="shared" ref="AK46:AK57" si="23">IFERROR((X46-AG46)/AG46, "NA")</f>
        <v>NA</v>
      </c>
      <c r="AL46" s="11" t="str">
        <f>IFERROR(AK46/AK148, "NA")</f>
        <v>NA</v>
      </c>
    </row>
    <row r="47" spans="1:38" ht="16.5" customHeight="1" x14ac:dyDescent="0.3">
      <c r="A47" s="25" t="s">
        <v>62</v>
      </c>
      <c r="B47" s="7">
        <v>121.47</v>
      </c>
      <c r="C47" s="8">
        <f>IFERROR(B47/B148, "NA")</f>
        <v>3.4258590735768593E-3</v>
      </c>
      <c r="D47" s="7">
        <v>65.44</v>
      </c>
      <c r="E47" s="8">
        <f>IFERROR(D47/D148, "NA")</f>
        <v>1.6962446739627998E-3</v>
      </c>
      <c r="F47" s="7">
        <v>22.06</v>
      </c>
      <c r="G47" s="8">
        <f>IFERROR(F47/F148, "NA")</f>
        <v>4.9075157959274293E-4</v>
      </c>
      <c r="H47" s="7">
        <v>54.93</v>
      </c>
      <c r="I47" s="8">
        <f>IFERROR(H47/H148, "NA")</f>
        <v>1.3331220271415199E-3</v>
      </c>
      <c r="J47" s="7">
        <v>62.27</v>
      </c>
      <c r="K47" s="8">
        <f>IFERROR(J47/J148, "NA")</f>
        <v>1.6068101708735659E-3</v>
      </c>
      <c r="L47" s="7">
        <v>79.89</v>
      </c>
      <c r="M47" s="8">
        <f>IFERROR(L47/L148, "NA")</f>
        <v>1.5273661222202615E-3</v>
      </c>
      <c r="N47" s="7">
        <v>59.29</v>
      </c>
      <c r="O47" s="8">
        <f>IFERROR(N47/N148, "NA")</f>
        <v>1.1730747200518218E-3</v>
      </c>
      <c r="P47" s="7">
        <v>78.72</v>
      </c>
      <c r="Q47" s="8">
        <f>IFERROR(P47/P148, "NA")</f>
        <v>1.6646538706268736E-3</v>
      </c>
      <c r="R47" s="7">
        <v>65.39</v>
      </c>
      <c r="S47" s="8">
        <f>IFERROR(R47/R148, "NA")</f>
        <v>1.3608706908536336E-3</v>
      </c>
      <c r="T47" s="7">
        <v>64.650000000000006</v>
      </c>
      <c r="U47" s="8">
        <f>IFERROR(T47/T148, "NA")</f>
        <v>1.5232071745531811E-3</v>
      </c>
      <c r="V47" s="7">
        <v>83.1</v>
      </c>
      <c r="W47" s="8">
        <f>IFERROR(V47/V148, "NA")</f>
        <v>1.3936882525664995E-3</v>
      </c>
      <c r="X47" s="7">
        <v>73.48</v>
      </c>
      <c r="Y47" s="8">
        <f>IFERROR(X47/X148, "NA")</f>
        <v>1.2469627767695654E-3</v>
      </c>
      <c r="Z47" s="7">
        <v>221.23</v>
      </c>
      <c r="AA47" s="8">
        <f>IFERROR(Z47/Z148, "NA")</f>
        <v>1.3741294219600329E-3</v>
      </c>
      <c r="AB47" s="9">
        <f t="shared" si="18"/>
        <v>71.655000000000001</v>
      </c>
      <c r="AC47" s="8">
        <f>IFERROR(AB47/AB148, "NA")</f>
        <v>1.3710818544764663E-3</v>
      </c>
      <c r="AD47" s="10">
        <f t="shared" si="19"/>
        <v>1.8250000000000028</v>
      </c>
      <c r="AE47" s="11">
        <f>IFERROR(AD47/AD148, "NA")</f>
        <v>2.7379668233433821E-4</v>
      </c>
      <c r="AF47" s="10">
        <f t="shared" si="20"/>
        <v>2.5469262438071353E-2</v>
      </c>
      <c r="AG47" s="9">
        <f t="shared" si="21"/>
        <v>70.848749999999995</v>
      </c>
      <c r="AH47" s="8">
        <f>IFERROR(AG47/AG148, "NA")</f>
        <v>1.4243186802916827E-3</v>
      </c>
      <c r="AI47" s="10">
        <f t="shared" si="22"/>
        <v>2.6312500000000085</v>
      </c>
      <c r="AJ47" s="11">
        <f>IFERROR(AI47/AI148, "NA")</f>
        <v>2.8647325027106178E-4</v>
      </c>
      <c r="AK47" s="10">
        <f t="shared" si="23"/>
        <v>3.7138975634714917E-2</v>
      </c>
      <c r="AL47" s="11">
        <f>IFERROR(AK47/AK148, "NA")</f>
        <v>0.20113002394407664</v>
      </c>
    </row>
    <row r="48" spans="1:38" ht="16.5" hidden="1" customHeight="1" x14ac:dyDescent="0.3">
      <c r="A48" s="25" t="s">
        <v>63</v>
      </c>
      <c r="B48" s="7">
        <v>0</v>
      </c>
      <c r="C48" s="8">
        <f>IFERROR(B48/B148, "NA")</f>
        <v>0</v>
      </c>
      <c r="D48" s="7">
        <v>0</v>
      </c>
      <c r="E48" s="8">
        <f>IFERROR(D48/D148, "NA")</f>
        <v>0</v>
      </c>
      <c r="F48" s="7">
        <v>0</v>
      </c>
      <c r="G48" s="8">
        <f>IFERROR(F48/F148, "NA")</f>
        <v>0</v>
      </c>
      <c r="H48" s="7">
        <v>0</v>
      </c>
      <c r="I48" s="8">
        <f>IFERROR(H48/H148, "NA")</f>
        <v>0</v>
      </c>
      <c r="J48" s="7">
        <v>0</v>
      </c>
      <c r="K48" s="8">
        <f>IFERROR(J48/J148, "NA")</f>
        <v>0</v>
      </c>
      <c r="L48" s="7">
        <v>0</v>
      </c>
      <c r="M48" s="8">
        <f>IFERROR(L48/L148, "NA")</f>
        <v>0</v>
      </c>
      <c r="N48" s="7">
        <v>0</v>
      </c>
      <c r="O48" s="8">
        <f>IFERROR(N48/N148, "NA")</f>
        <v>0</v>
      </c>
      <c r="P48" s="7">
        <v>0</v>
      </c>
      <c r="Q48" s="8">
        <f>IFERROR(P48/P148, "NA")</f>
        <v>0</v>
      </c>
      <c r="R48" s="7">
        <v>0</v>
      </c>
      <c r="S48" s="8">
        <f>IFERROR(R48/R148, "NA")</f>
        <v>0</v>
      </c>
      <c r="T48" s="7">
        <v>0</v>
      </c>
      <c r="U48" s="8">
        <f>IFERROR(T48/T148, "NA")</f>
        <v>0</v>
      </c>
      <c r="V48" s="7">
        <v>0</v>
      </c>
      <c r="W48" s="8">
        <f>IFERROR(V48/V148, "NA")</f>
        <v>0</v>
      </c>
      <c r="X48" s="7">
        <v>0</v>
      </c>
      <c r="Y48" s="8">
        <f>IFERROR(X48/X148, "NA")</f>
        <v>0</v>
      </c>
      <c r="Z48" s="7">
        <v>0</v>
      </c>
      <c r="AA48" s="8">
        <f>IFERROR(Z48/Z148, "NA")</f>
        <v>0</v>
      </c>
      <c r="AB48" s="9">
        <f t="shared" si="18"/>
        <v>0</v>
      </c>
      <c r="AC48" s="8">
        <f>IFERROR(AB48/AB148, "NA")</f>
        <v>0</v>
      </c>
      <c r="AD48" s="10">
        <f t="shared" si="19"/>
        <v>0</v>
      </c>
      <c r="AE48" s="11">
        <f>IFERROR(AD48/AD148, "NA")</f>
        <v>0</v>
      </c>
      <c r="AF48" s="10" t="str">
        <f t="shared" si="20"/>
        <v>NA</v>
      </c>
      <c r="AG48" s="9">
        <f t="shared" si="21"/>
        <v>0</v>
      </c>
      <c r="AH48" s="8">
        <f>IFERROR(AG48/AG148, "NA")</f>
        <v>0</v>
      </c>
      <c r="AI48" s="10">
        <f t="shared" si="22"/>
        <v>0</v>
      </c>
      <c r="AJ48" s="11">
        <f>IFERROR(AI48/AI148, "NA")</f>
        <v>0</v>
      </c>
      <c r="AK48" s="10" t="str">
        <f t="shared" si="23"/>
        <v>NA</v>
      </c>
      <c r="AL48" s="11" t="str">
        <f>IFERROR(AK48/AK148, "NA")</f>
        <v>NA</v>
      </c>
    </row>
    <row r="49" spans="1:38" ht="16.5" hidden="1" customHeight="1" x14ac:dyDescent="0.3">
      <c r="A49" s="25" t="s">
        <v>64</v>
      </c>
      <c r="B49" s="7">
        <v>0</v>
      </c>
      <c r="C49" s="8">
        <f>IFERROR(B49/B148, "NA")</f>
        <v>0</v>
      </c>
      <c r="D49" s="7">
        <v>0</v>
      </c>
      <c r="E49" s="8">
        <f>IFERROR(D49/D148, "NA")</f>
        <v>0</v>
      </c>
      <c r="F49" s="7">
        <v>0</v>
      </c>
      <c r="G49" s="8">
        <f>IFERROR(F49/F148, "NA")</f>
        <v>0</v>
      </c>
      <c r="H49" s="7">
        <v>0</v>
      </c>
      <c r="I49" s="8">
        <f>IFERROR(H49/H148, "NA")</f>
        <v>0</v>
      </c>
      <c r="J49" s="7">
        <v>0</v>
      </c>
      <c r="K49" s="8">
        <f>IFERROR(J49/J148, "NA")</f>
        <v>0</v>
      </c>
      <c r="L49" s="7">
        <v>0</v>
      </c>
      <c r="M49" s="8">
        <f>IFERROR(L49/L148, "NA")</f>
        <v>0</v>
      </c>
      <c r="N49" s="7">
        <v>0</v>
      </c>
      <c r="O49" s="8">
        <f>IFERROR(N49/N148, "NA")</f>
        <v>0</v>
      </c>
      <c r="P49" s="7">
        <v>0</v>
      </c>
      <c r="Q49" s="8">
        <f>IFERROR(P49/P148, "NA")</f>
        <v>0</v>
      </c>
      <c r="R49" s="7">
        <v>0</v>
      </c>
      <c r="S49" s="8">
        <f>IFERROR(R49/R148, "NA")</f>
        <v>0</v>
      </c>
      <c r="T49" s="7">
        <v>0</v>
      </c>
      <c r="U49" s="8">
        <f>IFERROR(T49/T148, "NA")</f>
        <v>0</v>
      </c>
      <c r="V49" s="7">
        <v>0</v>
      </c>
      <c r="W49" s="8">
        <f>IFERROR(V49/V148, "NA")</f>
        <v>0</v>
      </c>
      <c r="X49" s="7">
        <v>0</v>
      </c>
      <c r="Y49" s="8">
        <f>IFERROR(X49/X148, "NA")</f>
        <v>0</v>
      </c>
      <c r="Z49" s="7">
        <v>0</v>
      </c>
      <c r="AA49" s="8">
        <f>IFERROR(Z49/Z148, "NA")</f>
        <v>0</v>
      </c>
      <c r="AB49" s="9">
        <f t="shared" si="18"/>
        <v>0</v>
      </c>
      <c r="AC49" s="8">
        <f>IFERROR(AB49/AB148, "NA")</f>
        <v>0</v>
      </c>
      <c r="AD49" s="10">
        <f t="shared" si="19"/>
        <v>0</v>
      </c>
      <c r="AE49" s="11">
        <f>IFERROR(AD49/AD148, "NA")</f>
        <v>0</v>
      </c>
      <c r="AF49" s="10" t="str">
        <f t="shared" si="20"/>
        <v>NA</v>
      </c>
      <c r="AG49" s="9">
        <f t="shared" si="21"/>
        <v>0</v>
      </c>
      <c r="AH49" s="8">
        <f>IFERROR(AG49/AG148, "NA")</f>
        <v>0</v>
      </c>
      <c r="AI49" s="10">
        <f t="shared" si="22"/>
        <v>0</v>
      </c>
      <c r="AJ49" s="11">
        <f>IFERROR(AI49/AI148, "NA")</f>
        <v>0</v>
      </c>
      <c r="AK49" s="10" t="str">
        <f t="shared" si="23"/>
        <v>NA</v>
      </c>
      <c r="AL49" s="11" t="str">
        <f>IFERROR(AK49/AK148, "NA")</f>
        <v>NA</v>
      </c>
    </row>
    <row r="50" spans="1:38" ht="16.5" hidden="1" customHeight="1" x14ac:dyDescent="0.3">
      <c r="A50" s="25" t="s">
        <v>65</v>
      </c>
      <c r="B50" s="7">
        <v>0</v>
      </c>
      <c r="C50" s="8">
        <f>IFERROR(B50/B148, "NA")</f>
        <v>0</v>
      </c>
      <c r="D50" s="7">
        <v>0</v>
      </c>
      <c r="E50" s="8">
        <f>IFERROR(D50/D148, "NA")</f>
        <v>0</v>
      </c>
      <c r="F50" s="7">
        <v>0</v>
      </c>
      <c r="G50" s="8">
        <f>IFERROR(F50/F148, "NA")</f>
        <v>0</v>
      </c>
      <c r="H50" s="7">
        <v>0</v>
      </c>
      <c r="I50" s="8">
        <f>IFERROR(H50/H148, "NA")</f>
        <v>0</v>
      </c>
      <c r="J50" s="7">
        <v>0</v>
      </c>
      <c r="K50" s="8">
        <f>IFERROR(J50/J148, "NA")</f>
        <v>0</v>
      </c>
      <c r="L50" s="7">
        <v>0</v>
      </c>
      <c r="M50" s="8">
        <f>IFERROR(L50/L148, "NA")</f>
        <v>0</v>
      </c>
      <c r="N50" s="7">
        <v>0</v>
      </c>
      <c r="O50" s="8">
        <f>IFERROR(N50/N148, "NA")</f>
        <v>0</v>
      </c>
      <c r="P50" s="7">
        <v>0</v>
      </c>
      <c r="Q50" s="8">
        <f>IFERROR(P50/P148, "NA")</f>
        <v>0</v>
      </c>
      <c r="R50" s="7">
        <v>0</v>
      </c>
      <c r="S50" s="8">
        <f>IFERROR(R50/R148, "NA")</f>
        <v>0</v>
      </c>
      <c r="T50" s="7">
        <v>0</v>
      </c>
      <c r="U50" s="8">
        <f>IFERROR(T50/T148, "NA")</f>
        <v>0</v>
      </c>
      <c r="V50" s="7">
        <v>0</v>
      </c>
      <c r="W50" s="8">
        <f>IFERROR(V50/V148, "NA")</f>
        <v>0</v>
      </c>
      <c r="X50" s="7">
        <v>0</v>
      </c>
      <c r="Y50" s="8">
        <f>IFERROR(X50/X148, "NA")</f>
        <v>0</v>
      </c>
      <c r="Z50" s="7">
        <v>0</v>
      </c>
      <c r="AA50" s="8">
        <f>IFERROR(Z50/Z148, "NA")</f>
        <v>0</v>
      </c>
      <c r="AB50" s="9">
        <f t="shared" si="18"/>
        <v>0</v>
      </c>
      <c r="AC50" s="8">
        <f>IFERROR(AB50/AB148, "NA")</f>
        <v>0</v>
      </c>
      <c r="AD50" s="10">
        <f t="shared" si="19"/>
        <v>0</v>
      </c>
      <c r="AE50" s="11">
        <f>IFERROR(AD50/AD148, "NA")</f>
        <v>0</v>
      </c>
      <c r="AF50" s="10" t="str">
        <f t="shared" si="20"/>
        <v>NA</v>
      </c>
      <c r="AG50" s="9">
        <f t="shared" si="21"/>
        <v>0</v>
      </c>
      <c r="AH50" s="8">
        <f>IFERROR(AG50/AG148, "NA")</f>
        <v>0</v>
      </c>
      <c r="AI50" s="10">
        <f t="shared" si="22"/>
        <v>0</v>
      </c>
      <c r="AJ50" s="11">
        <f>IFERROR(AI50/AI148, "NA")</f>
        <v>0</v>
      </c>
      <c r="AK50" s="10" t="str">
        <f t="shared" si="23"/>
        <v>NA</v>
      </c>
      <c r="AL50" s="11" t="str">
        <f>IFERROR(AK50/AK148, "NA")</f>
        <v>NA</v>
      </c>
    </row>
    <row r="51" spans="1:38" ht="16.5" hidden="1" customHeight="1" x14ac:dyDescent="0.3">
      <c r="A51" s="25" t="s">
        <v>66</v>
      </c>
      <c r="B51" s="7">
        <v>0</v>
      </c>
      <c r="C51" s="8">
        <f>IFERROR(B51/B148, "NA")</f>
        <v>0</v>
      </c>
      <c r="D51" s="7">
        <v>0</v>
      </c>
      <c r="E51" s="8">
        <f>IFERROR(D51/D148, "NA")</f>
        <v>0</v>
      </c>
      <c r="F51" s="7">
        <v>0</v>
      </c>
      <c r="G51" s="8">
        <f>IFERROR(F51/F148, "NA")</f>
        <v>0</v>
      </c>
      <c r="H51" s="7">
        <v>0</v>
      </c>
      <c r="I51" s="8">
        <f>IFERROR(H51/H148, "NA")</f>
        <v>0</v>
      </c>
      <c r="J51" s="7">
        <v>0</v>
      </c>
      <c r="K51" s="8">
        <f>IFERROR(J51/J148, "NA")</f>
        <v>0</v>
      </c>
      <c r="L51" s="7">
        <v>0</v>
      </c>
      <c r="M51" s="8">
        <f>IFERROR(L51/L148, "NA")</f>
        <v>0</v>
      </c>
      <c r="N51" s="7">
        <v>0</v>
      </c>
      <c r="O51" s="8">
        <f>IFERROR(N51/N148, "NA")</f>
        <v>0</v>
      </c>
      <c r="P51" s="7">
        <v>0</v>
      </c>
      <c r="Q51" s="8">
        <f>IFERROR(P51/P148, "NA")</f>
        <v>0</v>
      </c>
      <c r="R51" s="7">
        <v>0</v>
      </c>
      <c r="S51" s="8">
        <f>IFERROR(R51/R148, "NA")</f>
        <v>0</v>
      </c>
      <c r="T51" s="7">
        <v>0</v>
      </c>
      <c r="U51" s="8">
        <f>IFERROR(T51/T148, "NA")</f>
        <v>0</v>
      </c>
      <c r="V51" s="7">
        <v>0</v>
      </c>
      <c r="W51" s="8">
        <f>IFERROR(V51/V148, "NA")</f>
        <v>0</v>
      </c>
      <c r="X51" s="7">
        <v>0</v>
      </c>
      <c r="Y51" s="8">
        <f>IFERROR(X51/X148, "NA")</f>
        <v>0</v>
      </c>
      <c r="Z51" s="7">
        <v>0</v>
      </c>
      <c r="AA51" s="8">
        <f>IFERROR(Z51/Z148, "NA")</f>
        <v>0</v>
      </c>
      <c r="AB51" s="9">
        <f t="shared" si="18"/>
        <v>0</v>
      </c>
      <c r="AC51" s="8">
        <f>IFERROR(AB51/AB148, "NA")</f>
        <v>0</v>
      </c>
      <c r="AD51" s="10">
        <f t="shared" si="19"/>
        <v>0</v>
      </c>
      <c r="AE51" s="11">
        <f>IFERROR(AD51/AD148, "NA")</f>
        <v>0</v>
      </c>
      <c r="AF51" s="10" t="str">
        <f t="shared" si="20"/>
        <v>NA</v>
      </c>
      <c r="AG51" s="9">
        <f t="shared" si="21"/>
        <v>0</v>
      </c>
      <c r="AH51" s="8">
        <f>IFERROR(AG51/AG148, "NA")</f>
        <v>0</v>
      </c>
      <c r="AI51" s="10">
        <f t="shared" si="22"/>
        <v>0</v>
      </c>
      <c r="AJ51" s="11">
        <f>IFERROR(AI51/AI148, "NA")</f>
        <v>0</v>
      </c>
      <c r="AK51" s="10" t="str">
        <f t="shared" si="23"/>
        <v>NA</v>
      </c>
      <c r="AL51" s="11" t="str">
        <f>IFERROR(AK51/AK148, "NA")</f>
        <v>NA</v>
      </c>
    </row>
    <row r="52" spans="1:38" ht="16.5" customHeight="1" x14ac:dyDescent="0.3">
      <c r="A52" s="26" t="s">
        <v>67</v>
      </c>
      <c r="B52" s="13">
        <f>IFERROR(B46+B47+B48+B49+B50+B51, "NA")</f>
        <v>121.47</v>
      </c>
      <c r="C52" s="14">
        <f>IFERROR(B52/B148, "NA")</f>
        <v>3.4258590735768593E-3</v>
      </c>
      <c r="D52" s="13">
        <f>IFERROR(D46+D47+D48+D49+D50+D51, "NA")</f>
        <v>65.44</v>
      </c>
      <c r="E52" s="14">
        <f>IFERROR(D52/D148, "NA")</f>
        <v>1.6962446739627998E-3</v>
      </c>
      <c r="F52" s="13">
        <f>IFERROR(F46+F47+F48+F49+F50+F51, "NA")</f>
        <v>22.06</v>
      </c>
      <c r="G52" s="14">
        <f>IFERROR(F52/F148, "NA")</f>
        <v>4.9075157959274293E-4</v>
      </c>
      <c r="H52" s="13">
        <f>IFERROR(H46+H47+H48+H49+H50+H51, "NA")</f>
        <v>54.93</v>
      </c>
      <c r="I52" s="14">
        <f>IFERROR(H52/H148, "NA")</f>
        <v>1.3331220271415199E-3</v>
      </c>
      <c r="J52" s="13">
        <f>IFERROR(J46+J47+J48+J49+J50+J51, "NA")</f>
        <v>62.27</v>
      </c>
      <c r="K52" s="14">
        <f>IFERROR(J52/J148, "NA")</f>
        <v>1.6068101708735659E-3</v>
      </c>
      <c r="L52" s="13">
        <f>IFERROR(L46+L47+L48+L49+L50+L51, "NA")</f>
        <v>79.89</v>
      </c>
      <c r="M52" s="14">
        <f>IFERROR(L52/L148, "NA")</f>
        <v>1.5273661222202615E-3</v>
      </c>
      <c r="N52" s="13">
        <f>IFERROR(N46+N47+N48+N49+N50+N51, "NA")</f>
        <v>59.29</v>
      </c>
      <c r="O52" s="14">
        <f>IFERROR(N52/N148, "NA")</f>
        <v>1.1730747200518218E-3</v>
      </c>
      <c r="P52" s="13">
        <f>IFERROR(P46+P47+P48+P49+P50+P51, "NA")</f>
        <v>78.72</v>
      </c>
      <c r="Q52" s="14">
        <f>IFERROR(P52/P148, "NA")</f>
        <v>1.6646538706268736E-3</v>
      </c>
      <c r="R52" s="13">
        <f>IFERROR(R46+R47+R48+R49+R50+R51, "NA")</f>
        <v>65.39</v>
      </c>
      <c r="S52" s="14">
        <f>IFERROR(R52/R148, "NA")</f>
        <v>1.3608706908536336E-3</v>
      </c>
      <c r="T52" s="13">
        <f>IFERROR(T46+T47+T48+T49+T50+T51, "NA")</f>
        <v>64.650000000000006</v>
      </c>
      <c r="U52" s="14">
        <f>IFERROR(T52/T148, "NA")</f>
        <v>1.5232071745531811E-3</v>
      </c>
      <c r="V52" s="13">
        <f>IFERROR(V46+V47+V48+V49+V50+V51, "NA")</f>
        <v>83.1</v>
      </c>
      <c r="W52" s="14">
        <f>IFERROR(V52/V148, "NA")</f>
        <v>1.3936882525664995E-3</v>
      </c>
      <c r="X52" s="13">
        <f>IFERROR(X46+X47+X48+X49+X50+X51, "NA")</f>
        <v>73.48</v>
      </c>
      <c r="Y52" s="14">
        <f>IFERROR(X52/X148, "NA")</f>
        <v>1.2469627767695654E-3</v>
      </c>
      <c r="Z52" s="13">
        <f>IFERROR(Z46+Z47+Z48+Z49+Z50+Z51, "NA")</f>
        <v>221.23</v>
      </c>
      <c r="AA52" s="14">
        <f>IFERROR(Z52/Z148, "NA")</f>
        <v>1.3741294219600329E-3</v>
      </c>
      <c r="AB52" s="13">
        <f t="shared" si="18"/>
        <v>71.655000000000001</v>
      </c>
      <c r="AC52" s="14">
        <f>IFERROR(AB52/AB148, "NA")</f>
        <v>1.3710818544764663E-3</v>
      </c>
      <c r="AD52" s="15">
        <f t="shared" si="19"/>
        <v>1.8250000000000028</v>
      </c>
      <c r="AE52" s="16">
        <f>IFERROR(AD52/AD148, "NA")</f>
        <v>2.7379668233433821E-4</v>
      </c>
      <c r="AF52" s="15">
        <f t="shared" si="20"/>
        <v>2.5469262438071353E-2</v>
      </c>
      <c r="AG52" s="13">
        <f t="shared" si="21"/>
        <v>70.848749999999995</v>
      </c>
      <c r="AH52" s="14">
        <f>IFERROR(AG52/AG148, "NA")</f>
        <v>1.4243186802916827E-3</v>
      </c>
      <c r="AI52" s="15">
        <f t="shared" si="22"/>
        <v>2.6312500000000085</v>
      </c>
      <c r="AJ52" s="16">
        <f>IFERROR(AI52/AI148, "NA")</f>
        <v>2.8647325027106178E-4</v>
      </c>
      <c r="AK52" s="15">
        <f t="shared" si="23"/>
        <v>3.7138975634714917E-2</v>
      </c>
      <c r="AL52" s="16">
        <f>IFERROR(AK52/AK148, "NA")</f>
        <v>0.20113002394407664</v>
      </c>
    </row>
    <row r="53" spans="1:38" ht="16.5" customHeight="1" x14ac:dyDescent="0.3">
      <c r="A53" s="23" t="s">
        <v>68</v>
      </c>
      <c r="B53" s="7">
        <v>22.37</v>
      </c>
      <c r="C53" s="8">
        <f>IFERROR(B53/B148, "NA")</f>
        <v>6.3090859863270234E-4</v>
      </c>
      <c r="D53" s="7">
        <v>22.6</v>
      </c>
      <c r="E53" s="8">
        <f>IFERROR(D53/D148, "NA")</f>
        <v>5.8580577065341197E-4</v>
      </c>
      <c r="F53" s="7">
        <v>51.54</v>
      </c>
      <c r="G53" s="8">
        <f>IFERROR(F53/F148, "NA")</f>
        <v>1.1465701002815036E-3</v>
      </c>
      <c r="H53" s="7">
        <v>36.32</v>
      </c>
      <c r="I53" s="8">
        <f>IFERROR(H53/H148, "NA")</f>
        <v>8.8146717687565999E-4</v>
      </c>
      <c r="J53" s="7">
        <v>42.34</v>
      </c>
      <c r="K53" s="8">
        <f>IFERROR(J53/J148, "NA")</f>
        <v>1.0925380220778349E-3</v>
      </c>
      <c r="L53" s="7">
        <v>65.8</v>
      </c>
      <c r="M53" s="8">
        <f>IFERROR(L53/L148, "NA")</f>
        <v>1.2579883695342745E-3</v>
      </c>
      <c r="N53" s="7">
        <v>36.97</v>
      </c>
      <c r="O53" s="8">
        <f>IFERROR(N53/N148, "NA")</f>
        <v>7.3146521167677273E-4</v>
      </c>
      <c r="P53" s="7">
        <v>31.84</v>
      </c>
      <c r="Q53" s="8">
        <f>IFERROR(P53/P148, "NA")</f>
        <v>6.733051224689997E-4</v>
      </c>
      <c r="R53" s="7">
        <v>36.07</v>
      </c>
      <c r="S53" s="8">
        <f>IFERROR(R53/R148, "NA")</f>
        <v>7.5067450403869956E-4</v>
      </c>
      <c r="T53" s="7">
        <v>26.83</v>
      </c>
      <c r="U53" s="8">
        <f>IFERROR(T53/T148, "NA")</f>
        <v>6.3213686764519478E-4</v>
      </c>
      <c r="V53" s="7">
        <v>42.59</v>
      </c>
      <c r="W53" s="8">
        <f>IFERROR(V53/V148, "NA")</f>
        <v>7.1428619346338416E-4</v>
      </c>
      <c r="X53" s="7">
        <v>42.93</v>
      </c>
      <c r="Y53" s="8">
        <f>IFERROR(X53/X148, "NA")</f>
        <v>7.2852629296022646E-4</v>
      </c>
      <c r="Z53" s="7">
        <v>112.35</v>
      </c>
      <c r="AA53" s="8">
        <f>IFERROR(Z53/Z148, "NA")</f>
        <v>6.9784134410888975E-4</v>
      </c>
      <c r="AB53" s="9">
        <f t="shared" si="18"/>
        <v>37.105000000000004</v>
      </c>
      <c r="AC53" s="8">
        <f>IFERROR(AB53/AB148, "NA")</f>
        <v>7.0998523774125019E-4</v>
      </c>
      <c r="AD53" s="10">
        <f t="shared" si="19"/>
        <v>5.8249999999999957</v>
      </c>
      <c r="AE53" s="11">
        <f>IFERROR(AD53/AD148, "NA")</f>
        <v>8.7389899977946095E-4</v>
      </c>
      <c r="AF53" s="10">
        <f t="shared" si="20"/>
        <v>0.15698692898531183</v>
      </c>
      <c r="AG53" s="9">
        <f t="shared" si="21"/>
        <v>40.671250000000008</v>
      </c>
      <c r="AH53" s="8">
        <f>IFERROR(AG53/AG148, "NA")</f>
        <v>8.1764069409570551E-4</v>
      </c>
      <c r="AI53" s="10">
        <f t="shared" si="22"/>
        <v>2.258749999999992</v>
      </c>
      <c r="AJ53" s="11">
        <f>IFERROR(AI53/AI148, "NA")</f>
        <v>2.4591789227544186E-4</v>
      </c>
      <c r="AK53" s="10">
        <f t="shared" si="23"/>
        <v>5.5536773519377733E-2</v>
      </c>
      <c r="AL53" s="11">
        <f>IFERROR(AK53/AK148, "NA")</f>
        <v>0.30076523104983444</v>
      </c>
    </row>
    <row r="54" spans="1:38" ht="16.5" customHeight="1" x14ac:dyDescent="0.3">
      <c r="A54" s="23" t="s">
        <v>69</v>
      </c>
      <c r="B54" s="7">
        <v>30.75</v>
      </c>
      <c r="C54" s="8">
        <f>IFERROR(B54/B148, "NA")</f>
        <v>8.6725254394079551E-4</v>
      </c>
      <c r="D54" s="7">
        <v>51</v>
      </c>
      <c r="E54" s="8">
        <f>IFERROR(D54/D148, "NA")</f>
        <v>1.321951075368319E-3</v>
      </c>
      <c r="F54" s="7">
        <v>71.25</v>
      </c>
      <c r="G54" s="8">
        <f>IFERROR(F54/F148, "NA")</f>
        <v>1.5850430664543487E-3</v>
      </c>
      <c r="H54" s="7">
        <v>35.5</v>
      </c>
      <c r="I54" s="8">
        <f>IFERROR(H54/H148, "NA")</f>
        <v>8.6156621087791661E-4</v>
      </c>
      <c r="J54" s="7">
        <v>58.31</v>
      </c>
      <c r="K54" s="8">
        <f>IFERROR(J54/J148, "NA")</f>
        <v>1.5046266430646801E-3</v>
      </c>
      <c r="L54" s="7">
        <v>51.75</v>
      </c>
      <c r="M54" s="8">
        <f>IFERROR(L54/L148, "NA")</f>
        <v>9.8937535141943329E-4</v>
      </c>
      <c r="N54" s="7">
        <v>55</v>
      </c>
      <c r="O54" s="8">
        <f>IFERROR(N54/N148, "NA")</f>
        <v>1.0881954731464024E-3</v>
      </c>
      <c r="P54" s="7">
        <v>43.31</v>
      </c>
      <c r="Q54" s="8">
        <f>IFERROR(P54/P148, "NA")</f>
        <v>9.1585568009209736E-4</v>
      </c>
      <c r="R54" s="7">
        <v>46</v>
      </c>
      <c r="S54" s="8">
        <f>IFERROR(R54/R148, "NA")</f>
        <v>9.5733371737677234E-4</v>
      </c>
      <c r="T54" s="7">
        <v>33</v>
      </c>
      <c r="U54" s="8">
        <f>IFERROR(T54/T148, "NA")</f>
        <v>7.7750714246334058E-4</v>
      </c>
      <c r="V54" s="7">
        <v>49</v>
      </c>
      <c r="W54" s="8">
        <f>IFERROR(V54/V148, "NA")</f>
        <v>8.217897036794041E-4</v>
      </c>
      <c r="X54" s="7">
        <v>33.25</v>
      </c>
      <c r="Y54" s="8">
        <f>IFERROR(X54/X148, "NA")</f>
        <v>5.6425574751752926E-4</v>
      </c>
      <c r="Z54" s="7">
        <v>115.25</v>
      </c>
      <c r="AA54" s="8">
        <f>IFERROR(Z54/Z148, "NA")</f>
        <v>7.1585416028971556E-4</v>
      </c>
      <c r="AB54" s="9">
        <f t="shared" si="18"/>
        <v>40.3125</v>
      </c>
      <c r="AC54" s="8">
        <f>IFERROR(AB54/AB148, "NA")</f>
        <v>7.713591132312126E-4</v>
      </c>
      <c r="AD54" s="10">
        <f t="shared" si="19"/>
        <v>-7.0625</v>
      </c>
      <c r="AE54" s="11">
        <f>IFERROR(AD54/AD148, "NA")</f>
        <v>-1.0595556542390468E-3</v>
      </c>
      <c r="AF54" s="10">
        <f t="shared" si="20"/>
        <v>-0.17519379844961241</v>
      </c>
      <c r="AG54" s="9">
        <f t="shared" si="21"/>
        <v>46.202500000000001</v>
      </c>
      <c r="AH54" s="8">
        <f>IFERROR(AG54/AG148, "NA")</f>
        <v>9.2883902434660426E-4</v>
      </c>
      <c r="AI54" s="10">
        <f t="shared" si="22"/>
        <v>-12.952500000000001</v>
      </c>
      <c r="AJ54" s="11">
        <f>IFERROR(AI54/AI148, "NA")</f>
        <v>-1.4101832870825335E-3</v>
      </c>
      <c r="AK54" s="10">
        <f t="shared" si="23"/>
        <v>-0.28034197283696771</v>
      </c>
      <c r="AL54" s="11">
        <f>IFERROR(AK54/AK148, "NA")</f>
        <v>-1.5182214034068313</v>
      </c>
    </row>
    <row r="55" spans="1:38" ht="16.5" customHeight="1" x14ac:dyDescent="0.3">
      <c r="A55" s="23" t="s">
        <v>70</v>
      </c>
      <c r="B55" s="7">
        <v>-362.19</v>
      </c>
      <c r="C55" s="8">
        <f>IFERROR(B55/B148, "NA")</f>
        <v>-1.0214965817558267E-2</v>
      </c>
      <c r="D55" s="7">
        <v>-448.89</v>
      </c>
      <c r="E55" s="8">
        <f>IFERROR(D55/D148, "NA")</f>
        <v>-1.1635502318080092E-2</v>
      </c>
      <c r="F55" s="7">
        <v>-306.95999999999998</v>
      </c>
      <c r="G55" s="8">
        <f>IFERROR(F55/F148, "NA")</f>
        <v>-6.8286992235624825E-3</v>
      </c>
      <c r="H55" s="7">
        <v>-252.19</v>
      </c>
      <c r="I55" s="8">
        <f>IFERROR(H55/H148, "NA")</f>
        <v>-6.1205178231352611E-3</v>
      </c>
      <c r="J55" s="7">
        <v>-335.25</v>
      </c>
      <c r="K55" s="8">
        <f>IFERROR(J55/J148, "NA")</f>
        <v>-8.650764570184084E-3</v>
      </c>
      <c r="L55" s="7">
        <v>-384.12</v>
      </c>
      <c r="M55" s="8">
        <f>IFERROR(L55/L148, "NA")</f>
        <v>-7.3437460867098112E-3</v>
      </c>
      <c r="N55" s="7">
        <v>-334.39</v>
      </c>
      <c r="O55" s="8">
        <f>IFERROR(N55/N148, "NA")</f>
        <v>-6.6160306230077367E-3</v>
      </c>
      <c r="P55" s="7">
        <v>-326.35000000000002</v>
      </c>
      <c r="Q55" s="8">
        <f>IFERROR(P55/P148, "NA")</f>
        <v>-6.9011660401305927E-3</v>
      </c>
      <c r="R55" s="7">
        <v>-287.17</v>
      </c>
      <c r="S55" s="8">
        <f>IFERROR(R55/R148, "NA")</f>
        <v>-5.9764679047627769E-3</v>
      </c>
      <c r="T55" s="7">
        <v>-361.62</v>
      </c>
      <c r="U55" s="8">
        <f>IFERROR(T55/T148, "NA")</f>
        <v>-8.5200646320482791E-3</v>
      </c>
      <c r="V55" s="7">
        <v>-318.88</v>
      </c>
      <c r="W55" s="8">
        <f>IFERROR(V55/V148, "NA")</f>
        <v>-5.3480061369242521E-3</v>
      </c>
      <c r="X55" s="7">
        <v>-270.89</v>
      </c>
      <c r="Y55" s="8">
        <f>IFERROR(X55/X148, "NA")</f>
        <v>-4.5970297577450671E-3</v>
      </c>
      <c r="Z55" s="7">
        <v>-951.39</v>
      </c>
      <c r="AA55" s="8">
        <f>IFERROR(Z55/Z148, "NA")</f>
        <v>-5.909383857336508E-3</v>
      </c>
      <c r="AB55" s="9">
        <f t="shared" si="18"/>
        <v>-309.64</v>
      </c>
      <c r="AC55" s="8">
        <f>IFERROR(AB55/AB148, "NA")</f>
        <v>-5.9248033692009348E-3</v>
      </c>
      <c r="AD55" s="10">
        <f t="shared" si="19"/>
        <v>38.75</v>
      </c>
      <c r="AE55" s="11">
        <f>IFERROR(AD55/AD148, "NA")</f>
        <v>5.8134912002496368E-3</v>
      </c>
      <c r="AF55" s="10">
        <f t="shared" si="20"/>
        <v>-0.12514533006071568</v>
      </c>
      <c r="AG55" s="9">
        <f t="shared" si="21"/>
        <v>-327.33375000000001</v>
      </c>
      <c r="AH55" s="8">
        <f>IFERROR(AG55/AG148, "NA")</f>
        <v>-6.5806041012004823E-3</v>
      </c>
      <c r="AI55" s="10">
        <f t="shared" si="22"/>
        <v>56.443750000000023</v>
      </c>
      <c r="AJ55" s="11">
        <f>IFERROR(AI55/AI148, "NA")</f>
        <v>6.1452254707789825E-3</v>
      </c>
      <c r="AK55" s="10">
        <f t="shared" si="23"/>
        <v>-0.1724348619719171</v>
      </c>
      <c r="AL55" s="11">
        <f>IFERROR(AK55/AK148, "NA")</f>
        <v>-0.93383910903528222</v>
      </c>
    </row>
    <row r="56" spans="1:38" ht="16.5" customHeight="1" x14ac:dyDescent="0.3">
      <c r="A56" s="27" t="s">
        <v>71</v>
      </c>
      <c r="B56" s="13">
        <f>IFERROR(B37+B39+B40+B41+B42+B43+B46+B47+B48+B49+B50+B51+B53+B54+B55, "NA")</f>
        <v>1218.8999999999999</v>
      </c>
      <c r="C56" s="14">
        <f>IFERROR(B56/B148, "NA")</f>
        <v>3.4377044741770259E-2</v>
      </c>
      <c r="D56" s="13">
        <f>IFERROR(D37+D39+D40+D41+D42+D43+D46+D47+D48+D49+D50+D51+D53+D54+D55, "NA")</f>
        <v>1279.0999999999999</v>
      </c>
      <c r="E56" s="14">
        <f>IFERROR(D56/D148, "NA")</f>
        <v>3.3155051382423854E-2</v>
      </c>
      <c r="F56" s="13">
        <f>IFERROR(F37+F39+F40+F41+F42+F43+F46+F47+F48+F49+F50+F51+F53+F54+F55, "NA")</f>
        <v>1614.13</v>
      </c>
      <c r="G56" s="14">
        <f>IFERROR(F56/F148, "NA")</f>
        <v>3.5908288629557306E-2</v>
      </c>
      <c r="H56" s="13">
        <f>IFERROR(H37+H39+H40+H41+H42+H43+H46+H47+H48+H49+H50+H51+H53+H54+H55, "NA")</f>
        <v>1813.54</v>
      </c>
      <c r="I56" s="14">
        <f>IFERROR(H56/H148, "NA")</f>
        <v>4.4013655945789772E-2</v>
      </c>
      <c r="J56" s="13">
        <f>IFERROR(J37+J39+J40+J41+J42+J43+J46+J47+J48+J49+J50+J51+J53+J54+J55, "NA")</f>
        <v>972.05999999999972</v>
      </c>
      <c r="K56" s="14">
        <f>IFERROR(J56/J148, "NA")</f>
        <v>2.5082959606541801E-2</v>
      </c>
      <c r="L56" s="13">
        <f>IFERROR(L37+L39+L40+L41+L42+L43+L46+L47+L48+L49+L50+L51+L53+L54+L55, "NA")</f>
        <v>1956.4500000000003</v>
      </c>
      <c r="M56" s="14">
        <f>IFERROR(L56/L148, "NA")</f>
        <v>3.7404123792938178E-2</v>
      </c>
      <c r="N56" s="13">
        <f>IFERROR(N37+N39+N40+N41+N42+N43+N46+N47+N48+N49+N50+N51+N53+N54+N55, "NA")</f>
        <v>1906.17</v>
      </c>
      <c r="O56" s="14">
        <f>IFERROR(N56/N148, "NA")</f>
        <v>3.7714283000863234E-2</v>
      </c>
      <c r="P56" s="13">
        <f>IFERROR(P37+P39+P40+P41+P42+P43+P46+P47+P48+P49+P50+P51+P53+P54+P55, "NA")</f>
        <v>1519.8199999999997</v>
      </c>
      <c r="Q56" s="14">
        <f>IFERROR(P56/P148, "NA")</f>
        <v>3.2138900478355367E-2</v>
      </c>
      <c r="R56" s="13">
        <f>IFERROR(R37+R39+R40+R41+R42+R43+R46+R47+R48+R49+R50+R51+R53+R54+R55, "NA")</f>
        <v>1026.45</v>
      </c>
      <c r="S56" s="14">
        <f>IFERROR(R56/R148, "NA")</f>
        <v>2.1362069439160608E-2</v>
      </c>
      <c r="T56" s="13">
        <f>IFERROR(T37+T39+T40+T41+T42+T43+T46+T47+T48+T49+T50+T51+T53+T54+T55, "NA")</f>
        <v>1435.0300000000002</v>
      </c>
      <c r="U56" s="14">
        <f>IFERROR(T56/T148, "NA")</f>
        <v>3.3810487110580843E-2</v>
      </c>
      <c r="V56" s="13">
        <f>IFERROR(V37+V39+V40+V41+V42+V43+V46+V47+V48+V49+V50+V51+V53+V54+V55, "NA")</f>
        <v>1795.8899999999999</v>
      </c>
      <c r="W56" s="14">
        <f>IFERROR(V56/V148, "NA")</f>
        <v>3.0119263488587854E-2</v>
      </c>
      <c r="X56" s="13">
        <f>IFERROR(X37+X39+X40+X41+X42+X43+X46+X47+X48+X49+X50+X51+X53+X54+X55, "NA")</f>
        <v>1783.1100000000001</v>
      </c>
      <c r="Y56" s="14">
        <f>IFERROR(X56/X148, "NA")</f>
        <v>3.0259550855818999E-2</v>
      </c>
      <c r="Z56" s="13">
        <f>IFERROR(Z37+Z39+Z40+Z41+Z42+Z43+Z46+Z47+Z48+Z49+Z50+Z51+Z53+Z54+Z55, "NA")</f>
        <v>5014.03</v>
      </c>
      <c r="AA56" s="14">
        <f>IFERROR(Z56/Z148, "NA")</f>
        <v>3.1143724384533125E-2</v>
      </c>
      <c r="AB56" s="13">
        <f t="shared" si="18"/>
        <v>1510.1200000000003</v>
      </c>
      <c r="AC56" s="14">
        <f>IFERROR(AB56/AB148, "NA")</f>
        <v>2.8895375480873651E-2</v>
      </c>
      <c r="AD56" s="15">
        <f t="shared" si="19"/>
        <v>272.98999999999978</v>
      </c>
      <c r="AE56" s="16">
        <f>IFERROR(AD56/AD148, "NA")</f>
        <v>4.0955482909836055E-2</v>
      </c>
      <c r="AF56" s="15">
        <f t="shared" si="20"/>
        <v>0.18077371334728348</v>
      </c>
      <c r="AG56" s="13">
        <f t="shared" si="21"/>
        <v>1549.3724999999999</v>
      </c>
      <c r="AH56" s="14">
        <f>IFERROR(AG56/AG148, "NA")</f>
        <v>3.1148046994198562E-2</v>
      </c>
      <c r="AI56" s="15">
        <f t="shared" si="22"/>
        <v>233.73750000000018</v>
      </c>
      <c r="AJ56" s="16">
        <f>IFERROR(AI56/AI148, "NA")</f>
        <v>2.5447806683223616E-2</v>
      </c>
      <c r="AK56" s="15">
        <f t="shared" si="23"/>
        <v>0.15085946084624594</v>
      </c>
      <c r="AL56" s="16">
        <f>IFERROR(AK56/AK148, "NA")</f>
        <v>0.81699525777533866</v>
      </c>
    </row>
    <row r="57" spans="1:38" ht="16.5" customHeight="1" x14ac:dyDescent="0.3">
      <c r="A57" s="12" t="s">
        <v>72</v>
      </c>
      <c r="B57" s="28">
        <f>IFERROR(B13+B15+B16+B17+B18+B19+B20+B21+B22+B23+B24+B25+B26+B29+B30+B31+B32+B33+B37+B39+B40+B41+B42+B43+B46+B47+B48+B49+B50+B51+B53+B54+B55, "NA")</f>
        <v>9573.6699999999983</v>
      </c>
      <c r="C57" s="29">
        <f>IFERROR(B57/B148, "NA")</f>
        <v>0.27000941991381056</v>
      </c>
      <c r="D57" s="28">
        <f>IFERROR(D13+D15+D16+D17+D18+D19+D20+D21+D22+D23+D24+D25+D26+D29+D30+D31+D32+D33+D37+D39+D40+D41+D42+D43+D46+D47+D48+D49+D50+D51+D53+D54+D55, "NA")</f>
        <v>10529.870000000003</v>
      </c>
      <c r="E57" s="29">
        <f>IFERROR(D57/D148, "NA")</f>
        <v>0.27294064647036481</v>
      </c>
      <c r="F57" s="28">
        <f>IFERROR(F13+F15+F16+F17+F18+F19+F20+F21+F22+F23+F24+F25+F26+F29+F30+F31+F32+F33+F37+F39+F40+F41+F42+F43+F46+F47+F48+F49+F50+F51+F53+F54+F55, "NA")</f>
        <v>12108.170000000004</v>
      </c>
      <c r="G57" s="29">
        <f>IFERROR(F57/F148, "NA")</f>
        <v>0.26936099517123591</v>
      </c>
      <c r="H57" s="28">
        <f>IFERROR(H13+H15+H16+H17+H18+H19+H20+H21+H22+H23+H24+H25+H26+H29+H30+H31+H32+H33+H37+H39+H40+H41+H42+H43+H46+H47+H48+H49+H50+H51+H53+H54+H55, "NA")</f>
        <v>11608.929999999998</v>
      </c>
      <c r="I57" s="29">
        <f>IFERROR(H57/H148, "NA")</f>
        <v>0.28174258682949216</v>
      </c>
      <c r="J57" s="28">
        <f>IFERROR(J13+J15+J16+J17+J18+J19+J20+J21+J22+J23+J24+J25+J26+J29+J30+J31+J32+J33+J37+J39+J40+J41+J42+J43+J46+J47+J48+J49+J50+J51+J53+J54+J55, "NA")</f>
        <v>10359.750000000002</v>
      </c>
      <c r="K57" s="29">
        <f>IFERROR(J57/J148, "NA")</f>
        <v>0.26732217227729926</v>
      </c>
      <c r="L57" s="28">
        <f>IFERROR(L13+L15+L16+L17+L18+L19+L20+L21+L22+L23+L24+L25+L26+L29+L30+L31+L32+L33+L37+L39+L40+L41+L42+L43+L46+L47+L48+L49+L50+L51+L53+L54+L55, "NA")</f>
        <v>13535.88</v>
      </c>
      <c r="M57" s="29">
        <f>IFERROR(L57/L148, "NA")</f>
        <v>0.25878388467190877</v>
      </c>
      <c r="N57" s="28">
        <f>IFERROR(N13+N15+N16+N17+N18+N19+N20+N21+N22+N23+N24+N25+N26+N29+N30+N31+N32+N33+N37+N39+N40+N41+N42+N43+N46+N47+N48+N49+N50+N51+N53+N54+N55, "NA")</f>
        <v>12775.880000000001</v>
      </c>
      <c r="O57" s="29">
        <f>IFERROR(N57/N148, "NA")</f>
        <v>0.25277554148112114</v>
      </c>
      <c r="P57" s="28">
        <f>IFERROR(P13+P15+P16+P17+P18+P19+P20+P21+P22+P23+P24+P25+P26+P29+P30+P31+P32+P33+P37+P39+P40+P41+P42+P43+P46+P47+P48+P49+P50+P51+P53+P54+P55, "NA")</f>
        <v>12251.519999999997</v>
      </c>
      <c r="Q57" s="29">
        <f>IFERROR(P57/P148, "NA")</f>
        <v>0.2590769841090263</v>
      </c>
      <c r="R57" s="28">
        <f>IFERROR(R13+R15+R16+R17+R18+R19+R20+R21+R22+R23+R24+R25+R26+R29+R30+R31+R32+R33+R37+R39+R40+R41+R42+R43+R46+R47+R48+R49+R50+R51+R53+R54+R55, "NA")</f>
        <v>11921.47</v>
      </c>
      <c r="S57" s="29">
        <f>IFERROR(R57/R148, "NA")</f>
        <v>0.24810489547164499</v>
      </c>
      <c r="T57" s="28">
        <f>IFERROR(T13+T15+T16+T17+T18+T19+T20+T21+T22+T23+T24+T25+T26+T29+T30+T31+T32+T33+T37+T39+T40+T41+T42+T43+T46+T47+T48+T49+T50+T51+T53+T54+T55, "NA")</f>
        <v>9911.3199999999979</v>
      </c>
      <c r="U57" s="29">
        <f>IFERROR(T57/T148, "NA")</f>
        <v>0.23351885124968955</v>
      </c>
      <c r="V57" s="28">
        <f>IFERROR(V13+V15+V16+V17+V18+V19+V20+V21+V22+V23+V24+V25+V26+V29+V30+V31+V32+V33+V37+V39+V40+V41+V42+V43+V46+V47+V48+V49+V50+V51+V53+V54+V55, "NA")</f>
        <v>14163.62</v>
      </c>
      <c r="W57" s="29">
        <f>IFERROR(V57/V148, "NA")</f>
        <v>0.23754116495566699</v>
      </c>
      <c r="X57" s="28">
        <f>IFERROR(X13+X15+X16+X17+X18+X19+X20+X21+X22+X23+X24+X25+X26+X29+X30+X31+X32+X33+X37+X39+X40+X41+X42+X43+X46+X47+X48+X49+X50+X51+X53+X54+X55, "NA")</f>
        <v>12827.420000000002</v>
      </c>
      <c r="Y57" s="29">
        <f>IFERROR(X57/X148, "NA")</f>
        <v>0.21768257025026486</v>
      </c>
      <c r="Z57" s="28">
        <f>IFERROR(Z13+Z15+Z16+Z17+Z18+Z19+Z20+Z21+Z22+Z23+Z24+Z25+Z26+Z29+Z30+Z31+Z32+Z33+Z37+Z39+Z40+Z41+Z42+Z43+Z46+Z47+Z48+Z49+Z50+Z51+Z53+Z54+Z55, "NA")</f>
        <v>36902.36</v>
      </c>
      <c r="AA57" s="29">
        <f>IFERROR(Z57/Z148, "NA")</f>
        <v>0.2292122163167791</v>
      </c>
      <c r="AB57" s="28">
        <f t="shared" si="18"/>
        <v>12205.9575</v>
      </c>
      <c r="AC57" s="29">
        <f>IFERROR(AB57/AB148, "NA")</f>
        <v>0.23355476721458282</v>
      </c>
      <c r="AD57" s="30">
        <f t="shared" si="19"/>
        <v>621.46250000000146</v>
      </c>
      <c r="AE57" s="31">
        <f>IFERROR(AD57/AD148, "NA")</f>
        <v>9.3235271613810289E-2</v>
      </c>
      <c r="AF57" s="30">
        <f t="shared" si="20"/>
        <v>5.0914686537291434E-2</v>
      </c>
      <c r="AG57" s="28">
        <f t="shared" si="21"/>
        <v>12218.357499999998</v>
      </c>
      <c r="AH57" s="29">
        <f>IFERROR(AG57/AG148, "NA")</f>
        <v>0.24563361851453955</v>
      </c>
      <c r="AI57" s="30">
        <f t="shared" si="22"/>
        <v>609.06250000000364</v>
      </c>
      <c r="AJ57" s="31">
        <f>IFERROR(AI57/AI148, "NA")</f>
        <v>6.6310732158943106E-2</v>
      </c>
      <c r="AK57" s="30">
        <f t="shared" si="23"/>
        <v>4.9848148574798516E-2</v>
      </c>
      <c r="AL57" s="31">
        <f>IFERROR(AK57/AK148, "NA")</f>
        <v>0.26995788508085694</v>
      </c>
    </row>
    <row r="58" spans="1:38" ht="3.75" customHeight="1" x14ac:dyDescent="0.3">
      <c r="A58" s="17" t="s">
        <v>3</v>
      </c>
      <c r="B58" s="18"/>
      <c r="C58" s="19"/>
      <c r="D58" s="18"/>
      <c r="E58" s="19"/>
      <c r="F58" s="18"/>
      <c r="G58" s="19"/>
      <c r="H58" s="18"/>
      <c r="I58" s="19"/>
      <c r="J58" s="18"/>
      <c r="K58" s="19"/>
      <c r="L58" s="18"/>
      <c r="M58" s="19"/>
      <c r="N58" s="18"/>
      <c r="O58" s="19"/>
      <c r="P58" s="18"/>
      <c r="Q58" s="19"/>
      <c r="R58" s="18"/>
      <c r="S58" s="19"/>
      <c r="T58" s="18"/>
      <c r="U58" s="19"/>
      <c r="V58" s="18"/>
      <c r="W58" s="19"/>
      <c r="X58" s="18"/>
      <c r="Y58" s="19"/>
      <c r="Z58" s="18"/>
      <c r="AA58" s="19"/>
      <c r="AB58" s="18"/>
      <c r="AC58" s="19"/>
      <c r="AD58" s="20"/>
      <c r="AE58" s="21"/>
      <c r="AF58" s="20"/>
      <c r="AG58" s="18"/>
      <c r="AH58" s="19"/>
      <c r="AI58" s="20"/>
      <c r="AJ58" s="21"/>
      <c r="AK58" s="20"/>
      <c r="AL58" s="21"/>
    </row>
    <row r="59" spans="1:38" ht="16.5" customHeight="1" x14ac:dyDescent="0.3">
      <c r="A59" s="32" t="s">
        <v>73</v>
      </c>
      <c r="B59" s="33">
        <f>IFERROR(B9-B57, "NA")</f>
        <v>25883.130000000005</v>
      </c>
      <c r="C59" s="34">
        <f>IFERROR(B59/B148, "NA")</f>
        <v>0.72999058008618944</v>
      </c>
      <c r="D59" s="33">
        <f>IFERROR(D9-D57, "NA")</f>
        <v>28049.47</v>
      </c>
      <c r="E59" s="34">
        <f>IFERROR(D59/D148, "NA")</f>
        <v>0.72705935352963535</v>
      </c>
      <c r="F59" s="33">
        <f>IFERROR(F9-F57, "NA")</f>
        <v>32843.289999999979</v>
      </c>
      <c r="G59" s="34">
        <f>IFERROR(F59/F148, "NA")</f>
        <v>0.73063900482876376</v>
      </c>
      <c r="H59" s="33">
        <f>IFERROR(H9-H57, "NA")</f>
        <v>29595.099999999991</v>
      </c>
      <c r="I59" s="34">
        <f>IFERROR(H59/H148, "NA")</f>
        <v>0.71825741317050762</v>
      </c>
      <c r="J59" s="33">
        <f>IFERROR(J9-J57, "NA")</f>
        <v>28394.049999999996</v>
      </c>
      <c r="K59" s="34">
        <f>IFERROR(J59/J148, "NA")</f>
        <v>0.73267782772270063</v>
      </c>
      <c r="L59" s="33">
        <f>IFERROR(L9-L57, "NA")</f>
        <v>38769.850000000006</v>
      </c>
      <c r="M59" s="34">
        <f>IFERROR(L59/L148, "NA")</f>
        <v>0.74121611532809129</v>
      </c>
      <c r="N59" s="33">
        <f>IFERROR(N9-N57, "NA")</f>
        <v>37766.509999999995</v>
      </c>
      <c r="O59" s="34">
        <f>IFERROR(N59/N148, "NA")</f>
        <v>0.74722445851887886</v>
      </c>
      <c r="P59" s="33">
        <f>IFERROR(P9-P57, "NA")</f>
        <v>35037.590000000011</v>
      </c>
      <c r="Q59" s="34">
        <f>IFERROR(P59/P148, "NA")</f>
        <v>0.74092301589097387</v>
      </c>
      <c r="R59" s="33">
        <f>IFERROR(R9-R57, "NA")</f>
        <v>36128.65</v>
      </c>
      <c r="S59" s="34">
        <f>IFERROR(R59/R148, "NA")</f>
        <v>0.75189510452835495</v>
      </c>
      <c r="T59" s="33">
        <f>IFERROR(T9-T57, "NA")</f>
        <v>32532.01999999999</v>
      </c>
      <c r="U59" s="34">
        <f>IFERROR(T59/T148, "NA")</f>
        <v>0.76648114875031026</v>
      </c>
      <c r="V59" s="33">
        <f>IFERROR(V9-V57, "NA")</f>
        <v>45462.34</v>
      </c>
      <c r="W59" s="34">
        <f>IFERROR(V59/V148, "NA")</f>
        <v>0.76245883504433298</v>
      </c>
      <c r="X59" s="33">
        <f>IFERROR(X9-X57, "NA")</f>
        <v>46099.759999999995</v>
      </c>
      <c r="Y59" s="34">
        <f>IFERROR(X59/X148, "NA")</f>
        <v>0.78231742974973506</v>
      </c>
      <c r="Z59" s="33">
        <f>IFERROR(Z9-Z57, "NA")</f>
        <v>124094.12000000004</v>
      </c>
      <c r="AA59" s="34">
        <f>IFERROR(Z59/Z148, "NA")</f>
        <v>0.77078778368322109</v>
      </c>
      <c r="AB59" s="33">
        <f>IFERROR((R59+T59+V59+X59)/4, "NA")</f>
        <v>40055.69249999999</v>
      </c>
      <c r="AC59" s="34">
        <f>IFERROR(AB59/AB148, "NA")</f>
        <v>0.7664452327854171</v>
      </c>
      <c r="AD59" s="15">
        <f>IFERROR(X59-AB59, "NA")</f>
        <v>6044.0675000000047</v>
      </c>
      <c r="AE59" s="16">
        <f>IFERROR(AD59/AD148, "NA")</f>
        <v>0.90676472838618971</v>
      </c>
      <c r="AF59" s="15">
        <f>IFERROR((X59-AB59)/AB59, "NA")</f>
        <v>0.15089159924023299</v>
      </c>
      <c r="AG59" s="33">
        <f>IFERROR((J59+L59+N59+P59+R59+T59+V59+X59)/8, "NA")</f>
        <v>37523.846249999995</v>
      </c>
      <c r="AH59" s="34">
        <f>IFERROR(AG59/AG148, "NA")</f>
        <v>0.75436638148546031</v>
      </c>
      <c r="AI59" s="15">
        <f>IFERROR(X59-AG59, "NA")</f>
        <v>8575.9137499999997</v>
      </c>
      <c r="AJ59" s="16">
        <f>IFERROR(AI59/AI148, "NA")</f>
        <v>0.93368926784105732</v>
      </c>
      <c r="AK59" s="15">
        <f>IFERROR((X59-AG59)/AG59, "NA")</f>
        <v>0.22854570112198988</v>
      </c>
      <c r="AL59" s="16">
        <f>IFERROR(AK59/AK148, "NA")</f>
        <v>1.2377132528128885</v>
      </c>
    </row>
    <row r="60" spans="1:38" ht="3.75" customHeight="1" x14ac:dyDescent="0.3">
      <c r="A60" s="35" t="s">
        <v>3</v>
      </c>
      <c r="B60" s="36"/>
      <c r="C60" s="19"/>
      <c r="D60" s="36"/>
      <c r="E60" s="19"/>
      <c r="F60" s="36"/>
      <c r="G60" s="19"/>
      <c r="H60" s="36"/>
      <c r="I60" s="19"/>
      <c r="J60" s="36"/>
      <c r="K60" s="19"/>
      <c r="L60" s="36"/>
      <c r="M60" s="19"/>
      <c r="N60" s="36"/>
      <c r="O60" s="19"/>
      <c r="P60" s="36"/>
      <c r="Q60" s="19"/>
      <c r="R60" s="36"/>
      <c r="S60" s="19"/>
      <c r="T60" s="36"/>
      <c r="U60" s="19"/>
      <c r="V60" s="36"/>
      <c r="W60" s="19"/>
      <c r="X60" s="36"/>
      <c r="Y60" s="19"/>
      <c r="Z60" s="36"/>
      <c r="AA60" s="19"/>
      <c r="AB60" s="36"/>
      <c r="AC60" s="19"/>
      <c r="AD60" s="37"/>
      <c r="AE60" s="21"/>
      <c r="AF60" s="37"/>
      <c r="AG60" s="36"/>
      <c r="AH60" s="19"/>
      <c r="AI60" s="37"/>
      <c r="AJ60" s="21"/>
      <c r="AK60" s="37"/>
      <c r="AL60" s="21"/>
    </row>
    <row r="61" spans="1:38" ht="16.5" customHeight="1" x14ac:dyDescent="0.3">
      <c r="A61" s="1" t="s">
        <v>74</v>
      </c>
      <c r="B61" s="2"/>
      <c r="C61" s="3"/>
      <c r="D61" s="2"/>
      <c r="E61" s="3"/>
      <c r="F61" s="2"/>
      <c r="G61" s="3"/>
      <c r="H61" s="2"/>
      <c r="I61" s="3"/>
      <c r="J61" s="2"/>
      <c r="K61" s="3"/>
      <c r="L61" s="2"/>
      <c r="M61" s="3"/>
      <c r="N61" s="2"/>
      <c r="O61" s="3"/>
      <c r="P61" s="2"/>
      <c r="Q61" s="3"/>
      <c r="R61" s="2"/>
      <c r="S61" s="3"/>
      <c r="T61" s="2"/>
      <c r="U61" s="3"/>
      <c r="V61" s="2"/>
      <c r="W61" s="3"/>
      <c r="X61" s="2"/>
      <c r="Y61" s="3"/>
      <c r="Z61" s="2"/>
      <c r="AA61" s="3"/>
      <c r="AB61" s="2"/>
      <c r="AC61" s="3"/>
      <c r="AD61" s="4"/>
      <c r="AE61" s="5"/>
      <c r="AF61" s="4"/>
      <c r="AG61" s="2"/>
      <c r="AH61" s="3"/>
      <c r="AI61" s="4"/>
      <c r="AJ61" s="5"/>
      <c r="AK61" s="4"/>
      <c r="AL61" s="5"/>
    </row>
    <row r="62" spans="1:38" ht="16.5" customHeight="1" x14ac:dyDescent="0.3">
      <c r="A62" s="22" t="s">
        <v>74</v>
      </c>
      <c r="B62" s="2"/>
      <c r="C62" s="3"/>
      <c r="D62" s="2"/>
      <c r="E62" s="3"/>
      <c r="F62" s="2"/>
      <c r="G62" s="3"/>
      <c r="H62" s="2"/>
      <c r="I62" s="3"/>
      <c r="J62" s="2"/>
      <c r="K62" s="3"/>
      <c r="L62" s="2"/>
      <c r="M62" s="3"/>
      <c r="N62" s="2"/>
      <c r="O62" s="3"/>
      <c r="P62" s="2"/>
      <c r="Q62" s="3"/>
      <c r="R62" s="2"/>
      <c r="S62" s="3"/>
      <c r="T62" s="2"/>
      <c r="U62" s="3"/>
      <c r="V62" s="2"/>
      <c r="W62" s="3"/>
      <c r="X62" s="2"/>
      <c r="Y62" s="3"/>
      <c r="Z62" s="2"/>
      <c r="AA62" s="3"/>
      <c r="AB62" s="2"/>
      <c r="AC62" s="3"/>
      <c r="AD62" s="4"/>
      <c r="AE62" s="5"/>
      <c r="AF62" s="4"/>
      <c r="AG62" s="2"/>
      <c r="AH62" s="3"/>
      <c r="AI62" s="4"/>
      <c r="AJ62" s="5"/>
      <c r="AK62" s="4"/>
      <c r="AL62" s="5"/>
    </row>
    <row r="63" spans="1:38" ht="16.5" hidden="1" customHeight="1" x14ac:dyDescent="0.3">
      <c r="A63" s="23" t="s">
        <v>75</v>
      </c>
      <c r="B63" s="7">
        <v>0</v>
      </c>
      <c r="C63" s="8">
        <f>IFERROR(B63/B148, "NA")</f>
        <v>0</v>
      </c>
      <c r="D63" s="7">
        <v>0</v>
      </c>
      <c r="E63" s="8">
        <f>IFERROR(D63/D148, "NA")</f>
        <v>0</v>
      </c>
      <c r="F63" s="7">
        <v>0</v>
      </c>
      <c r="G63" s="8">
        <f>IFERROR(F63/F148, "NA")</f>
        <v>0</v>
      </c>
      <c r="H63" s="7">
        <v>0</v>
      </c>
      <c r="I63" s="8">
        <f>IFERROR(H63/H148, "NA")</f>
        <v>0</v>
      </c>
      <c r="J63" s="7">
        <v>0</v>
      </c>
      <c r="K63" s="8">
        <f>IFERROR(J63/J148, "NA")</f>
        <v>0</v>
      </c>
      <c r="L63" s="7">
        <v>0</v>
      </c>
      <c r="M63" s="8">
        <f>IFERROR(L63/L148, "NA")</f>
        <v>0</v>
      </c>
      <c r="N63" s="7">
        <v>0</v>
      </c>
      <c r="O63" s="8">
        <f>IFERROR(N63/N148, "NA")</f>
        <v>0</v>
      </c>
      <c r="P63" s="7">
        <v>0</v>
      </c>
      <c r="Q63" s="8">
        <f>IFERROR(P63/P148, "NA")</f>
        <v>0</v>
      </c>
      <c r="R63" s="7">
        <v>0</v>
      </c>
      <c r="S63" s="8">
        <f>IFERROR(R63/R148, "NA")</f>
        <v>0</v>
      </c>
      <c r="T63" s="7">
        <v>0</v>
      </c>
      <c r="U63" s="8">
        <f>IFERROR(T63/T148, "NA")</f>
        <v>0</v>
      </c>
      <c r="V63" s="7">
        <v>0</v>
      </c>
      <c r="W63" s="8">
        <f>IFERROR(V63/V148, "NA")</f>
        <v>0</v>
      </c>
      <c r="X63" s="7">
        <v>0</v>
      </c>
      <c r="Y63" s="8">
        <f>IFERROR(X63/X148, "NA")</f>
        <v>0</v>
      </c>
      <c r="Z63" s="7">
        <v>0</v>
      </c>
      <c r="AA63" s="8">
        <f>IFERROR(Z63/Z148, "NA")</f>
        <v>0</v>
      </c>
      <c r="AB63" s="9">
        <f>IFERROR((R63+T63+V63+X63)/4, "NA")</f>
        <v>0</v>
      </c>
      <c r="AC63" s="8">
        <f>IFERROR(AB63/AB148, "NA")</f>
        <v>0</v>
      </c>
      <c r="AD63" s="10">
        <f>IFERROR(X63-AB63, "NA")</f>
        <v>0</v>
      </c>
      <c r="AE63" s="11">
        <f>IFERROR(AD63/AD148, "NA")</f>
        <v>0</v>
      </c>
      <c r="AF63" s="10" t="str">
        <f>IFERROR((X63-AB63)/AB63, "NA")</f>
        <v>NA</v>
      </c>
      <c r="AG63" s="9">
        <f>IFERROR((J63+L63+N63+P63+R63+T63+V63+X63)/8, "NA")</f>
        <v>0</v>
      </c>
      <c r="AH63" s="8">
        <f>IFERROR(AG63/AG148, "NA")</f>
        <v>0</v>
      </c>
      <c r="AI63" s="10">
        <f>IFERROR(X63-AG63, "NA")</f>
        <v>0</v>
      </c>
      <c r="AJ63" s="11">
        <f>IFERROR(AI63/AI148, "NA")</f>
        <v>0</v>
      </c>
      <c r="AK63" s="10" t="str">
        <f>IFERROR((X63-AG63)/AG63, "NA")</f>
        <v>NA</v>
      </c>
      <c r="AL63" s="11" t="str">
        <f>IFERROR(AK63/AK148, "NA")</f>
        <v>NA</v>
      </c>
    </row>
    <row r="64" spans="1:38" ht="16.5" customHeight="1" x14ac:dyDescent="0.3">
      <c r="A64" s="24" t="s">
        <v>76</v>
      </c>
      <c r="B64" s="2"/>
      <c r="C64" s="3"/>
      <c r="D64" s="2"/>
      <c r="E64" s="3"/>
      <c r="F64" s="2"/>
      <c r="G64" s="3"/>
      <c r="H64" s="2"/>
      <c r="I64" s="3"/>
      <c r="J64" s="2"/>
      <c r="K64" s="3"/>
      <c r="L64" s="2"/>
      <c r="M64" s="3"/>
      <c r="N64" s="2"/>
      <c r="O64" s="3"/>
      <c r="P64" s="2"/>
      <c r="Q64" s="3"/>
      <c r="R64" s="2"/>
      <c r="S64" s="3"/>
      <c r="T64" s="2"/>
      <c r="U64" s="3"/>
      <c r="V64" s="2"/>
      <c r="W64" s="3"/>
      <c r="X64" s="2"/>
      <c r="Y64" s="3"/>
      <c r="Z64" s="2"/>
      <c r="AA64" s="3"/>
      <c r="AB64" s="2"/>
      <c r="AC64" s="3"/>
      <c r="AD64" s="4"/>
      <c r="AE64" s="5"/>
      <c r="AF64" s="4"/>
      <c r="AG64" s="2"/>
      <c r="AH64" s="3"/>
      <c r="AI64" s="4"/>
      <c r="AJ64" s="5"/>
      <c r="AK64" s="4"/>
      <c r="AL64" s="5"/>
    </row>
    <row r="65" spans="1:38" ht="16.5" hidden="1" customHeight="1" x14ac:dyDescent="0.3">
      <c r="A65" s="25" t="s">
        <v>77</v>
      </c>
      <c r="B65" s="7">
        <v>0</v>
      </c>
      <c r="C65" s="8">
        <f>IFERROR(B65/B148, "NA")</f>
        <v>0</v>
      </c>
      <c r="D65" s="7">
        <v>0</v>
      </c>
      <c r="E65" s="8">
        <f>IFERROR(D65/D148, "NA")</f>
        <v>0</v>
      </c>
      <c r="F65" s="7">
        <v>0</v>
      </c>
      <c r="G65" s="8">
        <f>IFERROR(F65/F148, "NA")</f>
        <v>0</v>
      </c>
      <c r="H65" s="7">
        <v>0</v>
      </c>
      <c r="I65" s="8">
        <f>IFERROR(H65/H148, "NA")</f>
        <v>0</v>
      </c>
      <c r="J65" s="7">
        <v>0</v>
      </c>
      <c r="K65" s="8">
        <f>IFERROR(J65/J148, "NA")</f>
        <v>0</v>
      </c>
      <c r="L65" s="7">
        <v>0</v>
      </c>
      <c r="M65" s="8">
        <f>IFERROR(L65/L148, "NA")</f>
        <v>0</v>
      </c>
      <c r="N65" s="7">
        <v>0</v>
      </c>
      <c r="O65" s="8">
        <f>IFERROR(N65/N148, "NA")</f>
        <v>0</v>
      </c>
      <c r="P65" s="7">
        <v>0</v>
      </c>
      <c r="Q65" s="8">
        <f>IFERROR(P65/P148, "NA")</f>
        <v>0</v>
      </c>
      <c r="R65" s="7">
        <v>0</v>
      </c>
      <c r="S65" s="8">
        <f>IFERROR(R65/R148, "NA")</f>
        <v>0</v>
      </c>
      <c r="T65" s="7">
        <v>0</v>
      </c>
      <c r="U65" s="8">
        <f>IFERROR(T65/T148, "NA")</f>
        <v>0</v>
      </c>
      <c r="V65" s="7">
        <v>0</v>
      </c>
      <c r="W65" s="8">
        <f>IFERROR(V65/V148, "NA")</f>
        <v>0</v>
      </c>
      <c r="X65" s="7">
        <v>0</v>
      </c>
      <c r="Y65" s="8">
        <f>IFERROR(X65/X148, "NA")</f>
        <v>0</v>
      </c>
      <c r="Z65" s="7">
        <v>0</v>
      </c>
      <c r="AA65" s="8">
        <f>IFERROR(Z65/Z148, "NA")</f>
        <v>0</v>
      </c>
      <c r="AB65" s="9">
        <f t="shared" ref="AB65:AB72" si="24">IFERROR((R65+T65+V65+X65)/4, "NA")</f>
        <v>0</v>
      </c>
      <c r="AC65" s="8">
        <f>IFERROR(AB65/AB148, "NA")</f>
        <v>0</v>
      </c>
      <c r="AD65" s="10">
        <f t="shared" ref="AD65:AD72" si="25">IFERROR(X65-AB65, "NA")</f>
        <v>0</v>
      </c>
      <c r="AE65" s="11">
        <f>IFERROR(AD65/AD148, "NA")</f>
        <v>0</v>
      </c>
      <c r="AF65" s="10" t="str">
        <f t="shared" ref="AF65:AF72" si="26">IFERROR((X65-AB65)/AB65, "NA")</f>
        <v>NA</v>
      </c>
      <c r="AG65" s="9">
        <f t="shared" ref="AG65:AG72" si="27">IFERROR((J65+L65+N65+P65+R65+T65+V65+X65)/8, "NA")</f>
        <v>0</v>
      </c>
      <c r="AH65" s="8">
        <f>IFERROR(AG65/AG148, "NA")</f>
        <v>0</v>
      </c>
      <c r="AI65" s="10">
        <f t="shared" ref="AI65:AI72" si="28">IFERROR(X65-AG65, "NA")</f>
        <v>0</v>
      </c>
      <c r="AJ65" s="11">
        <f>IFERROR(AI65/AI148, "NA")</f>
        <v>0</v>
      </c>
      <c r="AK65" s="10" t="str">
        <f t="shared" ref="AK65:AK72" si="29">IFERROR((X65-AG65)/AG65, "NA")</f>
        <v>NA</v>
      </c>
      <c r="AL65" s="11" t="str">
        <f>IFERROR(AK65/AK148, "NA")</f>
        <v>NA</v>
      </c>
    </row>
    <row r="66" spans="1:38" ht="16.5" customHeight="1" x14ac:dyDescent="0.3">
      <c r="A66" s="25" t="s">
        <v>78</v>
      </c>
      <c r="B66" s="7">
        <v>2519.23</v>
      </c>
      <c r="C66" s="8">
        <f>IFERROR(B66/B148, "NA")</f>
        <v>7.1050687033234805E-2</v>
      </c>
      <c r="D66" s="7">
        <v>2519.23</v>
      </c>
      <c r="E66" s="8">
        <f>IFERROR(D66/D148, "NA")</f>
        <v>6.52999766196104E-2</v>
      </c>
      <c r="F66" s="7">
        <v>2519.23</v>
      </c>
      <c r="G66" s="8">
        <f>IFERROR(F66/F148, "NA")</f>
        <v>5.6043340972684763E-2</v>
      </c>
      <c r="H66" s="7">
        <v>2519.23</v>
      </c>
      <c r="I66" s="8">
        <f>IFERROR(H66/H148, "NA")</f>
        <v>6.1140378744506306E-2</v>
      </c>
      <c r="J66" s="7">
        <v>2519.23</v>
      </c>
      <c r="K66" s="8">
        <f>IFERROR(J66/J148, "NA")</f>
        <v>6.5006012313631178E-2</v>
      </c>
      <c r="L66" s="7">
        <v>2519.23</v>
      </c>
      <c r="M66" s="8">
        <f>IFERROR(L66/L148, "NA")</f>
        <v>4.8163556841669161E-2</v>
      </c>
      <c r="N66" s="7">
        <v>2519.23</v>
      </c>
      <c r="O66" s="8">
        <f>IFERROR(N66/N148, "NA")</f>
        <v>4.9843903305720208E-2</v>
      </c>
      <c r="P66" s="7">
        <v>2519.23</v>
      </c>
      <c r="Q66" s="8">
        <f>IFERROR(P66/P148, "NA")</f>
        <v>5.3272941698416398E-2</v>
      </c>
      <c r="R66" s="7">
        <v>2519.23</v>
      </c>
      <c r="S66" s="8">
        <f>IFERROR(R66/R148, "NA")</f>
        <v>5.2429213496241009E-2</v>
      </c>
      <c r="T66" s="7">
        <v>2519.23</v>
      </c>
      <c r="U66" s="8">
        <f>IFERROR(T66/T148, "NA")</f>
        <v>5.9355130863876414E-2</v>
      </c>
      <c r="V66" s="7">
        <v>1192.31</v>
      </c>
      <c r="W66" s="8">
        <f>IFERROR(V66/V148, "NA")</f>
        <v>1.9996491461101842E-2</v>
      </c>
      <c r="X66" s="7">
        <v>1192.31</v>
      </c>
      <c r="Y66" s="8">
        <f>IFERROR(X66/X148, "NA")</f>
        <v>2.0233617152560158E-2</v>
      </c>
      <c r="Z66" s="7">
        <v>4903.8500000000004</v>
      </c>
      <c r="AA66" s="8">
        <f>IFERROR(Z66/Z148, "NA")</f>
        <v>3.0459361595980235E-2</v>
      </c>
      <c r="AB66" s="9">
        <f t="shared" si="24"/>
        <v>1855.77</v>
      </c>
      <c r="AC66" s="8">
        <f>IFERROR(AB66/AB148, "NA")</f>
        <v>3.550921182167039E-2</v>
      </c>
      <c r="AD66" s="10">
        <f t="shared" si="25"/>
        <v>-663.46</v>
      </c>
      <c r="AE66" s="11">
        <f>IFERROR(AD66/AD148, "NA")</f>
        <v>-9.9535970883035466E-2</v>
      </c>
      <c r="AF66" s="10">
        <f t="shared" si="26"/>
        <v>-0.35751197616083891</v>
      </c>
      <c r="AG66" s="9">
        <f t="shared" si="27"/>
        <v>2187.5</v>
      </c>
      <c r="AH66" s="8">
        <f>IFERROR(AG66/AG148, "NA")</f>
        <v>4.3976740777191645E-2</v>
      </c>
      <c r="AI66" s="10">
        <f t="shared" si="28"/>
        <v>-995.19</v>
      </c>
      <c r="AJ66" s="11">
        <f>IFERROR(AI66/AI148, "NA")</f>
        <v>-0.10834976301653476</v>
      </c>
      <c r="AK66" s="10">
        <f t="shared" si="29"/>
        <v>-0.45494400000000002</v>
      </c>
      <c r="AL66" s="11">
        <f>IFERROR(AK66/AK148, "NA")</f>
        <v>-2.4637970231920852</v>
      </c>
    </row>
    <row r="67" spans="1:38" ht="16.5" hidden="1" customHeight="1" x14ac:dyDescent="0.3">
      <c r="A67" s="25" t="s">
        <v>79</v>
      </c>
      <c r="B67" s="7">
        <v>0</v>
      </c>
      <c r="C67" s="8">
        <f>IFERROR(B67/B148, "NA")</f>
        <v>0</v>
      </c>
      <c r="D67" s="7">
        <v>0</v>
      </c>
      <c r="E67" s="8">
        <f>IFERROR(D67/D148, "NA")</f>
        <v>0</v>
      </c>
      <c r="F67" s="7">
        <v>0</v>
      </c>
      <c r="G67" s="8">
        <f>IFERROR(F67/F148, "NA")</f>
        <v>0</v>
      </c>
      <c r="H67" s="7">
        <v>0</v>
      </c>
      <c r="I67" s="8">
        <f>IFERROR(H67/H148, "NA")</f>
        <v>0</v>
      </c>
      <c r="J67" s="7">
        <v>0</v>
      </c>
      <c r="K67" s="8">
        <f>IFERROR(J67/J148, "NA")</f>
        <v>0</v>
      </c>
      <c r="L67" s="7">
        <v>0</v>
      </c>
      <c r="M67" s="8">
        <f>IFERROR(L67/L148, "NA")</f>
        <v>0</v>
      </c>
      <c r="N67" s="7">
        <v>0</v>
      </c>
      <c r="O67" s="8">
        <f>IFERROR(N67/N148, "NA")</f>
        <v>0</v>
      </c>
      <c r="P67" s="7">
        <v>0</v>
      </c>
      <c r="Q67" s="8">
        <f>IFERROR(P67/P148, "NA")</f>
        <v>0</v>
      </c>
      <c r="R67" s="7">
        <v>0</v>
      </c>
      <c r="S67" s="8">
        <f>IFERROR(R67/R148, "NA")</f>
        <v>0</v>
      </c>
      <c r="T67" s="7">
        <v>0</v>
      </c>
      <c r="U67" s="8">
        <f>IFERROR(T67/T148, "NA")</f>
        <v>0</v>
      </c>
      <c r="V67" s="7">
        <v>0</v>
      </c>
      <c r="W67" s="8">
        <f>IFERROR(V67/V148, "NA")</f>
        <v>0</v>
      </c>
      <c r="X67" s="7">
        <v>0</v>
      </c>
      <c r="Y67" s="8">
        <f>IFERROR(X67/X148, "NA")</f>
        <v>0</v>
      </c>
      <c r="Z67" s="7">
        <v>0</v>
      </c>
      <c r="AA67" s="8">
        <f>IFERROR(Z67/Z148, "NA")</f>
        <v>0</v>
      </c>
      <c r="AB67" s="9">
        <f t="shared" si="24"/>
        <v>0</v>
      </c>
      <c r="AC67" s="8">
        <f>IFERROR(AB67/AB148, "NA")</f>
        <v>0</v>
      </c>
      <c r="AD67" s="10">
        <f t="shared" si="25"/>
        <v>0</v>
      </c>
      <c r="AE67" s="11">
        <f>IFERROR(AD67/AD148, "NA")</f>
        <v>0</v>
      </c>
      <c r="AF67" s="10" t="str">
        <f t="shared" si="26"/>
        <v>NA</v>
      </c>
      <c r="AG67" s="9">
        <f t="shared" si="27"/>
        <v>0</v>
      </c>
      <c r="AH67" s="8">
        <f>IFERROR(AG67/AG148, "NA")</f>
        <v>0</v>
      </c>
      <c r="AI67" s="10">
        <f t="shared" si="28"/>
        <v>0</v>
      </c>
      <c r="AJ67" s="11">
        <f>IFERROR(AI67/AI148, "NA")</f>
        <v>0</v>
      </c>
      <c r="AK67" s="10" t="str">
        <f t="shared" si="29"/>
        <v>NA</v>
      </c>
      <c r="AL67" s="11" t="str">
        <f>IFERROR(AK67/AK148, "NA")</f>
        <v>NA</v>
      </c>
    </row>
    <row r="68" spans="1:38" ht="16.5" customHeight="1" x14ac:dyDescent="0.3">
      <c r="A68" s="25" t="s">
        <v>80</v>
      </c>
      <c r="B68" s="7">
        <v>5638.73</v>
      </c>
      <c r="C68" s="8">
        <f>IFERROR(B68/B148, "NA")</f>
        <v>0.1590309898242368</v>
      </c>
      <c r="D68" s="7">
        <v>5821.68</v>
      </c>
      <c r="E68" s="8">
        <f>IFERROR(D68/D148, "NA")</f>
        <v>0.15090149287157326</v>
      </c>
      <c r="F68" s="7">
        <v>6624.58</v>
      </c>
      <c r="G68" s="8">
        <f>IFERROR(F68/F148, "NA")</f>
        <v>0.14737185399539859</v>
      </c>
      <c r="H68" s="7">
        <v>6050.5</v>
      </c>
      <c r="I68" s="8">
        <f>IFERROR(H68/H148, "NA")</f>
        <v>0.14684243264554464</v>
      </c>
      <c r="J68" s="7">
        <v>5720.97</v>
      </c>
      <c r="K68" s="8">
        <f>IFERROR(J68/J148, "NA")</f>
        <v>0.14762345886080849</v>
      </c>
      <c r="L68" s="7">
        <v>6318.56</v>
      </c>
      <c r="M68" s="8">
        <f>IFERROR(L68/L148, "NA")</f>
        <v>0.12080053179642078</v>
      </c>
      <c r="N68" s="7">
        <v>6637.43</v>
      </c>
      <c r="O68" s="8">
        <f>IFERROR(N68/N148, "NA")</f>
        <v>0.13132402326047501</v>
      </c>
      <c r="P68" s="7">
        <v>6212.96</v>
      </c>
      <c r="Q68" s="8">
        <f>IFERROR(P68/P148, "NA")</f>
        <v>0.13138246839494336</v>
      </c>
      <c r="R68" s="7">
        <v>5939.14</v>
      </c>
      <c r="S68" s="8">
        <f>IFERROR(R68/R148, "NA")</f>
        <v>0.12360302117871923</v>
      </c>
      <c r="T68" s="7">
        <v>6285.82</v>
      </c>
      <c r="U68" s="8">
        <f>IFERROR(T68/T148, "NA")</f>
        <v>0.14809908927996712</v>
      </c>
      <c r="V68" s="7">
        <v>9379.48</v>
      </c>
      <c r="W68" s="8">
        <f>IFERROR(V68/V148, "NA")</f>
        <v>0.15730530795646727</v>
      </c>
      <c r="X68" s="7">
        <v>9481.44</v>
      </c>
      <c r="Y68" s="8">
        <f>IFERROR(X68/X148, "NA")</f>
        <v>0.16090096284940159</v>
      </c>
      <c r="Z68" s="7">
        <v>25146.74</v>
      </c>
      <c r="AA68" s="8">
        <f>IFERROR(Z68/Z148, "NA")</f>
        <v>0.15619434660931716</v>
      </c>
      <c r="AB68" s="9">
        <f t="shared" si="24"/>
        <v>7771.4699999999993</v>
      </c>
      <c r="AC68" s="8">
        <f>IFERROR(AB68/AB148, "NA")</f>
        <v>0.14870311212906595</v>
      </c>
      <c r="AD68" s="10">
        <f t="shared" si="25"/>
        <v>1709.9700000000012</v>
      </c>
      <c r="AE68" s="11">
        <f>IFERROR(AD68/AD148, "NA")</f>
        <v>0.25653923994040978</v>
      </c>
      <c r="AF68" s="10">
        <f t="shared" si="26"/>
        <v>0.22003173144849061</v>
      </c>
      <c r="AG68" s="9">
        <f t="shared" si="27"/>
        <v>6996.9750000000004</v>
      </c>
      <c r="AH68" s="8">
        <f>IFERROR(AG68/AG148, "NA")</f>
        <v>0.14066475693690994</v>
      </c>
      <c r="AI68" s="10">
        <f t="shared" si="28"/>
        <v>2484.4650000000001</v>
      </c>
      <c r="AJ68" s="11">
        <f>IFERROR(AI68/AI148, "NA")</f>
        <v>0.27049226175190166</v>
      </c>
      <c r="AK68" s="10">
        <f t="shared" si="29"/>
        <v>0.35507701542452275</v>
      </c>
      <c r="AL68" s="11">
        <f>IFERROR(AK68/AK148, "NA")</f>
        <v>1.9229568773450563</v>
      </c>
    </row>
    <row r="69" spans="1:38" ht="16.5" customHeight="1" x14ac:dyDescent="0.3">
      <c r="A69" s="25" t="s">
        <v>81</v>
      </c>
      <c r="B69" s="7">
        <v>435.94</v>
      </c>
      <c r="C69" s="8">
        <f>IFERROR(B69/B148, "NA")</f>
        <v>1.2294961756278061E-2</v>
      </c>
      <c r="D69" s="7">
        <v>222.55</v>
      </c>
      <c r="E69" s="8">
        <f>IFERROR(D69/D148, "NA")</f>
        <v>5.7686316043768513E-3</v>
      </c>
      <c r="F69" s="7">
        <v>115.73</v>
      </c>
      <c r="G69" s="8">
        <f>IFERROR(F69/F148, "NA")</f>
        <v>2.5745548642913934E-3</v>
      </c>
      <c r="H69" s="7">
        <v>0</v>
      </c>
      <c r="I69" s="8">
        <f>IFERROR(H69/H148, "NA")</f>
        <v>0</v>
      </c>
      <c r="J69" s="7">
        <v>165.53</v>
      </c>
      <c r="K69" s="8">
        <f>IFERROR(J69/J148, "NA")</f>
        <v>4.2713230702537556E-3</v>
      </c>
      <c r="L69" s="7">
        <v>254.17</v>
      </c>
      <c r="M69" s="8">
        <f>IFERROR(L69/L148, "NA")</f>
        <v>4.8593146487010122E-3</v>
      </c>
      <c r="N69" s="7">
        <v>104.6</v>
      </c>
      <c r="O69" s="8">
        <f>IFERROR(N69/N148, "NA")</f>
        <v>2.0695499362020672E-3</v>
      </c>
      <c r="P69" s="7">
        <v>184.73</v>
      </c>
      <c r="Q69" s="8">
        <f>IFERROR(P69/P148, "NA")</f>
        <v>3.9063962083447966E-3</v>
      </c>
      <c r="R69" s="7">
        <v>230.1</v>
      </c>
      <c r="S69" s="8">
        <f>IFERROR(R69/R148, "NA")</f>
        <v>4.7887497471390287E-3</v>
      </c>
      <c r="T69" s="7">
        <v>0.02</v>
      </c>
      <c r="U69" s="8">
        <f>IFERROR(T69/T148, "NA")</f>
        <v>4.7121644997778221E-7</v>
      </c>
      <c r="V69" s="7">
        <v>330.74</v>
      </c>
      <c r="W69" s="8">
        <f>IFERROR(V69/V148, "NA")</f>
        <v>5.5469127876515536E-3</v>
      </c>
      <c r="X69" s="7">
        <v>331.53</v>
      </c>
      <c r="Y69" s="8">
        <f>IFERROR(X69/X148, "NA")</f>
        <v>5.6260964804356831E-3</v>
      </c>
      <c r="Z69" s="7">
        <v>662.29</v>
      </c>
      <c r="AA69" s="8">
        <f>IFERROR(Z69/Z148, "NA")</f>
        <v>4.1136924235859063E-3</v>
      </c>
      <c r="AB69" s="9">
        <f t="shared" si="24"/>
        <v>223.0975</v>
      </c>
      <c r="AC69" s="8">
        <f>IFERROR(AB69/AB148, "NA")</f>
        <v>4.2688568003497792E-3</v>
      </c>
      <c r="AD69" s="10">
        <f t="shared" si="25"/>
        <v>108.43249999999998</v>
      </c>
      <c r="AE69" s="11">
        <f>IFERROR(AD69/AD148, "NA")</f>
        <v>1.6267648634092094E-2</v>
      </c>
      <c r="AF69" s="10">
        <f t="shared" si="26"/>
        <v>0.48603189188583457</v>
      </c>
      <c r="AG69" s="9">
        <f t="shared" si="27"/>
        <v>200.17749999999998</v>
      </c>
      <c r="AH69" s="8">
        <f>IFERROR(AG69/AG148, "NA")</f>
        <v>4.0242989837377275E-3</v>
      </c>
      <c r="AI69" s="10">
        <f t="shared" si="28"/>
        <v>131.35249999999999</v>
      </c>
      <c r="AJ69" s="11">
        <f>IFERROR(AI69/AI148, "NA")</f>
        <v>1.4300799090253499E-2</v>
      </c>
      <c r="AK69" s="10">
        <f t="shared" si="29"/>
        <v>0.65618014012563852</v>
      </c>
      <c r="AL69" s="11">
        <f>IFERROR(AK69/AK148, "NA")</f>
        <v>3.5536124796003761</v>
      </c>
    </row>
    <row r="70" spans="1:38" ht="16.5" customHeight="1" x14ac:dyDescent="0.3">
      <c r="A70" s="26" t="s">
        <v>82</v>
      </c>
      <c r="B70" s="13">
        <f>IFERROR(B65+B66+B67+B68+B69, "NA")</f>
        <v>8593.9</v>
      </c>
      <c r="C70" s="14">
        <f>IFERROR(B70/B148, "NA")</f>
        <v>0.24237663861374967</v>
      </c>
      <c r="D70" s="13">
        <f>IFERROR(D65+D66+D67+D68+D69, "NA")</f>
        <v>8563.4599999999991</v>
      </c>
      <c r="E70" s="14">
        <f>IFERROR(D70/D148, "NA")</f>
        <v>0.22197010109556048</v>
      </c>
      <c r="F70" s="13">
        <f>IFERROR(F65+F66+F67+F68+F69, "NA")</f>
        <v>9259.5399999999991</v>
      </c>
      <c r="G70" s="14">
        <f>IFERROR(F70/F148, "NA")</f>
        <v>0.20598974983237472</v>
      </c>
      <c r="H70" s="13">
        <f>IFERROR(H65+H66+H67+H68+H69, "NA")</f>
        <v>8569.73</v>
      </c>
      <c r="I70" s="14">
        <f>IFERROR(H70/H148, "NA")</f>
        <v>0.20798281139005093</v>
      </c>
      <c r="J70" s="13">
        <f>IFERROR(J65+J66+J67+J68+J69, "NA")</f>
        <v>8405.7300000000014</v>
      </c>
      <c r="K70" s="14">
        <f>IFERROR(J70/J148, "NA")</f>
        <v>0.21690079424469344</v>
      </c>
      <c r="L70" s="13">
        <f>IFERROR(L65+L66+L67+L68+L69, "NA")</f>
        <v>9091.9600000000009</v>
      </c>
      <c r="M70" s="14">
        <f>IFERROR(L70/L148, "NA")</f>
        <v>0.17382340328679097</v>
      </c>
      <c r="N70" s="13">
        <f>IFERROR(N65+N66+N67+N68+N69, "NA")</f>
        <v>9261.26</v>
      </c>
      <c r="O70" s="14">
        <f>IFERROR(N70/N148, "NA")</f>
        <v>0.1832374765023973</v>
      </c>
      <c r="P70" s="13">
        <f>IFERROR(P65+P66+P67+P68+P69, "NA")</f>
        <v>8916.92</v>
      </c>
      <c r="Q70" s="14">
        <f>IFERROR(P70/P148, "NA")</f>
        <v>0.18856180630170455</v>
      </c>
      <c r="R70" s="13">
        <f>IFERROR(R65+R66+R67+R68+R69, "NA")</f>
        <v>8688.4700000000012</v>
      </c>
      <c r="S70" s="14">
        <f>IFERROR(R70/R148, "NA")</f>
        <v>0.18082098442209926</v>
      </c>
      <c r="T70" s="13">
        <f>IFERROR(T65+T66+T67+T68+T69, "NA")</f>
        <v>8805.07</v>
      </c>
      <c r="U70" s="14">
        <f>IFERROR(T70/T148, "NA")</f>
        <v>0.20745469136029351</v>
      </c>
      <c r="V70" s="13">
        <f>IFERROR(V65+V66+V67+V68+V69, "NA")</f>
        <v>10902.529999999999</v>
      </c>
      <c r="W70" s="14">
        <f>IFERROR(V70/V148, "NA")</f>
        <v>0.18284871220522067</v>
      </c>
      <c r="X70" s="13">
        <f>IFERROR(X65+X66+X67+X68+X69, "NA")</f>
        <v>11005.28</v>
      </c>
      <c r="Y70" s="14">
        <f>IFERROR(X70/X148, "NA")</f>
        <v>0.18676067648239744</v>
      </c>
      <c r="Z70" s="13">
        <f>IFERROR(Z65+Z66+Z67+Z68+Z69, "NA")</f>
        <v>30712.880000000005</v>
      </c>
      <c r="AA70" s="14">
        <f>IFERROR(Z70/Z148, "NA")</f>
        <v>0.19076740062888334</v>
      </c>
      <c r="AB70" s="13">
        <f t="shared" si="24"/>
        <v>9850.3374999999996</v>
      </c>
      <c r="AC70" s="14">
        <f>IFERROR(AB70/AB148, "NA")</f>
        <v>0.18848118075108614</v>
      </c>
      <c r="AD70" s="15">
        <f t="shared" si="25"/>
        <v>1154.942500000001</v>
      </c>
      <c r="AE70" s="16">
        <f>IFERROR(AD70/AD148, "NA")</f>
        <v>0.17327091769146638</v>
      </c>
      <c r="AF70" s="15">
        <f t="shared" si="26"/>
        <v>0.11724902826933606</v>
      </c>
      <c r="AG70" s="13">
        <f t="shared" si="27"/>
        <v>9384.6525000000001</v>
      </c>
      <c r="AH70" s="14">
        <f>IFERROR(AG70/AG148, "NA")</f>
        <v>0.18866579669783931</v>
      </c>
      <c r="AI70" s="15">
        <f t="shared" si="28"/>
        <v>1620.6275000000005</v>
      </c>
      <c r="AJ70" s="16">
        <f>IFERROR(AI70/AI148, "NA")</f>
        <v>0.17644329782562046</v>
      </c>
      <c r="AK70" s="15">
        <f t="shared" si="29"/>
        <v>0.17268913260240595</v>
      </c>
      <c r="AL70" s="16">
        <f>IFERROR(AK70/AK148, "NA")</f>
        <v>0.93521613834544703</v>
      </c>
    </row>
    <row r="71" spans="1:38" ht="16.5" hidden="1" customHeight="1" x14ac:dyDescent="0.3">
      <c r="A71" s="23" t="s">
        <v>83</v>
      </c>
      <c r="B71" s="7">
        <v>0</v>
      </c>
      <c r="C71" s="8">
        <f>IFERROR(B71/B148, "NA")</f>
        <v>0</v>
      </c>
      <c r="D71" s="7">
        <v>0</v>
      </c>
      <c r="E71" s="8">
        <f>IFERROR(D71/D148, "NA")</f>
        <v>0</v>
      </c>
      <c r="F71" s="7">
        <v>0</v>
      </c>
      <c r="G71" s="8">
        <f>IFERROR(F71/F148, "NA")</f>
        <v>0</v>
      </c>
      <c r="H71" s="7">
        <v>0</v>
      </c>
      <c r="I71" s="8">
        <f>IFERROR(H71/H148, "NA")</f>
        <v>0</v>
      </c>
      <c r="J71" s="7">
        <v>0</v>
      </c>
      <c r="K71" s="8">
        <f>IFERROR(J71/J148, "NA")</f>
        <v>0</v>
      </c>
      <c r="L71" s="7">
        <v>0</v>
      </c>
      <c r="M71" s="8">
        <f>IFERROR(L71/L148, "NA")</f>
        <v>0</v>
      </c>
      <c r="N71" s="7">
        <v>0</v>
      </c>
      <c r="O71" s="8">
        <f>IFERROR(N71/N148, "NA")</f>
        <v>0</v>
      </c>
      <c r="P71" s="7">
        <v>0</v>
      </c>
      <c r="Q71" s="8">
        <f>IFERROR(P71/P148, "NA")</f>
        <v>0</v>
      </c>
      <c r="R71" s="7">
        <v>0</v>
      </c>
      <c r="S71" s="8">
        <f>IFERROR(R71/R148, "NA")</f>
        <v>0</v>
      </c>
      <c r="T71" s="7">
        <v>0</v>
      </c>
      <c r="U71" s="8">
        <f>IFERROR(T71/T148, "NA")</f>
        <v>0</v>
      </c>
      <c r="V71" s="7">
        <v>0</v>
      </c>
      <c r="W71" s="8">
        <f>IFERROR(V71/V148, "NA")</f>
        <v>0</v>
      </c>
      <c r="X71" s="7">
        <v>0</v>
      </c>
      <c r="Y71" s="8">
        <f>IFERROR(X71/X148, "NA")</f>
        <v>0</v>
      </c>
      <c r="Z71" s="7">
        <v>0</v>
      </c>
      <c r="AA71" s="8">
        <f>IFERROR(Z71/Z148, "NA")</f>
        <v>0</v>
      </c>
      <c r="AB71" s="9">
        <f t="shared" si="24"/>
        <v>0</v>
      </c>
      <c r="AC71" s="8">
        <f>IFERROR(AB71/AB148, "NA")</f>
        <v>0</v>
      </c>
      <c r="AD71" s="10">
        <f t="shared" si="25"/>
        <v>0</v>
      </c>
      <c r="AE71" s="11">
        <f>IFERROR(AD71/AD148, "NA")</f>
        <v>0</v>
      </c>
      <c r="AF71" s="10" t="str">
        <f t="shared" si="26"/>
        <v>NA</v>
      </c>
      <c r="AG71" s="9">
        <f t="shared" si="27"/>
        <v>0</v>
      </c>
      <c r="AH71" s="8">
        <f>IFERROR(AG71/AG148, "NA")</f>
        <v>0</v>
      </c>
      <c r="AI71" s="10">
        <f t="shared" si="28"/>
        <v>0</v>
      </c>
      <c r="AJ71" s="11">
        <f>IFERROR(AI71/AI148, "NA")</f>
        <v>0</v>
      </c>
      <c r="AK71" s="10" t="str">
        <f t="shared" si="29"/>
        <v>NA</v>
      </c>
      <c r="AL71" s="11" t="str">
        <f>IFERROR(AK71/AK148, "NA")</f>
        <v>NA</v>
      </c>
    </row>
    <row r="72" spans="1:38" ht="16.5" customHeight="1" x14ac:dyDescent="0.3">
      <c r="A72" s="23" t="s">
        <v>84</v>
      </c>
      <c r="B72" s="7">
        <v>0</v>
      </c>
      <c r="C72" s="8">
        <f>IFERROR(B72/B148, "NA")</f>
        <v>0</v>
      </c>
      <c r="D72" s="7">
        <v>0</v>
      </c>
      <c r="E72" s="8">
        <f>IFERROR(D72/D148, "NA")</f>
        <v>0</v>
      </c>
      <c r="F72" s="7">
        <v>0</v>
      </c>
      <c r="G72" s="8">
        <f>IFERROR(F72/F148, "NA")</f>
        <v>0</v>
      </c>
      <c r="H72" s="7">
        <v>624</v>
      </c>
      <c r="I72" s="8">
        <f>IFERROR(H72/H148, "NA")</f>
        <v>1.5144149734868167E-2</v>
      </c>
      <c r="J72" s="7">
        <v>0</v>
      </c>
      <c r="K72" s="8">
        <f>IFERROR(J72/J148, "NA")</f>
        <v>0</v>
      </c>
      <c r="L72" s="7">
        <v>0</v>
      </c>
      <c r="M72" s="8">
        <f>IFERROR(L72/L148, "NA")</f>
        <v>0</v>
      </c>
      <c r="N72" s="7">
        <v>0</v>
      </c>
      <c r="O72" s="8">
        <f>IFERROR(N72/N148, "NA")</f>
        <v>0</v>
      </c>
      <c r="P72" s="7">
        <v>0</v>
      </c>
      <c r="Q72" s="8">
        <f>IFERROR(P72/P148, "NA")</f>
        <v>0</v>
      </c>
      <c r="R72" s="7">
        <v>1013</v>
      </c>
      <c r="S72" s="8">
        <f>IFERROR(R72/R148, "NA")</f>
        <v>2.1082153384840662E-2</v>
      </c>
      <c r="T72" s="7">
        <v>0</v>
      </c>
      <c r="U72" s="8">
        <f>IFERROR(T72/T148, "NA")</f>
        <v>0</v>
      </c>
      <c r="V72" s="7">
        <v>0</v>
      </c>
      <c r="W72" s="8">
        <f>IFERROR(V72/V148, "NA")</f>
        <v>0</v>
      </c>
      <c r="X72" s="7">
        <v>0</v>
      </c>
      <c r="Y72" s="8">
        <f>IFERROR(X72/X148, "NA")</f>
        <v>0</v>
      </c>
      <c r="Z72" s="7">
        <v>0</v>
      </c>
      <c r="AA72" s="8">
        <f>IFERROR(Z72/Z148, "NA")</f>
        <v>0</v>
      </c>
      <c r="AB72" s="9">
        <f t="shared" si="24"/>
        <v>253.25</v>
      </c>
      <c r="AC72" s="8">
        <f>IFERROR(AB72/AB148, "NA")</f>
        <v>4.8458094989346882E-3</v>
      </c>
      <c r="AD72" s="10">
        <f t="shared" si="25"/>
        <v>-253.25</v>
      </c>
      <c r="AE72" s="11">
        <f>IFERROR(AD72/AD148, "NA")</f>
        <v>-3.79939779732444E-2</v>
      </c>
      <c r="AF72" s="10">
        <f t="shared" si="26"/>
        <v>-1</v>
      </c>
      <c r="AG72" s="9">
        <f t="shared" si="27"/>
        <v>126.625</v>
      </c>
      <c r="AH72" s="8">
        <f>IFERROR(AG72/AG148, "NA")</f>
        <v>2.5456250518454361E-3</v>
      </c>
      <c r="AI72" s="10">
        <f t="shared" si="28"/>
        <v>-126.625</v>
      </c>
      <c r="AJ72" s="11">
        <f>IFERROR(AI72/AI148, "NA")</f>
        <v>-1.3786099882403072E-2</v>
      </c>
      <c r="AK72" s="10">
        <f t="shared" si="29"/>
        <v>-1</v>
      </c>
      <c r="AL72" s="11">
        <f>IFERROR(AK72/AK148, "NA")</f>
        <v>-5.4156050485160492</v>
      </c>
    </row>
    <row r="73" spans="1:38" ht="16.5" customHeight="1" x14ac:dyDescent="0.3">
      <c r="A73" s="24" t="s">
        <v>85</v>
      </c>
      <c r="B73" s="2"/>
      <c r="C73" s="3"/>
      <c r="D73" s="2"/>
      <c r="E73" s="3"/>
      <c r="F73" s="2"/>
      <c r="G73" s="3"/>
      <c r="H73" s="2"/>
      <c r="I73" s="3"/>
      <c r="J73" s="2"/>
      <c r="K73" s="3"/>
      <c r="L73" s="2"/>
      <c r="M73" s="3"/>
      <c r="N73" s="2"/>
      <c r="O73" s="3"/>
      <c r="P73" s="2"/>
      <c r="Q73" s="3"/>
      <c r="R73" s="2"/>
      <c r="S73" s="3"/>
      <c r="T73" s="2"/>
      <c r="U73" s="3"/>
      <c r="V73" s="2"/>
      <c r="W73" s="3"/>
      <c r="X73" s="2"/>
      <c r="Y73" s="3"/>
      <c r="Z73" s="2"/>
      <c r="AA73" s="3"/>
      <c r="AB73" s="2"/>
      <c r="AC73" s="3"/>
      <c r="AD73" s="4"/>
      <c r="AE73" s="5"/>
      <c r="AF73" s="4"/>
      <c r="AG73" s="2"/>
      <c r="AH73" s="3"/>
      <c r="AI73" s="4"/>
      <c r="AJ73" s="5"/>
      <c r="AK73" s="4"/>
      <c r="AL73" s="5"/>
    </row>
    <row r="74" spans="1:38" ht="16.5" customHeight="1" x14ac:dyDescent="0.3">
      <c r="A74" s="25" t="s">
        <v>86</v>
      </c>
      <c r="B74" s="7">
        <v>842.76</v>
      </c>
      <c r="C74" s="8">
        <f>IFERROR(B74/B148, "NA")</f>
        <v>2.3768642404277878E-2</v>
      </c>
      <c r="D74" s="7">
        <v>1022.01</v>
      </c>
      <c r="E74" s="8">
        <f>IFERROR(D74/D148, "NA")</f>
        <v>2.6491121932101486E-2</v>
      </c>
      <c r="F74" s="7">
        <v>909.38</v>
      </c>
      <c r="G74" s="8">
        <f>IFERROR(F74/F148, "NA")</f>
        <v>2.0230266158207097E-2</v>
      </c>
      <c r="H74" s="7">
        <v>822.59</v>
      </c>
      <c r="I74" s="8">
        <f>IFERROR(H74/H148, "NA")</f>
        <v>1.9963823926931419E-2</v>
      </c>
      <c r="J74" s="7">
        <v>824.97</v>
      </c>
      <c r="K74" s="8">
        <f>IFERROR(J74/J148, "NA")</f>
        <v>2.1287460842549632E-2</v>
      </c>
      <c r="L74" s="7">
        <v>885.74</v>
      </c>
      <c r="M74" s="8">
        <f>IFERROR(L74/L148, "NA")</f>
        <v>1.6933899976159399E-2</v>
      </c>
      <c r="N74" s="7">
        <v>925.42</v>
      </c>
      <c r="O74" s="8">
        <f>IFERROR(N74/N148, "NA")</f>
        <v>1.8309779177438978E-2</v>
      </c>
      <c r="P74" s="7">
        <v>868.41</v>
      </c>
      <c r="Q74" s="8">
        <f>IFERROR(P74/P148, "NA")</f>
        <v>1.8363847405882663E-2</v>
      </c>
      <c r="R74" s="7">
        <v>849.49</v>
      </c>
      <c r="S74" s="8">
        <f>IFERROR(R74/R148, "NA")</f>
        <v>1.767924825161727E-2</v>
      </c>
      <c r="T74" s="7">
        <v>837.16</v>
      </c>
      <c r="U74" s="8">
        <f>IFERROR(T74/T148, "NA")</f>
        <v>1.9724178163170007E-2</v>
      </c>
      <c r="V74" s="7">
        <v>1103.42</v>
      </c>
      <c r="W74" s="8">
        <f>IFERROR(V74/V148, "NA")</f>
        <v>1.8505697853753635E-2</v>
      </c>
      <c r="X74" s="7">
        <v>1116.1500000000001</v>
      </c>
      <c r="Y74" s="8">
        <f>IFERROR(X74/X148, "NA")</f>
        <v>1.8941174514035798E-2</v>
      </c>
      <c r="Z74" s="7">
        <v>3056.73</v>
      </c>
      <c r="AA74" s="8">
        <f>IFERROR(Z74/Z148, "NA")</f>
        <v>1.8986315725660584E-2</v>
      </c>
      <c r="AB74" s="9">
        <f t="shared" ref="AB74:AB85" si="30">IFERROR((R74+T74+V74+X74)/4, "NA")</f>
        <v>976.55500000000006</v>
      </c>
      <c r="AC74" s="8">
        <f>IFERROR(AB74/AB148, "NA")</f>
        <v>1.868588152115366E-2</v>
      </c>
      <c r="AD74" s="10">
        <f t="shared" ref="AD74:AD85" si="31">IFERROR(X74-AB74, "NA")</f>
        <v>139.59500000000003</v>
      </c>
      <c r="AE74" s="11">
        <f>IFERROR(AD74/AD148, "NA")</f>
        <v>2.0942820750938021E-2</v>
      </c>
      <c r="AF74" s="10">
        <f t="shared" ref="AF74:AF85" si="32">IFERROR((X74-AB74)/AB74, "NA")</f>
        <v>0.14294637782818173</v>
      </c>
      <c r="AG74" s="9">
        <f t="shared" ref="AG74:AG85" si="33">IFERROR((J74+L74+N74+P74+R74+T74+V74+X74)/8, "NA")</f>
        <v>926.34500000000003</v>
      </c>
      <c r="AH74" s="8">
        <f>IFERROR(AG74/AG148, "NA")</f>
        <v>1.8622918370398898E-2</v>
      </c>
      <c r="AI74" s="10">
        <f t="shared" ref="AI74:AI85" si="34">IFERROR(X74-AG74, "NA")</f>
        <v>189.80500000000006</v>
      </c>
      <c r="AJ74" s="11">
        <f>IFERROR(AI74/AI148, "NA")</f>
        <v>2.0664724092237047E-2</v>
      </c>
      <c r="AK74" s="10">
        <f t="shared" ref="AK74:AK85" si="35">IFERROR((X74-AG74)/AG74, "NA")</f>
        <v>0.20489666376997778</v>
      </c>
      <c r="AL74" s="11">
        <f>IFERROR(AK74/AK148, "NA")</f>
        <v>1.109639406736787</v>
      </c>
    </row>
    <row r="75" spans="1:38" ht="16.5" hidden="1" customHeight="1" x14ac:dyDescent="0.3">
      <c r="A75" s="25" t="s">
        <v>87</v>
      </c>
      <c r="B75" s="7">
        <v>0</v>
      </c>
      <c r="C75" s="8">
        <f>IFERROR(B75/B148, "NA")</f>
        <v>0</v>
      </c>
      <c r="D75" s="7">
        <v>0</v>
      </c>
      <c r="E75" s="8">
        <f>IFERROR(D75/D148, "NA")</f>
        <v>0</v>
      </c>
      <c r="F75" s="7">
        <v>0</v>
      </c>
      <c r="G75" s="8">
        <f>IFERROR(F75/F148, "NA")</f>
        <v>0</v>
      </c>
      <c r="H75" s="7">
        <v>0</v>
      </c>
      <c r="I75" s="8">
        <f>IFERROR(H75/H148, "NA")</f>
        <v>0</v>
      </c>
      <c r="J75" s="7">
        <v>0</v>
      </c>
      <c r="K75" s="8">
        <f>IFERROR(J75/J148, "NA")</f>
        <v>0</v>
      </c>
      <c r="L75" s="7">
        <v>0</v>
      </c>
      <c r="M75" s="8">
        <f>IFERROR(L75/L148, "NA")</f>
        <v>0</v>
      </c>
      <c r="N75" s="7">
        <v>0</v>
      </c>
      <c r="O75" s="8">
        <f>IFERROR(N75/N148, "NA")</f>
        <v>0</v>
      </c>
      <c r="P75" s="7">
        <v>0</v>
      </c>
      <c r="Q75" s="8">
        <f>IFERROR(P75/P148, "NA")</f>
        <v>0</v>
      </c>
      <c r="R75" s="7">
        <v>0</v>
      </c>
      <c r="S75" s="8">
        <f>IFERROR(R75/R148, "NA")</f>
        <v>0</v>
      </c>
      <c r="T75" s="7">
        <v>0</v>
      </c>
      <c r="U75" s="8">
        <f>IFERROR(T75/T148, "NA")</f>
        <v>0</v>
      </c>
      <c r="V75" s="7">
        <v>0</v>
      </c>
      <c r="W75" s="8">
        <f>IFERROR(V75/V148, "NA")</f>
        <v>0</v>
      </c>
      <c r="X75" s="7">
        <v>0</v>
      </c>
      <c r="Y75" s="8">
        <f>IFERROR(X75/X148, "NA")</f>
        <v>0</v>
      </c>
      <c r="Z75" s="7">
        <v>0</v>
      </c>
      <c r="AA75" s="8">
        <f>IFERROR(Z75/Z148, "NA")</f>
        <v>0</v>
      </c>
      <c r="AB75" s="9">
        <f t="shared" si="30"/>
        <v>0</v>
      </c>
      <c r="AC75" s="8">
        <f>IFERROR(AB75/AB148, "NA")</f>
        <v>0</v>
      </c>
      <c r="AD75" s="10">
        <f t="shared" si="31"/>
        <v>0</v>
      </c>
      <c r="AE75" s="11">
        <f>IFERROR(AD75/AD148, "NA")</f>
        <v>0</v>
      </c>
      <c r="AF75" s="10" t="str">
        <f t="shared" si="32"/>
        <v>NA</v>
      </c>
      <c r="AG75" s="9">
        <f t="shared" si="33"/>
        <v>0</v>
      </c>
      <c r="AH75" s="8">
        <f>IFERROR(AG75/AG148, "NA")</f>
        <v>0</v>
      </c>
      <c r="AI75" s="10">
        <f t="shared" si="34"/>
        <v>0</v>
      </c>
      <c r="AJ75" s="11">
        <f>IFERROR(AI75/AI148, "NA")</f>
        <v>0</v>
      </c>
      <c r="AK75" s="10" t="str">
        <f t="shared" si="35"/>
        <v>NA</v>
      </c>
      <c r="AL75" s="11" t="str">
        <f>IFERROR(AK75/AK148, "NA")</f>
        <v>NA</v>
      </c>
    </row>
    <row r="76" spans="1:38" ht="16.5" hidden="1" customHeight="1" x14ac:dyDescent="0.3">
      <c r="A76" s="25" t="s">
        <v>88</v>
      </c>
      <c r="B76" s="7">
        <v>0</v>
      </c>
      <c r="C76" s="8">
        <f>IFERROR(B76/B148, "NA")</f>
        <v>0</v>
      </c>
      <c r="D76" s="7">
        <v>0</v>
      </c>
      <c r="E76" s="8">
        <f>IFERROR(D76/D148, "NA")</f>
        <v>0</v>
      </c>
      <c r="F76" s="7">
        <v>0</v>
      </c>
      <c r="G76" s="8">
        <f>IFERROR(F76/F148, "NA")</f>
        <v>0</v>
      </c>
      <c r="H76" s="7">
        <v>0</v>
      </c>
      <c r="I76" s="8">
        <f>IFERROR(H76/H148, "NA")</f>
        <v>0</v>
      </c>
      <c r="J76" s="7">
        <v>0</v>
      </c>
      <c r="K76" s="8">
        <f>IFERROR(J76/J148, "NA")</f>
        <v>0</v>
      </c>
      <c r="L76" s="7">
        <v>0</v>
      </c>
      <c r="M76" s="8">
        <f>IFERROR(L76/L148, "NA")</f>
        <v>0</v>
      </c>
      <c r="N76" s="7">
        <v>0</v>
      </c>
      <c r="O76" s="8">
        <f>IFERROR(N76/N148, "NA")</f>
        <v>0</v>
      </c>
      <c r="P76" s="7">
        <v>0</v>
      </c>
      <c r="Q76" s="8">
        <f>IFERROR(P76/P148, "NA")</f>
        <v>0</v>
      </c>
      <c r="R76" s="7">
        <v>0</v>
      </c>
      <c r="S76" s="8">
        <f>IFERROR(R76/R148, "NA")</f>
        <v>0</v>
      </c>
      <c r="T76" s="7">
        <v>0</v>
      </c>
      <c r="U76" s="8">
        <f>IFERROR(T76/T148, "NA")</f>
        <v>0</v>
      </c>
      <c r="V76" s="7">
        <v>0</v>
      </c>
      <c r="W76" s="8">
        <f>IFERROR(V76/V148, "NA")</f>
        <v>0</v>
      </c>
      <c r="X76" s="7">
        <v>0</v>
      </c>
      <c r="Y76" s="8">
        <f>IFERROR(X76/X148, "NA")</f>
        <v>0</v>
      </c>
      <c r="Z76" s="7">
        <v>0</v>
      </c>
      <c r="AA76" s="8">
        <f>IFERROR(Z76/Z148, "NA")</f>
        <v>0</v>
      </c>
      <c r="AB76" s="9">
        <f t="shared" si="30"/>
        <v>0</v>
      </c>
      <c r="AC76" s="8">
        <f>IFERROR(AB76/AB148, "NA")</f>
        <v>0</v>
      </c>
      <c r="AD76" s="10">
        <f t="shared" si="31"/>
        <v>0</v>
      </c>
      <c r="AE76" s="11">
        <f>IFERROR(AD76/AD148, "NA")</f>
        <v>0</v>
      </c>
      <c r="AF76" s="10" t="str">
        <f t="shared" si="32"/>
        <v>NA</v>
      </c>
      <c r="AG76" s="9">
        <f t="shared" si="33"/>
        <v>0</v>
      </c>
      <c r="AH76" s="8">
        <f>IFERROR(AG76/AG148, "NA")</f>
        <v>0</v>
      </c>
      <c r="AI76" s="10">
        <f t="shared" si="34"/>
        <v>0</v>
      </c>
      <c r="AJ76" s="11">
        <f>IFERROR(AI76/AI148, "NA")</f>
        <v>0</v>
      </c>
      <c r="AK76" s="10" t="str">
        <f t="shared" si="35"/>
        <v>NA</v>
      </c>
      <c r="AL76" s="11" t="str">
        <f>IFERROR(AK76/AK148, "NA")</f>
        <v>NA</v>
      </c>
    </row>
    <row r="77" spans="1:38" ht="16.5" hidden="1" customHeight="1" x14ac:dyDescent="0.3">
      <c r="A77" s="25" t="s">
        <v>89</v>
      </c>
      <c r="B77" s="7">
        <v>0</v>
      </c>
      <c r="C77" s="8">
        <f>IFERROR(B77/B148, "NA")</f>
        <v>0</v>
      </c>
      <c r="D77" s="7">
        <v>0</v>
      </c>
      <c r="E77" s="8">
        <f>IFERROR(D77/D148, "NA")</f>
        <v>0</v>
      </c>
      <c r="F77" s="7">
        <v>0</v>
      </c>
      <c r="G77" s="8">
        <f>IFERROR(F77/F148, "NA")</f>
        <v>0</v>
      </c>
      <c r="H77" s="7">
        <v>0</v>
      </c>
      <c r="I77" s="8">
        <f>IFERROR(H77/H148, "NA")</f>
        <v>0</v>
      </c>
      <c r="J77" s="7">
        <v>0</v>
      </c>
      <c r="K77" s="8">
        <f>IFERROR(J77/J148, "NA")</f>
        <v>0</v>
      </c>
      <c r="L77" s="7">
        <v>0</v>
      </c>
      <c r="M77" s="8">
        <f>IFERROR(L77/L148, "NA")</f>
        <v>0</v>
      </c>
      <c r="N77" s="7">
        <v>0</v>
      </c>
      <c r="O77" s="8">
        <f>IFERROR(N77/N148, "NA")</f>
        <v>0</v>
      </c>
      <c r="P77" s="7">
        <v>0</v>
      </c>
      <c r="Q77" s="8">
        <f>IFERROR(P77/P148, "NA")</f>
        <v>0</v>
      </c>
      <c r="R77" s="7">
        <v>0</v>
      </c>
      <c r="S77" s="8">
        <f>IFERROR(R77/R148, "NA")</f>
        <v>0</v>
      </c>
      <c r="T77" s="7">
        <v>0</v>
      </c>
      <c r="U77" s="8">
        <f>IFERROR(T77/T148, "NA")</f>
        <v>0</v>
      </c>
      <c r="V77" s="7">
        <v>0</v>
      </c>
      <c r="W77" s="8">
        <f>IFERROR(V77/V148, "NA")</f>
        <v>0</v>
      </c>
      <c r="X77" s="7">
        <v>0</v>
      </c>
      <c r="Y77" s="8">
        <f>IFERROR(X77/X148, "NA")</f>
        <v>0</v>
      </c>
      <c r="Z77" s="7">
        <v>0</v>
      </c>
      <c r="AA77" s="8">
        <f>IFERROR(Z77/Z148, "NA")</f>
        <v>0</v>
      </c>
      <c r="AB77" s="9">
        <f t="shared" si="30"/>
        <v>0</v>
      </c>
      <c r="AC77" s="8">
        <f>IFERROR(AB77/AB148, "NA")</f>
        <v>0</v>
      </c>
      <c r="AD77" s="10">
        <f t="shared" si="31"/>
        <v>0</v>
      </c>
      <c r="AE77" s="11">
        <f>IFERROR(AD77/AD148, "NA")</f>
        <v>0</v>
      </c>
      <c r="AF77" s="10" t="str">
        <f t="shared" si="32"/>
        <v>NA</v>
      </c>
      <c r="AG77" s="9">
        <f t="shared" si="33"/>
        <v>0</v>
      </c>
      <c r="AH77" s="8">
        <f>IFERROR(AG77/AG148, "NA")</f>
        <v>0</v>
      </c>
      <c r="AI77" s="10">
        <f t="shared" si="34"/>
        <v>0</v>
      </c>
      <c r="AJ77" s="11">
        <f>IFERROR(AI77/AI148, "NA")</f>
        <v>0</v>
      </c>
      <c r="AK77" s="10" t="str">
        <f t="shared" si="35"/>
        <v>NA</v>
      </c>
      <c r="AL77" s="11" t="str">
        <f>IFERROR(AK77/AK148, "NA")</f>
        <v>NA</v>
      </c>
    </row>
    <row r="78" spans="1:38" ht="16.5" hidden="1" customHeight="1" x14ac:dyDescent="0.3">
      <c r="A78" s="25" t="s">
        <v>90</v>
      </c>
      <c r="B78" s="7">
        <v>0</v>
      </c>
      <c r="C78" s="8">
        <f>IFERROR(B78/B148, "NA")</f>
        <v>0</v>
      </c>
      <c r="D78" s="7">
        <v>0</v>
      </c>
      <c r="E78" s="8">
        <f>IFERROR(D78/D148, "NA")</f>
        <v>0</v>
      </c>
      <c r="F78" s="7">
        <v>0</v>
      </c>
      <c r="G78" s="8">
        <f>IFERROR(F78/F148, "NA")</f>
        <v>0</v>
      </c>
      <c r="H78" s="7">
        <v>0</v>
      </c>
      <c r="I78" s="8">
        <f>IFERROR(H78/H148, "NA")</f>
        <v>0</v>
      </c>
      <c r="J78" s="7">
        <v>0</v>
      </c>
      <c r="K78" s="8">
        <f>IFERROR(J78/J148, "NA")</f>
        <v>0</v>
      </c>
      <c r="L78" s="7">
        <v>0</v>
      </c>
      <c r="M78" s="8">
        <f>IFERROR(L78/L148, "NA")</f>
        <v>0</v>
      </c>
      <c r="N78" s="7">
        <v>0</v>
      </c>
      <c r="O78" s="8">
        <f>IFERROR(N78/N148, "NA")</f>
        <v>0</v>
      </c>
      <c r="P78" s="7">
        <v>0</v>
      </c>
      <c r="Q78" s="8">
        <f>IFERROR(P78/P148, "NA")</f>
        <v>0</v>
      </c>
      <c r="R78" s="7">
        <v>0</v>
      </c>
      <c r="S78" s="8">
        <f>IFERROR(R78/R148, "NA")</f>
        <v>0</v>
      </c>
      <c r="T78" s="7">
        <v>0</v>
      </c>
      <c r="U78" s="8">
        <f>IFERROR(T78/T148, "NA")</f>
        <v>0</v>
      </c>
      <c r="V78" s="7">
        <v>0</v>
      </c>
      <c r="W78" s="8">
        <f>IFERROR(V78/V148, "NA")</f>
        <v>0</v>
      </c>
      <c r="X78" s="7">
        <v>0</v>
      </c>
      <c r="Y78" s="8">
        <f>IFERROR(X78/X148, "NA")</f>
        <v>0</v>
      </c>
      <c r="Z78" s="7">
        <v>0</v>
      </c>
      <c r="AA78" s="8">
        <f>IFERROR(Z78/Z148, "NA")</f>
        <v>0</v>
      </c>
      <c r="AB78" s="9">
        <f t="shared" si="30"/>
        <v>0</v>
      </c>
      <c r="AC78" s="8">
        <f>IFERROR(AB78/AB148, "NA")</f>
        <v>0</v>
      </c>
      <c r="AD78" s="10">
        <f t="shared" si="31"/>
        <v>0</v>
      </c>
      <c r="AE78" s="11">
        <f>IFERROR(AD78/AD148, "NA")</f>
        <v>0</v>
      </c>
      <c r="AF78" s="10" t="str">
        <f t="shared" si="32"/>
        <v>NA</v>
      </c>
      <c r="AG78" s="9">
        <f t="shared" si="33"/>
        <v>0</v>
      </c>
      <c r="AH78" s="8">
        <f>IFERROR(AG78/AG148, "NA")</f>
        <v>0</v>
      </c>
      <c r="AI78" s="10">
        <f t="shared" si="34"/>
        <v>0</v>
      </c>
      <c r="AJ78" s="11">
        <f>IFERROR(AI78/AI148, "NA")</f>
        <v>0</v>
      </c>
      <c r="AK78" s="10" t="str">
        <f t="shared" si="35"/>
        <v>NA</v>
      </c>
      <c r="AL78" s="11" t="str">
        <f>IFERROR(AK78/AK148, "NA")</f>
        <v>NA</v>
      </c>
    </row>
    <row r="79" spans="1:38" ht="16.5" hidden="1" customHeight="1" x14ac:dyDescent="0.3">
      <c r="A79" s="25" t="s">
        <v>91</v>
      </c>
      <c r="B79" s="7">
        <v>0</v>
      </c>
      <c r="C79" s="8">
        <f>IFERROR(B79/B148, "NA")</f>
        <v>0</v>
      </c>
      <c r="D79" s="7">
        <v>0</v>
      </c>
      <c r="E79" s="8">
        <f>IFERROR(D79/D148, "NA")</f>
        <v>0</v>
      </c>
      <c r="F79" s="7">
        <v>0</v>
      </c>
      <c r="G79" s="8">
        <f>IFERROR(F79/F148, "NA")</f>
        <v>0</v>
      </c>
      <c r="H79" s="7">
        <v>0</v>
      </c>
      <c r="I79" s="8">
        <f>IFERROR(H79/H148, "NA")</f>
        <v>0</v>
      </c>
      <c r="J79" s="7">
        <v>0</v>
      </c>
      <c r="K79" s="8">
        <f>IFERROR(J79/J148, "NA")</f>
        <v>0</v>
      </c>
      <c r="L79" s="7">
        <v>0</v>
      </c>
      <c r="M79" s="8">
        <f>IFERROR(L79/L148, "NA")</f>
        <v>0</v>
      </c>
      <c r="N79" s="7">
        <v>0</v>
      </c>
      <c r="O79" s="8">
        <f>IFERROR(N79/N148, "NA")</f>
        <v>0</v>
      </c>
      <c r="P79" s="7">
        <v>0</v>
      </c>
      <c r="Q79" s="8">
        <f>IFERROR(P79/P148, "NA")</f>
        <v>0</v>
      </c>
      <c r="R79" s="7">
        <v>0</v>
      </c>
      <c r="S79" s="8">
        <f>IFERROR(R79/R148, "NA")</f>
        <v>0</v>
      </c>
      <c r="T79" s="7">
        <v>0</v>
      </c>
      <c r="U79" s="8">
        <f>IFERROR(T79/T148, "NA")</f>
        <v>0</v>
      </c>
      <c r="V79" s="7">
        <v>0</v>
      </c>
      <c r="W79" s="8">
        <f>IFERROR(V79/V148, "NA")</f>
        <v>0</v>
      </c>
      <c r="X79" s="7">
        <v>0</v>
      </c>
      <c r="Y79" s="8">
        <f>IFERROR(X79/X148, "NA")</f>
        <v>0</v>
      </c>
      <c r="Z79" s="7">
        <v>0</v>
      </c>
      <c r="AA79" s="8">
        <f>IFERROR(Z79/Z148, "NA")</f>
        <v>0</v>
      </c>
      <c r="AB79" s="9">
        <f t="shared" si="30"/>
        <v>0</v>
      </c>
      <c r="AC79" s="8">
        <f>IFERROR(AB79/AB148, "NA")</f>
        <v>0</v>
      </c>
      <c r="AD79" s="10">
        <f t="shared" si="31"/>
        <v>0</v>
      </c>
      <c r="AE79" s="11">
        <f>IFERROR(AD79/AD148, "NA")</f>
        <v>0</v>
      </c>
      <c r="AF79" s="10" t="str">
        <f t="shared" si="32"/>
        <v>NA</v>
      </c>
      <c r="AG79" s="9">
        <f t="shared" si="33"/>
        <v>0</v>
      </c>
      <c r="AH79" s="8">
        <f>IFERROR(AG79/AG148, "NA")</f>
        <v>0</v>
      </c>
      <c r="AI79" s="10">
        <f t="shared" si="34"/>
        <v>0</v>
      </c>
      <c r="AJ79" s="11">
        <f>IFERROR(AI79/AI148, "NA")</f>
        <v>0</v>
      </c>
      <c r="AK79" s="10" t="str">
        <f t="shared" si="35"/>
        <v>NA</v>
      </c>
      <c r="AL79" s="11" t="str">
        <f>IFERROR(AK79/AK148, "NA")</f>
        <v>NA</v>
      </c>
    </row>
    <row r="80" spans="1:38" ht="16.5" hidden="1" customHeight="1" x14ac:dyDescent="0.3">
      <c r="A80" s="25" t="s">
        <v>92</v>
      </c>
      <c r="B80" s="7">
        <v>0</v>
      </c>
      <c r="C80" s="8">
        <f>IFERROR(B80/B148, "NA")</f>
        <v>0</v>
      </c>
      <c r="D80" s="7">
        <v>0</v>
      </c>
      <c r="E80" s="8">
        <f>IFERROR(D80/D148, "NA")</f>
        <v>0</v>
      </c>
      <c r="F80" s="7">
        <v>0</v>
      </c>
      <c r="G80" s="8">
        <f>IFERROR(F80/F148, "NA")</f>
        <v>0</v>
      </c>
      <c r="H80" s="7">
        <v>0</v>
      </c>
      <c r="I80" s="8">
        <f>IFERROR(H80/H148, "NA")</f>
        <v>0</v>
      </c>
      <c r="J80" s="7">
        <v>0</v>
      </c>
      <c r="K80" s="8">
        <f>IFERROR(J80/J148, "NA")</f>
        <v>0</v>
      </c>
      <c r="L80" s="7">
        <v>0</v>
      </c>
      <c r="M80" s="8">
        <f>IFERROR(L80/L148, "NA")</f>
        <v>0</v>
      </c>
      <c r="N80" s="7">
        <v>0</v>
      </c>
      <c r="O80" s="8">
        <f>IFERROR(N80/N148, "NA")</f>
        <v>0</v>
      </c>
      <c r="P80" s="7">
        <v>0</v>
      </c>
      <c r="Q80" s="8">
        <f>IFERROR(P80/P148, "NA")</f>
        <v>0</v>
      </c>
      <c r="R80" s="7">
        <v>0</v>
      </c>
      <c r="S80" s="8">
        <f>IFERROR(R80/R148, "NA")</f>
        <v>0</v>
      </c>
      <c r="T80" s="7">
        <v>0</v>
      </c>
      <c r="U80" s="8">
        <f>IFERROR(T80/T148, "NA")</f>
        <v>0</v>
      </c>
      <c r="V80" s="7">
        <v>0</v>
      </c>
      <c r="W80" s="8">
        <f>IFERROR(V80/V148, "NA")</f>
        <v>0</v>
      </c>
      <c r="X80" s="7">
        <v>0</v>
      </c>
      <c r="Y80" s="8">
        <f>IFERROR(X80/X148, "NA")</f>
        <v>0</v>
      </c>
      <c r="Z80" s="7">
        <v>0</v>
      </c>
      <c r="AA80" s="8">
        <f>IFERROR(Z80/Z148, "NA")</f>
        <v>0</v>
      </c>
      <c r="AB80" s="9">
        <f t="shared" si="30"/>
        <v>0</v>
      </c>
      <c r="AC80" s="8">
        <f>IFERROR(AB80/AB148, "NA")</f>
        <v>0</v>
      </c>
      <c r="AD80" s="10">
        <f t="shared" si="31"/>
        <v>0</v>
      </c>
      <c r="AE80" s="11">
        <f>IFERROR(AD80/AD148, "NA")</f>
        <v>0</v>
      </c>
      <c r="AF80" s="10" t="str">
        <f t="shared" si="32"/>
        <v>NA</v>
      </c>
      <c r="AG80" s="9">
        <f t="shared" si="33"/>
        <v>0</v>
      </c>
      <c r="AH80" s="8">
        <f>IFERROR(AG80/AG148, "NA")</f>
        <v>0</v>
      </c>
      <c r="AI80" s="10">
        <f t="shared" si="34"/>
        <v>0</v>
      </c>
      <c r="AJ80" s="11">
        <f>IFERROR(AI80/AI148, "NA")</f>
        <v>0</v>
      </c>
      <c r="AK80" s="10" t="str">
        <f t="shared" si="35"/>
        <v>NA</v>
      </c>
      <c r="AL80" s="11" t="str">
        <f>IFERROR(AK80/AK148, "NA")</f>
        <v>NA</v>
      </c>
    </row>
    <row r="81" spans="1:38" ht="16.5" customHeight="1" x14ac:dyDescent="0.3">
      <c r="A81" s="26" t="s">
        <v>93</v>
      </c>
      <c r="B81" s="13">
        <f>IFERROR(B74+B75+B76+B77+B78+B79+B80, "NA")</f>
        <v>842.76</v>
      </c>
      <c r="C81" s="14">
        <f>IFERROR(B81/B148, "NA")</f>
        <v>2.3768642404277878E-2</v>
      </c>
      <c r="D81" s="13">
        <f>IFERROR(D74+D75+D76+D77+D78+D79+D80, "NA")</f>
        <v>1022.01</v>
      </c>
      <c r="E81" s="14">
        <f>IFERROR(D81/D148, "NA")</f>
        <v>2.6491121932101486E-2</v>
      </c>
      <c r="F81" s="13">
        <f>IFERROR(F74+F75+F76+F77+F78+F79+F80, "NA")</f>
        <v>909.38</v>
      </c>
      <c r="G81" s="14">
        <f>IFERROR(F81/F148, "NA")</f>
        <v>2.0230266158207097E-2</v>
      </c>
      <c r="H81" s="13">
        <f>IFERROR(H74+H75+H76+H77+H78+H79+H80, "NA")</f>
        <v>822.59</v>
      </c>
      <c r="I81" s="14">
        <f>IFERROR(H81/H148, "NA")</f>
        <v>1.9963823926931419E-2</v>
      </c>
      <c r="J81" s="13">
        <f>IFERROR(J74+J75+J76+J77+J78+J79+J80, "NA")</f>
        <v>824.97</v>
      </c>
      <c r="K81" s="14">
        <f>IFERROR(J81/J148, "NA")</f>
        <v>2.1287460842549632E-2</v>
      </c>
      <c r="L81" s="13">
        <f>IFERROR(L74+L75+L76+L77+L78+L79+L80, "NA")</f>
        <v>885.74</v>
      </c>
      <c r="M81" s="14">
        <f>IFERROR(L81/L148, "NA")</f>
        <v>1.6933899976159399E-2</v>
      </c>
      <c r="N81" s="13">
        <f>IFERROR(N74+N75+N76+N77+N78+N79+N80, "NA")</f>
        <v>925.42</v>
      </c>
      <c r="O81" s="14">
        <f>IFERROR(N81/N148, "NA")</f>
        <v>1.8309779177438978E-2</v>
      </c>
      <c r="P81" s="13">
        <f>IFERROR(P74+P75+P76+P77+P78+P79+P80, "NA")</f>
        <v>868.41</v>
      </c>
      <c r="Q81" s="14">
        <f>IFERROR(P81/P148, "NA")</f>
        <v>1.8363847405882663E-2</v>
      </c>
      <c r="R81" s="13">
        <f>IFERROR(R74+R75+R76+R77+R78+R79+R80, "NA")</f>
        <v>849.49</v>
      </c>
      <c r="S81" s="14">
        <f>IFERROR(R81/R148, "NA")</f>
        <v>1.767924825161727E-2</v>
      </c>
      <c r="T81" s="13">
        <f>IFERROR(T74+T75+T76+T77+T78+T79+T80, "NA")</f>
        <v>837.16</v>
      </c>
      <c r="U81" s="14">
        <f>IFERROR(T81/T148, "NA")</f>
        <v>1.9724178163170007E-2</v>
      </c>
      <c r="V81" s="13">
        <f>IFERROR(V74+V75+V76+V77+V78+V79+V80, "NA")</f>
        <v>1103.42</v>
      </c>
      <c r="W81" s="14">
        <f>IFERROR(V81/V148, "NA")</f>
        <v>1.8505697853753635E-2</v>
      </c>
      <c r="X81" s="13">
        <f>IFERROR(X74+X75+X76+X77+X78+X79+X80, "NA")</f>
        <v>1116.1500000000001</v>
      </c>
      <c r="Y81" s="14">
        <f>IFERROR(X81/X148, "NA")</f>
        <v>1.8941174514035798E-2</v>
      </c>
      <c r="Z81" s="13">
        <f>IFERROR(Z74+Z75+Z76+Z77+Z78+Z79+Z80, "NA")</f>
        <v>3056.73</v>
      </c>
      <c r="AA81" s="14">
        <f>IFERROR(Z81/Z148, "NA")</f>
        <v>1.8986315725660584E-2</v>
      </c>
      <c r="AB81" s="13">
        <f t="shared" si="30"/>
        <v>976.55500000000006</v>
      </c>
      <c r="AC81" s="14">
        <f>IFERROR(AB81/AB148, "NA")</f>
        <v>1.868588152115366E-2</v>
      </c>
      <c r="AD81" s="15">
        <f t="shared" si="31"/>
        <v>139.59500000000003</v>
      </c>
      <c r="AE81" s="16">
        <f>IFERROR(AD81/AD148, "NA")</f>
        <v>2.0942820750938021E-2</v>
      </c>
      <c r="AF81" s="15">
        <f t="shared" si="32"/>
        <v>0.14294637782818173</v>
      </c>
      <c r="AG81" s="13">
        <f t="shared" si="33"/>
        <v>926.34500000000003</v>
      </c>
      <c r="AH81" s="14">
        <f>IFERROR(AG81/AG148, "NA")</f>
        <v>1.8622918370398898E-2</v>
      </c>
      <c r="AI81" s="15">
        <f t="shared" si="34"/>
        <v>189.80500000000006</v>
      </c>
      <c r="AJ81" s="16">
        <f>IFERROR(AI81/AI148, "NA")</f>
        <v>2.0664724092237047E-2</v>
      </c>
      <c r="AK81" s="15">
        <f t="shared" si="35"/>
        <v>0.20489666376997778</v>
      </c>
      <c r="AL81" s="16">
        <f>IFERROR(AK81/AK148, "NA")</f>
        <v>1.109639406736787</v>
      </c>
    </row>
    <row r="82" spans="1:38" ht="16.5" customHeight="1" x14ac:dyDescent="0.3">
      <c r="A82" s="23" t="s">
        <v>94</v>
      </c>
      <c r="B82" s="7">
        <v>242.04</v>
      </c>
      <c r="C82" s="8">
        <f>IFERROR(B82/B148, "NA")</f>
        <v>6.8263351458676463E-3</v>
      </c>
      <c r="D82" s="7">
        <v>0</v>
      </c>
      <c r="E82" s="8">
        <f>IFERROR(D82/D148, "NA")</f>
        <v>0</v>
      </c>
      <c r="F82" s="7">
        <v>0</v>
      </c>
      <c r="G82" s="8">
        <f>IFERROR(F82/F148, "NA")</f>
        <v>0</v>
      </c>
      <c r="H82" s="7">
        <v>0</v>
      </c>
      <c r="I82" s="8">
        <f>IFERROR(H82/H148, "NA")</f>
        <v>0</v>
      </c>
      <c r="J82" s="7">
        <v>262.88</v>
      </c>
      <c r="K82" s="8">
        <f>IFERROR(J82/J148, "NA")</f>
        <v>6.7833347955555323E-3</v>
      </c>
      <c r="L82" s="7">
        <v>0</v>
      </c>
      <c r="M82" s="8">
        <f>IFERROR(L82/L148, "NA")</f>
        <v>0</v>
      </c>
      <c r="N82" s="7">
        <v>0</v>
      </c>
      <c r="O82" s="8">
        <f>IFERROR(N82/N148, "NA")</f>
        <v>0</v>
      </c>
      <c r="P82" s="7">
        <v>0</v>
      </c>
      <c r="Q82" s="8">
        <f>IFERROR(P82/P148, "NA")</f>
        <v>0</v>
      </c>
      <c r="R82" s="7">
        <v>0</v>
      </c>
      <c r="S82" s="8">
        <f>IFERROR(R82/R148, "NA")</f>
        <v>0</v>
      </c>
      <c r="T82" s="7">
        <v>224.72</v>
      </c>
      <c r="U82" s="8">
        <f>IFERROR(T82/T148, "NA")</f>
        <v>5.294588031950361E-3</v>
      </c>
      <c r="V82" s="7">
        <v>0</v>
      </c>
      <c r="W82" s="8">
        <f>IFERROR(V82/V148, "NA")</f>
        <v>0</v>
      </c>
      <c r="X82" s="7">
        <v>0</v>
      </c>
      <c r="Y82" s="8">
        <f>IFERROR(X82/X148, "NA")</f>
        <v>0</v>
      </c>
      <c r="Z82" s="7">
        <v>224.72</v>
      </c>
      <c r="AA82" s="8">
        <f>IFERROR(Z82/Z148, "NA")</f>
        <v>1.395806914536268E-3</v>
      </c>
      <c r="AB82" s="9">
        <f t="shared" si="30"/>
        <v>56.18</v>
      </c>
      <c r="AC82" s="8">
        <f>IFERROR(AB82/AB148, "NA")</f>
        <v>1.0749756274438332E-3</v>
      </c>
      <c r="AD82" s="10">
        <f t="shared" si="31"/>
        <v>-56.18</v>
      </c>
      <c r="AE82" s="11">
        <f>IFERROR(AD82/AD148, "NA")</f>
        <v>-8.428437048516764E-3</v>
      </c>
      <c r="AF82" s="10">
        <f t="shared" si="32"/>
        <v>-1</v>
      </c>
      <c r="AG82" s="9">
        <f t="shared" si="33"/>
        <v>60.95</v>
      </c>
      <c r="AH82" s="8">
        <f>IFERROR(AG82/AG148, "NA")</f>
        <v>1.2253176458833512E-3</v>
      </c>
      <c r="AI82" s="10">
        <f t="shared" si="34"/>
        <v>-60.95</v>
      </c>
      <c r="AJ82" s="11">
        <f>IFERROR(AI82/AI148, "NA")</f>
        <v>-6.6358364290816764E-3</v>
      </c>
      <c r="AK82" s="10">
        <f t="shared" si="35"/>
        <v>-1</v>
      </c>
      <c r="AL82" s="11">
        <f>IFERROR(AK82/AK148, "NA")</f>
        <v>-5.4156050485160492</v>
      </c>
    </row>
    <row r="83" spans="1:38" ht="16.5" customHeight="1" x14ac:dyDescent="0.3">
      <c r="A83" s="23" t="s">
        <v>95</v>
      </c>
      <c r="B83" s="7">
        <v>-61.25</v>
      </c>
      <c r="C83" s="8">
        <f>IFERROR(B83/B148, "NA")</f>
        <v>-1.7274542541910155E-3</v>
      </c>
      <c r="D83" s="7">
        <v>-61.25</v>
      </c>
      <c r="E83" s="8">
        <f>IFERROR(D83/D148, "NA")</f>
        <v>-1.5876373209080302E-3</v>
      </c>
      <c r="F83" s="7">
        <v>423.12</v>
      </c>
      <c r="G83" s="8">
        <f>IFERROR(F83/F148, "NA")</f>
        <v>9.4128199617987945E-3</v>
      </c>
      <c r="H83" s="7">
        <v>-61.25</v>
      </c>
      <c r="I83" s="8">
        <f>IFERROR(H83/H148, "NA")</f>
        <v>-1.486505082148518E-3</v>
      </c>
      <c r="J83" s="7">
        <v>-61.25</v>
      </c>
      <c r="K83" s="8">
        <f>IFERROR(J83/J148, "NA")</f>
        <v>-1.5804901712864286E-3</v>
      </c>
      <c r="L83" s="7">
        <v>-61.25</v>
      </c>
      <c r="M83" s="8">
        <f>IFERROR(L83/L148, "NA")</f>
        <v>-1.170999812066479E-3</v>
      </c>
      <c r="N83" s="7">
        <v>-61.25</v>
      </c>
      <c r="O83" s="8">
        <f>IFERROR(N83/N148, "NA")</f>
        <v>-1.2118540496403119E-3</v>
      </c>
      <c r="P83" s="7">
        <v>423.12</v>
      </c>
      <c r="Q83" s="8">
        <f>IFERROR(P83/P148, "NA")</f>
        <v>8.947514554619446E-3</v>
      </c>
      <c r="R83" s="7">
        <v>-61.25</v>
      </c>
      <c r="S83" s="8">
        <f>IFERROR(R83/R148, "NA")</f>
        <v>-1.274710656289724E-3</v>
      </c>
      <c r="T83" s="7">
        <v>-61.25</v>
      </c>
      <c r="U83" s="8">
        <f>IFERROR(T83/T148, "NA")</f>
        <v>-1.443100378056958E-3</v>
      </c>
      <c r="V83" s="7">
        <v>50.53</v>
      </c>
      <c r="W83" s="8">
        <f>IFERROR(V83/V148, "NA")</f>
        <v>8.4744966789633243E-4</v>
      </c>
      <c r="X83" s="7">
        <v>484.37</v>
      </c>
      <c r="Y83" s="8">
        <f>IFERROR(X83/X148, "NA")</f>
        <v>8.2198062082726505E-3</v>
      </c>
      <c r="Z83" s="7">
        <v>473.65</v>
      </c>
      <c r="AA83" s="8">
        <f>IFERROR(Z83/Z148, "NA")</f>
        <v>2.9419897876028092E-3</v>
      </c>
      <c r="AB83" s="9">
        <f t="shared" si="30"/>
        <v>103.1</v>
      </c>
      <c r="AC83" s="8">
        <f>IFERROR(AB83/AB148, "NA")</f>
        <v>1.9727658809088502E-3</v>
      </c>
      <c r="AD83" s="10">
        <f t="shared" si="31"/>
        <v>381.27</v>
      </c>
      <c r="AE83" s="11">
        <f>IFERROR(AD83/AD148, "NA")</f>
        <v>5.7200252643075586E-2</v>
      </c>
      <c r="AF83" s="10">
        <f t="shared" si="32"/>
        <v>3.6980601357904948</v>
      </c>
      <c r="AG83" s="9">
        <f t="shared" si="33"/>
        <v>81.471249999999998</v>
      </c>
      <c r="AH83" s="8">
        <f>IFERROR(AG83/AG148, "NA")</f>
        <v>1.6378697335057255E-3</v>
      </c>
      <c r="AI83" s="10">
        <f t="shared" si="34"/>
        <v>402.89875000000001</v>
      </c>
      <c r="AJ83" s="11">
        <f>IFERROR(AI83/AI148, "NA")</f>
        <v>4.3864974610032338E-2</v>
      </c>
      <c r="AK83" s="10">
        <f t="shared" si="35"/>
        <v>4.9452874480261446</v>
      </c>
      <c r="AL83" s="11">
        <f>IFERROR(AK83/AK148, "NA")</f>
        <v>26.781723669893434</v>
      </c>
    </row>
    <row r="84" spans="1:38" ht="16.5" customHeight="1" x14ac:dyDescent="0.3">
      <c r="A84" s="27" t="s">
        <v>96</v>
      </c>
      <c r="B84" s="13">
        <f>IFERROR(B63+B65+B66+B67+B68+B69+B71+B72+B74+B75+B76+B77+B78+B79+B80+B82+B83, "NA")</f>
        <v>9617.4500000000007</v>
      </c>
      <c r="C84" s="14">
        <f>IFERROR(B84/B148, "NA")</f>
        <v>0.27124416190970418</v>
      </c>
      <c r="D84" s="13">
        <f>IFERROR(D63+D65+D66+D67+D68+D69+D71+D72+D74+D75+D76+D77+D78+D79+D80+D82+D83, "NA")</f>
        <v>9524.2199999999993</v>
      </c>
      <c r="E84" s="14">
        <f>IFERROR(D84/D148, "NA")</f>
        <v>0.24687358570675394</v>
      </c>
      <c r="F84" s="13">
        <f>IFERROR(F63+F65+F66+F67+F68+F69+F71+F72+F74+F75+F76+F77+F78+F79+F80+F82+F83, "NA")</f>
        <v>10592.039999999999</v>
      </c>
      <c r="G84" s="14">
        <f>IFERROR(F84/F148, "NA")</f>
        <v>0.23563283595238063</v>
      </c>
      <c r="H84" s="13">
        <f>IFERROR(H63+H65+H66+H67+H68+H69+H71+H72+H74+H75+H76+H77+H78+H79+H80+H82+H83, "NA")</f>
        <v>9955.07</v>
      </c>
      <c r="I84" s="14">
        <f>IFERROR(H84/H148, "NA")</f>
        <v>0.24160427996970199</v>
      </c>
      <c r="J84" s="13">
        <f>IFERROR(J63+J65+J66+J67+J68+J69+J71+J72+J74+J75+J76+J77+J78+J79+J80+J82+J83, "NA")</f>
        <v>9432.33</v>
      </c>
      <c r="K84" s="14">
        <f>IFERROR(J84/J148, "NA")</f>
        <v>0.24339109971151215</v>
      </c>
      <c r="L84" s="13">
        <f>IFERROR(L63+L65+L66+L67+L68+L69+L71+L72+L74+L75+L76+L77+L78+L79+L80+L82+L83, "NA")</f>
        <v>9916.4500000000007</v>
      </c>
      <c r="M84" s="14">
        <f>IFERROR(L84/L148, "NA")</f>
        <v>0.18958630345088387</v>
      </c>
      <c r="N84" s="13">
        <f>IFERROR(N63+N65+N66+N67+N68+N69+N71+N72+N74+N75+N76+N77+N78+N79+N80+N82+N83, "NA")</f>
        <v>10125.43</v>
      </c>
      <c r="O84" s="14">
        <f>IFERROR(N84/N148, "NA")</f>
        <v>0.20033540163019598</v>
      </c>
      <c r="P84" s="13">
        <f>IFERROR(P63+P65+P66+P67+P68+P69+P71+P72+P74+P75+P76+P77+P78+P79+P80+P82+P83, "NA")</f>
        <v>10208.450000000001</v>
      </c>
      <c r="Q84" s="14">
        <f>IFERROR(P84/P148, "NA")</f>
        <v>0.21587316826220668</v>
      </c>
      <c r="R84" s="13">
        <f>IFERROR(R63+R65+R66+R67+R68+R69+R71+R72+R74+R75+R76+R77+R78+R79+R80+R82+R83, "NA")</f>
        <v>10489.710000000001</v>
      </c>
      <c r="S84" s="14">
        <f>IFERROR(R84/R148, "NA")</f>
        <v>0.21830767540226748</v>
      </c>
      <c r="T84" s="13">
        <f>IFERROR(T63+T65+T66+T67+T68+T69+T71+T72+T74+T75+T76+T77+T78+T79+T80+T82+T83, "NA")</f>
        <v>9805.6999999999989</v>
      </c>
      <c r="U84" s="14">
        <f>IFERROR(T84/T148, "NA")</f>
        <v>0.2310303571773569</v>
      </c>
      <c r="V84" s="13">
        <f>IFERROR(V63+V65+V66+V67+V68+V69+V71+V72+V74+V75+V76+V77+V78+V79+V80+V82+V83, "NA")</f>
        <v>12056.48</v>
      </c>
      <c r="W84" s="14">
        <f>IFERROR(V84/V148, "NA")</f>
        <v>0.20220185972687063</v>
      </c>
      <c r="X84" s="13">
        <f>IFERROR(X63+X65+X66+X67+X68+X69+X71+X72+X74+X75+X76+X77+X78+X79+X80+X82+X83, "NA")</f>
        <v>12605.800000000001</v>
      </c>
      <c r="Y84" s="14">
        <f>IFERROR(X84/X148, "NA")</f>
        <v>0.21392165720470591</v>
      </c>
      <c r="Z84" s="13">
        <f>IFERROR(Z63+Z65+Z66+Z67+Z68+Z69+Z71+Z72+Z74+Z75+Z76+Z77+Z78+Z79+Z80+Z82+Z83, "NA")</f>
        <v>34467.98000000001</v>
      </c>
      <c r="AA84" s="14">
        <f>IFERROR(Z84/Z148, "NA")</f>
        <v>0.21409151305668303</v>
      </c>
      <c r="AB84" s="13">
        <f t="shared" si="30"/>
        <v>11239.422500000001</v>
      </c>
      <c r="AC84" s="14">
        <f>IFERROR(AB84/AB148, "NA")</f>
        <v>0.21506061327952719</v>
      </c>
      <c r="AD84" s="15">
        <f t="shared" si="31"/>
        <v>1366.3775000000005</v>
      </c>
      <c r="AE84" s="16">
        <f>IFERROR(AD84/AD148, "NA")</f>
        <v>0.20499157606371876</v>
      </c>
      <c r="AF84" s="15">
        <f t="shared" si="32"/>
        <v>0.12157008066918033</v>
      </c>
      <c r="AG84" s="13">
        <f t="shared" si="33"/>
        <v>10580.043750000001</v>
      </c>
      <c r="AH84" s="14">
        <f>IFERROR(AG84/AG148, "NA")</f>
        <v>0.21269752749947274</v>
      </c>
      <c r="AI84" s="15">
        <f t="shared" si="34"/>
        <v>2025.7562500000004</v>
      </c>
      <c r="AJ84" s="16">
        <f>IFERROR(AI84/AI148, "NA")</f>
        <v>0.22055106021640508</v>
      </c>
      <c r="AK84" s="15">
        <f t="shared" si="35"/>
        <v>0.19146955323318018</v>
      </c>
      <c r="AL84" s="16">
        <f>IFERROR(AK84/AK148, "NA")</f>
        <v>1.036923479126723</v>
      </c>
    </row>
    <row r="85" spans="1:38" ht="16.5" customHeight="1" x14ac:dyDescent="0.3">
      <c r="A85" s="12" t="s">
        <v>96</v>
      </c>
      <c r="B85" s="28">
        <f>IFERROR(B63+B65+B66+B67+B68+B69+B71+B72+B74+B75+B76+B77+B78+B79+B80+B82+B83, "NA")</f>
        <v>9617.4500000000007</v>
      </c>
      <c r="C85" s="29">
        <f>IFERROR(B85/B148, "NA")</f>
        <v>0.27124416190970418</v>
      </c>
      <c r="D85" s="28">
        <f>IFERROR(D63+D65+D66+D67+D68+D69+D71+D72+D74+D75+D76+D77+D78+D79+D80+D82+D83, "NA")</f>
        <v>9524.2199999999993</v>
      </c>
      <c r="E85" s="29">
        <f>IFERROR(D85/D148, "NA")</f>
        <v>0.24687358570675394</v>
      </c>
      <c r="F85" s="28">
        <f>IFERROR(F63+F65+F66+F67+F68+F69+F71+F72+F74+F75+F76+F77+F78+F79+F80+F82+F83, "NA")</f>
        <v>10592.039999999999</v>
      </c>
      <c r="G85" s="29">
        <f>IFERROR(F85/F148, "NA")</f>
        <v>0.23563283595238063</v>
      </c>
      <c r="H85" s="28">
        <f>IFERROR(H63+H65+H66+H67+H68+H69+H71+H72+H74+H75+H76+H77+H78+H79+H80+H82+H83, "NA")</f>
        <v>9955.07</v>
      </c>
      <c r="I85" s="29">
        <f>IFERROR(H85/H148, "NA")</f>
        <v>0.24160427996970199</v>
      </c>
      <c r="J85" s="28">
        <f>IFERROR(J63+J65+J66+J67+J68+J69+J71+J72+J74+J75+J76+J77+J78+J79+J80+J82+J83, "NA")</f>
        <v>9432.33</v>
      </c>
      <c r="K85" s="29">
        <f>IFERROR(J85/J148, "NA")</f>
        <v>0.24339109971151215</v>
      </c>
      <c r="L85" s="28">
        <f>IFERROR(L63+L65+L66+L67+L68+L69+L71+L72+L74+L75+L76+L77+L78+L79+L80+L82+L83, "NA")</f>
        <v>9916.4500000000007</v>
      </c>
      <c r="M85" s="29">
        <f>IFERROR(L85/L148, "NA")</f>
        <v>0.18958630345088387</v>
      </c>
      <c r="N85" s="28">
        <f>IFERROR(N63+N65+N66+N67+N68+N69+N71+N72+N74+N75+N76+N77+N78+N79+N80+N82+N83, "NA")</f>
        <v>10125.43</v>
      </c>
      <c r="O85" s="29">
        <f>IFERROR(N85/N148, "NA")</f>
        <v>0.20033540163019598</v>
      </c>
      <c r="P85" s="28">
        <f>IFERROR(P63+P65+P66+P67+P68+P69+P71+P72+P74+P75+P76+P77+P78+P79+P80+P82+P83, "NA")</f>
        <v>10208.450000000001</v>
      </c>
      <c r="Q85" s="29">
        <f>IFERROR(P85/P148, "NA")</f>
        <v>0.21587316826220668</v>
      </c>
      <c r="R85" s="28">
        <f>IFERROR(R63+R65+R66+R67+R68+R69+R71+R72+R74+R75+R76+R77+R78+R79+R80+R82+R83, "NA")</f>
        <v>10489.710000000001</v>
      </c>
      <c r="S85" s="29">
        <f>IFERROR(R85/R148, "NA")</f>
        <v>0.21830767540226748</v>
      </c>
      <c r="T85" s="28">
        <f>IFERROR(T63+T65+T66+T67+T68+T69+T71+T72+T74+T75+T76+T77+T78+T79+T80+T82+T83, "NA")</f>
        <v>9805.6999999999989</v>
      </c>
      <c r="U85" s="29">
        <f>IFERROR(T85/T148, "NA")</f>
        <v>0.2310303571773569</v>
      </c>
      <c r="V85" s="28">
        <f>IFERROR(V63+V65+V66+V67+V68+V69+V71+V72+V74+V75+V76+V77+V78+V79+V80+V82+V83, "NA")</f>
        <v>12056.48</v>
      </c>
      <c r="W85" s="29">
        <f>IFERROR(V85/V148, "NA")</f>
        <v>0.20220185972687063</v>
      </c>
      <c r="X85" s="28">
        <f>IFERROR(X63+X65+X66+X67+X68+X69+X71+X72+X74+X75+X76+X77+X78+X79+X80+X82+X83, "NA")</f>
        <v>12605.800000000001</v>
      </c>
      <c r="Y85" s="29">
        <f>IFERROR(X85/X148, "NA")</f>
        <v>0.21392165720470591</v>
      </c>
      <c r="Z85" s="28">
        <f>IFERROR(Z63+Z65+Z66+Z67+Z68+Z69+Z71+Z72+Z74+Z75+Z76+Z77+Z78+Z79+Z80+Z82+Z83, "NA")</f>
        <v>34467.98000000001</v>
      </c>
      <c r="AA85" s="29">
        <f>IFERROR(Z85/Z148, "NA")</f>
        <v>0.21409151305668303</v>
      </c>
      <c r="AB85" s="28">
        <f t="shared" si="30"/>
        <v>11239.422500000001</v>
      </c>
      <c r="AC85" s="29">
        <f>IFERROR(AB85/AB148, "NA")</f>
        <v>0.21506061327952719</v>
      </c>
      <c r="AD85" s="30">
        <f t="shared" si="31"/>
        <v>1366.3775000000005</v>
      </c>
      <c r="AE85" s="31">
        <f>IFERROR(AD85/AD148, "NA")</f>
        <v>0.20499157606371876</v>
      </c>
      <c r="AF85" s="30">
        <f t="shared" si="32"/>
        <v>0.12157008066918033</v>
      </c>
      <c r="AG85" s="28">
        <f t="shared" si="33"/>
        <v>10580.043750000001</v>
      </c>
      <c r="AH85" s="29">
        <f>IFERROR(AG85/AG148, "NA")</f>
        <v>0.21269752749947274</v>
      </c>
      <c r="AI85" s="30">
        <f t="shared" si="34"/>
        <v>2025.7562500000004</v>
      </c>
      <c r="AJ85" s="31">
        <f>IFERROR(AI85/AI148, "NA")</f>
        <v>0.22055106021640508</v>
      </c>
      <c r="AK85" s="30">
        <f t="shared" si="35"/>
        <v>0.19146955323318018</v>
      </c>
      <c r="AL85" s="31">
        <f>IFERROR(AK85/AK148, "NA")</f>
        <v>1.036923479126723</v>
      </c>
    </row>
    <row r="86" spans="1:38" ht="3.75" customHeight="1" x14ac:dyDescent="0.3">
      <c r="A86" s="35" t="s">
        <v>3</v>
      </c>
      <c r="B86" s="36"/>
      <c r="C86" s="19"/>
      <c r="D86" s="36"/>
      <c r="E86" s="19"/>
      <c r="F86" s="36"/>
      <c r="G86" s="19"/>
      <c r="H86" s="36"/>
      <c r="I86" s="19"/>
      <c r="J86" s="36"/>
      <c r="K86" s="19"/>
      <c r="L86" s="36"/>
      <c r="M86" s="19"/>
      <c r="N86" s="36"/>
      <c r="O86" s="19"/>
      <c r="P86" s="36"/>
      <c r="Q86" s="19"/>
      <c r="R86" s="36"/>
      <c r="S86" s="19"/>
      <c r="T86" s="36"/>
      <c r="U86" s="19"/>
      <c r="V86" s="36"/>
      <c r="W86" s="19"/>
      <c r="X86" s="36"/>
      <c r="Y86" s="19"/>
      <c r="Z86" s="36"/>
      <c r="AA86" s="19"/>
      <c r="AB86" s="36"/>
      <c r="AC86" s="19"/>
      <c r="AD86" s="37"/>
      <c r="AE86" s="21"/>
      <c r="AF86" s="37"/>
      <c r="AG86" s="36"/>
      <c r="AH86" s="19"/>
      <c r="AI86" s="37"/>
      <c r="AJ86" s="21"/>
      <c r="AK86" s="37"/>
      <c r="AL86" s="21"/>
    </row>
    <row r="87" spans="1:38" ht="16.5" customHeight="1" x14ac:dyDescent="0.3">
      <c r="A87" s="32" t="s">
        <v>97</v>
      </c>
      <c r="B87" s="33">
        <f>IFERROR(B59-B85, "NA")</f>
        <v>16265.680000000004</v>
      </c>
      <c r="C87" s="34">
        <f>IFERROR(B87/B148, "NA")</f>
        <v>0.45874641817648526</v>
      </c>
      <c r="D87" s="33">
        <f>IFERROR(D59-D85, "NA")</f>
        <v>18525.25</v>
      </c>
      <c r="E87" s="34">
        <f>IFERROR(D87/D148, "NA")</f>
        <v>0.48018576782288142</v>
      </c>
      <c r="F87" s="33">
        <f>IFERROR(F59-F85, "NA")</f>
        <v>22251.249999999978</v>
      </c>
      <c r="G87" s="34">
        <f>IFERROR(F87/F148, "NA")</f>
        <v>0.49500616887638305</v>
      </c>
      <c r="H87" s="33">
        <f>IFERROR(H59-H85, "NA")</f>
        <v>19640.029999999992</v>
      </c>
      <c r="I87" s="34">
        <f>IFERROR(H87/H148, "NA")</f>
        <v>0.47665313320080566</v>
      </c>
      <c r="J87" s="33">
        <f>IFERROR(J59-J85, "NA")</f>
        <v>18961.719999999994</v>
      </c>
      <c r="K87" s="34">
        <f>IFERROR(J87/J148, "NA")</f>
        <v>0.48928672801118839</v>
      </c>
      <c r="L87" s="33">
        <f>IFERROR(L59-L85, "NA")</f>
        <v>28853.400000000005</v>
      </c>
      <c r="M87" s="34">
        <f>IFERROR(L87/L148, "NA")</f>
        <v>0.55162981187720739</v>
      </c>
      <c r="N87" s="33">
        <f>IFERROR(N59-N85, "NA")</f>
        <v>27641.079999999994</v>
      </c>
      <c r="O87" s="34">
        <f>IFERROR(N87/N148, "NA")</f>
        <v>0.54688905688868283</v>
      </c>
      <c r="P87" s="33">
        <f>IFERROR(P59-P85, "NA")</f>
        <v>24829.14000000001</v>
      </c>
      <c r="Q87" s="34">
        <f>IFERROR(P87/P148, "NA")</f>
        <v>0.52504984762876716</v>
      </c>
      <c r="R87" s="33">
        <f>IFERROR(R59-R85, "NA")</f>
        <v>25638.940000000002</v>
      </c>
      <c r="S87" s="34">
        <f>IFERROR(R87/R148, "NA")</f>
        <v>0.53358742912608748</v>
      </c>
      <c r="T87" s="33">
        <f>IFERROR(T59-T85, "NA")</f>
        <v>22726.319999999992</v>
      </c>
      <c r="U87" s="34">
        <f>IFERROR(T87/T148, "NA")</f>
        <v>0.53545079157295339</v>
      </c>
      <c r="V87" s="33">
        <f>IFERROR(V59-V85, "NA")</f>
        <v>33405.86</v>
      </c>
      <c r="W87" s="34">
        <f>IFERROR(V87/V148, "NA")</f>
        <v>0.56025697531746244</v>
      </c>
      <c r="X87" s="33">
        <f>IFERROR(X59-X85, "NA")</f>
        <v>33493.959999999992</v>
      </c>
      <c r="Y87" s="34">
        <f>IFERROR(X87/X148, "NA")</f>
        <v>0.56839577254502915</v>
      </c>
      <c r="Z87" s="33">
        <f>IFERROR(Z59-Z85, "NA")</f>
        <v>89626.140000000029</v>
      </c>
      <c r="AA87" s="34">
        <f>IFERROR(Z87/Z148, "NA")</f>
        <v>0.55669627062653804</v>
      </c>
      <c r="AB87" s="33">
        <f>IFERROR((R87+T87+V87+X87)/4, "NA")</f>
        <v>28816.269999999997</v>
      </c>
      <c r="AC87" s="34">
        <f>IFERROR(AB87/AB148, "NA")</f>
        <v>0.55138461950589013</v>
      </c>
      <c r="AD87" s="15">
        <f>IFERROR(X87-AB87, "NA")</f>
        <v>4677.6899999999951</v>
      </c>
      <c r="AE87" s="16">
        <f>IFERROR(AD87/AD148, "NA")</f>
        <v>0.70177315232246962</v>
      </c>
      <c r="AF87" s="15">
        <f>IFERROR((X87-AB87)/AB87, "NA")</f>
        <v>0.16232808756997333</v>
      </c>
      <c r="AG87" s="33">
        <f>IFERROR((J87+L87+N87+P87+R87+T87+V87+X87)/8, "NA")</f>
        <v>26943.802499999994</v>
      </c>
      <c r="AH87" s="34">
        <f>IFERROR(AG87/AG148, "NA")</f>
        <v>0.54166885398598763</v>
      </c>
      <c r="AI87" s="15">
        <f>IFERROR(X87-AG87, "NA")</f>
        <v>6550.1574999999975</v>
      </c>
      <c r="AJ87" s="16">
        <f>IFERROR(AI87/AI148, "NA")</f>
        <v>0.71313820762465208</v>
      </c>
      <c r="AK87" s="15">
        <f>IFERROR((X87-AG87)/AG87, "NA")</f>
        <v>0.24310442076614833</v>
      </c>
      <c r="AL87" s="16">
        <f>IFERROR(AK87/AK148, "NA")</f>
        <v>1.3165575284177227</v>
      </c>
    </row>
    <row r="88" spans="1:38" ht="3.75" customHeight="1" x14ac:dyDescent="0.3">
      <c r="A88" s="35" t="s">
        <v>3</v>
      </c>
      <c r="B88" s="36"/>
      <c r="C88" s="19"/>
      <c r="D88" s="36"/>
      <c r="E88" s="19"/>
      <c r="F88" s="36"/>
      <c r="G88" s="19"/>
      <c r="H88" s="36"/>
      <c r="I88" s="19"/>
      <c r="J88" s="36"/>
      <c r="K88" s="19"/>
      <c r="L88" s="36"/>
      <c r="M88" s="19"/>
      <c r="N88" s="36"/>
      <c r="O88" s="19"/>
      <c r="P88" s="36"/>
      <c r="Q88" s="19"/>
      <c r="R88" s="36"/>
      <c r="S88" s="19"/>
      <c r="T88" s="36"/>
      <c r="U88" s="19"/>
      <c r="V88" s="36"/>
      <c r="W88" s="19"/>
      <c r="X88" s="36"/>
      <c r="Y88" s="19"/>
      <c r="Z88" s="36"/>
      <c r="AA88" s="19"/>
      <c r="AB88" s="36"/>
      <c r="AC88" s="19"/>
      <c r="AD88" s="37"/>
      <c r="AE88" s="21"/>
      <c r="AF88" s="37"/>
      <c r="AG88" s="36"/>
      <c r="AH88" s="19"/>
      <c r="AI88" s="37"/>
      <c r="AJ88" s="21"/>
      <c r="AK88" s="37"/>
      <c r="AL88" s="21"/>
    </row>
    <row r="89" spans="1:38" ht="16.5" hidden="1" customHeight="1" x14ac:dyDescent="0.3">
      <c r="A89" s="1" t="s">
        <v>98</v>
      </c>
      <c r="B89" s="2"/>
      <c r="C89" s="3"/>
      <c r="D89" s="2"/>
      <c r="E89" s="3"/>
      <c r="F89" s="2"/>
      <c r="G89" s="3"/>
      <c r="H89" s="2"/>
      <c r="I89" s="3"/>
      <c r="J89" s="2"/>
      <c r="K89" s="3"/>
      <c r="L89" s="2"/>
      <c r="M89" s="3"/>
      <c r="N89" s="2"/>
      <c r="O89" s="3"/>
      <c r="P89" s="2"/>
      <c r="Q89" s="3"/>
      <c r="R89" s="2"/>
      <c r="S89" s="3"/>
      <c r="T89" s="2"/>
      <c r="U89" s="3"/>
      <c r="V89" s="2"/>
      <c r="W89" s="3"/>
      <c r="X89" s="2"/>
      <c r="Y89" s="3"/>
      <c r="Z89" s="2"/>
      <c r="AA89" s="3"/>
      <c r="AB89" s="2"/>
      <c r="AC89" s="3"/>
      <c r="AD89" s="4"/>
      <c r="AE89" s="5"/>
      <c r="AF89" s="4"/>
      <c r="AG89" s="2"/>
      <c r="AH89" s="3"/>
      <c r="AI89" s="4"/>
      <c r="AJ89" s="5"/>
      <c r="AK89" s="4"/>
      <c r="AL89" s="5"/>
    </row>
    <row r="90" spans="1:38" ht="16.5" hidden="1" customHeight="1" x14ac:dyDescent="0.3">
      <c r="A90" s="6" t="s">
        <v>99</v>
      </c>
      <c r="B90" s="7">
        <v>724.64</v>
      </c>
      <c r="C90" s="8">
        <f>IFERROR(B90/B148, "NA")</f>
        <v>2.0437264502154731E-2</v>
      </c>
      <c r="D90" s="7">
        <v>826.2299999999999</v>
      </c>
      <c r="E90" s="8">
        <f>IFERROR(D90/D148, "NA")</f>
        <v>2.1416385039246394E-2</v>
      </c>
      <c r="F90" s="7">
        <v>900.22</v>
      </c>
      <c r="G90" s="8">
        <f>IFERROR(F90/F148, "NA")</f>
        <v>2.0026490796961879E-2</v>
      </c>
      <c r="H90" s="7">
        <v>1151.24</v>
      </c>
      <c r="I90" s="8">
        <f>IFERROR(H90/H148, "NA")</f>
        <v>2.7939985482002612E-2</v>
      </c>
      <c r="J90" s="7">
        <v>527.49</v>
      </c>
      <c r="K90" s="8">
        <f>IFERROR(J90/J148, "NA")</f>
        <v>1.3611310374724543E-2</v>
      </c>
      <c r="L90" s="7">
        <v>759.17</v>
      </c>
      <c r="M90" s="8">
        <f>IFERROR(L90/L148, "NA")</f>
        <v>1.451408860941239E-2</v>
      </c>
      <c r="N90" s="7">
        <v>504.59</v>
      </c>
      <c r="O90" s="8">
        <f>IFERROR(N90/N148, "NA")</f>
        <v>9.9835009780898758E-3</v>
      </c>
      <c r="P90" s="7">
        <v>1099.4499999999998</v>
      </c>
      <c r="Q90" s="8">
        <f>IFERROR(P90/P148, "NA")</f>
        <v>2.3249538847316006E-2</v>
      </c>
      <c r="R90" s="7">
        <v>830.36</v>
      </c>
      <c r="S90" s="8">
        <f>IFERROR(R90/R148, "NA")</f>
        <v>1.7281122294803841E-2</v>
      </c>
      <c r="T90" s="7">
        <v>602.38</v>
      </c>
      <c r="U90" s="8">
        <f>IFERROR(T90/T148, "NA")</f>
        <v>1.4192568256880821E-2</v>
      </c>
      <c r="V90" s="7">
        <v>1201.6799999999998</v>
      </c>
      <c r="W90" s="8">
        <f>IFERROR(V90/V148, "NA")</f>
        <v>2.0153637777907473E-2</v>
      </c>
      <c r="X90" s="7">
        <v>871.03</v>
      </c>
      <c r="Y90" s="8">
        <f>IFERROR(X90/X148, "NA")</f>
        <v>1.4781464173238902E-2</v>
      </c>
      <c r="Z90" s="7">
        <v>2675.0899999999997</v>
      </c>
      <c r="AA90" s="8">
        <f>IFERROR(Z90/Z148, "NA")</f>
        <v>1.6615829116263907E-2</v>
      </c>
      <c r="AB90" s="9">
        <f t="shared" ref="AB90:AB99" si="36">IFERROR((R90+T90+V90+X90)/4, "NA")</f>
        <v>876.36249999999995</v>
      </c>
      <c r="AC90" s="8">
        <f>IFERROR(AB90/AB148, "NA")</f>
        <v>1.6768749168845607E-2</v>
      </c>
      <c r="AD90" s="10">
        <f t="shared" ref="AD90:AD99" si="37">IFERROR(X90-AB90, "NA")</f>
        <v>-5.3324999999999818</v>
      </c>
      <c r="AE90" s="11">
        <f>IFERROR(AD90/AD148, "NA")</f>
        <v>-8.0001140194402797E-4</v>
      </c>
      <c r="AF90" s="10">
        <f t="shared" ref="AF90:AF99" si="38">IFERROR((X90-AB90)/AB90, "NA")</f>
        <v>-6.0848107946197862E-3</v>
      </c>
      <c r="AG90" s="9">
        <f t="shared" ref="AG90:AG99" si="39">IFERROR((J90+L90+N90+P90+R90+T90+V90+X90)/8, "NA")</f>
        <v>799.51874999999984</v>
      </c>
      <c r="AH90" s="8">
        <f>IFERROR(AG90/AG148, "NA")</f>
        <v>1.6073247458401958E-2</v>
      </c>
      <c r="AI90" s="10">
        <f t="shared" ref="AI90:AI99" si="40">IFERROR(X90-AG90, "NA")</f>
        <v>71.511250000000132</v>
      </c>
      <c r="AJ90" s="11">
        <f>IFERROR(AI90/AI148, "NA")</f>
        <v>7.7856760925212121E-3</v>
      </c>
      <c r="AK90" s="10">
        <f t="shared" ref="AK90:AK99" si="41">IFERROR((X90-AG90)/AG90, "NA")</f>
        <v>8.9442867975266557E-2</v>
      </c>
      <c r="AL90" s="11">
        <f>IFERROR(AK90/AK148, "NA")</f>
        <v>0.48438724736060801</v>
      </c>
    </row>
    <row r="91" spans="1:38" ht="16.5" hidden="1" customHeight="1" x14ac:dyDescent="0.3">
      <c r="A91" s="6" t="s">
        <v>100</v>
      </c>
      <c r="B91" s="7">
        <v>1361.29</v>
      </c>
      <c r="C91" s="8">
        <f>IFERROR(B91/B148, "NA")</f>
        <v>3.8392917578574486E-2</v>
      </c>
      <c r="D91" s="7">
        <v>1149.4100000000001</v>
      </c>
      <c r="E91" s="8">
        <f>IFERROR(D91/D148, "NA")</f>
        <v>2.9793407559590191E-2</v>
      </c>
      <c r="F91" s="7">
        <v>1110.08</v>
      </c>
      <c r="G91" s="8">
        <f>IFERROR(F91/F148, "NA")</f>
        <v>2.4695082206451134E-2</v>
      </c>
      <c r="H91" s="7">
        <v>1561.9099999999999</v>
      </c>
      <c r="I91" s="8">
        <f>IFERROR(H91/H148, "NA")</f>
        <v>3.7906729026262721E-2</v>
      </c>
      <c r="J91" s="7">
        <v>742.27</v>
      </c>
      <c r="K91" s="8">
        <f>IFERROR(J91/J148, "NA")</f>
        <v>1.9153476562298405E-2</v>
      </c>
      <c r="L91" s="7">
        <v>1256.67</v>
      </c>
      <c r="M91" s="8">
        <f>IFERROR(L91/L148, "NA")</f>
        <v>2.4025474838033998E-2</v>
      </c>
      <c r="N91" s="7">
        <v>827.78</v>
      </c>
      <c r="O91" s="8">
        <f>IFERROR(N91/N148, "NA")</f>
        <v>1.6377935432020527E-2</v>
      </c>
      <c r="P91" s="7">
        <v>2356.9499999999998</v>
      </c>
      <c r="Q91" s="8">
        <f>IFERROR(P91/P148, "NA")</f>
        <v>4.984128481166171E-2</v>
      </c>
      <c r="R91" s="7">
        <v>3915.6</v>
      </c>
      <c r="S91" s="8">
        <f>IFERROR(R91/R148, "NA")</f>
        <v>8.1489910951314998E-2</v>
      </c>
      <c r="T91" s="7">
        <v>4147.83</v>
      </c>
      <c r="U91" s="8">
        <f>IFERROR(T91/T148, "NA")</f>
        <v>9.7726286385567213E-2</v>
      </c>
      <c r="V91" s="7">
        <v>4671.34</v>
      </c>
      <c r="W91" s="8">
        <f>IFERROR(V91/V148, "NA")</f>
        <v>7.8344063558892812E-2</v>
      </c>
      <c r="X91" s="7">
        <v>5913.32</v>
      </c>
      <c r="Y91" s="8">
        <f>IFERROR(X91/X148, "NA")</f>
        <v>0.10034961795219116</v>
      </c>
      <c r="Z91" s="7">
        <v>14732.49</v>
      </c>
      <c r="AA91" s="8">
        <f>IFERROR(Z91/Z148, "NA")</f>
        <v>9.1508149743398104E-2</v>
      </c>
      <c r="AB91" s="9">
        <f t="shared" si="36"/>
        <v>4662.0225</v>
      </c>
      <c r="AC91" s="8">
        <f>IFERROR(AB91/AB148, "NA")</f>
        <v>8.920542118360214E-2</v>
      </c>
      <c r="AD91" s="10">
        <f t="shared" si="37"/>
        <v>1251.2974999999997</v>
      </c>
      <c r="AE91" s="11">
        <f>IFERROR(AD91/AD148, "NA")</f>
        <v>0.18772663239082241</v>
      </c>
      <c r="AF91" s="10">
        <f t="shared" si="38"/>
        <v>0.26840228677575018</v>
      </c>
      <c r="AG91" s="9">
        <f t="shared" si="39"/>
        <v>2978.9700000000003</v>
      </c>
      <c r="AH91" s="8">
        <f>IFERROR(AG91/AG148, "NA")</f>
        <v>5.9888178959099703E-2</v>
      </c>
      <c r="AI91" s="10">
        <f t="shared" si="40"/>
        <v>2934.3499999999995</v>
      </c>
      <c r="AJ91" s="11">
        <f>IFERROR(AI91/AI148, "NA")</f>
        <v>0.31947279123340133</v>
      </c>
      <c r="AK91" s="10">
        <f t="shared" si="41"/>
        <v>0.98502166856329509</v>
      </c>
      <c r="AL91" s="11">
        <f>IFERROR(AK91/AK148, "NA")</f>
        <v>5.3344883211690828</v>
      </c>
    </row>
    <row r="92" spans="1:38" ht="16.5" hidden="1" customHeight="1" x14ac:dyDescent="0.3">
      <c r="A92" s="6" t="s">
        <v>101</v>
      </c>
      <c r="B92" s="7">
        <v>988.67000000000007</v>
      </c>
      <c r="C92" s="8">
        <f>IFERROR(B92/B148, "NA")</f>
        <v>2.7883790979445409E-2</v>
      </c>
      <c r="D92" s="7">
        <v>954.49</v>
      </c>
      <c r="E92" s="8">
        <f>IFERROR(D92/D148, "NA")</f>
        <v>2.4740962390751114E-2</v>
      </c>
      <c r="F92" s="7">
        <v>878.16</v>
      </c>
      <c r="G92" s="8">
        <f>IFERROR(F92/F148, "NA")</f>
        <v>1.9535739217369136E-2</v>
      </c>
      <c r="H92" s="7">
        <v>958.69</v>
      </c>
      <c r="I92" s="8">
        <f>IFERROR(H92/H148, "NA")</f>
        <v>2.3266898893142249E-2</v>
      </c>
      <c r="J92" s="7">
        <v>1018.02</v>
      </c>
      <c r="K92" s="8">
        <f>IFERROR(J92/J148, "NA")</f>
        <v>2.6268907823232816E-2</v>
      </c>
      <c r="L92" s="7">
        <v>1687.0300000000002</v>
      </c>
      <c r="M92" s="8">
        <f>IFERROR(L92/L148, "NA")</f>
        <v>3.2253254088987958E-2</v>
      </c>
      <c r="N92" s="7">
        <v>891</v>
      </c>
      <c r="O92" s="8">
        <f>IFERROR(N92/N148, "NA")</f>
        <v>1.7628766664971721E-2</v>
      </c>
      <c r="P92" s="7">
        <v>1228.21</v>
      </c>
      <c r="Q92" s="8">
        <f>IFERROR(P92/P148, "NA")</f>
        <v>2.5972364461923688E-2</v>
      </c>
      <c r="R92" s="7">
        <v>1010.62</v>
      </c>
      <c r="S92" s="8">
        <f>IFERROR(R92/R148, "NA")</f>
        <v>2.1032621770767691E-2</v>
      </c>
      <c r="T92" s="7">
        <v>639.41</v>
      </c>
      <c r="U92" s="8">
        <f>IFERROR(T92/T148, "NA")</f>
        <v>1.5065025514014684E-2</v>
      </c>
      <c r="V92" s="7">
        <v>891.64</v>
      </c>
      <c r="W92" s="8">
        <f>IFERROR(V92/V148, "NA")</f>
        <v>1.4953889212014364E-2</v>
      </c>
      <c r="X92" s="7">
        <v>931.8</v>
      </c>
      <c r="Y92" s="8">
        <f>IFERROR(X92/X148, "NA")</f>
        <v>1.5812737008626579E-2</v>
      </c>
      <c r="Z92" s="7">
        <v>2462.85</v>
      </c>
      <c r="AA92" s="8">
        <f>IFERROR(Z92/Z148, "NA")</f>
        <v>1.5297539424464435E-2</v>
      </c>
      <c r="AB92" s="9">
        <f t="shared" si="36"/>
        <v>868.36750000000006</v>
      </c>
      <c r="AC92" s="8">
        <f>IFERROR(AB92/AB148, "NA")</f>
        <v>1.661576892424943E-2</v>
      </c>
      <c r="AD92" s="10">
        <f t="shared" si="37"/>
        <v>63.432499999999891</v>
      </c>
      <c r="AE92" s="11">
        <f>IFERROR(AD92/AD148, "NA")</f>
        <v>9.5164975628344375E-3</v>
      </c>
      <c r="AF92" s="10">
        <f t="shared" si="38"/>
        <v>7.3047989474502306E-2</v>
      </c>
      <c r="AG92" s="9">
        <f t="shared" si="39"/>
        <v>1037.2162499999999</v>
      </c>
      <c r="AH92" s="8">
        <f>IFERROR(AG92/AG148, "NA")</f>
        <v>2.085183549995008E-2</v>
      </c>
      <c r="AI92" s="10">
        <f t="shared" si="40"/>
        <v>-105.41624999999999</v>
      </c>
      <c r="AJ92" s="11">
        <f>IFERROR(AI92/AI148, "NA")</f>
        <v>-1.1477030220954572E-2</v>
      </c>
      <c r="AK92" s="10">
        <f t="shared" si="41"/>
        <v>-0.10163382033399496</v>
      </c>
      <c r="AL92" s="11">
        <f>IFERROR(AK92/AK148, "NA")</f>
        <v>-0.55040863050075617</v>
      </c>
    </row>
    <row r="93" spans="1:38" ht="16.5" hidden="1" customHeight="1" x14ac:dyDescent="0.3">
      <c r="A93" s="6" t="s">
        <v>102</v>
      </c>
      <c r="B93" s="7">
        <v>3671.8499999999995</v>
      </c>
      <c r="C93" s="8">
        <f>IFERROR(B93/B148, "NA")</f>
        <v>0.10355841474695966</v>
      </c>
      <c r="D93" s="7">
        <v>3304.7</v>
      </c>
      <c r="E93" s="8">
        <f>IFERROR(D93/D148, "NA")</f>
        <v>8.565983762293497E-2</v>
      </c>
      <c r="F93" s="7">
        <v>4963.28</v>
      </c>
      <c r="G93" s="8">
        <f>IFERROR(F93/F148, "NA")</f>
        <v>0.11041421124030232</v>
      </c>
      <c r="H93" s="7">
        <v>4012.4599999999996</v>
      </c>
      <c r="I93" s="8">
        <f>IFERROR(H93/H148, "NA")</f>
        <v>9.7380280521104354E-2</v>
      </c>
      <c r="J93" s="7">
        <v>3054.58</v>
      </c>
      <c r="K93" s="8">
        <f>IFERROR(J93/J148, "NA")</f>
        <v>7.8820141508703659E-2</v>
      </c>
      <c r="L93" s="7">
        <v>5253.0099999999993</v>
      </c>
      <c r="M93" s="8">
        <f>IFERROR(L93/L148, "NA")</f>
        <v>0.10042895873931974</v>
      </c>
      <c r="N93" s="7">
        <v>5802.21</v>
      </c>
      <c r="O93" s="8">
        <f>IFERROR(N93/N148, "NA")</f>
        <v>0.11479888465899614</v>
      </c>
      <c r="P93" s="7">
        <v>5114.55</v>
      </c>
      <c r="Q93" s="8">
        <f>IFERROR(P93/P148, "NA")</f>
        <v>0.10815492192599946</v>
      </c>
      <c r="R93" s="7">
        <v>4919.7299999999996</v>
      </c>
      <c r="S93" s="8">
        <f>IFERROR(R93/R148, "NA")</f>
        <v>0.10238746542152234</v>
      </c>
      <c r="T93" s="7">
        <v>3835.44</v>
      </c>
      <c r="U93" s="8">
        <f>IFERROR(T93/T148, "NA")</f>
        <v>9.0366121045139247E-2</v>
      </c>
      <c r="V93" s="7">
        <v>6848.99</v>
      </c>
      <c r="W93" s="8">
        <f>IFERROR(V93/V148, "NA")</f>
        <v>0.11486590740006535</v>
      </c>
      <c r="X93" s="7">
        <v>5315.63</v>
      </c>
      <c r="Y93" s="8">
        <f>IFERROR(X93/X148, "NA")</f>
        <v>9.020676027598809E-2</v>
      </c>
      <c r="Z93" s="7">
        <v>16000.06</v>
      </c>
      <c r="AA93" s="8">
        <f>IFERROR(Z93/Z148, "NA")</f>
        <v>9.9381427469718578E-2</v>
      </c>
      <c r="AB93" s="9">
        <f t="shared" si="36"/>
        <v>5229.9475000000002</v>
      </c>
      <c r="AC93" s="8">
        <f>IFERROR(AB93/AB148, "NA")</f>
        <v>0.10007237620702754</v>
      </c>
      <c r="AD93" s="10">
        <f t="shared" si="37"/>
        <v>85.682499999999891</v>
      </c>
      <c r="AE93" s="11">
        <f>IFERROR(AD93/AD148, "NA")</f>
        <v>1.2854566703622939E-2</v>
      </c>
      <c r="AF93" s="10">
        <f t="shared" si="38"/>
        <v>1.6383051646311916E-2</v>
      </c>
      <c r="AG93" s="9">
        <f t="shared" si="39"/>
        <v>5018.017499999999</v>
      </c>
      <c r="AH93" s="8">
        <f>IFERROR(AG93/AG148, "NA")</f>
        <v>0.10088048220018798</v>
      </c>
      <c r="AI93" s="10">
        <f t="shared" si="40"/>
        <v>297.61250000000109</v>
      </c>
      <c r="AJ93" s="11">
        <f>IFERROR(AI93/AI148, "NA")</f>
        <v>3.2402097936834739E-2</v>
      </c>
      <c r="AK93" s="10">
        <f t="shared" si="41"/>
        <v>5.9308780808357317E-2</v>
      </c>
      <c r="AL93" s="11">
        <f>IFERROR(AK93/AK148, "NA")</f>
        <v>0.32119293276707161</v>
      </c>
    </row>
    <row r="94" spans="1:38" ht="16.5" hidden="1" customHeight="1" x14ac:dyDescent="0.3">
      <c r="A94" s="6" t="s">
        <v>103</v>
      </c>
      <c r="B94" s="7">
        <v>952.94</v>
      </c>
      <c r="C94" s="8">
        <f>IFERROR(B94/B148, "NA")</f>
        <v>2.6876085828388348E-2</v>
      </c>
      <c r="D94" s="7">
        <v>967.99</v>
      </c>
      <c r="E94" s="8">
        <f>IFERROR(D94/D148, "NA")</f>
        <v>2.5090890616583903E-2</v>
      </c>
      <c r="F94" s="7">
        <v>1255.9100000000001</v>
      </c>
      <c r="G94" s="8">
        <f>IFERROR(F94/F148, "NA")</f>
        <v>2.7939248246886754E-2</v>
      </c>
      <c r="H94" s="7">
        <v>1207.3399999999999</v>
      </c>
      <c r="I94" s="8">
        <f>IFERROR(H94/H148, "NA")</f>
        <v>2.9301502789897006E-2</v>
      </c>
      <c r="J94" s="7">
        <v>1000.11</v>
      </c>
      <c r="K94" s="8">
        <f>IFERROR(J94/J148, "NA")</f>
        <v>2.5806759595188085E-2</v>
      </c>
      <c r="L94" s="7">
        <v>1466.92</v>
      </c>
      <c r="M94" s="8">
        <f>IFERROR(L94/L148, "NA")</f>
        <v>2.8045110927617301E-2</v>
      </c>
      <c r="N94" s="7">
        <v>1313.68</v>
      </c>
      <c r="O94" s="8">
        <f>IFERROR(N94/N148, "NA")</f>
        <v>2.5991647802963019E-2</v>
      </c>
      <c r="P94" s="7">
        <v>1268.24</v>
      </c>
      <c r="Q94" s="8">
        <f>IFERROR(P94/P148, "NA")</f>
        <v>2.6818859564072997E-2</v>
      </c>
      <c r="R94" s="7">
        <v>1195.54</v>
      </c>
      <c r="S94" s="8">
        <f>IFERROR(R94/R148, "NA")</f>
        <v>2.4881103314622312E-2</v>
      </c>
      <c r="T94" s="7">
        <v>1231.8900000000001</v>
      </c>
      <c r="U94" s="8">
        <f>IFERROR(T94/T148, "NA")</f>
        <v>2.9024341628156508E-2</v>
      </c>
      <c r="V94" s="7">
        <v>1517.6</v>
      </c>
      <c r="W94" s="8">
        <f>IFERROR(V94/V148, "NA")</f>
        <v>2.5452001108242115E-2</v>
      </c>
      <c r="X94" s="7">
        <v>1304.3699999999999</v>
      </c>
      <c r="Y94" s="8">
        <f>IFERROR(X94/X148, "NA")</f>
        <v>2.2135286297426754E-2</v>
      </c>
      <c r="Z94" s="7">
        <v>4053.86</v>
      </c>
      <c r="AA94" s="8">
        <f>IFERROR(Z94/Z148, "NA")</f>
        <v>2.5179805173380188E-2</v>
      </c>
      <c r="AB94" s="9">
        <f t="shared" si="36"/>
        <v>1312.35</v>
      </c>
      <c r="AC94" s="8">
        <f>IFERROR(AB94/AB148, "NA")</f>
        <v>2.511114746664141E-2</v>
      </c>
      <c r="AD94" s="10">
        <f t="shared" si="37"/>
        <v>-7.9800000000000182</v>
      </c>
      <c r="AE94" s="11">
        <f>IFERROR(AD94/AD148, "NA")</f>
        <v>-1.1972041233030248E-3</v>
      </c>
      <c r="AF94" s="10">
        <f t="shared" si="38"/>
        <v>-6.0806949365641927E-3</v>
      </c>
      <c r="AG94" s="9">
        <f t="shared" si="39"/>
        <v>1287.2937499999998</v>
      </c>
      <c r="AH94" s="8">
        <f>IFERROR(AG94/AG148, "NA")</f>
        <v>2.5879306764730943E-2</v>
      </c>
      <c r="AI94" s="10">
        <f t="shared" si="40"/>
        <v>17.076250000000073</v>
      </c>
      <c r="AJ94" s="11">
        <f>IFERROR(AI94/AI148, "NA")</f>
        <v>1.8591501529467834E-3</v>
      </c>
      <c r="AK94" s="10">
        <f t="shared" si="41"/>
        <v>1.3265231808979167E-2</v>
      </c>
      <c r="AL94" s="11">
        <f>IFERROR(AK94/AK148, "NA")</f>
        <v>7.1839256354443257E-2</v>
      </c>
    </row>
    <row r="95" spans="1:38" ht="16.5" hidden="1" customHeight="1" x14ac:dyDescent="0.3">
      <c r="A95" s="6" t="s">
        <v>104</v>
      </c>
      <c r="B95" s="7">
        <v>0</v>
      </c>
      <c r="C95" s="8">
        <f>IFERROR(B95/B148, "NA")</f>
        <v>0</v>
      </c>
      <c r="D95" s="7">
        <v>0</v>
      </c>
      <c r="E95" s="8">
        <f>IFERROR(D95/D148, "NA")</f>
        <v>0</v>
      </c>
      <c r="F95" s="7">
        <v>0</v>
      </c>
      <c r="G95" s="8">
        <f>IFERROR(F95/F148, "NA")</f>
        <v>0</v>
      </c>
      <c r="H95" s="7">
        <v>1509.07</v>
      </c>
      <c r="I95" s="8">
        <f>IFERROR(H95/H148, "NA")</f>
        <v>3.6624330192944719E-2</v>
      </c>
      <c r="J95" s="7">
        <v>0</v>
      </c>
      <c r="K95" s="8">
        <f>IFERROR(J95/J148, "NA")</f>
        <v>0</v>
      </c>
      <c r="L95" s="7">
        <v>0</v>
      </c>
      <c r="M95" s="8">
        <f>IFERROR(L95/L148, "NA")</f>
        <v>0</v>
      </c>
      <c r="N95" s="7">
        <v>0</v>
      </c>
      <c r="O95" s="8">
        <f>IFERROR(N95/N148, "NA")</f>
        <v>0</v>
      </c>
      <c r="P95" s="7">
        <v>0</v>
      </c>
      <c r="Q95" s="8">
        <f>IFERROR(P95/P148, "NA")</f>
        <v>0</v>
      </c>
      <c r="R95" s="7">
        <v>1701.29</v>
      </c>
      <c r="S95" s="8">
        <f>IFERROR(R95/R148, "NA")</f>
        <v>3.5406571305128892E-2</v>
      </c>
      <c r="T95" s="7">
        <v>0</v>
      </c>
      <c r="U95" s="8">
        <f>IFERROR(T95/T148, "NA")</f>
        <v>0</v>
      </c>
      <c r="V95" s="7">
        <v>0</v>
      </c>
      <c r="W95" s="8">
        <f>IFERROR(V95/V148, "NA")</f>
        <v>0</v>
      </c>
      <c r="X95" s="7">
        <v>0</v>
      </c>
      <c r="Y95" s="8">
        <f>IFERROR(X95/X148, "NA")</f>
        <v>0</v>
      </c>
      <c r="Z95" s="7">
        <v>0</v>
      </c>
      <c r="AA95" s="8">
        <f>IFERROR(Z95/Z148, "NA")</f>
        <v>0</v>
      </c>
      <c r="AB95" s="9">
        <f t="shared" si="36"/>
        <v>425.32249999999999</v>
      </c>
      <c r="AC95" s="8">
        <f>IFERROR(AB95/AB148, "NA")</f>
        <v>8.1383289658860762E-3</v>
      </c>
      <c r="AD95" s="10">
        <f t="shared" si="37"/>
        <v>-425.32249999999999</v>
      </c>
      <c r="AE95" s="11">
        <f>IFERROR(AD95/AD148, "NA")</f>
        <v>-6.3809254477888419E-2</v>
      </c>
      <c r="AF95" s="10">
        <f t="shared" si="38"/>
        <v>-1</v>
      </c>
      <c r="AG95" s="9">
        <f t="shared" si="39"/>
        <v>212.66125</v>
      </c>
      <c r="AH95" s="8">
        <f>IFERROR(AG95/AG148, "NA")</f>
        <v>4.2752679609616212E-3</v>
      </c>
      <c r="AI95" s="10">
        <f t="shared" si="40"/>
        <v>-212.66125</v>
      </c>
      <c r="AJ95" s="11">
        <f>IFERROR(AI95/AI148, "NA")</f>
        <v>-2.3153162753142668E-2</v>
      </c>
      <c r="AK95" s="10">
        <f t="shared" si="41"/>
        <v>-1</v>
      </c>
      <c r="AL95" s="11">
        <f>IFERROR(AK95/AK148, "NA")</f>
        <v>-5.4156050485160492</v>
      </c>
    </row>
    <row r="96" spans="1:38" ht="16.5" hidden="1" customHeight="1" x14ac:dyDescent="0.3">
      <c r="A96" s="6" t="s">
        <v>105</v>
      </c>
      <c r="B96" s="7">
        <v>0</v>
      </c>
      <c r="C96" s="8">
        <f>IFERROR(B96/B148, "NA")</f>
        <v>0</v>
      </c>
      <c r="D96" s="7">
        <v>0</v>
      </c>
      <c r="E96" s="8">
        <f>IFERROR(D96/D148, "NA")</f>
        <v>0</v>
      </c>
      <c r="F96" s="7">
        <v>0</v>
      </c>
      <c r="G96" s="8">
        <f>IFERROR(F96/F148, "NA")</f>
        <v>0</v>
      </c>
      <c r="H96" s="7">
        <v>0</v>
      </c>
      <c r="I96" s="8">
        <f>IFERROR(H96/H148, "NA")</f>
        <v>0</v>
      </c>
      <c r="J96" s="7">
        <v>0</v>
      </c>
      <c r="K96" s="8">
        <f>IFERROR(J96/J148, "NA")</f>
        <v>0</v>
      </c>
      <c r="L96" s="7">
        <v>0</v>
      </c>
      <c r="M96" s="8">
        <f>IFERROR(L96/L148, "NA")</f>
        <v>0</v>
      </c>
      <c r="N96" s="7">
        <v>0</v>
      </c>
      <c r="O96" s="8">
        <f>IFERROR(N96/N148, "NA")</f>
        <v>0</v>
      </c>
      <c r="P96" s="7">
        <v>0</v>
      </c>
      <c r="Q96" s="8">
        <f>IFERROR(P96/P148, "NA")</f>
        <v>0</v>
      </c>
      <c r="R96" s="7">
        <v>0</v>
      </c>
      <c r="S96" s="8">
        <f>IFERROR(R96/R148, "NA")</f>
        <v>0</v>
      </c>
      <c r="T96" s="7">
        <v>0</v>
      </c>
      <c r="U96" s="8">
        <f>IFERROR(T96/T148, "NA")</f>
        <v>0</v>
      </c>
      <c r="V96" s="7">
        <v>0</v>
      </c>
      <c r="W96" s="8">
        <f>IFERROR(V96/V148, "NA")</f>
        <v>0</v>
      </c>
      <c r="X96" s="7">
        <v>0</v>
      </c>
      <c r="Y96" s="8">
        <f>IFERROR(X96/X148, "NA")</f>
        <v>0</v>
      </c>
      <c r="Z96" s="7">
        <v>0</v>
      </c>
      <c r="AA96" s="8">
        <f>IFERROR(Z96/Z148, "NA")</f>
        <v>0</v>
      </c>
      <c r="AB96" s="9">
        <f t="shared" si="36"/>
        <v>0</v>
      </c>
      <c r="AC96" s="8">
        <f>IFERROR(AB96/AB148, "NA")</f>
        <v>0</v>
      </c>
      <c r="AD96" s="10">
        <f t="shared" si="37"/>
        <v>0</v>
      </c>
      <c r="AE96" s="11">
        <f>IFERROR(AD96/AD148, "NA")</f>
        <v>0</v>
      </c>
      <c r="AF96" s="10" t="str">
        <f t="shared" si="38"/>
        <v>NA</v>
      </c>
      <c r="AG96" s="9">
        <f t="shared" si="39"/>
        <v>0</v>
      </c>
      <c r="AH96" s="8">
        <f>IFERROR(AG96/AG148, "NA")</f>
        <v>0</v>
      </c>
      <c r="AI96" s="10">
        <f t="shared" si="40"/>
        <v>0</v>
      </c>
      <c r="AJ96" s="11">
        <f>IFERROR(AI96/AI148, "NA")</f>
        <v>0</v>
      </c>
      <c r="AK96" s="10" t="str">
        <f t="shared" si="41"/>
        <v>NA</v>
      </c>
      <c r="AL96" s="11" t="str">
        <f>IFERROR(AK96/AK148, "NA")</f>
        <v>NA</v>
      </c>
    </row>
    <row r="97" spans="1:38" ht="16.5" hidden="1" customHeight="1" x14ac:dyDescent="0.3">
      <c r="A97" s="6" t="s">
        <v>106</v>
      </c>
      <c r="B97" s="7">
        <v>866.61</v>
      </c>
      <c r="C97" s="8">
        <f>IFERROR(B97/B148, "NA")</f>
        <v>2.444129193835879E-2</v>
      </c>
      <c r="D97" s="7">
        <v>5279.7</v>
      </c>
      <c r="E97" s="8">
        <f>IFERROR(D97/D148, "NA")</f>
        <v>0.13685304103180615</v>
      </c>
      <c r="F97" s="7">
        <v>267.44</v>
      </c>
      <c r="G97" s="8">
        <f>IFERROR(F97/F148, "NA")</f>
        <v>5.9495286693691373E-3</v>
      </c>
      <c r="H97" s="7">
        <v>1074.2</v>
      </c>
      <c r="I97" s="8">
        <f>IFERROR(H97/H148, "NA")</f>
        <v>2.6070265457043888E-2</v>
      </c>
      <c r="J97" s="7">
        <v>307.39</v>
      </c>
      <c r="K97" s="8">
        <f>IFERROR(J97/J148, "NA")</f>
        <v>7.9318673265589435E-3</v>
      </c>
      <c r="L97" s="7">
        <v>222.33</v>
      </c>
      <c r="M97" s="8">
        <f>IFERROR(L97/L148, "NA")</f>
        <v>4.2505859300692294E-3</v>
      </c>
      <c r="N97" s="7">
        <v>836.12999999999988</v>
      </c>
      <c r="O97" s="8">
        <f>IFERROR(N97/N148, "NA")</f>
        <v>1.6543143290216389E-2</v>
      </c>
      <c r="P97" s="7">
        <v>1177.05</v>
      </c>
      <c r="Q97" s="8">
        <f>IFERROR(P97/P148, "NA")</f>
        <v>2.4890508618157541E-2</v>
      </c>
      <c r="R97" s="7">
        <v>710.69</v>
      </c>
      <c r="S97" s="8">
        <f>IFERROR(R97/R148, "NA")</f>
        <v>1.4790597817445617E-2</v>
      </c>
      <c r="T97" s="7">
        <v>1622.1100000000001</v>
      </c>
      <c r="U97" s="8">
        <f>IFERROR(T97/T148, "NA")</f>
        <v>3.8218245783673013E-2</v>
      </c>
      <c r="V97" s="7">
        <v>1936.74</v>
      </c>
      <c r="W97" s="8">
        <f>IFERROR(V97/V148, "NA")</f>
        <v>3.2481489606205081E-2</v>
      </c>
      <c r="X97" s="7">
        <v>265.05</v>
      </c>
      <c r="Y97" s="8">
        <f>IFERROR(X97/X148, "NA")</f>
        <v>4.497924387354019E-3</v>
      </c>
      <c r="Z97" s="7">
        <v>3823.9000000000005</v>
      </c>
      <c r="AA97" s="8">
        <f>IFERROR(Z97/Z148, "NA")</f>
        <v>2.3751450963399947E-2</v>
      </c>
      <c r="AB97" s="9">
        <f t="shared" si="36"/>
        <v>1133.6475</v>
      </c>
      <c r="AC97" s="8">
        <f>IFERROR(AB97/AB148, "NA")</f>
        <v>2.1691766333439534E-2</v>
      </c>
      <c r="AD97" s="10">
        <f t="shared" si="37"/>
        <v>-868.59750000000008</v>
      </c>
      <c r="AE97" s="11">
        <f>IFERROR(AD97/AD148, "NA")</f>
        <v>-0.13031184316926026</v>
      </c>
      <c r="AF97" s="10">
        <f t="shared" si="38"/>
        <v>-0.7661971644624983</v>
      </c>
      <c r="AG97" s="9">
        <f t="shared" si="39"/>
        <v>884.68624999999997</v>
      </c>
      <c r="AH97" s="8">
        <f>IFERROR(AG97/AG148, "NA")</f>
        <v>1.778542531903806E-2</v>
      </c>
      <c r="AI97" s="10">
        <f t="shared" si="40"/>
        <v>-619.63625000000002</v>
      </c>
      <c r="AJ97" s="11">
        <f>IFERROR(AI97/AI148, "NA")</f>
        <v>-6.7461932740435784E-2</v>
      </c>
      <c r="AK97" s="10">
        <f t="shared" si="41"/>
        <v>-0.70040226125363658</v>
      </c>
      <c r="AL97" s="11">
        <f>IFERROR(AK97/AK148, "NA")</f>
        <v>-3.7931020220372509</v>
      </c>
    </row>
    <row r="98" spans="1:38" ht="16.5" hidden="1" customHeight="1" x14ac:dyDescent="0.3">
      <c r="A98" s="6" t="s">
        <v>107</v>
      </c>
      <c r="B98" s="7">
        <v>482.96</v>
      </c>
      <c r="C98" s="8">
        <f>IFERROR(B98/B148, "NA")</f>
        <v>1.3621082556801514E-2</v>
      </c>
      <c r="D98" s="7">
        <v>448.89</v>
      </c>
      <c r="E98" s="8">
        <f>IFERROR(D98/D148, "NA")</f>
        <v>1.1635502318080092E-2</v>
      </c>
      <c r="F98" s="7">
        <v>4617.8600000000006</v>
      </c>
      <c r="G98" s="8">
        <f>IFERROR(F98/F148, "NA")</f>
        <v>0.10272992245413165</v>
      </c>
      <c r="H98" s="7">
        <v>695.77</v>
      </c>
      <c r="I98" s="8">
        <f>IFERROR(H98/H148, "NA")</f>
        <v>1.6885969649085297E-2</v>
      </c>
      <c r="J98" s="7">
        <v>349.02</v>
      </c>
      <c r="K98" s="8">
        <f>IFERROR(J98/J148, "NA")</f>
        <v>9.0060845646104375E-3</v>
      </c>
      <c r="L98" s="7">
        <v>436.19</v>
      </c>
      <c r="M98" s="8">
        <f>IFERROR(L98/L148, "NA")</f>
        <v>8.339239314698408E-3</v>
      </c>
      <c r="N98" s="7">
        <v>2533.4499999999998</v>
      </c>
      <c r="O98" s="8">
        <f>IFERROR(N98/N148, "NA")</f>
        <v>5.0125251298959145E-2</v>
      </c>
      <c r="P98" s="7">
        <v>2333.64</v>
      </c>
      <c r="Q98" s="8">
        <f>IFERROR(P98/P148, "NA")</f>
        <v>4.9348359484879284E-2</v>
      </c>
      <c r="R98" s="7">
        <v>631.01</v>
      </c>
      <c r="S98" s="8">
        <f>IFERROR(R98/R148, "NA")</f>
        <v>1.3132329326128633E-2</v>
      </c>
      <c r="T98" s="7">
        <v>497.6</v>
      </c>
      <c r="U98" s="8">
        <f>IFERROR(T98/T148, "NA")</f>
        <v>1.1723865275447221E-2</v>
      </c>
      <c r="V98" s="7">
        <v>998.06</v>
      </c>
      <c r="W98" s="8">
        <f>IFERROR(V98/V148, "NA")</f>
        <v>1.673868227865849E-2</v>
      </c>
      <c r="X98" s="7">
        <v>2770.53</v>
      </c>
      <c r="Y98" s="8">
        <f>IFERROR(X98/X148, "NA")</f>
        <v>4.7016164696834298E-2</v>
      </c>
      <c r="Z98" s="7">
        <v>4266.1899999999996</v>
      </c>
      <c r="AA98" s="8">
        <f>IFERROR(Z98/Z148, "NA")</f>
        <v>2.6498653883612854E-2</v>
      </c>
      <c r="AB98" s="9">
        <f t="shared" si="36"/>
        <v>1224.3000000000002</v>
      </c>
      <c r="AC98" s="8">
        <f>IFERROR(AB98/AB148, "NA")</f>
        <v>2.3426355654672219E-2</v>
      </c>
      <c r="AD98" s="10">
        <f t="shared" si="37"/>
        <v>1546.23</v>
      </c>
      <c r="AE98" s="11">
        <f>IFERROR(AD98/AD148, "NA")</f>
        <v>0.23197405157579346</v>
      </c>
      <c r="AF98" s="10">
        <f t="shared" si="38"/>
        <v>1.2629502572898799</v>
      </c>
      <c r="AG98" s="9">
        <f t="shared" si="39"/>
        <v>1318.6875</v>
      </c>
      <c r="AH98" s="8">
        <f>IFERROR(AG98/AG148, "NA")</f>
        <v>2.6510435818799041E-2</v>
      </c>
      <c r="AI98" s="10">
        <f t="shared" si="40"/>
        <v>1451.8425000000002</v>
      </c>
      <c r="AJ98" s="11">
        <f>IFERROR(AI98/AI148, "NA")</f>
        <v>0.15806709353222337</v>
      </c>
      <c r="AK98" s="10">
        <f t="shared" si="41"/>
        <v>1.1009754016778048</v>
      </c>
      <c r="AL98" s="11">
        <f>IFERROR(AK98/AK148, "NA")</f>
        <v>5.9624479436183044</v>
      </c>
    </row>
    <row r="99" spans="1:38" ht="16.5" hidden="1" customHeight="1" x14ac:dyDescent="0.3">
      <c r="A99" s="12" t="s">
        <v>108</v>
      </c>
      <c r="B99" s="13">
        <f>IFERROR(B90+B91+B92+B93+B94+B95+B96+B97+B98, "NA")</f>
        <v>9048.9599999999991</v>
      </c>
      <c r="C99" s="14">
        <f>IFERROR(B99/B148, "NA")</f>
        <v>0.2552108481306829</v>
      </c>
      <c r="D99" s="13">
        <f>IFERROR(D90+D91+D92+D93+D94+D95+D96+D97+D98, "NA")</f>
        <v>12931.41</v>
      </c>
      <c r="E99" s="14">
        <f>IFERROR(D99/D148, "NA")</f>
        <v>0.33519002657899283</v>
      </c>
      <c r="F99" s="13">
        <f>IFERROR(F90+F91+F92+F93+F94+F95+F96+F97+F98, "NA")</f>
        <v>13992.95</v>
      </c>
      <c r="G99" s="14">
        <f>IFERROR(F99/F148, "NA")</f>
        <v>0.31129022283147201</v>
      </c>
      <c r="H99" s="13">
        <f>IFERROR(H90+H91+H92+H93+H94+H95+H96+H97+H98, "NA")</f>
        <v>12170.68</v>
      </c>
      <c r="I99" s="14">
        <f>IFERROR(H99/H148, "NA")</f>
        <v>0.29537596201148286</v>
      </c>
      <c r="J99" s="13">
        <f>IFERROR(J90+J91+J92+J93+J94+J95+J96+J97+J98, "NA")</f>
        <v>6998.8799999999992</v>
      </c>
      <c r="K99" s="14">
        <f>IFERROR(J99/J148, "NA")</f>
        <v>0.18059854775531686</v>
      </c>
      <c r="L99" s="13">
        <f>IFERROR(L90+L91+L92+L93+L94+L95+L96+L97+L98, "NA")</f>
        <v>11081.32</v>
      </c>
      <c r="M99" s="14">
        <f>IFERROR(L99/L148, "NA")</f>
        <v>0.21185671244813903</v>
      </c>
      <c r="N99" s="13">
        <f>IFERROR(N90+N91+N92+N93+N94+N95+N96+N97+N98, "NA")</f>
        <v>12708.84</v>
      </c>
      <c r="O99" s="14">
        <f>IFERROR(N99/N148, "NA")</f>
        <v>0.25144913012621684</v>
      </c>
      <c r="P99" s="13">
        <f>IFERROR(P90+P91+P92+P93+P94+P95+P96+P97+P98, "NA")</f>
        <v>14578.089999999998</v>
      </c>
      <c r="Q99" s="14">
        <f>IFERROR(P99/P148, "NA")</f>
        <v>0.30827583771401063</v>
      </c>
      <c r="R99" s="13">
        <f>IFERROR(R90+R91+R92+R93+R94+R95+R96+R97+R98, "NA")</f>
        <v>14914.84</v>
      </c>
      <c r="S99" s="14">
        <f>IFERROR(R99/R148, "NA")</f>
        <v>0.31040172220173434</v>
      </c>
      <c r="T99" s="13">
        <f>IFERROR(T90+T91+T92+T93+T94+T95+T96+T97+T98, "NA")</f>
        <v>12576.66</v>
      </c>
      <c r="U99" s="14">
        <f>IFERROR(T99/T148, "NA")</f>
        <v>0.29631645388887867</v>
      </c>
      <c r="V99" s="13">
        <f>IFERROR(V90+V91+V92+V93+V94+V95+V96+V97+V98, "NA")</f>
        <v>18066.050000000003</v>
      </c>
      <c r="W99" s="14">
        <f>IFERROR(V99/V148, "NA")</f>
        <v>0.3029896709419857</v>
      </c>
      <c r="X99" s="13">
        <f>IFERROR(X90+X91+X92+X93+X94+X95+X96+X97+X98, "NA")</f>
        <v>17371.729999999996</v>
      </c>
      <c r="Y99" s="14">
        <f>IFERROR(X99/X148, "NA")</f>
        <v>0.29479995479165971</v>
      </c>
      <c r="Z99" s="13">
        <f>IFERROR(Z90+Z91+Z92+Z93+Z94+Z95+Z96+Z97+Z98, "NA")</f>
        <v>48014.44</v>
      </c>
      <c r="AA99" s="14">
        <f>IFERROR(Z99/Z148, "NA")</f>
        <v>0.29823285577423803</v>
      </c>
      <c r="AB99" s="13">
        <f t="shared" si="36"/>
        <v>15732.32</v>
      </c>
      <c r="AC99" s="14">
        <f>IFERROR(AB99/AB148, "NA")</f>
        <v>0.30102991390436395</v>
      </c>
      <c r="AD99" s="15">
        <f t="shared" si="37"/>
        <v>1639.4099999999962</v>
      </c>
      <c r="AE99" s="16">
        <f>IFERROR(AD99/AD148, "NA")</f>
        <v>0.24595343506067704</v>
      </c>
      <c r="AF99" s="15">
        <f t="shared" si="38"/>
        <v>0.10420649974066103</v>
      </c>
      <c r="AG99" s="13">
        <f t="shared" si="39"/>
        <v>13537.05125</v>
      </c>
      <c r="AH99" s="14">
        <f>IFERROR(AG99/AG148, "NA")</f>
        <v>0.27214417998116941</v>
      </c>
      <c r="AI99" s="15">
        <f t="shared" si="40"/>
        <v>3834.6787499999955</v>
      </c>
      <c r="AJ99" s="16">
        <f>IFERROR(AI99/AI148, "NA")</f>
        <v>0.41749468323339384</v>
      </c>
      <c r="AK99" s="15">
        <f t="shared" si="41"/>
        <v>0.28327282501792961</v>
      </c>
      <c r="AL99" s="16">
        <f>IFERROR(AK99/AK148, "NA")</f>
        <v>1.5340937412745028</v>
      </c>
    </row>
    <row r="100" spans="1:38" ht="16.5" hidden="1" customHeight="1" x14ac:dyDescent="0.3">
      <c r="A100" s="35" t="s">
        <v>3</v>
      </c>
      <c r="B100" s="36"/>
      <c r="C100" s="19"/>
      <c r="D100" s="36"/>
      <c r="E100" s="19"/>
      <c r="F100" s="36"/>
      <c r="G100" s="19"/>
      <c r="H100" s="36"/>
      <c r="I100" s="19"/>
      <c r="J100" s="36"/>
      <c r="K100" s="19"/>
      <c r="L100" s="36"/>
      <c r="M100" s="19"/>
      <c r="N100" s="36"/>
      <c r="O100" s="19"/>
      <c r="P100" s="36"/>
      <c r="Q100" s="19"/>
      <c r="R100" s="36"/>
      <c r="S100" s="19"/>
      <c r="T100" s="36"/>
      <c r="U100" s="19"/>
      <c r="V100" s="36"/>
      <c r="W100" s="19"/>
      <c r="X100" s="36"/>
      <c r="Y100" s="19"/>
      <c r="Z100" s="36"/>
      <c r="AA100" s="19"/>
      <c r="AB100" s="36"/>
      <c r="AC100" s="19"/>
      <c r="AD100" s="37"/>
      <c r="AE100" s="21"/>
      <c r="AF100" s="37"/>
      <c r="AG100" s="36"/>
      <c r="AH100" s="19"/>
      <c r="AI100" s="37"/>
      <c r="AJ100" s="21"/>
      <c r="AK100" s="37"/>
      <c r="AL100" s="21"/>
    </row>
    <row r="101" spans="1:38" ht="16.5" hidden="1" customHeight="1" x14ac:dyDescent="0.3">
      <c r="A101" s="32" t="s">
        <v>109</v>
      </c>
      <c r="B101" s="33">
        <f>IFERROR(B87-B99, "NA")</f>
        <v>7216.7200000000048</v>
      </c>
      <c r="C101" s="34">
        <f>IFERROR(B101/B148, "NA")</f>
        <v>0.20353557004580233</v>
      </c>
      <c r="D101" s="33">
        <f>IFERROR(D87-D99, "NA")</f>
        <v>5593.84</v>
      </c>
      <c r="E101" s="34">
        <f>IFERROR(D101/D148, "NA")</f>
        <v>0.14499574124388859</v>
      </c>
      <c r="F101" s="33">
        <f>IFERROR(F87-F99, "NA")</f>
        <v>8258.2999999999774</v>
      </c>
      <c r="G101" s="34">
        <f>IFERROR(F101/F148, "NA")</f>
        <v>0.18371594604491107</v>
      </c>
      <c r="H101" s="33">
        <f>IFERROR(H87-H99, "NA")</f>
        <v>7469.3499999999913</v>
      </c>
      <c r="I101" s="34">
        <f>IFERROR(H101/H148, "NA")</f>
        <v>0.18127717118932277</v>
      </c>
      <c r="J101" s="33">
        <f>IFERROR(J87-J99, "NA")</f>
        <v>11962.839999999995</v>
      </c>
      <c r="K101" s="34">
        <f>IFERROR(J101/J148, "NA")</f>
        <v>0.30868818025587152</v>
      </c>
      <c r="L101" s="33">
        <f>IFERROR(L87-L99, "NA")</f>
        <v>17772.080000000005</v>
      </c>
      <c r="M101" s="34">
        <f>IFERROR(L101/L148, "NA")</f>
        <v>0.33977309942906836</v>
      </c>
      <c r="N101" s="33">
        <f>IFERROR(N87-N99, "NA")</f>
        <v>14932.239999999994</v>
      </c>
      <c r="O101" s="34">
        <f>IFERROR(N101/N148, "NA")</f>
        <v>0.295439926762466</v>
      </c>
      <c r="P101" s="33">
        <f>IFERROR(P87-P99, "NA")</f>
        <v>10251.050000000012</v>
      </c>
      <c r="Q101" s="34">
        <f>IFERROR(P101/P148, "NA")</f>
        <v>0.21677400991475651</v>
      </c>
      <c r="R101" s="33">
        <f>IFERROR(R87-R99, "NA")</f>
        <v>10724.100000000002</v>
      </c>
      <c r="S101" s="34">
        <f>IFERROR(R101/R148, "NA")</f>
        <v>0.22318570692435319</v>
      </c>
      <c r="T101" s="33">
        <f>IFERROR(T87-T99, "NA")</f>
        <v>10149.659999999993</v>
      </c>
      <c r="U101" s="34">
        <f>IFERROR(T101/T148, "NA")</f>
        <v>0.23913433768407466</v>
      </c>
      <c r="V101" s="33">
        <f>IFERROR(V87-V99, "NA")</f>
        <v>15339.809999999998</v>
      </c>
      <c r="W101" s="34">
        <f>IFERROR(V101/V148, "NA")</f>
        <v>0.25726730437547668</v>
      </c>
      <c r="X101" s="33">
        <f>IFERROR(X87-X99, "NA")</f>
        <v>16122.229999999996</v>
      </c>
      <c r="Y101" s="34">
        <f>IFERROR(X101/X148, "NA")</f>
        <v>0.27359581775336944</v>
      </c>
      <c r="Z101" s="33">
        <f>IFERROR(Z87-Z99, "NA")</f>
        <v>41611.700000000026</v>
      </c>
      <c r="AA101" s="34">
        <f>IFERROR(Z101/Z148, "NA")</f>
        <v>0.25846341485230001</v>
      </c>
      <c r="AB101" s="33">
        <f>IFERROR((R101+T101+V101+X101)/4, "NA")</f>
        <v>13083.949999999997</v>
      </c>
      <c r="AC101" s="34">
        <f>IFERROR(AB101/AB148, "NA")</f>
        <v>0.25035470560152612</v>
      </c>
      <c r="AD101" s="15">
        <f>IFERROR(X101-AB101, "NA")</f>
        <v>3038.2799999999988</v>
      </c>
      <c r="AE101" s="16">
        <f>IFERROR(AD101/AD148, "NA")</f>
        <v>0.45581971726179255</v>
      </c>
      <c r="AF101" s="15">
        <f>IFERROR((X101-AB101)/AB101, "NA")</f>
        <v>0.23221427779837125</v>
      </c>
      <c r="AG101" s="33">
        <f>IFERROR((J101+L101+N101+P101+R101+T101+V101+X101)/8, "NA")</f>
        <v>13406.751249999998</v>
      </c>
      <c r="AH101" s="34">
        <f>IFERROR(AG101/AG148, "NA")</f>
        <v>0.26952467400481822</v>
      </c>
      <c r="AI101" s="15">
        <f>IFERROR(X101-AG101, "NA")</f>
        <v>2715.4787499999984</v>
      </c>
      <c r="AJ101" s="16">
        <f>IFERROR(AI101/AI148, "NA")</f>
        <v>0.29564352439125779</v>
      </c>
      <c r="AK101" s="15">
        <f>IFERROR((X101-AG101)/AG101, "NA")</f>
        <v>0.20254562043880683</v>
      </c>
      <c r="AL101" s="16">
        <f>IFERROR(AK101/AK148, "NA")</f>
        <v>1.0969070846032176</v>
      </c>
    </row>
    <row r="102" spans="1:38" ht="3.75" hidden="1" customHeight="1" x14ac:dyDescent="0.3">
      <c r="A102" s="35" t="s">
        <v>3</v>
      </c>
      <c r="B102" s="36"/>
      <c r="C102" s="19"/>
      <c r="D102" s="36"/>
      <c r="E102" s="19"/>
      <c r="F102" s="36"/>
      <c r="G102" s="19"/>
      <c r="H102" s="36"/>
      <c r="I102" s="19"/>
      <c r="J102" s="36"/>
      <c r="K102" s="19"/>
      <c r="L102" s="36"/>
      <c r="M102" s="19"/>
      <c r="N102" s="36"/>
      <c r="O102" s="19"/>
      <c r="P102" s="36"/>
      <c r="Q102" s="19"/>
      <c r="R102" s="36"/>
      <c r="S102" s="19"/>
      <c r="T102" s="36"/>
      <c r="U102" s="19"/>
      <c r="V102" s="36"/>
      <c r="W102" s="19"/>
      <c r="X102" s="36"/>
      <c r="Y102" s="19"/>
      <c r="Z102" s="36"/>
      <c r="AA102" s="19"/>
      <c r="AB102" s="36"/>
      <c r="AC102" s="19"/>
      <c r="AD102" s="37"/>
      <c r="AE102" s="21"/>
      <c r="AF102" s="37"/>
      <c r="AG102" s="36"/>
      <c r="AH102" s="19"/>
      <c r="AI102" s="37"/>
      <c r="AJ102" s="21"/>
      <c r="AK102" s="37"/>
      <c r="AL102" s="21"/>
    </row>
    <row r="103" spans="1:38" ht="16.5" hidden="1" customHeight="1" x14ac:dyDescent="0.3">
      <c r="A103" s="1" t="s">
        <v>110</v>
      </c>
      <c r="B103" s="2"/>
      <c r="C103" s="3"/>
      <c r="D103" s="2"/>
      <c r="E103" s="3"/>
      <c r="F103" s="2"/>
      <c r="G103" s="3"/>
      <c r="H103" s="2"/>
      <c r="I103" s="3"/>
      <c r="J103" s="2"/>
      <c r="K103" s="3"/>
      <c r="L103" s="2"/>
      <c r="M103" s="3"/>
      <c r="N103" s="2"/>
      <c r="O103" s="3"/>
      <c r="P103" s="2"/>
      <c r="Q103" s="3"/>
      <c r="R103" s="2"/>
      <c r="S103" s="3"/>
      <c r="T103" s="2"/>
      <c r="U103" s="3"/>
      <c r="V103" s="2"/>
      <c r="W103" s="3"/>
      <c r="X103" s="2"/>
      <c r="Y103" s="3"/>
      <c r="Z103" s="2"/>
      <c r="AA103" s="3"/>
      <c r="AB103" s="2"/>
      <c r="AC103" s="3"/>
      <c r="AD103" s="4"/>
      <c r="AE103" s="5"/>
      <c r="AF103" s="4"/>
      <c r="AG103" s="2"/>
      <c r="AH103" s="3"/>
      <c r="AI103" s="4"/>
      <c r="AJ103" s="5"/>
      <c r="AK103" s="4"/>
      <c r="AL103" s="5"/>
    </row>
    <row r="104" spans="1:38" ht="16.5" hidden="1" customHeight="1" x14ac:dyDescent="0.3">
      <c r="A104" s="38" t="s">
        <v>111</v>
      </c>
      <c r="B104" s="39">
        <v>0</v>
      </c>
      <c r="C104" s="34">
        <f>IFERROR(B104/B148, "NA")</f>
        <v>0</v>
      </c>
      <c r="D104" s="39">
        <v>0</v>
      </c>
      <c r="E104" s="34">
        <f>IFERROR(D104/D148, "NA")</f>
        <v>0</v>
      </c>
      <c r="F104" s="39">
        <v>5271.3</v>
      </c>
      <c r="G104" s="34">
        <f>IFERROR(F104/F148, "NA")</f>
        <v>0.11726649145544996</v>
      </c>
      <c r="H104" s="39">
        <v>13092.189999999999</v>
      </c>
      <c r="I104" s="34">
        <f>IFERROR(H104/H148, "NA")</f>
        <v>0.31774052198292252</v>
      </c>
      <c r="J104" s="39">
        <v>0</v>
      </c>
      <c r="K104" s="34">
        <f>IFERROR(J104/J148, "NA")</f>
        <v>0</v>
      </c>
      <c r="L104" s="39">
        <v>-544.22</v>
      </c>
      <c r="M104" s="34">
        <f>IFERROR(L104/L148, "NA")</f>
        <v>-1.0404596207719498E-2</v>
      </c>
      <c r="N104" s="39">
        <v>0</v>
      </c>
      <c r="O104" s="34">
        <f>IFERROR(N104/N148, "NA")</f>
        <v>0</v>
      </c>
      <c r="P104" s="39">
        <v>3988.4500000000003</v>
      </c>
      <c r="Q104" s="34">
        <f>IFERROR(P104/P148, "NA")</f>
        <v>8.4341828382898304E-2</v>
      </c>
      <c r="R104" s="39">
        <v>16410.449999999997</v>
      </c>
      <c r="S104" s="34">
        <f>IFERROR(R104/R148, "NA")</f>
        <v>0.34152776309403587</v>
      </c>
      <c r="T104" s="39">
        <v>-2574</v>
      </c>
      <c r="U104" s="34">
        <f>IFERROR(T104/T148, "NA")</f>
        <v>-6.064555711214057E-2</v>
      </c>
      <c r="V104" s="39">
        <v>0</v>
      </c>
      <c r="W104" s="34">
        <f>IFERROR(V104/V148, "NA")</f>
        <v>0</v>
      </c>
      <c r="X104" s="39">
        <v>5017.7300000000005</v>
      </c>
      <c r="Y104" s="34">
        <f>IFERROR(X104/X148, "NA")</f>
        <v>8.5151368180184428E-2</v>
      </c>
      <c r="Z104" s="39">
        <v>2443.7300000000005</v>
      </c>
      <c r="AA104" s="34">
        <f>IFERROR(Z104/Z148, "NA")</f>
        <v>1.5178779063989475E-2</v>
      </c>
      <c r="AB104" s="33">
        <f>IFERROR((R104+T104+V104+X104)/4, "NA")</f>
        <v>4713.5449999999992</v>
      </c>
      <c r="AC104" s="34">
        <f>IFERROR(AB104/AB148, "NA")</f>
        <v>9.0191277925591701E-2</v>
      </c>
      <c r="AD104" s="15">
        <f>IFERROR(X104-AB104, "NA")</f>
        <v>304.18500000000131</v>
      </c>
      <c r="AE104" s="16">
        <f>IFERROR(AD104/AD148, "NA")</f>
        <v>4.5635530858011447E-2</v>
      </c>
      <c r="AF104" s="15">
        <f>IFERROR((X104-AB104)/AB104, "NA")</f>
        <v>6.4534230605627269E-2</v>
      </c>
      <c r="AG104" s="33">
        <f>IFERROR((J104+L104+N104+P104+R104+T104+V104+X104)/8, "NA")</f>
        <v>2787.3012499999995</v>
      </c>
      <c r="AH104" s="34">
        <f>IFERROR(AG104/AG148, "NA")</f>
        <v>5.6034936932202156E-2</v>
      </c>
      <c r="AI104" s="15">
        <f>IFERROR(X104-AG104, "NA")</f>
        <v>2230.4287500000009</v>
      </c>
      <c r="AJ104" s="16">
        <f>IFERROR(AI104/AI148, "NA")</f>
        <v>0.24283446024152769</v>
      </c>
      <c r="AK104" s="15">
        <f>IFERROR((X104-AG104)/AG104, "NA")</f>
        <v>0.80021086705285316</v>
      </c>
      <c r="AL104" s="16">
        <f>IFERROR(AK104/AK148, "NA")</f>
        <v>4.3336260114888363</v>
      </c>
    </row>
    <row r="105" spans="1:38" ht="16.5" hidden="1" customHeight="1" x14ac:dyDescent="0.3">
      <c r="A105" s="12" t="s">
        <v>112</v>
      </c>
      <c r="B105" s="13">
        <f>IFERROR(B104, "NA")</f>
        <v>0</v>
      </c>
      <c r="C105" s="14">
        <f>IFERROR(B105/B148, "NA")</f>
        <v>0</v>
      </c>
      <c r="D105" s="13">
        <f>IFERROR(D104, "NA")</f>
        <v>0</v>
      </c>
      <c r="E105" s="14">
        <f>IFERROR(D105/D148, "NA")</f>
        <v>0</v>
      </c>
      <c r="F105" s="13">
        <f>IFERROR(F104, "NA")</f>
        <v>5271.3</v>
      </c>
      <c r="G105" s="14">
        <f>IFERROR(F105/F148, "NA")</f>
        <v>0.11726649145544996</v>
      </c>
      <c r="H105" s="13">
        <f>IFERROR(H104, "NA")</f>
        <v>13092.189999999999</v>
      </c>
      <c r="I105" s="14">
        <f>IFERROR(H105/H148, "NA")</f>
        <v>0.31774052198292252</v>
      </c>
      <c r="J105" s="13">
        <f>IFERROR(J104, "NA")</f>
        <v>0</v>
      </c>
      <c r="K105" s="14">
        <f>IFERROR(J105/J148, "NA")</f>
        <v>0</v>
      </c>
      <c r="L105" s="13">
        <f>IFERROR(L104, "NA")</f>
        <v>-544.22</v>
      </c>
      <c r="M105" s="14">
        <f>IFERROR(L105/L148, "NA")</f>
        <v>-1.0404596207719498E-2</v>
      </c>
      <c r="N105" s="13">
        <f>IFERROR(N104, "NA")</f>
        <v>0</v>
      </c>
      <c r="O105" s="14">
        <f>IFERROR(N105/N148, "NA")</f>
        <v>0</v>
      </c>
      <c r="P105" s="13">
        <f>IFERROR(P104, "NA")</f>
        <v>3988.4500000000003</v>
      </c>
      <c r="Q105" s="14">
        <f>IFERROR(P105/P148, "NA")</f>
        <v>8.4341828382898304E-2</v>
      </c>
      <c r="R105" s="13">
        <f>IFERROR(R104, "NA")</f>
        <v>16410.449999999997</v>
      </c>
      <c r="S105" s="14">
        <f>IFERROR(R105/R148, "NA")</f>
        <v>0.34152776309403587</v>
      </c>
      <c r="T105" s="13">
        <f>IFERROR(T104, "NA")</f>
        <v>-2574</v>
      </c>
      <c r="U105" s="14">
        <f>IFERROR(T105/T148, "NA")</f>
        <v>-6.064555711214057E-2</v>
      </c>
      <c r="V105" s="13">
        <f>IFERROR(V104, "NA")</f>
        <v>0</v>
      </c>
      <c r="W105" s="14">
        <f>IFERROR(V105/V148, "NA")</f>
        <v>0</v>
      </c>
      <c r="X105" s="13">
        <f>IFERROR(X104, "NA")</f>
        <v>5017.7300000000005</v>
      </c>
      <c r="Y105" s="14">
        <f>IFERROR(X105/X148, "NA")</f>
        <v>8.5151368180184428E-2</v>
      </c>
      <c r="Z105" s="13">
        <f>IFERROR(Z104, "NA")</f>
        <v>2443.7300000000005</v>
      </c>
      <c r="AA105" s="14">
        <f>IFERROR(Z105/Z148, "NA")</f>
        <v>1.5178779063989475E-2</v>
      </c>
      <c r="AB105" s="13">
        <f>IFERROR((R105+T105+V105+X105)/4, "NA")</f>
        <v>4713.5449999999992</v>
      </c>
      <c r="AC105" s="14">
        <f>IFERROR(AB105/AB148, "NA")</f>
        <v>9.0191277925591701E-2</v>
      </c>
      <c r="AD105" s="15">
        <f>IFERROR(X105-AB105, "NA")</f>
        <v>304.18500000000131</v>
      </c>
      <c r="AE105" s="16">
        <f>IFERROR(AD105/AD148, "NA")</f>
        <v>4.5635530858011447E-2</v>
      </c>
      <c r="AF105" s="15">
        <f>IFERROR((X105-AB105)/AB105, "NA")</f>
        <v>6.4534230605627269E-2</v>
      </c>
      <c r="AG105" s="13">
        <f>IFERROR((J105+L105+N105+P105+R105+T105+V105+X105)/8, "NA")</f>
        <v>2787.3012499999995</v>
      </c>
      <c r="AH105" s="14">
        <f>IFERROR(AG105/AG148, "NA")</f>
        <v>5.6034936932202156E-2</v>
      </c>
      <c r="AI105" s="15">
        <f>IFERROR(X105-AG105, "NA")</f>
        <v>2230.4287500000009</v>
      </c>
      <c r="AJ105" s="16">
        <f>IFERROR(AI105/AI148, "NA")</f>
        <v>0.24283446024152769</v>
      </c>
      <c r="AK105" s="15">
        <f>IFERROR((X105-AG105)/AG105, "NA")</f>
        <v>0.80021086705285316</v>
      </c>
      <c r="AL105" s="16">
        <f>IFERROR(AK105/AK148, "NA")</f>
        <v>4.3336260114888363</v>
      </c>
    </row>
    <row r="106" spans="1:38" ht="16.5" hidden="1" customHeight="1" x14ac:dyDescent="0.3">
      <c r="A106" s="35" t="s">
        <v>3</v>
      </c>
      <c r="B106" s="36"/>
      <c r="C106" s="19"/>
      <c r="D106" s="36"/>
      <c r="E106" s="19"/>
      <c r="F106" s="36"/>
      <c r="G106" s="19"/>
      <c r="H106" s="36"/>
      <c r="I106" s="19"/>
      <c r="J106" s="36"/>
      <c r="K106" s="19"/>
      <c r="L106" s="36"/>
      <c r="M106" s="19"/>
      <c r="N106" s="36"/>
      <c r="O106" s="19"/>
      <c r="P106" s="36"/>
      <c r="Q106" s="19"/>
      <c r="R106" s="36"/>
      <c r="S106" s="19"/>
      <c r="T106" s="36"/>
      <c r="U106" s="19"/>
      <c r="V106" s="36"/>
      <c r="W106" s="19"/>
      <c r="X106" s="36"/>
      <c r="Y106" s="19"/>
      <c r="Z106" s="36"/>
      <c r="AA106" s="19"/>
      <c r="AB106" s="36"/>
      <c r="AC106" s="19"/>
      <c r="AD106" s="37"/>
      <c r="AE106" s="21"/>
      <c r="AF106" s="37"/>
      <c r="AG106" s="36"/>
      <c r="AH106" s="19"/>
      <c r="AI106" s="37"/>
      <c r="AJ106" s="21"/>
      <c r="AK106" s="37"/>
      <c r="AL106" s="21"/>
    </row>
    <row r="107" spans="1:38" ht="16.5" hidden="1" customHeight="1" x14ac:dyDescent="0.3">
      <c r="A107" s="32" t="s">
        <v>113</v>
      </c>
      <c r="B107" s="33">
        <f>IFERROR(B87-B99-B105, "NA")</f>
        <v>7216.7200000000048</v>
      </c>
      <c r="C107" s="34">
        <f>IFERROR(B107/B148, "NA")</f>
        <v>0.20353557004580233</v>
      </c>
      <c r="D107" s="33">
        <f>IFERROR(D87-D99-D105, "NA")</f>
        <v>5593.84</v>
      </c>
      <c r="E107" s="34">
        <f>IFERROR(D107/D148, "NA")</f>
        <v>0.14499574124388859</v>
      </c>
      <c r="F107" s="33">
        <f>IFERROR(F87-F99-F105, "NA")</f>
        <v>2986.9999999999773</v>
      </c>
      <c r="G107" s="34">
        <f>IFERROR(F107/F148, "NA")</f>
        <v>6.644945458946111E-2</v>
      </c>
      <c r="H107" s="33">
        <f>IFERROR(H87-H99-H105, "NA")</f>
        <v>-5622.8400000000074</v>
      </c>
      <c r="I107" s="34">
        <f>IFERROR(H107/H148, "NA")</f>
        <v>-0.13646335079359975</v>
      </c>
      <c r="J107" s="33">
        <f>IFERROR(J87-J99-J105, "NA")</f>
        <v>11962.839999999995</v>
      </c>
      <c r="K107" s="34">
        <f>IFERROR(J107/J148, "NA")</f>
        <v>0.30868818025587152</v>
      </c>
      <c r="L107" s="33">
        <f>IFERROR(L87-L99-L105, "NA")</f>
        <v>18316.300000000007</v>
      </c>
      <c r="M107" s="34">
        <f>IFERROR(L107/L148, "NA")</f>
        <v>0.35017769563678791</v>
      </c>
      <c r="N107" s="33">
        <f>IFERROR(N87-N99-N105, "NA")</f>
        <v>14932.239999999994</v>
      </c>
      <c r="O107" s="34">
        <f>IFERROR(N107/N148, "NA")</f>
        <v>0.295439926762466</v>
      </c>
      <c r="P107" s="33">
        <f>IFERROR(P87-P99-P105, "NA")</f>
        <v>6262.6000000000113</v>
      </c>
      <c r="Q107" s="34">
        <f>IFERROR(P107/P148, "NA")</f>
        <v>0.13243218153185821</v>
      </c>
      <c r="R107" s="33">
        <f>IFERROR(R87-R99-R105, "NA")</f>
        <v>-5686.3499999999949</v>
      </c>
      <c r="S107" s="34">
        <f>IFERROR(R107/R148, "NA")</f>
        <v>-0.11834205616968271</v>
      </c>
      <c r="T107" s="33">
        <f>IFERROR(T87-T99-T105, "NA")</f>
        <v>12723.659999999993</v>
      </c>
      <c r="U107" s="34">
        <f>IFERROR(T107/T148, "NA")</f>
        <v>0.29977989479621525</v>
      </c>
      <c r="V107" s="33">
        <f>IFERROR(V87-V99-V105, "NA")</f>
        <v>15339.809999999998</v>
      </c>
      <c r="W107" s="34">
        <f>IFERROR(V107/V148, "NA")</f>
        <v>0.25726730437547668</v>
      </c>
      <c r="X107" s="33">
        <f>IFERROR(X87-X99-X105, "NA")</f>
        <v>11104.499999999996</v>
      </c>
      <c r="Y107" s="34">
        <f>IFERROR(X107/X148, "NA")</f>
        <v>0.18844444957318501</v>
      </c>
      <c r="Z107" s="33">
        <f>IFERROR(Z87-Z99-Z105, "NA")</f>
        <v>39167.970000000023</v>
      </c>
      <c r="AA107" s="34">
        <f>IFERROR(Z107/Z148, "NA")</f>
        <v>0.24328463578831053</v>
      </c>
      <c r="AB107" s="33">
        <f>IFERROR((R107+T107+V107+X107)/4, "NA")</f>
        <v>8370.4049999999988</v>
      </c>
      <c r="AC107" s="34">
        <f>IFERROR(AB107/AB148, "NA")</f>
        <v>0.16016342767593444</v>
      </c>
      <c r="AD107" s="15">
        <f>IFERROR(X107-AB107, "NA")</f>
        <v>2734.0949999999975</v>
      </c>
      <c r="AE107" s="16">
        <f>IFERROR(AD107/AD148, "NA")</f>
        <v>0.41018418640378107</v>
      </c>
      <c r="AF107" s="15">
        <f>IFERROR((X107-AB107)/AB107, "NA")</f>
        <v>0.32663831678395466</v>
      </c>
      <c r="AG107" s="33">
        <f>IFERROR((J107+L107+N107+P107+R107+T107+V107+X107)/8, "NA")</f>
        <v>10619.449999999999</v>
      </c>
      <c r="AH107" s="34">
        <f>IFERROR(AG107/AG148, "NA")</f>
        <v>0.21348973707261609</v>
      </c>
      <c r="AI107" s="15">
        <f>IFERROR(X107-AG107, "NA")</f>
        <v>485.04999999999745</v>
      </c>
      <c r="AJ107" s="16">
        <f>IFERROR(AI107/AI148, "NA")</f>
        <v>5.2809064149730106E-2</v>
      </c>
      <c r="AK107" s="15">
        <f>IFERROR((X107-AG107)/AG107, "NA")</f>
        <v>4.5675623502158542E-2</v>
      </c>
      <c r="AL107" s="16">
        <f>IFERROR(AK107/AK148, "NA")</f>
        <v>0.2473611372324081</v>
      </c>
    </row>
    <row r="108" spans="1:38" ht="3.75" hidden="1" customHeight="1" x14ac:dyDescent="0.3">
      <c r="A108" s="35" t="s">
        <v>3</v>
      </c>
      <c r="B108" s="36"/>
      <c r="C108" s="19"/>
      <c r="D108" s="36"/>
      <c r="E108" s="19"/>
      <c r="F108" s="36"/>
      <c r="G108" s="19"/>
      <c r="H108" s="36"/>
      <c r="I108" s="19"/>
      <c r="J108" s="36"/>
      <c r="K108" s="19"/>
      <c r="L108" s="36"/>
      <c r="M108" s="19"/>
      <c r="N108" s="36"/>
      <c r="O108" s="19"/>
      <c r="P108" s="36"/>
      <c r="Q108" s="19"/>
      <c r="R108" s="36"/>
      <c r="S108" s="19"/>
      <c r="T108" s="36"/>
      <c r="U108" s="19"/>
      <c r="V108" s="36"/>
      <c r="W108" s="19"/>
      <c r="X108" s="36"/>
      <c r="Y108" s="19"/>
      <c r="Z108" s="36"/>
      <c r="AA108" s="19"/>
      <c r="AB108" s="36"/>
      <c r="AC108" s="19"/>
      <c r="AD108" s="37"/>
      <c r="AE108" s="21"/>
      <c r="AF108" s="37"/>
      <c r="AG108" s="36"/>
      <c r="AH108" s="19"/>
      <c r="AI108" s="37"/>
      <c r="AJ108" s="21"/>
      <c r="AK108" s="37"/>
      <c r="AL108" s="21"/>
    </row>
    <row r="109" spans="1:38" ht="16.5" hidden="1" customHeight="1" x14ac:dyDescent="0.3">
      <c r="A109" s="1" t="s">
        <v>114</v>
      </c>
      <c r="B109" s="2"/>
      <c r="C109" s="3"/>
      <c r="D109" s="2"/>
      <c r="E109" s="3"/>
      <c r="F109" s="2"/>
      <c r="G109" s="3"/>
      <c r="H109" s="2"/>
      <c r="I109" s="3"/>
      <c r="J109" s="2"/>
      <c r="K109" s="3"/>
      <c r="L109" s="2"/>
      <c r="M109" s="3"/>
      <c r="N109" s="2"/>
      <c r="O109" s="3"/>
      <c r="P109" s="2"/>
      <c r="Q109" s="3"/>
      <c r="R109" s="2"/>
      <c r="S109" s="3"/>
      <c r="T109" s="2"/>
      <c r="U109" s="3"/>
      <c r="V109" s="2"/>
      <c r="W109" s="3"/>
      <c r="X109" s="2"/>
      <c r="Y109" s="3"/>
      <c r="Z109" s="2"/>
      <c r="AA109" s="3"/>
      <c r="AB109" s="2"/>
      <c r="AC109" s="3"/>
      <c r="AD109" s="4"/>
      <c r="AE109" s="5"/>
      <c r="AF109" s="4"/>
      <c r="AG109" s="2"/>
      <c r="AH109" s="3"/>
      <c r="AI109" s="4"/>
      <c r="AJ109" s="5"/>
      <c r="AK109" s="4"/>
      <c r="AL109" s="5"/>
    </row>
    <row r="110" spans="1:38" ht="16.5" hidden="1" customHeight="1" x14ac:dyDescent="0.3">
      <c r="A110" s="6" t="s">
        <v>115</v>
      </c>
      <c r="B110" s="7">
        <v>0</v>
      </c>
      <c r="C110" s="8">
        <f>IFERROR(B110/B148, "NA")</f>
        <v>0</v>
      </c>
      <c r="D110" s="7">
        <v>0</v>
      </c>
      <c r="E110" s="8">
        <f>IFERROR(D110/D148, "NA")</f>
        <v>0</v>
      </c>
      <c r="F110" s="7">
        <v>0</v>
      </c>
      <c r="G110" s="8">
        <f>IFERROR(F110/F148, "NA")</f>
        <v>0</v>
      </c>
      <c r="H110" s="7">
        <v>0</v>
      </c>
      <c r="I110" s="8">
        <f>IFERROR(H110/H148, "NA")</f>
        <v>0</v>
      </c>
      <c r="J110" s="7">
        <v>0</v>
      </c>
      <c r="K110" s="8">
        <f>IFERROR(J110/J148, "NA")</f>
        <v>0</v>
      </c>
      <c r="L110" s="7">
        <v>0</v>
      </c>
      <c r="M110" s="8">
        <f>IFERROR(L110/L148, "NA")</f>
        <v>0</v>
      </c>
      <c r="N110" s="7">
        <v>0</v>
      </c>
      <c r="O110" s="8">
        <f>IFERROR(N110/N148, "NA")</f>
        <v>0</v>
      </c>
      <c r="P110" s="7">
        <v>0</v>
      </c>
      <c r="Q110" s="8">
        <f>IFERROR(P110/P148, "NA")</f>
        <v>0</v>
      </c>
      <c r="R110" s="7">
        <v>0</v>
      </c>
      <c r="S110" s="8">
        <f>IFERROR(R110/R148, "NA")</f>
        <v>0</v>
      </c>
      <c r="T110" s="7">
        <v>0</v>
      </c>
      <c r="U110" s="8">
        <f>IFERROR(T110/T148, "NA")</f>
        <v>0</v>
      </c>
      <c r="V110" s="7">
        <v>0</v>
      </c>
      <c r="W110" s="8">
        <f>IFERROR(V110/V148, "NA")</f>
        <v>0</v>
      </c>
      <c r="X110" s="7">
        <v>0</v>
      </c>
      <c r="Y110" s="8">
        <f>IFERROR(X110/X148, "NA")</f>
        <v>0</v>
      </c>
      <c r="Z110" s="7">
        <v>0</v>
      </c>
      <c r="AA110" s="8">
        <f>IFERROR(Z110/Z148, "NA")</f>
        <v>0</v>
      </c>
      <c r="AB110" s="9">
        <f t="shared" ref="AB110:AB135" si="42">IFERROR((R110+T110+V110+X110)/4, "NA")</f>
        <v>0</v>
      </c>
      <c r="AC110" s="8">
        <f>IFERROR(AB110/AB148, "NA")</f>
        <v>0</v>
      </c>
      <c r="AD110" s="10">
        <f t="shared" ref="AD110:AD135" si="43">IFERROR(X110-AB110, "NA")</f>
        <v>0</v>
      </c>
      <c r="AE110" s="11">
        <f>IFERROR(AD110/AD148, "NA")</f>
        <v>0</v>
      </c>
      <c r="AF110" s="10" t="str">
        <f t="shared" ref="AF110:AF135" si="44">IFERROR((X110-AB110)/AB110, "NA")</f>
        <v>NA</v>
      </c>
      <c r="AG110" s="9">
        <f t="shared" ref="AG110:AG135" si="45">IFERROR((J110+L110+N110+P110+R110+T110+V110+X110)/8, "NA")</f>
        <v>0</v>
      </c>
      <c r="AH110" s="8">
        <f>IFERROR(AG110/AG148, "NA")</f>
        <v>0</v>
      </c>
      <c r="AI110" s="10">
        <f t="shared" ref="AI110:AI135" si="46">IFERROR(X110-AG110, "NA")</f>
        <v>0</v>
      </c>
      <c r="AJ110" s="11">
        <f>IFERROR(AI110/AI148, "NA")</f>
        <v>0</v>
      </c>
      <c r="AK110" s="10" t="str">
        <f t="shared" ref="AK110:AK135" si="47">IFERROR((X110-AG110)/AG110, "NA")</f>
        <v>NA</v>
      </c>
      <c r="AL110" s="11" t="str">
        <f>IFERROR(AK110/AK148, "NA")</f>
        <v>NA</v>
      </c>
    </row>
    <row r="111" spans="1:38" ht="16.5" hidden="1" customHeight="1" x14ac:dyDescent="0.3">
      <c r="A111" s="6" t="s">
        <v>116</v>
      </c>
      <c r="B111" s="7">
        <v>0</v>
      </c>
      <c r="C111" s="8">
        <f>IFERROR(B111/B148, "NA")</f>
        <v>0</v>
      </c>
      <c r="D111" s="7">
        <v>0</v>
      </c>
      <c r="E111" s="8">
        <f>IFERROR(D111/D148, "NA")</f>
        <v>0</v>
      </c>
      <c r="F111" s="7">
        <v>0</v>
      </c>
      <c r="G111" s="8">
        <f>IFERROR(F111/F148, "NA")</f>
        <v>0</v>
      </c>
      <c r="H111" s="7">
        <v>0</v>
      </c>
      <c r="I111" s="8">
        <f>IFERROR(H111/H148, "NA")</f>
        <v>0</v>
      </c>
      <c r="J111" s="7">
        <v>0</v>
      </c>
      <c r="K111" s="8">
        <f>IFERROR(J111/J148, "NA")</f>
        <v>0</v>
      </c>
      <c r="L111" s="7">
        <v>0</v>
      </c>
      <c r="M111" s="8">
        <f>IFERROR(L111/L148, "NA")</f>
        <v>0</v>
      </c>
      <c r="N111" s="7">
        <v>0</v>
      </c>
      <c r="O111" s="8">
        <f>IFERROR(N111/N148, "NA")</f>
        <v>0</v>
      </c>
      <c r="P111" s="7">
        <v>0</v>
      </c>
      <c r="Q111" s="8">
        <f>IFERROR(P111/P148, "NA")</f>
        <v>0</v>
      </c>
      <c r="R111" s="7">
        <v>0</v>
      </c>
      <c r="S111" s="8">
        <f>IFERROR(R111/R148, "NA")</f>
        <v>0</v>
      </c>
      <c r="T111" s="7">
        <v>0</v>
      </c>
      <c r="U111" s="8">
        <f>IFERROR(T111/T148, "NA")</f>
        <v>0</v>
      </c>
      <c r="V111" s="7">
        <v>0</v>
      </c>
      <c r="W111" s="8">
        <f>IFERROR(V111/V148, "NA")</f>
        <v>0</v>
      </c>
      <c r="X111" s="7">
        <v>0</v>
      </c>
      <c r="Y111" s="8">
        <f>IFERROR(X111/X148, "NA")</f>
        <v>0</v>
      </c>
      <c r="Z111" s="7">
        <v>0</v>
      </c>
      <c r="AA111" s="8">
        <f>IFERROR(Z111/Z148, "NA")</f>
        <v>0</v>
      </c>
      <c r="AB111" s="9">
        <f t="shared" si="42"/>
        <v>0</v>
      </c>
      <c r="AC111" s="8">
        <f>IFERROR(AB111/AB148, "NA")</f>
        <v>0</v>
      </c>
      <c r="AD111" s="10">
        <f t="shared" si="43"/>
        <v>0</v>
      </c>
      <c r="AE111" s="11">
        <f>IFERROR(AD111/AD148, "NA")</f>
        <v>0</v>
      </c>
      <c r="AF111" s="10" t="str">
        <f t="shared" si="44"/>
        <v>NA</v>
      </c>
      <c r="AG111" s="9">
        <f t="shared" si="45"/>
        <v>0</v>
      </c>
      <c r="AH111" s="8">
        <f>IFERROR(AG111/AG148, "NA")</f>
        <v>0</v>
      </c>
      <c r="AI111" s="10">
        <f t="shared" si="46"/>
        <v>0</v>
      </c>
      <c r="AJ111" s="11">
        <f>IFERROR(AI111/AI148, "NA")</f>
        <v>0</v>
      </c>
      <c r="AK111" s="10" t="str">
        <f t="shared" si="47"/>
        <v>NA</v>
      </c>
      <c r="AL111" s="11" t="str">
        <f>IFERROR(AK111/AK148, "NA")</f>
        <v>NA</v>
      </c>
    </row>
    <row r="112" spans="1:38" ht="16.5" hidden="1" customHeight="1" x14ac:dyDescent="0.3">
      <c r="A112" s="6" t="s">
        <v>117</v>
      </c>
      <c r="B112" s="7">
        <v>0</v>
      </c>
      <c r="C112" s="8">
        <f>IFERROR(B112/B148, "NA")</f>
        <v>0</v>
      </c>
      <c r="D112" s="7">
        <v>0</v>
      </c>
      <c r="E112" s="8">
        <f>IFERROR(D112/D148, "NA")</f>
        <v>0</v>
      </c>
      <c r="F112" s="7">
        <v>0</v>
      </c>
      <c r="G112" s="8">
        <f>IFERROR(F112/F148, "NA")</f>
        <v>0</v>
      </c>
      <c r="H112" s="7">
        <v>0</v>
      </c>
      <c r="I112" s="8">
        <f>IFERROR(H112/H148, "NA")</f>
        <v>0</v>
      </c>
      <c r="J112" s="7">
        <v>0</v>
      </c>
      <c r="K112" s="8">
        <f>IFERROR(J112/J148, "NA")</f>
        <v>0</v>
      </c>
      <c r="L112" s="7">
        <v>0</v>
      </c>
      <c r="M112" s="8">
        <f>IFERROR(L112/L148, "NA")</f>
        <v>0</v>
      </c>
      <c r="N112" s="7">
        <v>0</v>
      </c>
      <c r="O112" s="8">
        <f>IFERROR(N112/N148, "NA")</f>
        <v>0</v>
      </c>
      <c r="P112" s="7">
        <v>0</v>
      </c>
      <c r="Q112" s="8">
        <f>IFERROR(P112/P148, "NA")</f>
        <v>0</v>
      </c>
      <c r="R112" s="7">
        <v>0</v>
      </c>
      <c r="S112" s="8">
        <f>IFERROR(R112/R148, "NA")</f>
        <v>0</v>
      </c>
      <c r="T112" s="7">
        <v>0</v>
      </c>
      <c r="U112" s="8">
        <f>IFERROR(T112/T148, "NA")</f>
        <v>0</v>
      </c>
      <c r="V112" s="7">
        <v>0</v>
      </c>
      <c r="W112" s="8">
        <f>IFERROR(V112/V148, "NA")</f>
        <v>0</v>
      </c>
      <c r="X112" s="7">
        <v>0</v>
      </c>
      <c r="Y112" s="8">
        <f>IFERROR(X112/X148, "NA")</f>
        <v>0</v>
      </c>
      <c r="Z112" s="7">
        <v>0</v>
      </c>
      <c r="AA112" s="8">
        <f>IFERROR(Z112/Z148, "NA")</f>
        <v>0</v>
      </c>
      <c r="AB112" s="9">
        <f t="shared" si="42"/>
        <v>0</v>
      </c>
      <c r="AC112" s="8">
        <f>IFERROR(AB112/AB148, "NA")</f>
        <v>0</v>
      </c>
      <c r="AD112" s="10">
        <f t="shared" si="43"/>
        <v>0</v>
      </c>
      <c r="AE112" s="11">
        <f>IFERROR(AD112/AD148, "NA")</f>
        <v>0</v>
      </c>
      <c r="AF112" s="10" t="str">
        <f t="shared" si="44"/>
        <v>NA</v>
      </c>
      <c r="AG112" s="9">
        <f t="shared" si="45"/>
        <v>0</v>
      </c>
      <c r="AH112" s="8">
        <f>IFERROR(AG112/AG148, "NA")</f>
        <v>0</v>
      </c>
      <c r="AI112" s="10">
        <f t="shared" si="46"/>
        <v>0</v>
      </c>
      <c r="AJ112" s="11">
        <f>IFERROR(AI112/AI148, "NA")</f>
        <v>0</v>
      </c>
      <c r="AK112" s="10" t="str">
        <f t="shared" si="47"/>
        <v>NA</v>
      </c>
      <c r="AL112" s="11" t="str">
        <f>IFERROR(AK112/AK148, "NA")</f>
        <v>NA</v>
      </c>
    </row>
    <row r="113" spans="1:38" ht="16.5" hidden="1" customHeight="1" x14ac:dyDescent="0.3">
      <c r="A113" s="6" t="s">
        <v>118</v>
      </c>
      <c r="B113" s="7">
        <v>0</v>
      </c>
      <c r="C113" s="8">
        <f>IFERROR(B113/B148, "NA")</f>
        <v>0</v>
      </c>
      <c r="D113" s="7">
        <v>0</v>
      </c>
      <c r="E113" s="8">
        <f>IFERROR(D113/D148, "NA")</f>
        <v>0</v>
      </c>
      <c r="F113" s="7">
        <v>0</v>
      </c>
      <c r="G113" s="8">
        <f>IFERROR(F113/F148, "NA")</f>
        <v>0</v>
      </c>
      <c r="H113" s="7">
        <v>0</v>
      </c>
      <c r="I113" s="8">
        <f>IFERROR(H113/H148, "NA")</f>
        <v>0</v>
      </c>
      <c r="J113" s="7">
        <v>0</v>
      </c>
      <c r="K113" s="8">
        <f>IFERROR(J113/J148, "NA")</f>
        <v>0</v>
      </c>
      <c r="L113" s="7">
        <v>0</v>
      </c>
      <c r="M113" s="8">
        <f>IFERROR(L113/L148, "NA")</f>
        <v>0</v>
      </c>
      <c r="N113" s="7">
        <v>0</v>
      </c>
      <c r="O113" s="8">
        <f>IFERROR(N113/N148, "NA")</f>
        <v>0</v>
      </c>
      <c r="P113" s="7">
        <v>0</v>
      </c>
      <c r="Q113" s="8">
        <f>IFERROR(P113/P148, "NA")</f>
        <v>0</v>
      </c>
      <c r="R113" s="7">
        <v>0</v>
      </c>
      <c r="S113" s="8">
        <f>IFERROR(R113/R148, "NA")</f>
        <v>0</v>
      </c>
      <c r="T113" s="7">
        <v>0</v>
      </c>
      <c r="U113" s="8">
        <f>IFERROR(T113/T148, "NA")</f>
        <v>0</v>
      </c>
      <c r="V113" s="7">
        <v>0</v>
      </c>
      <c r="W113" s="8">
        <f>IFERROR(V113/V148, "NA")</f>
        <v>0</v>
      </c>
      <c r="X113" s="7">
        <v>0</v>
      </c>
      <c r="Y113" s="8">
        <f>IFERROR(X113/X148, "NA")</f>
        <v>0</v>
      </c>
      <c r="Z113" s="7">
        <v>0</v>
      </c>
      <c r="AA113" s="8">
        <f>IFERROR(Z113/Z148, "NA")</f>
        <v>0</v>
      </c>
      <c r="AB113" s="9">
        <f t="shared" si="42"/>
        <v>0</v>
      </c>
      <c r="AC113" s="8">
        <f>IFERROR(AB113/AB148, "NA")</f>
        <v>0</v>
      </c>
      <c r="AD113" s="10">
        <f t="shared" si="43"/>
        <v>0</v>
      </c>
      <c r="AE113" s="11">
        <f>IFERROR(AD113/AD148, "NA")</f>
        <v>0</v>
      </c>
      <c r="AF113" s="10" t="str">
        <f t="shared" si="44"/>
        <v>NA</v>
      </c>
      <c r="AG113" s="9">
        <f t="shared" si="45"/>
        <v>0</v>
      </c>
      <c r="AH113" s="8">
        <f>IFERROR(AG113/AG148, "NA")</f>
        <v>0</v>
      </c>
      <c r="AI113" s="10">
        <f t="shared" si="46"/>
        <v>0</v>
      </c>
      <c r="AJ113" s="11">
        <f>IFERROR(AI113/AI148, "NA")</f>
        <v>0</v>
      </c>
      <c r="AK113" s="10" t="str">
        <f t="shared" si="47"/>
        <v>NA</v>
      </c>
      <c r="AL113" s="11" t="str">
        <f>IFERROR(AK113/AK148, "NA")</f>
        <v>NA</v>
      </c>
    </row>
    <row r="114" spans="1:38" ht="16.5" hidden="1" customHeight="1" x14ac:dyDescent="0.3">
      <c r="A114" s="6" t="s">
        <v>119</v>
      </c>
      <c r="B114" s="7">
        <v>0</v>
      </c>
      <c r="C114" s="8">
        <f>IFERROR(B114/B148, "NA")</f>
        <v>0</v>
      </c>
      <c r="D114" s="7">
        <v>0</v>
      </c>
      <c r="E114" s="8">
        <f>IFERROR(D114/D148, "NA")</f>
        <v>0</v>
      </c>
      <c r="F114" s="7">
        <v>0</v>
      </c>
      <c r="G114" s="8">
        <f>IFERROR(F114/F148, "NA")</f>
        <v>0</v>
      </c>
      <c r="H114" s="7">
        <v>0</v>
      </c>
      <c r="I114" s="8">
        <f>IFERROR(H114/H148, "NA")</f>
        <v>0</v>
      </c>
      <c r="J114" s="7">
        <v>0</v>
      </c>
      <c r="K114" s="8">
        <f>IFERROR(J114/J148, "NA")</f>
        <v>0</v>
      </c>
      <c r="L114" s="7">
        <v>0</v>
      </c>
      <c r="M114" s="8">
        <f>IFERROR(L114/L148, "NA")</f>
        <v>0</v>
      </c>
      <c r="N114" s="7">
        <v>0</v>
      </c>
      <c r="O114" s="8">
        <f>IFERROR(N114/N148, "NA")</f>
        <v>0</v>
      </c>
      <c r="P114" s="7">
        <v>0</v>
      </c>
      <c r="Q114" s="8">
        <f>IFERROR(P114/P148, "NA")</f>
        <v>0</v>
      </c>
      <c r="R114" s="7">
        <v>0</v>
      </c>
      <c r="S114" s="8">
        <f>IFERROR(R114/R148, "NA")</f>
        <v>0</v>
      </c>
      <c r="T114" s="7">
        <v>0</v>
      </c>
      <c r="U114" s="8">
        <f>IFERROR(T114/T148, "NA")</f>
        <v>0</v>
      </c>
      <c r="V114" s="7">
        <v>0</v>
      </c>
      <c r="W114" s="8">
        <f>IFERROR(V114/V148, "NA")</f>
        <v>0</v>
      </c>
      <c r="X114" s="7">
        <v>0</v>
      </c>
      <c r="Y114" s="8">
        <f>IFERROR(X114/X148, "NA")</f>
        <v>0</v>
      </c>
      <c r="Z114" s="7">
        <v>0</v>
      </c>
      <c r="AA114" s="8">
        <f>IFERROR(Z114/Z148, "NA")</f>
        <v>0</v>
      </c>
      <c r="AB114" s="9">
        <f t="shared" si="42"/>
        <v>0</v>
      </c>
      <c r="AC114" s="8">
        <f>IFERROR(AB114/AB148, "NA")</f>
        <v>0</v>
      </c>
      <c r="AD114" s="10">
        <f t="shared" si="43"/>
        <v>0</v>
      </c>
      <c r="AE114" s="11">
        <f>IFERROR(AD114/AD148, "NA")</f>
        <v>0</v>
      </c>
      <c r="AF114" s="10" t="str">
        <f t="shared" si="44"/>
        <v>NA</v>
      </c>
      <c r="AG114" s="9">
        <f t="shared" si="45"/>
        <v>0</v>
      </c>
      <c r="AH114" s="8">
        <f>IFERROR(AG114/AG148, "NA")</f>
        <v>0</v>
      </c>
      <c r="AI114" s="10">
        <f t="shared" si="46"/>
        <v>0</v>
      </c>
      <c r="AJ114" s="11">
        <f>IFERROR(AI114/AI148, "NA")</f>
        <v>0</v>
      </c>
      <c r="AK114" s="10" t="str">
        <f t="shared" si="47"/>
        <v>NA</v>
      </c>
      <c r="AL114" s="11" t="str">
        <f>IFERROR(AK114/AK148, "NA")</f>
        <v>NA</v>
      </c>
    </row>
    <row r="115" spans="1:38" ht="16.5" hidden="1" customHeight="1" x14ac:dyDescent="0.3">
      <c r="A115" s="6" t="s">
        <v>120</v>
      </c>
      <c r="B115" s="7">
        <v>0</v>
      </c>
      <c r="C115" s="8">
        <f>IFERROR(B115/B148, "NA")</f>
        <v>0</v>
      </c>
      <c r="D115" s="7">
        <v>0</v>
      </c>
      <c r="E115" s="8">
        <f>IFERROR(D115/D148, "NA")</f>
        <v>0</v>
      </c>
      <c r="F115" s="7">
        <v>0</v>
      </c>
      <c r="G115" s="8">
        <f>IFERROR(F115/F148, "NA")</f>
        <v>0</v>
      </c>
      <c r="H115" s="7">
        <v>0</v>
      </c>
      <c r="I115" s="8">
        <f>IFERROR(H115/H148, "NA")</f>
        <v>0</v>
      </c>
      <c r="J115" s="7">
        <v>0</v>
      </c>
      <c r="K115" s="8">
        <f>IFERROR(J115/J148, "NA")</f>
        <v>0</v>
      </c>
      <c r="L115" s="7">
        <v>0</v>
      </c>
      <c r="M115" s="8">
        <f>IFERROR(L115/L148, "NA")</f>
        <v>0</v>
      </c>
      <c r="N115" s="7">
        <v>0</v>
      </c>
      <c r="O115" s="8">
        <f>IFERROR(N115/N148, "NA")</f>
        <v>0</v>
      </c>
      <c r="P115" s="7">
        <v>0</v>
      </c>
      <c r="Q115" s="8">
        <f>IFERROR(P115/P148, "NA")</f>
        <v>0</v>
      </c>
      <c r="R115" s="7">
        <v>0</v>
      </c>
      <c r="S115" s="8">
        <f>IFERROR(R115/R148, "NA")</f>
        <v>0</v>
      </c>
      <c r="T115" s="7">
        <v>0</v>
      </c>
      <c r="U115" s="8">
        <f>IFERROR(T115/T148, "NA")</f>
        <v>0</v>
      </c>
      <c r="V115" s="7">
        <v>3.7</v>
      </c>
      <c r="W115" s="8">
        <f>IFERROR(V115/V148, "NA")</f>
        <v>6.2053508237016231E-5</v>
      </c>
      <c r="X115" s="7">
        <v>0</v>
      </c>
      <c r="Y115" s="8">
        <f>IFERROR(X115/X148, "NA")</f>
        <v>0</v>
      </c>
      <c r="Z115" s="7">
        <v>3.7</v>
      </c>
      <c r="AA115" s="8">
        <f>IFERROR(Z115/Z148, "NA")</f>
        <v>2.2981868920363974E-5</v>
      </c>
      <c r="AB115" s="9">
        <f t="shared" si="42"/>
        <v>0.92500000000000004</v>
      </c>
      <c r="AC115" s="8">
        <f>IFERROR(AB115/AB148, "NA")</f>
        <v>1.7699402908251082E-5</v>
      </c>
      <c r="AD115" s="10">
        <f t="shared" si="43"/>
        <v>-0.92500000000000004</v>
      </c>
      <c r="AE115" s="11">
        <f>IFERROR(AD115/AD148, "NA")</f>
        <v>-1.387736609091849E-4</v>
      </c>
      <c r="AF115" s="10">
        <f t="shared" si="44"/>
        <v>-1</v>
      </c>
      <c r="AG115" s="9">
        <f t="shared" si="45"/>
        <v>0.46250000000000002</v>
      </c>
      <c r="AH115" s="8">
        <f>IFERROR(AG115/AG148, "NA")</f>
        <v>9.297939478606234E-6</v>
      </c>
      <c r="AI115" s="10">
        <f t="shared" si="46"/>
        <v>-0.46250000000000002</v>
      </c>
      <c r="AJ115" s="11">
        <f>IFERROR(AI115/AI148, "NA")</f>
        <v>-5.0353967981136588E-5</v>
      </c>
      <c r="AK115" s="10">
        <f t="shared" si="47"/>
        <v>-1</v>
      </c>
      <c r="AL115" s="11">
        <f>IFERROR(AK115/AK148, "NA")</f>
        <v>-5.4156050485160492</v>
      </c>
    </row>
    <row r="116" spans="1:38" ht="16.5" hidden="1" customHeight="1" x14ac:dyDescent="0.3">
      <c r="A116" s="6" t="s">
        <v>121</v>
      </c>
      <c r="B116" s="7">
        <v>0</v>
      </c>
      <c r="C116" s="8">
        <f>IFERROR(B116/B148, "NA")</f>
        <v>0</v>
      </c>
      <c r="D116" s="7">
        <v>0</v>
      </c>
      <c r="E116" s="8">
        <f>IFERROR(D116/D148, "NA")</f>
        <v>0</v>
      </c>
      <c r="F116" s="7">
        <v>0</v>
      </c>
      <c r="G116" s="8">
        <f>IFERROR(F116/F148, "NA")</f>
        <v>0</v>
      </c>
      <c r="H116" s="7">
        <v>0</v>
      </c>
      <c r="I116" s="8">
        <f>IFERROR(H116/H148, "NA")</f>
        <v>0</v>
      </c>
      <c r="J116" s="7">
        <v>0</v>
      </c>
      <c r="K116" s="8">
        <f>IFERROR(J116/J148, "NA")</f>
        <v>0</v>
      </c>
      <c r="L116" s="7">
        <v>0</v>
      </c>
      <c r="M116" s="8">
        <f>IFERROR(L116/L148, "NA")</f>
        <v>0</v>
      </c>
      <c r="N116" s="7">
        <v>0</v>
      </c>
      <c r="O116" s="8">
        <f>IFERROR(N116/N148, "NA")</f>
        <v>0</v>
      </c>
      <c r="P116" s="7">
        <v>0</v>
      </c>
      <c r="Q116" s="8">
        <f>IFERROR(P116/P148, "NA")</f>
        <v>0</v>
      </c>
      <c r="R116" s="7">
        <v>0</v>
      </c>
      <c r="S116" s="8">
        <f>IFERROR(R116/R148, "NA")</f>
        <v>0</v>
      </c>
      <c r="T116" s="7">
        <v>0</v>
      </c>
      <c r="U116" s="8">
        <f>IFERROR(T116/T148, "NA")</f>
        <v>0</v>
      </c>
      <c r="V116" s="7">
        <v>0</v>
      </c>
      <c r="W116" s="8">
        <f>IFERROR(V116/V148, "NA")</f>
        <v>0</v>
      </c>
      <c r="X116" s="7">
        <v>0</v>
      </c>
      <c r="Y116" s="8">
        <f>IFERROR(X116/X148, "NA")</f>
        <v>0</v>
      </c>
      <c r="Z116" s="7">
        <v>0</v>
      </c>
      <c r="AA116" s="8">
        <f>IFERROR(Z116/Z148, "NA")</f>
        <v>0</v>
      </c>
      <c r="AB116" s="9">
        <f t="shared" si="42"/>
        <v>0</v>
      </c>
      <c r="AC116" s="8">
        <f>IFERROR(AB116/AB148, "NA")</f>
        <v>0</v>
      </c>
      <c r="AD116" s="10">
        <f t="shared" si="43"/>
        <v>0</v>
      </c>
      <c r="AE116" s="11">
        <f>IFERROR(AD116/AD148, "NA")</f>
        <v>0</v>
      </c>
      <c r="AF116" s="10" t="str">
        <f t="shared" si="44"/>
        <v>NA</v>
      </c>
      <c r="AG116" s="9">
        <f t="shared" si="45"/>
        <v>0</v>
      </c>
      <c r="AH116" s="8">
        <f>IFERROR(AG116/AG148, "NA")</f>
        <v>0</v>
      </c>
      <c r="AI116" s="10">
        <f t="shared" si="46"/>
        <v>0</v>
      </c>
      <c r="AJ116" s="11">
        <f>IFERROR(AI116/AI148, "NA")</f>
        <v>0</v>
      </c>
      <c r="AK116" s="10" t="str">
        <f t="shared" si="47"/>
        <v>NA</v>
      </c>
      <c r="AL116" s="11" t="str">
        <f>IFERROR(AK116/AK148, "NA")</f>
        <v>NA</v>
      </c>
    </row>
    <row r="117" spans="1:38" ht="16.5" hidden="1" customHeight="1" x14ac:dyDescent="0.3">
      <c r="A117" s="6" t="s">
        <v>122</v>
      </c>
      <c r="B117" s="7">
        <v>0</v>
      </c>
      <c r="C117" s="8">
        <f>IFERROR(B117/B148, "NA")</f>
        <v>0</v>
      </c>
      <c r="D117" s="7">
        <v>0</v>
      </c>
      <c r="E117" s="8">
        <f>IFERROR(D117/D148, "NA")</f>
        <v>0</v>
      </c>
      <c r="F117" s="7">
        <v>0</v>
      </c>
      <c r="G117" s="8">
        <f>IFERROR(F117/F148, "NA")</f>
        <v>0</v>
      </c>
      <c r="H117" s="7">
        <v>0</v>
      </c>
      <c r="I117" s="8">
        <f>IFERROR(H117/H148, "NA")</f>
        <v>0</v>
      </c>
      <c r="J117" s="7">
        <v>0</v>
      </c>
      <c r="K117" s="8">
        <f>IFERROR(J117/J148, "NA")</f>
        <v>0</v>
      </c>
      <c r="L117" s="7">
        <v>0</v>
      </c>
      <c r="M117" s="8">
        <f>IFERROR(L117/L148, "NA")</f>
        <v>0</v>
      </c>
      <c r="N117" s="7">
        <v>0</v>
      </c>
      <c r="O117" s="8">
        <f>IFERROR(N117/N148, "NA")</f>
        <v>0</v>
      </c>
      <c r="P117" s="7">
        <v>0</v>
      </c>
      <c r="Q117" s="8">
        <f>IFERROR(P117/P148, "NA")</f>
        <v>0</v>
      </c>
      <c r="R117" s="7">
        <v>0</v>
      </c>
      <c r="S117" s="8">
        <f>IFERROR(R117/R148, "NA")</f>
        <v>0</v>
      </c>
      <c r="T117" s="7">
        <v>0</v>
      </c>
      <c r="U117" s="8">
        <f>IFERROR(T117/T148, "NA")</f>
        <v>0</v>
      </c>
      <c r="V117" s="7">
        <v>0</v>
      </c>
      <c r="W117" s="8">
        <f>IFERROR(V117/V148, "NA")</f>
        <v>0</v>
      </c>
      <c r="X117" s="7">
        <v>0</v>
      </c>
      <c r="Y117" s="8">
        <f>IFERROR(X117/X148, "NA")</f>
        <v>0</v>
      </c>
      <c r="Z117" s="7">
        <v>0</v>
      </c>
      <c r="AA117" s="8">
        <f>IFERROR(Z117/Z148, "NA")</f>
        <v>0</v>
      </c>
      <c r="AB117" s="9">
        <f t="shared" si="42"/>
        <v>0</v>
      </c>
      <c r="AC117" s="8">
        <f>IFERROR(AB117/AB148, "NA")</f>
        <v>0</v>
      </c>
      <c r="AD117" s="10">
        <f t="shared" si="43"/>
        <v>0</v>
      </c>
      <c r="AE117" s="11">
        <f>IFERROR(AD117/AD148, "NA")</f>
        <v>0</v>
      </c>
      <c r="AF117" s="10" t="str">
        <f t="shared" si="44"/>
        <v>NA</v>
      </c>
      <c r="AG117" s="9">
        <f t="shared" si="45"/>
        <v>0</v>
      </c>
      <c r="AH117" s="8">
        <f>IFERROR(AG117/AG148, "NA")</f>
        <v>0</v>
      </c>
      <c r="AI117" s="10">
        <f t="shared" si="46"/>
        <v>0</v>
      </c>
      <c r="AJ117" s="11">
        <f>IFERROR(AI117/AI148, "NA")</f>
        <v>0</v>
      </c>
      <c r="AK117" s="10" t="str">
        <f t="shared" si="47"/>
        <v>NA</v>
      </c>
      <c r="AL117" s="11" t="str">
        <f>IFERROR(AK117/AK148, "NA")</f>
        <v>NA</v>
      </c>
    </row>
    <row r="118" spans="1:38" ht="16.5" hidden="1" customHeight="1" x14ac:dyDescent="0.3">
      <c r="A118" s="6" t="s">
        <v>123</v>
      </c>
      <c r="B118" s="7">
        <v>0</v>
      </c>
      <c r="C118" s="8">
        <f>IFERROR(B118/B148, "NA")</f>
        <v>0</v>
      </c>
      <c r="D118" s="7">
        <v>0</v>
      </c>
      <c r="E118" s="8">
        <f>IFERROR(D118/D148, "NA")</f>
        <v>0</v>
      </c>
      <c r="F118" s="7">
        <v>0</v>
      </c>
      <c r="G118" s="8">
        <f>IFERROR(F118/F148, "NA")</f>
        <v>0</v>
      </c>
      <c r="H118" s="7">
        <v>0</v>
      </c>
      <c r="I118" s="8">
        <f>IFERROR(H118/H148, "NA")</f>
        <v>0</v>
      </c>
      <c r="J118" s="7">
        <v>0</v>
      </c>
      <c r="K118" s="8">
        <f>IFERROR(J118/J148, "NA")</f>
        <v>0</v>
      </c>
      <c r="L118" s="7">
        <v>0</v>
      </c>
      <c r="M118" s="8">
        <f>IFERROR(L118/L148, "NA")</f>
        <v>0</v>
      </c>
      <c r="N118" s="7">
        <v>0</v>
      </c>
      <c r="O118" s="8">
        <f>IFERROR(N118/N148, "NA")</f>
        <v>0</v>
      </c>
      <c r="P118" s="7">
        <v>0</v>
      </c>
      <c r="Q118" s="8">
        <f>IFERROR(P118/P148, "NA")</f>
        <v>0</v>
      </c>
      <c r="R118" s="7">
        <v>0</v>
      </c>
      <c r="S118" s="8">
        <f>IFERROR(R118/R148, "NA")</f>
        <v>0</v>
      </c>
      <c r="T118" s="7">
        <v>0</v>
      </c>
      <c r="U118" s="8">
        <f>IFERROR(T118/T148, "NA")</f>
        <v>0</v>
      </c>
      <c r="V118" s="7">
        <v>0</v>
      </c>
      <c r="W118" s="8">
        <f>IFERROR(V118/V148, "NA")</f>
        <v>0</v>
      </c>
      <c r="X118" s="7">
        <v>0</v>
      </c>
      <c r="Y118" s="8">
        <f>IFERROR(X118/X148, "NA")</f>
        <v>0</v>
      </c>
      <c r="Z118" s="7">
        <v>0</v>
      </c>
      <c r="AA118" s="8">
        <f>IFERROR(Z118/Z148, "NA")</f>
        <v>0</v>
      </c>
      <c r="AB118" s="9">
        <f t="shared" si="42"/>
        <v>0</v>
      </c>
      <c r="AC118" s="8">
        <f>IFERROR(AB118/AB148, "NA")</f>
        <v>0</v>
      </c>
      <c r="AD118" s="10">
        <f t="shared" si="43"/>
        <v>0</v>
      </c>
      <c r="AE118" s="11">
        <f>IFERROR(AD118/AD148, "NA")</f>
        <v>0</v>
      </c>
      <c r="AF118" s="10" t="str">
        <f t="shared" si="44"/>
        <v>NA</v>
      </c>
      <c r="AG118" s="9">
        <f t="shared" si="45"/>
        <v>0</v>
      </c>
      <c r="AH118" s="8">
        <f>IFERROR(AG118/AG148, "NA")</f>
        <v>0</v>
      </c>
      <c r="AI118" s="10">
        <f t="shared" si="46"/>
        <v>0</v>
      </c>
      <c r="AJ118" s="11">
        <f>IFERROR(AI118/AI148, "NA")</f>
        <v>0</v>
      </c>
      <c r="AK118" s="10" t="str">
        <f t="shared" si="47"/>
        <v>NA</v>
      </c>
      <c r="AL118" s="11" t="str">
        <f>IFERROR(AK118/AK148, "NA")</f>
        <v>NA</v>
      </c>
    </row>
    <row r="119" spans="1:38" ht="16.5" hidden="1" customHeight="1" x14ac:dyDescent="0.3">
      <c r="A119" s="6" t="s">
        <v>124</v>
      </c>
      <c r="B119" s="7">
        <v>0</v>
      </c>
      <c r="C119" s="8">
        <f>IFERROR(B119/B148, "NA")</f>
        <v>0</v>
      </c>
      <c r="D119" s="7">
        <v>0</v>
      </c>
      <c r="E119" s="8">
        <f>IFERROR(D119/D148, "NA")</f>
        <v>0</v>
      </c>
      <c r="F119" s="7">
        <v>0</v>
      </c>
      <c r="G119" s="8">
        <f>IFERROR(F119/F148, "NA")</f>
        <v>0</v>
      </c>
      <c r="H119" s="7">
        <v>0</v>
      </c>
      <c r="I119" s="8">
        <f>IFERROR(H119/H148, "NA")</f>
        <v>0</v>
      </c>
      <c r="J119" s="7">
        <v>0</v>
      </c>
      <c r="K119" s="8">
        <f>IFERROR(J119/J148, "NA")</f>
        <v>0</v>
      </c>
      <c r="L119" s="7">
        <v>0</v>
      </c>
      <c r="M119" s="8">
        <f>IFERROR(L119/L148, "NA")</f>
        <v>0</v>
      </c>
      <c r="N119" s="7">
        <v>0</v>
      </c>
      <c r="O119" s="8">
        <f>IFERROR(N119/N148, "NA")</f>
        <v>0</v>
      </c>
      <c r="P119" s="7">
        <v>0</v>
      </c>
      <c r="Q119" s="8">
        <f>IFERROR(P119/P148, "NA")</f>
        <v>0</v>
      </c>
      <c r="R119" s="7">
        <v>0</v>
      </c>
      <c r="S119" s="8">
        <f>IFERROR(R119/R148, "NA")</f>
        <v>0</v>
      </c>
      <c r="T119" s="7">
        <v>0</v>
      </c>
      <c r="U119" s="8">
        <f>IFERROR(T119/T148, "NA")</f>
        <v>0</v>
      </c>
      <c r="V119" s="7">
        <v>0</v>
      </c>
      <c r="W119" s="8">
        <f>IFERROR(V119/V148, "NA")</f>
        <v>0</v>
      </c>
      <c r="X119" s="7">
        <v>0</v>
      </c>
      <c r="Y119" s="8">
        <f>IFERROR(X119/X148, "NA")</f>
        <v>0</v>
      </c>
      <c r="Z119" s="7">
        <v>0</v>
      </c>
      <c r="AA119" s="8">
        <f>IFERROR(Z119/Z148, "NA")</f>
        <v>0</v>
      </c>
      <c r="AB119" s="9">
        <f t="shared" si="42"/>
        <v>0</v>
      </c>
      <c r="AC119" s="8">
        <f>IFERROR(AB119/AB148, "NA")</f>
        <v>0</v>
      </c>
      <c r="AD119" s="10">
        <f t="shared" si="43"/>
        <v>0</v>
      </c>
      <c r="AE119" s="11">
        <f>IFERROR(AD119/AD148, "NA")</f>
        <v>0</v>
      </c>
      <c r="AF119" s="10" t="str">
        <f t="shared" si="44"/>
        <v>NA</v>
      </c>
      <c r="AG119" s="9">
        <f t="shared" si="45"/>
        <v>0</v>
      </c>
      <c r="AH119" s="8">
        <f>IFERROR(AG119/AG148, "NA")</f>
        <v>0</v>
      </c>
      <c r="AI119" s="10">
        <f t="shared" si="46"/>
        <v>0</v>
      </c>
      <c r="AJ119" s="11">
        <f>IFERROR(AI119/AI148, "NA")</f>
        <v>0</v>
      </c>
      <c r="AK119" s="10" t="str">
        <f t="shared" si="47"/>
        <v>NA</v>
      </c>
      <c r="AL119" s="11" t="str">
        <f>IFERROR(AK119/AK148, "NA")</f>
        <v>NA</v>
      </c>
    </row>
    <row r="120" spans="1:38" ht="16.5" hidden="1" customHeight="1" x14ac:dyDescent="0.3">
      <c r="A120" s="6" t="s">
        <v>125</v>
      </c>
      <c r="B120" s="7">
        <v>0</v>
      </c>
      <c r="C120" s="8">
        <f>IFERROR(B120/B148, "NA")</f>
        <v>0</v>
      </c>
      <c r="D120" s="7">
        <v>0</v>
      </c>
      <c r="E120" s="8">
        <f>IFERROR(D120/D148, "NA")</f>
        <v>0</v>
      </c>
      <c r="F120" s="7">
        <v>0</v>
      </c>
      <c r="G120" s="8">
        <f>IFERROR(F120/F148, "NA")</f>
        <v>0</v>
      </c>
      <c r="H120" s="7">
        <v>0</v>
      </c>
      <c r="I120" s="8">
        <f>IFERROR(H120/H148, "NA")</f>
        <v>0</v>
      </c>
      <c r="J120" s="7">
        <v>0</v>
      </c>
      <c r="K120" s="8">
        <f>IFERROR(J120/J148, "NA")</f>
        <v>0</v>
      </c>
      <c r="L120" s="7">
        <v>0</v>
      </c>
      <c r="M120" s="8">
        <f>IFERROR(L120/L148, "NA")</f>
        <v>0</v>
      </c>
      <c r="N120" s="7">
        <v>0</v>
      </c>
      <c r="O120" s="8">
        <f>IFERROR(N120/N148, "NA")</f>
        <v>0</v>
      </c>
      <c r="P120" s="7">
        <v>0</v>
      </c>
      <c r="Q120" s="8">
        <f>IFERROR(P120/P148, "NA")</f>
        <v>0</v>
      </c>
      <c r="R120" s="7">
        <v>0</v>
      </c>
      <c r="S120" s="8">
        <f>IFERROR(R120/R148, "NA")</f>
        <v>0</v>
      </c>
      <c r="T120" s="7">
        <v>0</v>
      </c>
      <c r="U120" s="8">
        <f>IFERROR(T120/T148, "NA")</f>
        <v>0</v>
      </c>
      <c r="V120" s="7">
        <v>0</v>
      </c>
      <c r="W120" s="8">
        <f>IFERROR(V120/V148, "NA")</f>
        <v>0</v>
      </c>
      <c r="X120" s="7">
        <v>0</v>
      </c>
      <c r="Y120" s="8">
        <f>IFERROR(X120/X148, "NA")</f>
        <v>0</v>
      </c>
      <c r="Z120" s="7">
        <v>0</v>
      </c>
      <c r="AA120" s="8">
        <f>IFERROR(Z120/Z148, "NA")</f>
        <v>0</v>
      </c>
      <c r="AB120" s="9">
        <f t="shared" si="42"/>
        <v>0</v>
      </c>
      <c r="AC120" s="8">
        <f>IFERROR(AB120/AB148, "NA")</f>
        <v>0</v>
      </c>
      <c r="AD120" s="10">
        <f t="shared" si="43"/>
        <v>0</v>
      </c>
      <c r="AE120" s="11">
        <f>IFERROR(AD120/AD148, "NA")</f>
        <v>0</v>
      </c>
      <c r="AF120" s="10" t="str">
        <f t="shared" si="44"/>
        <v>NA</v>
      </c>
      <c r="AG120" s="9">
        <f t="shared" si="45"/>
        <v>0</v>
      </c>
      <c r="AH120" s="8">
        <f>IFERROR(AG120/AG148, "NA")</f>
        <v>0</v>
      </c>
      <c r="AI120" s="10">
        <f t="shared" si="46"/>
        <v>0</v>
      </c>
      <c r="AJ120" s="11">
        <f>IFERROR(AI120/AI148, "NA")</f>
        <v>0</v>
      </c>
      <c r="AK120" s="10" t="str">
        <f t="shared" si="47"/>
        <v>NA</v>
      </c>
      <c r="AL120" s="11" t="str">
        <f>IFERROR(AK120/AK148, "NA")</f>
        <v>NA</v>
      </c>
    </row>
    <row r="121" spans="1:38" ht="16.5" hidden="1" customHeight="1" x14ac:dyDescent="0.3">
      <c r="A121" s="6" t="s">
        <v>126</v>
      </c>
      <c r="B121" s="7">
        <v>0</v>
      </c>
      <c r="C121" s="8">
        <f>IFERROR(B121/B148, "NA")</f>
        <v>0</v>
      </c>
      <c r="D121" s="7">
        <v>0</v>
      </c>
      <c r="E121" s="8">
        <f>IFERROR(D121/D148, "NA")</f>
        <v>0</v>
      </c>
      <c r="F121" s="7">
        <v>0</v>
      </c>
      <c r="G121" s="8">
        <f>IFERROR(F121/F148, "NA")</f>
        <v>0</v>
      </c>
      <c r="H121" s="7">
        <v>0</v>
      </c>
      <c r="I121" s="8">
        <f>IFERROR(H121/H148, "NA")</f>
        <v>0</v>
      </c>
      <c r="J121" s="7">
        <v>0</v>
      </c>
      <c r="K121" s="8">
        <f>IFERROR(J121/J148, "NA")</f>
        <v>0</v>
      </c>
      <c r="L121" s="7">
        <v>0</v>
      </c>
      <c r="M121" s="8">
        <f>IFERROR(L121/L148, "NA")</f>
        <v>0</v>
      </c>
      <c r="N121" s="7">
        <v>0</v>
      </c>
      <c r="O121" s="8">
        <f>IFERROR(N121/N148, "NA")</f>
        <v>0</v>
      </c>
      <c r="P121" s="7">
        <v>0</v>
      </c>
      <c r="Q121" s="8">
        <f>IFERROR(P121/P148, "NA")</f>
        <v>0</v>
      </c>
      <c r="R121" s="7">
        <v>0</v>
      </c>
      <c r="S121" s="8">
        <f>IFERROR(R121/R148, "NA")</f>
        <v>0</v>
      </c>
      <c r="T121" s="7">
        <v>0</v>
      </c>
      <c r="U121" s="8">
        <f>IFERROR(T121/T148, "NA")</f>
        <v>0</v>
      </c>
      <c r="V121" s="7">
        <v>0</v>
      </c>
      <c r="W121" s="8">
        <f>IFERROR(V121/V148, "NA")</f>
        <v>0</v>
      </c>
      <c r="X121" s="7">
        <v>0</v>
      </c>
      <c r="Y121" s="8">
        <f>IFERROR(X121/X148, "NA")</f>
        <v>0</v>
      </c>
      <c r="Z121" s="7">
        <v>0</v>
      </c>
      <c r="AA121" s="8">
        <f>IFERROR(Z121/Z148, "NA")</f>
        <v>0</v>
      </c>
      <c r="AB121" s="9">
        <f t="shared" si="42"/>
        <v>0</v>
      </c>
      <c r="AC121" s="8">
        <f>IFERROR(AB121/AB148, "NA")</f>
        <v>0</v>
      </c>
      <c r="AD121" s="10">
        <f t="shared" si="43"/>
        <v>0</v>
      </c>
      <c r="AE121" s="11">
        <f>IFERROR(AD121/AD148, "NA")</f>
        <v>0</v>
      </c>
      <c r="AF121" s="10" t="str">
        <f t="shared" si="44"/>
        <v>NA</v>
      </c>
      <c r="AG121" s="9">
        <f t="shared" si="45"/>
        <v>0</v>
      </c>
      <c r="AH121" s="8">
        <f>IFERROR(AG121/AG148, "NA")</f>
        <v>0</v>
      </c>
      <c r="AI121" s="10">
        <f t="shared" si="46"/>
        <v>0</v>
      </c>
      <c r="AJ121" s="11">
        <f>IFERROR(AI121/AI148, "NA")</f>
        <v>0</v>
      </c>
      <c r="AK121" s="10" t="str">
        <f t="shared" si="47"/>
        <v>NA</v>
      </c>
      <c r="AL121" s="11" t="str">
        <f>IFERROR(AK121/AK148, "NA")</f>
        <v>NA</v>
      </c>
    </row>
    <row r="122" spans="1:38" ht="16.5" hidden="1" customHeight="1" x14ac:dyDescent="0.3">
      <c r="A122" s="6" t="s">
        <v>127</v>
      </c>
      <c r="B122" s="7">
        <v>0</v>
      </c>
      <c r="C122" s="8">
        <f>IFERROR(B122/B148, "NA")</f>
        <v>0</v>
      </c>
      <c r="D122" s="7">
        <v>0</v>
      </c>
      <c r="E122" s="8">
        <f>IFERROR(D122/D148, "NA")</f>
        <v>0</v>
      </c>
      <c r="F122" s="7">
        <v>0</v>
      </c>
      <c r="G122" s="8">
        <f>IFERROR(F122/F148, "NA")</f>
        <v>0</v>
      </c>
      <c r="H122" s="7">
        <v>0</v>
      </c>
      <c r="I122" s="8">
        <f>IFERROR(H122/H148, "NA")</f>
        <v>0</v>
      </c>
      <c r="J122" s="7">
        <v>0</v>
      </c>
      <c r="K122" s="8">
        <f>IFERROR(J122/J148, "NA")</f>
        <v>0</v>
      </c>
      <c r="L122" s="7">
        <v>0</v>
      </c>
      <c r="M122" s="8">
        <f>IFERROR(L122/L148, "NA")</f>
        <v>0</v>
      </c>
      <c r="N122" s="7">
        <v>0</v>
      </c>
      <c r="O122" s="8">
        <f>IFERROR(N122/N148, "NA")</f>
        <v>0</v>
      </c>
      <c r="P122" s="7">
        <v>0</v>
      </c>
      <c r="Q122" s="8">
        <f>IFERROR(P122/P148, "NA")</f>
        <v>0</v>
      </c>
      <c r="R122" s="7">
        <v>0</v>
      </c>
      <c r="S122" s="8">
        <f>IFERROR(R122/R148, "NA")</f>
        <v>0</v>
      </c>
      <c r="T122" s="7">
        <v>0</v>
      </c>
      <c r="U122" s="8">
        <f>IFERROR(T122/T148, "NA")</f>
        <v>0</v>
      </c>
      <c r="V122" s="7">
        <v>0</v>
      </c>
      <c r="W122" s="8">
        <f>IFERROR(V122/V148, "NA")</f>
        <v>0</v>
      </c>
      <c r="X122" s="7">
        <v>0</v>
      </c>
      <c r="Y122" s="8">
        <f>IFERROR(X122/X148, "NA")</f>
        <v>0</v>
      </c>
      <c r="Z122" s="7">
        <v>0</v>
      </c>
      <c r="AA122" s="8">
        <f>IFERROR(Z122/Z148, "NA")</f>
        <v>0</v>
      </c>
      <c r="AB122" s="9">
        <f t="shared" si="42"/>
        <v>0</v>
      </c>
      <c r="AC122" s="8">
        <f>IFERROR(AB122/AB148, "NA")</f>
        <v>0</v>
      </c>
      <c r="AD122" s="10">
        <f t="shared" si="43"/>
        <v>0</v>
      </c>
      <c r="AE122" s="11">
        <f>IFERROR(AD122/AD148, "NA")</f>
        <v>0</v>
      </c>
      <c r="AF122" s="10" t="str">
        <f t="shared" si="44"/>
        <v>NA</v>
      </c>
      <c r="AG122" s="9">
        <f t="shared" si="45"/>
        <v>0</v>
      </c>
      <c r="AH122" s="8">
        <f>IFERROR(AG122/AG148, "NA")</f>
        <v>0</v>
      </c>
      <c r="AI122" s="10">
        <f t="shared" si="46"/>
        <v>0</v>
      </c>
      <c r="AJ122" s="11">
        <f>IFERROR(AI122/AI148, "NA")</f>
        <v>0</v>
      </c>
      <c r="AK122" s="10" t="str">
        <f t="shared" si="47"/>
        <v>NA</v>
      </c>
      <c r="AL122" s="11" t="str">
        <f>IFERROR(AK122/AK148, "NA")</f>
        <v>NA</v>
      </c>
    </row>
    <row r="123" spans="1:38" ht="16.5" hidden="1" customHeight="1" x14ac:dyDescent="0.3">
      <c r="A123" s="6" t="s">
        <v>128</v>
      </c>
      <c r="B123" s="7">
        <v>0</v>
      </c>
      <c r="C123" s="8">
        <f>IFERROR(B123/B148, "NA")</f>
        <v>0</v>
      </c>
      <c r="D123" s="7">
        <v>0</v>
      </c>
      <c r="E123" s="8">
        <f>IFERROR(D123/D148, "NA")</f>
        <v>0</v>
      </c>
      <c r="F123" s="7">
        <v>0</v>
      </c>
      <c r="G123" s="8">
        <f>IFERROR(F123/F148, "NA")</f>
        <v>0</v>
      </c>
      <c r="H123" s="7">
        <v>0</v>
      </c>
      <c r="I123" s="8">
        <f>IFERROR(H123/H148, "NA")</f>
        <v>0</v>
      </c>
      <c r="J123" s="7">
        <v>0</v>
      </c>
      <c r="K123" s="8">
        <f>IFERROR(J123/J148, "NA")</f>
        <v>0</v>
      </c>
      <c r="L123" s="7">
        <v>0</v>
      </c>
      <c r="M123" s="8">
        <f>IFERROR(L123/L148, "NA")</f>
        <v>0</v>
      </c>
      <c r="N123" s="7">
        <v>0</v>
      </c>
      <c r="O123" s="8">
        <f>IFERROR(N123/N148, "NA")</f>
        <v>0</v>
      </c>
      <c r="P123" s="7">
        <v>0</v>
      </c>
      <c r="Q123" s="8">
        <f>IFERROR(P123/P148, "NA")</f>
        <v>0</v>
      </c>
      <c r="R123" s="7">
        <v>0</v>
      </c>
      <c r="S123" s="8">
        <f>IFERROR(R123/R148, "NA")</f>
        <v>0</v>
      </c>
      <c r="T123" s="7">
        <v>0</v>
      </c>
      <c r="U123" s="8">
        <f>IFERROR(T123/T148, "NA")</f>
        <v>0</v>
      </c>
      <c r="V123" s="7">
        <v>0</v>
      </c>
      <c r="W123" s="8">
        <f>IFERROR(V123/V148, "NA")</f>
        <v>0</v>
      </c>
      <c r="X123" s="7">
        <v>0</v>
      </c>
      <c r="Y123" s="8">
        <f>IFERROR(X123/X148, "NA")</f>
        <v>0</v>
      </c>
      <c r="Z123" s="7">
        <v>0</v>
      </c>
      <c r="AA123" s="8">
        <f>IFERROR(Z123/Z148, "NA")</f>
        <v>0</v>
      </c>
      <c r="AB123" s="9">
        <f t="shared" si="42"/>
        <v>0</v>
      </c>
      <c r="AC123" s="8">
        <f>IFERROR(AB123/AB148, "NA")</f>
        <v>0</v>
      </c>
      <c r="AD123" s="10">
        <f t="shared" si="43"/>
        <v>0</v>
      </c>
      <c r="AE123" s="11">
        <f>IFERROR(AD123/AD148, "NA")</f>
        <v>0</v>
      </c>
      <c r="AF123" s="10" t="str">
        <f t="shared" si="44"/>
        <v>NA</v>
      </c>
      <c r="AG123" s="9">
        <f t="shared" si="45"/>
        <v>0</v>
      </c>
      <c r="AH123" s="8">
        <f>IFERROR(AG123/AG148, "NA")</f>
        <v>0</v>
      </c>
      <c r="AI123" s="10">
        <f t="shared" si="46"/>
        <v>0</v>
      </c>
      <c r="AJ123" s="11">
        <f>IFERROR(AI123/AI148, "NA")</f>
        <v>0</v>
      </c>
      <c r="AK123" s="10" t="str">
        <f t="shared" si="47"/>
        <v>NA</v>
      </c>
      <c r="AL123" s="11" t="str">
        <f>IFERROR(AK123/AK148, "NA")</f>
        <v>NA</v>
      </c>
    </row>
    <row r="124" spans="1:38" ht="16.5" hidden="1" customHeight="1" x14ac:dyDescent="0.3">
      <c r="A124" s="6" t="s">
        <v>129</v>
      </c>
      <c r="B124" s="7">
        <v>0</v>
      </c>
      <c r="C124" s="8">
        <f>IFERROR(B124/B148, "NA")</f>
        <v>0</v>
      </c>
      <c r="D124" s="7">
        <v>0</v>
      </c>
      <c r="E124" s="8">
        <f>IFERROR(D124/D148, "NA")</f>
        <v>0</v>
      </c>
      <c r="F124" s="7">
        <v>0</v>
      </c>
      <c r="G124" s="8">
        <f>IFERROR(F124/F148, "NA")</f>
        <v>0</v>
      </c>
      <c r="H124" s="7">
        <v>0</v>
      </c>
      <c r="I124" s="8">
        <f>IFERROR(H124/H148, "NA")</f>
        <v>0</v>
      </c>
      <c r="J124" s="7">
        <v>0</v>
      </c>
      <c r="K124" s="8">
        <f>IFERROR(J124/J148, "NA")</f>
        <v>0</v>
      </c>
      <c r="L124" s="7">
        <v>0</v>
      </c>
      <c r="M124" s="8">
        <f>IFERROR(L124/L148, "NA")</f>
        <v>0</v>
      </c>
      <c r="N124" s="7">
        <v>0</v>
      </c>
      <c r="O124" s="8">
        <f>IFERROR(N124/N148, "NA")</f>
        <v>0</v>
      </c>
      <c r="P124" s="7">
        <v>0</v>
      </c>
      <c r="Q124" s="8">
        <f>IFERROR(P124/P148, "NA")</f>
        <v>0</v>
      </c>
      <c r="R124" s="7">
        <v>0</v>
      </c>
      <c r="S124" s="8">
        <f>IFERROR(R124/R148, "NA")</f>
        <v>0</v>
      </c>
      <c r="T124" s="7">
        <v>0</v>
      </c>
      <c r="U124" s="8">
        <f>IFERROR(T124/T148, "NA")</f>
        <v>0</v>
      </c>
      <c r="V124" s="7">
        <v>0</v>
      </c>
      <c r="W124" s="8">
        <f>IFERROR(V124/V148, "NA")</f>
        <v>0</v>
      </c>
      <c r="X124" s="7">
        <v>0</v>
      </c>
      <c r="Y124" s="8">
        <f>IFERROR(X124/X148, "NA")</f>
        <v>0</v>
      </c>
      <c r="Z124" s="7">
        <v>0</v>
      </c>
      <c r="AA124" s="8">
        <f>IFERROR(Z124/Z148, "NA")</f>
        <v>0</v>
      </c>
      <c r="AB124" s="9">
        <f t="shared" si="42"/>
        <v>0</v>
      </c>
      <c r="AC124" s="8">
        <f>IFERROR(AB124/AB148, "NA")</f>
        <v>0</v>
      </c>
      <c r="AD124" s="10">
        <f t="shared" si="43"/>
        <v>0</v>
      </c>
      <c r="AE124" s="11">
        <f>IFERROR(AD124/AD148, "NA")</f>
        <v>0</v>
      </c>
      <c r="AF124" s="10" t="str">
        <f t="shared" si="44"/>
        <v>NA</v>
      </c>
      <c r="AG124" s="9">
        <f t="shared" si="45"/>
        <v>0</v>
      </c>
      <c r="AH124" s="8">
        <f>IFERROR(AG124/AG148, "NA")</f>
        <v>0</v>
      </c>
      <c r="AI124" s="10">
        <f t="shared" si="46"/>
        <v>0</v>
      </c>
      <c r="AJ124" s="11">
        <f>IFERROR(AI124/AI148, "NA")</f>
        <v>0</v>
      </c>
      <c r="AK124" s="10" t="str">
        <f t="shared" si="47"/>
        <v>NA</v>
      </c>
      <c r="AL124" s="11" t="str">
        <f>IFERROR(AK124/AK148, "NA")</f>
        <v>NA</v>
      </c>
    </row>
    <row r="125" spans="1:38" ht="16.5" hidden="1" customHeight="1" x14ac:dyDescent="0.3">
      <c r="A125" s="6" t="s">
        <v>130</v>
      </c>
      <c r="B125" s="7">
        <v>0</v>
      </c>
      <c r="C125" s="8">
        <f>IFERROR(B125/B148, "NA")</f>
        <v>0</v>
      </c>
      <c r="D125" s="7">
        <v>0</v>
      </c>
      <c r="E125" s="8">
        <f>IFERROR(D125/D148, "NA")</f>
        <v>0</v>
      </c>
      <c r="F125" s="7">
        <v>0</v>
      </c>
      <c r="G125" s="8">
        <f>IFERROR(F125/F148, "NA")</f>
        <v>0</v>
      </c>
      <c r="H125" s="7">
        <v>0</v>
      </c>
      <c r="I125" s="8">
        <f>IFERROR(H125/H148, "NA")</f>
        <v>0</v>
      </c>
      <c r="J125" s="7">
        <v>0</v>
      </c>
      <c r="K125" s="8">
        <f>IFERROR(J125/J148, "NA")</f>
        <v>0</v>
      </c>
      <c r="L125" s="7">
        <v>0</v>
      </c>
      <c r="M125" s="8">
        <f>IFERROR(L125/L148, "NA")</f>
        <v>0</v>
      </c>
      <c r="N125" s="7">
        <v>0</v>
      </c>
      <c r="O125" s="8">
        <f>IFERROR(N125/N148, "NA")</f>
        <v>0</v>
      </c>
      <c r="P125" s="7">
        <v>0</v>
      </c>
      <c r="Q125" s="8">
        <f>IFERROR(P125/P148, "NA")</f>
        <v>0</v>
      </c>
      <c r="R125" s="7">
        <v>0</v>
      </c>
      <c r="S125" s="8">
        <f>IFERROR(R125/R148, "NA")</f>
        <v>0</v>
      </c>
      <c r="T125" s="7">
        <v>0</v>
      </c>
      <c r="U125" s="8">
        <f>IFERROR(T125/T148, "NA")</f>
        <v>0</v>
      </c>
      <c r="V125" s="7">
        <v>0</v>
      </c>
      <c r="W125" s="8">
        <f>IFERROR(V125/V148, "NA")</f>
        <v>0</v>
      </c>
      <c r="X125" s="7">
        <v>0</v>
      </c>
      <c r="Y125" s="8">
        <f>IFERROR(X125/X148, "NA")</f>
        <v>0</v>
      </c>
      <c r="Z125" s="7">
        <v>0</v>
      </c>
      <c r="AA125" s="8">
        <f>IFERROR(Z125/Z148, "NA")</f>
        <v>0</v>
      </c>
      <c r="AB125" s="9">
        <f t="shared" si="42"/>
        <v>0</v>
      </c>
      <c r="AC125" s="8">
        <f>IFERROR(AB125/AB148, "NA")</f>
        <v>0</v>
      </c>
      <c r="AD125" s="10">
        <f t="shared" si="43"/>
        <v>0</v>
      </c>
      <c r="AE125" s="11">
        <f>IFERROR(AD125/AD148, "NA")</f>
        <v>0</v>
      </c>
      <c r="AF125" s="10" t="str">
        <f t="shared" si="44"/>
        <v>NA</v>
      </c>
      <c r="AG125" s="9">
        <f t="shared" si="45"/>
        <v>0</v>
      </c>
      <c r="AH125" s="8">
        <f>IFERROR(AG125/AG148, "NA")</f>
        <v>0</v>
      </c>
      <c r="AI125" s="10">
        <f t="shared" si="46"/>
        <v>0</v>
      </c>
      <c r="AJ125" s="11">
        <f>IFERROR(AI125/AI148, "NA")</f>
        <v>0</v>
      </c>
      <c r="AK125" s="10" t="str">
        <f t="shared" si="47"/>
        <v>NA</v>
      </c>
      <c r="AL125" s="11" t="str">
        <f>IFERROR(AK125/AK148, "NA")</f>
        <v>NA</v>
      </c>
    </row>
    <row r="126" spans="1:38" ht="16.5" hidden="1" customHeight="1" x14ac:dyDescent="0.3">
      <c r="A126" s="6" t="s">
        <v>131</v>
      </c>
      <c r="B126" s="7">
        <v>0</v>
      </c>
      <c r="C126" s="8">
        <f>IFERROR(B126/B148, "NA")</f>
        <v>0</v>
      </c>
      <c r="D126" s="7">
        <v>0</v>
      </c>
      <c r="E126" s="8">
        <f>IFERROR(D126/D148, "NA")</f>
        <v>0</v>
      </c>
      <c r="F126" s="7">
        <v>0</v>
      </c>
      <c r="G126" s="8">
        <f>IFERROR(F126/F148, "NA")</f>
        <v>0</v>
      </c>
      <c r="H126" s="7">
        <v>0</v>
      </c>
      <c r="I126" s="8">
        <f>IFERROR(H126/H148, "NA")</f>
        <v>0</v>
      </c>
      <c r="J126" s="7">
        <v>0</v>
      </c>
      <c r="K126" s="8">
        <f>IFERROR(J126/J148, "NA")</f>
        <v>0</v>
      </c>
      <c r="L126" s="7">
        <v>0</v>
      </c>
      <c r="M126" s="8">
        <f>IFERROR(L126/L148, "NA")</f>
        <v>0</v>
      </c>
      <c r="N126" s="7">
        <v>0</v>
      </c>
      <c r="O126" s="8">
        <f>IFERROR(N126/N148, "NA")</f>
        <v>0</v>
      </c>
      <c r="P126" s="7">
        <v>0</v>
      </c>
      <c r="Q126" s="8">
        <f>IFERROR(P126/P148, "NA")</f>
        <v>0</v>
      </c>
      <c r="R126" s="7">
        <v>0</v>
      </c>
      <c r="S126" s="8">
        <f>IFERROR(R126/R148, "NA")</f>
        <v>0</v>
      </c>
      <c r="T126" s="7">
        <v>0</v>
      </c>
      <c r="U126" s="8">
        <f>IFERROR(T126/T148, "NA")</f>
        <v>0</v>
      </c>
      <c r="V126" s="7">
        <v>0</v>
      </c>
      <c r="W126" s="8">
        <f>IFERROR(V126/V148, "NA")</f>
        <v>0</v>
      </c>
      <c r="X126" s="7">
        <v>0</v>
      </c>
      <c r="Y126" s="8">
        <f>IFERROR(X126/X148, "NA")</f>
        <v>0</v>
      </c>
      <c r="Z126" s="7">
        <v>0</v>
      </c>
      <c r="AA126" s="8">
        <f>IFERROR(Z126/Z148, "NA")</f>
        <v>0</v>
      </c>
      <c r="AB126" s="9">
        <f t="shared" si="42"/>
        <v>0</v>
      </c>
      <c r="AC126" s="8">
        <f>IFERROR(AB126/AB148, "NA")</f>
        <v>0</v>
      </c>
      <c r="AD126" s="10">
        <f t="shared" si="43"/>
        <v>0</v>
      </c>
      <c r="AE126" s="11">
        <f>IFERROR(AD126/AD148, "NA")</f>
        <v>0</v>
      </c>
      <c r="AF126" s="10" t="str">
        <f t="shared" si="44"/>
        <v>NA</v>
      </c>
      <c r="AG126" s="9">
        <f t="shared" si="45"/>
        <v>0</v>
      </c>
      <c r="AH126" s="8">
        <f>IFERROR(AG126/AG148, "NA")</f>
        <v>0</v>
      </c>
      <c r="AI126" s="10">
        <f t="shared" si="46"/>
        <v>0</v>
      </c>
      <c r="AJ126" s="11">
        <f>IFERROR(AI126/AI148, "NA")</f>
        <v>0</v>
      </c>
      <c r="AK126" s="10" t="str">
        <f t="shared" si="47"/>
        <v>NA</v>
      </c>
      <c r="AL126" s="11" t="str">
        <f>IFERROR(AK126/AK148, "NA")</f>
        <v>NA</v>
      </c>
    </row>
    <row r="127" spans="1:38" ht="16.5" hidden="1" customHeight="1" x14ac:dyDescent="0.3">
      <c r="A127" s="6" t="s">
        <v>132</v>
      </c>
      <c r="B127" s="7">
        <v>0</v>
      </c>
      <c r="C127" s="8">
        <f>IFERROR(B127/B148, "NA")</f>
        <v>0</v>
      </c>
      <c r="D127" s="7">
        <v>0</v>
      </c>
      <c r="E127" s="8">
        <f>IFERROR(D127/D148, "NA")</f>
        <v>0</v>
      </c>
      <c r="F127" s="7">
        <v>0</v>
      </c>
      <c r="G127" s="8">
        <f>IFERROR(F127/F148, "NA")</f>
        <v>0</v>
      </c>
      <c r="H127" s="7">
        <v>0</v>
      </c>
      <c r="I127" s="8">
        <f>IFERROR(H127/H148, "NA")</f>
        <v>0</v>
      </c>
      <c r="J127" s="7">
        <v>0</v>
      </c>
      <c r="K127" s="8">
        <f>IFERROR(J127/J148, "NA")</f>
        <v>0</v>
      </c>
      <c r="L127" s="7">
        <v>0</v>
      </c>
      <c r="M127" s="8">
        <f>IFERROR(L127/L148, "NA")</f>
        <v>0</v>
      </c>
      <c r="N127" s="7">
        <v>0</v>
      </c>
      <c r="O127" s="8">
        <f>IFERROR(N127/N148, "NA")</f>
        <v>0</v>
      </c>
      <c r="P127" s="7">
        <v>0</v>
      </c>
      <c r="Q127" s="8">
        <f>IFERROR(P127/P148, "NA")</f>
        <v>0</v>
      </c>
      <c r="R127" s="7">
        <v>0</v>
      </c>
      <c r="S127" s="8">
        <f>IFERROR(R127/R148, "NA")</f>
        <v>0</v>
      </c>
      <c r="T127" s="7">
        <v>0</v>
      </c>
      <c r="U127" s="8">
        <f>IFERROR(T127/T148, "NA")</f>
        <v>0</v>
      </c>
      <c r="V127" s="7">
        <v>0</v>
      </c>
      <c r="W127" s="8">
        <f>IFERROR(V127/V148, "NA")</f>
        <v>0</v>
      </c>
      <c r="X127" s="7">
        <v>0</v>
      </c>
      <c r="Y127" s="8">
        <f>IFERROR(X127/X148, "NA")</f>
        <v>0</v>
      </c>
      <c r="Z127" s="7">
        <v>0</v>
      </c>
      <c r="AA127" s="8">
        <f>IFERROR(Z127/Z148, "NA")</f>
        <v>0</v>
      </c>
      <c r="AB127" s="9">
        <f t="shared" si="42"/>
        <v>0</v>
      </c>
      <c r="AC127" s="8">
        <f>IFERROR(AB127/AB148, "NA")</f>
        <v>0</v>
      </c>
      <c r="AD127" s="10">
        <f t="shared" si="43"/>
        <v>0</v>
      </c>
      <c r="AE127" s="11">
        <f>IFERROR(AD127/AD148, "NA")</f>
        <v>0</v>
      </c>
      <c r="AF127" s="10" t="str">
        <f t="shared" si="44"/>
        <v>NA</v>
      </c>
      <c r="AG127" s="9">
        <f t="shared" si="45"/>
        <v>0</v>
      </c>
      <c r="AH127" s="8">
        <f>IFERROR(AG127/AG148, "NA")</f>
        <v>0</v>
      </c>
      <c r="AI127" s="10">
        <f t="shared" si="46"/>
        <v>0</v>
      </c>
      <c r="AJ127" s="11">
        <f>IFERROR(AI127/AI148, "NA")</f>
        <v>0</v>
      </c>
      <c r="AK127" s="10" t="str">
        <f t="shared" si="47"/>
        <v>NA</v>
      </c>
      <c r="AL127" s="11" t="str">
        <f>IFERROR(AK127/AK148, "NA")</f>
        <v>NA</v>
      </c>
    </row>
    <row r="128" spans="1:38" ht="16.5" hidden="1" customHeight="1" x14ac:dyDescent="0.3">
      <c r="A128" s="6" t="s">
        <v>133</v>
      </c>
      <c r="B128" s="7">
        <v>782.24</v>
      </c>
      <c r="C128" s="8">
        <f>IFERROR(B128/B148, "NA")</f>
        <v>2.2061776584463344E-2</v>
      </c>
      <c r="D128" s="7">
        <v>780.99</v>
      </c>
      <c r="E128" s="8">
        <f>IFERROR(D128/D148, "NA")</f>
        <v>2.0243736673566735E-2</v>
      </c>
      <c r="F128" s="7">
        <v>749.7</v>
      </c>
      <c r="G128" s="8">
        <f>IFERROR(F128/F148, "NA")</f>
        <v>1.6677989991871232E-2</v>
      </c>
      <c r="H128" s="7">
        <v>-2312.9299999999998</v>
      </c>
      <c r="I128" s="8">
        <f>IFERROR(H128/H148, "NA")</f>
        <v>-5.61335869331228E-2</v>
      </c>
      <c r="J128" s="7">
        <v>769.34</v>
      </c>
      <c r="K128" s="8">
        <f>IFERROR(J128/J148, "NA")</f>
        <v>1.9851988708204097E-2</v>
      </c>
      <c r="L128" s="7">
        <v>923.4</v>
      </c>
      <c r="M128" s="8">
        <f>IFERROR(L128/L148, "NA")</f>
        <v>1.7653897574892843E-2</v>
      </c>
      <c r="N128" s="7">
        <v>910.5</v>
      </c>
      <c r="O128" s="8">
        <f>IFERROR(N128/N148, "NA")</f>
        <v>1.8014581423632717E-2</v>
      </c>
      <c r="P128" s="7">
        <v>931.7399999999999</v>
      </c>
      <c r="Q128" s="8">
        <f>IFERROR(P128/P148, "NA")</f>
        <v>1.9703056369637744E-2</v>
      </c>
      <c r="R128" s="7">
        <v>-3534.9800000000005</v>
      </c>
      <c r="S128" s="8">
        <f>IFERROR(R128/R148, "NA")</f>
        <v>-7.3568598788098766E-2</v>
      </c>
      <c r="T128" s="7">
        <v>670.39</v>
      </c>
      <c r="U128" s="8">
        <f>IFERROR(T128/T148, "NA")</f>
        <v>1.5794939795030268E-2</v>
      </c>
      <c r="V128" s="7">
        <v>731.65000000000009</v>
      </c>
      <c r="W128" s="8">
        <f>IFERROR(V128/V148, "NA")</f>
        <v>1.2270661973408899E-2</v>
      </c>
      <c r="X128" s="7">
        <v>801.28</v>
      </c>
      <c r="Y128" s="8">
        <f>IFERROR(X128/X148, "NA")</f>
        <v>1.3597799860777318E-2</v>
      </c>
      <c r="Z128" s="7">
        <v>2203.3200000000002</v>
      </c>
      <c r="AA128" s="8">
        <f>IFERROR(Z128/Z148, "NA")</f>
        <v>1.3685516602599014E-2</v>
      </c>
      <c r="AB128" s="9">
        <f t="shared" si="42"/>
        <v>-332.91500000000013</v>
      </c>
      <c r="AC128" s="8">
        <f>IFERROR(AB128/AB148, "NA")</f>
        <v>-6.3701586153517955E-3</v>
      </c>
      <c r="AD128" s="10">
        <f t="shared" si="43"/>
        <v>1134.1950000000002</v>
      </c>
      <c r="AE128" s="11">
        <f>IFERROR(AD128/AD148, "NA")</f>
        <v>0.1701582619836681</v>
      </c>
      <c r="AF128" s="10">
        <f t="shared" si="44"/>
        <v>-3.4068606100656313</v>
      </c>
      <c r="AG128" s="9">
        <f t="shared" si="45"/>
        <v>275.41499999999985</v>
      </c>
      <c r="AH128" s="8">
        <f>IFERROR(AG128/AG148, "NA")</f>
        <v>5.5368475708115336E-3</v>
      </c>
      <c r="AI128" s="10">
        <f t="shared" si="46"/>
        <v>525.86500000000012</v>
      </c>
      <c r="AJ128" s="11">
        <f>IFERROR(AI128/AI148, "NA")</f>
        <v>5.725273377816302E-2</v>
      </c>
      <c r="AK128" s="10">
        <f t="shared" si="47"/>
        <v>1.909354973403774</v>
      </c>
      <c r="AL128" s="11">
        <f>IFERROR(AK128/AK148, "NA")</f>
        <v>10.340312433374704</v>
      </c>
    </row>
    <row r="129" spans="1:38" ht="16.5" hidden="1" customHeight="1" x14ac:dyDescent="0.3">
      <c r="A129" s="6" t="s">
        <v>134</v>
      </c>
      <c r="B129" s="7">
        <v>0</v>
      </c>
      <c r="C129" s="8">
        <f>IFERROR(B129/B148, "NA")</f>
        <v>0</v>
      </c>
      <c r="D129" s="7">
        <v>0</v>
      </c>
      <c r="E129" s="8">
        <f>IFERROR(D129/D148, "NA")</f>
        <v>0</v>
      </c>
      <c r="F129" s="7">
        <v>0</v>
      </c>
      <c r="G129" s="8">
        <f>IFERROR(F129/F148, "NA")</f>
        <v>0</v>
      </c>
      <c r="H129" s="7">
        <v>0</v>
      </c>
      <c r="I129" s="8">
        <f>IFERROR(H129/H148, "NA")</f>
        <v>0</v>
      </c>
      <c r="J129" s="7">
        <v>0</v>
      </c>
      <c r="K129" s="8">
        <f>IFERROR(J129/J148, "NA")</f>
        <v>0</v>
      </c>
      <c r="L129" s="7">
        <v>0</v>
      </c>
      <c r="M129" s="8">
        <f>IFERROR(L129/L148, "NA")</f>
        <v>0</v>
      </c>
      <c r="N129" s="7">
        <v>0</v>
      </c>
      <c r="O129" s="8">
        <f>IFERROR(N129/N148, "NA")</f>
        <v>0</v>
      </c>
      <c r="P129" s="7">
        <v>0</v>
      </c>
      <c r="Q129" s="8">
        <f>IFERROR(P129/P148, "NA")</f>
        <v>0</v>
      </c>
      <c r="R129" s="7">
        <v>0</v>
      </c>
      <c r="S129" s="8">
        <f>IFERROR(R129/R148, "NA")</f>
        <v>0</v>
      </c>
      <c r="T129" s="7">
        <v>0</v>
      </c>
      <c r="U129" s="8">
        <f>IFERROR(T129/T148, "NA")</f>
        <v>0</v>
      </c>
      <c r="V129" s="7">
        <v>0</v>
      </c>
      <c r="W129" s="8">
        <f>IFERROR(V129/V148, "NA")</f>
        <v>0</v>
      </c>
      <c r="X129" s="7">
        <v>0</v>
      </c>
      <c r="Y129" s="8">
        <f>IFERROR(X129/X148, "NA")</f>
        <v>0</v>
      </c>
      <c r="Z129" s="7">
        <v>0</v>
      </c>
      <c r="AA129" s="8">
        <f>IFERROR(Z129/Z148, "NA")</f>
        <v>0</v>
      </c>
      <c r="AB129" s="9">
        <f t="shared" si="42"/>
        <v>0</v>
      </c>
      <c r="AC129" s="8">
        <f>IFERROR(AB129/AB148, "NA")</f>
        <v>0</v>
      </c>
      <c r="AD129" s="10">
        <f t="shared" si="43"/>
        <v>0</v>
      </c>
      <c r="AE129" s="11">
        <f>IFERROR(AD129/AD148, "NA")</f>
        <v>0</v>
      </c>
      <c r="AF129" s="10" t="str">
        <f t="shared" si="44"/>
        <v>NA</v>
      </c>
      <c r="AG129" s="9">
        <f t="shared" si="45"/>
        <v>0</v>
      </c>
      <c r="AH129" s="8">
        <f>IFERROR(AG129/AG148, "NA")</f>
        <v>0</v>
      </c>
      <c r="AI129" s="10">
        <f t="shared" si="46"/>
        <v>0</v>
      </c>
      <c r="AJ129" s="11">
        <f>IFERROR(AI129/AI148, "NA")</f>
        <v>0</v>
      </c>
      <c r="AK129" s="10" t="str">
        <f t="shared" si="47"/>
        <v>NA</v>
      </c>
      <c r="AL129" s="11" t="str">
        <f>IFERROR(AK129/AK148, "NA")</f>
        <v>NA</v>
      </c>
    </row>
    <row r="130" spans="1:38" ht="16.5" hidden="1" customHeight="1" x14ac:dyDescent="0.3">
      <c r="A130" s="6" t="s">
        <v>135</v>
      </c>
      <c r="B130" s="7">
        <v>0</v>
      </c>
      <c r="C130" s="8">
        <f>IFERROR(B130/B148, "NA")</f>
        <v>0</v>
      </c>
      <c r="D130" s="7">
        <v>0</v>
      </c>
      <c r="E130" s="8">
        <f>IFERROR(D130/D148, "NA")</f>
        <v>0</v>
      </c>
      <c r="F130" s="7">
        <v>0</v>
      </c>
      <c r="G130" s="8">
        <f>IFERROR(F130/F148, "NA")</f>
        <v>0</v>
      </c>
      <c r="H130" s="7">
        <v>0</v>
      </c>
      <c r="I130" s="8">
        <f>IFERROR(H130/H148, "NA")</f>
        <v>0</v>
      </c>
      <c r="J130" s="7">
        <v>0</v>
      </c>
      <c r="K130" s="8">
        <f>IFERROR(J130/J148, "NA")</f>
        <v>0</v>
      </c>
      <c r="L130" s="7">
        <v>0</v>
      </c>
      <c r="M130" s="8">
        <f>IFERROR(L130/L148, "NA")</f>
        <v>0</v>
      </c>
      <c r="N130" s="7">
        <v>0</v>
      </c>
      <c r="O130" s="8">
        <f>IFERROR(N130/N148, "NA")</f>
        <v>0</v>
      </c>
      <c r="P130" s="7">
        <v>0</v>
      </c>
      <c r="Q130" s="8">
        <f>IFERROR(P130/P148, "NA")</f>
        <v>0</v>
      </c>
      <c r="R130" s="7">
        <v>0</v>
      </c>
      <c r="S130" s="8">
        <f>IFERROR(R130/R148, "NA")</f>
        <v>0</v>
      </c>
      <c r="T130" s="7">
        <v>0</v>
      </c>
      <c r="U130" s="8">
        <f>IFERROR(T130/T148, "NA")</f>
        <v>0</v>
      </c>
      <c r="V130" s="7">
        <v>0</v>
      </c>
      <c r="W130" s="8">
        <f>IFERROR(V130/V148, "NA")</f>
        <v>0</v>
      </c>
      <c r="X130" s="7">
        <v>0</v>
      </c>
      <c r="Y130" s="8">
        <f>IFERROR(X130/X148, "NA")</f>
        <v>0</v>
      </c>
      <c r="Z130" s="7">
        <v>0</v>
      </c>
      <c r="AA130" s="8">
        <f>IFERROR(Z130/Z148, "NA")</f>
        <v>0</v>
      </c>
      <c r="AB130" s="9">
        <f t="shared" si="42"/>
        <v>0</v>
      </c>
      <c r="AC130" s="8">
        <f>IFERROR(AB130/AB148, "NA")</f>
        <v>0</v>
      </c>
      <c r="AD130" s="10">
        <f t="shared" si="43"/>
        <v>0</v>
      </c>
      <c r="AE130" s="11">
        <f>IFERROR(AD130/AD148, "NA")</f>
        <v>0</v>
      </c>
      <c r="AF130" s="10" t="str">
        <f t="shared" si="44"/>
        <v>NA</v>
      </c>
      <c r="AG130" s="9">
        <f t="shared" si="45"/>
        <v>0</v>
      </c>
      <c r="AH130" s="8">
        <f>IFERROR(AG130/AG148, "NA")</f>
        <v>0</v>
      </c>
      <c r="AI130" s="10">
        <f t="shared" si="46"/>
        <v>0</v>
      </c>
      <c r="AJ130" s="11">
        <f>IFERROR(AI130/AI148, "NA")</f>
        <v>0</v>
      </c>
      <c r="AK130" s="10" t="str">
        <f t="shared" si="47"/>
        <v>NA</v>
      </c>
      <c r="AL130" s="11" t="str">
        <f>IFERROR(AK130/AK148, "NA")</f>
        <v>NA</v>
      </c>
    </row>
    <row r="131" spans="1:38" ht="16.5" hidden="1" customHeight="1" x14ac:dyDescent="0.3">
      <c r="A131" s="6" t="s">
        <v>136</v>
      </c>
      <c r="B131" s="7">
        <v>0</v>
      </c>
      <c r="C131" s="8">
        <f>IFERROR(B131/B148, "NA")</f>
        <v>0</v>
      </c>
      <c r="D131" s="7">
        <v>0</v>
      </c>
      <c r="E131" s="8">
        <f>IFERROR(D131/D148, "NA")</f>
        <v>0</v>
      </c>
      <c r="F131" s="7">
        <v>0</v>
      </c>
      <c r="G131" s="8">
        <f>IFERROR(F131/F148, "NA")</f>
        <v>0</v>
      </c>
      <c r="H131" s="7">
        <v>0</v>
      </c>
      <c r="I131" s="8">
        <f>IFERROR(H131/H148, "NA")</f>
        <v>0</v>
      </c>
      <c r="J131" s="7">
        <v>0</v>
      </c>
      <c r="K131" s="8">
        <f>IFERROR(J131/J148, "NA")</f>
        <v>0</v>
      </c>
      <c r="L131" s="7">
        <v>0</v>
      </c>
      <c r="M131" s="8">
        <f>IFERROR(L131/L148, "NA")</f>
        <v>0</v>
      </c>
      <c r="N131" s="7">
        <v>0</v>
      </c>
      <c r="O131" s="8">
        <f>IFERROR(N131/N148, "NA")</f>
        <v>0</v>
      </c>
      <c r="P131" s="7">
        <v>0</v>
      </c>
      <c r="Q131" s="8">
        <f>IFERROR(P131/P148, "NA")</f>
        <v>0</v>
      </c>
      <c r="R131" s="7">
        <v>0</v>
      </c>
      <c r="S131" s="8">
        <f>IFERROR(R131/R148, "NA")</f>
        <v>0</v>
      </c>
      <c r="T131" s="7">
        <v>0</v>
      </c>
      <c r="U131" s="8">
        <f>IFERROR(T131/T148, "NA")</f>
        <v>0</v>
      </c>
      <c r="V131" s="7">
        <v>0</v>
      </c>
      <c r="W131" s="8">
        <f>IFERROR(V131/V148, "NA")</f>
        <v>0</v>
      </c>
      <c r="X131" s="7">
        <v>0</v>
      </c>
      <c r="Y131" s="8">
        <f>IFERROR(X131/X148, "NA")</f>
        <v>0</v>
      </c>
      <c r="Z131" s="7">
        <v>0</v>
      </c>
      <c r="AA131" s="8">
        <f>IFERROR(Z131/Z148, "NA")</f>
        <v>0</v>
      </c>
      <c r="AB131" s="9">
        <f t="shared" si="42"/>
        <v>0</v>
      </c>
      <c r="AC131" s="8">
        <f>IFERROR(AB131/AB148, "NA")</f>
        <v>0</v>
      </c>
      <c r="AD131" s="10">
        <f t="shared" si="43"/>
        <v>0</v>
      </c>
      <c r="AE131" s="11">
        <f>IFERROR(AD131/AD148, "NA")</f>
        <v>0</v>
      </c>
      <c r="AF131" s="10" t="str">
        <f t="shared" si="44"/>
        <v>NA</v>
      </c>
      <c r="AG131" s="9">
        <f t="shared" si="45"/>
        <v>0</v>
      </c>
      <c r="AH131" s="8">
        <f>IFERROR(AG131/AG148, "NA")</f>
        <v>0</v>
      </c>
      <c r="AI131" s="10">
        <f t="shared" si="46"/>
        <v>0</v>
      </c>
      <c r="AJ131" s="11">
        <f>IFERROR(AI131/AI148, "NA")</f>
        <v>0</v>
      </c>
      <c r="AK131" s="10" t="str">
        <f t="shared" si="47"/>
        <v>NA</v>
      </c>
      <c r="AL131" s="11" t="str">
        <f>IFERROR(AK131/AK148, "NA")</f>
        <v>NA</v>
      </c>
    </row>
    <row r="132" spans="1:38" ht="16.5" hidden="1" customHeight="1" x14ac:dyDescent="0.3">
      <c r="A132" s="6" t="s">
        <v>137</v>
      </c>
      <c r="B132" s="7">
        <v>0</v>
      </c>
      <c r="C132" s="8">
        <f>IFERROR(B132/B148, "NA")</f>
        <v>0</v>
      </c>
      <c r="D132" s="7">
        <v>0</v>
      </c>
      <c r="E132" s="8">
        <f>IFERROR(D132/D148, "NA")</f>
        <v>0</v>
      </c>
      <c r="F132" s="7">
        <v>0</v>
      </c>
      <c r="G132" s="8">
        <f>IFERROR(F132/F148, "NA")</f>
        <v>0</v>
      </c>
      <c r="H132" s="7">
        <v>0</v>
      </c>
      <c r="I132" s="8">
        <f>IFERROR(H132/H148, "NA")</f>
        <v>0</v>
      </c>
      <c r="J132" s="7">
        <v>0</v>
      </c>
      <c r="K132" s="8">
        <f>IFERROR(J132/J148, "NA")</f>
        <v>0</v>
      </c>
      <c r="L132" s="7">
        <v>0</v>
      </c>
      <c r="M132" s="8">
        <f>IFERROR(L132/L148, "NA")</f>
        <v>0</v>
      </c>
      <c r="N132" s="7">
        <v>0</v>
      </c>
      <c r="O132" s="8">
        <f>IFERROR(N132/N148, "NA")</f>
        <v>0</v>
      </c>
      <c r="P132" s="7">
        <v>0</v>
      </c>
      <c r="Q132" s="8">
        <f>IFERROR(P132/P148, "NA")</f>
        <v>0</v>
      </c>
      <c r="R132" s="7">
        <v>0</v>
      </c>
      <c r="S132" s="8">
        <f>IFERROR(R132/R148, "NA")</f>
        <v>0</v>
      </c>
      <c r="T132" s="7">
        <v>0</v>
      </c>
      <c r="U132" s="8">
        <f>IFERROR(T132/T148, "NA")</f>
        <v>0</v>
      </c>
      <c r="V132" s="7">
        <v>0</v>
      </c>
      <c r="W132" s="8">
        <f>IFERROR(V132/V148, "NA")</f>
        <v>0</v>
      </c>
      <c r="X132" s="7">
        <v>0</v>
      </c>
      <c r="Y132" s="8">
        <f>IFERROR(X132/X148, "NA")</f>
        <v>0</v>
      </c>
      <c r="Z132" s="7">
        <v>0</v>
      </c>
      <c r="AA132" s="8">
        <f>IFERROR(Z132/Z148, "NA")</f>
        <v>0</v>
      </c>
      <c r="AB132" s="9">
        <f t="shared" si="42"/>
        <v>0</v>
      </c>
      <c r="AC132" s="8">
        <f>IFERROR(AB132/AB148, "NA")</f>
        <v>0</v>
      </c>
      <c r="AD132" s="10">
        <f t="shared" si="43"/>
        <v>0</v>
      </c>
      <c r="AE132" s="11">
        <f>IFERROR(AD132/AD148, "NA")</f>
        <v>0</v>
      </c>
      <c r="AF132" s="10" t="str">
        <f t="shared" si="44"/>
        <v>NA</v>
      </c>
      <c r="AG132" s="9">
        <f t="shared" si="45"/>
        <v>0</v>
      </c>
      <c r="AH132" s="8">
        <f>IFERROR(AG132/AG148, "NA")</f>
        <v>0</v>
      </c>
      <c r="AI132" s="10">
        <f t="shared" si="46"/>
        <v>0</v>
      </c>
      <c r="AJ132" s="11">
        <f>IFERROR(AI132/AI148, "NA")</f>
        <v>0</v>
      </c>
      <c r="AK132" s="10" t="str">
        <f t="shared" si="47"/>
        <v>NA</v>
      </c>
      <c r="AL132" s="11" t="str">
        <f>IFERROR(AK132/AK148, "NA")</f>
        <v>NA</v>
      </c>
    </row>
    <row r="133" spans="1:38" ht="16.5" hidden="1" customHeight="1" x14ac:dyDescent="0.3">
      <c r="A133" s="6" t="s">
        <v>138</v>
      </c>
      <c r="B133" s="7">
        <v>0</v>
      </c>
      <c r="C133" s="8">
        <f>IFERROR(B133/B148, "NA")</f>
        <v>0</v>
      </c>
      <c r="D133" s="7">
        <v>0</v>
      </c>
      <c r="E133" s="8">
        <f>IFERROR(D133/D148, "NA")</f>
        <v>0</v>
      </c>
      <c r="F133" s="7">
        <v>0</v>
      </c>
      <c r="G133" s="8">
        <f>IFERROR(F133/F148, "NA")</f>
        <v>0</v>
      </c>
      <c r="H133" s="7">
        <v>0</v>
      </c>
      <c r="I133" s="8">
        <f>IFERROR(H133/H148, "NA")</f>
        <v>0</v>
      </c>
      <c r="J133" s="7">
        <v>0</v>
      </c>
      <c r="K133" s="8">
        <f>IFERROR(J133/J148, "NA")</f>
        <v>0</v>
      </c>
      <c r="L133" s="7">
        <v>0</v>
      </c>
      <c r="M133" s="8">
        <f>IFERROR(L133/L148, "NA")</f>
        <v>0</v>
      </c>
      <c r="N133" s="7">
        <v>0</v>
      </c>
      <c r="O133" s="8">
        <f>IFERROR(N133/N148, "NA")</f>
        <v>0</v>
      </c>
      <c r="P133" s="7">
        <v>0</v>
      </c>
      <c r="Q133" s="8">
        <f>IFERROR(P133/P148, "NA")</f>
        <v>0</v>
      </c>
      <c r="R133" s="7">
        <v>0</v>
      </c>
      <c r="S133" s="8">
        <f>IFERROR(R133/R148, "NA")</f>
        <v>0</v>
      </c>
      <c r="T133" s="7">
        <v>0</v>
      </c>
      <c r="U133" s="8">
        <f>IFERROR(T133/T148, "NA")</f>
        <v>0</v>
      </c>
      <c r="V133" s="7">
        <v>0</v>
      </c>
      <c r="W133" s="8">
        <f>IFERROR(V133/V148, "NA")</f>
        <v>0</v>
      </c>
      <c r="X133" s="7">
        <v>0</v>
      </c>
      <c r="Y133" s="8">
        <f>IFERROR(X133/X148, "NA")</f>
        <v>0</v>
      </c>
      <c r="Z133" s="7">
        <v>0</v>
      </c>
      <c r="AA133" s="8">
        <f>IFERROR(Z133/Z148, "NA")</f>
        <v>0</v>
      </c>
      <c r="AB133" s="9">
        <f t="shared" si="42"/>
        <v>0</v>
      </c>
      <c r="AC133" s="8">
        <f>IFERROR(AB133/AB148, "NA")</f>
        <v>0</v>
      </c>
      <c r="AD133" s="10">
        <f t="shared" si="43"/>
        <v>0</v>
      </c>
      <c r="AE133" s="11">
        <f>IFERROR(AD133/AD148, "NA")</f>
        <v>0</v>
      </c>
      <c r="AF133" s="10" t="str">
        <f t="shared" si="44"/>
        <v>NA</v>
      </c>
      <c r="AG133" s="9">
        <f t="shared" si="45"/>
        <v>0</v>
      </c>
      <c r="AH133" s="8">
        <f>IFERROR(AG133/AG148, "NA")</f>
        <v>0</v>
      </c>
      <c r="AI133" s="10">
        <f t="shared" si="46"/>
        <v>0</v>
      </c>
      <c r="AJ133" s="11">
        <f>IFERROR(AI133/AI148, "NA")</f>
        <v>0</v>
      </c>
      <c r="AK133" s="10" t="str">
        <f t="shared" si="47"/>
        <v>NA</v>
      </c>
      <c r="AL133" s="11" t="str">
        <f>IFERROR(AK133/AK148, "NA")</f>
        <v>NA</v>
      </c>
    </row>
    <row r="134" spans="1:38" ht="16.5" hidden="1" customHeight="1" x14ac:dyDescent="0.3">
      <c r="A134" s="6" t="s">
        <v>139</v>
      </c>
      <c r="B134" s="7">
        <v>0</v>
      </c>
      <c r="C134" s="8">
        <f>IFERROR(B134/B148, "NA")</f>
        <v>0</v>
      </c>
      <c r="D134" s="7">
        <v>0</v>
      </c>
      <c r="E134" s="8">
        <f>IFERROR(D134/D148, "NA")</f>
        <v>0</v>
      </c>
      <c r="F134" s="7">
        <v>0</v>
      </c>
      <c r="G134" s="8">
        <f>IFERROR(F134/F148, "NA")</f>
        <v>0</v>
      </c>
      <c r="H134" s="7">
        <v>0</v>
      </c>
      <c r="I134" s="8">
        <f>IFERROR(H134/H148, "NA")</f>
        <v>0</v>
      </c>
      <c r="J134" s="7">
        <v>0</v>
      </c>
      <c r="K134" s="8">
        <f>IFERROR(J134/J148, "NA")</f>
        <v>0</v>
      </c>
      <c r="L134" s="7">
        <v>0</v>
      </c>
      <c r="M134" s="8">
        <f>IFERROR(L134/L148, "NA")</f>
        <v>0</v>
      </c>
      <c r="N134" s="7">
        <v>0</v>
      </c>
      <c r="O134" s="8">
        <f>IFERROR(N134/N148, "NA")</f>
        <v>0</v>
      </c>
      <c r="P134" s="7">
        <v>0</v>
      </c>
      <c r="Q134" s="8">
        <f>IFERROR(P134/P148, "NA")</f>
        <v>0</v>
      </c>
      <c r="R134" s="7">
        <v>0</v>
      </c>
      <c r="S134" s="8">
        <f>IFERROR(R134/R148, "NA")</f>
        <v>0</v>
      </c>
      <c r="T134" s="7">
        <v>0</v>
      </c>
      <c r="U134" s="8">
        <f>IFERROR(T134/T148, "NA")</f>
        <v>0</v>
      </c>
      <c r="V134" s="7">
        <v>0</v>
      </c>
      <c r="W134" s="8">
        <f>IFERROR(V134/V148, "NA")</f>
        <v>0</v>
      </c>
      <c r="X134" s="7">
        <v>0</v>
      </c>
      <c r="Y134" s="8">
        <f>IFERROR(X134/X148, "NA")</f>
        <v>0</v>
      </c>
      <c r="Z134" s="7">
        <v>0</v>
      </c>
      <c r="AA134" s="8">
        <f>IFERROR(Z134/Z148, "NA")</f>
        <v>0</v>
      </c>
      <c r="AB134" s="9">
        <f t="shared" si="42"/>
        <v>0</v>
      </c>
      <c r="AC134" s="8">
        <f>IFERROR(AB134/AB148, "NA")</f>
        <v>0</v>
      </c>
      <c r="AD134" s="10">
        <f t="shared" si="43"/>
        <v>0</v>
      </c>
      <c r="AE134" s="11">
        <f>IFERROR(AD134/AD148, "NA")</f>
        <v>0</v>
      </c>
      <c r="AF134" s="10" t="str">
        <f t="shared" si="44"/>
        <v>NA</v>
      </c>
      <c r="AG134" s="9">
        <f t="shared" si="45"/>
        <v>0</v>
      </c>
      <c r="AH134" s="8">
        <f>IFERROR(AG134/AG148, "NA")</f>
        <v>0</v>
      </c>
      <c r="AI134" s="10">
        <f t="shared" si="46"/>
        <v>0</v>
      </c>
      <c r="AJ134" s="11">
        <f>IFERROR(AI134/AI148, "NA")</f>
        <v>0</v>
      </c>
      <c r="AK134" s="10" t="str">
        <f t="shared" si="47"/>
        <v>NA</v>
      </c>
      <c r="AL134" s="11" t="str">
        <f>IFERROR(AK134/AK148, "NA")</f>
        <v>NA</v>
      </c>
    </row>
    <row r="135" spans="1:38" ht="16.5" hidden="1" customHeight="1" x14ac:dyDescent="0.3">
      <c r="A135" s="12" t="s">
        <v>140</v>
      </c>
      <c r="B135" s="13">
        <f>IFERROR(B110+B111+B112+B113+B114+B115+B116+B117+B118+B119+B120+B121+B122+B123+B124+B125+B126+B127+B128+B129+B130+B131+B132+B133+B134, "NA")</f>
        <v>782.24</v>
      </c>
      <c r="C135" s="14">
        <f>IFERROR(B135/B148, "NA")</f>
        <v>2.2061776584463344E-2</v>
      </c>
      <c r="D135" s="13">
        <f>IFERROR(D110+D111+D112+D113+D114+D115+D116+D117+D118+D119+D120+D121+D122+D123+D124+D125+D126+D127+D128+D129+D130+D131+D132+D133+D134, "NA")</f>
        <v>780.99</v>
      </c>
      <c r="E135" s="14">
        <f>IFERROR(D135/D148, "NA")</f>
        <v>2.0243736673566735E-2</v>
      </c>
      <c r="F135" s="13">
        <f>IFERROR(F110+F111+F112+F113+F114+F115+F116+F117+F118+F119+F120+F121+F122+F123+F124+F125+F126+F127+F128+F129+F130+F131+F132+F133+F134, "NA")</f>
        <v>749.7</v>
      </c>
      <c r="G135" s="14">
        <f>IFERROR(F135/F148, "NA")</f>
        <v>1.6677989991871232E-2</v>
      </c>
      <c r="H135" s="13">
        <f>IFERROR(H110+H111+H112+H113+H114+H115+H116+H117+H118+H119+H120+H121+H122+H123+H124+H125+H126+H127+H128+H129+H130+H131+H132+H133+H134, "NA")</f>
        <v>-2312.9299999999998</v>
      </c>
      <c r="I135" s="14">
        <f>IFERROR(H135/H148, "NA")</f>
        <v>-5.61335869331228E-2</v>
      </c>
      <c r="J135" s="13">
        <f>IFERROR(J110+J111+J112+J113+J114+J115+J116+J117+J118+J119+J120+J121+J122+J123+J124+J125+J126+J127+J128+J129+J130+J131+J132+J133+J134, "NA")</f>
        <v>769.34</v>
      </c>
      <c r="K135" s="14">
        <f>IFERROR(J135/J148, "NA")</f>
        <v>1.9851988708204097E-2</v>
      </c>
      <c r="L135" s="13">
        <f>IFERROR(L110+L111+L112+L113+L114+L115+L116+L117+L118+L119+L120+L121+L122+L123+L124+L125+L126+L127+L128+L129+L130+L131+L132+L133+L134, "NA")</f>
        <v>923.4</v>
      </c>
      <c r="M135" s="14">
        <f>IFERROR(L135/L148, "NA")</f>
        <v>1.7653897574892843E-2</v>
      </c>
      <c r="N135" s="13">
        <f>IFERROR(N110+N111+N112+N113+N114+N115+N116+N117+N118+N119+N120+N121+N122+N123+N124+N125+N126+N127+N128+N129+N130+N131+N132+N133+N134, "NA")</f>
        <v>910.5</v>
      </c>
      <c r="O135" s="14">
        <f>IFERROR(N135/N148, "NA")</f>
        <v>1.8014581423632717E-2</v>
      </c>
      <c r="P135" s="13">
        <f>IFERROR(P110+P111+P112+P113+P114+P115+P116+P117+P118+P119+P120+P121+P122+P123+P124+P125+P126+P127+P128+P129+P130+P131+P132+P133+P134, "NA")</f>
        <v>931.7399999999999</v>
      </c>
      <c r="Q135" s="14">
        <f>IFERROR(P135/P148, "NA")</f>
        <v>1.9703056369637744E-2</v>
      </c>
      <c r="R135" s="13">
        <f>IFERROR(R110+R111+R112+R113+R114+R115+R116+R117+R118+R119+R120+R121+R122+R123+R124+R125+R126+R127+R128+R129+R130+R131+R132+R133+R134, "NA")</f>
        <v>-3534.9800000000005</v>
      </c>
      <c r="S135" s="14">
        <f>IFERROR(R135/R148, "NA")</f>
        <v>-7.3568598788098766E-2</v>
      </c>
      <c r="T135" s="13">
        <f>IFERROR(T110+T111+T112+T113+T114+T115+T116+T117+T118+T119+T120+T121+T122+T123+T124+T125+T126+T127+T128+T129+T130+T131+T132+T133+T134, "NA")</f>
        <v>670.39</v>
      </c>
      <c r="U135" s="14">
        <f>IFERROR(T135/T148, "NA")</f>
        <v>1.5794939795030268E-2</v>
      </c>
      <c r="V135" s="13">
        <f>IFERROR(V110+V111+V112+V113+V114+V115+V116+V117+V118+V119+V120+V121+V122+V123+V124+V125+V126+V127+V128+V129+V130+V131+V132+V133+V134, "NA")</f>
        <v>735.35000000000014</v>
      </c>
      <c r="W135" s="14">
        <f>IFERROR(V135/V148, "NA")</f>
        <v>1.2332715481645917E-2</v>
      </c>
      <c r="X135" s="13">
        <f>IFERROR(X110+X111+X112+X113+X114+X115+X116+X117+X118+X119+X120+X121+X122+X123+X124+X125+X126+X127+X128+X129+X130+X131+X132+X133+X134, "NA")</f>
        <v>801.28</v>
      </c>
      <c r="Y135" s="14">
        <f>IFERROR(X135/X148, "NA")</f>
        <v>1.3597799860777318E-2</v>
      </c>
      <c r="Z135" s="13">
        <f>IFERROR(Z110+Z111+Z112+Z113+Z114+Z115+Z116+Z117+Z118+Z119+Z120+Z121+Z122+Z123+Z124+Z125+Z126+Z127+Z128+Z129+Z130+Z131+Z132+Z133+Z134, "NA")</f>
        <v>2207.02</v>
      </c>
      <c r="AA135" s="14">
        <f>IFERROR(Z135/Z148, "NA")</f>
        <v>1.3708498471519377E-2</v>
      </c>
      <c r="AB135" s="13">
        <f t="shared" si="42"/>
        <v>-331.99000000000018</v>
      </c>
      <c r="AC135" s="14">
        <f>IFERROR(AB135/AB148, "NA")</f>
        <v>-6.3524592124435458E-3</v>
      </c>
      <c r="AD135" s="15">
        <f t="shared" si="43"/>
        <v>1133.2700000000002</v>
      </c>
      <c r="AE135" s="16">
        <f>IFERROR(AD135/AD148, "NA")</f>
        <v>0.1700194883227589</v>
      </c>
      <c r="AF135" s="15">
        <f t="shared" si="44"/>
        <v>-3.4135666736949895</v>
      </c>
      <c r="AG135" s="13">
        <f t="shared" si="45"/>
        <v>275.87749999999994</v>
      </c>
      <c r="AH135" s="14">
        <f>IFERROR(AG135/AG148, "NA")</f>
        <v>5.5461455102901415E-3</v>
      </c>
      <c r="AI135" s="15">
        <f t="shared" si="46"/>
        <v>525.40250000000003</v>
      </c>
      <c r="AJ135" s="16">
        <f>IFERROR(AI135/AI148, "NA")</f>
        <v>5.7202379810181878E-2</v>
      </c>
      <c r="AK135" s="15">
        <f t="shared" si="47"/>
        <v>1.9044775307881221</v>
      </c>
      <c r="AL135" s="16">
        <f>IFERROR(AK135/AK148, "NA")</f>
        <v>10.313898130521533</v>
      </c>
    </row>
    <row r="136" spans="1:38" ht="16.5" hidden="1" customHeight="1" x14ac:dyDescent="0.3">
      <c r="A136" s="35" t="s">
        <v>3</v>
      </c>
      <c r="B136" s="36"/>
      <c r="C136" s="19"/>
      <c r="D136" s="36"/>
      <c r="E136" s="19"/>
      <c r="F136" s="36"/>
      <c r="G136" s="19"/>
      <c r="H136" s="36"/>
      <c r="I136" s="19"/>
      <c r="J136" s="36"/>
      <c r="K136" s="19"/>
      <c r="L136" s="36"/>
      <c r="M136" s="19"/>
      <c r="N136" s="36"/>
      <c r="O136" s="19"/>
      <c r="P136" s="36"/>
      <c r="Q136" s="19"/>
      <c r="R136" s="36"/>
      <c r="S136" s="19"/>
      <c r="T136" s="36"/>
      <c r="U136" s="19"/>
      <c r="V136" s="36"/>
      <c r="W136" s="19"/>
      <c r="X136" s="36"/>
      <c r="Y136" s="19"/>
      <c r="Z136" s="36"/>
      <c r="AA136" s="19"/>
      <c r="AB136" s="36"/>
      <c r="AC136" s="19"/>
      <c r="AD136" s="37"/>
      <c r="AE136" s="21"/>
      <c r="AF136" s="37"/>
      <c r="AG136" s="36"/>
      <c r="AH136" s="19"/>
      <c r="AI136" s="37"/>
      <c r="AJ136" s="21"/>
      <c r="AK136" s="37"/>
      <c r="AL136" s="21"/>
    </row>
    <row r="137" spans="1:38" ht="16.5" hidden="1" customHeight="1" x14ac:dyDescent="0.3">
      <c r="A137" s="32" t="s">
        <v>141</v>
      </c>
      <c r="B137" s="33">
        <f>IFERROR(B107-B135, "NA")</f>
        <v>6434.480000000005</v>
      </c>
      <c r="C137" s="34">
        <f>IFERROR(B137/B148, "NA")</f>
        <v>0.18147379346133899</v>
      </c>
      <c r="D137" s="33">
        <f>IFERROR(D107-D135, "NA")</f>
        <v>4812.8500000000004</v>
      </c>
      <c r="E137" s="34">
        <f>IFERROR(D137/D148, "NA")</f>
        <v>0.12475200457032186</v>
      </c>
      <c r="F137" s="33">
        <f>IFERROR(F107-F135, "NA")</f>
        <v>2237.2999999999774</v>
      </c>
      <c r="G137" s="34">
        <f>IFERROR(F137/F148, "NA")</f>
        <v>4.9771464597589875E-2</v>
      </c>
      <c r="H137" s="33">
        <f>IFERROR(H107-H135, "NA")</f>
        <v>-3309.9100000000076</v>
      </c>
      <c r="I137" s="34">
        <f>IFERROR(H137/H148, "NA")</f>
        <v>-8.0329763860476938E-2</v>
      </c>
      <c r="J137" s="33">
        <f>IFERROR(J107-J135, "NA")</f>
        <v>11193.499999999995</v>
      </c>
      <c r="K137" s="34">
        <f>IFERROR(J137/J148, "NA")</f>
        <v>0.28883619154766743</v>
      </c>
      <c r="L137" s="33">
        <f>IFERROR(L107-L135, "NA")</f>
        <v>17392.900000000005</v>
      </c>
      <c r="M137" s="34">
        <f>IFERROR(L137/L148, "NA")</f>
        <v>0.33252379806189503</v>
      </c>
      <c r="N137" s="33">
        <f>IFERROR(N107-N135, "NA")</f>
        <v>14021.739999999994</v>
      </c>
      <c r="O137" s="34">
        <f>IFERROR(N137/N148, "NA")</f>
        <v>0.27742534533883328</v>
      </c>
      <c r="P137" s="33">
        <f>IFERROR(P107-P135, "NA")</f>
        <v>5330.8600000000115</v>
      </c>
      <c r="Q137" s="34">
        <f>IFERROR(P137/P148, "NA")</f>
        <v>0.11272912516222046</v>
      </c>
      <c r="R137" s="33">
        <f>IFERROR(R107-R135, "NA")</f>
        <v>-2151.3699999999944</v>
      </c>
      <c r="S137" s="34">
        <f>IFERROR(R137/R148, "NA")</f>
        <v>-4.4773457381583948E-2</v>
      </c>
      <c r="T137" s="33">
        <f>IFERROR(T107-T135, "NA")</f>
        <v>12053.269999999993</v>
      </c>
      <c r="U137" s="34">
        <f>IFERROR(T137/T148, "NA")</f>
        <v>0.28398495500118498</v>
      </c>
      <c r="V137" s="33">
        <f>IFERROR(V107-V135, "NA")</f>
        <v>14604.459999999997</v>
      </c>
      <c r="W137" s="34">
        <f>IFERROR(V137/V148, "NA")</f>
        <v>0.24493458889383077</v>
      </c>
      <c r="X137" s="33">
        <f>IFERROR(X107-X135, "NA")</f>
        <v>10303.219999999996</v>
      </c>
      <c r="Y137" s="34">
        <f>IFERROR(X137/X148, "NA")</f>
        <v>0.17484664971240768</v>
      </c>
      <c r="Z137" s="33">
        <f>IFERROR(Z107-Z135, "NA")</f>
        <v>36960.950000000026</v>
      </c>
      <c r="AA137" s="34">
        <f>IFERROR(Z137/Z148, "NA")</f>
        <v>0.22957613731679116</v>
      </c>
      <c r="AB137" s="33">
        <f>IFERROR((R137+T137+V137+X137)/4, "NA")</f>
        <v>8702.3949999999968</v>
      </c>
      <c r="AC137" s="34">
        <f>IFERROR(AB137/AB148, "NA")</f>
        <v>0.16651588688837796</v>
      </c>
      <c r="AD137" s="15">
        <f>IFERROR(X137-AB137, "NA")</f>
        <v>1600.8249999999989</v>
      </c>
      <c r="AE137" s="16">
        <f>IFERROR(AD137/AD148, "NA")</f>
        <v>0.24016469808102242</v>
      </c>
      <c r="AF137" s="15">
        <f>IFERROR((X137-AB137)/AB137, "NA")</f>
        <v>0.18395223383907527</v>
      </c>
      <c r="AG137" s="33">
        <f>IFERROR((J137+L137+N137+P137+R137+T137+V137+X137)/8, "NA")</f>
        <v>10343.5725</v>
      </c>
      <c r="AH137" s="34">
        <f>IFERROR(AG137/AG148, "NA")</f>
        <v>0.20794359156232597</v>
      </c>
      <c r="AI137" s="15">
        <f>IFERROR(X137-AG137, "NA")</f>
        <v>-40.352500000004511</v>
      </c>
      <c r="AJ137" s="16">
        <f>IFERROR(AI137/AI148, "NA")</f>
        <v>-4.3933156604519814E-3</v>
      </c>
      <c r="AK137" s="15">
        <f>IFERROR((X137-AG137)/AG137, "NA")</f>
        <v>-3.9012149815747421E-3</v>
      </c>
      <c r="AL137" s="16">
        <f>IFERROR(AK137/AK148, "NA")</f>
        <v>-2.1127439549562619E-2</v>
      </c>
    </row>
    <row r="138" spans="1:38" ht="3.75" hidden="1" customHeight="1" x14ac:dyDescent="0.3">
      <c r="A138" s="35" t="s">
        <v>3</v>
      </c>
      <c r="B138" s="36"/>
      <c r="C138" s="19"/>
      <c r="D138" s="36"/>
      <c r="E138" s="19"/>
      <c r="F138" s="36"/>
      <c r="G138" s="19"/>
      <c r="H138" s="36"/>
      <c r="I138" s="19"/>
      <c r="J138" s="36"/>
      <c r="K138" s="19"/>
      <c r="L138" s="36"/>
      <c r="M138" s="19"/>
      <c r="N138" s="36"/>
      <c r="O138" s="19"/>
      <c r="P138" s="36"/>
      <c r="Q138" s="19"/>
      <c r="R138" s="36"/>
      <c r="S138" s="19"/>
      <c r="T138" s="36"/>
      <c r="U138" s="19"/>
      <c r="V138" s="36"/>
      <c r="W138" s="19"/>
      <c r="X138" s="36"/>
      <c r="Y138" s="19"/>
      <c r="Z138" s="36"/>
      <c r="AA138" s="19"/>
      <c r="AB138" s="36"/>
      <c r="AC138" s="19"/>
      <c r="AD138" s="37"/>
      <c r="AE138" s="21"/>
      <c r="AF138" s="37"/>
      <c r="AG138" s="36"/>
      <c r="AH138" s="19"/>
      <c r="AI138" s="37"/>
      <c r="AJ138" s="21"/>
      <c r="AK138" s="37"/>
      <c r="AL138" s="21"/>
    </row>
    <row r="139" spans="1:38" ht="16.5" hidden="1" customHeight="1" x14ac:dyDescent="0.3">
      <c r="A139" s="1" t="s">
        <v>142</v>
      </c>
      <c r="B139" s="2"/>
      <c r="C139" s="3"/>
      <c r="D139" s="2"/>
      <c r="E139" s="3"/>
      <c r="F139" s="2"/>
      <c r="G139" s="3"/>
      <c r="H139" s="2"/>
      <c r="I139" s="3"/>
      <c r="J139" s="2"/>
      <c r="K139" s="3"/>
      <c r="L139" s="2"/>
      <c r="M139" s="3"/>
      <c r="N139" s="2"/>
      <c r="O139" s="3"/>
      <c r="P139" s="2"/>
      <c r="Q139" s="3"/>
      <c r="R139" s="2"/>
      <c r="S139" s="3"/>
      <c r="T139" s="2"/>
      <c r="U139" s="3"/>
      <c r="V139" s="2"/>
      <c r="W139" s="3"/>
      <c r="X139" s="2"/>
      <c r="Y139" s="3"/>
      <c r="Z139" s="2"/>
      <c r="AA139" s="3"/>
      <c r="AB139" s="2"/>
      <c r="AC139" s="3"/>
      <c r="AD139" s="4"/>
      <c r="AE139" s="5"/>
      <c r="AF139" s="4"/>
      <c r="AG139" s="2"/>
      <c r="AH139" s="3"/>
      <c r="AI139" s="4"/>
      <c r="AJ139" s="5"/>
      <c r="AK139" s="4"/>
      <c r="AL139" s="5"/>
    </row>
    <row r="140" spans="1:38" ht="16.5" hidden="1" customHeight="1" x14ac:dyDescent="0.3">
      <c r="A140" s="6" t="s">
        <v>143</v>
      </c>
      <c r="B140" s="7">
        <v>0</v>
      </c>
      <c r="C140" s="8">
        <f>IFERROR(B140/B148, "NA")</f>
        <v>0</v>
      </c>
      <c r="D140" s="7">
        <v>0</v>
      </c>
      <c r="E140" s="8">
        <f>IFERROR(D140/D148, "NA")</f>
        <v>0</v>
      </c>
      <c r="F140" s="7">
        <v>0</v>
      </c>
      <c r="G140" s="8">
        <f>IFERROR(F140/F148, "NA")</f>
        <v>0</v>
      </c>
      <c r="H140" s="7">
        <v>4522.0199999999995</v>
      </c>
      <c r="I140" s="8">
        <f>IFERROR(H140/H148, "NA")</f>
        <v>0.10974703202575087</v>
      </c>
      <c r="J140" s="7">
        <v>0</v>
      </c>
      <c r="K140" s="8">
        <f>IFERROR(J140/J148, "NA")</f>
        <v>0</v>
      </c>
      <c r="L140" s="7">
        <v>0</v>
      </c>
      <c r="M140" s="8">
        <f>IFERROR(L140/L148, "NA")</f>
        <v>0</v>
      </c>
      <c r="N140" s="7">
        <v>0</v>
      </c>
      <c r="O140" s="8">
        <f>IFERROR(N140/N148, "NA")</f>
        <v>0</v>
      </c>
      <c r="P140" s="7">
        <v>-54.7</v>
      </c>
      <c r="Q140" s="8">
        <f>IFERROR(P140/P148, "NA")</f>
        <v>-1.1567145163019561E-3</v>
      </c>
      <c r="R140" s="7">
        <v>4548.24</v>
      </c>
      <c r="S140" s="8">
        <f>IFERROR(R140/R148, "NA")</f>
        <v>9.4656163189602849E-2</v>
      </c>
      <c r="T140" s="7">
        <v>0</v>
      </c>
      <c r="U140" s="8">
        <f>IFERROR(T140/T148, "NA")</f>
        <v>0</v>
      </c>
      <c r="V140" s="7">
        <v>0</v>
      </c>
      <c r="W140" s="8">
        <f>IFERROR(V140/V148, "NA")</f>
        <v>0</v>
      </c>
      <c r="X140" s="7">
        <v>0</v>
      </c>
      <c r="Y140" s="8">
        <f>IFERROR(X140/X148, "NA")</f>
        <v>0</v>
      </c>
      <c r="Z140" s="7">
        <v>0</v>
      </c>
      <c r="AA140" s="8">
        <f>IFERROR(Z140/Z148, "NA")</f>
        <v>0</v>
      </c>
      <c r="AB140" s="9">
        <f>IFERROR((R140+T140+V140+X140)/4, "NA")</f>
        <v>1137.06</v>
      </c>
      <c r="AC140" s="8">
        <f>IFERROR(AB140/AB148, "NA")</f>
        <v>2.1757062779303754E-2</v>
      </c>
      <c r="AD140" s="10">
        <f>IFERROR(X140-AB140, "NA")</f>
        <v>-1137.06</v>
      </c>
      <c r="AE140" s="11">
        <f>IFERROR(AD140/AD148, "NA")</f>
        <v>-0.17058808526853811</v>
      </c>
      <c r="AF140" s="10">
        <f>IFERROR((X140-AB140)/AB140, "NA")</f>
        <v>-1</v>
      </c>
      <c r="AG140" s="9">
        <f>IFERROR((J140+L140+N140+P140+R140+T140+V140+X140)/8, "NA")</f>
        <v>561.6925</v>
      </c>
      <c r="AH140" s="8">
        <f>IFERROR(AG140/AG148, "NA")</f>
        <v>1.1292071071539527E-2</v>
      </c>
      <c r="AI140" s="10">
        <f>IFERROR(X140-AG140, "NA")</f>
        <v>-561.6925</v>
      </c>
      <c r="AJ140" s="11">
        <f>IFERROR(AI140/AI148, "NA")</f>
        <v>-6.1153397103231491E-2</v>
      </c>
      <c r="AK140" s="10">
        <f>IFERROR((X140-AG140)/AG140, "NA")</f>
        <v>-1</v>
      </c>
      <c r="AL140" s="11">
        <f>IFERROR(AK140/AK148, "NA")</f>
        <v>-5.4156050485160492</v>
      </c>
    </row>
    <row r="141" spans="1:38" ht="16.5" hidden="1" customHeight="1" x14ac:dyDescent="0.3">
      <c r="A141" s="12" t="s">
        <v>144</v>
      </c>
      <c r="B141" s="13">
        <f>IFERROR(B140, "NA")</f>
        <v>0</v>
      </c>
      <c r="C141" s="14">
        <f>IFERROR(B141/B148, "NA")</f>
        <v>0</v>
      </c>
      <c r="D141" s="13">
        <f>IFERROR(D140, "NA")</f>
        <v>0</v>
      </c>
      <c r="E141" s="14">
        <f>IFERROR(D141/D148, "NA")</f>
        <v>0</v>
      </c>
      <c r="F141" s="13">
        <f>IFERROR(F140, "NA")</f>
        <v>0</v>
      </c>
      <c r="G141" s="14">
        <f>IFERROR(F141/F148, "NA")</f>
        <v>0</v>
      </c>
      <c r="H141" s="13">
        <f>IFERROR(H140, "NA")</f>
        <v>4522.0199999999995</v>
      </c>
      <c r="I141" s="14">
        <f>IFERROR(H141/H148, "NA")</f>
        <v>0.10974703202575087</v>
      </c>
      <c r="J141" s="13">
        <f>IFERROR(J140, "NA")</f>
        <v>0</v>
      </c>
      <c r="K141" s="14">
        <f>IFERROR(J141/J148, "NA")</f>
        <v>0</v>
      </c>
      <c r="L141" s="13">
        <f>IFERROR(L140, "NA")</f>
        <v>0</v>
      </c>
      <c r="M141" s="14">
        <f>IFERROR(L141/L148, "NA")</f>
        <v>0</v>
      </c>
      <c r="N141" s="13">
        <f>IFERROR(N140, "NA")</f>
        <v>0</v>
      </c>
      <c r="O141" s="14">
        <f>IFERROR(N141/N148, "NA")</f>
        <v>0</v>
      </c>
      <c r="P141" s="13">
        <f>IFERROR(P140, "NA")</f>
        <v>-54.7</v>
      </c>
      <c r="Q141" s="14">
        <f>IFERROR(P141/P148, "NA")</f>
        <v>-1.1567145163019561E-3</v>
      </c>
      <c r="R141" s="13">
        <f>IFERROR(R140, "NA")</f>
        <v>4548.24</v>
      </c>
      <c r="S141" s="14">
        <f>IFERROR(R141/R148, "NA")</f>
        <v>9.4656163189602849E-2</v>
      </c>
      <c r="T141" s="13">
        <f>IFERROR(T140, "NA")</f>
        <v>0</v>
      </c>
      <c r="U141" s="14">
        <f>IFERROR(T141/T148, "NA")</f>
        <v>0</v>
      </c>
      <c r="V141" s="13">
        <f>IFERROR(V140, "NA")</f>
        <v>0</v>
      </c>
      <c r="W141" s="14">
        <f>IFERROR(V141/V148, "NA")</f>
        <v>0</v>
      </c>
      <c r="X141" s="13">
        <f>IFERROR(X140, "NA")</f>
        <v>0</v>
      </c>
      <c r="Y141" s="14">
        <f>IFERROR(X141/X148, "NA")</f>
        <v>0</v>
      </c>
      <c r="Z141" s="13">
        <f>IFERROR(Z140, "NA")</f>
        <v>0</v>
      </c>
      <c r="AA141" s="14">
        <f>IFERROR(Z141/Z148, "NA")</f>
        <v>0</v>
      </c>
      <c r="AB141" s="13">
        <f>IFERROR((R141+T141+V141+X141)/4, "NA")</f>
        <v>1137.06</v>
      </c>
      <c r="AC141" s="14">
        <f>IFERROR(AB141/AB148, "NA")</f>
        <v>2.1757062779303754E-2</v>
      </c>
      <c r="AD141" s="15">
        <f>IFERROR(X141-AB141, "NA")</f>
        <v>-1137.06</v>
      </c>
      <c r="AE141" s="16">
        <f>IFERROR(AD141/AD148, "NA")</f>
        <v>-0.17058808526853811</v>
      </c>
      <c r="AF141" s="15">
        <f>IFERROR((X141-AB141)/AB141, "NA")</f>
        <v>-1</v>
      </c>
      <c r="AG141" s="13">
        <f>IFERROR((J141+L141+N141+P141+R141+T141+V141+X141)/8, "NA")</f>
        <v>561.6925</v>
      </c>
      <c r="AH141" s="14">
        <f>IFERROR(AG141/AG148, "NA")</f>
        <v>1.1292071071539527E-2</v>
      </c>
      <c r="AI141" s="15">
        <f>IFERROR(X141-AG141, "NA")</f>
        <v>-561.6925</v>
      </c>
      <c r="AJ141" s="16">
        <f>IFERROR(AI141/AI148, "NA")</f>
        <v>-6.1153397103231491E-2</v>
      </c>
      <c r="AK141" s="15">
        <f>IFERROR((X141-AG141)/AG141, "NA")</f>
        <v>-1</v>
      </c>
      <c r="AL141" s="16">
        <f>IFERROR(AK141/AK148, "NA")</f>
        <v>-5.4156050485160492</v>
      </c>
    </row>
    <row r="142" spans="1:38" ht="3.75" hidden="1" customHeight="1" x14ac:dyDescent="0.3">
      <c r="A142" s="35" t="s">
        <v>3</v>
      </c>
      <c r="B142" s="36"/>
      <c r="C142" s="19"/>
      <c r="D142" s="36"/>
      <c r="E142" s="19"/>
      <c r="F142" s="36"/>
      <c r="G142" s="19"/>
      <c r="H142" s="36"/>
      <c r="I142" s="19"/>
      <c r="J142" s="36"/>
      <c r="K142" s="19"/>
      <c r="L142" s="36"/>
      <c r="M142" s="19"/>
      <c r="N142" s="36"/>
      <c r="O142" s="19"/>
      <c r="P142" s="36"/>
      <c r="Q142" s="19"/>
      <c r="R142" s="36"/>
      <c r="S142" s="19"/>
      <c r="T142" s="36"/>
      <c r="U142" s="19"/>
      <c r="V142" s="36"/>
      <c r="W142" s="19"/>
      <c r="X142" s="36"/>
      <c r="Y142" s="19"/>
      <c r="Z142" s="36"/>
      <c r="AA142" s="19"/>
      <c r="AB142" s="36"/>
      <c r="AC142" s="19"/>
      <c r="AD142" s="37"/>
      <c r="AE142" s="21"/>
      <c r="AF142" s="37"/>
      <c r="AG142" s="36"/>
      <c r="AH142" s="19"/>
      <c r="AI142" s="37"/>
      <c r="AJ142" s="21"/>
      <c r="AK142" s="37"/>
      <c r="AL142" s="21"/>
    </row>
    <row r="143" spans="1:38" ht="16.5" hidden="1" customHeight="1" x14ac:dyDescent="0.3">
      <c r="A143" s="1" t="s">
        <v>145</v>
      </c>
      <c r="B143" s="2"/>
      <c r="C143" s="3"/>
      <c r="D143" s="2"/>
      <c r="E143" s="3"/>
      <c r="F143" s="2"/>
      <c r="G143" s="3"/>
      <c r="H143" s="2"/>
      <c r="I143" s="3"/>
      <c r="J143" s="2"/>
      <c r="K143" s="3"/>
      <c r="L143" s="2"/>
      <c r="M143" s="3"/>
      <c r="N143" s="2"/>
      <c r="O143" s="3"/>
      <c r="P143" s="2"/>
      <c r="Q143" s="3"/>
      <c r="R143" s="2"/>
      <c r="S143" s="3"/>
      <c r="T143" s="2"/>
      <c r="U143" s="3"/>
      <c r="V143" s="2"/>
      <c r="W143" s="3"/>
      <c r="X143" s="2"/>
      <c r="Y143" s="3"/>
      <c r="Z143" s="2"/>
      <c r="AA143" s="3"/>
      <c r="AB143" s="2"/>
      <c r="AC143" s="3"/>
      <c r="AD143" s="4"/>
      <c r="AE143" s="5"/>
      <c r="AF143" s="4"/>
      <c r="AG143" s="2"/>
      <c r="AH143" s="3"/>
      <c r="AI143" s="4"/>
      <c r="AJ143" s="5"/>
      <c r="AK143" s="4"/>
      <c r="AL143" s="5"/>
    </row>
    <row r="144" spans="1:38" ht="16.5" hidden="1" customHeight="1" x14ac:dyDescent="0.3">
      <c r="A144" s="6" t="s">
        <v>146</v>
      </c>
      <c r="B144" s="7">
        <v>0</v>
      </c>
      <c r="C144" s="8">
        <f>IFERROR(B144/B148, "NA")</f>
        <v>0</v>
      </c>
      <c r="D144" s="7">
        <v>0</v>
      </c>
      <c r="E144" s="8">
        <f>IFERROR(D144/D148, "NA")</f>
        <v>0</v>
      </c>
      <c r="F144" s="7">
        <v>0</v>
      </c>
      <c r="G144" s="8">
        <f>IFERROR(F144/F148, "NA")</f>
        <v>0</v>
      </c>
      <c r="H144" s="7">
        <v>0</v>
      </c>
      <c r="I144" s="8">
        <f>IFERROR(H144/H148, "NA")</f>
        <v>0</v>
      </c>
      <c r="J144" s="7">
        <v>0</v>
      </c>
      <c r="K144" s="8">
        <f>IFERROR(J144/J148, "NA")</f>
        <v>0</v>
      </c>
      <c r="L144" s="7">
        <v>0</v>
      </c>
      <c r="M144" s="8">
        <f>IFERROR(L144/L148, "NA")</f>
        <v>0</v>
      </c>
      <c r="N144" s="7">
        <v>0</v>
      </c>
      <c r="O144" s="8">
        <f>IFERROR(N144/N148, "NA")</f>
        <v>0</v>
      </c>
      <c r="P144" s="7">
        <v>0</v>
      </c>
      <c r="Q144" s="8">
        <f>IFERROR(P144/P148, "NA")</f>
        <v>0</v>
      </c>
      <c r="R144" s="7">
        <v>0</v>
      </c>
      <c r="S144" s="8">
        <f>IFERROR(R144/R148, "NA")</f>
        <v>0</v>
      </c>
      <c r="T144" s="7">
        <v>0</v>
      </c>
      <c r="U144" s="8">
        <f>IFERROR(T144/T148, "NA")</f>
        <v>0</v>
      </c>
      <c r="V144" s="7">
        <v>0</v>
      </c>
      <c r="W144" s="8">
        <f>IFERROR(V144/V148, "NA")</f>
        <v>0</v>
      </c>
      <c r="X144" s="7">
        <v>0</v>
      </c>
      <c r="Y144" s="8">
        <f>IFERROR(X144/X148, "NA")</f>
        <v>0</v>
      </c>
      <c r="Z144" s="7">
        <v>0</v>
      </c>
      <c r="AA144" s="8">
        <f>IFERROR(Z144/Z148, "NA")</f>
        <v>0</v>
      </c>
      <c r="AB144" s="9">
        <f>IFERROR((R144+T144+V144+X144)/4, "NA")</f>
        <v>0</v>
      </c>
      <c r="AC144" s="8">
        <f>IFERROR(AB144/AB148, "NA")</f>
        <v>0</v>
      </c>
      <c r="AD144" s="10">
        <f>IFERROR(X144-AB144, "NA")</f>
        <v>0</v>
      </c>
      <c r="AE144" s="11">
        <f>IFERROR(AD144/AD148, "NA")</f>
        <v>0</v>
      </c>
      <c r="AF144" s="10" t="str">
        <f>IFERROR((X144-AB144)/AB144, "NA")</f>
        <v>NA</v>
      </c>
      <c r="AG144" s="9">
        <f>IFERROR((J144+L144+N144+P144+R144+T144+V144+X144)/8, "NA")</f>
        <v>0</v>
      </c>
      <c r="AH144" s="8">
        <f>IFERROR(AG144/AG148, "NA")</f>
        <v>0</v>
      </c>
      <c r="AI144" s="10">
        <f>IFERROR(X144-AG144, "NA")</f>
        <v>0</v>
      </c>
      <c r="AJ144" s="11">
        <f>IFERROR(AI144/AI148, "NA")</f>
        <v>0</v>
      </c>
      <c r="AK144" s="10" t="str">
        <f>IFERROR((X144-AG144)/AG144, "NA")</f>
        <v>NA</v>
      </c>
      <c r="AL144" s="11" t="str">
        <f>IFERROR(AK144/AK148, "NA")</f>
        <v>NA</v>
      </c>
    </row>
    <row r="145" spans="1:38" ht="16.5" hidden="1" customHeight="1" x14ac:dyDescent="0.3">
      <c r="A145" s="12" t="s">
        <v>147</v>
      </c>
      <c r="B145" s="13">
        <f>IFERROR(B144, "NA")</f>
        <v>0</v>
      </c>
      <c r="C145" s="14">
        <f>IFERROR(B145/B148, "NA")</f>
        <v>0</v>
      </c>
      <c r="D145" s="13">
        <f>IFERROR(D144, "NA")</f>
        <v>0</v>
      </c>
      <c r="E145" s="14">
        <f>IFERROR(D145/D148, "NA")</f>
        <v>0</v>
      </c>
      <c r="F145" s="13">
        <f>IFERROR(F144, "NA")</f>
        <v>0</v>
      </c>
      <c r="G145" s="14">
        <f>IFERROR(F145/F148, "NA")</f>
        <v>0</v>
      </c>
      <c r="H145" s="13">
        <f>IFERROR(H144, "NA")</f>
        <v>0</v>
      </c>
      <c r="I145" s="14">
        <f>IFERROR(H145/H148, "NA")</f>
        <v>0</v>
      </c>
      <c r="J145" s="13">
        <f>IFERROR(J144, "NA")</f>
        <v>0</v>
      </c>
      <c r="K145" s="14">
        <f>IFERROR(J145/J148, "NA")</f>
        <v>0</v>
      </c>
      <c r="L145" s="13">
        <f>IFERROR(L144, "NA")</f>
        <v>0</v>
      </c>
      <c r="M145" s="14">
        <f>IFERROR(L145/L148, "NA")</f>
        <v>0</v>
      </c>
      <c r="N145" s="13">
        <f>IFERROR(N144, "NA")</f>
        <v>0</v>
      </c>
      <c r="O145" s="14">
        <f>IFERROR(N145/N148, "NA")</f>
        <v>0</v>
      </c>
      <c r="P145" s="13">
        <f>IFERROR(P144, "NA")</f>
        <v>0</v>
      </c>
      <c r="Q145" s="14">
        <f>IFERROR(P145/P148, "NA")</f>
        <v>0</v>
      </c>
      <c r="R145" s="13">
        <f>IFERROR(R144, "NA")</f>
        <v>0</v>
      </c>
      <c r="S145" s="14">
        <f>IFERROR(R145/R148, "NA")</f>
        <v>0</v>
      </c>
      <c r="T145" s="13">
        <f>IFERROR(T144, "NA")</f>
        <v>0</v>
      </c>
      <c r="U145" s="14">
        <f>IFERROR(T145/T148, "NA")</f>
        <v>0</v>
      </c>
      <c r="V145" s="13">
        <f>IFERROR(V144, "NA")</f>
        <v>0</v>
      </c>
      <c r="W145" s="14">
        <f>IFERROR(V145/V148, "NA")</f>
        <v>0</v>
      </c>
      <c r="X145" s="13">
        <f>IFERROR(X144, "NA")</f>
        <v>0</v>
      </c>
      <c r="Y145" s="14">
        <f>IFERROR(X145/X148, "NA")</f>
        <v>0</v>
      </c>
      <c r="Z145" s="13">
        <f>IFERROR(Z144, "NA")</f>
        <v>0</v>
      </c>
      <c r="AA145" s="14">
        <f>IFERROR(Z145/Z148, "NA")</f>
        <v>0</v>
      </c>
      <c r="AB145" s="13">
        <f>IFERROR((R145+T145+V145+X145)/4, "NA")</f>
        <v>0</v>
      </c>
      <c r="AC145" s="14">
        <f>IFERROR(AB145/AB148, "NA")</f>
        <v>0</v>
      </c>
      <c r="AD145" s="15">
        <f>IFERROR(X145-AB145, "NA")</f>
        <v>0</v>
      </c>
      <c r="AE145" s="16">
        <f>IFERROR(AD145/AD148, "NA")</f>
        <v>0</v>
      </c>
      <c r="AF145" s="15" t="str">
        <f>IFERROR((X145-AB145)/AB145, "NA")</f>
        <v>NA</v>
      </c>
      <c r="AG145" s="13">
        <f>IFERROR((J145+L145+N145+P145+R145+T145+V145+X145)/8, "NA")</f>
        <v>0</v>
      </c>
      <c r="AH145" s="14">
        <f>IFERROR(AG145/AG148, "NA")</f>
        <v>0</v>
      </c>
      <c r="AI145" s="15">
        <f>IFERROR(X145-AG145, "NA")</f>
        <v>0</v>
      </c>
      <c r="AJ145" s="16">
        <f>IFERROR(AI145/AI148, "NA")</f>
        <v>0</v>
      </c>
      <c r="AK145" s="15" t="str">
        <f>IFERROR((X145-AG145)/AG145, "NA")</f>
        <v>NA</v>
      </c>
      <c r="AL145" s="16" t="str">
        <f>IFERROR(AK145/AK148, "NA")</f>
        <v>NA</v>
      </c>
    </row>
    <row r="146" spans="1:38" ht="3.75" hidden="1" customHeight="1" x14ac:dyDescent="0.3">
      <c r="A146" s="35" t="s">
        <v>3</v>
      </c>
      <c r="B146" s="36"/>
      <c r="C146" s="19"/>
      <c r="D146" s="36"/>
      <c r="E146" s="19"/>
      <c r="F146" s="36"/>
      <c r="G146" s="19"/>
      <c r="H146" s="36"/>
      <c r="I146" s="19"/>
      <c r="J146" s="36"/>
      <c r="K146" s="19"/>
      <c r="L146" s="36"/>
      <c r="M146" s="19"/>
      <c r="N146" s="36"/>
      <c r="O146" s="19"/>
      <c r="P146" s="36"/>
      <c r="Q146" s="19"/>
      <c r="R146" s="36"/>
      <c r="S146" s="19"/>
      <c r="T146" s="36"/>
      <c r="U146" s="19"/>
      <c r="V146" s="36"/>
      <c r="W146" s="19"/>
      <c r="X146" s="36"/>
      <c r="Y146" s="19"/>
      <c r="Z146" s="36"/>
      <c r="AA146" s="19"/>
      <c r="AB146" s="36"/>
      <c r="AC146" s="19"/>
      <c r="AD146" s="37"/>
      <c r="AE146" s="21"/>
      <c r="AF146" s="37"/>
      <c r="AG146" s="36"/>
      <c r="AH146" s="19"/>
      <c r="AI146" s="37"/>
      <c r="AJ146" s="21"/>
      <c r="AK146" s="37"/>
      <c r="AL146" s="21"/>
    </row>
    <row r="147" spans="1:38" ht="16.5" hidden="1" customHeight="1" x14ac:dyDescent="0.3">
      <c r="A147" s="32" t="s">
        <v>148</v>
      </c>
      <c r="B147" s="33">
        <f>IFERROR(B137-B141-B145, "NA")</f>
        <v>6434.480000000005</v>
      </c>
      <c r="C147" s="34">
        <f>IFERROR(B147/B148, "NA")</f>
        <v>0.18147379346133899</v>
      </c>
      <c r="D147" s="33">
        <f>IFERROR(D137-D141-D145, "NA")</f>
        <v>4812.8500000000004</v>
      </c>
      <c r="E147" s="34">
        <f>IFERROR(D147/D148, "NA")</f>
        <v>0.12475200457032186</v>
      </c>
      <c r="F147" s="33">
        <f>IFERROR(F137-F141-F145, "NA")</f>
        <v>2237.2999999999774</v>
      </c>
      <c r="G147" s="34">
        <f>IFERROR(F147/F148, "NA")</f>
        <v>4.9771464597589875E-2</v>
      </c>
      <c r="H147" s="33">
        <f>IFERROR(H137-H141-H145, "NA")</f>
        <v>-7831.9300000000076</v>
      </c>
      <c r="I147" s="34">
        <f>IFERROR(H147/H148, "NA")</f>
        <v>-0.19007679588622783</v>
      </c>
      <c r="J147" s="33">
        <f>IFERROR(J137-J141-J145, "NA")</f>
        <v>11193.499999999995</v>
      </c>
      <c r="K147" s="34">
        <f>IFERROR(J147/J148, "NA")</f>
        <v>0.28883619154766743</v>
      </c>
      <c r="L147" s="33">
        <f>IFERROR(L137-L141-L145, "NA")</f>
        <v>17392.900000000005</v>
      </c>
      <c r="M147" s="34">
        <f>IFERROR(L147/L148, "NA")</f>
        <v>0.33252379806189503</v>
      </c>
      <c r="N147" s="33">
        <f>IFERROR(N137-N141-N145, "NA")</f>
        <v>14021.739999999994</v>
      </c>
      <c r="O147" s="34">
        <f>IFERROR(N147/N148, "NA")</f>
        <v>0.27742534533883328</v>
      </c>
      <c r="P147" s="33">
        <f>IFERROR(P137-P141-P145, "NA")</f>
        <v>5385.5600000000113</v>
      </c>
      <c r="Q147" s="34">
        <f>IFERROR(P147/P148, "NA")</f>
        <v>0.11388583967852242</v>
      </c>
      <c r="R147" s="33">
        <f>IFERROR(R137-R141-R145, "NA")</f>
        <v>-6699.6099999999942</v>
      </c>
      <c r="S147" s="34">
        <f>IFERROR(R147/R148, "NA")</f>
        <v>-0.1394296205711868</v>
      </c>
      <c r="T147" s="33">
        <f>IFERROR(T137-T141-T145, "NA")</f>
        <v>12053.269999999993</v>
      </c>
      <c r="U147" s="34">
        <f>IFERROR(T147/T148, "NA")</f>
        <v>0.28398495500118498</v>
      </c>
      <c r="V147" s="33">
        <f>IFERROR(V137-V141-V145, "NA")</f>
        <v>14604.459999999997</v>
      </c>
      <c r="W147" s="34">
        <f>IFERROR(V147/V148, "NA")</f>
        <v>0.24493458889383077</v>
      </c>
      <c r="X147" s="33">
        <f>IFERROR(X137-X141-X145, "NA")</f>
        <v>10303.219999999996</v>
      </c>
      <c r="Y147" s="34">
        <f>IFERROR(X147/X148, "NA")</f>
        <v>0.17484664971240768</v>
      </c>
      <c r="Z147" s="33">
        <f>IFERROR(Z137-Z141-Z145, "NA")</f>
        <v>36960.950000000026</v>
      </c>
      <c r="AA147" s="34">
        <f>IFERROR(Z147/Z148, "NA")</f>
        <v>0.22957613731679116</v>
      </c>
      <c r="AB147" s="33">
        <f>IFERROR((R147+T147+V147+X147)/4, "NA")</f>
        <v>7565.3349999999973</v>
      </c>
      <c r="AC147" s="34">
        <f>IFERROR(AB147/AB148, "NA")</f>
        <v>0.1447588241090742</v>
      </c>
      <c r="AD147" s="15">
        <f>IFERROR(X147-AB147, "NA")</f>
        <v>2737.8849999999984</v>
      </c>
      <c r="AE147" s="16">
        <f>IFERROR(AD147/AD148, "NA")</f>
        <v>0.4107527833495605</v>
      </c>
      <c r="AF147" s="15">
        <f>IFERROR((X147-AB147)/AB147, "NA")</f>
        <v>0.36189871301138671</v>
      </c>
      <c r="AG147" s="33">
        <f>IFERROR((J147+L147+N147+P147+R147+T147+V147+X147)/8, "NA")</f>
        <v>9781.880000000001</v>
      </c>
      <c r="AH147" s="34">
        <f>IFERROR(AG147/AG148, "NA")</f>
        <v>0.19665152049078646</v>
      </c>
      <c r="AI147" s="15">
        <f>IFERROR(X147-AG147, "NA")</f>
        <v>521.33999999999469</v>
      </c>
      <c r="AJ147" s="16">
        <f>IFERROR(AI147/AI148, "NA")</f>
        <v>5.6760081442779421E-2</v>
      </c>
      <c r="AK147" s="15">
        <f>IFERROR((X147-AG147)/AG147, "NA")</f>
        <v>5.3296503330647546E-2</v>
      </c>
      <c r="AL147" s="16">
        <f>IFERROR(AK147/AK148, "NA")</f>
        <v>0.28863281250570727</v>
      </c>
    </row>
    <row r="148" spans="1:38" ht="15.6" hidden="1" x14ac:dyDescent="0.3">
      <c r="A148" s="40" t="s">
        <v>25</v>
      </c>
      <c r="B148" s="7">
        <v>35456.800000000003</v>
      </c>
      <c r="C148" s="41"/>
      <c r="D148" s="7">
        <v>38579.339999999997</v>
      </c>
      <c r="E148" s="41"/>
      <c r="F148" s="7">
        <v>44951.46</v>
      </c>
      <c r="G148" s="41"/>
      <c r="H148" s="7">
        <v>41204.03</v>
      </c>
      <c r="I148" s="41"/>
      <c r="J148" s="7">
        <v>38753.800000000003</v>
      </c>
      <c r="K148" s="41"/>
      <c r="L148" s="7">
        <v>52305.73</v>
      </c>
      <c r="M148" s="41"/>
      <c r="N148" s="7">
        <v>50542.39</v>
      </c>
      <c r="O148" s="41"/>
      <c r="P148" s="7">
        <v>47289.11</v>
      </c>
      <c r="Q148" s="41"/>
      <c r="R148" s="7">
        <v>48050.12</v>
      </c>
      <c r="S148" s="41"/>
      <c r="T148" s="7">
        <v>42443.34</v>
      </c>
      <c r="U148" s="41"/>
      <c r="V148" s="7">
        <v>59625.96</v>
      </c>
      <c r="W148" s="41"/>
      <c r="X148" s="7">
        <v>58927.18</v>
      </c>
      <c r="Y148" s="41"/>
      <c r="Z148" s="7">
        <v>160996.48000000001</v>
      </c>
      <c r="AA148" s="41"/>
      <c r="AB148" s="9">
        <f>IFERROR((R148+T148+V148+X148)/4, "NA")</f>
        <v>52261.649999999994</v>
      </c>
      <c r="AC148" s="41"/>
      <c r="AD148" s="10">
        <f>IFERROR(X148-AB148, "NA")</f>
        <v>6665.5300000000061</v>
      </c>
      <c r="AE148" s="42"/>
      <c r="AF148" s="10">
        <f>IFERROR((X148-AB148)/AB148, "NA")</f>
        <v>0.12754151466706479</v>
      </c>
      <c r="AG148" s="9">
        <f>IFERROR((J148+L148+N148+P148+R148+T148+V148+X148)/8, "NA")</f>
        <v>49742.203750000001</v>
      </c>
      <c r="AH148" s="41"/>
      <c r="AI148" s="10">
        <f>IFERROR(X148-AG148, "NA")</f>
        <v>9184.9762499999997</v>
      </c>
      <c r="AJ148" s="42"/>
      <c r="AK148" s="10">
        <f>IFERROR((X148-AG148)/AG148, "NA")</f>
        <v>0.18465157467013107</v>
      </c>
      <c r="AL148" s="42"/>
    </row>
    <row r="151" spans="1:38" ht="15.6" x14ac:dyDescent="0.3">
      <c r="A151" s="43" t="s">
        <v>149</v>
      </c>
    </row>
    <row r="152" spans="1:38" ht="15.6" x14ac:dyDescent="0.3">
      <c r="A152" s="43" t="s">
        <v>150</v>
      </c>
    </row>
    <row r="153" spans="1:38" ht="15.6" x14ac:dyDescent="0.3">
      <c r="A153" s="43" t="s">
        <v>151</v>
      </c>
    </row>
  </sheetData>
  <mergeCells count="23">
    <mergeCell ref="A1:AL1"/>
    <mergeCell ref="A2:AL2"/>
    <mergeCell ref="A3:AL3"/>
    <mergeCell ref="A5"/>
    <mergeCell ref="B5:C5"/>
    <mergeCell ref="D5:E5"/>
    <mergeCell ref="F5:G5"/>
    <mergeCell ref="H5:I5"/>
    <mergeCell ref="J5:K5"/>
    <mergeCell ref="L5:M5"/>
    <mergeCell ref="N5:O5"/>
    <mergeCell ref="P5:Q5"/>
    <mergeCell ref="R5:S5"/>
    <mergeCell ref="T5:U5"/>
    <mergeCell ref="V5:W5"/>
    <mergeCell ref="X5:Y5"/>
    <mergeCell ref="AI5:AJ5"/>
    <mergeCell ref="AK5:AL5"/>
    <mergeCell ref="Z5:AA5"/>
    <mergeCell ref="AB5:AC5"/>
    <mergeCell ref="AD5:AE5"/>
    <mergeCell ref="AF5"/>
    <mergeCell ref="AG5:AH5"/>
  </mergeCells>
  <pageMargins left="0.7" right="0.7" top="0.75" bottom="0.75" header="0.3" footer="0.3"/>
  <ignoredErrors>
    <ignoredError sqref="A1:AL153" numberStoredAsText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/>
  </sheetPr>
  <dimension ref="A1:AL153"/>
  <sheetViews>
    <sheetView showGridLines="0" workbookViewId="0">
      <pane xSplit="1" ySplit="5" topLeftCell="B6" activePane="bottomRight" state="frozen"/>
      <selection pane="topRight" activeCell="B1" sqref="B1"/>
      <selection pane="bottomLeft" activeCell="A6" sqref="A6"/>
      <selection pane="bottomRight" sqref="A1:AL1"/>
    </sheetView>
  </sheetViews>
  <sheetFormatPr defaultRowHeight="14.4" x14ac:dyDescent="0.3"/>
  <cols>
    <col min="1" max="1" width="42.88671875" customWidth="1"/>
    <col min="2" max="2" width="17.109375" customWidth="1"/>
    <col min="3" max="3" width="9.44140625" customWidth="1"/>
    <col min="4" max="4" width="17.109375" customWidth="1"/>
    <col min="5" max="5" width="9.44140625" customWidth="1"/>
    <col min="6" max="6" width="17.109375" customWidth="1"/>
    <col min="7" max="7" width="9.44140625" customWidth="1"/>
    <col min="8" max="8" width="17.109375" customWidth="1"/>
    <col min="9" max="9" width="9.44140625" customWidth="1"/>
    <col min="10" max="10" width="17.109375" customWidth="1"/>
    <col min="11" max="11" width="9.44140625" customWidth="1"/>
    <col min="12" max="12" width="17.109375" customWidth="1"/>
    <col min="13" max="13" width="9.44140625" customWidth="1"/>
    <col min="14" max="14" width="17.109375" customWidth="1"/>
    <col min="15" max="15" width="9.44140625" customWidth="1"/>
    <col min="16" max="16" width="17.109375" customWidth="1"/>
    <col min="17" max="17" width="9.44140625" customWidth="1"/>
    <col min="18" max="18" width="17.109375" customWidth="1"/>
    <col min="19" max="19" width="9.44140625" customWidth="1"/>
    <col min="20" max="20" width="17.109375" customWidth="1"/>
    <col min="21" max="21" width="9.44140625" customWidth="1"/>
    <col min="22" max="22" width="17.109375" customWidth="1"/>
    <col min="23" max="23" width="9.44140625" customWidth="1"/>
    <col min="24" max="24" width="17.109375" customWidth="1"/>
    <col min="25" max="25" width="9.44140625" customWidth="1"/>
    <col min="26" max="26" width="17.109375" customWidth="1"/>
    <col min="27" max="27" width="9.44140625" customWidth="1"/>
    <col min="28" max="28" width="17.109375" customWidth="1"/>
    <col min="29" max="29" width="9.44140625" customWidth="1"/>
    <col min="30" max="30" width="16.6640625" customWidth="1"/>
    <col min="31" max="31" width="0" hidden="1" customWidth="1"/>
    <col min="32" max="32" width="16.6640625" customWidth="1"/>
    <col min="33" max="33" width="17.109375" customWidth="1"/>
    <col min="34" max="34" width="9.44140625" customWidth="1"/>
    <col min="35" max="35" width="16.6640625" customWidth="1"/>
    <col min="36" max="36" width="0" hidden="1" customWidth="1"/>
    <col min="37" max="37" width="16.6640625" customWidth="1"/>
    <col min="38" max="38" width="0" hidden="1" customWidth="1"/>
  </cols>
  <sheetData>
    <row r="1" spans="1:38" ht="33.6" x14ac:dyDescent="0.3">
      <c r="A1" s="153" t="s">
        <v>0</v>
      </c>
      <c r="B1" s="153" t="s">
        <v>0</v>
      </c>
      <c r="C1" s="153" t="s">
        <v>0</v>
      </c>
      <c r="D1" s="153" t="s">
        <v>0</v>
      </c>
      <c r="E1" s="153" t="s">
        <v>0</v>
      </c>
      <c r="F1" s="153" t="s">
        <v>0</v>
      </c>
      <c r="G1" s="153" t="s">
        <v>0</v>
      </c>
      <c r="H1" s="153" t="s">
        <v>0</v>
      </c>
      <c r="I1" s="153" t="s">
        <v>0</v>
      </c>
      <c r="J1" s="153" t="s">
        <v>0</v>
      </c>
      <c r="K1" s="153" t="s">
        <v>0</v>
      </c>
      <c r="L1" s="153" t="s">
        <v>0</v>
      </c>
      <c r="M1" s="153" t="s">
        <v>0</v>
      </c>
      <c r="N1" s="153" t="s">
        <v>0</v>
      </c>
      <c r="O1" s="153" t="s">
        <v>0</v>
      </c>
      <c r="P1" s="153" t="s">
        <v>0</v>
      </c>
      <c r="Q1" s="153" t="s">
        <v>0</v>
      </c>
      <c r="R1" s="153" t="s">
        <v>0</v>
      </c>
      <c r="S1" s="153" t="s">
        <v>0</v>
      </c>
      <c r="T1" s="153" t="s">
        <v>0</v>
      </c>
      <c r="U1" s="153" t="s">
        <v>0</v>
      </c>
      <c r="V1" s="153" t="s">
        <v>0</v>
      </c>
      <c r="W1" s="153" t="s">
        <v>0</v>
      </c>
      <c r="X1" s="153" t="s">
        <v>0</v>
      </c>
      <c r="Y1" s="153" t="s">
        <v>0</v>
      </c>
      <c r="Z1" s="153" t="s">
        <v>0</v>
      </c>
      <c r="AA1" s="153" t="s">
        <v>0</v>
      </c>
      <c r="AB1" s="153" t="s">
        <v>0</v>
      </c>
      <c r="AC1" s="153" t="s">
        <v>0</v>
      </c>
      <c r="AD1" s="153" t="s">
        <v>0</v>
      </c>
      <c r="AE1" s="153" t="s">
        <v>0</v>
      </c>
      <c r="AF1" s="153" t="s">
        <v>0</v>
      </c>
      <c r="AG1" s="153" t="s">
        <v>0</v>
      </c>
      <c r="AH1" s="153" t="s">
        <v>0</v>
      </c>
      <c r="AI1" s="153" t="s">
        <v>0</v>
      </c>
      <c r="AJ1" s="153" t="s">
        <v>0</v>
      </c>
      <c r="AK1" s="153" t="s">
        <v>0</v>
      </c>
      <c r="AL1" s="153" t="s">
        <v>0</v>
      </c>
    </row>
    <row r="2" spans="1:38" ht="23.4" x14ac:dyDescent="0.3">
      <c r="A2" s="154" t="s">
        <v>1</v>
      </c>
      <c r="B2" s="154" t="s">
        <v>1</v>
      </c>
      <c r="C2" s="154" t="s">
        <v>1</v>
      </c>
      <c r="D2" s="154" t="s">
        <v>1</v>
      </c>
      <c r="E2" s="154" t="s">
        <v>1</v>
      </c>
      <c r="F2" s="154" t="s">
        <v>1</v>
      </c>
      <c r="G2" s="154" t="s">
        <v>1</v>
      </c>
      <c r="H2" s="154" t="s">
        <v>1</v>
      </c>
      <c r="I2" s="154" t="s">
        <v>1</v>
      </c>
      <c r="J2" s="154" t="s">
        <v>1</v>
      </c>
      <c r="K2" s="154" t="s">
        <v>1</v>
      </c>
      <c r="L2" s="154" t="s">
        <v>1</v>
      </c>
      <c r="M2" s="154" t="s">
        <v>1</v>
      </c>
      <c r="N2" s="154" t="s">
        <v>1</v>
      </c>
      <c r="O2" s="154" t="s">
        <v>1</v>
      </c>
      <c r="P2" s="154" t="s">
        <v>1</v>
      </c>
      <c r="Q2" s="154" t="s">
        <v>1</v>
      </c>
      <c r="R2" s="154" t="s">
        <v>1</v>
      </c>
      <c r="S2" s="154" t="s">
        <v>1</v>
      </c>
      <c r="T2" s="154" t="s">
        <v>1</v>
      </c>
      <c r="U2" s="154" t="s">
        <v>1</v>
      </c>
      <c r="V2" s="154" t="s">
        <v>1</v>
      </c>
      <c r="W2" s="154" t="s">
        <v>1</v>
      </c>
      <c r="X2" s="154" t="s">
        <v>1</v>
      </c>
      <c r="Y2" s="154" t="s">
        <v>1</v>
      </c>
      <c r="Z2" s="154" t="s">
        <v>1</v>
      </c>
      <c r="AA2" s="154" t="s">
        <v>1</v>
      </c>
      <c r="AB2" s="154" t="s">
        <v>1</v>
      </c>
      <c r="AC2" s="154" t="s">
        <v>1</v>
      </c>
      <c r="AD2" s="154" t="s">
        <v>1</v>
      </c>
      <c r="AE2" s="154" t="s">
        <v>1</v>
      </c>
      <c r="AF2" s="154" t="s">
        <v>1</v>
      </c>
      <c r="AG2" s="154" t="s">
        <v>1</v>
      </c>
      <c r="AH2" s="154" t="s">
        <v>1</v>
      </c>
      <c r="AI2" s="154" t="s">
        <v>1</v>
      </c>
      <c r="AJ2" s="154" t="s">
        <v>1</v>
      </c>
      <c r="AK2" s="154" t="s">
        <v>1</v>
      </c>
      <c r="AL2" s="154" t="s">
        <v>1</v>
      </c>
    </row>
    <row r="3" spans="1:38" ht="15.6" x14ac:dyDescent="0.3">
      <c r="A3" s="155" t="s">
        <v>153</v>
      </c>
      <c r="B3" s="155" t="s">
        <v>153</v>
      </c>
      <c r="C3" s="155" t="s">
        <v>153</v>
      </c>
      <c r="D3" s="155" t="s">
        <v>153</v>
      </c>
      <c r="E3" s="155" t="s">
        <v>153</v>
      </c>
      <c r="F3" s="155" t="s">
        <v>153</v>
      </c>
      <c r="G3" s="155" t="s">
        <v>153</v>
      </c>
      <c r="H3" s="155" t="s">
        <v>153</v>
      </c>
      <c r="I3" s="155" t="s">
        <v>153</v>
      </c>
      <c r="J3" s="155" t="s">
        <v>153</v>
      </c>
      <c r="K3" s="155" t="s">
        <v>153</v>
      </c>
      <c r="L3" s="155" t="s">
        <v>153</v>
      </c>
      <c r="M3" s="155" t="s">
        <v>153</v>
      </c>
      <c r="N3" s="155" t="s">
        <v>153</v>
      </c>
      <c r="O3" s="155" t="s">
        <v>153</v>
      </c>
      <c r="P3" s="155" t="s">
        <v>153</v>
      </c>
      <c r="Q3" s="155" t="s">
        <v>153</v>
      </c>
      <c r="R3" s="155" t="s">
        <v>153</v>
      </c>
      <c r="S3" s="155" t="s">
        <v>153</v>
      </c>
      <c r="T3" s="155" t="s">
        <v>153</v>
      </c>
      <c r="U3" s="155" t="s">
        <v>153</v>
      </c>
      <c r="V3" s="155" t="s">
        <v>153</v>
      </c>
      <c r="W3" s="155" t="s">
        <v>153</v>
      </c>
      <c r="X3" s="155" t="s">
        <v>153</v>
      </c>
      <c r="Y3" s="155" t="s">
        <v>153</v>
      </c>
      <c r="Z3" s="155" t="s">
        <v>153</v>
      </c>
      <c r="AA3" s="155" t="s">
        <v>153</v>
      </c>
      <c r="AB3" s="155" t="s">
        <v>153</v>
      </c>
      <c r="AC3" s="155" t="s">
        <v>153</v>
      </c>
      <c r="AD3" s="155" t="s">
        <v>153</v>
      </c>
      <c r="AE3" s="155" t="s">
        <v>153</v>
      </c>
      <c r="AF3" s="155" t="s">
        <v>153</v>
      </c>
      <c r="AG3" s="155" t="s">
        <v>153</v>
      </c>
      <c r="AH3" s="155" t="s">
        <v>153</v>
      </c>
      <c r="AI3" s="155" t="s">
        <v>153</v>
      </c>
      <c r="AJ3" s="155" t="s">
        <v>153</v>
      </c>
      <c r="AK3" s="155" t="s">
        <v>153</v>
      </c>
      <c r="AL3" s="155" t="s">
        <v>153</v>
      </c>
    </row>
    <row r="5" spans="1:38" ht="13.5" customHeight="1" x14ac:dyDescent="0.3">
      <c r="A5" s="156" t="s">
        <v>3</v>
      </c>
      <c r="B5" s="151" t="s">
        <v>4</v>
      </c>
      <c r="C5" s="152" t="s">
        <v>3</v>
      </c>
      <c r="D5" s="151" t="s">
        <v>5</v>
      </c>
      <c r="E5" s="152" t="s">
        <v>3</v>
      </c>
      <c r="F5" s="151" t="s">
        <v>6</v>
      </c>
      <c r="G5" s="152" t="s">
        <v>3</v>
      </c>
      <c r="H5" s="151" t="s">
        <v>7</v>
      </c>
      <c r="I5" s="152" t="s">
        <v>3</v>
      </c>
      <c r="J5" s="151" t="s">
        <v>8</v>
      </c>
      <c r="K5" s="152" t="s">
        <v>3</v>
      </c>
      <c r="L5" s="151" t="s">
        <v>9</v>
      </c>
      <c r="M5" s="152" t="s">
        <v>3</v>
      </c>
      <c r="N5" s="151" t="s">
        <v>10</v>
      </c>
      <c r="O5" s="152" t="s">
        <v>3</v>
      </c>
      <c r="P5" s="151" t="s">
        <v>11</v>
      </c>
      <c r="Q5" s="152" t="s">
        <v>3</v>
      </c>
      <c r="R5" s="151" t="s">
        <v>12</v>
      </c>
      <c r="S5" s="152" t="s">
        <v>3</v>
      </c>
      <c r="T5" s="151" t="s">
        <v>13</v>
      </c>
      <c r="U5" s="152" t="s">
        <v>3</v>
      </c>
      <c r="V5" s="151" t="s">
        <v>14</v>
      </c>
      <c r="W5" s="152" t="s">
        <v>3</v>
      </c>
      <c r="X5" s="151" t="s">
        <v>15</v>
      </c>
      <c r="Y5" s="152" t="s">
        <v>3</v>
      </c>
      <c r="Z5" s="151" t="s">
        <v>16</v>
      </c>
      <c r="AA5" s="152" t="s">
        <v>3</v>
      </c>
      <c r="AB5" s="151" t="s">
        <v>17</v>
      </c>
      <c r="AC5" s="152" t="s">
        <v>3</v>
      </c>
      <c r="AD5" s="149" t="s">
        <v>18</v>
      </c>
      <c r="AE5" s="150" t="s">
        <v>3</v>
      </c>
      <c r="AF5" s="149" t="s">
        <v>19</v>
      </c>
      <c r="AG5" s="151" t="s">
        <v>20</v>
      </c>
      <c r="AH5" s="152" t="s">
        <v>3</v>
      </c>
      <c r="AI5" s="149" t="s">
        <v>21</v>
      </c>
      <c r="AJ5" s="150" t="s">
        <v>3</v>
      </c>
      <c r="AK5" s="149" t="s">
        <v>22</v>
      </c>
      <c r="AL5" s="150" t="s">
        <v>3</v>
      </c>
    </row>
    <row r="6" spans="1:38" ht="16.5" customHeight="1" x14ac:dyDescent="0.3">
      <c r="A6" s="1" t="s">
        <v>23</v>
      </c>
      <c r="B6" s="2"/>
      <c r="C6" s="3"/>
      <c r="D6" s="2"/>
      <c r="E6" s="3"/>
      <c r="F6" s="2"/>
      <c r="G6" s="3"/>
      <c r="H6" s="2"/>
      <c r="I6" s="3"/>
      <c r="J6" s="2"/>
      <c r="K6" s="3"/>
      <c r="L6" s="2"/>
      <c r="M6" s="3"/>
      <c r="N6" s="2"/>
      <c r="O6" s="3"/>
      <c r="P6" s="2"/>
      <c r="Q6" s="3"/>
      <c r="R6" s="2"/>
      <c r="S6" s="3"/>
      <c r="T6" s="2"/>
      <c r="U6" s="3"/>
      <c r="V6" s="2"/>
      <c r="W6" s="3"/>
      <c r="X6" s="2"/>
      <c r="Y6" s="3"/>
      <c r="Z6" s="2"/>
      <c r="AA6" s="3"/>
      <c r="AB6" s="2"/>
      <c r="AC6" s="3"/>
      <c r="AD6" s="4"/>
      <c r="AE6" s="5"/>
      <c r="AF6" s="4"/>
      <c r="AG6" s="2"/>
      <c r="AH6" s="3"/>
      <c r="AI6" s="4"/>
      <c r="AJ6" s="5"/>
      <c r="AK6" s="4"/>
      <c r="AL6" s="5"/>
    </row>
    <row r="7" spans="1:38" ht="16.5" customHeight="1" x14ac:dyDescent="0.3">
      <c r="A7" s="6" t="s">
        <v>23</v>
      </c>
      <c r="B7" s="7">
        <v>26944.68</v>
      </c>
      <c r="C7" s="8">
        <f>IFERROR(B7/B148, "NA")</f>
        <v>1</v>
      </c>
      <c r="D7" s="7">
        <v>24014.980000000007</v>
      </c>
      <c r="E7" s="8">
        <f>IFERROR(D7/D148, "NA")</f>
        <v>1.0000000000000002</v>
      </c>
      <c r="F7" s="7">
        <v>27571.140000000007</v>
      </c>
      <c r="G7" s="8">
        <f>IFERROR(F7/F148, "NA")</f>
        <v>1.0000000000000002</v>
      </c>
      <c r="H7" s="7">
        <v>30685.05</v>
      </c>
      <c r="I7" s="8">
        <f>IFERROR(H7/H148, "NA")</f>
        <v>1</v>
      </c>
      <c r="J7" s="7">
        <v>21315.809999999994</v>
      </c>
      <c r="K7" s="8">
        <f>IFERROR(J7/J148, "NA")</f>
        <v>0.99999999999999967</v>
      </c>
      <c r="L7" s="7">
        <v>33197.37000000001</v>
      </c>
      <c r="M7" s="8">
        <f>IFERROR(L7/L148, "NA")</f>
        <v>1.0000000000000002</v>
      </c>
      <c r="N7" s="7">
        <v>26093.649999999998</v>
      </c>
      <c r="O7" s="8">
        <f>IFERROR(N7/N148, "NA")</f>
        <v>0.99999999999999989</v>
      </c>
      <c r="P7" s="7">
        <v>25634.619999999995</v>
      </c>
      <c r="Q7" s="8">
        <f>IFERROR(P7/P148, "NA")</f>
        <v>0.99999999999999989</v>
      </c>
      <c r="R7" s="7">
        <v>34438.15</v>
      </c>
      <c r="S7" s="8">
        <f>IFERROR(R7/R148, "NA")</f>
        <v>1</v>
      </c>
      <c r="T7" s="7">
        <v>28548.880000000001</v>
      </c>
      <c r="U7" s="8">
        <f>IFERROR(T7/T148, "NA")</f>
        <v>1</v>
      </c>
      <c r="V7" s="7">
        <v>34336.389999999992</v>
      </c>
      <c r="W7" s="8">
        <f>IFERROR(V7/V148, "NA")</f>
        <v>0.99999999999999978</v>
      </c>
      <c r="X7" s="7">
        <v>44759.229999999996</v>
      </c>
      <c r="Y7" s="8">
        <f>IFERROR(X7/X148, "NA")</f>
        <v>0.99999999999999989</v>
      </c>
      <c r="Z7" s="7">
        <v>107644.49999999999</v>
      </c>
      <c r="AA7" s="8">
        <f>IFERROR(Z7/Z148, "NA")</f>
        <v>0.99999999999999989</v>
      </c>
      <c r="AB7" s="9">
        <f>IFERROR((R7+T7+V7+X7)/4, "NA")</f>
        <v>35520.662499999991</v>
      </c>
      <c r="AC7" s="8">
        <f>IFERROR(AB7/AB148, "NA")</f>
        <v>0.99999999999999978</v>
      </c>
      <c r="AD7" s="10">
        <f>IFERROR(X7-AB7, "NA")</f>
        <v>9238.5675000000047</v>
      </c>
      <c r="AE7" s="11">
        <f>IFERROR(AD7/AD148, "NA")</f>
        <v>1</v>
      </c>
      <c r="AF7" s="10">
        <f>IFERROR((X7-AB7)/AB7, "NA")</f>
        <v>0.26008995468482626</v>
      </c>
      <c r="AG7" s="9">
        <f>IFERROR((J7+L7+N7+P7+R7+T7+V7+X7)/8, "NA")</f>
        <v>31040.512499999997</v>
      </c>
      <c r="AH7" s="8">
        <f>IFERROR(AG7/AG148, "NA")</f>
        <v>0.99999999999999989</v>
      </c>
      <c r="AI7" s="10">
        <f>IFERROR(X7-AG7, "NA")</f>
        <v>13718.717499999999</v>
      </c>
      <c r="AJ7" s="11">
        <f>IFERROR(AI7/AI148, "NA")</f>
        <v>0.99999999999999978</v>
      </c>
      <c r="AK7" s="10">
        <f>IFERROR((X7-AG7)/AG7, "NA")</f>
        <v>0.44196169441467825</v>
      </c>
      <c r="AL7" s="11">
        <f>IFERROR(AK7/AK148, "NA")</f>
        <v>0.99999999999999989</v>
      </c>
    </row>
    <row r="8" spans="1:38" ht="30.75" hidden="1" customHeight="1" x14ac:dyDescent="0.3">
      <c r="A8" s="6" t="s">
        <v>24</v>
      </c>
      <c r="B8" s="7">
        <v>0</v>
      </c>
      <c r="C8" s="8">
        <f>IFERROR(B8/B148, "NA")</f>
        <v>0</v>
      </c>
      <c r="D8" s="7">
        <v>0</v>
      </c>
      <c r="E8" s="8">
        <f>IFERROR(D8/D148, "NA")</f>
        <v>0</v>
      </c>
      <c r="F8" s="7">
        <v>0</v>
      </c>
      <c r="G8" s="8">
        <f>IFERROR(F8/F148, "NA")</f>
        <v>0</v>
      </c>
      <c r="H8" s="7">
        <v>0</v>
      </c>
      <c r="I8" s="8">
        <f>IFERROR(H8/H148, "NA")</f>
        <v>0</v>
      </c>
      <c r="J8" s="7">
        <v>0</v>
      </c>
      <c r="K8" s="8">
        <f>IFERROR(J8/J148, "NA")</f>
        <v>0</v>
      </c>
      <c r="L8" s="7">
        <v>0</v>
      </c>
      <c r="M8" s="8">
        <f>IFERROR(L8/L148, "NA")</f>
        <v>0</v>
      </c>
      <c r="N8" s="7">
        <v>0</v>
      </c>
      <c r="O8" s="8">
        <f>IFERROR(N8/N148, "NA")</f>
        <v>0</v>
      </c>
      <c r="P8" s="7">
        <v>0</v>
      </c>
      <c r="Q8" s="8">
        <f>IFERROR(P8/P148, "NA")</f>
        <v>0</v>
      </c>
      <c r="R8" s="7">
        <v>0</v>
      </c>
      <c r="S8" s="8">
        <f>IFERROR(R8/R148, "NA")</f>
        <v>0</v>
      </c>
      <c r="T8" s="7">
        <v>0</v>
      </c>
      <c r="U8" s="8">
        <f>IFERROR(T8/T148, "NA")</f>
        <v>0</v>
      </c>
      <c r="V8" s="7">
        <v>0</v>
      </c>
      <c r="W8" s="8">
        <f>IFERROR(V8/V148, "NA")</f>
        <v>0</v>
      </c>
      <c r="X8" s="7">
        <v>0</v>
      </c>
      <c r="Y8" s="8">
        <f>IFERROR(X8/X148, "NA")</f>
        <v>0</v>
      </c>
      <c r="Z8" s="7">
        <v>0</v>
      </c>
      <c r="AA8" s="8">
        <f>IFERROR(Z8/Z148, "NA")</f>
        <v>0</v>
      </c>
      <c r="AB8" s="9">
        <f>IFERROR((R8+T8+V8+X8)/4, "NA")</f>
        <v>0</v>
      </c>
      <c r="AC8" s="8">
        <f>IFERROR(AB8/AB148, "NA")</f>
        <v>0</v>
      </c>
      <c r="AD8" s="10">
        <f>IFERROR(X8-AB8, "NA")</f>
        <v>0</v>
      </c>
      <c r="AE8" s="11">
        <f>IFERROR(AD8/AD148, "NA")</f>
        <v>0</v>
      </c>
      <c r="AF8" s="10" t="str">
        <f>IFERROR((X8-AB8)/AB8, "NA")</f>
        <v>NA</v>
      </c>
      <c r="AG8" s="9">
        <f>IFERROR((J8+L8+N8+P8+R8+T8+V8+X8)/8, "NA")</f>
        <v>0</v>
      </c>
      <c r="AH8" s="8">
        <f>IFERROR(AG8/AG148, "NA")</f>
        <v>0</v>
      </c>
      <c r="AI8" s="10">
        <f>IFERROR(X8-AG8, "NA")</f>
        <v>0</v>
      </c>
      <c r="AJ8" s="11">
        <f>IFERROR(AI8/AI148, "NA")</f>
        <v>0</v>
      </c>
      <c r="AK8" s="10" t="str">
        <f>IFERROR((X8-AG8)/AG8, "NA")</f>
        <v>NA</v>
      </c>
      <c r="AL8" s="11" t="str">
        <f>IFERROR(AK8/AK148, "NA")</f>
        <v>NA</v>
      </c>
    </row>
    <row r="9" spans="1:38" ht="16.5" customHeight="1" x14ac:dyDescent="0.3">
      <c r="A9" s="12" t="s">
        <v>25</v>
      </c>
      <c r="B9" s="13">
        <f>IFERROR(B7+B8, "NA")</f>
        <v>26944.68</v>
      </c>
      <c r="C9" s="14">
        <f>IFERROR(B9/B148, "NA")</f>
        <v>1</v>
      </c>
      <c r="D9" s="13">
        <f>IFERROR(D7+D8, "NA")</f>
        <v>24014.980000000007</v>
      </c>
      <c r="E9" s="14">
        <f>IFERROR(D9/D148, "NA")</f>
        <v>1.0000000000000002</v>
      </c>
      <c r="F9" s="13">
        <f>IFERROR(F7+F8, "NA")</f>
        <v>27571.140000000007</v>
      </c>
      <c r="G9" s="14">
        <f>IFERROR(F9/F148, "NA")</f>
        <v>1.0000000000000002</v>
      </c>
      <c r="H9" s="13">
        <f>IFERROR(H7+H8, "NA")</f>
        <v>30685.05</v>
      </c>
      <c r="I9" s="14">
        <f>IFERROR(H9/H148, "NA")</f>
        <v>1</v>
      </c>
      <c r="J9" s="13">
        <f>IFERROR(J7+J8, "NA")</f>
        <v>21315.809999999994</v>
      </c>
      <c r="K9" s="14">
        <f>IFERROR(J9/J148, "NA")</f>
        <v>0.99999999999999967</v>
      </c>
      <c r="L9" s="13">
        <f>IFERROR(L7+L8, "NA")</f>
        <v>33197.37000000001</v>
      </c>
      <c r="M9" s="14">
        <f>IFERROR(L9/L148, "NA")</f>
        <v>1.0000000000000002</v>
      </c>
      <c r="N9" s="13">
        <f>IFERROR(N7+N8, "NA")</f>
        <v>26093.649999999998</v>
      </c>
      <c r="O9" s="14">
        <f>IFERROR(N9/N148, "NA")</f>
        <v>0.99999999999999989</v>
      </c>
      <c r="P9" s="13">
        <f>IFERROR(P7+P8, "NA")</f>
        <v>25634.619999999995</v>
      </c>
      <c r="Q9" s="14">
        <f>IFERROR(P9/P148, "NA")</f>
        <v>0.99999999999999989</v>
      </c>
      <c r="R9" s="13">
        <f>IFERROR(R7+R8, "NA")</f>
        <v>34438.15</v>
      </c>
      <c r="S9" s="14">
        <f>IFERROR(R9/R148, "NA")</f>
        <v>1</v>
      </c>
      <c r="T9" s="13">
        <f>IFERROR(T7+T8, "NA")</f>
        <v>28548.880000000001</v>
      </c>
      <c r="U9" s="14">
        <f>IFERROR(T9/T148, "NA")</f>
        <v>1</v>
      </c>
      <c r="V9" s="13">
        <f>IFERROR(V7+V8, "NA")</f>
        <v>34336.389999999992</v>
      </c>
      <c r="W9" s="14">
        <f>IFERROR(V9/V148, "NA")</f>
        <v>0.99999999999999978</v>
      </c>
      <c r="X9" s="13">
        <f>IFERROR(X7+X8, "NA")</f>
        <v>44759.229999999996</v>
      </c>
      <c r="Y9" s="14">
        <f>IFERROR(X9/X148, "NA")</f>
        <v>0.99999999999999989</v>
      </c>
      <c r="Z9" s="13">
        <f>IFERROR(Z7+Z8, "NA")</f>
        <v>107644.49999999999</v>
      </c>
      <c r="AA9" s="14">
        <f>IFERROR(Z9/Z148, "NA")</f>
        <v>0.99999999999999989</v>
      </c>
      <c r="AB9" s="13">
        <f>IFERROR((R9+T9+V9+X9)/4, "NA")</f>
        <v>35520.662499999991</v>
      </c>
      <c r="AC9" s="14">
        <f>IFERROR(AB9/AB148, "NA")</f>
        <v>0.99999999999999978</v>
      </c>
      <c r="AD9" s="15">
        <f>IFERROR(X9-AB9, "NA")</f>
        <v>9238.5675000000047</v>
      </c>
      <c r="AE9" s="16">
        <f>IFERROR(AD9/AD148, "NA")</f>
        <v>1</v>
      </c>
      <c r="AF9" s="15">
        <f>IFERROR((X9-AB9)/AB9, "NA")</f>
        <v>0.26008995468482626</v>
      </c>
      <c r="AG9" s="13">
        <f>IFERROR((J9+L9+N9+P9+R9+T9+V9+X9)/8, "NA")</f>
        <v>31040.512499999997</v>
      </c>
      <c r="AH9" s="14">
        <f>IFERROR(AG9/AG148, "NA")</f>
        <v>0.99999999999999989</v>
      </c>
      <c r="AI9" s="15">
        <f>IFERROR(X9-AG9, "NA")</f>
        <v>13718.717499999999</v>
      </c>
      <c r="AJ9" s="16">
        <f>IFERROR(AI9/AI148, "NA")</f>
        <v>0.99999999999999978</v>
      </c>
      <c r="AK9" s="15">
        <f>IFERROR((X9-AG9)/AG9, "NA")</f>
        <v>0.44196169441467825</v>
      </c>
      <c r="AL9" s="16">
        <f>IFERROR(AK9/AK148, "NA")</f>
        <v>0.99999999999999989</v>
      </c>
    </row>
    <row r="10" spans="1:38" ht="3.75" customHeight="1" x14ac:dyDescent="0.3">
      <c r="A10" s="17" t="s">
        <v>3</v>
      </c>
      <c r="B10" s="18"/>
      <c r="C10" s="19"/>
      <c r="D10" s="18"/>
      <c r="E10" s="19"/>
      <c r="F10" s="18"/>
      <c r="G10" s="19"/>
      <c r="H10" s="18"/>
      <c r="I10" s="19"/>
      <c r="J10" s="18"/>
      <c r="K10" s="19"/>
      <c r="L10" s="18"/>
      <c r="M10" s="19"/>
      <c r="N10" s="18"/>
      <c r="O10" s="19"/>
      <c r="P10" s="18"/>
      <c r="Q10" s="19"/>
      <c r="R10" s="18"/>
      <c r="S10" s="19"/>
      <c r="T10" s="18"/>
      <c r="U10" s="19"/>
      <c r="V10" s="18"/>
      <c r="W10" s="19"/>
      <c r="X10" s="18"/>
      <c r="Y10" s="19"/>
      <c r="Z10" s="18"/>
      <c r="AA10" s="19"/>
      <c r="AB10" s="18"/>
      <c r="AC10" s="19"/>
      <c r="AD10" s="20"/>
      <c r="AE10" s="21"/>
      <c r="AF10" s="20"/>
      <c r="AG10" s="18"/>
      <c r="AH10" s="19"/>
      <c r="AI10" s="20"/>
      <c r="AJ10" s="21"/>
      <c r="AK10" s="20"/>
      <c r="AL10" s="21"/>
    </row>
    <row r="11" spans="1:38" ht="16.5" customHeight="1" x14ac:dyDescent="0.3">
      <c r="A11" s="1" t="s">
        <v>26</v>
      </c>
      <c r="B11" s="2"/>
      <c r="C11" s="3"/>
      <c r="D11" s="2"/>
      <c r="E11" s="3"/>
      <c r="F11" s="2"/>
      <c r="G11" s="3"/>
      <c r="H11" s="2"/>
      <c r="I11" s="3"/>
      <c r="J11" s="2"/>
      <c r="K11" s="3"/>
      <c r="L11" s="2"/>
      <c r="M11" s="3"/>
      <c r="N11" s="2"/>
      <c r="O11" s="3"/>
      <c r="P11" s="2"/>
      <c r="Q11" s="3"/>
      <c r="R11" s="2"/>
      <c r="S11" s="3"/>
      <c r="T11" s="2"/>
      <c r="U11" s="3"/>
      <c r="V11" s="2"/>
      <c r="W11" s="3"/>
      <c r="X11" s="2"/>
      <c r="Y11" s="3"/>
      <c r="Z11" s="2"/>
      <c r="AA11" s="3"/>
      <c r="AB11" s="2"/>
      <c r="AC11" s="3"/>
      <c r="AD11" s="4"/>
      <c r="AE11" s="5"/>
      <c r="AF11" s="4"/>
      <c r="AG11" s="2"/>
      <c r="AH11" s="3"/>
      <c r="AI11" s="4"/>
      <c r="AJ11" s="5"/>
      <c r="AK11" s="4"/>
      <c r="AL11" s="5"/>
    </row>
    <row r="12" spans="1:38" ht="16.5" customHeight="1" x14ac:dyDescent="0.3">
      <c r="A12" s="22" t="s">
        <v>27</v>
      </c>
      <c r="B12" s="2"/>
      <c r="C12" s="3"/>
      <c r="D12" s="2"/>
      <c r="E12" s="3"/>
      <c r="F12" s="2"/>
      <c r="G12" s="3"/>
      <c r="H12" s="2"/>
      <c r="I12" s="3"/>
      <c r="J12" s="2"/>
      <c r="K12" s="3"/>
      <c r="L12" s="2"/>
      <c r="M12" s="3"/>
      <c r="N12" s="2"/>
      <c r="O12" s="3"/>
      <c r="P12" s="2"/>
      <c r="Q12" s="3"/>
      <c r="R12" s="2"/>
      <c r="S12" s="3"/>
      <c r="T12" s="2"/>
      <c r="U12" s="3"/>
      <c r="V12" s="2"/>
      <c r="W12" s="3"/>
      <c r="X12" s="2"/>
      <c r="Y12" s="3"/>
      <c r="Z12" s="2"/>
      <c r="AA12" s="3"/>
      <c r="AB12" s="2"/>
      <c r="AC12" s="3"/>
      <c r="AD12" s="4"/>
      <c r="AE12" s="5"/>
      <c r="AF12" s="4"/>
      <c r="AG12" s="2"/>
      <c r="AH12" s="3"/>
      <c r="AI12" s="4"/>
      <c r="AJ12" s="5"/>
      <c r="AK12" s="4"/>
      <c r="AL12" s="5"/>
    </row>
    <row r="13" spans="1:38" ht="16.5" hidden="1" customHeight="1" x14ac:dyDescent="0.3">
      <c r="A13" s="23" t="s">
        <v>28</v>
      </c>
      <c r="B13" s="7">
        <v>0</v>
      </c>
      <c r="C13" s="8">
        <f>IFERROR(B13/B148, "NA")</f>
        <v>0</v>
      </c>
      <c r="D13" s="7">
        <v>0</v>
      </c>
      <c r="E13" s="8">
        <f>IFERROR(D13/D148, "NA")</f>
        <v>0</v>
      </c>
      <c r="F13" s="7">
        <v>0</v>
      </c>
      <c r="G13" s="8">
        <f>IFERROR(F13/F148, "NA")</f>
        <v>0</v>
      </c>
      <c r="H13" s="7">
        <v>0</v>
      </c>
      <c r="I13" s="8">
        <f>IFERROR(H13/H148, "NA")</f>
        <v>0</v>
      </c>
      <c r="J13" s="7">
        <v>0</v>
      </c>
      <c r="K13" s="8">
        <f>IFERROR(J13/J148, "NA")</f>
        <v>0</v>
      </c>
      <c r="L13" s="7">
        <v>0</v>
      </c>
      <c r="M13" s="8">
        <f>IFERROR(L13/L148, "NA")</f>
        <v>0</v>
      </c>
      <c r="N13" s="7">
        <v>0</v>
      </c>
      <c r="O13" s="8">
        <f>IFERROR(N13/N148, "NA")</f>
        <v>0</v>
      </c>
      <c r="P13" s="7">
        <v>0</v>
      </c>
      <c r="Q13" s="8">
        <f>IFERROR(P13/P148, "NA")</f>
        <v>0</v>
      </c>
      <c r="R13" s="7">
        <v>0</v>
      </c>
      <c r="S13" s="8">
        <f>IFERROR(R13/R148, "NA")</f>
        <v>0</v>
      </c>
      <c r="T13" s="7">
        <v>0</v>
      </c>
      <c r="U13" s="8">
        <f>IFERROR(T13/T148, "NA")</f>
        <v>0</v>
      </c>
      <c r="V13" s="7">
        <v>0</v>
      </c>
      <c r="W13" s="8">
        <f>IFERROR(V13/V148, "NA")</f>
        <v>0</v>
      </c>
      <c r="X13" s="7">
        <v>0</v>
      </c>
      <c r="Y13" s="8">
        <f>IFERROR(X13/X148, "NA")</f>
        <v>0</v>
      </c>
      <c r="Z13" s="7">
        <v>0</v>
      </c>
      <c r="AA13" s="8">
        <f>IFERROR(Z13/Z148, "NA")</f>
        <v>0</v>
      </c>
      <c r="AB13" s="9">
        <f>IFERROR((R13+T13+V13+X13)/4, "NA")</f>
        <v>0</v>
      </c>
      <c r="AC13" s="8">
        <f>IFERROR(AB13/AB148, "NA")</f>
        <v>0</v>
      </c>
      <c r="AD13" s="10">
        <f>IFERROR(X13-AB13, "NA")</f>
        <v>0</v>
      </c>
      <c r="AE13" s="11">
        <f>IFERROR(AD13/AD148, "NA")</f>
        <v>0</v>
      </c>
      <c r="AF13" s="10" t="str">
        <f>IFERROR((X13-AB13)/AB13, "NA")</f>
        <v>NA</v>
      </c>
      <c r="AG13" s="9">
        <f>IFERROR((J13+L13+N13+P13+R13+T13+V13+X13)/8, "NA")</f>
        <v>0</v>
      </c>
      <c r="AH13" s="8">
        <f>IFERROR(AG13/AG148, "NA")</f>
        <v>0</v>
      </c>
      <c r="AI13" s="10">
        <f>IFERROR(X13-AG13, "NA")</f>
        <v>0</v>
      </c>
      <c r="AJ13" s="11">
        <f>IFERROR(AI13/AI148, "NA")</f>
        <v>0</v>
      </c>
      <c r="AK13" s="10" t="str">
        <f>IFERROR((X13-AG13)/AG13, "NA")</f>
        <v>NA</v>
      </c>
      <c r="AL13" s="11" t="str">
        <f>IFERROR(AK13/AK148, "NA")</f>
        <v>NA</v>
      </c>
    </row>
    <row r="14" spans="1:38" ht="16.5" customHeight="1" x14ac:dyDescent="0.3">
      <c r="A14" s="24" t="s">
        <v>29</v>
      </c>
      <c r="B14" s="2"/>
      <c r="C14" s="3"/>
      <c r="D14" s="2"/>
      <c r="E14" s="3"/>
      <c r="F14" s="2"/>
      <c r="G14" s="3"/>
      <c r="H14" s="2"/>
      <c r="I14" s="3"/>
      <c r="J14" s="2"/>
      <c r="K14" s="3"/>
      <c r="L14" s="2"/>
      <c r="M14" s="3"/>
      <c r="N14" s="2"/>
      <c r="O14" s="3"/>
      <c r="P14" s="2"/>
      <c r="Q14" s="3"/>
      <c r="R14" s="2"/>
      <c r="S14" s="3"/>
      <c r="T14" s="2"/>
      <c r="U14" s="3"/>
      <c r="V14" s="2"/>
      <c r="W14" s="3"/>
      <c r="X14" s="2"/>
      <c r="Y14" s="3"/>
      <c r="Z14" s="2"/>
      <c r="AA14" s="3"/>
      <c r="AB14" s="2"/>
      <c r="AC14" s="3"/>
      <c r="AD14" s="4"/>
      <c r="AE14" s="5"/>
      <c r="AF14" s="4"/>
      <c r="AG14" s="2"/>
      <c r="AH14" s="3"/>
      <c r="AI14" s="4"/>
      <c r="AJ14" s="5"/>
      <c r="AK14" s="4"/>
      <c r="AL14" s="5"/>
    </row>
    <row r="15" spans="1:38" ht="16.5" hidden="1" customHeight="1" x14ac:dyDescent="0.3">
      <c r="A15" s="25" t="s">
        <v>30</v>
      </c>
      <c r="B15" s="7">
        <v>0</v>
      </c>
      <c r="C15" s="8">
        <f>IFERROR(B15/B148, "NA")</f>
        <v>0</v>
      </c>
      <c r="D15" s="7">
        <v>0</v>
      </c>
      <c r="E15" s="8">
        <f>IFERROR(D15/D148, "NA")</f>
        <v>0</v>
      </c>
      <c r="F15" s="7">
        <v>0</v>
      </c>
      <c r="G15" s="8">
        <f>IFERROR(F15/F148, "NA")</f>
        <v>0</v>
      </c>
      <c r="H15" s="7">
        <v>0</v>
      </c>
      <c r="I15" s="8">
        <f>IFERROR(H15/H148, "NA")</f>
        <v>0</v>
      </c>
      <c r="J15" s="7">
        <v>0</v>
      </c>
      <c r="K15" s="8">
        <f>IFERROR(J15/J148, "NA")</f>
        <v>0</v>
      </c>
      <c r="L15" s="7">
        <v>0</v>
      </c>
      <c r="M15" s="8">
        <f>IFERROR(L15/L148, "NA")</f>
        <v>0</v>
      </c>
      <c r="N15" s="7">
        <v>0</v>
      </c>
      <c r="O15" s="8">
        <f>IFERROR(N15/N148, "NA")</f>
        <v>0</v>
      </c>
      <c r="P15" s="7">
        <v>0</v>
      </c>
      <c r="Q15" s="8">
        <f>IFERROR(P15/P148, "NA")</f>
        <v>0</v>
      </c>
      <c r="R15" s="7">
        <v>0</v>
      </c>
      <c r="S15" s="8">
        <f>IFERROR(R15/R148, "NA")</f>
        <v>0</v>
      </c>
      <c r="T15" s="7">
        <v>0</v>
      </c>
      <c r="U15" s="8">
        <f>IFERROR(T15/T148, "NA")</f>
        <v>0</v>
      </c>
      <c r="V15" s="7">
        <v>0</v>
      </c>
      <c r="W15" s="8">
        <f>IFERROR(V15/V148, "NA")</f>
        <v>0</v>
      </c>
      <c r="X15" s="7">
        <v>0</v>
      </c>
      <c r="Y15" s="8">
        <f>IFERROR(X15/X148, "NA")</f>
        <v>0</v>
      </c>
      <c r="Z15" s="7">
        <v>0</v>
      </c>
      <c r="AA15" s="8">
        <f>IFERROR(Z15/Z148, "NA")</f>
        <v>0</v>
      </c>
      <c r="AB15" s="9">
        <f t="shared" ref="AB15:AB27" si="0">IFERROR((R15+T15+V15+X15)/4, "NA")</f>
        <v>0</v>
      </c>
      <c r="AC15" s="8">
        <f>IFERROR(AB15/AB148, "NA")</f>
        <v>0</v>
      </c>
      <c r="AD15" s="10">
        <f t="shared" ref="AD15:AD27" si="1">IFERROR(X15-AB15, "NA")</f>
        <v>0</v>
      </c>
      <c r="AE15" s="11">
        <f>IFERROR(AD15/AD148, "NA")</f>
        <v>0</v>
      </c>
      <c r="AF15" s="10" t="str">
        <f t="shared" ref="AF15:AF27" si="2">IFERROR((X15-AB15)/AB15, "NA")</f>
        <v>NA</v>
      </c>
      <c r="AG15" s="9">
        <f t="shared" ref="AG15:AG27" si="3">IFERROR((J15+L15+N15+P15+R15+T15+V15+X15)/8, "NA")</f>
        <v>0</v>
      </c>
      <c r="AH15" s="8">
        <f>IFERROR(AG15/AG148, "NA")</f>
        <v>0</v>
      </c>
      <c r="AI15" s="10">
        <f t="shared" ref="AI15:AI27" si="4">IFERROR(X15-AG15, "NA")</f>
        <v>0</v>
      </c>
      <c r="AJ15" s="11">
        <f>IFERROR(AI15/AI148, "NA")</f>
        <v>0</v>
      </c>
      <c r="AK15" s="10" t="str">
        <f t="shared" ref="AK15:AK27" si="5">IFERROR((X15-AG15)/AG15, "NA")</f>
        <v>NA</v>
      </c>
      <c r="AL15" s="11" t="str">
        <f>IFERROR(AK15/AK148, "NA")</f>
        <v>NA</v>
      </c>
    </row>
    <row r="16" spans="1:38" ht="16.5" customHeight="1" x14ac:dyDescent="0.3">
      <c r="A16" s="25" t="s">
        <v>31</v>
      </c>
      <c r="B16" s="7">
        <v>1358.28</v>
      </c>
      <c r="C16" s="8">
        <f>IFERROR(B16/B148, "NA")</f>
        <v>5.0409951055273246E-2</v>
      </c>
      <c r="D16" s="7">
        <v>1260.25</v>
      </c>
      <c r="E16" s="8">
        <f>IFERROR(D16/D148, "NA")</f>
        <v>5.247766185938943E-2</v>
      </c>
      <c r="F16" s="7">
        <v>1544.78</v>
      </c>
      <c r="G16" s="8">
        <f>IFERROR(F16/F148, "NA")</f>
        <v>5.6028876571661529E-2</v>
      </c>
      <c r="H16" s="7">
        <v>1484.54</v>
      </c>
      <c r="I16" s="8">
        <f>IFERROR(H16/H148, "NA")</f>
        <v>4.8379911390074318E-2</v>
      </c>
      <c r="J16" s="7">
        <v>1020.85</v>
      </c>
      <c r="K16" s="8">
        <f>IFERROR(J16/J148, "NA")</f>
        <v>4.7891682277145457E-2</v>
      </c>
      <c r="L16" s="7">
        <v>1624.81</v>
      </c>
      <c r="M16" s="8">
        <f>IFERROR(L16/L148, "NA")</f>
        <v>4.8943937426368406E-2</v>
      </c>
      <c r="N16" s="7">
        <v>1205.9000000000001</v>
      </c>
      <c r="O16" s="8">
        <f>IFERROR(N16/N148, "NA")</f>
        <v>4.6214308845255458E-2</v>
      </c>
      <c r="P16" s="7">
        <v>998.44</v>
      </c>
      <c r="Q16" s="8">
        <f>IFERROR(P16/P148, "NA")</f>
        <v>3.8948890211752706E-2</v>
      </c>
      <c r="R16" s="7">
        <v>1515.33</v>
      </c>
      <c r="S16" s="8">
        <f>IFERROR(R16/R148, "NA")</f>
        <v>4.400149253081248E-2</v>
      </c>
      <c r="T16" s="7">
        <v>1123.6300000000001</v>
      </c>
      <c r="U16" s="8">
        <f>IFERROR(T16/T148, "NA")</f>
        <v>3.9358111421533878E-2</v>
      </c>
      <c r="V16" s="7">
        <v>1562.6</v>
      </c>
      <c r="W16" s="8">
        <f>IFERROR(V16/V148, "NA")</f>
        <v>4.5508569771021357E-2</v>
      </c>
      <c r="X16" s="7">
        <v>1618.52</v>
      </c>
      <c r="Y16" s="8">
        <f>IFERROR(X16/X148, "NA")</f>
        <v>3.6160586319291012E-2</v>
      </c>
      <c r="Z16" s="7">
        <v>4304.75</v>
      </c>
      <c r="AA16" s="8">
        <f>IFERROR(Z16/Z148, "NA")</f>
        <v>3.9990431466540327E-2</v>
      </c>
      <c r="AB16" s="9">
        <f t="shared" si="0"/>
        <v>1455.02</v>
      </c>
      <c r="AC16" s="8">
        <f>IFERROR(AB16/AB148, "NA")</f>
        <v>4.0962636887755123E-2</v>
      </c>
      <c r="AD16" s="10">
        <f t="shared" si="1"/>
        <v>163.5</v>
      </c>
      <c r="AE16" s="11">
        <f>IFERROR(AD16/AD148, "NA")</f>
        <v>1.7697548889478797E-2</v>
      </c>
      <c r="AF16" s="10">
        <f t="shared" si="2"/>
        <v>0.11236958942145125</v>
      </c>
      <c r="AG16" s="9">
        <f t="shared" si="3"/>
        <v>1333.76</v>
      </c>
      <c r="AH16" s="8">
        <f>IFERROR(AG16/AG148, "NA")</f>
        <v>4.2968362716305018E-2</v>
      </c>
      <c r="AI16" s="10">
        <f t="shared" si="4"/>
        <v>284.76</v>
      </c>
      <c r="AJ16" s="11">
        <f>IFERROR(AI16/AI148, "NA")</f>
        <v>2.0757042340145859E-2</v>
      </c>
      <c r="AK16" s="10">
        <f t="shared" si="5"/>
        <v>0.21350167946257198</v>
      </c>
      <c r="AL16" s="11">
        <f>IFERROR(AK16/AK148, "NA")</f>
        <v>0.4830773394181313</v>
      </c>
    </row>
    <row r="17" spans="1:38" ht="16.5" customHeight="1" x14ac:dyDescent="0.3">
      <c r="A17" s="25" t="s">
        <v>32</v>
      </c>
      <c r="B17" s="7">
        <v>647.46</v>
      </c>
      <c r="C17" s="8">
        <f>IFERROR(B17/B148, "NA")</f>
        <v>2.402923322897136E-2</v>
      </c>
      <c r="D17" s="7">
        <v>617.26</v>
      </c>
      <c r="E17" s="8">
        <f>IFERROR(D17/D148, "NA")</f>
        <v>2.5703123633665319E-2</v>
      </c>
      <c r="F17" s="7">
        <v>731.28</v>
      </c>
      <c r="G17" s="8">
        <f>IFERROR(F17/F148, "NA")</f>
        <v>2.6523386410572794E-2</v>
      </c>
      <c r="H17" s="7">
        <v>705.57</v>
      </c>
      <c r="I17" s="8">
        <f>IFERROR(H17/H148, "NA")</f>
        <v>2.2993933527890621E-2</v>
      </c>
      <c r="J17" s="7">
        <v>522.54</v>
      </c>
      <c r="K17" s="8">
        <f>IFERROR(J17/J148, "NA")</f>
        <v>2.4514198615956884E-2</v>
      </c>
      <c r="L17" s="7">
        <v>866.75</v>
      </c>
      <c r="M17" s="8">
        <f>IFERROR(L17/L148, "NA")</f>
        <v>2.6108995983717985E-2</v>
      </c>
      <c r="N17" s="7">
        <v>763.85</v>
      </c>
      <c r="O17" s="8">
        <f>IFERROR(N17/N148, "NA")</f>
        <v>2.9273405598680139E-2</v>
      </c>
      <c r="P17" s="7">
        <v>658.89</v>
      </c>
      <c r="Q17" s="8">
        <f>IFERROR(P17/P148, "NA")</f>
        <v>2.570313115622545E-2</v>
      </c>
      <c r="R17" s="7">
        <v>799.86</v>
      </c>
      <c r="S17" s="8">
        <f>IFERROR(R17/R148, "NA")</f>
        <v>2.3225986297173339E-2</v>
      </c>
      <c r="T17" s="7">
        <v>686.16</v>
      </c>
      <c r="U17" s="8">
        <f>IFERROR(T17/T148, "NA")</f>
        <v>2.4034568081129627E-2</v>
      </c>
      <c r="V17" s="7">
        <v>670.97</v>
      </c>
      <c r="W17" s="8">
        <f>IFERROR(V17/V148, "NA")</f>
        <v>1.9541075809076026E-2</v>
      </c>
      <c r="X17" s="7">
        <v>1434.38</v>
      </c>
      <c r="Y17" s="8">
        <f>IFERROR(X17/X148, "NA")</f>
        <v>3.2046574527756624E-2</v>
      </c>
      <c r="Z17" s="7">
        <v>2791.51</v>
      </c>
      <c r="AA17" s="8">
        <f>IFERROR(Z17/Z148, "NA")</f>
        <v>2.5932676541764791E-2</v>
      </c>
      <c r="AB17" s="9">
        <f t="shared" si="0"/>
        <v>897.84249999999997</v>
      </c>
      <c r="AC17" s="8">
        <f>IFERROR(AB17/AB148, "NA")</f>
        <v>2.5276625963831616E-2</v>
      </c>
      <c r="AD17" s="10">
        <f t="shared" si="1"/>
        <v>536.53750000000014</v>
      </c>
      <c r="AE17" s="11">
        <f>IFERROR(AD17/AD148, "NA")</f>
        <v>5.807583264396779E-2</v>
      </c>
      <c r="AF17" s="10">
        <f t="shared" si="2"/>
        <v>0.5975853225927712</v>
      </c>
      <c r="AG17" s="9">
        <f t="shared" si="3"/>
        <v>800.42500000000007</v>
      </c>
      <c r="AH17" s="8">
        <f>IFERROR(AG17/AG148, "NA")</f>
        <v>2.578646212751803E-2</v>
      </c>
      <c r="AI17" s="10">
        <f t="shared" si="4"/>
        <v>633.95500000000004</v>
      </c>
      <c r="AJ17" s="11">
        <f>IFERROR(AI17/AI148, "NA")</f>
        <v>4.6210952299294734E-2</v>
      </c>
      <c r="AK17" s="10">
        <f t="shared" si="5"/>
        <v>0.79202298778773772</v>
      </c>
      <c r="AL17" s="11">
        <f>IFERROR(AK17/AK148, "NA")</f>
        <v>1.7920625198902607</v>
      </c>
    </row>
    <row r="18" spans="1:38" ht="16.5" customHeight="1" x14ac:dyDescent="0.3">
      <c r="A18" s="25" t="s">
        <v>33</v>
      </c>
      <c r="B18" s="7">
        <v>1116.52</v>
      </c>
      <c r="C18" s="8">
        <f>IFERROR(B18/B148, "NA")</f>
        <v>4.1437493412428722E-2</v>
      </c>
      <c r="D18" s="7">
        <v>1158.04</v>
      </c>
      <c r="E18" s="8">
        <f>IFERROR(D18/D148, "NA")</f>
        <v>4.8221568371075052E-2</v>
      </c>
      <c r="F18" s="7">
        <v>1220.5899999999999</v>
      </c>
      <c r="G18" s="8">
        <f>IFERROR(F18/F148, "NA")</f>
        <v>4.427056697691862E-2</v>
      </c>
      <c r="H18" s="7">
        <v>1189.23</v>
      </c>
      <c r="I18" s="8">
        <f>IFERROR(H18/H148, "NA")</f>
        <v>3.8756006589528123E-2</v>
      </c>
      <c r="J18" s="7">
        <v>838.74</v>
      </c>
      <c r="K18" s="8">
        <f>IFERROR(J18/J148, "NA")</f>
        <v>3.9348258405380795E-2</v>
      </c>
      <c r="L18" s="7">
        <v>1820.47</v>
      </c>
      <c r="M18" s="8">
        <f>IFERROR(L18/L148, "NA")</f>
        <v>5.4837777811917024E-2</v>
      </c>
      <c r="N18" s="7">
        <v>1099.73</v>
      </c>
      <c r="O18" s="8">
        <f>IFERROR(N18/N148, "NA")</f>
        <v>4.214550283306475E-2</v>
      </c>
      <c r="P18" s="7">
        <v>1044.33</v>
      </c>
      <c r="Q18" s="8">
        <f>IFERROR(P18/P148, "NA")</f>
        <v>4.0739047428828667E-2</v>
      </c>
      <c r="R18" s="7">
        <v>1113.5899999999999</v>
      </c>
      <c r="S18" s="8">
        <f>IFERROR(R18/R148, "NA")</f>
        <v>3.2335941390579923E-2</v>
      </c>
      <c r="T18" s="7">
        <v>1133.83</v>
      </c>
      <c r="U18" s="8">
        <f>IFERROR(T18/T148, "NA")</f>
        <v>3.9715393388462174E-2</v>
      </c>
      <c r="V18" s="7">
        <v>1162.22</v>
      </c>
      <c r="W18" s="8">
        <f>IFERROR(V18/V148, "NA")</f>
        <v>3.3848054498449021E-2</v>
      </c>
      <c r="X18" s="7">
        <v>1669.07</v>
      </c>
      <c r="Y18" s="8">
        <f>IFERROR(X18/X148, "NA")</f>
        <v>3.728996231615244E-2</v>
      </c>
      <c r="Z18" s="7">
        <v>3965.12</v>
      </c>
      <c r="AA18" s="8">
        <f>IFERROR(Z18/Z148, "NA")</f>
        <v>3.6835323681191329E-2</v>
      </c>
      <c r="AB18" s="9">
        <f t="shared" si="0"/>
        <v>1269.6775</v>
      </c>
      <c r="AC18" s="8">
        <f>IFERROR(AB18/AB148, "NA")</f>
        <v>3.5744758420539036E-2</v>
      </c>
      <c r="AD18" s="10">
        <f t="shared" si="1"/>
        <v>399.39249999999993</v>
      </c>
      <c r="AE18" s="11">
        <f>IFERROR(AD18/AD148, "NA")</f>
        <v>4.3230998745205869E-2</v>
      </c>
      <c r="AF18" s="10">
        <f t="shared" si="2"/>
        <v>0.31456216243888696</v>
      </c>
      <c r="AG18" s="9">
        <f t="shared" si="3"/>
        <v>1235.2474999999999</v>
      </c>
      <c r="AH18" s="8">
        <f>IFERROR(AG18/AG148, "NA")</f>
        <v>3.97946876682529E-2</v>
      </c>
      <c r="AI18" s="10">
        <f t="shared" si="4"/>
        <v>433.82249999999999</v>
      </c>
      <c r="AJ18" s="11">
        <f>IFERROR(AI18/AI148, "NA")</f>
        <v>3.1622671725691553E-2</v>
      </c>
      <c r="AK18" s="10">
        <f t="shared" si="5"/>
        <v>0.35120289658550208</v>
      </c>
      <c r="AL18" s="11">
        <f>IFERROR(AK18/AK148, "NA")</f>
        <v>0.79464555644494339</v>
      </c>
    </row>
    <row r="19" spans="1:38" ht="16.5" customHeight="1" x14ac:dyDescent="0.3">
      <c r="A19" s="25" t="s">
        <v>34</v>
      </c>
      <c r="B19" s="7">
        <v>507.94</v>
      </c>
      <c r="C19" s="8">
        <f>IFERROR(B19/B148, "NA")</f>
        <v>1.885121664091019E-2</v>
      </c>
      <c r="D19" s="7">
        <v>475.27</v>
      </c>
      <c r="E19" s="8">
        <f>IFERROR(D19/D148, "NA")</f>
        <v>1.9790564056268212E-2</v>
      </c>
      <c r="F19" s="7">
        <v>699.84</v>
      </c>
      <c r="G19" s="8">
        <f>IFERROR(F19/F148, "NA")</f>
        <v>2.5383063594758868E-2</v>
      </c>
      <c r="H19" s="7">
        <v>601.49</v>
      </c>
      <c r="I19" s="8">
        <f>IFERROR(H19/H148, "NA")</f>
        <v>1.9602053768854866E-2</v>
      </c>
      <c r="J19" s="7">
        <v>475.76</v>
      </c>
      <c r="K19" s="8">
        <f>IFERROR(J19/J148, "NA")</f>
        <v>2.2319583445339398E-2</v>
      </c>
      <c r="L19" s="7">
        <v>700.56</v>
      </c>
      <c r="M19" s="8">
        <f>IFERROR(L19/L148, "NA")</f>
        <v>2.1102876523049863E-2</v>
      </c>
      <c r="N19" s="7">
        <v>623.25</v>
      </c>
      <c r="O19" s="8">
        <f>IFERROR(N19/N148, "NA")</f>
        <v>2.3885121475914636E-2</v>
      </c>
      <c r="P19" s="7">
        <v>544.52</v>
      </c>
      <c r="Q19" s="8">
        <f>IFERROR(P19/P148, "NA")</f>
        <v>2.1241586573157705E-2</v>
      </c>
      <c r="R19" s="7">
        <v>745.41</v>
      </c>
      <c r="S19" s="8">
        <f>IFERROR(R19/R148, "NA")</f>
        <v>2.164489091312977E-2</v>
      </c>
      <c r="T19" s="7">
        <v>654.19000000000005</v>
      </c>
      <c r="U19" s="8">
        <f>IFERROR(T19/T148, "NA")</f>
        <v>2.2914734308316125E-2</v>
      </c>
      <c r="V19" s="7">
        <v>476.96</v>
      </c>
      <c r="W19" s="8">
        <f>IFERROR(V19/V148, "NA")</f>
        <v>1.3890802148973726E-2</v>
      </c>
      <c r="X19" s="7">
        <v>780.81</v>
      </c>
      <c r="Y19" s="8">
        <f>IFERROR(X19/X148, "NA")</f>
        <v>1.7444670071402029E-2</v>
      </c>
      <c r="Z19" s="7">
        <v>1911.96</v>
      </c>
      <c r="AA19" s="8">
        <f>IFERROR(Z19/Z148, "NA")</f>
        <v>1.7761799255883951E-2</v>
      </c>
      <c r="AB19" s="9">
        <f t="shared" si="0"/>
        <v>664.34249999999997</v>
      </c>
      <c r="AC19" s="8">
        <f>IFERROR(AB19/AB148, "NA")</f>
        <v>1.8702987310554808E-2</v>
      </c>
      <c r="AD19" s="10">
        <f t="shared" si="1"/>
        <v>116.46749999999997</v>
      </c>
      <c r="AE19" s="11">
        <f>IFERROR(AD19/AD148, "NA")</f>
        <v>1.2606662234161294E-2</v>
      </c>
      <c r="AF19" s="10">
        <f t="shared" si="2"/>
        <v>0.17531243296943969</v>
      </c>
      <c r="AG19" s="9">
        <f t="shared" si="3"/>
        <v>625.18249999999989</v>
      </c>
      <c r="AH19" s="8">
        <f>IFERROR(AG19/AG148, "NA")</f>
        <v>2.0140856243916715E-2</v>
      </c>
      <c r="AI19" s="10">
        <f t="shared" si="4"/>
        <v>155.62750000000005</v>
      </c>
      <c r="AJ19" s="11">
        <f>IFERROR(AI19/AI148, "NA")</f>
        <v>1.1344172660454597E-2</v>
      </c>
      <c r="AK19" s="10">
        <f t="shared" si="5"/>
        <v>0.24893131205687952</v>
      </c>
      <c r="AL19" s="11">
        <f>IFERROR(AK19/AK148, "NA")</f>
        <v>0.5632418266170266</v>
      </c>
    </row>
    <row r="20" spans="1:38" ht="16.5" customHeight="1" x14ac:dyDescent="0.3">
      <c r="A20" s="25" t="s">
        <v>35</v>
      </c>
      <c r="B20" s="7">
        <v>222.94</v>
      </c>
      <c r="C20" s="8">
        <f>IFERROR(B20/B148, "NA")</f>
        <v>8.2739895222359288E-3</v>
      </c>
      <c r="D20" s="7">
        <v>147.19999999999999</v>
      </c>
      <c r="E20" s="8">
        <f>IFERROR(D20/D148, "NA")</f>
        <v>6.1295074990693303E-3</v>
      </c>
      <c r="F20" s="7">
        <v>299.32</v>
      </c>
      <c r="G20" s="8">
        <f>IFERROR(F20/F148, "NA")</f>
        <v>1.0856279428416816E-2</v>
      </c>
      <c r="H20" s="7">
        <v>329.82</v>
      </c>
      <c r="I20" s="8">
        <f>IFERROR(H20/H148, "NA")</f>
        <v>1.0748556707582357E-2</v>
      </c>
      <c r="J20" s="7">
        <v>243.56</v>
      </c>
      <c r="K20" s="8">
        <f>IFERROR(J20/J148, "NA")</f>
        <v>1.1426260601872506E-2</v>
      </c>
      <c r="L20" s="7">
        <v>368.69</v>
      </c>
      <c r="M20" s="8">
        <f>IFERROR(L20/L148, "NA")</f>
        <v>1.1106000264478782E-2</v>
      </c>
      <c r="N20" s="7">
        <v>361.76</v>
      </c>
      <c r="O20" s="8">
        <f>IFERROR(N20/N148, "NA")</f>
        <v>1.3863909418575016E-2</v>
      </c>
      <c r="P20" s="7">
        <v>324.49</v>
      </c>
      <c r="Q20" s="8">
        <f>IFERROR(P20/P148, "NA")</f>
        <v>1.2658272289583385E-2</v>
      </c>
      <c r="R20" s="7">
        <v>314.58999999999997</v>
      </c>
      <c r="S20" s="8">
        <f>IFERROR(R20/R148, "NA")</f>
        <v>9.1349273988294948E-3</v>
      </c>
      <c r="T20" s="7">
        <v>329.68</v>
      </c>
      <c r="U20" s="8">
        <f>IFERROR(T20/T148, "NA")</f>
        <v>1.1547913613423715E-2</v>
      </c>
      <c r="V20" s="7">
        <v>368.44</v>
      </c>
      <c r="W20" s="8">
        <f>IFERROR(V20/V148, "NA")</f>
        <v>1.0730306826081601E-2</v>
      </c>
      <c r="X20" s="7">
        <v>381.66</v>
      </c>
      <c r="Y20" s="8">
        <f>IFERROR(X20/X148, "NA")</f>
        <v>8.5269563395080749E-3</v>
      </c>
      <c r="Z20" s="7">
        <v>1079.78</v>
      </c>
      <c r="AA20" s="8">
        <f>IFERROR(Z20/Z148, "NA")</f>
        <v>1.0030981610765065E-2</v>
      </c>
      <c r="AB20" s="9">
        <f t="shared" si="0"/>
        <v>348.59250000000003</v>
      </c>
      <c r="AC20" s="8">
        <f>IFERROR(AB20/AB148, "NA")</f>
        <v>9.8137949988967698E-3</v>
      </c>
      <c r="AD20" s="10">
        <f t="shared" si="1"/>
        <v>33.067499999999995</v>
      </c>
      <c r="AE20" s="11">
        <f>IFERROR(AD20/AD148, "NA")</f>
        <v>3.5792886721886246E-3</v>
      </c>
      <c r="AF20" s="10">
        <f t="shared" si="2"/>
        <v>9.4860044321091228E-2</v>
      </c>
      <c r="AG20" s="9">
        <f t="shared" si="3"/>
        <v>336.60874999999999</v>
      </c>
      <c r="AH20" s="8">
        <f>IFERROR(AG20/AG148, "NA")</f>
        <v>1.0844175011607813E-2</v>
      </c>
      <c r="AI20" s="10">
        <f t="shared" si="4"/>
        <v>45.051250000000039</v>
      </c>
      <c r="AJ20" s="11">
        <f>IFERROR(AI20/AI148, "NA")</f>
        <v>3.2839257751316789E-3</v>
      </c>
      <c r="AK20" s="10">
        <f t="shared" si="5"/>
        <v>0.13383861827715424</v>
      </c>
      <c r="AL20" s="11">
        <f>IFERROR(AK20/AK148, "NA")</f>
        <v>0.30282854819444555</v>
      </c>
    </row>
    <row r="21" spans="1:38" ht="16.5" customHeight="1" x14ac:dyDescent="0.3">
      <c r="A21" s="25" t="s">
        <v>36</v>
      </c>
      <c r="B21" s="7">
        <v>160.72999999999999</v>
      </c>
      <c r="C21" s="8">
        <f>IFERROR(B21/B148, "NA")</f>
        <v>5.965184964156189E-3</v>
      </c>
      <c r="D21" s="7">
        <v>132.09</v>
      </c>
      <c r="E21" s="8">
        <f>IFERROR(D21/D148, "NA")</f>
        <v>5.5003168855439401E-3</v>
      </c>
      <c r="F21" s="7">
        <v>169.37</v>
      </c>
      <c r="G21" s="8">
        <f>IFERROR(F21/F148, "NA")</f>
        <v>6.1430176626719101E-3</v>
      </c>
      <c r="H21" s="7">
        <v>224.04</v>
      </c>
      <c r="I21" s="8">
        <f>IFERROR(H21/H148, "NA")</f>
        <v>7.3012753767714243E-3</v>
      </c>
      <c r="J21" s="7">
        <v>172.55</v>
      </c>
      <c r="K21" s="8">
        <f>IFERROR(J21/J148, "NA")</f>
        <v>8.094930476486701E-3</v>
      </c>
      <c r="L21" s="7">
        <v>227.75</v>
      </c>
      <c r="M21" s="8">
        <f>IFERROR(L21/L148, "NA")</f>
        <v>6.8604832250265604E-3</v>
      </c>
      <c r="N21" s="7">
        <v>167.98</v>
      </c>
      <c r="O21" s="8">
        <f>IFERROR(N21/N148, "NA")</f>
        <v>6.4375815571987814E-3</v>
      </c>
      <c r="P21" s="7">
        <v>90.8</v>
      </c>
      <c r="Q21" s="8">
        <f>IFERROR(P21/P148, "NA")</f>
        <v>3.5420848836456324E-3</v>
      </c>
      <c r="R21" s="7">
        <v>205.97</v>
      </c>
      <c r="S21" s="8">
        <f>IFERROR(R21/R148, "NA")</f>
        <v>5.9808671487870278E-3</v>
      </c>
      <c r="T21" s="7">
        <v>133.5</v>
      </c>
      <c r="U21" s="8">
        <f>IFERROR(T21/T148, "NA")</f>
        <v>4.6761904495027477E-3</v>
      </c>
      <c r="V21" s="7">
        <v>146.44999999999999</v>
      </c>
      <c r="W21" s="8">
        <f>IFERROR(V21/V148, "NA")</f>
        <v>4.2651542576258011E-3</v>
      </c>
      <c r="X21" s="7">
        <v>514.97</v>
      </c>
      <c r="Y21" s="8">
        <f>IFERROR(X21/X148, "NA")</f>
        <v>1.1505336441221174E-2</v>
      </c>
      <c r="Z21" s="7">
        <v>794.92</v>
      </c>
      <c r="AA21" s="8">
        <f>IFERROR(Z21/Z148, "NA")</f>
        <v>7.3846782696747161E-3</v>
      </c>
      <c r="AB21" s="9">
        <f t="shared" si="0"/>
        <v>250.22250000000003</v>
      </c>
      <c r="AC21" s="8">
        <f>IFERROR(AB21/AB148, "NA")</f>
        <v>7.0444209761008833E-3</v>
      </c>
      <c r="AD21" s="10">
        <f t="shared" si="1"/>
        <v>264.7475</v>
      </c>
      <c r="AE21" s="11">
        <f>IFERROR(AD21/AD148, "NA")</f>
        <v>2.8656769569524697E-2</v>
      </c>
      <c r="AF21" s="10">
        <f t="shared" si="2"/>
        <v>1.0580483369800877</v>
      </c>
      <c r="AG21" s="9">
        <f t="shared" si="3"/>
        <v>207.49625</v>
      </c>
      <c r="AH21" s="8">
        <f>IFERROR(AG21/AG148, "NA")</f>
        <v>6.6846914979254929E-3</v>
      </c>
      <c r="AI21" s="10">
        <f t="shared" si="4"/>
        <v>307.47375</v>
      </c>
      <c r="AJ21" s="11">
        <f>IFERROR(AI21/AI148, "NA")</f>
        <v>2.2412718244252783E-2</v>
      </c>
      <c r="AK21" s="10">
        <f t="shared" si="5"/>
        <v>1.4818279848430995</v>
      </c>
      <c r="AL21" s="11">
        <f>IFERROR(AK21/AK148, "NA")</f>
        <v>3.3528425733944909</v>
      </c>
    </row>
    <row r="22" spans="1:38" ht="16.5" hidden="1" customHeight="1" x14ac:dyDescent="0.3">
      <c r="A22" s="25" t="s">
        <v>37</v>
      </c>
      <c r="B22" s="7">
        <v>0</v>
      </c>
      <c r="C22" s="8">
        <f>IFERROR(B22/B148, "NA")</f>
        <v>0</v>
      </c>
      <c r="D22" s="7">
        <v>0</v>
      </c>
      <c r="E22" s="8">
        <f>IFERROR(D22/D148, "NA")</f>
        <v>0</v>
      </c>
      <c r="F22" s="7">
        <v>0</v>
      </c>
      <c r="G22" s="8">
        <f>IFERROR(F22/F148, "NA")</f>
        <v>0</v>
      </c>
      <c r="H22" s="7">
        <v>0</v>
      </c>
      <c r="I22" s="8">
        <f>IFERROR(H22/H148, "NA")</f>
        <v>0</v>
      </c>
      <c r="J22" s="7">
        <v>0</v>
      </c>
      <c r="K22" s="8">
        <f>IFERROR(J22/J148, "NA")</f>
        <v>0</v>
      </c>
      <c r="L22" s="7">
        <v>0</v>
      </c>
      <c r="M22" s="8">
        <f>IFERROR(L22/L148, "NA")</f>
        <v>0</v>
      </c>
      <c r="N22" s="7">
        <v>0</v>
      </c>
      <c r="O22" s="8">
        <f>IFERROR(N22/N148, "NA")</f>
        <v>0</v>
      </c>
      <c r="P22" s="7">
        <v>0</v>
      </c>
      <c r="Q22" s="8">
        <f>IFERROR(P22/P148, "NA")</f>
        <v>0</v>
      </c>
      <c r="R22" s="7">
        <v>0</v>
      </c>
      <c r="S22" s="8">
        <f>IFERROR(R22/R148, "NA")</f>
        <v>0</v>
      </c>
      <c r="T22" s="7">
        <v>0</v>
      </c>
      <c r="U22" s="8">
        <f>IFERROR(T22/T148, "NA")</f>
        <v>0</v>
      </c>
      <c r="V22" s="7">
        <v>0</v>
      </c>
      <c r="W22" s="8">
        <f>IFERROR(V22/V148, "NA")</f>
        <v>0</v>
      </c>
      <c r="X22" s="7">
        <v>0</v>
      </c>
      <c r="Y22" s="8">
        <f>IFERROR(X22/X148, "NA")</f>
        <v>0</v>
      </c>
      <c r="Z22" s="7">
        <v>0</v>
      </c>
      <c r="AA22" s="8">
        <f>IFERROR(Z22/Z148, "NA")</f>
        <v>0</v>
      </c>
      <c r="AB22" s="9">
        <f t="shared" si="0"/>
        <v>0</v>
      </c>
      <c r="AC22" s="8">
        <f>IFERROR(AB22/AB148, "NA")</f>
        <v>0</v>
      </c>
      <c r="AD22" s="10">
        <f t="shared" si="1"/>
        <v>0</v>
      </c>
      <c r="AE22" s="11">
        <f>IFERROR(AD22/AD148, "NA")</f>
        <v>0</v>
      </c>
      <c r="AF22" s="10" t="str">
        <f t="shared" si="2"/>
        <v>NA</v>
      </c>
      <c r="AG22" s="9">
        <f t="shared" si="3"/>
        <v>0</v>
      </c>
      <c r="AH22" s="8">
        <f>IFERROR(AG22/AG148, "NA")</f>
        <v>0</v>
      </c>
      <c r="AI22" s="10">
        <f t="shared" si="4"/>
        <v>0</v>
      </c>
      <c r="AJ22" s="11">
        <f>IFERROR(AI22/AI148, "NA")</f>
        <v>0</v>
      </c>
      <c r="AK22" s="10" t="str">
        <f t="shared" si="5"/>
        <v>NA</v>
      </c>
      <c r="AL22" s="11" t="str">
        <f>IFERROR(AK22/AK148, "NA")</f>
        <v>NA</v>
      </c>
    </row>
    <row r="23" spans="1:38" ht="16.5" customHeight="1" x14ac:dyDescent="0.3">
      <c r="A23" s="25" t="s">
        <v>38</v>
      </c>
      <c r="B23" s="7">
        <v>52.71</v>
      </c>
      <c r="C23" s="8">
        <f>IFERROR(B23/B148, "NA")</f>
        <v>1.9562303207905974E-3</v>
      </c>
      <c r="D23" s="7">
        <v>210.36</v>
      </c>
      <c r="E23" s="8">
        <f>IFERROR(D23/D148, "NA")</f>
        <v>8.7595325917406552E-3</v>
      </c>
      <c r="F23" s="7">
        <v>56.22</v>
      </c>
      <c r="G23" s="8">
        <f>IFERROR(F23/F148, "NA")</f>
        <v>2.039088699270324E-3</v>
      </c>
      <c r="H23" s="7">
        <v>141.5</v>
      </c>
      <c r="I23" s="8">
        <f>IFERROR(H23/H148, "NA")</f>
        <v>4.6113661212870763E-3</v>
      </c>
      <c r="J23" s="7">
        <v>57.56</v>
      </c>
      <c r="K23" s="8">
        <f>IFERROR(J23/J148, "NA")</f>
        <v>2.7003430786819737E-3</v>
      </c>
      <c r="L23" s="7">
        <v>184.36</v>
      </c>
      <c r="M23" s="8">
        <f>IFERROR(L23/L148, "NA")</f>
        <v>5.5534519752618956E-3</v>
      </c>
      <c r="N23" s="7">
        <v>328</v>
      </c>
      <c r="O23" s="8">
        <f>IFERROR(N23/N148, "NA")</f>
        <v>1.2570108053108707E-2</v>
      </c>
      <c r="P23" s="7">
        <v>3.64</v>
      </c>
      <c r="Q23" s="8">
        <f>IFERROR(P23/P148, "NA")</f>
        <v>1.4199547330914211E-4</v>
      </c>
      <c r="R23" s="7">
        <v>189.59</v>
      </c>
      <c r="S23" s="8">
        <f>IFERROR(R23/R148, "NA")</f>
        <v>5.5052318431739215E-3</v>
      </c>
      <c r="T23" s="7">
        <v>158.16</v>
      </c>
      <c r="U23" s="8">
        <f>IFERROR(T23/T148, "NA")</f>
        <v>5.539972146017637E-3</v>
      </c>
      <c r="V23" s="7">
        <v>135.97</v>
      </c>
      <c r="W23" s="8">
        <f>IFERROR(V23/V148, "NA")</f>
        <v>3.959938712252511E-3</v>
      </c>
      <c r="X23" s="7">
        <v>204.85</v>
      </c>
      <c r="Y23" s="8">
        <f>IFERROR(X23/X148, "NA")</f>
        <v>4.5767096529587305E-3</v>
      </c>
      <c r="Z23" s="7">
        <v>498.98</v>
      </c>
      <c r="AA23" s="8">
        <f>IFERROR(Z23/Z148, "NA")</f>
        <v>4.6354435201055328E-3</v>
      </c>
      <c r="AB23" s="9">
        <f t="shared" si="0"/>
        <v>172.14250000000001</v>
      </c>
      <c r="AC23" s="8">
        <f>IFERROR(AB23/AB148, "NA")</f>
        <v>4.8462637767524757E-3</v>
      </c>
      <c r="AD23" s="10">
        <f t="shared" si="1"/>
        <v>32.707499999999982</v>
      </c>
      <c r="AE23" s="11">
        <f>IFERROR(AD23/AD148, "NA")</f>
        <v>3.5403215920649998E-3</v>
      </c>
      <c r="AF23" s="10">
        <f t="shared" si="2"/>
        <v>0.19000246888479011</v>
      </c>
      <c r="AG23" s="9">
        <f t="shared" si="3"/>
        <v>157.76624999999999</v>
      </c>
      <c r="AH23" s="8">
        <f>IFERROR(AG23/AG148, "NA")</f>
        <v>5.0825916614617743E-3</v>
      </c>
      <c r="AI23" s="10">
        <f t="shared" si="4"/>
        <v>47.083750000000009</v>
      </c>
      <c r="AJ23" s="11">
        <f>IFERROR(AI23/AI148, "NA")</f>
        <v>3.4320810236088033E-3</v>
      </c>
      <c r="AK23" s="10">
        <f t="shared" si="5"/>
        <v>0.29843993883355924</v>
      </c>
      <c r="AL23" s="11">
        <f>IFERROR(AK23/AK148, "NA")</f>
        <v>0.67526200257876356</v>
      </c>
    </row>
    <row r="24" spans="1:38" ht="16.5" customHeight="1" x14ac:dyDescent="0.3">
      <c r="A24" s="25" t="s">
        <v>39</v>
      </c>
      <c r="B24" s="7">
        <v>1519.79</v>
      </c>
      <c r="C24" s="8">
        <f>IFERROR(B24/B148, "NA")</f>
        <v>5.6404084219964755E-2</v>
      </c>
      <c r="D24" s="7">
        <v>1283.07</v>
      </c>
      <c r="E24" s="8">
        <f>IFERROR(D24/D148, "NA")</f>
        <v>5.3427902084448954E-2</v>
      </c>
      <c r="F24" s="7">
        <v>1697.37</v>
      </c>
      <c r="G24" s="8">
        <f>IFERROR(F24/F148, "NA")</f>
        <v>6.1563286828183378E-2</v>
      </c>
      <c r="H24" s="7">
        <v>1667.81</v>
      </c>
      <c r="I24" s="8">
        <f>IFERROR(H24/H148, "NA")</f>
        <v>5.4352526719037446E-2</v>
      </c>
      <c r="J24" s="7">
        <v>1495.88</v>
      </c>
      <c r="K24" s="8">
        <f>IFERROR(J24/J148, "NA")</f>
        <v>7.0177018841883085E-2</v>
      </c>
      <c r="L24" s="7">
        <v>1602.36</v>
      </c>
      <c r="M24" s="8">
        <f>IFERROR(L24/L148, "NA")</f>
        <v>4.8267679036020014E-2</v>
      </c>
      <c r="N24" s="7">
        <v>1162.78</v>
      </c>
      <c r="O24" s="8">
        <f>IFERROR(N24/N148, "NA")</f>
        <v>4.4561799518273597E-2</v>
      </c>
      <c r="P24" s="7">
        <v>1683.7</v>
      </c>
      <c r="Q24" s="8">
        <f>IFERROR(P24/P148, "NA")</f>
        <v>6.5680708354561135E-2</v>
      </c>
      <c r="R24" s="7">
        <v>1970.7</v>
      </c>
      <c r="S24" s="8">
        <f>IFERROR(R24/R148, "NA")</f>
        <v>5.7224328252243516E-2</v>
      </c>
      <c r="T24" s="7">
        <v>1262.8</v>
      </c>
      <c r="U24" s="8">
        <f>IFERROR(T24/T148, "NA")</f>
        <v>4.4232908611476177E-2</v>
      </c>
      <c r="V24" s="7">
        <v>1996.09</v>
      </c>
      <c r="W24" s="8">
        <f>IFERROR(V24/V148, "NA")</f>
        <v>5.8133368126352246E-2</v>
      </c>
      <c r="X24" s="7">
        <v>2667.5</v>
      </c>
      <c r="Y24" s="8">
        <f>IFERROR(X24/X148, "NA")</f>
        <v>5.959664632300421E-2</v>
      </c>
      <c r="Z24" s="7">
        <v>5926.39</v>
      </c>
      <c r="AA24" s="8">
        <f>IFERROR(Z24/Z148, "NA")</f>
        <v>5.5055204864159345E-2</v>
      </c>
      <c r="AB24" s="9">
        <f t="shared" si="0"/>
        <v>1974.2725</v>
      </c>
      <c r="AC24" s="8">
        <f>IFERROR(AB24/AB148, "NA")</f>
        <v>5.5580959392297374E-2</v>
      </c>
      <c r="AD24" s="10">
        <f t="shared" si="1"/>
        <v>693.22749999999996</v>
      </c>
      <c r="AE24" s="11">
        <f>IFERROR(AD24/AD148, "NA")</f>
        <v>7.5036254267774702E-2</v>
      </c>
      <c r="AF24" s="10">
        <f t="shared" si="2"/>
        <v>0.35113060633727106</v>
      </c>
      <c r="AG24" s="9">
        <f t="shared" si="3"/>
        <v>1730.2262499999999</v>
      </c>
      <c r="AH24" s="8">
        <f>IFERROR(AG24/AG148, "NA")</f>
        <v>5.5740904728940922E-2</v>
      </c>
      <c r="AI24" s="10">
        <f t="shared" si="4"/>
        <v>937.27375000000006</v>
      </c>
      <c r="AJ24" s="11">
        <f>IFERROR(AI24/AI148, "NA")</f>
        <v>6.8320799666586898E-2</v>
      </c>
      <c r="AK24" s="10">
        <f t="shared" si="5"/>
        <v>0.54170588961992694</v>
      </c>
      <c r="AL24" s="11">
        <f>IFERROR(AK24/AK148, "NA")</f>
        <v>1.2256851588401729</v>
      </c>
    </row>
    <row r="25" spans="1:38" ht="16.5" hidden="1" customHeight="1" x14ac:dyDescent="0.3">
      <c r="A25" s="25" t="s">
        <v>40</v>
      </c>
      <c r="B25" s="7">
        <v>0</v>
      </c>
      <c r="C25" s="8">
        <f>IFERROR(B25/B148, "NA")</f>
        <v>0</v>
      </c>
      <c r="D25" s="7">
        <v>0</v>
      </c>
      <c r="E25" s="8">
        <f>IFERROR(D25/D148, "NA")</f>
        <v>0</v>
      </c>
      <c r="F25" s="7">
        <v>0</v>
      </c>
      <c r="G25" s="8">
        <f>IFERROR(F25/F148, "NA")</f>
        <v>0</v>
      </c>
      <c r="H25" s="7">
        <v>0</v>
      </c>
      <c r="I25" s="8">
        <f>IFERROR(H25/H148, "NA")</f>
        <v>0</v>
      </c>
      <c r="J25" s="7">
        <v>0</v>
      </c>
      <c r="K25" s="8">
        <f>IFERROR(J25/J148, "NA")</f>
        <v>0</v>
      </c>
      <c r="L25" s="7">
        <v>0</v>
      </c>
      <c r="M25" s="8">
        <f>IFERROR(L25/L148, "NA")</f>
        <v>0</v>
      </c>
      <c r="N25" s="7">
        <v>0</v>
      </c>
      <c r="O25" s="8">
        <f>IFERROR(N25/N148, "NA")</f>
        <v>0</v>
      </c>
      <c r="P25" s="7">
        <v>0</v>
      </c>
      <c r="Q25" s="8">
        <f>IFERROR(P25/P148, "NA")</f>
        <v>0</v>
      </c>
      <c r="R25" s="7">
        <v>0</v>
      </c>
      <c r="S25" s="8">
        <f>IFERROR(R25/R148, "NA")</f>
        <v>0</v>
      </c>
      <c r="T25" s="7">
        <v>0</v>
      </c>
      <c r="U25" s="8">
        <f>IFERROR(T25/T148, "NA")</f>
        <v>0</v>
      </c>
      <c r="V25" s="7">
        <v>0</v>
      </c>
      <c r="W25" s="8">
        <f>IFERROR(V25/V148, "NA")</f>
        <v>0</v>
      </c>
      <c r="X25" s="7">
        <v>0</v>
      </c>
      <c r="Y25" s="8">
        <f>IFERROR(X25/X148, "NA")</f>
        <v>0</v>
      </c>
      <c r="Z25" s="7">
        <v>0</v>
      </c>
      <c r="AA25" s="8">
        <f>IFERROR(Z25/Z148, "NA")</f>
        <v>0</v>
      </c>
      <c r="AB25" s="9">
        <f t="shared" si="0"/>
        <v>0</v>
      </c>
      <c r="AC25" s="8">
        <f>IFERROR(AB25/AB148, "NA")</f>
        <v>0</v>
      </c>
      <c r="AD25" s="10">
        <f t="shared" si="1"/>
        <v>0</v>
      </c>
      <c r="AE25" s="11">
        <f>IFERROR(AD25/AD148, "NA")</f>
        <v>0</v>
      </c>
      <c r="AF25" s="10" t="str">
        <f t="shared" si="2"/>
        <v>NA</v>
      </c>
      <c r="AG25" s="9">
        <f t="shared" si="3"/>
        <v>0</v>
      </c>
      <c r="AH25" s="8">
        <f>IFERROR(AG25/AG148, "NA")</f>
        <v>0</v>
      </c>
      <c r="AI25" s="10">
        <f t="shared" si="4"/>
        <v>0</v>
      </c>
      <c r="AJ25" s="11">
        <f>IFERROR(AI25/AI148, "NA")</f>
        <v>0</v>
      </c>
      <c r="AK25" s="10" t="str">
        <f t="shared" si="5"/>
        <v>NA</v>
      </c>
      <c r="AL25" s="11" t="str">
        <f>IFERROR(AK25/AK148, "NA")</f>
        <v>NA</v>
      </c>
    </row>
    <row r="26" spans="1:38" ht="16.5" hidden="1" customHeight="1" x14ac:dyDescent="0.3">
      <c r="A26" s="25" t="s">
        <v>41</v>
      </c>
      <c r="B26" s="7">
        <v>0</v>
      </c>
      <c r="C26" s="8">
        <f>IFERROR(B26/B148, "NA")</f>
        <v>0</v>
      </c>
      <c r="D26" s="7">
        <v>0</v>
      </c>
      <c r="E26" s="8">
        <f>IFERROR(D26/D148, "NA")</f>
        <v>0</v>
      </c>
      <c r="F26" s="7">
        <v>0</v>
      </c>
      <c r="G26" s="8">
        <f>IFERROR(F26/F148, "NA")</f>
        <v>0</v>
      </c>
      <c r="H26" s="7">
        <v>0</v>
      </c>
      <c r="I26" s="8">
        <f>IFERROR(H26/H148, "NA")</f>
        <v>0</v>
      </c>
      <c r="J26" s="7">
        <v>0</v>
      </c>
      <c r="K26" s="8">
        <f>IFERROR(J26/J148, "NA")</f>
        <v>0</v>
      </c>
      <c r="L26" s="7">
        <v>0</v>
      </c>
      <c r="M26" s="8">
        <f>IFERROR(L26/L148, "NA")</f>
        <v>0</v>
      </c>
      <c r="N26" s="7">
        <v>0</v>
      </c>
      <c r="O26" s="8">
        <f>IFERROR(N26/N148, "NA")</f>
        <v>0</v>
      </c>
      <c r="P26" s="7">
        <v>0</v>
      </c>
      <c r="Q26" s="8">
        <f>IFERROR(P26/P148, "NA")</f>
        <v>0</v>
      </c>
      <c r="R26" s="7">
        <v>0</v>
      </c>
      <c r="S26" s="8">
        <f>IFERROR(R26/R148, "NA")</f>
        <v>0</v>
      </c>
      <c r="T26" s="7">
        <v>0</v>
      </c>
      <c r="U26" s="8">
        <f>IFERROR(T26/T148, "NA")</f>
        <v>0</v>
      </c>
      <c r="V26" s="7">
        <v>0</v>
      </c>
      <c r="W26" s="8">
        <f>IFERROR(V26/V148, "NA")</f>
        <v>0</v>
      </c>
      <c r="X26" s="7">
        <v>0</v>
      </c>
      <c r="Y26" s="8">
        <f>IFERROR(X26/X148, "NA")</f>
        <v>0</v>
      </c>
      <c r="Z26" s="7">
        <v>0</v>
      </c>
      <c r="AA26" s="8">
        <f>IFERROR(Z26/Z148, "NA")</f>
        <v>0</v>
      </c>
      <c r="AB26" s="9">
        <f t="shared" si="0"/>
        <v>0</v>
      </c>
      <c r="AC26" s="8">
        <f>IFERROR(AB26/AB148, "NA")</f>
        <v>0</v>
      </c>
      <c r="AD26" s="10">
        <f t="shared" si="1"/>
        <v>0</v>
      </c>
      <c r="AE26" s="11">
        <f>IFERROR(AD26/AD148, "NA")</f>
        <v>0</v>
      </c>
      <c r="AF26" s="10" t="str">
        <f t="shared" si="2"/>
        <v>NA</v>
      </c>
      <c r="AG26" s="9">
        <f t="shared" si="3"/>
        <v>0</v>
      </c>
      <c r="AH26" s="8">
        <f>IFERROR(AG26/AG148, "NA")</f>
        <v>0</v>
      </c>
      <c r="AI26" s="10">
        <f t="shared" si="4"/>
        <v>0</v>
      </c>
      <c r="AJ26" s="11">
        <f>IFERROR(AI26/AI148, "NA")</f>
        <v>0</v>
      </c>
      <c r="AK26" s="10" t="str">
        <f t="shared" si="5"/>
        <v>NA</v>
      </c>
      <c r="AL26" s="11" t="str">
        <f>IFERROR(AK26/AK148, "NA")</f>
        <v>NA</v>
      </c>
    </row>
    <row r="27" spans="1:38" ht="16.5" customHeight="1" x14ac:dyDescent="0.3">
      <c r="A27" s="26" t="s">
        <v>42</v>
      </c>
      <c r="B27" s="13">
        <f>IFERROR(B15+B16+B17+B18+B19+B20+B21+B22+B23+B24+B25+B26, "NA")</f>
        <v>5586.3700000000008</v>
      </c>
      <c r="C27" s="14">
        <f>IFERROR(B27/B148, "NA")</f>
        <v>0.20732738336473103</v>
      </c>
      <c r="D27" s="13">
        <f>IFERROR(D15+D16+D17+D18+D19+D20+D21+D22+D23+D24+D25+D26, "NA")</f>
        <v>5283.54</v>
      </c>
      <c r="E27" s="14">
        <f>IFERROR(D27/D148, "NA")</f>
        <v>0.2200101769812009</v>
      </c>
      <c r="F27" s="13">
        <f>IFERROR(F15+F16+F17+F18+F19+F20+F21+F22+F23+F24+F25+F26, "NA")</f>
        <v>6418.7699999999995</v>
      </c>
      <c r="G27" s="14">
        <f>IFERROR(F27/F148, "NA")</f>
        <v>0.23280756617245424</v>
      </c>
      <c r="H27" s="13">
        <f>IFERROR(H15+H16+H17+H18+H19+H20+H21+H22+H23+H24+H25+H26, "NA")</f>
        <v>6344</v>
      </c>
      <c r="I27" s="14">
        <f>IFERROR(H27/H148, "NA")</f>
        <v>0.20674563020102624</v>
      </c>
      <c r="J27" s="13">
        <f>IFERROR(J15+J16+J17+J18+J19+J20+J21+J22+J23+J24+J25+J26, "NA")</f>
        <v>4827.4400000000005</v>
      </c>
      <c r="K27" s="14">
        <f>IFERROR(J27/J148, "NA")</f>
        <v>0.22647227574274684</v>
      </c>
      <c r="L27" s="13">
        <f>IFERROR(L15+L16+L17+L18+L19+L20+L21+L22+L23+L24+L25+L26, "NA")</f>
        <v>7395.7499999999991</v>
      </c>
      <c r="M27" s="14">
        <f>IFERROR(L27/L148, "NA")</f>
        <v>0.22278120224584053</v>
      </c>
      <c r="N27" s="13">
        <f>IFERROR(N15+N16+N17+N18+N19+N20+N21+N22+N23+N24+N25+N26, "NA")</f>
        <v>5713.2499999999991</v>
      </c>
      <c r="O27" s="14">
        <f>IFERROR(N27/N148, "NA")</f>
        <v>0.21895173730007103</v>
      </c>
      <c r="P27" s="13">
        <f>IFERROR(P15+P16+P17+P18+P19+P20+P21+P22+P23+P24+P25+P26, "NA")</f>
        <v>5348.81</v>
      </c>
      <c r="Q27" s="14">
        <f>IFERROR(P27/P148, "NA")</f>
        <v>0.20865571637106384</v>
      </c>
      <c r="R27" s="13">
        <f>IFERROR(R15+R16+R17+R18+R19+R20+R21+R22+R23+R24+R25+R26, "NA")</f>
        <v>6855.04</v>
      </c>
      <c r="S27" s="14">
        <f>IFERROR(R27/R148, "NA")</f>
        <v>0.19905366577472947</v>
      </c>
      <c r="T27" s="13">
        <f>IFERROR(T15+T16+T17+T18+T19+T20+T21+T22+T23+T24+T25+T26, "NA")</f>
        <v>5481.95</v>
      </c>
      <c r="U27" s="14">
        <f>IFERROR(T27/T148, "NA")</f>
        <v>0.19201979201986205</v>
      </c>
      <c r="V27" s="13">
        <f>IFERROR(V15+V16+V17+V18+V19+V20+V21+V22+V23+V24+V25+V26, "NA")</f>
        <v>6519.7</v>
      </c>
      <c r="W27" s="14">
        <f>IFERROR(V27/V148, "NA")</f>
        <v>0.1898772701498323</v>
      </c>
      <c r="X27" s="13">
        <f>IFERROR(X15+X16+X17+X18+X19+X20+X21+X22+X23+X24+X25+X26, "NA")</f>
        <v>9271.760000000002</v>
      </c>
      <c r="Y27" s="14">
        <f>IFERROR(X27/X148, "NA")</f>
        <v>0.20714744199129434</v>
      </c>
      <c r="Z27" s="13">
        <f>IFERROR(Z15+Z16+Z17+Z18+Z19+Z20+Z21+Z22+Z23+Z24+Z25+Z26, "NA")</f>
        <v>21273.41</v>
      </c>
      <c r="AA27" s="14">
        <f>IFERROR(Z27/Z148, "NA")</f>
        <v>0.19762653921008505</v>
      </c>
      <c r="AB27" s="13">
        <f t="shared" si="0"/>
        <v>7032.1125000000002</v>
      </c>
      <c r="AC27" s="14">
        <f>IFERROR(AB27/AB148, "NA")</f>
        <v>0.19797244772672809</v>
      </c>
      <c r="AD27" s="15">
        <f t="shared" si="1"/>
        <v>2239.6475000000019</v>
      </c>
      <c r="AE27" s="16">
        <f>IFERROR(AD27/AD148, "NA")</f>
        <v>0.24242367661436698</v>
      </c>
      <c r="AF27" s="15">
        <f t="shared" si="2"/>
        <v>0.31848857651239254</v>
      </c>
      <c r="AG27" s="13">
        <f t="shared" si="3"/>
        <v>6426.7124999999996</v>
      </c>
      <c r="AH27" s="14">
        <f>IFERROR(AG27/AG148, "NA")</f>
        <v>0.20704273165592868</v>
      </c>
      <c r="AI27" s="15">
        <f t="shared" si="4"/>
        <v>2845.0475000000024</v>
      </c>
      <c r="AJ27" s="16">
        <f>IFERROR(AI27/AI148, "NA")</f>
        <v>0.20738436373516708</v>
      </c>
      <c r="AK27" s="15">
        <f t="shared" si="5"/>
        <v>0.44269095591252955</v>
      </c>
      <c r="AL27" s="16">
        <f>IFERROR(AK27/AK148, "NA")</f>
        <v>1.0016500558918733</v>
      </c>
    </row>
    <row r="28" spans="1:38" ht="16.5" customHeight="1" x14ac:dyDescent="0.3">
      <c r="A28" s="24" t="s">
        <v>43</v>
      </c>
      <c r="B28" s="2"/>
      <c r="C28" s="3"/>
      <c r="D28" s="2"/>
      <c r="E28" s="3"/>
      <c r="F28" s="2"/>
      <c r="G28" s="3"/>
      <c r="H28" s="2"/>
      <c r="I28" s="3"/>
      <c r="J28" s="2"/>
      <c r="K28" s="3"/>
      <c r="L28" s="2"/>
      <c r="M28" s="3"/>
      <c r="N28" s="2"/>
      <c r="O28" s="3"/>
      <c r="P28" s="2"/>
      <c r="Q28" s="3"/>
      <c r="R28" s="2"/>
      <c r="S28" s="3"/>
      <c r="T28" s="2"/>
      <c r="U28" s="3"/>
      <c r="V28" s="2"/>
      <c r="W28" s="3"/>
      <c r="X28" s="2"/>
      <c r="Y28" s="3"/>
      <c r="Z28" s="2"/>
      <c r="AA28" s="3"/>
      <c r="AB28" s="2"/>
      <c r="AC28" s="3"/>
      <c r="AD28" s="4"/>
      <c r="AE28" s="5"/>
      <c r="AF28" s="4"/>
      <c r="AG28" s="2"/>
      <c r="AH28" s="3"/>
      <c r="AI28" s="4"/>
      <c r="AJ28" s="5"/>
      <c r="AK28" s="4"/>
      <c r="AL28" s="5"/>
    </row>
    <row r="29" spans="1:38" ht="16.5" hidden="1" customHeight="1" x14ac:dyDescent="0.3">
      <c r="A29" s="25" t="s">
        <v>44</v>
      </c>
      <c r="B29" s="7">
        <v>0</v>
      </c>
      <c r="C29" s="8">
        <f>IFERROR(B29/B148, "NA")</f>
        <v>0</v>
      </c>
      <c r="D29" s="7">
        <v>0</v>
      </c>
      <c r="E29" s="8">
        <f>IFERROR(D29/D148, "NA")</f>
        <v>0</v>
      </c>
      <c r="F29" s="7">
        <v>0</v>
      </c>
      <c r="G29" s="8">
        <f>IFERROR(F29/F148, "NA")</f>
        <v>0</v>
      </c>
      <c r="H29" s="7">
        <v>0</v>
      </c>
      <c r="I29" s="8">
        <f>IFERROR(H29/H148, "NA")</f>
        <v>0</v>
      </c>
      <c r="J29" s="7">
        <v>0</v>
      </c>
      <c r="K29" s="8">
        <f>IFERROR(J29/J148, "NA")</f>
        <v>0</v>
      </c>
      <c r="L29" s="7">
        <v>0</v>
      </c>
      <c r="M29" s="8">
        <f>IFERROR(L29/L148, "NA")</f>
        <v>0</v>
      </c>
      <c r="N29" s="7">
        <v>0</v>
      </c>
      <c r="O29" s="8">
        <f>IFERROR(N29/N148, "NA")</f>
        <v>0</v>
      </c>
      <c r="P29" s="7">
        <v>0</v>
      </c>
      <c r="Q29" s="8">
        <f>IFERROR(P29/P148, "NA")</f>
        <v>0</v>
      </c>
      <c r="R29" s="7">
        <v>0</v>
      </c>
      <c r="S29" s="8">
        <f>IFERROR(R29/R148, "NA")</f>
        <v>0</v>
      </c>
      <c r="T29" s="7">
        <v>0</v>
      </c>
      <c r="U29" s="8">
        <f>IFERROR(T29/T148, "NA")</f>
        <v>0</v>
      </c>
      <c r="V29" s="7">
        <v>0</v>
      </c>
      <c r="W29" s="8">
        <f>IFERROR(V29/V148, "NA")</f>
        <v>0</v>
      </c>
      <c r="X29" s="7">
        <v>0</v>
      </c>
      <c r="Y29" s="8">
        <f>IFERROR(X29/X148, "NA")</f>
        <v>0</v>
      </c>
      <c r="Z29" s="7">
        <v>0</v>
      </c>
      <c r="AA29" s="8">
        <f>IFERROR(Z29/Z148, "NA")</f>
        <v>0</v>
      </c>
      <c r="AB29" s="9">
        <f t="shared" ref="AB29:AB35" si="6">IFERROR((R29+T29+V29+X29)/4, "NA")</f>
        <v>0</v>
      </c>
      <c r="AC29" s="8">
        <f>IFERROR(AB29/AB148, "NA")</f>
        <v>0</v>
      </c>
      <c r="AD29" s="10">
        <f t="shared" ref="AD29:AD35" si="7">IFERROR(X29-AB29, "NA")</f>
        <v>0</v>
      </c>
      <c r="AE29" s="11">
        <f>IFERROR(AD29/AD148, "NA")</f>
        <v>0</v>
      </c>
      <c r="AF29" s="10" t="str">
        <f t="shared" ref="AF29:AF35" si="8">IFERROR((X29-AB29)/AB29, "NA")</f>
        <v>NA</v>
      </c>
      <c r="AG29" s="9">
        <f t="shared" ref="AG29:AG35" si="9">IFERROR((J29+L29+N29+P29+R29+T29+V29+X29)/8, "NA")</f>
        <v>0</v>
      </c>
      <c r="AH29" s="8">
        <f>IFERROR(AG29/AG148, "NA")</f>
        <v>0</v>
      </c>
      <c r="AI29" s="10">
        <f t="shared" ref="AI29:AI35" si="10">IFERROR(X29-AG29, "NA")</f>
        <v>0</v>
      </c>
      <c r="AJ29" s="11">
        <f>IFERROR(AI29/AI148, "NA")</f>
        <v>0</v>
      </c>
      <c r="AK29" s="10" t="str">
        <f t="shared" ref="AK29:AK35" si="11">IFERROR((X29-AG29)/AG29, "NA")</f>
        <v>NA</v>
      </c>
      <c r="AL29" s="11" t="str">
        <f>IFERROR(AK29/AK148, "NA")</f>
        <v>NA</v>
      </c>
    </row>
    <row r="30" spans="1:38" ht="16.5" customHeight="1" x14ac:dyDescent="0.3">
      <c r="A30" s="25" t="s">
        <v>45</v>
      </c>
      <c r="B30" s="7">
        <v>315.5</v>
      </c>
      <c r="C30" s="8">
        <f>IFERROR(B30/B148, "NA")</f>
        <v>1.1709175985760455E-2</v>
      </c>
      <c r="D30" s="7">
        <v>182.49</v>
      </c>
      <c r="E30" s="8">
        <f>IFERROR(D30/D148, "NA")</f>
        <v>7.5990069531600701E-3</v>
      </c>
      <c r="F30" s="7">
        <v>341.56</v>
      </c>
      <c r="G30" s="8">
        <f>IFERROR(F30/F148, "NA")</f>
        <v>1.2388316188594305E-2</v>
      </c>
      <c r="H30" s="7">
        <v>450.47</v>
      </c>
      <c r="I30" s="8">
        <f>IFERROR(H30/H148, "NA")</f>
        <v>1.4680438845626781E-2</v>
      </c>
      <c r="J30" s="7">
        <v>412.53</v>
      </c>
      <c r="K30" s="8">
        <f>IFERROR(J30/J148, "NA")</f>
        <v>1.9353240622805325E-2</v>
      </c>
      <c r="L30" s="7">
        <v>364.65</v>
      </c>
      <c r="M30" s="8">
        <f>IFERROR(L30/L148, "NA")</f>
        <v>1.0984303877084238E-2</v>
      </c>
      <c r="N30" s="7">
        <v>78.319999999999993</v>
      </c>
      <c r="O30" s="8">
        <f>IFERROR(N30/N148, "NA")</f>
        <v>3.0014965326813224E-3</v>
      </c>
      <c r="P30" s="7">
        <v>524.4</v>
      </c>
      <c r="Q30" s="8">
        <f>IFERROR(P30/P148, "NA")</f>
        <v>2.0456710495415965E-2</v>
      </c>
      <c r="R30" s="7">
        <v>502.46</v>
      </c>
      <c r="S30" s="8">
        <f>IFERROR(R30/R148, "NA")</f>
        <v>1.4590214631157596E-2</v>
      </c>
      <c r="T30" s="7">
        <v>428.24</v>
      </c>
      <c r="U30" s="8">
        <f>IFERROR(T30/T148, "NA")</f>
        <v>1.5000238187977952E-2</v>
      </c>
      <c r="V30" s="7">
        <v>360.74</v>
      </c>
      <c r="W30" s="8">
        <f>IFERROR(V30/V148, "NA")</f>
        <v>1.0506054946370309E-2</v>
      </c>
      <c r="X30" s="7">
        <v>871.68</v>
      </c>
      <c r="Y30" s="8">
        <f>IFERROR(X30/X148, "NA")</f>
        <v>1.9474865854484089E-2</v>
      </c>
      <c r="Z30" s="7">
        <v>1660.66</v>
      </c>
      <c r="AA30" s="8">
        <f>IFERROR(Z30/Z148, "NA")</f>
        <v>1.5427262888489427E-2</v>
      </c>
      <c r="AB30" s="9">
        <f t="shared" si="6"/>
        <v>540.78</v>
      </c>
      <c r="AC30" s="8">
        <f>IFERROR(AB30/AB148, "NA")</f>
        <v>1.5224378205220693E-2</v>
      </c>
      <c r="AD30" s="10">
        <f t="shared" si="7"/>
        <v>330.9</v>
      </c>
      <c r="AE30" s="11">
        <f>IFERROR(AD30/AD148, "NA")</f>
        <v>3.581724114696351E-2</v>
      </c>
      <c r="AF30" s="10">
        <f t="shared" si="8"/>
        <v>0.61189393098857203</v>
      </c>
      <c r="AG30" s="9">
        <f t="shared" si="9"/>
        <v>442.8775</v>
      </c>
      <c r="AH30" s="8">
        <f>IFERROR(AG30/AG148, "NA")</f>
        <v>1.4267725122128701E-2</v>
      </c>
      <c r="AI30" s="10">
        <f t="shared" si="10"/>
        <v>428.80249999999995</v>
      </c>
      <c r="AJ30" s="11">
        <f>IFERROR(AI30/AI148, "NA")</f>
        <v>3.1256748307558625E-2</v>
      </c>
      <c r="AK30" s="10">
        <f t="shared" si="11"/>
        <v>0.96821920282696672</v>
      </c>
      <c r="AL30" s="11">
        <f>IFERROR(AK30/AK148, "NA")</f>
        <v>2.1907310408637315</v>
      </c>
    </row>
    <row r="31" spans="1:38" ht="16.5" customHeight="1" x14ac:dyDescent="0.3">
      <c r="A31" s="25" t="s">
        <v>46</v>
      </c>
      <c r="B31" s="7">
        <v>12.17</v>
      </c>
      <c r="C31" s="8">
        <f>IFERROR(B31/B148, "NA")</f>
        <v>4.5166615450619563E-4</v>
      </c>
      <c r="D31" s="7">
        <v>9.75</v>
      </c>
      <c r="E31" s="8">
        <f>IFERROR(D31/D148, "NA")</f>
        <v>4.0599659046145365E-4</v>
      </c>
      <c r="F31" s="7">
        <v>12.17</v>
      </c>
      <c r="G31" s="8">
        <f>IFERROR(F31/F148, "NA")</f>
        <v>4.4140358360227397E-4</v>
      </c>
      <c r="H31" s="7">
        <v>26.42</v>
      </c>
      <c r="I31" s="8">
        <f>IFERROR(H31/H148, "NA")</f>
        <v>8.6100560370603934E-4</v>
      </c>
      <c r="J31" s="7">
        <v>40.47</v>
      </c>
      <c r="K31" s="8">
        <f>IFERROR(J31/J148, "NA")</f>
        <v>1.8985907643200046E-3</v>
      </c>
      <c r="L31" s="7">
        <v>25.11</v>
      </c>
      <c r="M31" s="8">
        <f>IFERROR(L31/L148, "NA")</f>
        <v>7.5638521967252219E-4</v>
      </c>
      <c r="N31" s="7">
        <v>36</v>
      </c>
      <c r="O31" s="8">
        <f>IFERROR(N31/N148, "NA")</f>
        <v>1.3796460058290044E-3</v>
      </c>
      <c r="P31" s="7">
        <v>31.85</v>
      </c>
      <c r="Q31" s="8">
        <f>IFERROR(P31/P148, "NA")</f>
        <v>1.2424603914549933E-3</v>
      </c>
      <c r="R31" s="7">
        <v>-20.260000000000002</v>
      </c>
      <c r="S31" s="8">
        <f>IFERROR(R31/R148, "NA")</f>
        <v>-5.883010556606554E-4</v>
      </c>
      <c r="T31" s="7">
        <v>4.87</v>
      </c>
      <c r="U31" s="8">
        <f>IFERROR(T31/T148, "NA")</f>
        <v>1.7058462538635492E-4</v>
      </c>
      <c r="V31" s="7">
        <v>15.92</v>
      </c>
      <c r="W31" s="8">
        <f>IFERROR(V31/V148, "NA")</f>
        <v>4.6364804220828108E-4</v>
      </c>
      <c r="X31" s="7">
        <v>2.44</v>
      </c>
      <c r="Y31" s="8">
        <f>IFERROR(X31/X148, "NA")</f>
        <v>5.4513895793113506E-5</v>
      </c>
      <c r="Z31" s="7">
        <v>23.23</v>
      </c>
      <c r="AA31" s="8">
        <f>IFERROR(Z31/Z148, "NA")</f>
        <v>2.1580294394976055E-4</v>
      </c>
      <c r="AB31" s="9">
        <f t="shared" si="6"/>
        <v>0.74249999999999983</v>
      </c>
      <c r="AC31" s="8">
        <f>IFERROR(AB31/AB148, "NA")</f>
        <v>2.0903326338578281E-5</v>
      </c>
      <c r="AD31" s="10">
        <f t="shared" si="7"/>
        <v>1.6975000000000002</v>
      </c>
      <c r="AE31" s="11">
        <f>IFERROR(AD31/AD148, "NA")</f>
        <v>1.837406069718059E-4</v>
      </c>
      <c r="AF31" s="10">
        <f t="shared" si="8"/>
        <v>2.2861952861952872</v>
      </c>
      <c r="AG31" s="9">
        <f t="shared" si="9"/>
        <v>17.05</v>
      </c>
      <c r="AH31" s="8">
        <f>IFERROR(AG31/AG148, "NA")</f>
        <v>5.4928216794100941E-4</v>
      </c>
      <c r="AI31" s="10">
        <f t="shared" si="10"/>
        <v>-14.610000000000001</v>
      </c>
      <c r="AJ31" s="11">
        <f>IFERROR(AI31/AI148, "NA")</f>
        <v>-1.0649683543669441E-3</v>
      </c>
      <c r="AK31" s="10">
        <f t="shared" si="11"/>
        <v>-0.85689149560117306</v>
      </c>
      <c r="AL31" s="11">
        <f>IFERROR(AK31/AK148, "NA")</f>
        <v>-1.9388365698434933</v>
      </c>
    </row>
    <row r="32" spans="1:38" ht="16.5" customHeight="1" x14ac:dyDescent="0.3">
      <c r="A32" s="25" t="s">
        <v>47</v>
      </c>
      <c r="B32" s="7">
        <v>0</v>
      </c>
      <c r="C32" s="8">
        <f>IFERROR(B32/B148, "NA")</f>
        <v>0</v>
      </c>
      <c r="D32" s="7">
        <v>29.9</v>
      </c>
      <c r="E32" s="8">
        <f>IFERROR(D32/D148, "NA")</f>
        <v>1.2450562107484578E-3</v>
      </c>
      <c r="F32" s="7">
        <v>0</v>
      </c>
      <c r="G32" s="8">
        <f>IFERROR(F32/F148, "NA")</f>
        <v>0</v>
      </c>
      <c r="H32" s="7">
        <v>0</v>
      </c>
      <c r="I32" s="8">
        <f>IFERROR(H32/H148, "NA")</f>
        <v>0</v>
      </c>
      <c r="J32" s="7">
        <v>0</v>
      </c>
      <c r="K32" s="8">
        <f>IFERROR(J32/J148, "NA")</f>
        <v>0</v>
      </c>
      <c r="L32" s="7">
        <v>0</v>
      </c>
      <c r="M32" s="8">
        <f>IFERROR(L32/L148, "NA")</f>
        <v>0</v>
      </c>
      <c r="N32" s="7">
        <v>0</v>
      </c>
      <c r="O32" s="8">
        <f>IFERROR(N32/N148, "NA")</f>
        <v>0</v>
      </c>
      <c r="P32" s="7">
        <v>0</v>
      </c>
      <c r="Q32" s="8">
        <f>IFERROR(P32/P148, "NA")</f>
        <v>0</v>
      </c>
      <c r="R32" s="7">
        <v>0</v>
      </c>
      <c r="S32" s="8">
        <f>IFERROR(R32/R148, "NA")</f>
        <v>0</v>
      </c>
      <c r="T32" s="7">
        <v>0</v>
      </c>
      <c r="U32" s="8">
        <f>IFERROR(T32/T148, "NA")</f>
        <v>0</v>
      </c>
      <c r="V32" s="7">
        <v>0</v>
      </c>
      <c r="W32" s="8">
        <f>IFERROR(V32/V148, "NA")</f>
        <v>0</v>
      </c>
      <c r="X32" s="7">
        <v>0</v>
      </c>
      <c r="Y32" s="8">
        <f>IFERROR(X32/X148, "NA")</f>
        <v>0</v>
      </c>
      <c r="Z32" s="7">
        <v>0</v>
      </c>
      <c r="AA32" s="8">
        <f>IFERROR(Z32/Z148, "NA")</f>
        <v>0</v>
      </c>
      <c r="AB32" s="9">
        <f t="shared" si="6"/>
        <v>0</v>
      </c>
      <c r="AC32" s="8">
        <f>IFERROR(AB32/AB148, "NA")</f>
        <v>0</v>
      </c>
      <c r="AD32" s="10">
        <f t="shared" si="7"/>
        <v>0</v>
      </c>
      <c r="AE32" s="11">
        <f>IFERROR(AD32/AD148, "NA")</f>
        <v>0</v>
      </c>
      <c r="AF32" s="10" t="str">
        <f t="shared" si="8"/>
        <v>NA</v>
      </c>
      <c r="AG32" s="9">
        <f t="shared" si="9"/>
        <v>0</v>
      </c>
      <c r="AH32" s="8">
        <f>IFERROR(AG32/AG148, "NA")</f>
        <v>0</v>
      </c>
      <c r="AI32" s="10">
        <f t="shared" si="10"/>
        <v>0</v>
      </c>
      <c r="AJ32" s="11">
        <f>IFERROR(AI32/AI148, "NA")</f>
        <v>0</v>
      </c>
      <c r="AK32" s="10" t="str">
        <f t="shared" si="11"/>
        <v>NA</v>
      </c>
      <c r="AL32" s="11" t="str">
        <f>IFERROR(AK32/AK148, "NA")</f>
        <v>NA</v>
      </c>
    </row>
    <row r="33" spans="1:38" ht="16.5" hidden="1" customHeight="1" x14ac:dyDescent="0.3">
      <c r="A33" s="25" t="s">
        <v>48</v>
      </c>
      <c r="B33" s="7">
        <v>0</v>
      </c>
      <c r="C33" s="8">
        <f>IFERROR(B33/B148, "NA")</f>
        <v>0</v>
      </c>
      <c r="D33" s="7">
        <v>0</v>
      </c>
      <c r="E33" s="8">
        <f>IFERROR(D33/D148, "NA")</f>
        <v>0</v>
      </c>
      <c r="F33" s="7">
        <v>0</v>
      </c>
      <c r="G33" s="8">
        <f>IFERROR(F33/F148, "NA")</f>
        <v>0</v>
      </c>
      <c r="H33" s="7">
        <v>0</v>
      </c>
      <c r="I33" s="8">
        <f>IFERROR(H33/H148, "NA")</f>
        <v>0</v>
      </c>
      <c r="J33" s="7">
        <v>0</v>
      </c>
      <c r="K33" s="8">
        <f>IFERROR(J33/J148, "NA")</f>
        <v>0</v>
      </c>
      <c r="L33" s="7">
        <v>0</v>
      </c>
      <c r="M33" s="8">
        <f>IFERROR(L33/L148, "NA")</f>
        <v>0</v>
      </c>
      <c r="N33" s="7">
        <v>0</v>
      </c>
      <c r="O33" s="8">
        <f>IFERROR(N33/N148, "NA")</f>
        <v>0</v>
      </c>
      <c r="P33" s="7">
        <v>0</v>
      </c>
      <c r="Q33" s="8">
        <f>IFERROR(P33/P148, "NA")</f>
        <v>0</v>
      </c>
      <c r="R33" s="7">
        <v>0</v>
      </c>
      <c r="S33" s="8">
        <f>IFERROR(R33/R148, "NA")</f>
        <v>0</v>
      </c>
      <c r="T33" s="7">
        <v>0</v>
      </c>
      <c r="U33" s="8">
        <f>IFERROR(T33/T148, "NA")</f>
        <v>0</v>
      </c>
      <c r="V33" s="7">
        <v>0</v>
      </c>
      <c r="W33" s="8">
        <f>IFERROR(V33/V148, "NA")</f>
        <v>0</v>
      </c>
      <c r="X33" s="7">
        <v>0</v>
      </c>
      <c r="Y33" s="8">
        <f>IFERROR(X33/X148, "NA")</f>
        <v>0</v>
      </c>
      <c r="Z33" s="7">
        <v>0</v>
      </c>
      <c r="AA33" s="8">
        <f>IFERROR(Z33/Z148, "NA")</f>
        <v>0</v>
      </c>
      <c r="AB33" s="9">
        <f t="shared" si="6"/>
        <v>0</v>
      </c>
      <c r="AC33" s="8">
        <f>IFERROR(AB33/AB148, "NA")</f>
        <v>0</v>
      </c>
      <c r="AD33" s="10">
        <f t="shared" si="7"/>
        <v>0</v>
      </c>
      <c r="AE33" s="11">
        <f>IFERROR(AD33/AD148, "NA")</f>
        <v>0</v>
      </c>
      <c r="AF33" s="10" t="str">
        <f t="shared" si="8"/>
        <v>NA</v>
      </c>
      <c r="AG33" s="9">
        <f t="shared" si="9"/>
        <v>0</v>
      </c>
      <c r="AH33" s="8">
        <f>IFERROR(AG33/AG148, "NA")</f>
        <v>0</v>
      </c>
      <c r="AI33" s="10">
        <f t="shared" si="10"/>
        <v>0</v>
      </c>
      <c r="AJ33" s="11">
        <f>IFERROR(AI33/AI148, "NA")</f>
        <v>0</v>
      </c>
      <c r="AK33" s="10" t="str">
        <f t="shared" si="11"/>
        <v>NA</v>
      </c>
      <c r="AL33" s="11" t="str">
        <f>IFERROR(AK33/AK148, "NA")</f>
        <v>NA</v>
      </c>
    </row>
    <row r="34" spans="1:38" ht="16.5" customHeight="1" x14ac:dyDescent="0.3">
      <c r="A34" s="26" t="s">
        <v>49</v>
      </c>
      <c r="B34" s="13">
        <f>IFERROR(B29+B30+B31+B32+B33, "NA")</f>
        <v>327.67</v>
      </c>
      <c r="C34" s="14">
        <f>IFERROR(B34/B148, "NA")</f>
        <v>1.2160842140266651E-2</v>
      </c>
      <c r="D34" s="13">
        <f>IFERROR(D29+D30+D31+D32+D33, "NA")</f>
        <v>222.14000000000001</v>
      </c>
      <c r="E34" s="14">
        <f>IFERROR(D34/D148, "NA")</f>
        <v>9.2500597543699811E-3</v>
      </c>
      <c r="F34" s="13">
        <f>IFERROR(F29+F30+F31+F32+F33, "NA")</f>
        <v>353.73</v>
      </c>
      <c r="G34" s="14">
        <f>IFERROR(F34/F148, "NA")</f>
        <v>1.2829719772196581E-2</v>
      </c>
      <c r="H34" s="13">
        <f>IFERROR(H29+H30+H31+H32+H33, "NA")</f>
        <v>476.89000000000004</v>
      </c>
      <c r="I34" s="14">
        <f>IFERROR(H34/H148, "NA")</f>
        <v>1.5541444449332821E-2</v>
      </c>
      <c r="J34" s="13">
        <f>IFERROR(J29+J30+J31+J32+J33, "NA")</f>
        <v>453</v>
      </c>
      <c r="K34" s="14">
        <f>IFERROR(J34/J148, "NA")</f>
        <v>2.1251831387125331E-2</v>
      </c>
      <c r="L34" s="13">
        <f>IFERROR(L29+L30+L31+L32+L33, "NA")</f>
        <v>389.76</v>
      </c>
      <c r="M34" s="14">
        <f>IFERROR(L34/L148, "NA")</f>
        <v>1.1740689096756759E-2</v>
      </c>
      <c r="N34" s="13">
        <f>IFERROR(N29+N30+N31+N32+N33, "NA")</f>
        <v>114.32</v>
      </c>
      <c r="O34" s="14">
        <f>IFERROR(N34/N148, "NA")</f>
        <v>4.3811425385103268E-3</v>
      </c>
      <c r="P34" s="13">
        <f>IFERROR(P29+P30+P31+P32+P33, "NA")</f>
        <v>556.25</v>
      </c>
      <c r="Q34" s="14">
        <f>IFERROR(P34/P148, "NA")</f>
        <v>2.1699170886870959E-2</v>
      </c>
      <c r="R34" s="13">
        <f>IFERROR(R29+R30+R31+R32+R33, "NA")</f>
        <v>482.2</v>
      </c>
      <c r="S34" s="14">
        <f>IFERROR(R34/R148, "NA")</f>
        <v>1.4001913575496941E-2</v>
      </c>
      <c r="T34" s="13">
        <f>IFERROR(T29+T30+T31+T32+T33, "NA")</f>
        <v>433.11</v>
      </c>
      <c r="U34" s="14">
        <f>IFERROR(T34/T148, "NA")</f>
        <v>1.5170822813364307E-2</v>
      </c>
      <c r="V34" s="13">
        <f>IFERROR(V29+V30+V31+V32+V33, "NA")</f>
        <v>376.66</v>
      </c>
      <c r="W34" s="14">
        <f>IFERROR(V34/V148, "NA")</f>
        <v>1.096970298857859E-2</v>
      </c>
      <c r="X34" s="13">
        <f>IFERROR(X29+X30+X31+X32+X33, "NA")</f>
        <v>874.12</v>
      </c>
      <c r="Y34" s="14">
        <f>IFERROR(X34/X148, "NA")</f>
        <v>1.9529379750277204E-2</v>
      </c>
      <c r="Z34" s="13">
        <f>IFERROR(Z29+Z30+Z31+Z32+Z33, "NA")</f>
        <v>1683.89</v>
      </c>
      <c r="AA34" s="14">
        <f>IFERROR(Z34/Z148, "NA")</f>
        <v>1.5643065832439188E-2</v>
      </c>
      <c r="AB34" s="13">
        <f t="shared" si="6"/>
        <v>541.52250000000004</v>
      </c>
      <c r="AC34" s="14">
        <f>IFERROR(AB34/AB148, "NA")</f>
        <v>1.5245281531559273E-2</v>
      </c>
      <c r="AD34" s="15">
        <f t="shared" si="7"/>
        <v>332.59749999999997</v>
      </c>
      <c r="AE34" s="16">
        <f>IFERROR(AD34/AD148, "NA")</f>
        <v>3.6000981753935318E-2</v>
      </c>
      <c r="AF34" s="15">
        <f t="shared" si="8"/>
        <v>0.61418962277652345</v>
      </c>
      <c r="AG34" s="13">
        <f t="shared" si="9"/>
        <v>459.92749999999995</v>
      </c>
      <c r="AH34" s="14">
        <f>IFERROR(AG34/AG148, "NA")</f>
        <v>1.481700729006971E-2</v>
      </c>
      <c r="AI34" s="15">
        <f t="shared" si="10"/>
        <v>414.19250000000005</v>
      </c>
      <c r="AJ34" s="16">
        <f>IFERROR(AI34/AI148, "NA")</f>
        <v>3.0191779953191687E-2</v>
      </c>
      <c r="AK34" s="15">
        <f t="shared" si="11"/>
        <v>0.90056041441314139</v>
      </c>
      <c r="AL34" s="16">
        <f>IFERROR(AK34/AK148, "NA")</f>
        <v>2.0376435917276008</v>
      </c>
    </row>
    <row r="35" spans="1:38" ht="16.5" customHeight="1" x14ac:dyDescent="0.3">
      <c r="A35" s="27" t="s">
        <v>50</v>
      </c>
      <c r="B35" s="13">
        <f>IFERROR(B13+B15+B16+B17+B18+B19+B20+B21+B22+B23+B24+B25+B26+B29+B30+B31+B32+B33, "NA")</f>
        <v>5914.0400000000009</v>
      </c>
      <c r="C35" s="14">
        <f>IFERROR(B35/B148, "NA")</f>
        <v>0.21948822550499766</v>
      </c>
      <c r="D35" s="13">
        <f>IFERROR(D13+D15+D16+D17+D18+D19+D20+D21+D22+D23+D24+D25+D26+D29+D30+D31+D32+D33, "NA")</f>
        <v>5505.6799999999994</v>
      </c>
      <c r="E35" s="14">
        <f>IFERROR(D35/D148, "NA")</f>
        <v>0.22926023673557086</v>
      </c>
      <c r="F35" s="13">
        <f>IFERROR(F13+F15+F16+F17+F18+F19+F20+F21+F22+F23+F24+F25+F26+F29+F30+F31+F32+F33, "NA")</f>
        <v>6772.5</v>
      </c>
      <c r="G35" s="14">
        <f>IFERROR(F35/F148, "NA")</f>
        <v>0.24563728594465081</v>
      </c>
      <c r="H35" s="13">
        <f>IFERROR(H13+H15+H16+H17+H18+H19+H20+H21+H22+H23+H24+H25+H26+H29+H30+H31+H32+H33, "NA")</f>
        <v>6820.89</v>
      </c>
      <c r="I35" s="14">
        <f>IFERROR(H35/H148, "NA")</f>
        <v>0.22228707465035907</v>
      </c>
      <c r="J35" s="13">
        <f>IFERROR(J13+J15+J16+J17+J18+J19+J20+J21+J22+J23+J24+J25+J26+J29+J30+J31+J32+J33, "NA")</f>
        <v>5280.4400000000005</v>
      </c>
      <c r="K35" s="14">
        <f>IFERROR(J35/J148, "NA")</f>
        <v>0.24772410712987217</v>
      </c>
      <c r="L35" s="13">
        <f>IFERROR(L13+L15+L16+L17+L18+L19+L20+L21+L22+L23+L24+L25+L26+L29+L30+L31+L32+L33, "NA")</f>
        <v>7785.5099999999984</v>
      </c>
      <c r="M35" s="14">
        <f>IFERROR(L35/L148, "NA")</f>
        <v>0.23452189134259727</v>
      </c>
      <c r="N35" s="13">
        <f>IFERROR(N13+N15+N16+N17+N18+N19+N20+N21+N22+N23+N24+N25+N26+N29+N30+N31+N32+N33, "NA")</f>
        <v>5827.5699999999988</v>
      </c>
      <c r="O35" s="14">
        <f>IFERROR(N35/N148, "NA")</f>
        <v>0.22333287983858136</v>
      </c>
      <c r="P35" s="13">
        <f>IFERROR(P13+P15+P16+P17+P18+P19+P20+P21+P22+P23+P24+P25+P26+P29+P30+P31+P32+P33, "NA")</f>
        <v>5905.06</v>
      </c>
      <c r="Q35" s="14">
        <f>IFERROR(P35/P148, "NA")</f>
        <v>0.23035488725793479</v>
      </c>
      <c r="R35" s="13">
        <f>IFERROR(R13+R15+R16+R17+R18+R19+R20+R21+R22+R23+R24+R25+R26+R29+R30+R31+R32+R33, "NA")</f>
        <v>7337.24</v>
      </c>
      <c r="S35" s="14">
        <f>IFERROR(R35/R148, "NA")</f>
        <v>0.2130555793502264</v>
      </c>
      <c r="T35" s="13">
        <f>IFERROR(T13+T15+T16+T17+T18+T19+T20+T21+T22+T23+T24+T25+T26+T29+T30+T31+T32+T33, "NA")</f>
        <v>5915.0599999999995</v>
      </c>
      <c r="U35" s="14">
        <f>IFERROR(T35/T148, "NA")</f>
        <v>0.20719061483322634</v>
      </c>
      <c r="V35" s="13">
        <f>IFERROR(V13+V15+V16+V17+V18+V19+V20+V21+V22+V23+V24+V25+V26+V29+V30+V31+V32+V33, "NA")</f>
        <v>6896.36</v>
      </c>
      <c r="W35" s="14">
        <f>IFERROR(V35/V148, "NA")</f>
        <v>0.20084697313841088</v>
      </c>
      <c r="X35" s="13">
        <f>IFERROR(X13+X15+X16+X17+X18+X19+X20+X21+X22+X23+X24+X25+X26+X29+X30+X31+X32+X33, "NA")</f>
        <v>10145.880000000003</v>
      </c>
      <c r="Y35" s="14">
        <f>IFERROR(X35/X148, "NA")</f>
        <v>0.22667682174157155</v>
      </c>
      <c r="Z35" s="13">
        <f>IFERROR(Z13+Z15+Z16+Z17+Z18+Z19+Z20+Z21+Z22+Z23+Z24+Z25+Z26+Z29+Z30+Z31+Z32+Z33, "NA")</f>
        <v>22957.3</v>
      </c>
      <c r="AA35" s="14">
        <f>IFERROR(Z35/Z148, "NA")</f>
        <v>0.21326960504252424</v>
      </c>
      <c r="AB35" s="13">
        <f t="shared" si="6"/>
        <v>7573.6350000000002</v>
      </c>
      <c r="AC35" s="14">
        <f>IFERROR(AB35/AB148, "NA")</f>
        <v>0.21321772925828736</v>
      </c>
      <c r="AD35" s="15">
        <f t="shared" si="7"/>
        <v>2572.2450000000026</v>
      </c>
      <c r="AE35" s="16">
        <f>IFERROR(AD35/AD148, "NA")</f>
        <v>0.27842465836830238</v>
      </c>
      <c r="AF35" s="15">
        <f t="shared" si="8"/>
        <v>0.33963149795309683</v>
      </c>
      <c r="AG35" s="13">
        <f t="shared" si="9"/>
        <v>6886.64</v>
      </c>
      <c r="AH35" s="14">
        <f>IFERROR(AG35/AG148, "NA")</f>
        <v>0.22185973894599839</v>
      </c>
      <c r="AI35" s="15">
        <f t="shared" si="10"/>
        <v>3259.2400000000025</v>
      </c>
      <c r="AJ35" s="16">
        <f>IFERROR(AI35/AI148, "NA")</f>
        <v>0.23757614368835878</v>
      </c>
      <c r="AK35" s="15">
        <f t="shared" si="11"/>
        <v>0.47326998362045969</v>
      </c>
      <c r="AL35" s="16">
        <f>IFERROR(AK35/AK148, "NA")</f>
        <v>1.0708393727362395</v>
      </c>
    </row>
    <row r="36" spans="1:38" ht="16.5" customHeight="1" x14ac:dyDescent="0.3">
      <c r="A36" s="22" t="s">
        <v>51</v>
      </c>
      <c r="B36" s="2"/>
      <c r="C36" s="3"/>
      <c r="D36" s="2"/>
      <c r="E36" s="3"/>
      <c r="F36" s="2"/>
      <c r="G36" s="3"/>
      <c r="H36" s="2"/>
      <c r="I36" s="3"/>
      <c r="J36" s="2"/>
      <c r="K36" s="3"/>
      <c r="L36" s="2"/>
      <c r="M36" s="3"/>
      <c r="N36" s="2"/>
      <c r="O36" s="3"/>
      <c r="P36" s="2"/>
      <c r="Q36" s="3"/>
      <c r="R36" s="2"/>
      <c r="S36" s="3"/>
      <c r="T36" s="2"/>
      <c r="U36" s="3"/>
      <c r="V36" s="2"/>
      <c r="W36" s="3"/>
      <c r="X36" s="2"/>
      <c r="Y36" s="3"/>
      <c r="Z36" s="2"/>
      <c r="AA36" s="3"/>
      <c r="AB36" s="2"/>
      <c r="AC36" s="3"/>
      <c r="AD36" s="4"/>
      <c r="AE36" s="5"/>
      <c r="AF36" s="4"/>
      <c r="AG36" s="2"/>
      <c r="AH36" s="3"/>
      <c r="AI36" s="4"/>
      <c r="AJ36" s="5"/>
      <c r="AK36" s="4"/>
      <c r="AL36" s="5"/>
    </row>
    <row r="37" spans="1:38" ht="16.5" hidden="1" customHeight="1" x14ac:dyDescent="0.3">
      <c r="A37" s="23" t="s">
        <v>52</v>
      </c>
      <c r="B37" s="7">
        <v>0</v>
      </c>
      <c r="C37" s="8">
        <f>IFERROR(B37/B148, "NA")</f>
        <v>0</v>
      </c>
      <c r="D37" s="7">
        <v>0</v>
      </c>
      <c r="E37" s="8">
        <f>IFERROR(D37/D148, "NA")</f>
        <v>0</v>
      </c>
      <c r="F37" s="7">
        <v>0</v>
      </c>
      <c r="G37" s="8">
        <f>IFERROR(F37/F148, "NA")</f>
        <v>0</v>
      </c>
      <c r="H37" s="7">
        <v>0</v>
      </c>
      <c r="I37" s="8">
        <f>IFERROR(H37/H148, "NA")</f>
        <v>0</v>
      </c>
      <c r="J37" s="7">
        <v>0</v>
      </c>
      <c r="K37" s="8">
        <f>IFERROR(J37/J148, "NA")</f>
        <v>0</v>
      </c>
      <c r="L37" s="7">
        <v>0</v>
      </c>
      <c r="M37" s="8">
        <f>IFERROR(L37/L148, "NA")</f>
        <v>0</v>
      </c>
      <c r="N37" s="7">
        <v>0</v>
      </c>
      <c r="O37" s="8">
        <f>IFERROR(N37/N148, "NA")</f>
        <v>0</v>
      </c>
      <c r="P37" s="7">
        <v>0</v>
      </c>
      <c r="Q37" s="8">
        <f>IFERROR(P37/P148, "NA")</f>
        <v>0</v>
      </c>
      <c r="R37" s="7">
        <v>0</v>
      </c>
      <c r="S37" s="8">
        <f>IFERROR(R37/R148, "NA")</f>
        <v>0</v>
      </c>
      <c r="T37" s="7">
        <v>0</v>
      </c>
      <c r="U37" s="8">
        <f>IFERROR(T37/T148, "NA")</f>
        <v>0</v>
      </c>
      <c r="V37" s="7">
        <v>0</v>
      </c>
      <c r="W37" s="8">
        <f>IFERROR(V37/V148, "NA")</f>
        <v>0</v>
      </c>
      <c r="X37" s="7">
        <v>0</v>
      </c>
      <c r="Y37" s="8">
        <f>IFERROR(X37/X148, "NA")</f>
        <v>0</v>
      </c>
      <c r="Z37" s="7">
        <v>0</v>
      </c>
      <c r="AA37" s="8">
        <f>IFERROR(Z37/Z148, "NA")</f>
        <v>0</v>
      </c>
      <c r="AB37" s="9">
        <f>IFERROR((R37+T37+V37+X37)/4, "NA")</f>
        <v>0</v>
      </c>
      <c r="AC37" s="8">
        <f>IFERROR(AB37/AB148, "NA")</f>
        <v>0</v>
      </c>
      <c r="AD37" s="10">
        <f>IFERROR(X37-AB37, "NA")</f>
        <v>0</v>
      </c>
      <c r="AE37" s="11">
        <f>IFERROR(AD37/AD148, "NA")</f>
        <v>0</v>
      </c>
      <c r="AF37" s="10" t="str">
        <f>IFERROR((X37-AB37)/AB37, "NA")</f>
        <v>NA</v>
      </c>
      <c r="AG37" s="9">
        <f>IFERROR((J37+L37+N37+P37+R37+T37+V37+X37)/8, "NA")</f>
        <v>0</v>
      </c>
      <c r="AH37" s="8">
        <f>IFERROR(AG37/AG148, "NA")</f>
        <v>0</v>
      </c>
      <c r="AI37" s="10">
        <f>IFERROR(X37-AG37, "NA")</f>
        <v>0</v>
      </c>
      <c r="AJ37" s="11">
        <f>IFERROR(AI37/AI148, "NA")</f>
        <v>0</v>
      </c>
      <c r="AK37" s="10" t="str">
        <f>IFERROR((X37-AG37)/AG37, "NA")</f>
        <v>NA</v>
      </c>
      <c r="AL37" s="11" t="str">
        <f>IFERROR(AK37/AK148, "NA")</f>
        <v>NA</v>
      </c>
    </row>
    <row r="38" spans="1:38" ht="16.5" customHeight="1" x14ac:dyDescent="0.3">
      <c r="A38" s="24" t="s">
        <v>53</v>
      </c>
      <c r="B38" s="2"/>
      <c r="C38" s="3"/>
      <c r="D38" s="2"/>
      <c r="E38" s="3"/>
      <c r="F38" s="2"/>
      <c r="G38" s="3"/>
      <c r="H38" s="2"/>
      <c r="I38" s="3"/>
      <c r="J38" s="2"/>
      <c r="K38" s="3"/>
      <c r="L38" s="2"/>
      <c r="M38" s="3"/>
      <c r="N38" s="2"/>
      <c r="O38" s="3"/>
      <c r="P38" s="2"/>
      <c r="Q38" s="3"/>
      <c r="R38" s="2"/>
      <c r="S38" s="3"/>
      <c r="T38" s="2"/>
      <c r="U38" s="3"/>
      <c r="V38" s="2"/>
      <c r="W38" s="3"/>
      <c r="X38" s="2"/>
      <c r="Y38" s="3"/>
      <c r="Z38" s="2"/>
      <c r="AA38" s="3"/>
      <c r="AB38" s="2"/>
      <c r="AC38" s="3"/>
      <c r="AD38" s="4"/>
      <c r="AE38" s="5"/>
      <c r="AF38" s="4"/>
      <c r="AG38" s="2"/>
      <c r="AH38" s="3"/>
      <c r="AI38" s="4"/>
      <c r="AJ38" s="5"/>
      <c r="AK38" s="4"/>
      <c r="AL38" s="5"/>
    </row>
    <row r="39" spans="1:38" ht="16.5" hidden="1" customHeight="1" x14ac:dyDescent="0.3">
      <c r="A39" s="25" t="s">
        <v>54</v>
      </c>
      <c r="B39" s="7">
        <v>0</v>
      </c>
      <c r="C39" s="8">
        <f>IFERROR(B39/B148, "NA")</f>
        <v>0</v>
      </c>
      <c r="D39" s="7">
        <v>0</v>
      </c>
      <c r="E39" s="8">
        <f>IFERROR(D39/D148, "NA")</f>
        <v>0</v>
      </c>
      <c r="F39" s="7">
        <v>0</v>
      </c>
      <c r="G39" s="8">
        <f>IFERROR(F39/F148, "NA")</f>
        <v>0</v>
      </c>
      <c r="H39" s="7">
        <v>0</v>
      </c>
      <c r="I39" s="8">
        <f>IFERROR(H39/H148, "NA")</f>
        <v>0</v>
      </c>
      <c r="J39" s="7">
        <v>0</v>
      </c>
      <c r="K39" s="8">
        <f>IFERROR(J39/J148, "NA")</f>
        <v>0</v>
      </c>
      <c r="L39" s="7">
        <v>0</v>
      </c>
      <c r="M39" s="8">
        <f>IFERROR(L39/L148, "NA")</f>
        <v>0</v>
      </c>
      <c r="N39" s="7">
        <v>0</v>
      </c>
      <c r="O39" s="8">
        <f>IFERROR(N39/N148, "NA")</f>
        <v>0</v>
      </c>
      <c r="P39" s="7">
        <v>0</v>
      </c>
      <c r="Q39" s="8">
        <f>IFERROR(P39/P148, "NA")</f>
        <v>0</v>
      </c>
      <c r="R39" s="7">
        <v>0</v>
      </c>
      <c r="S39" s="8">
        <f>IFERROR(R39/R148, "NA")</f>
        <v>0</v>
      </c>
      <c r="T39" s="7">
        <v>0</v>
      </c>
      <c r="U39" s="8">
        <f>IFERROR(T39/T148, "NA")</f>
        <v>0</v>
      </c>
      <c r="V39" s="7">
        <v>0</v>
      </c>
      <c r="W39" s="8">
        <f>IFERROR(V39/V148, "NA")</f>
        <v>0</v>
      </c>
      <c r="X39" s="7">
        <v>0</v>
      </c>
      <c r="Y39" s="8">
        <f>IFERROR(X39/X148, "NA")</f>
        <v>0</v>
      </c>
      <c r="Z39" s="7">
        <v>0</v>
      </c>
      <c r="AA39" s="8">
        <f>IFERROR(Z39/Z148, "NA")</f>
        <v>0</v>
      </c>
      <c r="AB39" s="9">
        <f t="shared" ref="AB39:AB44" si="12">IFERROR((R39+T39+V39+X39)/4, "NA")</f>
        <v>0</v>
      </c>
      <c r="AC39" s="8">
        <f>IFERROR(AB39/AB148, "NA")</f>
        <v>0</v>
      </c>
      <c r="AD39" s="10">
        <f t="shared" ref="AD39:AD44" si="13">IFERROR(X39-AB39, "NA")</f>
        <v>0</v>
      </c>
      <c r="AE39" s="11">
        <f>IFERROR(AD39/AD148, "NA")</f>
        <v>0</v>
      </c>
      <c r="AF39" s="10" t="str">
        <f t="shared" ref="AF39:AF44" si="14">IFERROR((X39-AB39)/AB39, "NA")</f>
        <v>NA</v>
      </c>
      <c r="AG39" s="9">
        <f t="shared" ref="AG39:AG44" si="15">IFERROR((J39+L39+N39+P39+R39+T39+V39+X39)/8, "NA")</f>
        <v>0</v>
      </c>
      <c r="AH39" s="8">
        <f>IFERROR(AG39/AG148, "NA")</f>
        <v>0</v>
      </c>
      <c r="AI39" s="10">
        <f t="shared" ref="AI39:AI44" si="16">IFERROR(X39-AG39, "NA")</f>
        <v>0</v>
      </c>
      <c r="AJ39" s="11">
        <f>IFERROR(AI39/AI148, "NA")</f>
        <v>0</v>
      </c>
      <c r="AK39" s="10" t="str">
        <f t="shared" ref="AK39:AK44" si="17">IFERROR((X39-AG39)/AG39, "NA")</f>
        <v>NA</v>
      </c>
      <c r="AL39" s="11" t="str">
        <f>IFERROR(AK39/AK148, "NA")</f>
        <v>NA</v>
      </c>
    </row>
    <row r="40" spans="1:38" ht="16.5" customHeight="1" x14ac:dyDescent="0.3">
      <c r="A40" s="25" t="s">
        <v>55</v>
      </c>
      <c r="B40" s="7">
        <v>670.44</v>
      </c>
      <c r="C40" s="8">
        <f>IFERROR(B40/B148, "NA")</f>
        <v>2.4882091752434991E-2</v>
      </c>
      <c r="D40" s="7">
        <v>669.94</v>
      </c>
      <c r="E40" s="8">
        <f>IFERROR(D40/D148, "NA")</f>
        <v>2.7896754442435515E-2</v>
      </c>
      <c r="F40" s="7">
        <v>1020.66</v>
      </c>
      <c r="G40" s="8">
        <f>IFERROR(F40/F148, "NA")</f>
        <v>3.7019143930936478E-2</v>
      </c>
      <c r="H40" s="7">
        <v>867.33</v>
      </c>
      <c r="I40" s="8">
        <f>IFERROR(H40/H148, "NA")</f>
        <v>2.8265556028098375E-2</v>
      </c>
      <c r="J40" s="7">
        <v>864.25</v>
      </c>
      <c r="K40" s="8">
        <f>IFERROR(J40/J148, "NA")</f>
        <v>4.0545022685039879E-2</v>
      </c>
      <c r="L40" s="7">
        <v>1053.27</v>
      </c>
      <c r="M40" s="8">
        <f>IFERROR(L40/L148, "NA")</f>
        <v>3.1727513354220527E-2</v>
      </c>
      <c r="N40" s="7">
        <v>725.07</v>
      </c>
      <c r="O40" s="8">
        <f>IFERROR(N40/N148, "NA")</f>
        <v>2.7787220262401005E-2</v>
      </c>
      <c r="P40" s="7">
        <v>650.47</v>
      </c>
      <c r="Q40" s="8">
        <f>IFERROR(P40/P148, "NA")</f>
        <v>2.5374669099834522E-2</v>
      </c>
      <c r="R40" s="7">
        <v>1141.98</v>
      </c>
      <c r="S40" s="8">
        <f>IFERROR(R40/R148, "NA")</f>
        <v>3.3160317845180413E-2</v>
      </c>
      <c r="T40" s="7">
        <v>1046.6300000000001</v>
      </c>
      <c r="U40" s="8">
        <f>IFERROR(T40/T148, "NA")</f>
        <v>3.6660982847663379E-2</v>
      </c>
      <c r="V40" s="7">
        <v>967.25</v>
      </c>
      <c r="W40" s="8">
        <f>IFERROR(V40/V148, "NA")</f>
        <v>2.8169822162434664E-2</v>
      </c>
      <c r="X40" s="7">
        <v>972.87</v>
      </c>
      <c r="Y40" s="8">
        <f>IFERROR(X40/X148, "NA")</f>
        <v>2.1735628606658335E-2</v>
      </c>
      <c r="Z40" s="7">
        <v>2986.75</v>
      </c>
      <c r="AA40" s="8">
        <f>IFERROR(Z40/Z148, "NA")</f>
        <v>2.77464245734803E-2</v>
      </c>
      <c r="AB40" s="9">
        <f t="shared" si="12"/>
        <v>1032.1825000000001</v>
      </c>
      <c r="AC40" s="8">
        <f>IFERROR(AB40/AB148, "NA")</f>
        <v>2.9058650018140855E-2</v>
      </c>
      <c r="AD40" s="10">
        <f t="shared" si="13"/>
        <v>-59.312500000000114</v>
      </c>
      <c r="AE40" s="11">
        <f>IFERROR(AD40/AD148, "NA")</f>
        <v>-6.4200970550899895E-3</v>
      </c>
      <c r="AF40" s="10">
        <f t="shared" si="14"/>
        <v>-5.7463190860143537E-2</v>
      </c>
      <c r="AG40" s="9">
        <f t="shared" si="15"/>
        <v>927.72375000000011</v>
      </c>
      <c r="AH40" s="8">
        <f>IFERROR(AG40/AG148, "NA")</f>
        <v>2.9887513938437714E-2</v>
      </c>
      <c r="AI40" s="10">
        <f t="shared" si="16"/>
        <v>45.146249999999895</v>
      </c>
      <c r="AJ40" s="11">
        <f>IFERROR(AI40/AI148, "NA")</f>
        <v>3.2908506206939451E-3</v>
      </c>
      <c r="AK40" s="10">
        <f t="shared" si="17"/>
        <v>4.8663462587866149E-2</v>
      </c>
      <c r="AL40" s="11">
        <f>IFERROR(AK40/AK148, "NA")</f>
        <v>0.11010787405979759</v>
      </c>
    </row>
    <row r="41" spans="1:38" ht="16.5" customHeight="1" x14ac:dyDescent="0.3">
      <c r="A41" s="25" t="s">
        <v>56</v>
      </c>
      <c r="B41" s="7">
        <v>262.45999999999998</v>
      </c>
      <c r="C41" s="8">
        <f>IFERROR(B41/B148, "NA")</f>
        <v>9.7406983493587597E-3</v>
      </c>
      <c r="D41" s="7">
        <v>161.02000000000001</v>
      </c>
      <c r="E41" s="8">
        <f>IFERROR(D41/D148, "NA")</f>
        <v>6.7049816406259764E-3</v>
      </c>
      <c r="F41" s="7">
        <v>465.72</v>
      </c>
      <c r="G41" s="8">
        <f>IFERROR(F41/F148, "NA")</f>
        <v>1.6891575756388746E-2</v>
      </c>
      <c r="H41" s="7">
        <v>201.56</v>
      </c>
      <c r="I41" s="8">
        <f>IFERROR(H41/H148, "NA")</f>
        <v>6.5686710629443328E-3</v>
      </c>
      <c r="J41" s="7">
        <v>228.62</v>
      </c>
      <c r="K41" s="8">
        <f>IFERROR(J41/J148, "NA")</f>
        <v>1.0725372387913009E-2</v>
      </c>
      <c r="L41" s="7">
        <v>372.37</v>
      </c>
      <c r="M41" s="8">
        <f>IFERROR(L41/L148, "NA")</f>
        <v>1.1216852419333217E-2</v>
      </c>
      <c r="N41" s="7">
        <v>241.22</v>
      </c>
      <c r="O41" s="8">
        <f>IFERROR(N41/N148, "NA")</f>
        <v>9.2443947090575674E-3</v>
      </c>
      <c r="P41" s="7">
        <v>196.96</v>
      </c>
      <c r="Q41" s="8">
        <f>IFERROR(P41/P148, "NA")</f>
        <v>7.6833594568595136E-3</v>
      </c>
      <c r="R41" s="7">
        <v>212.04</v>
      </c>
      <c r="S41" s="8">
        <f>IFERROR(R41/R148, "NA")</f>
        <v>6.1571251649696623E-3</v>
      </c>
      <c r="T41" s="7">
        <v>471.73</v>
      </c>
      <c r="U41" s="8">
        <f>IFERROR(T41/T148, "NA")</f>
        <v>1.6523590417557535E-2</v>
      </c>
      <c r="V41" s="7">
        <v>129.26</v>
      </c>
      <c r="W41" s="8">
        <f>IFERROR(V41/V148, "NA")</f>
        <v>3.7645192170755282E-3</v>
      </c>
      <c r="X41" s="7">
        <v>158.44999999999999</v>
      </c>
      <c r="Y41" s="8">
        <f>IFERROR(X41/X148, "NA")</f>
        <v>3.5400519624667354E-3</v>
      </c>
      <c r="Z41" s="7">
        <v>759.44</v>
      </c>
      <c r="AA41" s="8">
        <f>IFERROR(Z41/Z148, "NA")</f>
        <v>7.0550748064229949E-3</v>
      </c>
      <c r="AB41" s="9">
        <f t="shared" si="12"/>
        <v>242.87</v>
      </c>
      <c r="AC41" s="8">
        <f>IFERROR(AB41/AB148, "NA")</f>
        <v>6.8374287782498426E-3</v>
      </c>
      <c r="AD41" s="10">
        <f t="shared" si="13"/>
        <v>-84.420000000000016</v>
      </c>
      <c r="AE41" s="11">
        <f>IFERROR(AD41/AD148, "NA")</f>
        <v>-9.1377802889896047E-3</v>
      </c>
      <c r="AF41" s="10">
        <f t="shared" si="14"/>
        <v>-0.3475933627043275</v>
      </c>
      <c r="AG41" s="9">
        <f t="shared" si="15"/>
        <v>251.33125000000001</v>
      </c>
      <c r="AH41" s="8">
        <f>IFERROR(AG41/AG148, "NA")</f>
        <v>8.096878232922218E-3</v>
      </c>
      <c r="AI41" s="10">
        <f t="shared" si="16"/>
        <v>-92.881250000000023</v>
      </c>
      <c r="AJ41" s="11">
        <f>IFERROR(AI41/AI148, "NA")</f>
        <v>-6.7704032829599414E-3</v>
      </c>
      <c r="AK41" s="10">
        <f t="shared" si="17"/>
        <v>-0.36955710839778189</v>
      </c>
      <c r="AL41" s="11">
        <f>IFERROR(AK41/AK148, "NA")</f>
        <v>-0.83617452161145545</v>
      </c>
    </row>
    <row r="42" spans="1:38" ht="16.5" hidden="1" customHeight="1" x14ac:dyDescent="0.3">
      <c r="A42" s="25" t="s">
        <v>57</v>
      </c>
      <c r="B42" s="7">
        <v>0</v>
      </c>
      <c r="C42" s="8">
        <f>IFERROR(B42/B148, "NA")</f>
        <v>0</v>
      </c>
      <c r="D42" s="7">
        <v>0</v>
      </c>
      <c r="E42" s="8">
        <f>IFERROR(D42/D148, "NA")</f>
        <v>0</v>
      </c>
      <c r="F42" s="7">
        <v>0</v>
      </c>
      <c r="G42" s="8">
        <f>IFERROR(F42/F148, "NA")</f>
        <v>0</v>
      </c>
      <c r="H42" s="7">
        <v>0</v>
      </c>
      <c r="I42" s="8">
        <f>IFERROR(H42/H148, "NA")</f>
        <v>0</v>
      </c>
      <c r="J42" s="7">
        <v>0</v>
      </c>
      <c r="K42" s="8">
        <f>IFERROR(J42/J148, "NA")</f>
        <v>0</v>
      </c>
      <c r="L42" s="7">
        <v>0</v>
      </c>
      <c r="M42" s="8">
        <f>IFERROR(L42/L148, "NA")</f>
        <v>0</v>
      </c>
      <c r="N42" s="7">
        <v>0</v>
      </c>
      <c r="O42" s="8">
        <f>IFERROR(N42/N148, "NA")</f>
        <v>0</v>
      </c>
      <c r="P42" s="7">
        <v>0</v>
      </c>
      <c r="Q42" s="8">
        <f>IFERROR(P42/P148, "NA")</f>
        <v>0</v>
      </c>
      <c r="R42" s="7">
        <v>0</v>
      </c>
      <c r="S42" s="8">
        <f>IFERROR(R42/R148, "NA")</f>
        <v>0</v>
      </c>
      <c r="T42" s="7">
        <v>0</v>
      </c>
      <c r="U42" s="8">
        <f>IFERROR(T42/T148, "NA")</f>
        <v>0</v>
      </c>
      <c r="V42" s="7">
        <v>0</v>
      </c>
      <c r="W42" s="8">
        <f>IFERROR(V42/V148, "NA")</f>
        <v>0</v>
      </c>
      <c r="X42" s="7">
        <v>0</v>
      </c>
      <c r="Y42" s="8">
        <f>IFERROR(X42/X148, "NA")</f>
        <v>0</v>
      </c>
      <c r="Z42" s="7">
        <v>0</v>
      </c>
      <c r="AA42" s="8">
        <f>IFERROR(Z42/Z148, "NA")</f>
        <v>0</v>
      </c>
      <c r="AB42" s="9">
        <f t="shared" si="12"/>
        <v>0</v>
      </c>
      <c r="AC42" s="8">
        <f>IFERROR(AB42/AB148, "NA")</f>
        <v>0</v>
      </c>
      <c r="AD42" s="10">
        <f t="shared" si="13"/>
        <v>0</v>
      </c>
      <c r="AE42" s="11">
        <f>IFERROR(AD42/AD148, "NA")</f>
        <v>0</v>
      </c>
      <c r="AF42" s="10" t="str">
        <f t="shared" si="14"/>
        <v>NA</v>
      </c>
      <c r="AG42" s="9">
        <f t="shared" si="15"/>
        <v>0</v>
      </c>
      <c r="AH42" s="8">
        <f>IFERROR(AG42/AG148, "NA")</f>
        <v>0</v>
      </c>
      <c r="AI42" s="10">
        <f t="shared" si="16"/>
        <v>0</v>
      </c>
      <c r="AJ42" s="11">
        <f>IFERROR(AI42/AI148, "NA")</f>
        <v>0</v>
      </c>
      <c r="AK42" s="10" t="str">
        <f t="shared" si="17"/>
        <v>NA</v>
      </c>
      <c r="AL42" s="11" t="str">
        <f>IFERROR(AK42/AK148, "NA")</f>
        <v>NA</v>
      </c>
    </row>
    <row r="43" spans="1:38" ht="16.5" hidden="1" customHeight="1" x14ac:dyDescent="0.3">
      <c r="A43" s="25" t="s">
        <v>58</v>
      </c>
      <c r="B43" s="7">
        <v>0</v>
      </c>
      <c r="C43" s="8">
        <f>IFERROR(B43/B148, "NA")</f>
        <v>0</v>
      </c>
      <c r="D43" s="7">
        <v>0</v>
      </c>
      <c r="E43" s="8">
        <f>IFERROR(D43/D148, "NA")</f>
        <v>0</v>
      </c>
      <c r="F43" s="7">
        <v>0</v>
      </c>
      <c r="G43" s="8">
        <f>IFERROR(F43/F148, "NA")</f>
        <v>0</v>
      </c>
      <c r="H43" s="7">
        <v>0</v>
      </c>
      <c r="I43" s="8">
        <f>IFERROR(H43/H148, "NA")</f>
        <v>0</v>
      </c>
      <c r="J43" s="7">
        <v>0</v>
      </c>
      <c r="K43" s="8">
        <f>IFERROR(J43/J148, "NA")</f>
        <v>0</v>
      </c>
      <c r="L43" s="7">
        <v>0</v>
      </c>
      <c r="M43" s="8">
        <f>IFERROR(L43/L148, "NA")</f>
        <v>0</v>
      </c>
      <c r="N43" s="7">
        <v>0</v>
      </c>
      <c r="O43" s="8">
        <f>IFERROR(N43/N148, "NA")</f>
        <v>0</v>
      </c>
      <c r="P43" s="7">
        <v>0</v>
      </c>
      <c r="Q43" s="8">
        <f>IFERROR(P43/P148, "NA")</f>
        <v>0</v>
      </c>
      <c r="R43" s="7">
        <v>0</v>
      </c>
      <c r="S43" s="8">
        <f>IFERROR(R43/R148, "NA")</f>
        <v>0</v>
      </c>
      <c r="T43" s="7">
        <v>0</v>
      </c>
      <c r="U43" s="8">
        <f>IFERROR(T43/T148, "NA")</f>
        <v>0</v>
      </c>
      <c r="V43" s="7">
        <v>0</v>
      </c>
      <c r="W43" s="8">
        <f>IFERROR(V43/V148, "NA")</f>
        <v>0</v>
      </c>
      <c r="X43" s="7">
        <v>0</v>
      </c>
      <c r="Y43" s="8">
        <f>IFERROR(X43/X148, "NA")</f>
        <v>0</v>
      </c>
      <c r="Z43" s="7">
        <v>0</v>
      </c>
      <c r="AA43" s="8">
        <f>IFERROR(Z43/Z148, "NA")</f>
        <v>0</v>
      </c>
      <c r="AB43" s="9">
        <f t="shared" si="12"/>
        <v>0</v>
      </c>
      <c r="AC43" s="8">
        <f>IFERROR(AB43/AB148, "NA")</f>
        <v>0</v>
      </c>
      <c r="AD43" s="10">
        <f t="shared" si="13"/>
        <v>0</v>
      </c>
      <c r="AE43" s="11">
        <f>IFERROR(AD43/AD148, "NA")</f>
        <v>0</v>
      </c>
      <c r="AF43" s="10" t="str">
        <f t="shared" si="14"/>
        <v>NA</v>
      </c>
      <c r="AG43" s="9">
        <f t="shared" si="15"/>
        <v>0</v>
      </c>
      <c r="AH43" s="8">
        <f>IFERROR(AG43/AG148, "NA")</f>
        <v>0</v>
      </c>
      <c r="AI43" s="10">
        <f t="shared" si="16"/>
        <v>0</v>
      </c>
      <c r="AJ43" s="11">
        <f>IFERROR(AI43/AI148, "NA")</f>
        <v>0</v>
      </c>
      <c r="AK43" s="10" t="str">
        <f t="shared" si="17"/>
        <v>NA</v>
      </c>
      <c r="AL43" s="11" t="str">
        <f>IFERROR(AK43/AK148, "NA")</f>
        <v>NA</v>
      </c>
    </row>
    <row r="44" spans="1:38" ht="16.5" customHeight="1" x14ac:dyDescent="0.3">
      <c r="A44" s="26" t="s">
        <v>59</v>
      </c>
      <c r="B44" s="13">
        <f>IFERROR(B39+B40+B41+B42+B43, "NA")</f>
        <v>932.90000000000009</v>
      </c>
      <c r="C44" s="14">
        <f>IFERROR(B44/B148, "NA")</f>
        <v>3.4622790101793754E-2</v>
      </c>
      <c r="D44" s="13">
        <f>IFERROR(D39+D40+D41+D42+D43, "NA")</f>
        <v>830.96</v>
      </c>
      <c r="E44" s="14">
        <f>IFERROR(D44/D148, "NA")</f>
        <v>3.4601736083061489E-2</v>
      </c>
      <c r="F44" s="13">
        <f>IFERROR(F39+F40+F41+F42+F43, "NA")</f>
        <v>1486.38</v>
      </c>
      <c r="G44" s="14">
        <f>IFERROR(F44/F148, "NA")</f>
        <v>5.3910719687325227E-2</v>
      </c>
      <c r="H44" s="13">
        <f>IFERROR(H39+H40+H41+H42+H43, "NA")</f>
        <v>1068.8900000000001</v>
      </c>
      <c r="I44" s="14">
        <f>IFERROR(H44/H148, "NA")</f>
        <v>3.483422709104271E-2</v>
      </c>
      <c r="J44" s="13">
        <f>IFERROR(J39+J40+J41+J42+J43, "NA")</f>
        <v>1092.8699999999999</v>
      </c>
      <c r="K44" s="14">
        <f>IFERROR(J44/J148, "NA")</f>
        <v>5.1270395072952883E-2</v>
      </c>
      <c r="L44" s="13">
        <f>IFERROR(L39+L40+L41+L42+L43, "NA")</f>
        <v>1425.6399999999999</v>
      </c>
      <c r="M44" s="14">
        <f>IFERROR(L44/L148, "NA")</f>
        <v>4.294436577355374E-2</v>
      </c>
      <c r="N44" s="13">
        <f>IFERROR(N39+N40+N41+N42+N43, "NA")</f>
        <v>966.29000000000008</v>
      </c>
      <c r="O44" s="14">
        <f>IFERROR(N44/N148, "NA")</f>
        <v>3.7031614971458571E-2</v>
      </c>
      <c r="P44" s="13">
        <f>IFERROR(P39+P40+P41+P42+P43, "NA")</f>
        <v>847.43000000000006</v>
      </c>
      <c r="Q44" s="14">
        <f>IFERROR(P44/P148, "NA")</f>
        <v>3.3058028556694034E-2</v>
      </c>
      <c r="R44" s="13">
        <f>IFERROR(R39+R40+R41+R42+R43, "NA")</f>
        <v>1354.02</v>
      </c>
      <c r="S44" s="14">
        <f>IFERROR(R44/R148, "NA")</f>
        <v>3.9317443010150076E-2</v>
      </c>
      <c r="T44" s="13">
        <f>IFERROR(T39+T40+T41+T42+T43, "NA")</f>
        <v>1518.3600000000001</v>
      </c>
      <c r="U44" s="14">
        <f>IFERROR(T44/T148, "NA")</f>
        <v>5.3184573265220914E-2</v>
      </c>
      <c r="V44" s="13">
        <f>IFERROR(V39+V40+V41+V42+V43, "NA")</f>
        <v>1096.51</v>
      </c>
      <c r="W44" s="14">
        <f>IFERROR(V44/V148, "NA")</f>
        <v>3.1934341379510192E-2</v>
      </c>
      <c r="X44" s="13">
        <f>IFERROR(X39+X40+X41+X42+X43, "NA")</f>
        <v>1131.32</v>
      </c>
      <c r="Y44" s="14">
        <f>IFERROR(X44/X148, "NA")</f>
        <v>2.5275680569125068E-2</v>
      </c>
      <c r="Z44" s="13">
        <f>IFERROR(Z39+Z40+Z41+Z42+Z43, "NA")</f>
        <v>3746.19</v>
      </c>
      <c r="AA44" s="14">
        <f>IFERROR(Z44/Z148, "NA")</f>
        <v>3.4801499379903296E-2</v>
      </c>
      <c r="AB44" s="13">
        <f t="shared" si="12"/>
        <v>1275.0525</v>
      </c>
      <c r="AC44" s="14">
        <f>IFERROR(AB44/AB148, "NA")</f>
        <v>3.5896078796390694E-2</v>
      </c>
      <c r="AD44" s="15">
        <f t="shared" si="13"/>
        <v>-143.73250000000007</v>
      </c>
      <c r="AE44" s="16">
        <f>IFERROR(AD44/AD148, "NA")</f>
        <v>-1.5557877344079589E-2</v>
      </c>
      <c r="AF44" s="15">
        <f t="shared" si="14"/>
        <v>-0.11272673086010189</v>
      </c>
      <c r="AG44" s="13">
        <f t="shared" si="15"/>
        <v>1179.0550000000001</v>
      </c>
      <c r="AH44" s="14">
        <f>IFERROR(AG44/AG148, "NA")</f>
        <v>3.7984392171359932E-2</v>
      </c>
      <c r="AI44" s="15">
        <f t="shared" si="16"/>
        <v>-47.735000000000127</v>
      </c>
      <c r="AJ44" s="16">
        <f>IFERROR(AI44/AI148, "NA")</f>
        <v>-3.4795526622659967E-3</v>
      </c>
      <c r="AK44" s="15">
        <f t="shared" si="17"/>
        <v>-4.0485812790752022E-2</v>
      </c>
      <c r="AL44" s="16">
        <f>IFERROR(AK44/AK148, "NA")</f>
        <v>-9.1604800376128295E-2</v>
      </c>
    </row>
    <row r="45" spans="1:38" ht="16.5" customHeight="1" x14ac:dyDescent="0.3">
      <c r="A45" s="24" t="s">
        <v>60</v>
      </c>
      <c r="B45" s="2"/>
      <c r="C45" s="3"/>
      <c r="D45" s="2"/>
      <c r="E45" s="3"/>
      <c r="F45" s="2"/>
      <c r="G45" s="3"/>
      <c r="H45" s="2"/>
      <c r="I45" s="3"/>
      <c r="J45" s="2"/>
      <c r="K45" s="3"/>
      <c r="L45" s="2"/>
      <c r="M45" s="3"/>
      <c r="N45" s="2"/>
      <c r="O45" s="3"/>
      <c r="P45" s="2"/>
      <c r="Q45" s="3"/>
      <c r="R45" s="2"/>
      <c r="S45" s="3"/>
      <c r="T45" s="2"/>
      <c r="U45" s="3"/>
      <c r="V45" s="2"/>
      <c r="W45" s="3"/>
      <c r="X45" s="2"/>
      <c r="Y45" s="3"/>
      <c r="Z45" s="2"/>
      <c r="AA45" s="3"/>
      <c r="AB45" s="2"/>
      <c r="AC45" s="3"/>
      <c r="AD45" s="4"/>
      <c r="AE45" s="5"/>
      <c r="AF45" s="4"/>
      <c r="AG45" s="2"/>
      <c r="AH45" s="3"/>
      <c r="AI45" s="4"/>
      <c r="AJ45" s="5"/>
      <c r="AK45" s="4"/>
      <c r="AL45" s="5"/>
    </row>
    <row r="46" spans="1:38" ht="16.5" hidden="1" customHeight="1" x14ac:dyDescent="0.3">
      <c r="A46" s="25" t="s">
        <v>61</v>
      </c>
      <c r="B46" s="7">
        <v>0</v>
      </c>
      <c r="C46" s="8">
        <f>IFERROR(B46/B148, "NA")</f>
        <v>0</v>
      </c>
      <c r="D46" s="7">
        <v>0</v>
      </c>
      <c r="E46" s="8">
        <f>IFERROR(D46/D148, "NA")</f>
        <v>0</v>
      </c>
      <c r="F46" s="7">
        <v>0</v>
      </c>
      <c r="G46" s="8">
        <f>IFERROR(F46/F148, "NA")</f>
        <v>0</v>
      </c>
      <c r="H46" s="7">
        <v>0</v>
      </c>
      <c r="I46" s="8">
        <f>IFERROR(H46/H148, "NA")</f>
        <v>0</v>
      </c>
      <c r="J46" s="7">
        <v>0</v>
      </c>
      <c r="K46" s="8">
        <f>IFERROR(J46/J148, "NA")</f>
        <v>0</v>
      </c>
      <c r="L46" s="7">
        <v>0</v>
      </c>
      <c r="M46" s="8">
        <f>IFERROR(L46/L148, "NA")</f>
        <v>0</v>
      </c>
      <c r="N46" s="7">
        <v>0</v>
      </c>
      <c r="O46" s="8">
        <f>IFERROR(N46/N148, "NA")</f>
        <v>0</v>
      </c>
      <c r="P46" s="7">
        <v>0</v>
      </c>
      <c r="Q46" s="8">
        <f>IFERROR(P46/P148, "NA")</f>
        <v>0</v>
      </c>
      <c r="R46" s="7">
        <v>0</v>
      </c>
      <c r="S46" s="8">
        <f>IFERROR(R46/R148, "NA")</f>
        <v>0</v>
      </c>
      <c r="T46" s="7">
        <v>0</v>
      </c>
      <c r="U46" s="8">
        <f>IFERROR(T46/T148, "NA")</f>
        <v>0</v>
      </c>
      <c r="V46" s="7">
        <v>0</v>
      </c>
      <c r="W46" s="8">
        <f>IFERROR(V46/V148, "NA")</f>
        <v>0</v>
      </c>
      <c r="X46" s="7">
        <v>0</v>
      </c>
      <c r="Y46" s="8">
        <f>IFERROR(X46/X148, "NA")</f>
        <v>0</v>
      </c>
      <c r="Z46" s="7">
        <v>0</v>
      </c>
      <c r="AA46" s="8">
        <f>IFERROR(Z46/Z148, "NA")</f>
        <v>0</v>
      </c>
      <c r="AB46" s="9">
        <f t="shared" ref="AB46:AB57" si="18">IFERROR((R46+T46+V46+X46)/4, "NA")</f>
        <v>0</v>
      </c>
      <c r="AC46" s="8">
        <f>IFERROR(AB46/AB148, "NA")</f>
        <v>0</v>
      </c>
      <c r="AD46" s="10">
        <f t="shared" ref="AD46:AD57" si="19">IFERROR(X46-AB46, "NA")</f>
        <v>0</v>
      </c>
      <c r="AE46" s="11">
        <f>IFERROR(AD46/AD148, "NA")</f>
        <v>0</v>
      </c>
      <c r="AF46" s="10" t="str">
        <f t="shared" ref="AF46:AF57" si="20">IFERROR((X46-AB46)/AB46, "NA")</f>
        <v>NA</v>
      </c>
      <c r="AG46" s="9">
        <f t="shared" ref="AG46:AG57" si="21">IFERROR((J46+L46+N46+P46+R46+T46+V46+X46)/8, "NA")</f>
        <v>0</v>
      </c>
      <c r="AH46" s="8">
        <f>IFERROR(AG46/AG148, "NA")</f>
        <v>0</v>
      </c>
      <c r="AI46" s="10">
        <f t="shared" ref="AI46:AI57" si="22">IFERROR(X46-AG46, "NA")</f>
        <v>0</v>
      </c>
      <c r="AJ46" s="11">
        <f>IFERROR(AI46/AI148, "NA")</f>
        <v>0</v>
      </c>
      <c r="AK46" s="10" t="str">
        <f t="shared" ref="AK46:AK57" si="23">IFERROR((X46-AG46)/AG46, "NA")</f>
        <v>NA</v>
      </c>
      <c r="AL46" s="11" t="str">
        <f>IFERROR(AK46/AK148, "NA")</f>
        <v>NA</v>
      </c>
    </row>
    <row r="47" spans="1:38" ht="16.5" customHeight="1" x14ac:dyDescent="0.3">
      <c r="A47" s="25" t="s">
        <v>62</v>
      </c>
      <c r="B47" s="7">
        <v>109.65</v>
      </c>
      <c r="C47" s="8">
        <f>IFERROR(B47/B148, "NA")</f>
        <v>4.0694489598688873E-3</v>
      </c>
      <c r="D47" s="7">
        <v>107.82</v>
      </c>
      <c r="E47" s="8">
        <f>IFERROR(D47/D148, "NA")</f>
        <v>4.489697680364506E-3</v>
      </c>
      <c r="F47" s="7">
        <v>97.13</v>
      </c>
      <c r="G47" s="8">
        <f>IFERROR(F47/F148, "NA")</f>
        <v>3.5228866125956342E-3</v>
      </c>
      <c r="H47" s="7">
        <v>90.39</v>
      </c>
      <c r="I47" s="8">
        <f>IFERROR(H47/H148, "NA")</f>
        <v>2.9457341604462108E-3</v>
      </c>
      <c r="J47" s="7">
        <v>84.45</v>
      </c>
      <c r="K47" s="8">
        <f>IFERROR(J47/J148, "NA")</f>
        <v>3.9618480367389275E-3</v>
      </c>
      <c r="L47" s="7">
        <v>78.86</v>
      </c>
      <c r="M47" s="8">
        <f>IFERROR(L47/L148, "NA")</f>
        <v>2.3754893836469572E-3</v>
      </c>
      <c r="N47" s="7">
        <v>59.15</v>
      </c>
      <c r="O47" s="8">
        <f>IFERROR(N47/N148, "NA")</f>
        <v>2.2668350345773779E-3</v>
      </c>
      <c r="P47" s="7">
        <v>49.62</v>
      </c>
      <c r="Q47" s="8">
        <f>IFERROR(P47/P148, "NA")</f>
        <v>1.9356635674724258E-3</v>
      </c>
      <c r="R47" s="7">
        <v>65.31</v>
      </c>
      <c r="S47" s="8">
        <f>IFERROR(R47/R148, "NA")</f>
        <v>1.8964433339189242E-3</v>
      </c>
      <c r="T47" s="7">
        <v>66.09</v>
      </c>
      <c r="U47" s="8">
        <f>IFERROR(T47/T148, "NA")</f>
        <v>2.3149769798324837E-3</v>
      </c>
      <c r="V47" s="7">
        <v>70.430000000000007</v>
      </c>
      <c r="W47" s="8">
        <f>IFERROR(V47/V148, "NA")</f>
        <v>2.0511766088397764E-3</v>
      </c>
      <c r="X47" s="7">
        <v>74.510000000000005</v>
      </c>
      <c r="Y47" s="8">
        <f>IFERROR(X47/X148, "NA")</f>
        <v>1.6646845801413473E-3</v>
      </c>
      <c r="Z47" s="7">
        <v>211.03</v>
      </c>
      <c r="AA47" s="8">
        <f>IFERROR(Z47/Z148, "NA")</f>
        <v>1.960434578636159E-3</v>
      </c>
      <c r="AB47" s="9">
        <f t="shared" si="18"/>
        <v>69.085000000000008</v>
      </c>
      <c r="AC47" s="8">
        <f>IFERROR(AB47/AB148, "NA")</f>
        <v>1.9449243098999072E-3</v>
      </c>
      <c r="AD47" s="10">
        <f t="shared" si="19"/>
        <v>5.4249999999999972</v>
      </c>
      <c r="AE47" s="11">
        <f>IFERROR(AD47/AD148, "NA")</f>
        <v>5.872122490851525E-4</v>
      </c>
      <c r="AF47" s="10">
        <f t="shared" si="20"/>
        <v>7.8526452920315501E-2</v>
      </c>
      <c r="AG47" s="9">
        <f t="shared" si="21"/>
        <v>68.552500000000009</v>
      </c>
      <c r="AH47" s="8">
        <f>IFERROR(AG47/AG148, "NA")</f>
        <v>2.2084847986965422E-3</v>
      </c>
      <c r="AI47" s="10">
        <f t="shared" si="22"/>
        <v>5.957499999999996</v>
      </c>
      <c r="AJ47" s="11">
        <f>IFERROR(AI47/AI148, "NA")</f>
        <v>4.3426070986591822E-4</v>
      </c>
      <c r="AK47" s="10">
        <f t="shared" si="23"/>
        <v>8.6904197512855039E-2</v>
      </c>
      <c r="AL47" s="11">
        <f>IFERROR(AK47/AK148, "NA")</f>
        <v>0.19663287251160652</v>
      </c>
    </row>
    <row r="48" spans="1:38" ht="16.5" customHeight="1" x14ac:dyDescent="0.3">
      <c r="A48" s="25" t="s">
        <v>63</v>
      </c>
      <c r="B48" s="7">
        <v>0</v>
      </c>
      <c r="C48" s="8">
        <f>IFERROR(B48/B148, "NA")</f>
        <v>0</v>
      </c>
      <c r="D48" s="7">
        <v>0</v>
      </c>
      <c r="E48" s="8">
        <f>IFERROR(D48/D148, "NA")</f>
        <v>0</v>
      </c>
      <c r="F48" s="7">
        <v>0</v>
      </c>
      <c r="G48" s="8">
        <f>IFERROR(F48/F148, "NA")</f>
        <v>0</v>
      </c>
      <c r="H48" s="7">
        <v>7.53</v>
      </c>
      <c r="I48" s="8">
        <f>IFERROR(H48/H148, "NA")</f>
        <v>2.453963738041815E-4</v>
      </c>
      <c r="J48" s="7">
        <v>0</v>
      </c>
      <c r="K48" s="8">
        <f>IFERROR(J48/J148, "NA")</f>
        <v>0</v>
      </c>
      <c r="L48" s="7">
        <v>0</v>
      </c>
      <c r="M48" s="8">
        <f>IFERROR(L48/L148, "NA")</f>
        <v>0</v>
      </c>
      <c r="N48" s="7">
        <v>0</v>
      </c>
      <c r="O48" s="8">
        <f>IFERROR(N48/N148, "NA")</f>
        <v>0</v>
      </c>
      <c r="P48" s="7">
        <v>0</v>
      </c>
      <c r="Q48" s="8">
        <f>IFERROR(P48/P148, "NA")</f>
        <v>0</v>
      </c>
      <c r="R48" s="7">
        <v>0</v>
      </c>
      <c r="S48" s="8">
        <f>IFERROR(R48/R148, "NA")</f>
        <v>0</v>
      </c>
      <c r="T48" s="7">
        <v>0</v>
      </c>
      <c r="U48" s="8">
        <f>IFERROR(T48/T148, "NA")</f>
        <v>0</v>
      </c>
      <c r="V48" s="7">
        <v>0</v>
      </c>
      <c r="W48" s="8">
        <f>IFERROR(V48/V148, "NA")</f>
        <v>0</v>
      </c>
      <c r="X48" s="7">
        <v>0</v>
      </c>
      <c r="Y48" s="8">
        <f>IFERROR(X48/X148, "NA")</f>
        <v>0</v>
      </c>
      <c r="Z48" s="7">
        <v>0</v>
      </c>
      <c r="AA48" s="8">
        <f>IFERROR(Z48/Z148, "NA")</f>
        <v>0</v>
      </c>
      <c r="AB48" s="9">
        <f t="shared" si="18"/>
        <v>0</v>
      </c>
      <c r="AC48" s="8">
        <f>IFERROR(AB48/AB148, "NA")</f>
        <v>0</v>
      </c>
      <c r="AD48" s="10">
        <f t="shared" si="19"/>
        <v>0</v>
      </c>
      <c r="AE48" s="11">
        <f>IFERROR(AD48/AD148, "NA")</f>
        <v>0</v>
      </c>
      <c r="AF48" s="10" t="str">
        <f t="shared" si="20"/>
        <v>NA</v>
      </c>
      <c r="AG48" s="9">
        <f t="shared" si="21"/>
        <v>0</v>
      </c>
      <c r="AH48" s="8">
        <f>IFERROR(AG48/AG148, "NA")</f>
        <v>0</v>
      </c>
      <c r="AI48" s="10">
        <f t="shared" si="22"/>
        <v>0</v>
      </c>
      <c r="AJ48" s="11">
        <f>IFERROR(AI48/AI148, "NA")</f>
        <v>0</v>
      </c>
      <c r="AK48" s="10" t="str">
        <f t="shared" si="23"/>
        <v>NA</v>
      </c>
      <c r="AL48" s="11" t="str">
        <f>IFERROR(AK48/AK148, "NA")</f>
        <v>NA</v>
      </c>
    </row>
    <row r="49" spans="1:38" ht="16.5" hidden="1" customHeight="1" x14ac:dyDescent="0.3">
      <c r="A49" s="25" t="s">
        <v>64</v>
      </c>
      <c r="B49" s="7">
        <v>0</v>
      </c>
      <c r="C49" s="8">
        <f>IFERROR(B49/B148, "NA")</f>
        <v>0</v>
      </c>
      <c r="D49" s="7">
        <v>0</v>
      </c>
      <c r="E49" s="8">
        <f>IFERROR(D49/D148, "NA")</f>
        <v>0</v>
      </c>
      <c r="F49" s="7">
        <v>0</v>
      </c>
      <c r="G49" s="8">
        <f>IFERROR(F49/F148, "NA")</f>
        <v>0</v>
      </c>
      <c r="H49" s="7">
        <v>0</v>
      </c>
      <c r="I49" s="8">
        <f>IFERROR(H49/H148, "NA")</f>
        <v>0</v>
      </c>
      <c r="J49" s="7">
        <v>0</v>
      </c>
      <c r="K49" s="8">
        <f>IFERROR(J49/J148, "NA")</f>
        <v>0</v>
      </c>
      <c r="L49" s="7">
        <v>0</v>
      </c>
      <c r="M49" s="8">
        <f>IFERROR(L49/L148, "NA")</f>
        <v>0</v>
      </c>
      <c r="N49" s="7">
        <v>0</v>
      </c>
      <c r="O49" s="8">
        <f>IFERROR(N49/N148, "NA")</f>
        <v>0</v>
      </c>
      <c r="P49" s="7">
        <v>0</v>
      </c>
      <c r="Q49" s="8">
        <f>IFERROR(P49/P148, "NA")</f>
        <v>0</v>
      </c>
      <c r="R49" s="7">
        <v>0</v>
      </c>
      <c r="S49" s="8">
        <f>IFERROR(R49/R148, "NA")</f>
        <v>0</v>
      </c>
      <c r="T49" s="7">
        <v>0</v>
      </c>
      <c r="U49" s="8">
        <f>IFERROR(T49/T148, "NA")</f>
        <v>0</v>
      </c>
      <c r="V49" s="7">
        <v>0</v>
      </c>
      <c r="W49" s="8">
        <f>IFERROR(V49/V148, "NA")</f>
        <v>0</v>
      </c>
      <c r="X49" s="7">
        <v>0</v>
      </c>
      <c r="Y49" s="8">
        <f>IFERROR(X49/X148, "NA")</f>
        <v>0</v>
      </c>
      <c r="Z49" s="7">
        <v>0</v>
      </c>
      <c r="AA49" s="8">
        <f>IFERROR(Z49/Z148, "NA")</f>
        <v>0</v>
      </c>
      <c r="AB49" s="9">
        <f t="shared" si="18"/>
        <v>0</v>
      </c>
      <c r="AC49" s="8">
        <f>IFERROR(AB49/AB148, "NA")</f>
        <v>0</v>
      </c>
      <c r="AD49" s="10">
        <f t="shared" si="19"/>
        <v>0</v>
      </c>
      <c r="AE49" s="11">
        <f>IFERROR(AD49/AD148, "NA")</f>
        <v>0</v>
      </c>
      <c r="AF49" s="10" t="str">
        <f t="shared" si="20"/>
        <v>NA</v>
      </c>
      <c r="AG49" s="9">
        <f t="shared" si="21"/>
        <v>0</v>
      </c>
      <c r="AH49" s="8">
        <f>IFERROR(AG49/AG148, "NA")</f>
        <v>0</v>
      </c>
      <c r="AI49" s="10">
        <f t="shared" si="22"/>
        <v>0</v>
      </c>
      <c r="AJ49" s="11">
        <f>IFERROR(AI49/AI148, "NA")</f>
        <v>0</v>
      </c>
      <c r="AK49" s="10" t="str">
        <f t="shared" si="23"/>
        <v>NA</v>
      </c>
      <c r="AL49" s="11" t="str">
        <f>IFERROR(AK49/AK148, "NA")</f>
        <v>NA</v>
      </c>
    </row>
    <row r="50" spans="1:38" ht="16.5" hidden="1" customHeight="1" x14ac:dyDescent="0.3">
      <c r="A50" s="25" t="s">
        <v>65</v>
      </c>
      <c r="B50" s="7">
        <v>0</v>
      </c>
      <c r="C50" s="8">
        <f>IFERROR(B50/B148, "NA")</f>
        <v>0</v>
      </c>
      <c r="D50" s="7">
        <v>0</v>
      </c>
      <c r="E50" s="8">
        <f>IFERROR(D50/D148, "NA")</f>
        <v>0</v>
      </c>
      <c r="F50" s="7">
        <v>0</v>
      </c>
      <c r="G50" s="8">
        <f>IFERROR(F50/F148, "NA")</f>
        <v>0</v>
      </c>
      <c r="H50" s="7">
        <v>0</v>
      </c>
      <c r="I50" s="8">
        <f>IFERROR(H50/H148, "NA")</f>
        <v>0</v>
      </c>
      <c r="J50" s="7">
        <v>0</v>
      </c>
      <c r="K50" s="8">
        <f>IFERROR(J50/J148, "NA")</f>
        <v>0</v>
      </c>
      <c r="L50" s="7">
        <v>0</v>
      </c>
      <c r="M50" s="8">
        <f>IFERROR(L50/L148, "NA")</f>
        <v>0</v>
      </c>
      <c r="N50" s="7">
        <v>0</v>
      </c>
      <c r="O50" s="8">
        <f>IFERROR(N50/N148, "NA")</f>
        <v>0</v>
      </c>
      <c r="P50" s="7">
        <v>0</v>
      </c>
      <c r="Q50" s="8">
        <f>IFERROR(P50/P148, "NA")</f>
        <v>0</v>
      </c>
      <c r="R50" s="7">
        <v>0</v>
      </c>
      <c r="S50" s="8">
        <f>IFERROR(R50/R148, "NA")</f>
        <v>0</v>
      </c>
      <c r="T50" s="7">
        <v>0</v>
      </c>
      <c r="U50" s="8">
        <f>IFERROR(T50/T148, "NA")</f>
        <v>0</v>
      </c>
      <c r="V50" s="7">
        <v>0</v>
      </c>
      <c r="W50" s="8">
        <f>IFERROR(V50/V148, "NA")</f>
        <v>0</v>
      </c>
      <c r="X50" s="7">
        <v>0</v>
      </c>
      <c r="Y50" s="8">
        <f>IFERROR(X50/X148, "NA")</f>
        <v>0</v>
      </c>
      <c r="Z50" s="7">
        <v>0</v>
      </c>
      <c r="AA50" s="8">
        <f>IFERROR(Z50/Z148, "NA")</f>
        <v>0</v>
      </c>
      <c r="AB50" s="9">
        <f t="shared" si="18"/>
        <v>0</v>
      </c>
      <c r="AC50" s="8">
        <f>IFERROR(AB50/AB148, "NA")</f>
        <v>0</v>
      </c>
      <c r="AD50" s="10">
        <f t="shared" si="19"/>
        <v>0</v>
      </c>
      <c r="AE50" s="11">
        <f>IFERROR(AD50/AD148, "NA")</f>
        <v>0</v>
      </c>
      <c r="AF50" s="10" t="str">
        <f t="shared" si="20"/>
        <v>NA</v>
      </c>
      <c r="AG50" s="9">
        <f t="shared" si="21"/>
        <v>0</v>
      </c>
      <c r="AH50" s="8">
        <f>IFERROR(AG50/AG148, "NA")</f>
        <v>0</v>
      </c>
      <c r="AI50" s="10">
        <f t="shared" si="22"/>
        <v>0</v>
      </c>
      <c r="AJ50" s="11">
        <f>IFERROR(AI50/AI148, "NA")</f>
        <v>0</v>
      </c>
      <c r="AK50" s="10" t="str">
        <f t="shared" si="23"/>
        <v>NA</v>
      </c>
      <c r="AL50" s="11" t="str">
        <f>IFERROR(AK50/AK148, "NA")</f>
        <v>NA</v>
      </c>
    </row>
    <row r="51" spans="1:38" ht="16.5" hidden="1" customHeight="1" x14ac:dyDescent="0.3">
      <c r="A51" s="25" t="s">
        <v>66</v>
      </c>
      <c r="B51" s="7">
        <v>0</v>
      </c>
      <c r="C51" s="8">
        <f>IFERROR(B51/B148, "NA")</f>
        <v>0</v>
      </c>
      <c r="D51" s="7">
        <v>0</v>
      </c>
      <c r="E51" s="8">
        <f>IFERROR(D51/D148, "NA")</f>
        <v>0</v>
      </c>
      <c r="F51" s="7">
        <v>0</v>
      </c>
      <c r="G51" s="8">
        <f>IFERROR(F51/F148, "NA")</f>
        <v>0</v>
      </c>
      <c r="H51" s="7">
        <v>0</v>
      </c>
      <c r="I51" s="8">
        <f>IFERROR(H51/H148, "NA")</f>
        <v>0</v>
      </c>
      <c r="J51" s="7">
        <v>0</v>
      </c>
      <c r="K51" s="8">
        <f>IFERROR(J51/J148, "NA")</f>
        <v>0</v>
      </c>
      <c r="L51" s="7">
        <v>0</v>
      </c>
      <c r="M51" s="8">
        <f>IFERROR(L51/L148, "NA")</f>
        <v>0</v>
      </c>
      <c r="N51" s="7">
        <v>0</v>
      </c>
      <c r="O51" s="8">
        <f>IFERROR(N51/N148, "NA")</f>
        <v>0</v>
      </c>
      <c r="P51" s="7">
        <v>0</v>
      </c>
      <c r="Q51" s="8">
        <f>IFERROR(P51/P148, "NA")</f>
        <v>0</v>
      </c>
      <c r="R51" s="7">
        <v>0</v>
      </c>
      <c r="S51" s="8">
        <f>IFERROR(R51/R148, "NA")</f>
        <v>0</v>
      </c>
      <c r="T51" s="7">
        <v>0</v>
      </c>
      <c r="U51" s="8">
        <f>IFERROR(T51/T148, "NA")</f>
        <v>0</v>
      </c>
      <c r="V51" s="7">
        <v>0</v>
      </c>
      <c r="W51" s="8">
        <f>IFERROR(V51/V148, "NA")</f>
        <v>0</v>
      </c>
      <c r="X51" s="7">
        <v>0</v>
      </c>
      <c r="Y51" s="8">
        <f>IFERROR(X51/X148, "NA")</f>
        <v>0</v>
      </c>
      <c r="Z51" s="7">
        <v>0</v>
      </c>
      <c r="AA51" s="8">
        <f>IFERROR(Z51/Z148, "NA")</f>
        <v>0</v>
      </c>
      <c r="AB51" s="9">
        <f t="shared" si="18"/>
        <v>0</v>
      </c>
      <c r="AC51" s="8">
        <f>IFERROR(AB51/AB148, "NA")</f>
        <v>0</v>
      </c>
      <c r="AD51" s="10">
        <f t="shared" si="19"/>
        <v>0</v>
      </c>
      <c r="AE51" s="11">
        <f>IFERROR(AD51/AD148, "NA")</f>
        <v>0</v>
      </c>
      <c r="AF51" s="10" t="str">
        <f t="shared" si="20"/>
        <v>NA</v>
      </c>
      <c r="AG51" s="9">
        <f t="shared" si="21"/>
        <v>0</v>
      </c>
      <c r="AH51" s="8">
        <f>IFERROR(AG51/AG148, "NA")</f>
        <v>0</v>
      </c>
      <c r="AI51" s="10">
        <f t="shared" si="22"/>
        <v>0</v>
      </c>
      <c r="AJ51" s="11">
        <f>IFERROR(AI51/AI148, "NA")</f>
        <v>0</v>
      </c>
      <c r="AK51" s="10" t="str">
        <f t="shared" si="23"/>
        <v>NA</v>
      </c>
      <c r="AL51" s="11" t="str">
        <f>IFERROR(AK51/AK148, "NA")</f>
        <v>NA</v>
      </c>
    </row>
    <row r="52" spans="1:38" ht="16.5" customHeight="1" x14ac:dyDescent="0.3">
      <c r="A52" s="26" t="s">
        <v>67</v>
      </c>
      <c r="B52" s="13">
        <f>IFERROR(B46+B47+B48+B49+B50+B51, "NA")</f>
        <v>109.65</v>
      </c>
      <c r="C52" s="14">
        <f>IFERROR(B52/B148, "NA")</f>
        <v>4.0694489598688873E-3</v>
      </c>
      <c r="D52" s="13">
        <f>IFERROR(D46+D47+D48+D49+D50+D51, "NA")</f>
        <v>107.82</v>
      </c>
      <c r="E52" s="14">
        <f>IFERROR(D52/D148, "NA")</f>
        <v>4.489697680364506E-3</v>
      </c>
      <c r="F52" s="13">
        <f>IFERROR(F46+F47+F48+F49+F50+F51, "NA")</f>
        <v>97.13</v>
      </c>
      <c r="G52" s="14">
        <f>IFERROR(F52/F148, "NA")</f>
        <v>3.5228866125956342E-3</v>
      </c>
      <c r="H52" s="13">
        <f>IFERROR(H46+H47+H48+H49+H50+H51, "NA")</f>
        <v>97.92</v>
      </c>
      <c r="I52" s="14">
        <f>IFERROR(H52/H148, "NA")</f>
        <v>3.1911305342503925E-3</v>
      </c>
      <c r="J52" s="13">
        <f>IFERROR(J46+J47+J48+J49+J50+J51, "NA")</f>
        <v>84.45</v>
      </c>
      <c r="K52" s="14">
        <f>IFERROR(J52/J148, "NA")</f>
        <v>3.9618480367389275E-3</v>
      </c>
      <c r="L52" s="13">
        <f>IFERROR(L46+L47+L48+L49+L50+L51, "NA")</f>
        <v>78.86</v>
      </c>
      <c r="M52" s="14">
        <f>IFERROR(L52/L148, "NA")</f>
        <v>2.3754893836469572E-3</v>
      </c>
      <c r="N52" s="13">
        <f>IFERROR(N46+N47+N48+N49+N50+N51, "NA")</f>
        <v>59.15</v>
      </c>
      <c r="O52" s="14">
        <f>IFERROR(N52/N148, "NA")</f>
        <v>2.2668350345773779E-3</v>
      </c>
      <c r="P52" s="13">
        <f>IFERROR(P46+P47+P48+P49+P50+P51, "NA")</f>
        <v>49.62</v>
      </c>
      <c r="Q52" s="14">
        <f>IFERROR(P52/P148, "NA")</f>
        <v>1.9356635674724258E-3</v>
      </c>
      <c r="R52" s="13">
        <f>IFERROR(R46+R47+R48+R49+R50+R51, "NA")</f>
        <v>65.31</v>
      </c>
      <c r="S52" s="14">
        <f>IFERROR(R52/R148, "NA")</f>
        <v>1.8964433339189242E-3</v>
      </c>
      <c r="T52" s="13">
        <f>IFERROR(T46+T47+T48+T49+T50+T51, "NA")</f>
        <v>66.09</v>
      </c>
      <c r="U52" s="14">
        <f>IFERROR(T52/T148, "NA")</f>
        <v>2.3149769798324837E-3</v>
      </c>
      <c r="V52" s="13">
        <f>IFERROR(V46+V47+V48+V49+V50+V51, "NA")</f>
        <v>70.430000000000007</v>
      </c>
      <c r="W52" s="14">
        <f>IFERROR(V52/V148, "NA")</f>
        <v>2.0511766088397764E-3</v>
      </c>
      <c r="X52" s="13">
        <f>IFERROR(X46+X47+X48+X49+X50+X51, "NA")</f>
        <v>74.510000000000005</v>
      </c>
      <c r="Y52" s="14">
        <f>IFERROR(X52/X148, "NA")</f>
        <v>1.6646845801413473E-3</v>
      </c>
      <c r="Z52" s="13">
        <f>IFERROR(Z46+Z47+Z48+Z49+Z50+Z51, "NA")</f>
        <v>211.03</v>
      </c>
      <c r="AA52" s="14">
        <f>IFERROR(Z52/Z148, "NA")</f>
        <v>1.960434578636159E-3</v>
      </c>
      <c r="AB52" s="13">
        <f t="shared" si="18"/>
        <v>69.085000000000008</v>
      </c>
      <c r="AC52" s="14">
        <f>IFERROR(AB52/AB148, "NA")</f>
        <v>1.9449243098999072E-3</v>
      </c>
      <c r="AD52" s="15">
        <f t="shared" si="19"/>
        <v>5.4249999999999972</v>
      </c>
      <c r="AE52" s="16">
        <f>IFERROR(AD52/AD148, "NA")</f>
        <v>5.872122490851525E-4</v>
      </c>
      <c r="AF52" s="15">
        <f t="shared" si="20"/>
        <v>7.8526452920315501E-2</v>
      </c>
      <c r="AG52" s="13">
        <f t="shared" si="21"/>
        <v>68.552500000000009</v>
      </c>
      <c r="AH52" s="14">
        <f>IFERROR(AG52/AG148, "NA")</f>
        <v>2.2084847986965422E-3</v>
      </c>
      <c r="AI52" s="15">
        <f t="shared" si="22"/>
        <v>5.957499999999996</v>
      </c>
      <c r="AJ52" s="16">
        <f>IFERROR(AI52/AI148, "NA")</f>
        <v>4.3426070986591822E-4</v>
      </c>
      <c r="AK52" s="15">
        <f t="shared" si="23"/>
        <v>8.6904197512855039E-2</v>
      </c>
      <c r="AL52" s="16">
        <f>IFERROR(AK52/AK148, "NA")</f>
        <v>0.19663287251160652</v>
      </c>
    </row>
    <row r="53" spans="1:38" ht="16.5" customHeight="1" x14ac:dyDescent="0.3">
      <c r="A53" s="23" t="s">
        <v>68</v>
      </c>
      <c r="B53" s="7">
        <v>48.69</v>
      </c>
      <c r="C53" s="8">
        <f>IFERROR(B53/B148, "NA")</f>
        <v>1.8070357488008764E-3</v>
      </c>
      <c r="D53" s="7">
        <v>123.45</v>
      </c>
      <c r="E53" s="8">
        <f>IFERROR(D53/D148, "NA")</f>
        <v>5.1405414453811749E-3</v>
      </c>
      <c r="F53" s="7">
        <v>80.22</v>
      </c>
      <c r="G53" s="8">
        <f>IFERROR(F53/F148, "NA")</f>
        <v>2.9095641311893523E-3</v>
      </c>
      <c r="H53" s="7">
        <v>131.13</v>
      </c>
      <c r="I53" s="8">
        <f>IFERROR(H53/H148, "NA")</f>
        <v>4.2734165334584757E-3</v>
      </c>
      <c r="J53" s="7">
        <v>60.69</v>
      </c>
      <c r="K53" s="8">
        <f>IFERROR(J53/J148, "NA")</f>
        <v>2.847182443453943E-3</v>
      </c>
      <c r="L53" s="7">
        <v>106.95</v>
      </c>
      <c r="M53" s="8">
        <f>IFERROR(L53/L148, "NA")</f>
        <v>3.221640750457039E-3</v>
      </c>
      <c r="N53" s="7">
        <v>101.57</v>
      </c>
      <c r="O53" s="8">
        <f>IFERROR(N53/N148, "NA")</f>
        <v>3.8925179114458878E-3</v>
      </c>
      <c r="P53" s="7">
        <v>59.64</v>
      </c>
      <c r="Q53" s="8">
        <f>IFERROR(P53/P148, "NA")</f>
        <v>2.3265412165267129E-3</v>
      </c>
      <c r="R53" s="7">
        <v>129.62</v>
      </c>
      <c r="S53" s="8">
        <f>IFERROR(R53/R148, "NA")</f>
        <v>3.7638491033926036E-3</v>
      </c>
      <c r="T53" s="7">
        <v>79.959999999999994</v>
      </c>
      <c r="U53" s="8">
        <f>IFERROR(T53/T148, "NA")</f>
        <v>2.8008103995673383E-3</v>
      </c>
      <c r="V53" s="7">
        <v>95.84</v>
      </c>
      <c r="W53" s="8">
        <f>IFERROR(V53/V148, "NA")</f>
        <v>2.7912078118870389E-3</v>
      </c>
      <c r="X53" s="7">
        <v>121.48</v>
      </c>
      <c r="Y53" s="8">
        <f>IFERROR(X53/X148, "NA")</f>
        <v>2.7140770741587825E-3</v>
      </c>
      <c r="Z53" s="7">
        <v>297.27999999999997</v>
      </c>
      <c r="AA53" s="8">
        <f>IFERROR(Z53/Z148, "NA")</f>
        <v>2.7616831329050715E-3</v>
      </c>
      <c r="AB53" s="9">
        <f t="shared" si="18"/>
        <v>106.72499999999999</v>
      </c>
      <c r="AC53" s="8">
        <f>IFERROR(AB53/AB148, "NA")</f>
        <v>3.0045892302825151E-3</v>
      </c>
      <c r="AD53" s="10">
        <f t="shared" si="19"/>
        <v>14.75500000000001</v>
      </c>
      <c r="AE53" s="11">
        <f>IFERROR(AD53/AD148, "NA")</f>
        <v>1.5971090756223844E-3</v>
      </c>
      <c r="AF53" s="10">
        <f t="shared" si="20"/>
        <v>0.13825251815413456</v>
      </c>
      <c r="AG53" s="9">
        <f t="shared" si="21"/>
        <v>94.46875</v>
      </c>
      <c r="AH53" s="8">
        <f>IFERROR(AG53/AG148, "NA")</f>
        <v>3.0434017479576084E-3</v>
      </c>
      <c r="AI53" s="10">
        <f t="shared" si="22"/>
        <v>27.011250000000004</v>
      </c>
      <c r="AJ53" s="11">
        <f>IFERROR(AI53/AI148, "NA")</f>
        <v>1.96893404941096E-3</v>
      </c>
      <c r="AK53" s="10">
        <f t="shared" si="23"/>
        <v>0.28592788620575593</v>
      </c>
      <c r="AL53" s="11">
        <f>IFERROR(AK53/AK148, "NA")</f>
        <v>0.64695173771661552</v>
      </c>
    </row>
    <row r="54" spans="1:38" ht="16.5" customHeight="1" x14ac:dyDescent="0.3">
      <c r="A54" s="23" t="s">
        <v>69</v>
      </c>
      <c r="B54" s="7">
        <v>31</v>
      </c>
      <c r="C54" s="8">
        <f>IFERROR(B54/B148, "NA")</f>
        <v>1.1505054058908845E-3</v>
      </c>
      <c r="D54" s="7">
        <v>31.75</v>
      </c>
      <c r="E54" s="8">
        <f>IFERROR(D54/D148, "NA")</f>
        <v>1.3220914612462721E-3</v>
      </c>
      <c r="F54" s="7">
        <v>25.5</v>
      </c>
      <c r="G54" s="8">
        <f>IFERROR(F54/F148, "NA")</f>
        <v>9.2488014641396764E-4</v>
      </c>
      <c r="H54" s="7">
        <v>32.5</v>
      </c>
      <c r="I54" s="8">
        <f>IFERROR(H54/H148, "NA")</f>
        <v>1.0591476957019787E-3</v>
      </c>
      <c r="J54" s="7">
        <v>29.56</v>
      </c>
      <c r="K54" s="8">
        <f>IFERROR(J54/J148, "NA")</f>
        <v>1.3867640966963018E-3</v>
      </c>
      <c r="L54" s="7">
        <v>62</v>
      </c>
      <c r="M54" s="8">
        <f>IFERROR(L54/L148, "NA")</f>
        <v>1.8676178263519066E-3</v>
      </c>
      <c r="N54" s="7">
        <v>34.31</v>
      </c>
      <c r="O54" s="8">
        <f>IFERROR(N54/N148, "NA")</f>
        <v>1.3148792905553651E-3</v>
      </c>
      <c r="P54" s="7">
        <v>41</v>
      </c>
      <c r="Q54" s="8">
        <f>IFERROR(P54/P148, "NA")</f>
        <v>1.5993995619985786E-3</v>
      </c>
      <c r="R54" s="7">
        <v>27</v>
      </c>
      <c r="S54" s="8">
        <f>IFERROR(R54/R148, "NA")</f>
        <v>7.8401424002160392E-4</v>
      </c>
      <c r="T54" s="7">
        <v>40</v>
      </c>
      <c r="U54" s="8">
        <f>IFERROR(T54/T148, "NA")</f>
        <v>1.4011057526599991E-3</v>
      </c>
      <c r="V54" s="7">
        <v>29.56</v>
      </c>
      <c r="W54" s="8">
        <f>IFERROR(V54/V148, "NA")</f>
        <v>8.6089422912542638E-4</v>
      </c>
      <c r="X54" s="7">
        <v>24.5</v>
      </c>
      <c r="Y54" s="8">
        <f>IFERROR(X54/X148, "NA")</f>
        <v>5.4737313398822989E-4</v>
      </c>
      <c r="Z54" s="7">
        <v>94.06</v>
      </c>
      <c r="AA54" s="8">
        <f>IFERROR(Z54/Z148, "NA")</f>
        <v>8.7380219147285745E-4</v>
      </c>
      <c r="AB54" s="9">
        <f t="shared" si="18"/>
        <v>30.265000000000001</v>
      </c>
      <c r="AC54" s="8">
        <f>IFERROR(AB54/AB148, "NA")</f>
        <v>8.5203928840009674E-4</v>
      </c>
      <c r="AD54" s="10">
        <f t="shared" si="19"/>
        <v>-5.7650000000000006</v>
      </c>
      <c r="AE54" s="11">
        <f>IFERROR(AD54/AD148, "NA")</f>
        <v>-6.2401449142413011E-4</v>
      </c>
      <c r="AF54" s="10">
        <f t="shared" si="20"/>
        <v>-0.19048405749215266</v>
      </c>
      <c r="AG54" s="9">
        <f t="shared" si="21"/>
        <v>35.991250000000001</v>
      </c>
      <c r="AH54" s="8">
        <f>IFERROR(AG54/AG148, "NA")</f>
        <v>1.1594927757716629E-3</v>
      </c>
      <c r="AI54" s="10">
        <f t="shared" si="22"/>
        <v>-11.491250000000001</v>
      </c>
      <c r="AJ54" s="11">
        <f>IFERROR(AI54/AI148, "NA")</f>
        <v>-8.3763296386852476E-4</v>
      </c>
      <c r="AK54" s="10">
        <f t="shared" si="23"/>
        <v>-0.3192789914215261</v>
      </c>
      <c r="AL54" s="11">
        <f>IFERROR(AK54/AK148, "NA")</f>
        <v>-0.72241326670713002</v>
      </c>
    </row>
    <row r="55" spans="1:38" ht="16.5" customHeight="1" x14ac:dyDescent="0.3">
      <c r="A55" s="23" t="s">
        <v>70</v>
      </c>
      <c r="B55" s="7">
        <v>-229.49</v>
      </c>
      <c r="C55" s="8">
        <f>IFERROR(B55/B148, "NA")</f>
        <v>-8.5170801805773914E-3</v>
      </c>
      <c r="D55" s="7">
        <v>-337.81</v>
      </c>
      <c r="E55" s="8">
        <f>IFERROR(D55/D148, "NA")</f>
        <v>-1.4066636740900888E-2</v>
      </c>
      <c r="F55" s="7">
        <v>-254.33</v>
      </c>
      <c r="G55" s="8">
        <f>IFERROR(F55/F148, "NA")</f>
        <v>-9.2245006916652703E-3</v>
      </c>
      <c r="H55" s="7">
        <v>-247.96</v>
      </c>
      <c r="I55" s="8">
        <f>IFERROR(H55/H148, "NA")</f>
        <v>-8.0808080808080808E-3</v>
      </c>
      <c r="J55" s="7">
        <v>-245.77</v>
      </c>
      <c r="K55" s="8">
        <f>IFERROR(J55/J148, "NA")</f>
        <v>-1.1529939514379233E-2</v>
      </c>
      <c r="L55" s="7">
        <v>-295.61</v>
      </c>
      <c r="M55" s="8">
        <f>IFERROR(L55/L148, "NA")</f>
        <v>-8.9046210588368899E-3</v>
      </c>
      <c r="N55" s="7">
        <v>-195.48</v>
      </c>
      <c r="O55" s="8">
        <f>IFERROR(N55/N148, "NA")</f>
        <v>-7.4914778116514933E-3</v>
      </c>
      <c r="P55" s="7">
        <v>-298.10000000000002</v>
      </c>
      <c r="Q55" s="8">
        <f>IFERROR(P55/P148, "NA")</f>
        <v>-1.1628805108092105E-2</v>
      </c>
      <c r="R55" s="7">
        <v>-232.63</v>
      </c>
      <c r="S55" s="8">
        <f>IFERROR(R55/R148, "NA")</f>
        <v>-6.7550086168972484E-3</v>
      </c>
      <c r="T55" s="7">
        <v>-259.64</v>
      </c>
      <c r="U55" s="8">
        <f>IFERROR(T55/T148, "NA")</f>
        <v>-9.0945774405160537E-3</v>
      </c>
      <c r="V55" s="7">
        <v>-273.58</v>
      </c>
      <c r="W55" s="8">
        <f>IFERROR(V55/V148, "NA")</f>
        <v>-7.9676401625214527E-3</v>
      </c>
      <c r="X55" s="7">
        <v>-264.70999999999998</v>
      </c>
      <c r="Y55" s="8">
        <f>IFERROR(X55/X148, "NA")</f>
        <v>-5.9140874407356868E-3</v>
      </c>
      <c r="Z55" s="7">
        <v>-797.93</v>
      </c>
      <c r="AA55" s="8">
        <f>IFERROR(Z55/Z148, "NA")</f>
        <v>-7.4126406829889118E-3</v>
      </c>
      <c r="AB55" s="9">
        <f t="shared" si="18"/>
        <v>-257.64</v>
      </c>
      <c r="AC55" s="8">
        <f>IFERROR(AB55/AB148, "NA")</f>
        <v>-7.2532430947761743E-3</v>
      </c>
      <c r="AD55" s="10">
        <f t="shared" si="19"/>
        <v>-7.0699999999999932</v>
      </c>
      <c r="AE55" s="11">
        <f>IFERROR(AD55/AD148, "NA")</f>
        <v>-7.6527015687226287E-4</v>
      </c>
      <c r="AF55" s="10">
        <f t="shared" si="20"/>
        <v>2.7441391088340296E-2</v>
      </c>
      <c r="AG55" s="9">
        <f t="shared" si="21"/>
        <v>-258.19</v>
      </c>
      <c r="AH55" s="8">
        <f>IFERROR(AG55/AG148, "NA")</f>
        <v>-8.3178394686621235E-3</v>
      </c>
      <c r="AI55" s="10">
        <f t="shared" si="22"/>
        <v>-6.5199999999999818</v>
      </c>
      <c r="AJ55" s="11">
        <f>IFERROR(AI55/AI148, "NA")</f>
        <v>-4.7526308490571226E-4</v>
      </c>
      <c r="AK55" s="10">
        <f t="shared" si="23"/>
        <v>2.5252720864479578E-2</v>
      </c>
      <c r="AL55" s="11">
        <f>IFERROR(AK55/AK148, "NA")</f>
        <v>5.713780443783386E-2</v>
      </c>
    </row>
    <row r="56" spans="1:38" ht="16.5" customHeight="1" x14ac:dyDescent="0.3">
      <c r="A56" s="27" t="s">
        <v>71</v>
      </c>
      <c r="B56" s="13">
        <f>IFERROR(B37+B39+B40+B41+B42+B43+B46+B47+B48+B49+B50+B51+B53+B54+B55, "NA")</f>
        <v>892.75000000000023</v>
      </c>
      <c r="C56" s="14">
        <f>IFERROR(B56/B148, "NA")</f>
        <v>3.3132700035777014E-2</v>
      </c>
      <c r="D56" s="13">
        <f>IFERROR(D37+D39+D40+D41+D42+D43+D46+D47+D48+D49+D50+D51+D53+D54+D55, "NA")</f>
        <v>756.17000000000007</v>
      </c>
      <c r="E56" s="14">
        <f>IFERROR(D56/D148, "NA")</f>
        <v>3.1487429929152558E-2</v>
      </c>
      <c r="F56" s="13">
        <f>IFERROR(F37+F39+F40+F41+F42+F43+F46+F47+F48+F49+F50+F51+F53+F54+F55, "NA")</f>
        <v>1434.9000000000003</v>
      </c>
      <c r="G56" s="14">
        <f>IFERROR(F56/F148, "NA")</f>
        <v>5.2043549885858922E-2</v>
      </c>
      <c r="H56" s="13">
        <f>IFERROR(H37+H39+H40+H41+H42+H43+H46+H47+H48+H49+H50+H51+H53+H54+H55, "NA")</f>
        <v>1082.48</v>
      </c>
      <c r="I56" s="14">
        <f>IFERROR(H56/H148, "NA")</f>
        <v>3.5277113773645473E-2</v>
      </c>
      <c r="J56" s="13">
        <f>IFERROR(J37+J39+J40+J41+J42+J43+J46+J47+J48+J49+J50+J51+J53+J54+J55, "NA")</f>
        <v>1021.8</v>
      </c>
      <c r="K56" s="14">
        <f>IFERROR(J56/J148, "NA")</f>
        <v>4.7936250135462828E-2</v>
      </c>
      <c r="L56" s="13">
        <f>IFERROR(L37+L39+L40+L41+L42+L43+L46+L47+L48+L49+L50+L51+L53+L54+L55, "NA")</f>
        <v>1377.8399999999997</v>
      </c>
      <c r="M56" s="14">
        <f>IFERROR(L56/L148, "NA")</f>
        <v>4.1504492675172748E-2</v>
      </c>
      <c r="N56" s="13">
        <f>IFERROR(N37+N39+N40+N41+N42+N43+N46+N47+N48+N49+N50+N51+N53+N54+N55, "NA")</f>
        <v>965.83999999999992</v>
      </c>
      <c r="O56" s="14">
        <f>IFERROR(N56/N148, "NA")</f>
        <v>3.7014369396385707E-2</v>
      </c>
      <c r="P56" s="13">
        <f>IFERROR(P37+P39+P40+P41+P42+P43+P46+P47+P48+P49+P50+P51+P53+P54+P55, "NA")</f>
        <v>699.59</v>
      </c>
      <c r="Q56" s="14">
        <f>IFERROR(P56/P148, "NA")</f>
        <v>2.729082779459965E-2</v>
      </c>
      <c r="R56" s="13">
        <f>IFERROR(R37+R39+R40+R41+R42+R43+R46+R47+R48+R49+R50+R51+R53+R54+R55, "NA")</f>
        <v>1343.3199999999997</v>
      </c>
      <c r="S56" s="14">
        <f>IFERROR(R56/R148, "NA")</f>
        <v>3.9006741070585951E-2</v>
      </c>
      <c r="T56" s="13">
        <f>IFERROR(T37+T39+T40+T41+T42+T43+T46+T47+T48+T49+T50+T51+T53+T54+T55, "NA")</f>
        <v>1444.77</v>
      </c>
      <c r="U56" s="14">
        <f>IFERROR(T56/T148, "NA")</f>
        <v>5.0606888956764677E-2</v>
      </c>
      <c r="V56" s="13">
        <f>IFERROR(V37+V39+V40+V41+V42+V43+V46+V47+V48+V49+V50+V51+V53+V54+V55, "NA")</f>
        <v>1018.76</v>
      </c>
      <c r="W56" s="14">
        <f>IFERROR(V56/V148, "NA")</f>
        <v>2.966997986684098E-2</v>
      </c>
      <c r="X56" s="13">
        <f>IFERROR(X37+X39+X40+X41+X42+X43+X46+X47+X48+X49+X50+X51+X53+X54+X55, "NA")</f>
        <v>1087.0999999999999</v>
      </c>
      <c r="Y56" s="14">
        <f>IFERROR(X56/X148, "NA")</f>
        <v>2.4287727916677739E-2</v>
      </c>
      <c r="Z56" s="13">
        <f>IFERROR(Z37+Z39+Z40+Z41+Z42+Z43+Z46+Z47+Z48+Z49+Z50+Z51+Z53+Z54+Z55, "NA")</f>
        <v>3550.6300000000006</v>
      </c>
      <c r="AA56" s="14">
        <f>IFERROR(Z56/Z148, "NA")</f>
        <v>3.2984778599928474E-2</v>
      </c>
      <c r="AB56" s="13">
        <f t="shared" si="18"/>
        <v>1223.4874999999997</v>
      </c>
      <c r="AC56" s="14">
        <f>IFERROR(AB56/AB148, "NA")</f>
        <v>3.4444388530197032E-2</v>
      </c>
      <c r="AD56" s="15">
        <f t="shared" si="19"/>
        <v>-136.38749999999982</v>
      </c>
      <c r="AE56" s="16">
        <f>IFERROR(AD56/AD148, "NA")</f>
        <v>-1.4762840667668418E-2</v>
      </c>
      <c r="AF56" s="15">
        <f t="shared" si="20"/>
        <v>-0.11147437141777079</v>
      </c>
      <c r="AG56" s="13">
        <f t="shared" si="21"/>
        <v>1119.8775000000001</v>
      </c>
      <c r="AH56" s="14">
        <f>IFERROR(AG56/AG148, "NA")</f>
        <v>3.6077932025123619E-2</v>
      </c>
      <c r="AI56" s="15">
        <f t="shared" si="22"/>
        <v>-32.777500000000146</v>
      </c>
      <c r="AJ56" s="16">
        <f>IFERROR(AI56/AI148, "NA")</f>
        <v>-2.3892539517633583E-3</v>
      </c>
      <c r="AK56" s="15">
        <f t="shared" si="23"/>
        <v>-2.926882627787427E-2</v>
      </c>
      <c r="AL56" s="16">
        <f>IFERROR(AK56/AK148, "NA")</f>
        <v>-6.6224803298025825E-2</v>
      </c>
    </row>
    <row r="57" spans="1:38" ht="16.5" customHeight="1" x14ac:dyDescent="0.3">
      <c r="A57" s="12" t="s">
        <v>72</v>
      </c>
      <c r="B57" s="28">
        <f>IFERROR(B13+B15+B16+B17+B18+B19+B20+B21+B22+B23+B24+B25+B26+B29+B30+B31+B32+B33+B37+B39+B40+B41+B42+B43+B46+B47+B48+B49+B50+B51+B53+B54+B55, "NA")</f>
        <v>6806.7900000000009</v>
      </c>
      <c r="C57" s="29">
        <f>IFERROR(B57/B148, "NA")</f>
        <v>0.2526209255407747</v>
      </c>
      <c r="D57" s="28">
        <f>IFERROR(D13+D15+D16+D17+D18+D19+D20+D21+D22+D23+D24+D25+D26+D29+D30+D31+D32+D33+D37+D39+D40+D41+D42+D43+D46+D47+D48+D49+D50+D51+D53+D54+D55, "NA")</f>
        <v>6261.8499999999985</v>
      </c>
      <c r="E57" s="29">
        <f>IFERROR(D57/D148, "NA")</f>
        <v>0.26074766666472338</v>
      </c>
      <c r="F57" s="28">
        <f>IFERROR(F13+F15+F16+F17+F18+F19+F20+F21+F22+F23+F24+F25+F26+F29+F30+F31+F32+F33+F37+F39+F40+F41+F42+F43+F46+F47+F48+F49+F50+F51+F53+F54+F55, "NA")</f>
        <v>8207.3999999999978</v>
      </c>
      <c r="G57" s="29">
        <f>IFERROR(F57/F148, "NA")</f>
        <v>0.29768083583050964</v>
      </c>
      <c r="H57" s="28">
        <f>IFERROR(H13+H15+H16+H17+H18+H19+H20+H21+H22+H23+H24+H25+H26+H29+H30+H31+H32+H33+H37+H39+H40+H41+H42+H43+H46+H47+H48+H49+H50+H51+H53+H54+H55, "NA")</f>
        <v>7903.3700000000008</v>
      </c>
      <c r="I57" s="29">
        <f>IFERROR(H57/H148, "NA")</f>
        <v>0.25756418842400458</v>
      </c>
      <c r="J57" s="28">
        <f>IFERROR(J13+J15+J16+J17+J18+J19+J20+J21+J22+J23+J24+J25+J26+J29+J30+J31+J32+J33+J37+J39+J40+J41+J42+J43+J46+J47+J48+J49+J50+J51+J53+J54+J55, "NA")</f>
        <v>6302.24</v>
      </c>
      <c r="K57" s="29">
        <f>IFERROR(J57/J148, "NA")</f>
        <v>0.29566035726533496</v>
      </c>
      <c r="L57" s="28">
        <f>IFERROR(L13+L15+L16+L17+L18+L19+L20+L21+L22+L23+L24+L25+L26+L29+L30+L31+L32+L33+L37+L39+L40+L41+L42+L43+L46+L47+L48+L49+L50+L51+L53+L54+L55, "NA")</f>
        <v>9163.35</v>
      </c>
      <c r="M57" s="29">
        <f>IFERROR(L57/L148, "NA")</f>
        <v>0.27602638401777008</v>
      </c>
      <c r="N57" s="28">
        <f>IFERROR(N13+N15+N16+N17+N18+N19+N20+N21+N22+N23+N24+N25+N26+N29+N30+N31+N32+N33+N37+N39+N40+N41+N42+N43+N46+N47+N48+N49+N50+N51+N53+N54+N55, "NA")</f>
        <v>6793.4099999999989</v>
      </c>
      <c r="O57" s="29">
        <f>IFERROR(N57/N148, "NA")</f>
        <v>0.26034724923496705</v>
      </c>
      <c r="P57" s="28">
        <f>IFERROR(P13+P15+P16+P17+P18+P19+P20+P21+P22+P23+P24+P25+P26+P29+P30+P31+P32+P33+P37+P39+P40+P41+P42+P43+P46+P47+P48+P49+P50+P51+P53+P54+P55, "NA")</f>
        <v>6604.6500000000005</v>
      </c>
      <c r="Q57" s="29">
        <f>IFERROR(P57/P148, "NA")</f>
        <v>0.25764571505253447</v>
      </c>
      <c r="R57" s="28">
        <f>IFERROR(R13+R15+R16+R17+R18+R19+R20+R21+R22+R23+R24+R25+R26+R29+R30+R31+R32+R33+R37+R39+R40+R41+R42+R43+R46+R47+R48+R49+R50+R51+R53+R54+R55, "NA")</f>
        <v>8680.5600000000013</v>
      </c>
      <c r="S57" s="29">
        <f>IFERROR(R57/R148, "NA")</f>
        <v>0.25206232042081239</v>
      </c>
      <c r="T57" s="28">
        <f>IFERROR(T13+T15+T16+T17+T18+T19+T20+T21+T22+T23+T24+T25+T26+T29+T30+T31+T32+T33+T37+T39+T40+T41+T42+T43+T46+T47+T48+T49+T50+T51+T53+T54+T55, "NA")</f>
        <v>7359.83</v>
      </c>
      <c r="U57" s="29">
        <f>IFERROR(T57/T148, "NA")</f>
        <v>0.25779750378999106</v>
      </c>
      <c r="V57" s="28">
        <f>IFERROR(V13+V15+V16+V17+V18+V19+V20+V21+V22+V23+V24+V25+V26+V29+V30+V31+V32+V33+V37+V39+V40+V41+V42+V43+V46+V47+V48+V49+V50+V51+V53+V54+V55, "NA")</f>
        <v>7915.1200000000008</v>
      </c>
      <c r="W57" s="29">
        <f>IFERROR(V57/V148, "NA")</f>
        <v>0.23051695300525188</v>
      </c>
      <c r="X57" s="28">
        <f>IFERROR(X13+X15+X16+X17+X18+X19+X20+X21+X22+X23+X24+X25+X26+X29+X30+X31+X32+X33+X37+X39+X40+X41+X42+X43+X46+X47+X48+X49+X50+X51+X53+X54+X55, "NA")</f>
        <v>11232.980000000005</v>
      </c>
      <c r="Y57" s="29">
        <f>IFERROR(X57/X148, "NA")</f>
        <v>0.25096454965824938</v>
      </c>
      <c r="Z57" s="28">
        <f>IFERROR(Z13+Z15+Z16+Z17+Z18+Z19+Z20+Z21+Z22+Z23+Z24+Z25+Z26+Z29+Z30+Z31+Z32+Z33+Z37+Z39+Z40+Z41+Z42+Z43+Z46+Z47+Z48+Z49+Z50+Z51+Z53+Z54+Z55, "NA")</f>
        <v>26507.929999999997</v>
      </c>
      <c r="AA57" s="29">
        <f>IFERROR(Z57/Z148, "NA")</f>
        <v>0.24625438364245267</v>
      </c>
      <c r="AB57" s="28">
        <f t="shared" si="18"/>
        <v>8797.1225000000013</v>
      </c>
      <c r="AC57" s="29">
        <f>IFERROR(AB57/AB148, "NA")</f>
        <v>0.24766211778848443</v>
      </c>
      <c r="AD57" s="30">
        <f t="shared" si="19"/>
        <v>2435.8575000000037</v>
      </c>
      <c r="AE57" s="31">
        <f>IFERROR(AD57/AD148, "NA")</f>
        <v>0.26366181770063407</v>
      </c>
      <c r="AF57" s="30">
        <f t="shared" si="20"/>
        <v>0.27689252934695446</v>
      </c>
      <c r="AG57" s="28">
        <f t="shared" si="21"/>
        <v>8006.5175000000017</v>
      </c>
      <c r="AH57" s="29">
        <f>IFERROR(AG57/AG148, "NA")</f>
        <v>0.25793767097112208</v>
      </c>
      <c r="AI57" s="30">
        <f t="shared" si="22"/>
        <v>3226.4625000000033</v>
      </c>
      <c r="AJ57" s="31">
        <f>IFERROR(AI57/AI148, "NA")</f>
        <v>0.23518688973659546</v>
      </c>
      <c r="AK57" s="30">
        <f t="shared" si="23"/>
        <v>0.402979510130341</v>
      </c>
      <c r="AL57" s="31">
        <f>IFERROR(AK57/AK148, "NA")</f>
        <v>0.91179736891912266</v>
      </c>
    </row>
    <row r="58" spans="1:38" ht="3.75" customHeight="1" x14ac:dyDescent="0.3">
      <c r="A58" s="17" t="s">
        <v>3</v>
      </c>
      <c r="B58" s="18"/>
      <c r="C58" s="19"/>
      <c r="D58" s="18"/>
      <c r="E58" s="19"/>
      <c r="F58" s="18"/>
      <c r="G58" s="19"/>
      <c r="H58" s="18"/>
      <c r="I58" s="19"/>
      <c r="J58" s="18"/>
      <c r="K58" s="19"/>
      <c r="L58" s="18"/>
      <c r="M58" s="19"/>
      <c r="N58" s="18"/>
      <c r="O58" s="19"/>
      <c r="P58" s="18"/>
      <c r="Q58" s="19"/>
      <c r="R58" s="18"/>
      <c r="S58" s="19"/>
      <c r="T58" s="18"/>
      <c r="U58" s="19"/>
      <c r="V58" s="18"/>
      <c r="W58" s="19"/>
      <c r="X58" s="18"/>
      <c r="Y58" s="19"/>
      <c r="Z58" s="18"/>
      <c r="AA58" s="19"/>
      <c r="AB58" s="18"/>
      <c r="AC58" s="19"/>
      <c r="AD58" s="20"/>
      <c r="AE58" s="21"/>
      <c r="AF58" s="20"/>
      <c r="AG58" s="18"/>
      <c r="AH58" s="19"/>
      <c r="AI58" s="20"/>
      <c r="AJ58" s="21"/>
      <c r="AK58" s="20"/>
      <c r="AL58" s="21"/>
    </row>
    <row r="59" spans="1:38" ht="16.5" customHeight="1" x14ac:dyDescent="0.3">
      <c r="A59" s="32" t="s">
        <v>73</v>
      </c>
      <c r="B59" s="33">
        <f>IFERROR(B9-B57, "NA")</f>
        <v>20137.89</v>
      </c>
      <c r="C59" s="34">
        <f>IFERROR(B59/B148, "NA")</f>
        <v>0.74737907445922536</v>
      </c>
      <c r="D59" s="33">
        <f>IFERROR(D9-D57, "NA")</f>
        <v>17753.130000000008</v>
      </c>
      <c r="E59" s="34">
        <f>IFERROR(D59/D148, "NA")</f>
        <v>0.73925233333527696</v>
      </c>
      <c r="F59" s="33">
        <f>IFERROR(F9-F57, "NA")</f>
        <v>19363.740000000009</v>
      </c>
      <c r="G59" s="34">
        <f>IFERROR(F59/F148, "NA")</f>
        <v>0.70231916416949058</v>
      </c>
      <c r="H59" s="33">
        <f>IFERROR(H9-H57, "NA")</f>
        <v>22781.68</v>
      </c>
      <c r="I59" s="34">
        <f>IFERROR(H59/H148, "NA")</f>
        <v>0.74243581157599547</v>
      </c>
      <c r="J59" s="33">
        <f>IFERROR(J9-J57, "NA")</f>
        <v>15013.569999999994</v>
      </c>
      <c r="K59" s="34">
        <f>IFERROR(J59/J148, "NA")</f>
        <v>0.70433964273466476</v>
      </c>
      <c r="L59" s="33">
        <f>IFERROR(L9-L57, "NA")</f>
        <v>24034.020000000011</v>
      </c>
      <c r="M59" s="34">
        <f>IFERROR(L59/L148, "NA")</f>
        <v>0.7239736159822302</v>
      </c>
      <c r="N59" s="33">
        <f>IFERROR(N9-N57, "NA")</f>
        <v>19300.239999999998</v>
      </c>
      <c r="O59" s="34">
        <f>IFERROR(N59/N148, "NA")</f>
        <v>0.73965275076503278</v>
      </c>
      <c r="P59" s="33">
        <f>IFERROR(P9-P57, "NA")</f>
        <v>19029.969999999994</v>
      </c>
      <c r="Q59" s="34">
        <f>IFERROR(P59/P148, "NA")</f>
        <v>0.74235428494746536</v>
      </c>
      <c r="R59" s="33">
        <f>IFERROR(R9-R57, "NA")</f>
        <v>25757.59</v>
      </c>
      <c r="S59" s="34">
        <f>IFERROR(R59/R148, "NA")</f>
        <v>0.74793767957918755</v>
      </c>
      <c r="T59" s="33">
        <f>IFERROR(T9-T57, "NA")</f>
        <v>21189.050000000003</v>
      </c>
      <c r="U59" s="34">
        <f>IFERROR(T59/T148, "NA")</f>
        <v>0.742202496210009</v>
      </c>
      <c r="V59" s="33">
        <f>IFERROR(V9-V57, "NA")</f>
        <v>26421.26999999999</v>
      </c>
      <c r="W59" s="34">
        <f>IFERROR(V59/V148, "NA")</f>
        <v>0.7694830469947479</v>
      </c>
      <c r="X59" s="33">
        <f>IFERROR(X9-X57, "NA")</f>
        <v>33526.249999999993</v>
      </c>
      <c r="Y59" s="34">
        <f>IFERROR(X59/X148, "NA")</f>
        <v>0.74903545034175056</v>
      </c>
      <c r="Z59" s="33">
        <f>IFERROR(Z9-Z57, "NA")</f>
        <v>81136.569999999992</v>
      </c>
      <c r="AA59" s="34">
        <f>IFERROR(Z59/Z148, "NA")</f>
        <v>0.75374561635754722</v>
      </c>
      <c r="AB59" s="33">
        <f>IFERROR((R59+T59+V59+X59)/4, "NA")</f>
        <v>26723.539999999994</v>
      </c>
      <c r="AC59" s="34">
        <f>IFERROR(AB59/AB148, "NA")</f>
        <v>0.75233788221151543</v>
      </c>
      <c r="AD59" s="15">
        <f>IFERROR(X59-AB59, "NA")</f>
        <v>6802.7099999999991</v>
      </c>
      <c r="AE59" s="16">
        <f>IFERROR(AD59/AD148, "NA")</f>
        <v>0.73633818229936576</v>
      </c>
      <c r="AF59" s="15">
        <f>IFERROR((X59-AB59)/AB59, "NA")</f>
        <v>0.25455871490079535</v>
      </c>
      <c r="AG59" s="33">
        <f>IFERROR((J59+L59+N59+P59+R59+T59+V59+X59)/8, "NA")</f>
        <v>23033.994999999995</v>
      </c>
      <c r="AH59" s="34">
        <f>IFERROR(AG59/AG148, "NA")</f>
        <v>0.74206232902887781</v>
      </c>
      <c r="AI59" s="15">
        <f>IFERROR(X59-AG59, "NA")</f>
        <v>10492.254999999997</v>
      </c>
      <c r="AJ59" s="16">
        <f>IFERROR(AI59/AI148, "NA")</f>
        <v>0.76481311026340437</v>
      </c>
      <c r="AK59" s="15">
        <f>IFERROR((X59-AG59)/AG59, "NA")</f>
        <v>0.45551173385250798</v>
      </c>
      <c r="AL59" s="16">
        <f>IFERROR(AK59/AK148, "NA")</f>
        <v>1.0306588548488913</v>
      </c>
    </row>
    <row r="60" spans="1:38" ht="3.75" customHeight="1" x14ac:dyDescent="0.3">
      <c r="A60" s="35" t="s">
        <v>3</v>
      </c>
      <c r="B60" s="36"/>
      <c r="C60" s="19"/>
      <c r="D60" s="36"/>
      <c r="E60" s="19"/>
      <c r="F60" s="36"/>
      <c r="G60" s="19"/>
      <c r="H60" s="36"/>
      <c r="I60" s="19"/>
      <c r="J60" s="36"/>
      <c r="K60" s="19"/>
      <c r="L60" s="36"/>
      <c r="M60" s="19"/>
      <c r="N60" s="36"/>
      <c r="O60" s="19"/>
      <c r="P60" s="36"/>
      <c r="Q60" s="19"/>
      <c r="R60" s="36"/>
      <c r="S60" s="19"/>
      <c r="T60" s="36"/>
      <c r="U60" s="19"/>
      <c r="V60" s="36"/>
      <c r="W60" s="19"/>
      <c r="X60" s="36"/>
      <c r="Y60" s="19"/>
      <c r="Z60" s="36"/>
      <c r="AA60" s="19"/>
      <c r="AB60" s="36"/>
      <c r="AC60" s="19"/>
      <c r="AD60" s="37"/>
      <c r="AE60" s="21"/>
      <c r="AF60" s="37"/>
      <c r="AG60" s="36"/>
      <c r="AH60" s="19"/>
      <c r="AI60" s="37"/>
      <c r="AJ60" s="21"/>
      <c r="AK60" s="37"/>
      <c r="AL60" s="21"/>
    </row>
    <row r="61" spans="1:38" ht="16.5" customHeight="1" x14ac:dyDescent="0.3">
      <c r="A61" s="1" t="s">
        <v>74</v>
      </c>
      <c r="B61" s="2"/>
      <c r="C61" s="3"/>
      <c r="D61" s="2"/>
      <c r="E61" s="3"/>
      <c r="F61" s="2"/>
      <c r="G61" s="3"/>
      <c r="H61" s="2"/>
      <c r="I61" s="3"/>
      <c r="J61" s="2"/>
      <c r="K61" s="3"/>
      <c r="L61" s="2"/>
      <c r="M61" s="3"/>
      <c r="N61" s="2"/>
      <c r="O61" s="3"/>
      <c r="P61" s="2"/>
      <c r="Q61" s="3"/>
      <c r="R61" s="2"/>
      <c r="S61" s="3"/>
      <c r="T61" s="2"/>
      <c r="U61" s="3"/>
      <c r="V61" s="2"/>
      <c r="W61" s="3"/>
      <c r="X61" s="2"/>
      <c r="Y61" s="3"/>
      <c r="Z61" s="2"/>
      <c r="AA61" s="3"/>
      <c r="AB61" s="2"/>
      <c r="AC61" s="3"/>
      <c r="AD61" s="4"/>
      <c r="AE61" s="5"/>
      <c r="AF61" s="4"/>
      <c r="AG61" s="2"/>
      <c r="AH61" s="3"/>
      <c r="AI61" s="4"/>
      <c r="AJ61" s="5"/>
      <c r="AK61" s="4"/>
      <c r="AL61" s="5"/>
    </row>
    <row r="62" spans="1:38" ht="16.5" customHeight="1" x14ac:dyDescent="0.3">
      <c r="A62" s="22" t="s">
        <v>74</v>
      </c>
      <c r="B62" s="2"/>
      <c r="C62" s="3"/>
      <c r="D62" s="2"/>
      <c r="E62" s="3"/>
      <c r="F62" s="2"/>
      <c r="G62" s="3"/>
      <c r="H62" s="2"/>
      <c r="I62" s="3"/>
      <c r="J62" s="2"/>
      <c r="K62" s="3"/>
      <c r="L62" s="2"/>
      <c r="M62" s="3"/>
      <c r="N62" s="2"/>
      <c r="O62" s="3"/>
      <c r="P62" s="2"/>
      <c r="Q62" s="3"/>
      <c r="R62" s="2"/>
      <c r="S62" s="3"/>
      <c r="T62" s="2"/>
      <c r="U62" s="3"/>
      <c r="V62" s="2"/>
      <c r="W62" s="3"/>
      <c r="X62" s="2"/>
      <c r="Y62" s="3"/>
      <c r="Z62" s="2"/>
      <c r="AA62" s="3"/>
      <c r="AB62" s="2"/>
      <c r="AC62" s="3"/>
      <c r="AD62" s="4"/>
      <c r="AE62" s="5"/>
      <c r="AF62" s="4"/>
      <c r="AG62" s="2"/>
      <c r="AH62" s="3"/>
      <c r="AI62" s="4"/>
      <c r="AJ62" s="5"/>
      <c r="AK62" s="4"/>
      <c r="AL62" s="5"/>
    </row>
    <row r="63" spans="1:38" ht="16.5" hidden="1" customHeight="1" x14ac:dyDescent="0.3">
      <c r="A63" s="23" t="s">
        <v>75</v>
      </c>
      <c r="B63" s="7">
        <v>0</v>
      </c>
      <c r="C63" s="8">
        <f>IFERROR(B63/B148, "NA")</f>
        <v>0</v>
      </c>
      <c r="D63" s="7">
        <v>0</v>
      </c>
      <c r="E63" s="8">
        <f>IFERROR(D63/D148, "NA")</f>
        <v>0</v>
      </c>
      <c r="F63" s="7">
        <v>0</v>
      </c>
      <c r="G63" s="8">
        <f>IFERROR(F63/F148, "NA")</f>
        <v>0</v>
      </c>
      <c r="H63" s="7">
        <v>0</v>
      </c>
      <c r="I63" s="8">
        <f>IFERROR(H63/H148, "NA")</f>
        <v>0</v>
      </c>
      <c r="J63" s="7">
        <v>0</v>
      </c>
      <c r="K63" s="8">
        <f>IFERROR(J63/J148, "NA")</f>
        <v>0</v>
      </c>
      <c r="L63" s="7">
        <v>0</v>
      </c>
      <c r="M63" s="8">
        <f>IFERROR(L63/L148, "NA")</f>
        <v>0</v>
      </c>
      <c r="N63" s="7">
        <v>0</v>
      </c>
      <c r="O63" s="8">
        <f>IFERROR(N63/N148, "NA")</f>
        <v>0</v>
      </c>
      <c r="P63" s="7">
        <v>0</v>
      </c>
      <c r="Q63" s="8">
        <f>IFERROR(P63/P148, "NA")</f>
        <v>0</v>
      </c>
      <c r="R63" s="7">
        <v>0</v>
      </c>
      <c r="S63" s="8">
        <f>IFERROR(R63/R148, "NA")</f>
        <v>0</v>
      </c>
      <c r="T63" s="7">
        <v>0</v>
      </c>
      <c r="U63" s="8">
        <f>IFERROR(T63/T148, "NA")</f>
        <v>0</v>
      </c>
      <c r="V63" s="7">
        <v>0</v>
      </c>
      <c r="W63" s="8">
        <f>IFERROR(V63/V148, "NA")</f>
        <v>0</v>
      </c>
      <c r="X63" s="7">
        <v>0</v>
      </c>
      <c r="Y63" s="8">
        <f>IFERROR(X63/X148, "NA")</f>
        <v>0</v>
      </c>
      <c r="Z63" s="7">
        <v>0</v>
      </c>
      <c r="AA63" s="8">
        <f>IFERROR(Z63/Z148, "NA")</f>
        <v>0</v>
      </c>
      <c r="AB63" s="9">
        <f>IFERROR((R63+T63+V63+X63)/4, "NA")</f>
        <v>0</v>
      </c>
      <c r="AC63" s="8">
        <f>IFERROR(AB63/AB148, "NA")</f>
        <v>0</v>
      </c>
      <c r="AD63" s="10">
        <f>IFERROR(X63-AB63, "NA")</f>
        <v>0</v>
      </c>
      <c r="AE63" s="11">
        <f>IFERROR(AD63/AD148, "NA")</f>
        <v>0</v>
      </c>
      <c r="AF63" s="10" t="str">
        <f>IFERROR((X63-AB63)/AB63, "NA")</f>
        <v>NA</v>
      </c>
      <c r="AG63" s="9">
        <f>IFERROR((J63+L63+N63+P63+R63+T63+V63+X63)/8, "NA")</f>
        <v>0</v>
      </c>
      <c r="AH63" s="8">
        <f>IFERROR(AG63/AG148, "NA")</f>
        <v>0</v>
      </c>
      <c r="AI63" s="10">
        <f>IFERROR(X63-AG63, "NA")</f>
        <v>0</v>
      </c>
      <c r="AJ63" s="11">
        <f>IFERROR(AI63/AI148, "NA")</f>
        <v>0</v>
      </c>
      <c r="AK63" s="10" t="str">
        <f>IFERROR((X63-AG63)/AG63, "NA")</f>
        <v>NA</v>
      </c>
      <c r="AL63" s="11" t="str">
        <f>IFERROR(AK63/AK148, "NA")</f>
        <v>NA</v>
      </c>
    </row>
    <row r="64" spans="1:38" ht="16.5" customHeight="1" x14ac:dyDescent="0.3">
      <c r="A64" s="24" t="s">
        <v>76</v>
      </c>
      <c r="B64" s="2"/>
      <c r="C64" s="3"/>
      <c r="D64" s="2"/>
      <c r="E64" s="3"/>
      <c r="F64" s="2"/>
      <c r="G64" s="3"/>
      <c r="H64" s="2"/>
      <c r="I64" s="3"/>
      <c r="J64" s="2"/>
      <c r="K64" s="3"/>
      <c r="L64" s="2"/>
      <c r="M64" s="3"/>
      <c r="N64" s="2"/>
      <c r="O64" s="3"/>
      <c r="P64" s="2"/>
      <c r="Q64" s="3"/>
      <c r="R64" s="2"/>
      <c r="S64" s="3"/>
      <c r="T64" s="2"/>
      <c r="U64" s="3"/>
      <c r="V64" s="2"/>
      <c r="W64" s="3"/>
      <c r="X64" s="2"/>
      <c r="Y64" s="3"/>
      <c r="Z64" s="2"/>
      <c r="AA64" s="3"/>
      <c r="AB64" s="2"/>
      <c r="AC64" s="3"/>
      <c r="AD64" s="4"/>
      <c r="AE64" s="5"/>
      <c r="AF64" s="4"/>
      <c r="AG64" s="2"/>
      <c r="AH64" s="3"/>
      <c r="AI64" s="4"/>
      <c r="AJ64" s="5"/>
      <c r="AK64" s="4"/>
      <c r="AL64" s="5"/>
    </row>
    <row r="65" spans="1:38" ht="16.5" hidden="1" customHeight="1" x14ac:dyDescent="0.3">
      <c r="A65" s="25" t="s">
        <v>77</v>
      </c>
      <c r="B65" s="7">
        <v>0</v>
      </c>
      <c r="C65" s="8">
        <f>IFERROR(B65/B148, "NA")</f>
        <v>0</v>
      </c>
      <c r="D65" s="7">
        <v>0</v>
      </c>
      <c r="E65" s="8">
        <f>IFERROR(D65/D148, "NA")</f>
        <v>0</v>
      </c>
      <c r="F65" s="7">
        <v>0</v>
      </c>
      <c r="G65" s="8">
        <f>IFERROR(F65/F148, "NA")</f>
        <v>0</v>
      </c>
      <c r="H65" s="7">
        <v>0</v>
      </c>
      <c r="I65" s="8">
        <f>IFERROR(H65/H148, "NA")</f>
        <v>0</v>
      </c>
      <c r="J65" s="7">
        <v>0</v>
      </c>
      <c r="K65" s="8">
        <f>IFERROR(J65/J148, "NA")</f>
        <v>0</v>
      </c>
      <c r="L65" s="7">
        <v>0</v>
      </c>
      <c r="M65" s="8">
        <f>IFERROR(L65/L148, "NA")</f>
        <v>0</v>
      </c>
      <c r="N65" s="7">
        <v>0</v>
      </c>
      <c r="O65" s="8">
        <f>IFERROR(N65/N148, "NA")</f>
        <v>0</v>
      </c>
      <c r="P65" s="7">
        <v>0</v>
      </c>
      <c r="Q65" s="8">
        <f>IFERROR(P65/P148, "NA")</f>
        <v>0</v>
      </c>
      <c r="R65" s="7">
        <v>0</v>
      </c>
      <c r="S65" s="8">
        <f>IFERROR(R65/R148, "NA")</f>
        <v>0</v>
      </c>
      <c r="T65" s="7">
        <v>0</v>
      </c>
      <c r="U65" s="8">
        <f>IFERROR(T65/T148, "NA")</f>
        <v>0</v>
      </c>
      <c r="V65" s="7">
        <v>0</v>
      </c>
      <c r="W65" s="8">
        <f>IFERROR(V65/V148, "NA")</f>
        <v>0</v>
      </c>
      <c r="X65" s="7">
        <v>0</v>
      </c>
      <c r="Y65" s="8">
        <f>IFERROR(X65/X148, "NA")</f>
        <v>0</v>
      </c>
      <c r="Z65" s="7">
        <v>0</v>
      </c>
      <c r="AA65" s="8">
        <f>IFERROR(Z65/Z148, "NA")</f>
        <v>0</v>
      </c>
      <c r="AB65" s="9">
        <f t="shared" ref="AB65:AB72" si="24">IFERROR((R65+T65+V65+X65)/4, "NA")</f>
        <v>0</v>
      </c>
      <c r="AC65" s="8">
        <f>IFERROR(AB65/AB148, "NA")</f>
        <v>0</v>
      </c>
      <c r="AD65" s="10">
        <f t="shared" ref="AD65:AD72" si="25">IFERROR(X65-AB65, "NA")</f>
        <v>0</v>
      </c>
      <c r="AE65" s="11">
        <f>IFERROR(AD65/AD148, "NA")</f>
        <v>0</v>
      </c>
      <c r="AF65" s="10" t="str">
        <f t="shared" ref="AF65:AF72" si="26">IFERROR((X65-AB65)/AB65, "NA")</f>
        <v>NA</v>
      </c>
      <c r="AG65" s="9">
        <f t="shared" ref="AG65:AG72" si="27">IFERROR((J65+L65+N65+P65+R65+T65+V65+X65)/8, "NA")</f>
        <v>0</v>
      </c>
      <c r="AH65" s="8">
        <f>IFERROR(AG65/AG148, "NA")</f>
        <v>0</v>
      </c>
      <c r="AI65" s="10">
        <f t="shared" ref="AI65:AI72" si="28">IFERROR(X65-AG65, "NA")</f>
        <v>0</v>
      </c>
      <c r="AJ65" s="11">
        <f>IFERROR(AI65/AI148, "NA")</f>
        <v>0</v>
      </c>
      <c r="AK65" s="10" t="str">
        <f t="shared" ref="AK65:AK72" si="29">IFERROR((X65-AG65)/AG65, "NA")</f>
        <v>NA</v>
      </c>
      <c r="AL65" s="11" t="str">
        <f>IFERROR(AK65/AK148, "NA")</f>
        <v>NA</v>
      </c>
    </row>
    <row r="66" spans="1:38" ht="16.5" customHeight="1" x14ac:dyDescent="0.3">
      <c r="A66" s="25" t="s">
        <v>78</v>
      </c>
      <c r="B66" s="7">
        <v>1410</v>
      </c>
      <c r="C66" s="8">
        <f>IFERROR(B66/B148, "NA")</f>
        <v>5.2329439429230559E-2</v>
      </c>
      <c r="D66" s="7">
        <v>1410</v>
      </c>
      <c r="E66" s="8">
        <f>IFERROR(D66/D148, "NA")</f>
        <v>5.8713353082117913E-2</v>
      </c>
      <c r="F66" s="7">
        <v>1410</v>
      </c>
      <c r="G66" s="8">
        <f>IFERROR(F66/F148, "NA")</f>
        <v>5.114043162524292E-2</v>
      </c>
      <c r="H66" s="7">
        <v>1410</v>
      </c>
      <c r="I66" s="8">
        <f>IFERROR(H66/H148, "NA")</f>
        <v>4.5950715413531996E-2</v>
      </c>
      <c r="J66" s="7">
        <v>1410</v>
      </c>
      <c r="K66" s="8">
        <f>IFERROR(J66/J148, "NA")</f>
        <v>6.6148084449992747E-2</v>
      </c>
      <c r="L66" s="7">
        <v>1410</v>
      </c>
      <c r="M66" s="8">
        <f>IFERROR(L66/L148, "NA")</f>
        <v>4.2473244115422394E-2</v>
      </c>
      <c r="N66" s="7">
        <v>1410</v>
      </c>
      <c r="O66" s="8">
        <f>IFERROR(N66/N148, "NA")</f>
        <v>5.4036135228302667E-2</v>
      </c>
      <c r="P66" s="7">
        <v>1410</v>
      </c>
      <c r="Q66" s="8">
        <f>IFERROR(P66/P148, "NA")</f>
        <v>5.500374103458526E-2</v>
      </c>
      <c r="R66" s="7">
        <v>1410</v>
      </c>
      <c r="S66" s="8">
        <f>IFERROR(R66/R148, "NA")</f>
        <v>4.0942965867794869E-2</v>
      </c>
      <c r="T66" s="7">
        <v>1410</v>
      </c>
      <c r="U66" s="8">
        <f>IFERROR(T66/T148, "NA")</f>
        <v>4.938897778126497E-2</v>
      </c>
      <c r="V66" s="7">
        <v>1410</v>
      </c>
      <c r="W66" s="8">
        <f>IFERROR(V66/V148, "NA")</f>
        <v>4.1064305245833939E-2</v>
      </c>
      <c r="X66" s="7">
        <v>1410</v>
      </c>
      <c r="Y66" s="8">
        <f>IFERROR(X66/X148, "NA")</f>
        <v>3.1501882405036902E-2</v>
      </c>
      <c r="Z66" s="7">
        <v>4230</v>
      </c>
      <c r="AA66" s="8">
        <f>IFERROR(Z66/Z148, "NA")</f>
        <v>3.9296016052840603E-2</v>
      </c>
      <c r="AB66" s="9">
        <f t="shared" si="24"/>
        <v>1410</v>
      </c>
      <c r="AC66" s="8">
        <f>IFERROR(AB66/AB148, "NA")</f>
        <v>3.9695205572249675E-2</v>
      </c>
      <c r="AD66" s="10">
        <f t="shared" si="25"/>
        <v>0</v>
      </c>
      <c r="AE66" s="11">
        <f>IFERROR(AD66/AD148, "NA")</f>
        <v>0</v>
      </c>
      <c r="AF66" s="10">
        <f t="shared" si="26"/>
        <v>0</v>
      </c>
      <c r="AG66" s="9">
        <f t="shared" si="27"/>
        <v>1410</v>
      </c>
      <c r="AH66" s="8">
        <f>IFERROR(AG66/AG148, "NA")</f>
        <v>4.5424507730018951E-2</v>
      </c>
      <c r="AI66" s="10">
        <f t="shared" si="28"/>
        <v>0</v>
      </c>
      <c r="AJ66" s="11">
        <f>IFERROR(AI66/AI148, "NA")</f>
        <v>0</v>
      </c>
      <c r="AK66" s="10">
        <f t="shared" si="29"/>
        <v>0</v>
      </c>
      <c r="AL66" s="11">
        <f>IFERROR(AK66/AK148, "NA")</f>
        <v>0</v>
      </c>
    </row>
    <row r="67" spans="1:38" ht="16.5" hidden="1" customHeight="1" x14ac:dyDescent="0.3">
      <c r="A67" s="25" t="s">
        <v>79</v>
      </c>
      <c r="B67" s="7">
        <v>0</v>
      </c>
      <c r="C67" s="8">
        <f>IFERROR(B67/B148, "NA")</f>
        <v>0</v>
      </c>
      <c r="D67" s="7">
        <v>0</v>
      </c>
      <c r="E67" s="8">
        <f>IFERROR(D67/D148, "NA")</f>
        <v>0</v>
      </c>
      <c r="F67" s="7">
        <v>0</v>
      </c>
      <c r="G67" s="8">
        <f>IFERROR(F67/F148, "NA")</f>
        <v>0</v>
      </c>
      <c r="H67" s="7">
        <v>0</v>
      </c>
      <c r="I67" s="8">
        <f>IFERROR(H67/H148, "NA")</f>
        <v>0</v>
      </c>
      <c r="J67" s="7">
        <v>0</v>
      </c>
      <c r="K67" s="8">
        <f>IFERROR(J67/J148, "NA")</f>
        <v>0</v>
      </c>
      <c r="L67" s="7">
        <v>0</v>
      </c>
      <c r="M67" s="8">
        <f>IFERROR(L67/L148, "NA")</f>
        <v>0</v>
      </c>
      <c r="N67" s="7">
        <v>0</v>
      </c>
      <c r="O67" s="8">
        <f>IFERROR(N67/N148, "NA")</f>
        <v>0</v>
      </c>
      <c r="P67" s="7">
        <v>0</v>
      </c>
      <c r="Q67" s="8">
        <f>IFERROR(P67/P148, "NA")</f>
        <v>0</v>
      </c>
      <c r="R67" s="7">
        <v>0</v>
      </c>
      <c r="S67" s="8">
        <f>IFERROR(R67/R148, "NA")</f>
        <v>0</v>
      </c>
      <c r="T67" s="7">
        <v>0</v>
      </c>
      <c r="U67" s="8">
        <f>IFERROR(T67/T148, "NA")</f>
        <v>0</v>
      </c>
      <c r="V67" s="7">
        <v>0</v>
      </c>
      <c r="W67" s="8">
        <f>IFERROR(V67/V148, "NA")</f>
        <v>0</v>
      </c>
      <c r="X67" s="7">
        <v>0</v>
      </c>
      <c r="Y67" s="8">
        <f>IFERROR(X67/X148, "NA")</f>
        <v>0</v>
      </c>
      <c r="Z67" s="7">
        <v>0</v>
      </c>
      <c r="AA67" s="8">
        <f>IFERROR(Z67/Z148, "NA")</f>
        <v>0</v>
      </c>
      <c r="AB67" s="9">
        <f t="shared" si="24"/>
        <v>0</v>
      </c>
      <c r="AC67" s="8">
        <f>IFERROR(AB67/AB148, "NA")</f>
        <v>0</v>
      </c>
      <c r="AD67" s="10">
        <f t="shared" si="25"/>
        <v>0</v>
      </c>
      <c r="AE67" s="11">
        <f>IFERROR(AD67/AD148, "NA")</f>
        <v>0</v>
      </c>
      <c r="AF67" s="10" t="str">
        <f t="shared" si="26"/>
        <v>NA</v>
      </c>
      <c r="AG67" s="9">
        <f t="shared" si="27"/>
        <v>0</v>
      </c>
      <c r="AH67" s="8">
        <f>IFERROR(AG67/AG148, "NA")</f>
        <v>0</v>
      </c>
      <c r="AI67" s="10">
        <f t="shared" si="28"/>
        <v>0</v>
      </c>
      <c r="AJ67" s="11">
        <f>IFERROR(AI67/AI148, "NA")</f>
        <v>0</v>
      </c>
      <c r="AK67" s="10" t="str">
        <f t="shared" si="29"/>
        <v>NA</v>
      </c>
      <c r="AL67" s="11" t="str">
        <f>IFERROR(AK67/AK148, "NA")</f>
        <v>NA</v>
      </c>
    </row>
    <row r="68" spans="1:38" ht="16.5" customHeight="1" x14ac:dyDescent="0.3">
      <c r="A68" s="25" t="s">
        <v>80</v>
      </c>
      <c r="B68" s="7">
        <v>4884.8500000000004</v>
      </c>
      <c r="C68" s="8">
        <f>IFERROR(B68/B148, "NA")</f>
        <v>0.18129181716019638</v>
      </c>
      <c r="D68" s="7">
        <v>4825.8100000000004</v>
      </c>
      <c r="E68" s="8">
        <f>IFERROR(D68/D148, "NA")</f>
        <v>0.20094999038100389</v>
      </c>
      <c r="F68" s="7">
        <v>5398.75</v>
      </c>
      <c r="G68" s="8">
        <f>IFERROR(F68/F148, "NA")</f>
        <v>0.19581163491970227</v>
      </c>
      <c r="H68" s="7">
        <v>5385.08</v>
      </c>
      <c r="I68" s="8">
        <f>IFERROR(H68/H148, "NA")</f>
        <v>0.17549523302064035</v>
      </c>
      <c r="J68" s="7">
        <v>4862.8</v>
      </c>
      <c r="K68" s="8">
        <f>IFERROR(J68/J148, "NA")</f>
        <v>0.22813113834285442</v>
      </c>
      <c r="L68" s="7">
        <v>6149.54</v>
      </c>
      <c r="M68" s="8">
        <f>IFERROR(L68/L148, "NA")</f>
        <v>0.18524178270748554</v>
      </c>
      <c r="N68" s="7">
        <v>5010.8999999999996</v>
      </c>
      <c r="O68" s="8">
        <f>IFERROR(N68/N148, "NA")</f>
        <v>0.19203522696134881</v>
      </c>
      <c r="P68" s="7">
        <v>5286.64</v>
      </c>
      <c r="Q68" s="8">
        <f>IFERROR(P68/P148, "NA")</f>
        <v>0.20623048049863818</v>
      </c>
      <c r="R68" s="7">
        <v>5865.62</v>
      </c>
      <c r="S68" s="8">
        <f>IFERROR(R68/R148, "NA")</f>
        <v>0.17032331876131557</v>
      </c>
      <c r="T68" s="7">
        <v>5271.86</v>
      </c>
      <c r="U68" s="8">
        <f>IFERROR(T68/T148, "NA")</f>
        <v>0.18466083433045358</v>
      </c>
      <c r="V68" s="7">
        <v>6400.76</v>
      </c>
      <c r="W68" s="8">
        <f>IFERROR(V68/V148, "NA")</f>
        <v>0.1864133066988114</v>
      </c>
      <c r="X68" s="7">
        <v>7511.98</v>
      </c>
      <c r="Y68" s="8">
        <f>IFERROR(X68/X148, "NA")</f>
        <v>0.16783085857375113</v>
      </c>
      <c r="Z68" s="7">
        <v>19184.599999999999</v>
      </c>
      <c r="AA68" s="8">
        <f>IFERROR(Z68/Z148, "NA")</f>
        <v>0.17822183204901318</v>
      </c>
      <c r="AB68" s="9">
        <f t="shared" si="24"/>
        <v>6262.5549999999994</v>
      </c>
      <c r="AC68" s="8">
        <f>IFERROR(AB68/AB148, "NA")</f>
        <v>0.17630738165426954</v>
      </c>
      <c r="AD68" s="10">
        <f t="shared" si="25"/>
        <v>1249.4250000000002</v>
      </c>
      <c r="AE68" s="11">
        <f>IFERROR(AD68/AD148, "NA")</f>
        <v>0.13524012245404923</v>
      </c>
      <c r="AF68" s="10">
        <f t="shared" si="26"/>
        <v>0.19950722987662389</v>
      </c>
      <c r="AG68" s="9">
        <f t="shared" si="27"/>
        <v>5795.0125000000007</v>
      </c>
      <c r="AH68" s="8">
        <f>IFERROR(AG68/AG148, "NA")</f>
        <v>0.18669190787362164</v>
      </c>
      <c r="AI68" s="10">
        <f t="shared" si="28"/>
        <v>1716.9674999999988</v>
      </c>
      <c r="AJ68" s="11">
        <f>IFERROR(AI68/AI148, "NA")</f>
        <v>0.12515510287313655</v>
      </c>
      <c r="AK68" s="10">
        <f t="shared" si="29"/>
        <v>0.29628365771428422</v>
      </c>
      <c r="AL68" s="11">
        <f>IFERROR(AK68/AK148, "NA")</f>
        <v>0.67038311568307751</v>
      </c>
    </row>
    <row r="69" spans="1:38" ht="16.5" customHeight="1" x14ac:dyDescent="0.3">
      <c r="A69" s="25" t="s">
        <v>81</v>
      </c>
      <c r="B69" s="7">
        <v>0</v>
      </c>
      <c r="C69" s="8">
        <f>IFERROR(B69/B148, "NA")</f>
        <v>0</v>
      </c>
      <c r="D69" s="7">
        <v>0</v>
      </c>
      <c r="E69" s="8">
        <f>IFERROR(D69/D148, "NA")</f>
        <v>0</v>
      </c>
      <c r="F69" s="7">
        <v>42.45</v>
      </c>
      <c r="G69" s="8">
        <f>IFERROR(F69/F148, "NA")</f>
        <v>1.5396534202067817E-3</v>
      </c>
      <c r="H69" s="7">
        <v>0</v>
      </c>
      <c r="I69" s="8">
        <f>IFERROR(H69/H148, "NA")</f>
        <v>0</v>
      </c>
      <c r="J69" s="7">
        <v>0</v>
      </c>
      <c r="K69" s="8">
        <f>IFERROR(J69/J148, "NA")</f>
        <v>0</v>
      </c>
      <c r="L69" s="7">
        <v>161.16</v>
      </c>
      <c r="M69" s="8">
        <f>IFERROR(L69/L148, "NA")</f>
        <v>4.8546014337882788E-3</v>
      </c>
      <c r="N69" s="7">
        <v>202.45</v>
      </c>
      <c r="O69" s="8">
        <f>IFERROR(N69/N148, "NA")</f>
        <v>7.7585926077800528E-3</v>
      </c>
      <c r="P69" s="7">
        <v>0</v>
      </c>
      <c r="Q69" s="8">
        <f>IFERROR(P69/P148, "NA")</f>
        <v>0</v>
      </c>
      <c r="R69" s="7">
        <v>104.25</v>
      </c>
      <c r="S69" s="8">
        <f>IFERROR(R69/R148, "NA")</f>
        <v>3.0271660934167483E-3</v>
      </c>
      <c r="T69" s="7">
        <v>74.040000000000006</v>
      </c>
      <c r="U69" s="8">
        <f>IFERROR(T69/T148, "NA")</f>
        <v>2.5934467481736586E-3</v>
      </c>
      <c r="V69" s="7">
        <v>0</v>
      </c>
      <c r="W69" s="8">
        <f>IFERROR(V69/V148, "NA")</f>
        <v>0</v>
      </c>
      <c r="X69" s="7">
        <v>211.99</v>
      </c>
      <c r="Y69" s="8">
        <f>IFERROR(X69/X148, "NA")</f>
        <v>4.7362298234353006E-3</v>
      </c>
      <c r="Z69" s="7">
        <v>286.02999999999997</v>
      </c>
      <c r="AA69" s="8">
        <f>IFERROR(Z69/Z148, "NA")</f>
        <v>2.6571724519134743E-3</v>
      </c>
      <c r="AB69" s="9">
        <f t="shared" si="24"/>
        <v>97.570000000000007</v>
      </c>
      <c r="AC69" s="8">
        <f>IFERROR(AB69/AB148, "NA")</f>
        <v>2.7468519203435468E-3</v>
      </c>
      <c r="AD69" s="10">
        <f t="shared" si="25"/>
        <v>114.42</v>
      </c>
      <c r="AE69" s="11">
        <f>IFERROR(AD69/AD148, "NA")</f>
        <v>1.238503696595819E-2</v>
      </c>
      <c r="AF69" s="10">
        <f t="shared" si="26"/>
        <v>1.1726965255713846</v>
      </c>
      <c r="AG69" s="9">
        <f t="shared" si="27"/>
        <v>94.236249999999998</v>
      </c>
      <c r="AH69" s="8">
        <f>IFERROR(AG69/AG148, "NA")</f>
        <v>3.0359115365765949E-3</v>
      </c>
      <c r="AI69" s="10">
        <f t="shared" si="28"/>
        <v>117.75375000000001</v>
      </c>
      <c r="AJ69" s="11">
        <f>IFERROR(AI69/AI148, "NA")</f>
        <v>8.5834371908307013E-3</v>
      </c>
      <c r="AK69" s="10">
        <f t="shared" si="29"/>
        <v>1.2495589542240912</v>
      </c>
      <c r="AL69" s="11">
        <f>IFERROR(AK69/AK148, "NA")</f>
        <v>2.8273014833988546</v>
      </c>
    </row>
    <row r="70" spans="1:38" ht="16.5" customHeight="1" x14ac:dyDescent="0.3">
      <c r="A70" s="26" t="s">
        <v>82</v>
      </c>
      <c r="B70" s="13">
        <f>IFERROR(B65+B66+B67+B68+B69, "NA")</f>
        <v>6294.85</v>
      </c>
      <c r="C70" s="14">
        <f>IFERROR(B70/B148, "NA")</f>
        <v>0.23362125658942695</v>
      </c>
      <c r="D70" s="13">
        <f>IFERROR(D65+D66+D67+D68+D69, "NA")</f>
        <v>6235.81</v>
      </c>
      <c r="E70" s="14">
        <f>IFERROR(D70/D148, "NA")</f>
        <v>0.25966334346312181</v>
      </c>
      <c r="F70" s="13">
        <f>IFERROR(F65+F66+F67+F68+F69, "NA")</f>
        <v>6851.2</v>
      </c>
      <c r="G70" s="14">
        <f>IFERROR(F70/F148, "NA")</f>
        <v>0.24849171996515196</v>
      </c>
      <c r="H70" s="13">
        <f>IFERROR(H65+H66+H67+H68+H69, "NA")</f>
        <v>6795.08</v>
      </c>
      <c r="I70" s="14">
        <f>IFERROR(H70/H148, "NA")</f>
        <v>0.22144594843417234</v>
      </c>
      <c r="J70" s="13">
        <f>IFERROR(J65+J66+J67+J68+J69, "NA")</f>
        <v>6272.8</v>
      </c>
      <c r="K70" s="14">
        <f>IFERROR(J70/J148, "NA")</f>
        <v>0.29427922279284718</v>
      </c>
      <c r="L70" s="13">
        <f>IFERROR(L65+L66+L67+L68+L69, "NA")</f>
        <v>7720.7</v>
      </c>
      <c r="M70" s="14">
        <f>IFERROR(L70/L148, "NA")</f>
        <v>0.23256962825669622</v>
      </c>
      <c r="N70" s="13">
        <f>IFERROR(N65+N66+N67+N68+N69, "NA")</f>
        <v>6623.3499999999995</v>
      </c>
      <c r="O70" s="14">
        <f>IFERROR(N70/N148, "NA")</f>
        <v>0.25382995479743153</v>
      </c>
      <c r="P70" s="13">
        <f>IFERROR(P65+P66+P67+P68+P69, "NA")</f>
        <v>6696.64</v>
      </c>
      <c r="Q70" s="14">
        <f>IFERROR(P70/P148, "NA")</f>
        <v>0.26123422153322345</v>
      </c>
      <c r="R70" s="13">
        <f>IFERROR(R65+R66+R67+R68+R69, "NA")</f>
        <v>7379.87</v>
      </c>
      <c r="S70" s="14">
        <f>IFERROR(R70/R148, "NA")</f>
        <v>0.21429345072252717</v>
      </c>
      <c r="T70" s="13">
        <f>IFERROR(T65+T66+T67+T68+T69, "NA")</f>
        <v>6755.9</v>
      </c>
      <c r="U70" s="14">
        <f>IFERROR(T70/T148, "NA")</f>
        <v>0.23664325885989221</v>
      </c>
      <c r="V70" s="13">
        <f>IFERROR(V65+V66+V67+V68+V69, "NA")</f>
        <v>7810.76</v>
      </c>
      <c r="W70" s="14">
        <f>IFERROR(V70/V148, "NA")</f>
        <v>0.22747761194464533</v>
      </c>
      <c r="X70" s="13">
        <f>IFERROR(X65+X66+X67+X68+X69, "NA")</f>
        <v>9133.9699999999993</v>
      </c>
      <c r="Y70" s="14">
        <f>IFERROR(X70/X148, "NA")</f>
        <v>0.20406897080222333</v>
      </c>
      <c r="Z70" s="13">
        <f>IFERROR(Z65+Z66+Z67+Z68+Z69, "NA")</f>
        <v>23700.629999999997</v>
      </c>
      <c r="AA70" s="14">
        <f>IFERROR(Z70/Z148, "NA")</f>
        <v>0.22017502055376723</v>
      </c>
      <c r="AB70" s="13">
        <f t="shared" si="24"/>
        <v>7770.125</v>
      </c>
      <c r="AC70" s="14">
        <f>IFERROR(AB70/AB148, "NA")</f>
        <v>0.21874943914686276</v>
      </c>
      <c r="AD70" s="15">
        <f t="shared" si="25"/>
        <v>1363.8449999999993</v>
      </c>
      <c r="AE70" s="16">
        <f>IFERROR(AD70/AD148, "NA")</f>
        <v>0.14762515942000734</v>
      </c>
      <c r="AF70" s="15">
        <f t="shared" si="26"/>
        <v>0.17552420327858295</v>
      </c>
      <c r="AG70" s="13">
        <f t="shared" si="27"/>
        <v>7299.2487500000007</v>
      </c>
      <c r="AH70" s="14">
        <f>IFERROR(AG70/AG148, "NA")</f>
        <v>0.23515232714021717</v>
      </c>
      <c r="AI70" s="15">
        <f t="shared" si="28"/>
        <v>1834.7212499999987</v>
      </c>
      <c r="AJ70" s="16">
        <f>IFERROR(AI70/AI148, "NA")</f>
        <v>0.13373854006396724</v>
      </c>
      <c r="AK70" s="15">
        <f t="shared" si="29"/>
        <v>0.2513575455282297</v>
      </c>
      <c r="AL70" s="16">
        <f>IFERROR(AK70/AK148, "NA")</f>
        <v>0.56873151837541169</v>
      </c>
    </row>
    <row r="71" spans="1:38" ht="16.5" hidden="1" customHeight="1" x14ac:dyDescent="0.3">
      <c r="A71" s="23" t="s">
        <v>83</v>
      </c>
      <c r="B71" s="7">
        <v>0</v>
      </c>
      <c r="C71" s="8">
        <f>IFERROR(B71/B148, "NA")</f>
        <v>0</v>
      </c>
      <c r="D71" s="7">
        <v>0</v>
      </c>
      <c r="E71" s="8">
        <f>IFERROR(D71/D148, "NA")</f>
        <v>0</v>
      </c>
      <c r="F71" s="7">
        <v>0</v>
      </c>
      <c r="G71" s="8">
        <f>IFERROR(F71/F148, "NA")</f>
        <v>0</v>
      </c>
      <c r="H71" s="7">
        <v>0</v>
      </c>
      <c r="I71" s="8">
        <f>IFERROR(H71/H148, "NA")</f>
        <v>0</v>
      </c>
      <c r="J71" s="7">
        <v>0</v>
      </c>
      <c r="K71" s="8">
        <f>IFERROR(J71/J148, "NA")</f>
        <v>0</v>
      </c>
      <c r="L71" s="7">
        <v>0</v>
      </c>
      <c r="M71" s="8">
        <f>IFERROR(L71/L148, "NA")</f>
        <v>0</v>
      </c>
      <c r="N71" s="7">
        <v>0</v>
      </c>
      <c r="O71" s="8">
        <f>IFERROR(N71/N148, "NA")</f>
        <v>0</v>
      </c>
      <c r="P71" s="7">
        <v>0</v>
      </c>
      <c r="Q71" s="8">
        <f>IFERROR(P71/P148, "NA")</f>
        <v>0</v>
      </c>
      <c r="R71" s="7">
        <v>0</v>
      </c>
      <c r="S71" s="8">
        <f>IFERROR(R71/R148, "NA")</f>
        <v>0</v>
      </c>
      <c r="T71" s="7">
        <v>0</v>
      </c>
      <c r="U71" s="8">
        <f>IFERROR(T71/T148, "NA")</f>
        <v>0</v>
      </c>
      <c r="V71" s="7">
        <v>0</v>
      </c>
      <c r="W71" s="8">
        <f>IFERROR(V71/V148, "NA")</f>
        <v>0</v>
      </c>
      <c r="X71" s="7">
        <v>0</v>
      </c>
      <c r="Y71" s="8">
        <f>IFERROR(X71/X148, "NA")</f>
        <v>0</v>
      </c>
      <c r="Z71" s="7">
        <v>0</v>
      </c>
      <c r="AA71" s="8">
        <f>IFERROR(Z71/Z148, "NA")</f>
        <v>0</v>
      </c>
      <c r="AB71" s="9">
        <f t="shared" si="24"/>
        <v>0</v>
      </c>
      <c r="AC71" s="8">
        <f>IFERROR(AB71/AB148, "NA")</f>
        <v>0</v>
      </c>
      <c r="AD71" s="10">
        <f t="shared" si="25"/>
        <v>0</v>
      </c>
      <c r="AE71" s="11">
        <f>IFERROR(AD71/AD148, "NA")</f>
        <v>0</v>
      </c>
      <c r="AF71" s="10" t="str">
        <f t="shared" si="26"/>
        <v>NA</v>
      </c>
      <c r="AG71" s="9">
        <f t="shared" si="27"/>
        <v>0</v>
      </c>
      <c r="AH71" s="8">
        <f>IFERROR(AG71/AG148, "NA")</f>
        <v>0</v>
      </c>
      <c r="AI71" s="10">
        <f t="shared" si="28"/>
        <v>0</v>
      </c>
      <c r="AJ71" s="11">
        <f>IFERROR(AI71/AI148, "NA")</f>
        <v>0</v>
      </c>
      <c r="AK71" s="10" t="str">
        <f t="shared" si="29"/>
        <v>NA</v>
      </c>
      <c r="AL71" s="11" t="str">
        <f>IFERROR(AK71/AK148, "NA")</f>
        <v>NA</v>
      </c>
    </row>
    <row r="72" spans="1:38" ht="16.5" customHeight="1" x14ac:dyDescent="0.3">
      <c r="A72" s="23" t="s">
        <v>84</v>
      </c>
      <c r="B72" s="7">
        <v>0</v>
      </c>
      <c r="C72" s="8">
        <f>IFERROR(B72/B148, "NA")</f>
        <v>0</v>
      </c>
      <c r="D72" s="7">
        <v>0</v>
      </c>
      <c r="E72" s="8">
        <f>IFERROR(D72/D148, "NA")</f>
        <v>0</v>
      </c>
      <c r="F72" s="7">
        <v>0</v>
      </c>
      <c r="G72" s="8">
        <f>IFERROR(F72/F148, "NA")</f>
        <v>0</v>
      </c>
      <c r="H72" s="7">
        <v>1159</v>
      </c>
      <c r="I72" s="8">
        <f>IFERROR(H72/H148, "NA")</f>
        <v>3.7770836286725951E-2</v>
      </c>
      <c r="J72" s="7">
        <v>0</v>
      </c>
      <c r="K72" s="8">
        <f>IFERROR(J72/J148, "NA")</f>
        <v>0</v>
      </c>
      <c r="L72" s="7">
        <v>0</v>
      </c>
      <c r="M72" s="8">
        <f>IFERROR(L72/L148, "NA")</f>
        <v>0</v>
      </c>
      <c r="N72" s="7">
        <v>0</v>
      </c>
      <c r="O72" s="8">
        <f>IFERROR(N72/N148, "NA")</f>
        <v>0</v>
      </c>
      <c r="P72" s="7">
        <v>0</v>
      </c>
      <c r="Q72" s="8">
        <f>IFERROR(P72/P148, "NA")</f>
        <v>0</v>
      </c>
      <c r="R72" s="7">
        <v>423</v>
      </c>
      <c r="S72" s="8">
        <f>IFERROR(R72/R148, "NA")</f>
        <v>1.2282889760338461E-2</v>
      </c>
      <c r="T72" s="7">
        <v>0</v>
      </c>
      <c r="U72" s="8">
        <f>IFERROR(T72/T148, "NA")</f>
        <v>0</v>
      </c>
      <c r="V72" s="7">
        <v>0</v>
      </c>
      <c r="W72" s="8">
        <f>IFERROR(V72/V148, "NA")</f>
        <v>0</v>
      </c>
      <c r="X72" s="7">
        <v>0</v>
      </c>
      <c r="Y72" s="8">
        <f>IFERROR(X72/X148, "NA")</f>
        <v>0</v>
      </c>
      <c r="Z72" s="7">
        <v>0</v>
      </c>
      <c r="AA72" s="8">
        <f>IFERROR(Z72/Z148, "NA")</f>
        <v>0</v>
      </c>
      <c r="AB72" s="9">
        <f t="shared" si="24"/>
        <v>105.75</v>
      </c>
      <c r="AC72" s="8">
        <f>IFERROR(AB72/AB148, "NA")</f>
        <v>2.9771404179187257E-3</v>
      </c>
      <c r="AD72" s="10">
        <f t="shared" si="25"/>
        <v>-105.75</v>
      </c>
      <c r="AE72" s="11">
        <f>IFERROR(AD72/AD148, "NA")</f>
        <v>-1.1446579786314269E-2</v>
      </c>
      <c r="AF72" s="10">
        <f t="shared" si="26"/>
        <v>-1</v>
      </c>
      <c r="AG72" s="9">
        <f t="shared" si="27"/>
        <v>52.875</v>
      </c>
      <c r="AH72" s="8">
        <f>IFERROR(AG72/AG148, "NA")</f>
        <v>1.7034190398757109E-3</v>
      </c>
      <c r="AI72" s="10">
        <f t="shared" si="28"/>
        <v>-52.875</v>
      </c>
      <c r="AJ72" s="11">
        <f>IFERROR(AI72/AI148, "NA")</f>
        <v>-3.8542232537407371E-3</v>
      </c>
      <c r="AK72" s="10">
        <f t="shared" si="29"/>
        <v>-1</v>
      </c>
      <c r="AL72" s="11">
        <f>IFERROR(AK72/AK148, "NA")</f>
        <v>-2.2626395288043502</v>
      </c>
    </row>
    <row r="73" spans="1:38" ht="16.5" customHeight="1" x14ac:dyDescent="0.3">
      <c r="A73" s="24" t="s">
        <v>85</v>
      </c>
      <c r="B73" s="2"/>
      <c r="C73" s="3"/>
      <c r="D73" s="2"/>
      <c r="E73" s="3"/>
      <c r="F73" s="2"/>
      <c r="G73" s="3"/>
      <c r="H73" s="2"/>
      <c r="I73" s="3"/>
      <c r="J73" s="2"/>
      <c r="K73" s="3"/>
      <c r="L73" s="2"/>
      <c r="M73" s="3"/>
      <c r="N73" s="2"/>
      <c r="O73" s="3"/>
      <c r="P73" s="2"/>
      <c r="Q73" s="3"/>
      <c r="R73" s="2"/>
      <c r="S73" s="3"/>
      <c r="T73" s="2"/>
      <c r="U73" s="3"/>
      <c r="V73" s="2"/>
      <c r="W73" s="3"/>
      <c r="X73" s="2"/>
      <c r="Y73" s="3"/>
      <c r="Z73" s="2"/>
      <c r="AA73" s="3"/>
      <c r="AB73" s="2"/>
      <c r="AC73" s="3"/>
      <c r="AD73" s="4"/>
      <c r="AE73" s="5"/>
      <c r="AF73" s="4"/>
      <c r="AG73" s="2"/>
      <c r="AH73" s="3"/>
      <c r="AI73" s="4"/>
      <c r="AJ73" s="5"/>
      <c r="AK73" s="4"/>
      <c r="AL73" s="5"/>
    </row>
    <row r="74" spans="1:38" ht="16.5" customHeight="1" x14ac:dyDescent="0.3">
      <c r="A74" s="25" t="s">
        <v>86</v>
      </c>
      <c r="B74" s="7">
        <v>565.04999999999995</v>
      </c>
      <c r="C74" s="8">
        <f>IFERROR(B74/B148, "NA")</f>
        <v>2.0970744503182072E-2</v>
      </c>
      <c r="D74" s="7">
        <v>690.23</v>
      </c>
      <c r="E74" s="8">
        <f>IFERROR(D74/D148, "NA")</f>
        <v>2.8741643757354787E-2</v>
      </c>
      <c r="F74" s="7">
        <v>603.07000000000005</v>
      </c>
      <c r="G74" s="8">
        <f>IFERROR(F74/F148, "NA")</f>
        <v>2.1873234113642021E-2</v>
      </c>
      <c r="H74" s="7">
        <v>595.38</v>
      </c>
      <c r="I74" s="8">
        <f>IFERROR(H74/H148, "NA")</f>
        <v>1.9402934002062895E-2</v>
      </c>
      <c r="J74" s="7">
        <v>558.34</v>
      </c>
      <c r="K74" s="8">
        <f>IFERROR(J74/J148, "NA")</f>
        <v>2.6193703171495712E-2</v>
      </c>
      <c r="L74" s="7">
        <v>687.95</v>
      </c>
      <c r="M74" s="8">
        <f>IFERROR(L74/L148, "NA")</f>
        <v>2.0723027155464424E-2</v>
      </c>
      <c r="N74" s="7">
        <v>594.36</v>
      </c>
      <c r="O74" s="8">
        <f>IFERROR(N74/N148, "NA")</f>
        <v>2.2777955556236861E-2</v>
      </c>
      <c r="P74" s="7">
        <v>584.4</v>
      </c>
      <c r="Q74" s="8">
        <f>IFERROR(P74/P148, "NA")</f>
        <v>2.2797295220291933E-2</v>
      </c>
      <c r="R74" s="7">
        <v>644.23</v>
      </c>
      <c r="S74" s="8">
        <f>IFERROR(R74/R148, "NA")</f>
        <v>1.8706870142559923E-2</v>
      </c>
      <c r="T74" s="7">
        <v>576.63</v>
      </c>
      <c r="U74" s="8">
        <f>IFERROR(T74/T148, "NA")</f>
        <v>2.0197990253908383E-2</v>
      </c>
      <c r="V74" s="7">
        <v>689.01</v>
      </c>
      <c r="W74" s="8">
        <f>IFERROR(V74/V148, "NA")</f>
        <v>2.0066465927256767E-2</v>
      </c>
      <c r="X74" s="7">
        <v>781.94</v>
      </c>
      <c r="Y74" s="8">
        <f>IFERROR(X74/X148, "NA")</f>
        <v>1.7469916260847203E-2</v>
      </c>
      <c r="Z74" s="7">
        <v>2047.58</v>
      </c>
      <c r="AA74" s="8">
        <f>IFERROR(Z74/Z148, "NA")</f>
        <v>1.9021687127535544E-2</v>
      </c>
      <c r="AB74" s="9">
        <f t="shared" ref="AB74:AB85" si="30">IFERROR((R74+T74+V74+X74)/4, "NA")</f>
        <v>672.9525000000001</v>
      </c>
      <c r="AC74" s="8">
        <f>IFERROR(AB74/AB148, "NA")</f>
        <v>1.8945381438198124E-2</v>
      </c>
      <c r="AD74" s="10">
        <f t="shared" ref="AD74:AD85" si="31">IFERROR(X74-AB74, "NA")</f>
        <v>108.98749999999995</v>
      </c>
      <c r="AE74" s="11">
        <f>IFERROR(AD74/AD148, "NA")</f>
        <v>1.1797012902703791E-2</v>
      </c>
      <c r="AF74" s="10">
        <f t="shared" ref="AF74:AF85" si="32">IFERROR((X74-AB74)/AB74, "NA")</f>
        <v>0.16195422410942814</v>
      </c>
      <c r="AG74" s="9">
        <f t="shared" ref="AG74:AG85" si="33">IFERROR((J74+L74+N74+P74+R74+T74+V74+X74)/8, "NA")</f>
        <v>639.60750000000007</v>
      </c>
      <c r="AH74" s="8">
        <f>IFERROR(AG74/AG148, "NA")</f>
        <v>2.0605571509168866E-2</v>
      </c>
      <c r="AI74" s="10">
        <f t="shared" ref="AI74:AI85" si="34">IFERROR(X74-AG74, "NA")</f>
        <v>142.33249999999998</v>
      </c>
      <c r="AJ74" s="11">
        <f>IFERROR(AI74/AI148, "NA")</f>
        <v>1.037505874729179E-2</v>
      </c>
      <c r="AK74" s="10">
        <f t="shared" ref="AK74:AK85" si="35">IFERROR((X74-AG74)/AG74, "NA")</f>
        <v>0.22253100534312054</v>
      </c>
      <c r="AL74" s="11">
        <f>IFERROR(AK74/AK148, "NA")</f>
        <v>0.50350744907391665</v>
      </c>
    </row>
    <row r="75" spans="1:38" ht="16.5" hidden="1" customHeight="1" x14ac:dyDescent="0.3">
      <c r="A75" s="25" t="s">
        <v>87</v>
      </c>
      <c r="B75" s="7">
        <v>0</v>
      </c>
      <c r="C75" s="8">
        <f>IFERROR(B75/B148, "NA")</f>
        <v>0</v>
      </c>
      <c r="D75" s="7">
        <v>0</v>
      </c>
      <c r="E75" s="8">
        <f>IFERROR(D75/D148, "NA")</f>
        <v>0</v>
      </c>
      <c r="F75" s="7">
        <v>0</v>
      </c>
      <c r="G75" s="8">
        <f>IFERROR(F75/F148, "NA")</f>
        <v>0</v>
      </c>
      <c r="H75" s="7">
        <v>0</v>
      </c>
      <c r="I75" s="8">
        <f>IFERROR(H75/H148, "NA")</f>
        <v>0</v>
      </c>
      <c r="J75" s="7">
        <v>0</v>
      </c>
      <c r="K75" s="8">
        <f>IFERROR(J75/J148, "NA")</f>
        <v>0</v>
      </c>
      <c r="L75" s="7">
        <v>0</v>
      </c>
      <c r="M75" s="8">
        <f>IFERROR(L75/L148, "NA")</f>
        <v>0</v>
      </c>
      <c r="N75" s="7">
        <v>0</v>
      </c>
      <c r="O75" s="8">
        <f>IFERROR(N75/N148, "NA")</f>
        <v>0</v>
      </c>
      <c r="P75" s="7">
        <v>0</v>
      </c>
      <c r="Q75" s="8">
        <f>IFERROR(P75/P148, "NA")</f>
        <v>0</v>
      </c>
      <c r="R75" s="7">
        <v>0</v>
      </c>
      <c r="S75" s="8">
        <f>IFERROR(R75/R148, "NA")</f>
        <v>0</v>
      </c>
      <c r="T75" s="7">
        <v>0</v>
      </c>
      <c r="U75" s="8">
        <f>IFERROR(T75/T148, "NA")</f>
        <v>0</v>
      </c>
      <c r="V75" s="7">
        <v>0</v>
      </c>
      <c r="W75" s="8">
        <f>IFERROR(V75/V148, "NA")</f>
        <v>0</v>
      </c>
      <c r="X75" s="7">
        <v>0</v>
      </c>
      <c r="Y75" s="8">
        <f>IFERROR(X75/X148, "NA")</f>
        <v>0</v>
      </c>
      <c r="Z75" s="7">
        <v>0</v>
      </c>
      <c r="AA75" s="8">
        <f>IFERROR(Z75/Z148, "NA")</f>
        <v>0</v>
      </c>
      <c r="AB75" s="9">
        <f t="shared" si="30"/>
        <v>0</v>
      </c>
      <c r="AC75" s="8">
        <f>IFERROR(AB75/AB148, "NA")</f>
        <v>0</v>
      </c>
      <c r="AD75" s="10">
        <f t="shared" si="31"/>
        <v>0</v>
      </c>
      <c r="AE75" s="11">
        <f>IFERROR(AD75/AD148, "NA")</f>
        <v>0</v>
      </c>
      <c r="AF75" s="10" t="str">
        <f t="shared" si="32"/>
        <v>NA</v>
      </c>
      <c r="AG75" s="9">
        <f t="shared" si="33"/>
        <v>0</v>
      </c>
      <c r="AH75" s="8">
        <f>IFERROR(AG75/AG148, "NA")</f>
        <v>0</v>
      </c>
      <c r="AI75" s="10">
        <f t="shared" si="34"/>
        <v>0</v>
      </c>
      <c r="AJ75" s="11">
        <f>IFERROR(AI75/AI148, "NA")</f>
        <v>0</v>
      </c>
      <c r="AK75" s="10" t="str">
        <f t="shared" si="35"/>
        <v>NA</v>
      </c>
      <c r="AL75" s="11" t="str">
        <f>IFERROR(AK75/AK148, "NA")</f>
        <v>NA</v>
      </c>
    </row>
    <row r="76" spans="1:38" ht="16.5" hidden="1" customHeight="1" x14ac:dyDescent="0.3">
      <c r="A76" s="25" t="s">
        <v>88</v>
      </c>
      <c r="B76" s="7">
        <v>0</v>
      </c>
      <c r="C76" s="8">
        <f>IFERROR(B76/B148, "NA")</f>
        <v>0</v>
      </c>
      <c r="D76" s="7">
        <v>0</v>
      </c>
      <c r="E76" s="8">
        <f>IFERROR(D76/D148, "NA")</f>
        <v>0</v>
      </c>
      <c r="F76" s="7">
        <v>0</v>
      </c>
      <c r="G76" s="8">
        <f>IFERROR(F76/F148, "NA")</f>
        <v>0</v>
      </c>
      <c r="H76" s="7">
        <v>0</v>
      </c>
      <c r="I76" s="8">
        <f>IFERROR(H76/H148, "NA")</f>
        <v>0</v>
      </c>
      <c r="J76" s="7">
        <v>0</v>
      </c>
      <c r="K76" s="8">
        <f>IFERROR(J76/J148, "NA")</f>
        <v>0</v>
      </c>
      <c r="L76" s="7">
        <v>0</v>
      </c>
      <c r="M76" s="8">
        <f>IFERROR(L76/L148, "NA")</f>
        <v>0</v>
      </c>
      <c r="N76" s="7">
        <v>0</v>
      </c>
      <c r="O76" s="8">
        <f>IFERROR(N76/N148, "NA")</f>
        <v>0</v>
      </c>
      <c r="P76" s="7">
        <v>0</v>
      </c>
      <c r="Q76" s="8">
        <f>IFERROR(P76/P148, "NA")</f>
        <v>0</v>
      </c>
      <c r="R76" s="7">
        <v>0</v>
      </c>
      <c r="S76" s="8">
        <f>IFERROR(R76/R148, "NA")</f>
        <v>0</v>
      </c>
      <c r="T76" s="7">
        <v>0</v>
      </c>
      <c r="U76" s="8">
        <f>IFERROR(T76/T148, "NA")</f>
        <v>0</v>
      </c>
      <c r="V76" s="7">
        <v>0</v>
      </c>
      <c r="W76" s="8">
        <f>IFERROR(V76/V148, "NA")</f>
        <v>0</v>
      </c>
      <c r="X76" s="7">
        <v>0</v>
      </c>
      <c r="Y76" s="8">
        <f>IFERROR(X76/X148, "NA")</f>
        <v>0</v>
      </c>
      <c r="Z76" s="7">
        <v>0</v>
      </c>
      <c r="AA76" s="8">
        <f>IFERROR(Z76/Z148, "NA")</f>
        <v>0</v>
      </c>
      <c r="AB76" s="9">
        <f t="shared" si="30"/>
        <v>0</v>
      </c>
      <c r="AC76" s="8">
        <f>IFERROR(AB76/AB148, "NA")</f>
        <v>0</v>
      </c>
      <c r="AD76" s="10">
        <f t="shared" si="31"/>
        <v>0</v>
      </c>
      <c r="AE76" s="11">
        <f>IFERROR(AD76/AD148, "NA")</f>
        <v>0</v>
      </c>
      <c r="AF76" s="10" t="str">
        <f t="shared" si="32"/>
        <v>NA</v>
      </c>
      <c r="AG76" s="9">
        <f t="shared" si="33"/>
        <v>0</v>
      </c>
      <c r="AH76" s="8">
        <f>IFERROR(AG76/AG148, "NA")</f>
        <v>0</v>
      </c>
      <c r="AI76" s="10">
        <f t="shared" si="34"/>
        <v>0</v>
      </c>
      <c r="AJ76" s="11">
        <f>IFERROR(AI76/AI148, "NA")</f>
        <v>0</v>
      </c>
      <c r="AK76" s="10" t="str">
        <f t="shared" si="35"/>
        <v>NA</v>
      </c>
      <c r="AL76" s="11" t="str">
        <f>IFERROR(AK76/AK148, "NA")</f>
        <v>NA</v>
      </c>
    </row>
    <row r="77" spans="1:38" ht="16.5" hidden="1" customHeight="1" x14ac:dyDescent="0.3">
      <c r="A77" s="25" t="s">
        <v>89</v>
      </c>
      <c r="B77" s="7">
        <v>0</v>
      </c>
      <c r="C77" s="8">
        <f>IFERROR(B77/B148, "NA")</f>
        <v>0</v>
      </c>
      <c r="D77" s="7">
        <v>0</v>
      </c>
      <c r="E77" s="8">
        <f>IFERROR(D77/D148, "NA")</f>
        <v>0</v>
      </c>
      <c r="F77" s="7">
        <v>0</v>
      </c>
      <c r="G77" s="8">
        <f>IFERROR(F77/F148, "NA")</f>
        <v>0</v>
      </c>
      <c r="H77" s="7">
        <v>0</v>
      </c>
      <c r="I77" s="8">
        <f>IFERROR(H77/H148, "NA")</f>
        <v>0</v>
      </c>
      <c r="J77" s="7">
        <v>0</v>
      </c>
      <c r="K77" s="8">
        <f>IFERROR(J77/J148, "NA")</f>
        <v>0</v>
      </c>
      <c r="L77" s="7">
        <v>0</v>
      </c>
      <c r="M77" s="8">
        <f>IFERROR(L77/L148, "NA")</f>
        <v>0</v>
      </c>
      <c r="N77" s="7">
        <v>0</v>
      </c>
      <c r="O77" s="8">
        <f>IFERROR(N77/N148, "NA")</f>
        <v>0</v>
      </c>
      <c r="P77" s="7">
        <v>0</v>
      </c>
      <c r="Q77" s="8">
        <f>IFERROR(P77/P148, "NA")</f>
        <v>0</v>
      </c>
      <c r="R77" s="7">
        <v>0</v>
      </c>
      <c r="S77" s="8">
        <f>IFERROR(R77/R148, "NA")</f>
        <v>0</v>
      </c>
      <c r="T77" s="7">
        <v>0</v>
      </c>
      <c r="U77" s="8">
        <f>IFERROR(T77/T148, "NA")</f>
        <v>0</v>
      </c>
      <c r="V77" s="7">
        <v>0</v>
      </c>
      <c r="W77" s="8">
        <f>IFERROR(V77/V148, "NA")</f>
        <v>0</v>
      </c>
      <c r="X77" s="7">
        <v>0</v>
      </c>
      <c r="Y77" s="8">
        <f>IFERROR(X77/X148, "NA")</f>
        <v>0</v>
      </c>
      <c r="Z77" s="7">
        <v>0</v>
      </c>
      <c r="AA77" s="8">
        <f>IFERROR(Z77/Z148, "NA")</f>
        <v>0</v>
      </c>
      <c r="AB77" s="9">
        <f t="shared" si="30"/>
        <v>0</v>
      </c>
      <c r="AC77" s="8">
        <f>IFERROR(AB77/AB148, "NA")</f>
        <v>0</v>
      </c>
      <c r="AD77" s="10">
        <f t="shared" si="31"/>
        <v>0</v>
      </c>
      <c r="AE77" s="11">
        <f>IFERROR(AD77/AD148, "NA")</f>
        <v>0</v>
      </c>
      <c r="AF77" s="10" t="str">
        <f t="shared" si="32"/>
        <v>NA</v>
      </c>
      <c r="AG77" s="9">
        <f t="shared" si="33"/>
        <v>0</v>
      </c>
      <c r="AH77" s="8">
        <f>IFERROR(AG77/AG148, "NA")</f>
        <v>0</v>
      </c>
      <c r="AI77" s="10">
        <f t="shared" si="34"/>
        <v>0</v>
      </c>
      <c r="AJ77" s="11">
        <f>IFERROR(AI77/AI148, "NA")</f>
        <v>0</v>
      </c>
      <c r="AK77" s="10" t="str">
        <f t="shared" si="35"/>
        <v>NA</v>
      </c>
      <c r="AL77" s="11" t="str">
        <f>IFERROR(AK77/AK148, "NA")</f>
        <v>NA</v>
      </c>
    </row>
    <row r="78" spans="1:38" ht="16.5" hidden="1" customHeight="1" x14ac:dyDescent="0.3">
      <c r="A78" s="25" t="s">
        <v>90</v>
      </c>
      <c r="B78" s="7">
        <v>0</v>
      </c>
      <c r="C78" s="8">
        <f>IFERROR(B78/B148, "NA")</f>
        <v>0</v>
      </c>
      <c r="D78" s="7">
        <v>0</v>
      </c>
      <c r="E78" s="8">
        <f>IFERROR(D78/D148, "NA")</f>
        <v>0</v>
      </c>
      <c r="F78" s="7">
        <v>0</v>
      </c>
      <c r="G78" s="8">
        <f>IFERROR(F78/F148, "NA")</f>
        <v>0</v>
      </c>
      <c r="H78" s="7">
        <v>0</v>
      </c>
      <c r="I78" s="8">
        <f>IFERROR(H78/H148, "NA")</f>
        <v>0</v>
      </c>
      <c r="J78" s="7">
        <v>0</v>
      </c>
      <c r="K78" s="8">
        <f>IFERROR(J78/J148, "NA")</f>
        <v>0</v>
      </c>
      <c r="L78" s="7">
        <v>0</v>
      </c>
      <c r="M78" s="8">
        <f>IFERROR(L78/L148, "NA")</f>
        <v>0</v>
      </c>
      <c r="N78" s="7">
        <v>0</v>
      </c>
      <c r="O78" s="8">
        <f>IFERROR(N78/N148, "NA")</f>
        <v>0</v>
      </c>
      <c r="P78" s="7">
        <v>0</v>
      </c>
      <c r="Q78" s="8">
        <f>IFERROR(P78/P148, "NA")</f>
        <v>0</v>
      </c>
      <c r="R78" s="7">
        <v>0</v>
      </c>
      <c r="S78" s="8">
        <f>IFERROR(R78/R148, "NA")</f>
        <v>0</v>
      </c>
      <c r="T78" s="7">
        <v>0</v>
      </c>
      <c r="U78" s="8">
        <f>IFERROR(T78/T148, "NA")</f>
        <v>0</v>
      </c>
      <c r="V78" s="7">
        <v>0</v>
      </c>
      <c r="W78" s="8">
        <f>IFERROR(V78/V148, "NA")</f>
        <v>0</v>
      </c>
      <c r="X78" s="7">
        <v>0</v>
      </c>
      <c r="Y78" s="8">
        <f>IFERROR(X78/X148, "NA")</f>
        <v>0</v>
      </c>
      <c r="Z78" s="7">
        <v>0</v>
      </c>
      <c r="AA78" s="8">
        <f>IFERROR(Z78/Z148, "NA")</f>
        <v>0</v>
      </c>
      <c r="AB78" s="9">
        <f t="shared" si="30"/>
        <v>0</v>
      </c>
      <c r="AC78" s="8">
        <f>IFERROR(AB78/AB148, "NA")</f>
        <v>0</v>
      </c>
      <c r="AD78" s="10">
        <f t="shared" si="31"/>
        <v>0</v>
      </c>
      <c r="AE78" s="11">
        <f>IFERROR(AD78/AD148, "NA")</f>
        <v>0</v>
      </c>
      <c r="AF78" s="10" t="str">
        <f t="shared" si="32"/>
        <v>NA</v>
      </c>
      <c r="AG78" s="9">
        <f t="shared" si="33"/>
        <v>0</v>
      </c>
      <c r="AH78" s="8">
        <f>IFERROR(AG78/AG148, "NA")</f>
        <v>0</v>
      </c>
      <c r="AI78" s="10">
        <f t="shared" si="34"/>
        <v>0</v>
      </c>
      <c r="AJ78" s="11">
        <f>IFERROR(AI78/AI148, "NA")</f>
        <v>0</v>
      </c>
      <c r="AK78" s="10" t="str">
        <f t="shared" si="35"/>
        <v>NA</v>
      </c>
      <c r="AL78" s="11" t="str">
        <f>IFERROR(AK78/AK148, "NA")</f>
        <v>NA</v>
      </c>
    </row>
    <row r="79" spans="1:38" ht="16.5" hidden="1" customHeight="1" x14ac:dyDescent="0.3">
      <c r="A79" s="25" t="s">
        <v>91</v>
      </c>
      <c r="B79" s="7">
        <v>0</v>
      </c>
      <c r="C79" s="8">
        <f>IFERROR(B79/B148, "NA")</f>
        <v>0</v>
      </c>
      <c r="D79" s="7">
        <v>0</v>
      </c>
      <c r="E79" s="8">
        <f>IFERROR(D79/D148, "NA")</f>
        <v>0</v>
      </c>
      <c r="F79" s="7">
        <v>0</v>
      </c>
      <c r="G79" s="8">
        <f>IFERROR(F79/F148, "NA")</f>
        <v>0</v>
      </c>
      <c r="H79" s="7">
        <v>0</v>
      </c>
      <c r="I79" s="8">
        <f>IFERROR(H79/H148, "NA")</f>
        <v>0</v>
      </c>
      <c r="J79" s="7">
        <v>0</v>
      </c>
      <c r="K79" s="8">
        <f>IFERROR(J79/J148, "NA")</f>
        <v>0</v>
      </c>
      <c r="L79" s="7">
        <v>0</v>
      </c>
      <c r="M79" s="8">
        <f>IFERROR(L79/L148, "NA")</f>
        <v>0</v>
      </c>
      <c r="N79" s="7">
        <v>0</v>
      </c>
      <c r="O79" s="8">
        <f>IFERROR(N79/N148, "NA")</f>
        <v>0</v>
      </c>
      <c r="P79" s="7">
        <v>0</v>
      </c>
      <c r="Q79" s="8">
        <f>IFERROR(P79/P148, "NA")</f>
        <v>0</v>
      </c>
      <c r="R79" s="7">
        <v>0</v>
      </c>
      <c r="S79" s="8">
        <f>IFERROR(R79/R148, "NA")</f>
        <v>0</v>
      </c>
      <c r="T79" s="7">
        <v>0</v>
      </c>
      <c r="U79" s="8">
        <f>IFERROR(T79/T148, "NA")</f>
        <v>0</v>
      </c>
      <c r="V79" s="7">
        <v>0</v>
      </c>
      <c r="W79" s="8">
        <f>IFERROR(V79/V148, "NA")</f>
        <v>0</v>
      </c>
      <c r="X79" s="7">
        <v>0</v>
      </c>
      <c r="Y79" s="8">
        <f>IFERROR(X79/X148, "NA")</f>
        <v>0</v>
      </c>
      <c r="Z79" s="7">
        <v>0</v>
      </c>
      <c r="AA79" s="8">
        <f>IFERROR(Z79/Z148, "NA")</f>
        <v>0</v>
      </c>
      <c r="AB79" s="9">
        <f t="shared" si="30"/>
        <v>0</v>
      </c>
      <c r="AC79" s="8">
        <f>IFERROR(AB79/AB148, "NA")</f>
        <v>0</v>
      </c>
      <c r="AD79" s="10">
        <f t="shared" si="31"/>
        <v>0</v>
      </c>
      <c r="AE79" s="11">
        <f>IFERROR(AD79/AD148, "NA")</f>
        <v>0</v>
      </c>
      <c r="AF79" s="10" t="str">
        <f t="shared" si="32"/>
        <v>NA</v>
      </c>
      <c r="AG79" s="9">
        <f t="shared" si="33"/>
        <v>0</v>
      </c>
      <c r="AH79" s="8">
        <f>IFERROR(AG79/AG148, "NA")</f>
        <v>0</v>
      </c>
      <c r="AI79" s="10">
        <f t="shared" si="34"/>
        <v>0</v>
      </c>
      <c r="AJ79" s="11">
        <f>IFERROR(AI79/AI148, "NA")</f>
        <v>0</v>
      </c>
      <c r="AK79" s="10" t="str">
        <f t="shared" si="35"/>
        <v>NA</v>
      </c>
      <c r="AL79" s="11" t="str">
        <f>IFERROR(AK79/AK148, "NA")</f>
        <v>NA</v>
      </c>
    </row>
    <row r="80" spans="1:38" ht="16.5" hidden="1" customHeight="1" x14ac:dyDescent="0.3">
      <c r="A80" s="25" t="s">
        <v>92</v>
      </c>
      <c r="B80" s="7">
        <v>0</v>
      </c>
      <c r="C80" s="8">
        <f>IFERROR(B80/B148, "NA")</f>
        <v>0</v>
      </c>
      <c r="D80" s="7">
        <v>0</v>
      </c>
      <c r="E80" s="8">
        <f>IFERROR(D80/D148, "NA")</f>
        <v>0</v>
      </c>
      <c r="F80" s="7">
        <v>0</v>
      </c>
      <c r="G80" s="8">
        <f>IFERROR(F80/F148, "NA")</f>
        <v>0</v>
      </c>
      <c r="H80" s="7">
        <v>0</v>
      </c>
      <c r="I80" s="8">
        <f>IFERROR(H80/H148, "NA")</f>
        <v>0</v>
      </c>
      <c r="J80" s="7">
        <v>0</v>
      </c>
      <c r="K80" s="8">
        <f>IFERROR(J80/J148, "NA")</f>
        <v>0</v>
      </c>
      <c r="L80" s="7">
        <v>0</v>
      </c>
      <c r="M80" s="8">
        <f>IFERROR(L80/L148, "NA")</f>
        <v>0</v>
      </c>
      <c r="N80" s="7">
        <v>0</v>
      </c>
      <c r="O80" s="8">
        <f>IFERROR(N80/N148, "NA")</f>
        <v>0</v>
      </c>
      <c r="P80" s="7">
        <v>0</v>
      </c>
      <c r="Q80" s="8">
        <f>IFERROR(P80/P148, "NA")</f>
        <v>0</v>
      </c>
      <c r="R80" s="7">
        <v>0</v>
      </c>
      <c r="S80" s="8">
        <f>IFERROR(R80/R148, "NA")</f>
        <v>0</v>
      </c>
      <c r="T80" s="7">
        <v>0</v>
      </c>
      <c r="U80" s="8">
        <f>IFERROR(T80/T148, "NA")</f>
        <v>0</v>
      </c>
      <c r="V80" s="7">
        <v>0</v>
      </c>
      <c r="W80" s="8">
        <f>IFERROR(V80/V148, "NA")</f>
        <v>0</v>
      </c>
      <c r="X80" s="7">
        <v>0</v>
      </c>
      <c r="Y80" s="8">
        <f>IFERROR(X80/X148, "NA")</f>
        <v>0</v>
      </c>
      <c r="Z80" s="7">
        <v>0</v>
      </c>
      <c r="AA80" s="8">
        <f>IFERROR(Z80/Z148, "NA")</f>
        <v>0</v>
      </c>
      <c r="AB80" s="9">
        <f t="shared" si="30"/>
        <v>0</v>
      </c>
      <c r="AC80" s="8">
        <f>IFERROR(AB80/AB148, "NA")</f>
        <v>0</v>
      </c>
      <c r="AD80" s="10">
        <f t="shared" si="31"/>
        <v>0</v>
      </c>
      <c r="AE80" s="11">
        <f>IFERROR(AD80/AD148, "NA")</f>
        <v>0</v>
      </c>
      <c r="AF80" s="10" t="str">
        <f t="shared" si="32"/>
        <v>NA</v>
      </c>
      <c r="AG80" s="9">
        <f t="shared" si="33"/>
        <v>0</v>
      </c>
      <c r="AH80" s="8">
        <f>IFERROR(AG80/AG148, "NA")</f>
        <v>0</v>
      </c>
      <c r="AI80" s="10">
        <f t="shared" si="34"/>
        <v>0</v>
      </c>
      <c r="AJ80" s="11">
        <f>IFERROR(AI80/AI148, "NA")</f>
        <v>0</v>
      </c>
      <c r="AK80" s="10" t="str">
        <f t="shared" si="35"/>
        <v>NA</v>
      </c>
      <c r="AL80" s="11" t="str">
        <f>IFERROR(AK80/AK148, "NA")</f>
        <v>NA</v>
      </c>
    </row>
    <row r="81" spans="1:38" ht="16.5" customHeight="1" x14ac:dyDescent="0.3">
      <c r="A81" s="26" t="s">
        <v>93</v>
      </c>
      <c r="B81" s="13">
        <f>IFERROR(B74+B75+B76+B77+B78+B79+B80, "NA")</f>
        <v>565.04999999999995</v>
      </c>
      <c r="C81" s="14">
        <f>IFERROR(B81/B148, "NA")</f>
        <v>2.0970744503182072E-2</v>
      </c>
      <c r="D81" s="13">
        <f>IFERROR(D74+D75+D76+D77+D78+D79+D80, "NA")</f>
        <v>690.23</v>
      </c>
      <c r="E81" s="14">
        <f>IFERROR(D81/D148, "NA")</f>
        <v>2.8741643757354787E-2</v>
      </c>
      <c r="F81" s="13">
        <f>IFERROR(F74+F75+F76+F77+F78+F79+F80, "NA")</f>
        <v>603.07000000000005</v>
      </c>
      <c r="G81" s="14">
        <f>IFERROR(F81/F148, "NA")</f>
        <v>2.1873234113642021E-2</v>
      </c>
      <c r="H81" s="13">
        <f>IFERROR(H74+H75+H76+H77+H78+H79+H80, "NA")</f>
        <v>595.38</v>
      </c>
      <c r="I81" s="14">
        <f>IFERROR(H81/H148, "NA")</f>
        <v>1.9402934002062895E-2</v>
      </c>
      <c r="J81" s="13">
        <f>IFERROR(J74+J75+J76+J77+J78+J79+J80, "NA")</f>
        <v>558.34</v>
      </c>
      <c r="K81" s="14">
        <f>IFERROR(J81/J148, "NA")</f>
        <v>2.6193703171495712E-2</v>
      </c>
      <c r="L81" s="13">
        <f>IFERROR(L74+L75+L76+L77+L78+L79+L80, "NA")</f>
        <v>687.95</v>
      </c>
      <c r="M81" s="14">
        <f>IFERROR(L81/L148, "NA")</f>
        <v>2.0723027155464424E-2</v>
      </c>
      <c r="N81" s="13">
        <f>IFERROR(N74+N75+N76+N77+N78+N79+N80, "NA")</f>
        <v>594.36</v>
      </c>
      <c r="O81" s="14">
        <f>IFERROR(N81/N148, "NA")</f>
        <v>2.2777955556236861E-2</v>
      </c>
      <c r="P81" s="13">
        <f>IFERROR(P74+P75+P76+P77+P78+P79+P80, "NA")</f>
        <v>584.4</v>
      </c>
      <c r="Q81" s="14">
        <f>IFERROR(P81/P148, "NA")</f>
        <v>2.2797295220291933E-2</v>
      </c>
      <c r="R81" s="13">
        <f>IFERROR(R74+R75+R76+R77+R78+R79+R80, "NA")</f>
        <v>644.23</v>
      </c>
      <c r="S81" s="14">
        <f>IFERROR(R81/R148, "NA")</f>
        <v>1.8706870142559923E-2</v>
      </c>
      <c r="T81" s="13">
        <f>IFERROR(T74+T75+T76+T77+T78+T79+T80, "NA")</f>
        <v>576.63</v>
      </c>
      <c r="U81" s="14">
        <f>IFERROR(T81/T148, "NA")</f>
        <v>2.0197990253908383E-2</v>
      </c>
      <c r="V81" s="13">
        <f>IFERROR(V74+V75+V76+V77+V78+V79+V80, "NA")</f>
        <v>689.01</v>
      </c>
      <c r="W81" s="14">
        <f>IFERROR(V81/V148, "NA")</f>
        <v>2.0066465927256767E-2</v>
      </c>
      <c r="X81" s="13">
        <f>IFERROR(X74+X75+X76+X77+X78+X79+X80, "NA")</f>
        <v>781.94</v>
      </c>
      <c r="Y81" s="14">
        <f>IFERROR(X81/X148, "NA")</f>
        <v>1.7469916260847203E-2</v>
      </c>
      <c r="Z81" s="13">
        <f>IFERROR(Z74+Z75+Z76+Z77+Z78+Z79+Z80, "NA")</f>
        <v>2047.58</v>
      </c>
      <c r="AA81" s="14">
        <f>IFERROR(Z81/Z148, "NA")</f>
        <v>1.9021687127535544E-2</v>
      </c>
      <c r="AB81" s="13">
        <f t="shared" si="30"/>
        <v>672.9525000000001</v>
      </c>
      <c r="AC81" s="14">
        <f>IFERROR(AB81/AB148, "NA")</f>
        <v>1.8945381438198124E-2</v>
      </c>
      <c r="AD81" s="15">
        <f t="shared" si="31"/>
        <v>108.98749999999995</v>
      </c>
      <c r="AE81" s="16">
        <f>IFERROR(AD81/AD148, "NA")</f>
        <v>1.1797012902703791E-2</v>
      </c>
      <c r="AF81" s="15">
        <f t="shared" si="32"/>
        <v>0.16195422410942814</v>
      </c>
      <c r="AG81" s="13">
        <f t="shared" si="33"/>
        <v>639.60750000000007</v>
      </c>
      <c r="AH81" s="14">
        <f>IFERROR(AG81/AG148, "NA")</f>
        <v>2.0605571509168866E-2</v>
      </c>
      <c r="AI81" s="15">
        <f t="shared" si="34"/>
        <v>142.33249999999998</v>
      </c>
      <c r="AJ81" s="16">
        <f>IFERROR(AI81/AI148, "NA")</f>
        <v>1.037505874729179E-2</v>
      </c>
      <c r="AK81" s="15">
        <f t="shared" si="35"/>
        <v>0.22253100534312054</v>
      </c>
      <c r="AL81" s="16">
        <f>IFERROR(AK81/AK148, "NA")</f>
        <v>0.50350744907391665</v>
      </c>
    </row>
    <row r="82" spans="1:38" ht="16.5" customHeight="1" x14ac:dyDescent="0.3">
      <c r="A82" s="23" t="s">
        <v>94</v>
      </c>
      <c r="B82" s="7">
        <v>239.12</v>
      </c>
      <c r="C82" s="8">
        <f>IFERROR(B82/B148, "NA")</f>
        <v>8.8744791179557522E-3</v>
      </c>
      <c r="D82" s="7">
        <v>0</v>
      </c>
      <c r="E82" s="8">
        <f>IFERROR(D82/D148, "NA")</f>
        <v>0</v>
      </c>
      <c r="F82" s="7">
        <v>0</v>
      </c>
      <c r="G82" s="8">
        <f>IFERROR(F82/F148, "NA")</f>
        <v>0</v>
      </c>
      <c r="H82" s="7">
        <v>0</v>
      </c>
      <c r="I82" s="8">
        <f>IFERROR(H82/H148, "NA")</f>
        <v>0</v>
      </c>
      <c r="J82" s="7">
        <v>248</v>
      </c>
      <c r="K82" s="8">
        <f>IFERROR(J82/J148, "NA")</f>
        <v>1.1634556697587378E-2</v>
      </c>
      <c r="L82" s="7">
        <v>0</v>
      </c>
      <c r="M82" s="8">
        <f>IFERROR(L82/L148, "NA")</f>
        <v>0</v>
      </c>
      <c r="N82" s="7">
        <v>0</v>
      </c>
      <c r="O82" s="8">
        <f>IFERROR(N82/N148, "NA")</f>
        <v>0</v>
      </c>
      <c r="P82" s="7">
        <v>0</v>
      </c>
      <c r="Q82" s="8">
        <f>IFERROR(P82/P148, "NA")</f>
        <v>0</v>
      </c>
      <c r="R82" s="7">
        <v>0</v>
      </c>
      <c r="S82" s="8">
        <f>IFERROR(R82/R148, "NA")</f>
        <v>0</v>
      </c>
      <c r="T82" s="7">
        <v>260</v>
      </c>
      <c r="U82" s="8">
        <f>IFERROR(T82/T148, "NA")</f>
        <v>9.1071873922899949E-3</v>
      </c>
      <c r="V82" s="7">
        <v>0</v>
      </c>
      <c r="W82" s="8">
        <f>IFERROR(V82/V148, "NA")</f>
        <v>0</v>
      </c>
      <c r="X82" s="7">
        <v>0</v>
      </c>
      <c r="Y82" s="8">
        <f>IFERROR(X82/X148, "NA")</f>
        <v>0</v>
      </c>
      <c r="Z82" s="7">
        <v>260</v>
      </c>
      <c r="AA82" s="8">
        <f>IFERROR(Z82/Z148, "NA")</f>
        <v>2.4153579606946943E-3</v>
      </c>
      <c r="AB82" s="9">
        <f t="shared" si="30"/>
        <v>65</v>
      </c>
      <c r="AC82" s="8">
        <f>IFERROR(AB82/AB148, "NA")</f>
        <v>1.8299208242526445E-3</v>
      </c>
      <c r="AD82" s="10">
        <f t="shared" si="31"/>
        <v>-65</v>
      </c>
      <c r="AE82" s="11">
        <f>IFERROR(AD82/AD148, "NA")</f>
        <v>-7.0357228000986049E-3</v>
      </c>
      <c r="AF82" s="10">
        <f t="shared" si="32"/>
        <v>-1</v>
      </c>
      <c r="AG82" s="9">
        <f t="shared" si="33"/>
        <v>63.5</v>
      </c>
      <c r="AH82" s="8">
        <f>IFERROR(AG82/AG148, "NA")</f>
        <v>2.0457136459973075E-3</v>
      </c>
      <c r="AI82" s="10">
        <f t="shared" si="34"/>
        <v>-63.5</v>
      </c>
      <c r="AJ82" s="11">
        <f>IFERROR(AI82/AI148, "NA")</f>
        <v>-4.6287125600479777E-3</v>
      </c>
      <c r="AK82" s="10">
        <f t="shared" si="35"/>
        <v>-1</v>
      </c>
      <c r="AL82" s="11">
        <f>IFERROR(AK82/AK148, "NA")</f>
        <v>-2.2626395288043502</v>
      </c>
    </row>
    <row r="83" spans="1:38" ht="16.5" hidden="1" customHeight="1" x14ac:dyDescent="0.3">
      <c r="A83" s="23" t="s">
        <v>95</v>
      </c>
      <c r="B83" s="7">
        <v>0</v>
      </c>
      <c r="C83" s="8">
        <f>IFERROR(B83/B148, "NA")</f>
        <v>0</v>
      </c>
      <c r="D83" s="7">
        <v>0</v>
      </c>
      <c r="E83" s="8">
        <f>IFERROR(D83/D148, "NA")</f>
        <v>0</v>
      </c>
      <c r="F83" s="7">
        <v>0</v>
      </c>
      <c r="G83" s="8">
        <f>IFERROR(F83/F148, "NA")</f>
        <v>0</v>
      </c>
      <c r="H83" s="7">
        <v>0</v>
      </c>
      <c r="I83" s="8">
        <f>IFERROR(H83/H148, "NA")</f>
        <v>0</v>
      </c>
      <c r="J83" s="7">
        <v>0</v>
      </c>
      <c r="K83" s="8">
        <f>IFERROR(J83/J148, "NA")</f>
        <v>0</v>
      </c>
      <c r="L83" s="7">
        <v>0</v>
      </c>
      <c r="M83" s="8">
        <f>IFERROR(L83/L148, "NA")</f>
        <v>0</v>
      </c>
      <c r="N83" s="7">
        <v>0</v>
      </c>
      <c r="O83" s="8">
        <f>IFERROR(N83/N148, "NA")</f>
        <v>0</v>
      </c>
      <c r="P83" s="7">
        <v>0</v>
      </c>
      <c r="Q83" s="8">
        <f>IFERROR(P83/P148, "NA")</f>
        <v>0</v>
      </c>
      <c r="R83" s="7">
        <v>0</v>
      </c>
      <c r="S83" s="8">
        <f>IFERROR(R83/R148, "NA")</f>
        <v>0</v>
      </c>
      <c r="T83" s="7">
        <v>0</v>
      </c>
      <c r="U83" s="8">
        <f>IFERROR(T83/T148, "NA")</f>
        <v>0</v>
      </c>
      <c r="V83" s="7">
        <v>0</v>
      </c>
      <c r="W83" s="8">
        <f>IFERROR(V83/V148, "NA")</f>
        <v>0</v>
      </c>
      <c r="X83" s="7">
        <v>0</v>
      </c>
      <c r="Y83" s="8">
        <f>IFERROR(X83/X148, "NA")</f>
        <v>0</v>
      </c>
      <c r="Z83" s="7">
        <v>0</v>
      </c>
      <c r="AA83" s="8">
        <f>IFERROR(Z83/Z148, "NA")</f>
        <v>0</v>
      </c>
      <c r="AB83" s="9">
        <f t="shared" si="30"/>
        <v>0</v>
      </c>
      <c r="AC83" s="8">
        <f>IFERROR(AB83/AB148, "NA")</f>
        <v>0</v>
      </c>
      <c r="AD83" s="10">
        <f t="shared" si="31"/>
        <v>0</v>
      </c>
      <c r="AE83" s="11">
        <f>IFERROR(AD83/AD148, "NA")</f>
        <v>0</v>
      </c>
      <c r="AF83" s="10" t="str">
        <f t="shared" si="32"/>
        <v>NA</v>
      </c>
      <c r="AG83" s="9">
        <f t="shared" si="33"/>
        <v>0</v>
      </c>
      <c r="AH83" s="8">
        <f>IFERROR(AG83/AG148, "NA")</f>
        <v>0</v>
      </c>
      <c r="AI83" s="10">
        <f t="shared" si="34"/>
        <v>0</v>
      </c>
      <c r="AJ83" s="11">
        <f>IFERROR(AI83/AI148, "NA")</f>
        <v>0</v>
      </c>
      <c r="AK83" s="10" t="str">
        <f t="shared" si="35"/>
        <v>NA</v>
      </c>
      <c r="AL83" s="11" t="str">
        <f>IFERROR(AK83/AK148, "NA")</f>
        <v>NA</v>
      </c>
    </row>
    <row r="84" spans="1:38" ht="16.5" customHeight="1" x14ac:dyDescent="0.3">
      <c r="A84" s="27" t="s">
        <v>96</v>
      </c>
      <c r="B84" s="13">
        <f>IFERROR(B63+B65+B66+B67+B68+B69+B71+B72+B74+B75+B76+B77+B78+B79+B80+B82+B83, "NA")</f>
        <v>7099.02</v>
      </c>
      <c r="C84" s="14">
        <f>IFERROR(B84/B148, "NA")</f>
        <v>0.26346648021056479</v>
      </c>
      <c r="D84" s="13">
        <f>IFERROR(D63+D65+D66+D67+D68+D69+D71+D72+D74+D75+D76+D77+D78+D79+D80+D82+D83, "NA")</f>
        <v>6926.0400000000009</v>
      </c>
      <c r="E84" s="14">
        <f>IFERROR(D84/D148, "NA")</f>
        <v>0.28840498722047658</v>
      </c>
      <c r="F84" s="13">
        <f>IFERROR(F63+F65+F66+F67+F68+F69+F71+F72+F74+F75+F76+F77+F78+F79+F80+F82+F83, "NA")</f>
        <v>7454.2699999999995</v>
      </c>
      <c r="G84" s="14">
        <f>IFERROR(F84/F148, "NA")</f>
        <v>0.27036495407879396</v>
      </c>
      <c r="H84" s="13">
        <f>IFERROR(H63+H65+H66+H67+H68+H69+H71+H72+H74+H75+H76+H77+H78+H79+H80+H82+H83, "NA")</f>
        <v>8549.4599999999991</v>
      </c>
      <c r="I84" s="14">
        <f>IFERROR(H84/H148, "NA")</f>
        <v>0.27861971872296115</v>
      </c>
      <c r="J84" s="13">
        <f>IFERROR(J63+J65+J66+J67+J68+J69+J71+J72+J74+J75+J76+J77+J78+J79+J80+J82+J83, "NA")</f>
        <v>7079.14</v>
      </c>
      <c r="K84" s="14">
        <f>IFERROR(J84/J148, "NA")</f>
        <v>0.3321074826619303</v>
      </c>
      <c r="L84" s="13">
        <f>IFERROR(L63+L65+L66+L67+L68+L69+L71+L72+L74+L75+L76+L77+L78+L79+L80+L82+L83, "NA")</f>
        <v>8408.65</v>
      </c>
      <c r="M84" s="14">
        <f>IFERROR(L84/L148, "NA")</f>
        <v>0.25329265541216062</v>
      </c>
      <c r="N84" s="13">
        <f>IFERROR(N63+N65+N66+N67+N68+N69+N71+N72+N74+N75+N76+N77+N78+N79+N80+N82+N83, "NA")</f>
        <v>7217.7099999999991</v>
      </c>
      <c r="O84" s="14">
        <f>IFERROR(N84/N148, "NA")</f>
        <v>0.27660791035366838</v>
      </c>
      <c r="P84" s="13">
        <f>IFERROR(P63+P65+P66+P67+P68+P69+P71+P72+P74+P75+P76+P77+P78+P79+P80+P82+P83, "NA")</f>
        <v>7281.04</v>
      </c>
      <c r="Q84" s="14">
        <f>IFERROR(P84/P148, "NA")</f>
        <v>0.2840315167535154</v>
      </c>
      <c r="R84" s="13">
        <f>IFERROR(R63+R65+R66+R67+R68+R69+R71+R72+R74+R75+R76+R77+R78+R79+R80+R82+R83, "NA")</f>
        <v>8447.1</v>
      </c>
      <c r="S84" s="14">
        <f>IFERROR(R84/R148, "NA")</f>
        <v>0.24528321062542557</v>
      </c>
      <c r="T84" s="13">
        <f>IFERROR(T63+T65+T66+T67+T68+T69+T71+T72+T74+T75+T76+T77+T78+T79+T80+T82+T83, "NA")</f>
        <v>7592.53</v>
      </c>
      <c r="U84" s="14">
        <f>IFERROR(T84/T148, "NA")</f>
        <v>0.26594843650609057</v>
      </c>
      <c r="V84" s="13">
        <f>IFERROR(V63+V65+V66+V67+V68+V69+V71+V72+V74+V75+V76+V77+V78+V79+V80+V82+V83, "NA")</f>
        <v>8499.77</v>
      </c>
      <c r="W84" s="14">
        <f>IFERROR(V84/V148, "NA")</f>
        <v>0.24754407787190211</v>
      </c>
      <c r="X84" s="13">
        <f>IFERROR(X63+X65+X66+X67+X68+X69+X71+X72+X74+X75+X76+X77+X78+X79+X80+X82+X83, "NA")</f>
        <v>9915.91</v>
      </c>
      <c r="Y84" s="14">
        <f>IFERROR(X84/X148, "NA")</f>
        <v>0.22153888706307054</v>
      </c>
      <c r="Z84" s="13">
        <f>IFERROR(Z63+Z65+Z66+Z67+Z68+Z69+Z71+Z72+Z74+Z75+Z76+Z77+Z78+Z79+Z80+Z82+Z83, "NA")</f>
        <v>26008.21</v>
      </c>
      <c r="AA84" s="14">
        <f>IFERROR(Z84/Z148, "NA")</f>
        <v>0.2416120656419975</v>
      </c>
      <c r="AB84" s="13">
        <f t="shared" si="30"/>
        <v>8613.8274999999994</v>
      </c>
      <c r="AC84" s="14">
        <f>IFERROR(AB84/AB148, "NA")</f>
        <v>0.24250188182723223</v>
      </c>
      <c r="AD84" s="15">
        <f t="shared" si="31"/>
        <v>1302.0825000000004</v>
      </c>
      <c r="AE84" s="16">
        <f>IFERROR(AD84/AD148, "NA")</f>
        <v>0.14093986973629838</v>
      </c>
      <c r="AF84" s="15">
        <f t="shared" si="32"/>
        <v>0.15116189638113842</v>
      </c>
      <c r="AG84" s="13">
        <f t="shared" si="33"/>
        <v>8055.2312500000007</v>
      </c>
      <c r="AH84" s="14">
        <f>IFERROR(AG84/AG148, "NA")</f>
        <v>0.25950703133525904</v>
      </c>
      <c r="AI84" s="15">
        <f t="shared" si="34"/>
        <v>1860.6787499999991</v>
      </c>
      <c r="AJ84" s="16">
        <f>IFERROR(AI84/AI148, "NA")</f>
        <v>0.13563066299747034</v>
      </c>
      <c r="AK84" s="15">
        <f t="shared" si="35"/>
        <v>0.23099010968803646</v>
      </c>
      <c r="AL84" s="16">
        <f>IFERROR(AK84/AK148, "NA")</f>
        <v>0.52264735294300402</v>
      </c>
    </row>
    <row r="85" spans="1:38" ht="16.5" customHeight="1" x14ac:dyDescent="0.3">
      <c r="A85" s="12" t="s">
        <v>96</v>
      </c>
      <c r="B85" s="28">
        <f>IFERROR(B63+B65+B66+B67+B68+B69+B71+B72+B74+B75+B76+B77+B78+B79+B80+B82+B83, "NA")</f>
        <v>7099.02</v>
      </c>
      <c r="C85" s="29">
        <f>IFERROR(B85/B148, "NA")</f>
        <v>0.26346648021056479</v>
      </c>
      <c r="D85" s="28">
        <f>IFERROR(D63+D65+D66+D67+D68+D69+D71+D72+D74+D75+D76+D77+D78+D79+D80+D82+D83, "NA")</f>
        <v>6926.0400000000009</v>
      </c>
      <c r="E85" s="29">
        <f>IFERROR(D85/D148, "NA")</f>
        <v>0.28840498722047658</v>
      </c>
      <c r="F85" s="28">
        <f>IFERROR(F63+F65+F66+F67+F68+F69+F71+F72+F74+F75+F76+F77+F78+F79+F80+F82+F83, "NA")</f>
        <v>7454.2699999999995</v>
      </c>
      <c r="G85" s="29">
        <f>IFERROR(F85/F148, "NA")</f>
        <v>0.27036495407879396</v>
      </c>
      <c r="H85" s="28">
        <f>IFERROR(H63+H65+H66+H67+H68+H69+H71+H72+H74+H75+H76+H77+H78+H79+H80+H82+H83, "NA")</f>
        <v>8549.4599999999991</v>
      </c>
      <c r="I85" s="29">
        <f>IFERROR(H85/H148, "NA")</f>
        <v>0.27861971872296115</v>
      </c>
      <c r="J85" s="28">
        <f>IFERROR(J63+J65+J66+J67+J68+J69+J71+J72+J74+J75+J76+J77+J78+J79+J80+J82+J83, "NA")</f>
        <v>7079.14</v>
      </c>
      <c r="K85" s="29">
        <f>IFERROR(J85/J148, "NA")</f>
        <v>0.3321074826619303</v>
      </c>
      <c r="L85" s="28">
        <f>IFERROR(L63+L65+L66+L67+L68+L69+L71+L72+L74+L75+L76+L77+L78+L79+L80+L82+L83, "NA")</f>
        <v>8408.65</v>
      </c>
      <c r="M85" s="29">
        <f>IFERROR(L85/L148, "NA")</f>
        <v>0.25329265541216062</v>
      </c>
      <c r="N85" s="28">
        <f>IFERROR(N63+N65+N66+N67+N68+N69+N71+N72+N74+N75+N76+N77+N78+N79+N80+N82+N83, "NA")</f>
        <v>7217.7099999999991</v>
      </c>
      <c r="O85" s="29">
        <f>IFERROR(N85/N148, "NA")</f>
        <v>0.27660791035366838</v>
      </c>
      <c r="P85" s="28">
        <f>IFERROR(P63+P65+P66+P67+P68+P69+P71+P72+P74+P75+P76+P77+P78+P79+P80+P82+P83, "NA")</f>
        <v>7281.04</v>
      </c>
      <c r="Q85" s="29">
        <f>IFERROR(P85/P148, "NA")</f>
        <v>0.2840315167535154</v>
      </c>
      <c r="R85" s="28">
        <f>IFERROR(R63+R65+R66+R67+R68+R69+R71+R72+R74+R75+R76+R77+R78+R79+R80+R82+R83, "NA")</f>
        <v>8447.1</v>
      </c>
      <c r="S85" s="29">
        <f>IFERROR(R85/R148, "NA")</f>
        <v>0.24528321062542557</v>
      </c>
      <c r="T85" s="28">
        <f>IFERROR(T63+T65+T66+T67+T68+T69+T71+T72+T74+T75+T76+T77+T78+T79+T80+T82+T83, "NA")</f>
        <v>7592.53</v>
      </c>
      <c r="U85" s="29">
        <f>IFERROR(T85/T148, "NA")</f>
        <v>0.26594843650609057</v>
      </c>
      <c r="V85" s="28">
        <f>IFERROR(V63+V65+V66+V67+V68+V69+V71+V72+V74+V75+V76+V77+V78+V79+V80+V82+V83, "NA")</f>
        <v>8499.77</v>
      </c>
      <c r="W85" s="29">
        <f>IFERROR(V85/V148, "NA")</f>
        <v>0.24754407787190211</v>
      </c>
      <c r="X85" s="28">
        <f>IFERROR(X63+X65+X66+X67+X68+X69+X71+X72+X74+X75+X76+X77+X78+X79+X80+X82+X83, "NA")</f>
        <v>9915.91</v>
      </c>
      <c r="Y85" s="29">
        <f>IFERROR(X85/X148, "NA")</f>
        <v>0.22153888706307054</v>
      </c>
      <c r="Z85" s="28">
        <f>IFERROR(Z63+Z65+Z66+Z67+Z68+Z69+Z71+Z72+Z74+Z75+Z76+Z77+Z78+Z79+Z80+Z82+Z83, "NA")</f>
        <v>26008.21</v>
      </c>
      <c r="AA85" s="29">
        <f>IFERROR(Z85/Z148, "NA")</f>
        <v>0.2416120656419975</v>
      </c>
      <c r="AB85" s="28">
        <f t="shared" si="30"/>
        <v>8613.8274999999994</v>
      </c>
      <c r="AC85" s="29">
        <f>IFERROR(AB85/AB148, "NA")</f>
        <v>0.24250188182723223</v>
      </c>
      <c r="AD85" s="30">
        <f t="shared" si="31"/>
        <v>1302.0825000000004</v>
      </c>
      <c r="AE85" s="31">
        <f>IFERROR(AD85/AD148, "NA")</f>
        <v>0.14093986973629838</v>
      </c>
      <c r="AF85" s="30">
        <f t="shared" si="32"/>
        <v>0.15116189638113842</v>
      </c>
      <c r="AG85" s="28">
        <f t="shared" si="33"/>
        <v>8055.2312500000007</v>
      </c>
      <c r="AH85" s="29">
        <f>IFERROR(AG85/AG148, "NA")</f>
        <v>0.25950703133525904</v>
      </c>
      <c r="AI85" s="30">
        <f t="shared" si="34"/>
        <v>1860.6787499999991</v>
      </c>
      <c r="AJ85" s="31">
        <f>IFERROR(AI85/AI148, "NA")</f>
        <v>0.13563066299747034</v>
      </c>
      <c r="AK85" s="30">
        <f t="shared" si="35"/>
        <v>0.23099010968803646</v>
      </c>
      <c r="AL85" s="31">
        <f>IFERROR(AK85/AK148, "NA")</f>
        <v>0.52264735294300402</v>
      </c>
    </row>
    <row r="86" spans="1:38" ht="3.75" customHeight="1" x14ac:dyDescent="0.3">
      <c r="A86" s="35" t="s">
        <v>3</v>
      </c>
      <c r="B86" s="36"/>
      <c r="C86" s="19"/>
      <c r="D86" s="36"/>
      <c r="E86" s="19"/>
      <c r="F86" s="36"/>
      <c r="G86" s="19"/>
      <c r="H86" s="36"/>
      <c r="I86" s="19"/>
      <c r="J86" s="36"/>
      <c r="K86" s="19"/>
      <c r="L86" s="36"/>
      <c r="M86" s="19"/>
      <c r="N86" s="36"/>
      <c r="O86" s="19"/>
      <c r="P86" s="36"/>
      <c r="Q86" s="19"/>
      <c r="R86" s="36"/>
      <c r="S86" s="19"/>
      <c r="T86" s="36"/>
      <c r="U86" s="19"/>
      <c r="V86" s="36"/>
      <c r="W86" s="19"/>
      <c r="X86" s="36"/>
      <c r="Y86" s="19"/>
      <c r="Z86" s="36"/>
      <c r="AA86" s="19"/>
      <c r="AB86" s="36"/>
      <c r="AC86" s="19"/>
      <c r="AD86" s="37"/>
      <c r="AE86" s="21"/>
      <c r="AF86" s="37"/>
      <c r="AG86" s="36"/>
      <c r="AH86" s="19"/>
      <c r="AI86" s="37"/>
      <c r="AJ86" s="21"/>
      <c r="AK86" s="37"/>
      <c r="AL86" s="21"/>
    </row>
    <row r="87" spans="1:38" ht="16.5" customHeight="1" x14ac:dyDescent="0.3">
      <c r="A87" s="32" t="s">
        <v>97</v>
      </c>
      <c r="B87" s="33">
        <f>IFERROR(B59-B85, "NA")</f>
        <v>13038.869999999999</v>
      </c>
      <c r="C87" s="34">
        <f>IFERROR(B87/B148, "NA")</f>
        <v>0.48391259424866057</v>
      </c>
      <c r="D87" s="33">
        <f>IFERROR(D59-D85, "NA")</f>
        <v>10827.090000000007</v>
      </c>
      <c r="E87" s="34">
        <f>IFERROR(D87/D148, "NA")</f>
        <v>0.45084734611480032</v>
      </c>
      <c r="F87" s="33">
        <f>IFERROR(F59-F85, "NA")</f>
        <v>11909.470000000008</v>
      </c>
      <c r="G87" s="34">
        <f>IFERROR(F87/F148, "NA")</f>
        <v>0.43195421009069662</v>
      </c>
      <c r="H87" s="33">
        <f>IFERROR(H59-H85, "NA")</f>
        <v>14232.220000000001</v>
      </c>
      <c r="I87" s="34">
        <f>IFERROR(H87/H148, "NA")</f>
        <v>0.46381609285303432</v>
      </c>
      <c r="J87" s="33">
        <f>IFERROR(J59-J85, "NA")</f>
        <v>7934.4299999999939</v>
      </c>
      <c r="K87" s="34">
        <f>IFERROR(J87/J148, "NA")</f>
        <v>0.37223216007273446</v>
      </c>
      <c r="L87" s="33">
        <f>IFERROR(L59-L85, "NA")</f>
        <v>15625.370000000012</v>
      </c>
      <c r="M87" s="34">
        <f>IFERROR(L87/L148, "NA")</f>
        <v>0.47068096057006958</v>
      </c>
      <c r="N87" s="33">
        <f>IFERROR(N59-N85, "NA")</f>
        <v>12082.529999999999</v>
      </c>
      <c r="O87" s="34">
        <f>IFERROR(N87/N148, "NA")</f>
        <v>0.4630448404113644</v>
      </c>
      <c r="P87" s="33">
        <f>IFERROR(P59-P85, "NA")</f>
        <v>11748.929999999993</v>
      </c>
      <c r="Q87" s="34">
        <f>IFERROR(P87/P148, "NA")</f>
        <v>0.45832276819394996</v>
      </c>
      <c r="R87" s="33">
        <f>IFERROR(R59-R85, "NA")</f>
        <v>17310.489999999998</v>
      </c>
      <c r="S87" s="34">
        <f>IFERROR(R87/R148, "NA")</f>
        <v>0.50265446895376198</v>
      </c>
      <c r="T87" s="33">
        <f>IFERROR(T59-T85, "NA")</f>
        <v>13596.520000000004</v>
      </c>
      <c r="U87" s="34">
        <f>IFERROR(T87/T148, "NA")</f>
        <v>0.47625405970391843</v>
      </c>
      <c r="V87" s="33">
        <f>IFERROR(V59-V85, "NA")</f>
        <v>17921.499999999989</v>
      </c>
      <c r="W87" s="34">
        <f>IFERROR(V87/V148, "NA")</f>
        <v>0.52193896912284576</v>
      </c>
      <c r="X87" s="33">
        <f>IFERROR(X59-X85, "NA")</f>
        <v>23610.339999999993</v>
      </c>
      <c r="Y87" s="34">
        <f>IFERROR(X87/X148, "NA")</f>
        <v>0.52749656327868</v>
      </c>
      <c r="Z87" s="33">
        <f>IFERROR(Z59-Z85, "NA")</f>
        <v>55128.359999999993</v>
      </c>
      <c r="AA87" s="34">
        <f>IFERROR(Z87/Z148, "NA")</f>
        <v>0.51213355071554978</v>
      </c>
      <c r="AB87" s="33">
        <f>IFERROR((R87+T87+V87+X87)/4, "NA")</f>
        <v>18109.712499999998</v>
      </c>
      <c r="AC87" s="34">
        <f>IFERROR(AB87/AB148, "NA")</f>
        <v>0.50983600038428334</v>
      </c>
      <c r="AD87" s="15">
        <f>IFERROR(X87-AB87, "NA")</f>
        <v>5500.6274999999951</v>
      </c>
      <c r="AE87" s="16">
        <f>IFERROR(AD87/AD148, "NA")</f>
        <v>0.59539831256306697</v>
      </c>
      <c r="AF87" s="15">
        <f>IFERROR((X87-AB87)/AB87, "NA")</f>
        <v>0.30373908475907585</v>
      </c>
      <c r="AG87" s="33">
        <f>IFERROR((J87+L87+N87+P87+R87+T87+V87+X87)/8, "NA")</f>
        <v>14978.763749999996</v>
      </c>
      <c r="AH87" s="34">
        <f>IFERROR(AG87/AG148, "NA")</f>
        <v>0.48255529769361882</v>
      </c>
      <c r="AI87" s="15">
        <f>IFERROR(X87-AG87, "NA")</f>
        <v>8631.5762499999964</v>
      </c>
      <c r="AJ87" s="16">
        <f>IFERROR(AI87/AI148, "NA")</f>
        <v>0.62918244726593398</v>
      </c>
      <c r="AK87" s="15">
        <f>IFERROR((X87-AG87)/AG87, "NA")</f>
        <v>0.57625424861914909</v>
      </c>
      <c r="AL87" s="16">
        <f>IFERROR(AK87/AK148, "NA")</f>
        <v>1.3038556415671365</v>
      </c>
    </row>
    <row r="88" spans="1:38" ht="3.75" customHeight="1" x14ac:dyDescent="0.3">
      <c r="A88" s="35" t="s">
        <v>3</v>
      </c>
      <c r="B88" s="36"/>
      <c r="C88" s="19"/>
      <c r="D88" s="36"/>
      <c r="E88" s="19"/>
      <c r="F88" s="36"/>
      <c r="G88" s="19"/>
      <c r="H88" s="36"/>
      <c r="I88" s="19"/>
      <c r="J88" s="36"/>
      <c r="K88" s="19"/>
      <c r="L88" s="36"/>
      <c r="M88" s="19"/>
      <c r="N88" s="36"/>
      <c r="O88" s="19"/>
      <c r="P88" s="36"/>
      <c r="Q88" s="19"/>
      <c r="R88" s="36"/>
      <c r="S88" s="19"/>
      <c r="T88" s="36"/>
      <c r="U88" s="19"/>
      <c r="V88" s="36"/>
      <c r="W88" s="19"/>
      <c r="X88" s="36"/>
      <c r="Y88" s="19"/>
      <c r="Z88" s="36"/>
      <c r="AA88" s="19"/>
      <c r="AB88" s="36"/>
      <c r="AC88" s="19"/>
      <c r="AD88" s="37"/>
      <c r="AE88" s="21"/>
      <c r="AF88" s="37"/>
      <c r="AG88" s="36"/>
      <c r="AH88" s="19"/>
      <c r="AI88" s="37"/>
      <c r="AJ88" s="21"/>
      <c r="AK88" s="37"/>
      <c r="AL88" s="21"/>
    </row>
    <row r="89" spans="1:38" ht="16.5" hidden="1" customHeight="1" x14ac:dyDescent="0.3">
      <c r="A89" s="1" t="s">
        <v>98</v>
      </c>
      <c r="B89" s="2"/>
      <c r="C89" s="3"/>
      <c r="D89" s="2"/>
      <c r="E89" s="3"/>
      <c r="F89" s="2"/>
      <c r="G89" s="3"/>
      <c r="H89" s="2"/>
      <c r="I89" s="3"/>
      <c r="J89" s="2"/>
      <c r="K89" s="3"/>
      <c r="L89" s="2"/>
      <c r="M89" s="3"/>
      <c r="N89" s="2"/>
      <c r="O89" s="3"/>
      <c r="P89" s="2"/>
      <c r="Q89" s="3"/>
      <c r="R89" s="2"/>
      <c r="S89" s="3"/>
      <c r="T89" s="2"/>
      <c r="U89" s="3"/>
      <c r="V89" s="2"/>
      <c r="W89" s="3"/>
      <c r="X89" s="2"/>
      <c r="Y89" s="3"/>
      <c r="Z89" s="2"/>
      <c r="AA89" s="3"/>
      <c r="AB89" s="2"/>
      <c r="AC89" s="3"/>
      <c r="AD89" s="4"/>
      <c r="AE89" s="5"/>
      <c r="AF89" s="4"/>
      <c r="AG89" s="2"/>
      <c r="AH89" s="3"/>
      <c r="AI89" s="4"/>
      <c r="AJ89" s="5"/>
      <c r="AK89" s="4"/>
      <c r="AL89" s="5"/>
    </row>
    <row r="90" spans="1:38" ht="16.5" hidden="1" customHeight="1" x14ac:dyDescent="0.3">
      <c r="A90" s="6" t="s">
        <v>99</v>
      </c>
      <c r="B90" s="7">
        <v>864.25000000000011</v>
      </c>
      <c r="C90" s="8">
        <f>IFERROR(B90/B148, "NA")</f>
        <v>3.2074977323909584E-2</v>
      </c>
      <c r="D90" s="7">
        <v>598.31999999999994</v>
      </c>
      <c r="E90" s="8">
        <f>IFERROR(D90/D148, "NA")</f>
        <v>2.4914449231271479E-2</v>
      </c>
      <c r="F90" s="7">
        <v>630.48</v>
      </c>
      <c r="G90" s="8">
        <f>IFERROR(F90/F148, "NA")</f>
        <v>2.2867389596512876E-2</v>
      </c>
      <c r="H90" s="7">
        <v>979.48</v>
      </c>
      <c r="I90" s="8">
        <f>IFERROR(H90/H148, "NA")</f>
        <v>3.1920430307266892E-2</v>
      </c>
      <c r="J90" s="7">
        <v>408.92999999999995</v>
      </c>
      <c r="K90" s="8">
        <f>IFERROR(J90/J148, "NA")</f>
        <v>1.9184351896550021E-2</v>
      </c>
      <c r="L90" s="7">
        <v>421.49</v>
      </c>
      <c r="M90" s="8">
        <f>IFERROR(L90/L148, "NA")</f>
        <v>1.2696487703694598E-2</v>
      </c>
      <c r="N90" s="7">
        <v>847.94999999999993</v>
      </c>
      <c r="O90" s="8">
        <f>IFERROR(N90/N148, "NA")</f>
        <v>3.2496411962297335E-2</v>
      </c>
      <c r="P90" s="7">
        <v>286.53999999999996</v>
      </c>
      <c r="Q90" s="8">
        <f>IFERROR(P90/P148, "NA")</f>
        <v>1.1177852451099334E-2</v>
      </c>
      <c r="R90" s="7">
        <v>919.49000000000012</v>
      </c>
      <c r="S90" s="8">
        <f>IFERROR(R90/R148, "NA")</f>
        <v>2.669975013175795E-2</v>
      </c>
      <c r="T90" s="7">
        <v>881.83</v>
      </c>
      <c r="U90" s="8">
        <f>IFERROR(T90/T148, "NA")</f>
        <v>3.088842714670418E-2</v>
      </c>
      <c r="V90" s="7">
        <v>995.46</v>
      </c>
      <c r="W90" s="8">
        <f>IFERROR(V90/V148, "NA")</f>
        <v>2.8991399503558762E-2</v>
      </c>
      <c r="X90" s="7">
        <v>300.18</v>
      </c>
      <c r="Y90" s="8">
        <f>IFERROR(X90/X148, "NA")</f>
        <v>6.7065496881872182E-3</v>
      </c>
      <c r="Z90" s="7">
        <v>2177.4699999999998</v>
      </c>
      <c r="AA90" s="8">
        <f>IFERROR(Z90/Z148, "NA")</f>
        <v>2.022834422566875E-2</v>
      </c>
      <c r="AB90" s="9">
        <f t="shared" ref="AB90:AB99" si="36">IFERROR((R90+T90+V90+X90)/4, "NA")</f>
        <v>774.24</v>
      </c>
      <c r="AC90" s="8">
        <f>IFERROR(AB90/AB148, "NA")</f>
        <v>2.1796890753374886E-2</v>
      </c>
      <c r="AD90" s="10">
        <f t="shared" ref="AD90:AD99" si="37">IFERROR(X90-AB90, "NA")</f>
        <v>-474.06</v>
      </c>
      <c r="AE90" s="11">
        <f>IFERROR(AD90/AD148, "NA")</f>
        <v>-5.131315000945761E-2</v>
      </c>
      <c r="AF90" s="10">
        <f t="shared" ref="AF90:AF99" si="38">IFERROR((X90-AB90)/AB90, "NA")</f>
        <v>-0.61229076255424675</v>
      </c>
      <c r="AG90" s="9">
        <f t="shared" ref="AG90:AG99" si="39">IFERROR((J90+L90+N90+P90+R90+T90+V90+X90)/8, "NA")</f>
        <v>632.7337500000001</v>
      </c>
      <c r="AH90" s="8">
        <f>IFERROR(AG90/AG148, "NA")</f>
        <v>2.0384127033985025E-2</v>
      </c>
      <c r="AI90" s="10">
        <f t="shared" ref="AI90:AI99" si="40">IFERROR(X90-AG90, "NA")</f>
        <v>-332.55375000000009</v>
      </c>
      <c r="AJ90" s="11">
        <f>IFERROR(AI90/AI148, "NA")</f>
        <v>-2.4240877472693788E-2</v>
      </c>
      <c r="AK90" s="10">
        <f t="shared" ref="AK90:AK99" si="41">IFERROR((X90-AG90)/AG90, "NA")</f>
        <v>-0.52558244285214761</v>
      </c>
      <c r="AL90" s="11">
        <f>IFERROR(AK90/AK148, "NA")</f>
        <v>-1.1892036108428226</v>
      </c>
    </row>
    <row r="91" spans="1:38" ht="16.5" hidden="1" customHeight="1" x14ac:dyDescent="0.3">
      <c r="A91" s="6" t="s">
        <v>100</v>
      </c>
      <c r="B91" s="7">
        <v>1499.14</v>
      </c>
      <c r="C91" s="8">
        <f>IFERROR(B91/B148, "NA")</f>
        <v>5.5637699167330995E-2</v>
      </c>
      <c r="D91" s="7">
        <v>641.36</v>
      </c>
      <c r="E91" s="8">
        <f>IFERROR(D91/D148, "NA")</f>
        <v>2.6706663923934146E-2</v>
      </c>
      <c r="F91" s="7">
        <v>1069.32</v>
      </c>
      <c r="G91" s="8">
        <f>IFERROR(F91/F148, "NA")</f>
        <v>3.8784032869152309E-2</v>
      </c>
      <c r="H91" s="7">
        <v>983.35</v>
      </c>
      <c r="I91" s="8">
        <f>IFERROR(H91/H148, "NA")</f>
        <v>3.2046550355955099E-2</v>
      </c>
      <c r="J91" s="7">
        <v>501.65</v>
      </c>
      <c r="K91" s="8">
        <f>IFERROR(J91/J148, "NA")</f>
        <v>2.3534174868325434E-2</v>
      </c>
      <c r="L91" s="7">
        <v>584.32000000000005</v>
      </c>
      <c r="M91" s="8">
        <f>IFERROR(L91/L148, "NA")</f>
        <v>1.7601394327321714E-2</v>
      </c>
      <c r="N91" s="7">
        <v>556.41</v>
      </c>
      <c r="O91" s="8">
        <f>IFERROR(N91/N148, "NA")</f>
        <v>2.1323578725092118E-2</v>
      </c>
      <c r="P91" s="7">
        <v>1264.3</v>
      </c>
      <c r="Q91" s="8">
        <f>IFERROR(P91/P148, "NA")</f>
        <v>4.9320021127678117E-2</v>
      </c>
      <c r="R91" s="7">
        <v>2682.9900000000002</v>
      </c>
      <c r="S91" s="8">
        <f>IFERROR(R91/R148, "NA")</f>
        <v>7.7907495030946794E-2</v>
      </c>
      <c r="T91" s="7">
        <v>2161.8200000000002</v>
      </c>
      <c r="U91" s="8">
        <f>IFERROR(T91/T148, "NA")</f>
        <v>7.5723460955385999E-2</v>
      </c>
      <c r="V91" s="7">
        <v>3074.11</v>
      </c>
      <c r="W91" s="8">
        <f>IFERROR(V91/V148, "NA")</f>
        <v>8.9529213758347923E-2</v>
      </c>
      <c r="X91" s="7">
        <v>3228.94</v>
      </c>
      <c r="Y91" s="8">
        <f>IFERROR(X91/X148, "NA")</f>
        <v>7.2140204377957345E-2</v>
      </c>
      <c r="Z91" s="7">
        <v>8464.8700000000008</v>
      </c>
      <c r="AA91" s="8">
        <f>IFERROR(Z91/Z148, "NA")</f>
        <v>7.8637273618252679E-2</v>
      </c>
      <c r="AB91" s="9">
        <f t="shared" si="36"/>
        <v>2786.9650000000001</v>
      </c>
      <c r="AC91" s="8">
        <f>IFERROR(AB91/AB148, "NA")</f>
        <v>7.8460389076358023E-2</v>
      </c>
      <c r="AD91" s="10">
        <f t="shared" si="37"/>
        <v>441.97499999999991</v>
      </c>
      <c r="AE91" s="11">
        <f>IFERROR(AD91/AD148, "NA")</f>
        <v>4.7840208993439694E-2</v>
      </c>
      <c r="AF91" s="10">
        <f t="shared" si="38"/>
        <v>0.15858649103953579</v>
      </c>
      <c r="AG91" s="9">
        <f t="shared" si="39"/>
        <v>1756.8175000000001</v>
      </c>
      <c r="AH91" s="8">
        <f>IFERROR(AG91/AG148, "NA")</f>
        <v>5.6597567453179135E-2</v>
      </c>
      <c r="AI91" s="10">
        <f t="shared" si="40"/>
        <v>1472.1224999999999</v>
      </c>
      <c r="AJ91" s="11">
        <f>IFERROR(AI91/AI148, "NA")</f>
        <v>0.10730758906581463</v>
      </c>
      <c r="AK91" s="10">
        <f t="shared" si="41"/>
        <v>0.83794844939784574</v>
      </c>
      <c r="AL91" s="11">
        <f>IFERROR(AK91/AK148, "NA")</f>
        <v>1.8959752847078777</v>
      </c>
    </row>
    <row r="92" spans="1:38" ht="16.5" hidden="1" customHeight="1" x14ac:dyDescent="0.3">
      <c r="A92" s="6" t="s">
        <v>101</v>
      </c>
      <c r="B92" s="7">
        <v>528.93000000000006</v>
      </c>
      <c r="C92" s="8">
        <f>IFERROR(B92/B148, "NA")</f>
        <v>1.963022013993115E-2</v>
      </c>
      <c r="D92" s="7">
        <v>178.20000000000002</v>
      </c>
      <c r="E92" s="8">
        <f>IFERROR(D92/D148, "NA")</f>
        <v>7.4203684533570308E-3</v>
      </c>
      <c r="F92" s="7">
        <v>425.88</v>
      </c>
      <c r="G92" s="8">
        <f>IFERROR(F92/F148, "NA")</f>
        <v>1.5446586539403159E-2</v>
      </c>
      <c r="H92" s="7">
        <v>576.9</v>
      </c>
      <c r="I92" s="8">
        <f>IFERROR(H92/H148, "NA")</f>
        <v>1.8800686327706814E-2</v>
      </c>
      <c r="J92" s="7">
        <v>229.09</v>
      </c>
      <c r="K92" s="8">
        <f>IFERROR(J92/J148, "NA")</f>
        <v>1.074742174939634E-2</v>
      </c>
      <c r="L92" s="7">
        <v>347.48999999999995</v>
      </c>
      <c r="M92" s="8">
        <f>IFERROR(L92/L148, "NA")</f>
        <v>1.0467395459339095E-2</v>
      </c>
      <c r="N92" s="7">
        <v>371.44</v>
      </c>
      <c r="O92" s="8">
        <f>IFERROR(N92/N148, "NA")</f>
        <v>1.423488090014237E-2</v>
      </c>
      <c r="P92" s="7">
        <v>332.47</v>
      </c>
      <c r="Q92" s="8">
        <f>IFERROR(P92/P148, "NA")</f>
        <v>1.2969570057991889E-2</v>
      </c>
      <c r="R92" s="7">
        <v>315.09000000000003</v>
      </c>
      <c r="S92" s="8">
        <f>IFERROR(R92/R148, "NA")</f>
        <v>9.1494461810521181E-3</v>
      </c>
      <c r="T92" s="7">
        <v>461.26</v>
      </c>
      <c r="U92" s="8">
        <f>IFERROR(T92/T148, "NA")</f>
        <v>1.6156850986798782E-2</v>
      </c>
      <c r="V92" s="7">
        <v>339.89</v>
      </c>
      <c r="W92" s="8">
        <f>IFERROR(V92/V148, "NA")</f>
        <v>9.8988274539053168E-3</v>
      </c>
      <c r="X92" s="7">
        <v>517.1</v>
      </c>
      <c r="Y92" s="8">
        <f>IFERROR(X92/X148, "NA")</f>
        <v>1.1552924391237293E-2</v>
      </c>
      <c r="Z92" s="7">
        <v>1318.25</v>
      </c>
      <c r="AA92" s="8">
        <f>IFERROR(Z92/Z148, "NA")</f>
        <v>1.2246329352637617E-2</v>
      </c>
      <c r="AB92" s="9">
        <f t="shared" si="36"/>
        <v>408.33500000000004</v>
      </c>
      <c r="AC92" s="8">
        <f>IFERROR(AB92/AB148, "NA")</f>
        <v>1.1495703381095441E-2</v>
      </c>
      <c r="AD92" s="10">
        <f t="shared" si="37"/>
        <v>108.76499999999999</v>
      </c>
      <c r="AE92" s="11">
        <f>IFERROR(AD92/AD148, "NA")</f>
        <v>1.1772929082349609E-2</v>
      </c>
      <c r="AF92" s="10">
        <f t="shared" si="38"/>
        <v>0.26636217811355867</v>
      </c>
      <c r="AG92" s="9">
        <f t="shared" si="39"/>
        <v>364.22874999999999</v>
      </c>
      <c r="AH92" s="8">
        <f>IFERROR(AG92/AG148, "NA")</f>
        <v>1.1733979907709319E-2</v>
      </c>
      <c r="AI92" s="10">
        <f t="shared" si="40"/>
        <v>152.87125000000003</v>
      </c>
      <c r="AJ92" s="11">
        <f>IFERROR(AI92/AI148, "NA")</f>
        <v>1.1143261022759598E-2</v>
      </c>
      <c r="AK92" s="10">
        <f t="shared" si="41"/>
        <v>0.41971220009403443</v>
      </c>
      <c r="AL92" s="11">
        <f>IFERROR(AK92/AK148, "NA")</f>
        <v>0.94965741465420328</v>
      </c>
    </row>
    <row r="93" spans="1:38" ht="16.5" hidden="1" customHeight="1" x14ac:dyDescent="0.3">
      <c r="A93" s="6" t="s">
        <v>102</v>
      </c>
      <c r="B93" s="7">
        <v>2197.7100000000005</v>
      </c>
      <c r="C93" s="8">
        <f>IFERROR(B93/B148, "NA")</f>
        <v>8.1563781792917955E-2</v>
      </c>
      <c r="D93" s="7">
        <v>2589.0700000000002</v>
      </c>
      <c r="E93" s="8">
        <f>IFERROR(D93/D148, "NA")</f>
        <v>0.10781062486831137</v>
      </c>
      <c r="F93" s="7">
        <v>2031.22</v>
      </c>
      <c r="G93" s="8">
        <f>IFERROR(F93/F148, "NA")</f>
        <v>7.3671962784273709E-2</v>
      </c>
      <c r="H93" s="7">
        <v>2220.1499999999996</v>
      </c>
      <c r="I93" s="8">
        <f>IFERROR(H93/H148, "NA")</f>
        <v>7.2352823280392234E-2</v>
      </c>
      <c r="J93" s="7">
        <v>1539.5200000000002</v>
      </c>
      <c r="K93" s="8">
        <f>IFERROR(J93/J148, "NA")</f>
        <v>7.222432551237791E-2</v>
      </c>
      <c r="L93" s="7">
        <v>3236.71</v>
      </c>
      <c r="M93" s="8">
        <f>IFERROR(L93/L148, "NA")</f>
        <v>9.7498988624701285E-2</v>
      </c>
      <c r="N93" s="7">
        <v>1837.3899999999999</v>
      </c>
      <c r="O93" s="8">
        <f>IFERROR(N93/N148, "NA")</f>
        <v>7.0415215962504274E-2</v>
      </c>
      <c r="P93" s="7">
        <v>2129.13</v>
      </c>
      <c r="Q93" s="8">
        <f>IFERROR(P93/P148, "NA")</f>
        <v>8.3056819254586189E-2</v>
      </c>
      <c r="R93" s="7">
        <v>3200.38</v>
      </c>
      <c r="S93" s="8">
        <f>IFERROR(R93/R148, "NA")</f>
        <v>9.2931240499271886E-2</v>
      </c>
      <c r="T93" s="7">
        <v>2893.3500000000004</v>
      </c>
      <c r="U93" s="8">
        <f>IFERROR(T93/T148, "NA")</f>
        <v>0.10134723323647023</v>
      </c>
      <c r="V93" s="7">
        <v>3008.6799999999994</v>
      </c>
      <c r="W93" s="8">
        <f>IFERROR(V93/V148, "NA")</f>
        <v>8.7623655253216762E-2</v>
      </c>
      <c r="X93" s="7">
        <v>3976.56</v>
      </c>
      <c r="Y93" s="8">
        <f>IFERROR(X93/X148, "NA")</f>
        <v>8.8843351416009603E-2</v>
      </c>
      <c r="Z93" s="7">
        <v>9878.59</v>
      </c>
      <c r="AA93" s="8">
        <f>IFERROR(Z93/Z148, "NA")</f>
        <v>9.1770503834380762E-2</v>
      </c>
      <c r="AB93" s="9">
        <f t="shared" si="36"/>
        <v>3269.7424999999998</v>
      </c>
      <c r="AC93" s="8">
        <f>IFERROR(AB93/AB148, "NA")</f>
        <v>9.2051844472213887E-2</v>
      </c>
      <c r="AD93" s="10">
        <f t="shared" si="37"/>
        <v>706.81750000000011</v>
      </c>
      <c r="AE93" s="11">
        <f>IFERROR(AD93/AD148, "NA")</f>
        <v>7.6507261542441488E-2</v>
      </c>
      <c r="AF93" s="10">
        <f t="shared" si="38"/>
        <v>0.21616916316804768</v>
      </c>
      <c r="AG93" s="9">
        <f t="shared" si="39"/>
        <v>2727.7150000000001</v>
      </c>
      <c r="AH93" s="8">
        <f>IFERROR(AG93/AG148, "NA")</f>
        <v>8.7875965321126709E-2</v>
      </c>
      <c r="AI93" s="10">
        <f t="shared" si="40"/>
        <v>1248.8449999999998</v>
      </c>
      <c r="AJ93" s="11">
        <f>IFERROR(AI93/AI148, "NA")</f>
        <v>9.1032197433907336E-2</v>
      </c>
      <c r="AK93" s="10">
        <f t="shared" si="41"/>
        <v>0.45783558766220067</v>
      </c>
      <c r="AL93" s="11">
        <f>IFERROR(AK93/AK148, "NA")</f>
        <v>1.0359168983378646</v>
      </c>
    </row>
    <row r="94" spans="1:38" ht="16.5" hidden="1" customHeight="1" x14ac:dyDescent="0.3">
      <c r="A94" s="6" t="s">
        <v>103</v>
      </c>
      <c r="B94" s="7">
        <v>784.87</v>
      </c>
      <c r="C94" s="8">
        <f>IFERROR(B94/B148, "NA")</f>
        <v>2.9128941223276729E-2</v>
      </c>
      <c r="D94" s="7">
        <v>565.54999999999995</v>
      </c>
      <c r="E94" s="8">
        <f>IFERROR(D94/D148, "NA")</f>
        <v>2.3549884280561546E-2</v>
      </c>
      <c r="F94" s="7">
        <v>735.9</v>
      </c>
      <c r="G94" s="8">
        <f>IFERROR(F94/F148, "NA")</f>
        <v>2.6690952931217208E-2</v>
      </c>
      <c r="H94" s="7">
        <v>747.16</v>
      </c>
      <c r="I94" s="8">
        <f>IFERROR(H94/H148, "NA")</f>
        <v>2.4349316686790471E-2</v>
      </c>
      <c r="J94" s="7">
        <v>611.41999999999996</v>
      </c>
      <c r="K94" s="8">
        <f>IFERROR(J94/J148, "NA")</f>
        <v>2.8683873613059973E-2</v>
      </c>
      <c r="L94" s="7">
        <v>833.58</v>
      </c>
      <c r="M94" s="8">
        <f>IFERROR(L94/L148, "NA")</f>
        <v>2.5109820446619715E-2</v>
      </c>
      <c r="N94" s="7">
        <v>747.21</v>
      </c>
      <c r="O94" s="8">
        <f>IFERROR(N94/N148, "NA")</f>
        <v>2.8635702555985843E-2</v>
      </c>
      <c r="P94" s="7">
        <v>632.5</v>
      </c>
      <c r="Q94" s="8">
        <f>IFERROR(P94/P148, "NA")</f>
        <v>2.467366397473417E-2</v>
      </c>
      <c r="R94" s="7">
        <v>967.79</v>
      </c>
      <c r="S94" s="8">
        <f>IFERROR(R94/R148, "NA")</f>
        <v>2.810226449446326E-2</v>
      </c>
      <c r="T94" s="7">
        <v>678.52</v>
      </c>
      <c r="U94" s="8">
        <f>IFERROR(T94/T148, "NA")</f>
        <v>2.3766956882371567E-2</v>
      </c>
      <c r="V94" s="7">
        <v>798.61</v>
      </c>
      <c r="W94" s="8">
        <f>IFERROR(V94/V148, "NA")</f>
        <v>2.3258414760549958E-2</v>
      </c>
      <c r="X94" s="7">
        <v>899.96</v>
      </c>
      <c r="Y94" s="8">
        <f>IFERROR(X94/X148, "NA")</f>
        <v>2.0106690843430506E-2</v>
      </c>
      <c r="Z94" s="7">
        <v>2377.09</v>
      </c>
      <c r="AA94" s="8">
        <f>IFERROR(Z94/Z148, "NA")</f>
        <v>2.2082781749183655E-2</v>
      </c>
      <c r="AB94" s="9">
        <f t="shared" si="36"/>
        <v>836.22</v>
      </c>
      <c r="AC94" s="8">
        <f>IFERROR(AB94/AB148, "NA")</f>
        <v>2.3541790640869947E-2</v>
      </c>
      <c r="AD94" s="10">
        <f t="shared" si="37"/>
        <v>63.740000000000009</v>
      </c>
      <c r="AE94" s="11">
        <f>IFERROR(AD94/AD148, "NA")</f>
        <v>6.8993380196659248E-3</v>
      </c>
      <c r="AF94" s="10">
        <f t="shared" si="38"/>
        <v>7.6223960201860758E-2</v>
      </c>
      <c r="AG94" s="9">
        <f t="shared" si="39"/>
        <v>771.19875000000002</v>
      </c>
      <c r="AH94" s="8">
        <f>IFERROR(AG94/AG148, "NA")</f>
        <v>2.484491034096167E-2</v>
      </c>
      <c r="AI94" s="10">
        <f t="shared" si="40"/>
        <v>128.76125000000002</v>
      </c>
      <c r="AJ94" s="11">
        <f>IFERROR(AI94/AI148, "NA")</f>
        <v>9.3858081121650037E-3</v>
      </c>
      <c r="AK94" s="10">
        <f t="shared" si="41"/>
        <v>0.16696247238471279</v>
      </c>
      <c r="AL94" s="11">
        <f>IFERROR(AK94/AK148, "NA")</f>
        <v>0.3777758898445559</v>
      </c>
    </row>
    <row r="95" spans="1:38" ht="16.5" hidden="1" customHeight="1" x14ac:dyDescent="0.3">
      <c r="A95" s="6" t="s">
        <v>104</v>
      </c>
      <c r="B95" s="7">
        <v>0</v>
      </c>
      <c r="C95" s="8">
        <f>IFERROR(B95/B148, "NA")</f>
        <v>0</v>
      </c>
      <c r="D95" s="7">
        <v>0</v>
      </c>
      <c r="E95" s="8">
        <f>IFERROR(D95/D148, "NA")</f>
        <v>0</v>
      </c>
      <c r="F95" s="7">
        <v>0</v>
      </c>
      <c r="G95" s="8">
        <f>IFERROR(F95/F148, "NA")</f>
        <v>0</v>
      </c>
      <c r="H95" s="7">
        <v>1101.83</v>
      </c>
      <c r="I95" s="8">
        <f>IFERROR(H95/H148, "NA")</f>
        <v>3.5907714017086492E-2</v>
      </c>
      <c r="J95" s="7">
        <v>0</v>
      </c>
      <c r="K95" s="8">
        <f>IFERROR(J95/J148, "NA")</f>
        <v>0</v>
      </c>
      <c r="L95" s="7">
        <v>0</v>
      </c>
      <c r="M95" s="8">
        <f>IFERROR(L95/L148, "NA")</f>
        <v>0</v>
      </c>
      <c r="N95" s="7">
        <v>0</v>
      </c>
      <c r="O95" s="8">
        <f>IFERROR(N95/N148, "NA")</f>
        <v>0</v>
      </c>
      <c r="P95" s="7">
        <v>0</v>
      </c>
      <c r="Q95" s="8">
        <f>IFERROR(P95/P148, "NA")</f>
        <v>0</v>
      </c>
      <c r="R95" s="7">
        <v>1521.4099999999999</v>
      </c>
      <c r="S95" s="8">
        <f>IFERROR(R95/R148, "NA")</f>
        <v>4.4178040922639564E-2</v>
      </c>
      <c r="T95" s="7">
        <v>0</v>
      </c>
      <c r="U95" s="8">
        <f>IFERROR(T95/T148, "NA")</f>
        <v>0</v>
      </c>
      <c r="V95" s="7">
        <v>0</v>
      </c>
      <c r="W95" s="8">
        <f>IFERROR(V95/V148, "NA")</f>
        <v>0</v>
      </c>
      <c r="X95" s="7">
        <v>0</v>
      </c>
      <c r="Y95" s="8">
        <f>IFERROR(X95/X148, "NA")</f>
        <v>0</v>
      </c>
      <c r="Z95" s="7">
        <v>0</v>
      </c>
      <c r="AA95" s="8">
        <f>IFERROR(Z95/Z148, "NA")</f>
        <v>0</v>
      </c>
      <c r="AB95" s="9">
        <f t="shared" si="36"/>
        <v>380.35249999999996</v>
      </c>
      <c r="AC95" s="8">
        <f>IFERROR(AB95/AB148, "NA")</f>
        <v>1.0707922466254675E-2</v>
      </c>
      <c r="AD95" s="10">
        <f t="shared" si="37"/>
        <v>-380.35249999999996</v>
      </c>
      <c r="AE95" s="11">
        <f>IFERROR(AD95/AD148, "NA")</f>
        <v>-4.1170073174223144E-2</v>
      </c>
      <c r="AF95" s="10">
        <f t="shared" si="38"/>
        <v>-1</v>
      </c>
      <c r="AG95" s="9">
        <f t="shared" si="39"/>
        <v>190.17624999999998</v>
      </c>
      <c r="AH95" s="8">
        <f>IFERROR(AG95/AG148, "NA")</f>
        <v>6.1267110199936282E-3</v>
      </c>
      <c r="AI95" s="10">
        <f t="shared" si="40"/>
        <v>-190.17624999999998</v>
      </c>
      <c r="AJ95" s="11">
        <f>IFERROR(AI95/AI148, "NA")</f>
        <v>-1.3862538535398804E-2</v>
      </c>
      <c r="AK95" s="10">
        <f t="shared" si="41"/>
        <v>-1</v>
      </c>
      <c r="AL95" s="11">
        <f>IFERROR(AK95/AK148, "NA")</f>
        <v>-2.2626395288043502</v>
      </c>
    </row>
    <row r="96" spans="1:38" ht="16.5" hidden="1" customHeight="1" x14ac:dyDescent="0.3">
      <c r="A96" s="6" t="s">
        <v>105</v>
      </c>
      <c r="B96" s="7">
        <v>0</v>
      </c>
      <c r="C96" s="8">
        <f>IFERROR(B96/B148, "NA")</f>
        <v>0</v>
      </c>
      <c r="D96" s="7">
        <v>0</v>
      </c>
      <c r="E96" s="8">
        <f>IFERROR(D96/D148, "NA")</f>
        <v>0</v>
      </c>
      <c r="F96" s="7">
        <v>0</v>
      </c>
      <c r="G96" s="8">
        <f>IFERROR(F96/F148, "NA")</f>
        <v>0</v>
      </c>
      <c r="H96" s="7">
        <v>0</v>
      </c>
      <c r="I96" s="8">
        <f>IFERROR(H96/H148, "NA")</f>
        <v>0</v>
      </c>
      <c r="J96" s="7">
        <v>0</v>
      </c>
      <c r="K96" s="8">
        <f>IFERROR(J96/J148, "NA")</f>
        <v>0</v>
      </c>
      <c r="L96" s="7">
        <v>0</v>
      </c>
      <c r="M96" s="8">
        <f>IFERROR(L96/L148, "NA")</f>
        <v>0</v>
      </c>
      <c r="N96" s="7">
        <v>0</v>
      </c>
      <c r="O96" s="8">
        <f>IFERROR(N96/N148, "NA")</f>
        <v>0</v>
      </c>
      <c r="P96" s="7">
        <v>0</v>
      </c>
      <c r="Q96" s="8">
        <f>IFERROR(P96/P148, "NA")</f>
        <v>0</v>
      </c>
      <c r="R96" s="7">
        <v>0</v>
      </c>
      <c r="S96" s="8">
        <f>IFERROR(R96/R148, "NA")</f>
        <v>0</v>
      </c>
      <c r="T96" s="7">
        <v>0</v>
      </c>
      <c r="U96" s="8">
        <f>IFERROR(T96/T148, "NA")</f>
        <v>0</v>
      </c>
      <c r="V96" s="7">
        <v>0</v>
      </c>
      <c r="W96" s="8">
        <f>IFERROR(V96/V148, "NA")</f>
        <v>0</v>
      </c>
      <c r="X96" s="7">
        <v>0</v>
      </c>
      <c r="Y96" s="8">
        <f>IFERROR(X96/X148, "NA")</f>
        <v>0</v>
      </c>
      <c r="Z96" s="7">
        <v>0</v>
      </c>
      <c r="AA96" s="8">
        <f>IFERROR(Z96/Z148, "NA")</f>
        <v>0</v>
      </c>
      <c r="AB96" s="9">
        <f t="shared" si="36"/>
        <v>0</v>
      </c>
      <c r="AC96" s="8">
        <f>IFERROR(AB96/AB148, "NA")</f>
        <v>0</v>
      </c>
      <c r="AD96" s="10">
        <f t="shared" si="37"/>
        <v>0</v>
      </c>
      <c r="AE96" s="11">
        <f>IFERROR(AD96/AD148, "NA")</f>
        <v>0</v>
      </c>
      <c r="AF96" s="10" t="str">
        <f t="shared" si="38"/>
        <v>NA</v>
      </c>
      <c r="AG96" s="9">
        <f t="shared" si="39"/>
        <v>0</v>
      </c>
      <c r="AH96" s="8">
        <f>IFERROR(AG96/AG148, "NA")</f>
        <v>0</v>
      </c>
      <c r="AI96" s="10">
        <f t="shared" si="40"/>
        <v>0</v>
      </c>
      <c r="AJ96" s="11">
        <f>IFERROR(AI96/AI148, "NA")</f>
        <v>0</v>
      </c>
      <c r="AK96" s="10" t="str">
        <f t="shared" si="41"/>
        <v>NA</v>
      </c>
      <c r="AL96" s="11" t="str">
        <f>IFERROR(AK96/AK148, "NA")</f>
        <v>NA</v>
      </c>
    </row>
    <row r="97" spans="1:38" ht="16.5" hidden="1" customHeight="1" x14ac:dyDescent="0.3">
      <c r="A97" s="6" t="s">
        <v>106</v>
      </c>
      <c r="B97" s="7">
        <v>395</v>
      </c>
      <c r="C97" s="8">
        <f>IFERROR(B97/B148, "NA")</f>
        <v>1.4659665655706432E-2</v>
      </c>
      <c r="D97" s="7">
        <v>1548.47</v>
      </c>
      <c r="E97" s="8">
        <f>IFERROR(D97/D148, "NA")</f>
        <v>6.4479337480189455E-2</v>
      </c>
      <c r="F97" s="7">
        <v>710.77</v>
      </c>
      <c r="G97" s="8">
        <f>IFERROR(F97/F148, "NA")</f>
        <v>2.5779492614378657E-2</v>
      </c>
      <c r="H97" s="7">
        <v>205.49</v>
      </c>
      <c r="I97" s="8">
        <f>IFERROR(H97/H148, "NA")</f>
        <v>6.6967464612246036E-3</v>
      </c>
      <c r="J97" s="7">
        <v>395</v>
      </c>
      <c r="K97" s="8">
        <f>IFERROR(J97/J148, "NA")</f>
        <v>1.8530846353012154E-2</v>
      </c>
      <c r="L97" s="7">
        <v>0</v>
      </c>
      <c r="M97" s="8">
        <f>IFERROR(L97/L148, "NA")</f>
        <v>0</v>
      </c>
      <c r="N97" s="7">
        <v>488.57</v>
      </c>
      <c r="O97" s="8">
        <f>IFERROR(N97/N148, "NA")</f>
        <v>1.8723712474107684E-2</v>
      </c>
      <c r="P97" s="7">
        <v>692.94</v>
      </c>
      <c r="Q97" s="8">
        <f>IFERROR(P97/P148, "NA")</f>
        <v>2.7031412987592564E-2</v>
      </c>
      <c r="R97" s="7">
        <v>505.48</v>
      </c>
      <c r="S97" s="8">
        <f>IFERROR(R97/R148, "NA")</f>
        <v>1.4677908075782236E-2</v>
      </c>
      <c r="T97" s="7">
        <v>600.36</v>
      </c>
      <c r="U97" s="8">
        <f>IFERROR(T97/T148, "NA")</f>
        <v>2.1029196241673927E-2</v>
      </c>
      <c r="V97" s="7">
        <v>421.43</v>
      </c>
      <c r="W97" s="8">
        <f>IFERROR(V97/V148, "NA")</f>
        <v>1.2273567489185672E-2</v>
      </c>
      <c r="X97" s="7">
        <v>289.34000000000003</v>
      </c>
      <c r="Y97" s="8">
        <f>IFERROR(X97/X148, "NA")</f>
        <v>6.4643650035981406E-3</v>
      </c>
      <c r="Z97" s="7">
        <v>1311.13</v>
      </c>
      <c r="AA97" s="8">
        <f>IFERROR(Z97/Z148, "NA")</f>
        <v>1.2180185703867825E-2</v>
      </c>
      <c r="AB97" s="9">
        <f t="shared" si="36"/>
        <v>454.15250000000003</v>
      </c>
      <c r="AC97" s="8">
        <f>IFERROR(AB97/AB148, "NA")</f>
        <v>1.2785586417483065E-2</v>
      </c>
      <c r="AD97" s="10">
        <f t="shared" si="37"/>
        <v>-164.8125</v>
      </c>
      <c r="AE97" s="11">
        <f>IFERROR(AD97/AD148, "NA")</f>
        <v>-1.7839616369096173E-2</v>
      </c>
      <c r="AF97" s="10">
        <f t="shared" si="38"/>
        <v>-0.36290122811170256</v>
      </c>
      <c r="AG97" s="9">
        <f t="shared" si="39"/>
        <v>424.14</v>
      </c>
      <c r="AH97" s="8">
        <f>IFERROR(AG97/AG148, "NA")</f>
        <v>1.366407851674485E-2</v>
      </c>
      <c r="AI97" s="10">
        <f t="shared" si="40"/>
        <v>-134.79999999999995</v>
      </c>
      <c r="AJ97" s="11">
        <f>IFERROR(AI97/AI148, "NA")</f>
        <v>-9.8259913873144436E-3</v>
      </c>
      <c r="AK97" s="10">
        <f t="shared" si="41"/>
        <v>-0.31781958787192899</v>
      </c>
      <c r="AL97" s="11">
        <f>IFERROR(AK97/AK148, "NA")</f>
        <v>-0.7191111625473342</v>
      </c>
    </row>
    <row r="98" spans="1:38" ht="16.5" hidden="1" customHeight="1" x14ac:dyDescent="0.3">
      <c r="A98" s="6" t="s">
        <v>107</v>
      </c>
      <c r="B98" s="7">
        <v>254.49</v>
      </c>
      <c r="C98" s="8">
        <f>IFERROR(B98/B148, "NA")</f>
        <v>9.4449071208119757E-3</v>
      </c>
      <c r="D98" s="7">
        <v>591.52</v>
      </c>
      <c r="E98" s="8">
        <f>IFERROR(D98/D148, "NA")</f>
        <v>2.4631292634847084E-2</v>
      </c>
      <c r="F98" s="7">
        <v>2566.85</v>
      </c>
      <c r="G98" s="8">
        <f>IFERROR(F98/F148, "NA")</f>
        <v>9.3099160934223255E-2</v>
      </c>
      <c r="H98" s="7">
        <v>1075.95</v>
      </c>
      <c r="I98" s="8">
        <f>IFERROR(H98/H148, "NA")</f>
        <v>3.5064306559709046E-2</v>
      </c>
      <c r="J98" s="7">
        <v>327.39</v>
      </c>
      <c r="K98" s="8">
        <f>IFERROR(J98/J148, "NA")</f>
        <v>1.5359022246867464E-2</v>
      </c>
      <c r="L98" s="7">
        <v>807.06</v>
      </c>
      <c r="M98" s="8">
        <f>IFERROR(L98/L148, "NA")</f>
        <v>2.431096198283177E-2</v>
      </c>
      <c r="N98" s="7">
        <v>288.51</v>
      </c>
      <c r="O98" s="8">
        <f>IFERROR(N98/N148, "NA")</f>
        <v>1.1056713031714611E-2</v>
      </c>
      <c r="P98" s="7">
        <v>1896.8000000000002</v>
      </c>
      <c r="Q98" s="8">
        <f>IFERROR(P98/P148, "NA")</f>
        <v>7.399368510241229E-2</v>
      </c>
      <c r="R98" s="7">
        <v>1004.4499999999999</v>
      </c>
      <c r="S98" s="8">
        <f>IFERROR(R98/R148, "NA")</f>
        <v>2.9166781607025925E-2</v>
      </c>
      <c r="T98" s="7">
        <v>576.43000000000006</v>
      </c>
      <c r="U98" s="8">
        <f>IFERROR(T98/T148, "NA")</f>
        <v>2.0190984725145085E-2</v>
      </c>
      <c r="V98" s="7">
        <v>449.59000000000003</v>
      </c>
      <c r="W98" s="8">
        <f>IFERROR(V98/V148, "NA")</f>
        <v>1.3093688649272682E-2</v>
      </c>
      <c r="X98" s="7">
        <v>1951.44</v>
      </c>
      <c r="Y98" s="8">
        <f>IFERROR(X98/X148, "NA")</f>
        <v>4.3598605248571072E-2</v>
      </c>
      <c r="Z98" s="7">
        <v>2977.4599999999996</v>
      </c>
      <c r="AA98" s="8">
        <f>IFERROR(Z98/Z148, "NA")</f>
        <v>2.7660121975577011E-2</v>
      </c>
      <c r="AB98" s="9">
        <f t="shared" si="36"/>
        <v>995.47750000000008</v>
      </c>
      <c r="AC98" s="8">
        <f>IFERROR(AB98/AB148, "NA")</f>
        <v>2.8025307804999417E-2</v>
      </c>
      <c r="AD98" s="10">
        <f t="shared" si="37"/>
        <v>955.96249999999998</v>
      </c>
      <c r="AE98" s="11">
        <f>IFERROR(AD98/AD148, "NA")</f>
        <v>0.10347518703521942</v>
      </c>
      <c r="AF98" s="10">
        <f t="shared" si="38"/>
        <v>0.96030548154026574</v>
      </c>
      <c r="AG98" s="9">
        <f t="shared" si="39"/>
        <v>912.70875000000001</v>
      </c>
      <c r="AH98" s="8">
        <f>IFERROR(AG98/AG148, "NA")</f>
        <v>2.9403791255057401E-2</v>
      </c>
      <c r="AI98" s="10">
        <f t="shared" si="40"/>
        <v>1038.73125</v>
      </c>
      <c r="AJ98" s="11">
        <f>IFERROR(AI98/AI148, "NA")</f>
        <v>7.5716352494320252E-2</v>
      </c>
      <c r="AK98" s="10">
        <f t="shared" si="41"/>
        <v>1.13807526223453</v>
      </c>
      <c r="AL98" s="11">
        <f>IFERROR(AK98/AK148, "NA")</f>
        <v>2.5750540750862245</v>
      </c>
    </row>
    <row r="99" spans="1:38" ht="16.5" hidden="1" customHeight="1" x14ac:dyDescent="0.3">
      <c r="A99" s="12" t="s">
        <v>108</v>
      </c>
      <c r="B99" s="13">
        <f>IFERROR(B90+B91+B92+B93+B94+B95+B96+B97+B98, "NA")</f>
        <v>6524.39</v>
      </c>
      <c r="C99" s="14">
        <f>IFERROR(B99/B148, "NA")</f>
        <v>0.24214019242388479</v>
      </c>
      <c r="D99" s="13">
        <f>IFERROR(D90+D91+D92+D93+D94+D95+D96+D97+D98, "NA")</f>
        <v>6712.49</v>
      </c>
      <c r="E99" s="14">
        <f>IFERROR(D99/D148, "NA")</f>
        <v>0.27951262087247208</v>
      </c>
      <c r="F99" s="13">
        <f>IFERROR(F90+F91+F92+F93+F94+F95+F96+F97+F98, "NA")</f>
        <v>8170.42</v>
      </c>
      <c r="G99" s="14">
        <f>IFERROR(F99/F148, "NA")</f>
        <v>0.29633957826916119</v>
      </c>
      <c r="H99" s="13">
        <f>IFERROR(H90+H91+H92+H93+H94+H95+H96+H97+H98, "NA")</f>
        <v>7890.3099999999986</v>
      </c>
      <c r="I99" s="14">
        <f>IFERROR(H99/H148, "NA")</f>
        <v>0.2571385739961316</v>
      </c>
      <c r="J99" s="13">
        <f>IFERROR(J90+J91+J92+J93+J94+J95+J96+J97+J98, "NA")</f>
        <v>4013</v>
      </c>
      <c r="K99" s="14">
        <f>IFERROR(J99/J148, "NA")</f>
        <v>0.1882640162395893</v>
      </c>
      <c r="L99" s="13">
        <f>IFERROR(L90+L91+L92+L93+L94+L95+L96+L97+L98, "NA")</f>
        <v>6230.65</v>
      </c>
      <c r="M99" s="14">
        <f>IFERROR(L99/L148, "NA")</f>
        <v>0.18768504854450818</v>
      </c>
      <c r="N99" s="13">
        <f>IFERROR(N90+N91+N92+N93+N94+N95+N96+N97+N98, "NA")</f>
        <v>5137.4799999999996</v>
      </c>
      <c r="O99" s="14">
        <f>IFERROR(N99/N148, "NA")</f>
        <v>0.19688621561184425</v>
      </c>
      <c r="P99" s="13">
        <f>IFERROR(P90+P91+P92+P93+P94+P95+P96+P97+P98, "NA")</f>
        <v>7234.6800000000012</v>
      </c>
      <c r="Q99" s="14">
        <f>IFERROR(P99/P148, "NA")</f>
        <v>0.28222302495609458</v>
      </c>
      <c r="R99" s="13">
        <f>IFERROR(R90+R91+R92+R93+R94+R95+R96+R97+R98, "NA")</f>
        <v>11117.080000000002</v>
      </c>
      <c r="S99" s="14">
        <f>IFERROR(R99/R148, "NA")</f>
        <v>0.32281292694293978</v>
      </c>
      <c r="T99" s="13">
        <f>IFERROR(T90+T91+T92+T93+T94+T95+T96+T97+T98, "NA")</f>
        <v>8253.57</v>
      </c>
      <c r="U99" s="14">
        <f>IFERROR(T99/T148, "NA")</f>
        <v>0.28910311017454976</v>
      </c>
      <c r="V99" s="13">
        <f>IFERROR(V90+V91+V92+V93+V94+V95+V96+V97+V98, "NA")</f>
        <v>9087.77</v>
      </c>
      <c r="W99" s="14">
        <f>IFERROR(V99/V148, "NA")</f>
        <v>0.26466876686803709</v>
      </c>
      <c r="X99" s="13">
        <f>IFERROR(X90+X91+X92+X93+X94+X95+X96+X97+X98, "NA")</f>
        <v>11163.52</v>
      </c>
      <c r="Y99" s="14">
        <f>IFERROR(X99/X148, "NA")</f>
        <v>0.24941269096899119</v>
      </c>
      <c r="Z99" s="13">
        <f>IFERROR(Z90+Z91+Z92+Z93+Z94+Z95+Z96+Z97+Z98, "NA")</f>
        <v>28504.86</v>
      </c>
      <c r="AA99" s="14">
        <f>IFERROR(Z99/Z148, "NA")</f>
        <v>0.26480554045956833</v>
      </c>
      <c r="AB99" s="13">
        <f t="shared" si="36"/>
        <v>9905.4850000000006</v>
      </c>
      <c r="AC99" s="14">
        <f>IFERROR(AB99/AB148, "NA")</f>
        <v>0.27886543501264938</v>
      </c>
      <c r="AD99" s="15">
        <f t="shared" si="37"/>
        <v>1258.0349999999999</v>
      </c>
      <c r="AE99" s="16">
        <f>IFERROR(AD99/AD148, "NA")</f>
        <v>0.13617208512033918</v>
      </c>
      <c r="AF99" s="15">
        <f t="shared" si="38"/>
        <v>0.12700387714483438</v>
      </c>
      <c r="AG99" s="13">
        <f t="shared" si="39"/>
        <v>7779.71875</v>
      </c>
      <c r="AH99" s="14">
        <f>IFERROR(AG99/AG148, "NA")</f>
        <v>0.25063113084875771</v>
      </c>
      <c r="AI99" s="15">
        <f t="shared" si="40"/>
        <v>3383.8012500000004</v>
      </c>
      <c r="AJ99" s="16">
        <f>IFERROR(AI99/AI148, "NA")</f>
        <v>0.2466558007335598</v>
      </c>
      <c r="AK99" s="15">
        <f t="shared" si="41"/>
        <v>0.43495161698486856</v>
      </c>
      <c r="AL99" s="16">
        <f>IFERROR(AK99/AK148, "NA")</f>
        <v>0.9841387217073333</v>
      </c>
    </row>
    <row r="100" spans="1:38" ht="16.5" hidden="1" customHeight="1" x14ac:dyDescent="0.3">
      <c r="A100" s="35" t="s">
        <v>3</v>
      </c>
      <c r="B100" s="36"/>
      <c r="C100" s="19"/>
      <c r="D100" s="36"/>
      <c r="E100" s="19"/>
      <c r="F100" s="36"/>
      <c r="G100" s="19"/>
      <c r="H100" s="36"/>
      <c r="I100" s="19"/>
      <c r="J100" s="36"/>
      <c r="K100" s="19"/>
      <c r="L100" s="36"/>
      <c r="M100" s="19"/>
      <c r="N100" s="36"/>
      <c r="O100" s="19"/>
      <c r="P100" s="36"/>
      <c r="Q100" s="19"/>
      <c r="R100" s="36"/>
      <c r="S100" s="19"/>
      <c r="T100" s="36"/>
      <c r="U100" s="19"/>
      <c r="V100" s="36"/>
      <c r="W100" s="19"/>
      <c r="X100" s="36"/>
      <c r="Y100" s="19"/>
      <c r="Z100" s="36"/>
      <c r="AA100" s="19"/>
      <c r="AB100" s="36"/>
      <c r="AC100" s="19"/>
      <c r="AD100" s="37"/>
      <c r="AE100" s="21"/>
      <c r="AF100" s="37"/>
      <c r="AG100" s="36"/>
      <c r="AH100" s="19"/>
      <c r="AI100" s="37"/>
      <c r="AJ100" s="21"/>
      <c r="AK100" s="37"/>
      <c r="AL100" s="21"/>
    </row>
    <row r="101" spans="1:38" ht="16.5" hidden="1" customHeight="1" x14ac:dyDescent="0.3">
      <c r="A101" s="32" t="s">
        <v>109</v>
      </c>
      <c r="B101" s="33">
        <f>IFERROR(B87-B99, "NA")</f>
        <v>6514.4799999999987</v>
      </c>
      <c r="C101" s="34">
        <f>IFERROR(B101/B148, "NA")</f>
        <v>0.24177240182477575</v>
      </c>
      <c r="D101" s="33">
        <f>IFERROR(D87-D99, "NA")</f>
        <v>4114.6000000000076</v>
      </c>
      <c r="E101" s="34">
        <f>IFERROR(D101/D148, "NA")</f>
        <v>0.17133472524232823</v>
      </c>
      <c r="F101" s="33">
        <f>IFERROR(F87-F99, "NA")</f>
        <v>3739.0500000000084</v>
      </c>
      <c r="G101" s="34">
        <f>IFERROR(F101/F148, "NA")</f>
        <v>0.13561463182153544</v>
      </c>
      <c r="H101" s="33">
        <f>IFERROR(H87-H99, "NA")</f>
        <v>6341.9100000000026</v>
      </c>
      <c r="I101" s="34">
        <f>IFERROR(H101/H148, "NA")</f>
        <v>0.20667751885690272</v>
      </c>
      <c r="J101" s="33">
        <f>IFERROR(J87-J99, "NA")</f>
        <v>3921.4299999999939</v>
      </c>
      <c r="K101" s="34">
        <f>IFERROR(J101/J148, "NA")</f>
        <v>0.18396814383314514</v>
      </c>
      <c r="L101" s="33">
        <f>IFERROR(L87-L99, "NA")</f>
        <v>9394.7200000000121</v>
      </c>
      <c r="M101" s="34">
        <f>IFERROR(L101/L148, "NA")</f>
        <v>0.2829959120255614</v>
      </c>
      <c r="N101" s="33">
        <f>IFERROR(N87-N99, "NA")</f>
        <v>6945.0499999999993</v>
      </c>
      <c r="O101" s="34">
        <f>IFERROR(N101/N148, "NA")</f>
        <v>0.26615862479952013</v>
      </c>
      <c r="P101" s="33">
        <f>IFERROR(P87-P99, "NA")</f>
        <v>4514.2499999999918</v>
      </c>
      <c r="Q101" s="34">
        <f>IFERROR(P101/P148, "NA")</f>
        <v>0.17609974323785538</v>
      </c>
      <c r="R101" s="33">
        <f>IFERROR(R87-R99, "NA")</f>
        <v>6193.4099999999962</v>
      </c>
      <c r="S101" s="34">
        <f>IFERROR(R101/R148, "NA")</f>
        <v>0.17984154201082217</v>
      </c>
      <c r="T101" s="33">
        <f>IFERROR(T87-T99, "NA")</f>
        <v>5342.9500000000044</v>
      </c>
      <c r="U101" s="34">
        <f>IFERROR(T101/T148, "NA")</f>
        <v>0.18715094952936873</v>
      </c>
      <c r="V101" s="33">
        <f>IFERROR(V87-V99, "NA")</f>
        <v>8833.7299999999886</v>
      </c>
      <c r="W101" s="34">
        <f>IFERROR(V101/V148, "NA")</f>
        <v>0.25727020225480862</v>
      </c>
      <c r="X101" s="33">
        <f>IFERROR(X87-X99, "NA")</f>
        <v>12446.819999999992</v>
      </c>
      <c r="Y101" s="34">
        <f>IFERROR(X101/X148, "NA")</f>
        <v>0.27808387230968878</v>
      </c>
      <c r="Z101" s="33">
        <f>IFERROR(Z87-Z99, "NA")</f>
        <v>26623.499999999993</v>
      </c>
      <c r="AA101" s="34">
        <f>IFERROR(Z101/Z148, "NA")</f>
        <v>0.24732801025598142</v>
      </c>
      <c r="AB101" s="33">
        <f>IFERROR((R101+T101+V101+X101)/4, "NA")</f>
        <v>8204.2274999999954</v>
      </c>
      <c r="AC101" s="34">
        <f>IFERROR(AB101/AB148, "NA")</f>
        <v>0.23097056537163393</v>
      </c>
      <c r="AD101" s="15">
        <f>IFERROR(X101-AB101, "NA")</f>
        <v>4242.592499999997</v>
      </c>
      <c r="AE101" s="16">
        <f>IFERROR(AD101/AD148, "NA")</f>
        <v>0.45922622744272801</v>
      </c>
      <c r="AF101" s="15">
        <f>IFERROR((X101-AB101)/AB101, "NA")</f>
        <v>0.51712272727688247</v>
      </c>
      <c r="AG101" s="33">
        <f>IFERROR((J101+L101+N101+P101+R101+T101+V101+X101)/8, "NA")</f>
        <v>7199.0449999999973</v>
      </c>
      <c r="AH101" s="34">
        <f>IFERROR(AG101/AG148, "NA")</f>
        <v>0.23192416684486111</v>
      </c>
      <c r="AI101" s="15">
        <f>IFERROR(X101-AG101, "NA")</f>
        <v>5247.7749999999951</v>
      </c>
      <c r="AJ101" s="16">
        <f>IFERROR(AI101/AI148, "NA")</f>
        <v>0.38252664653237406</v>
      </c>
      <c r="AK101" s="15">
        <f>IFERROR((X101-AG101)/AG101, "NA")</f>
        <v>0.72895432658081694</v>
      </c>
      <c r="AL101" s="16">
        <f>IFERROR(AK101/AK148, "NA")</f>
        <v>1.6493608740147121</v>
      </c>
    </row>
    <row r="102" spans="1:38" ht="3.75" hidden="1" customHeight="1" x14ac:dyDescent="0.3">
      <c r="A102" s="35" t="s">
        <v>3</v>
      </c>
      <c r="B102" s="36"/>
      <c r="C102" s="19"/>
      <c r="D102" s="36"/>
      <c r="E102" s="19"/>
      <c r="F102" s="36"/>
      <c r="G102" s="19"/>
      <c r="H102" s="36"/>
      <c r="I102" s="19"/>
      <c r="J102" s="36"/>
      <c r="K102" s="19"/>
      <c r="L102" s="36"/>
      <c r="M102" s="19"/>
      <c r="N102" s="36"/>
      <c r="O102" s="19"/>
      <c r="P102" s="36"/>
      <c r="Q102" s="19"/>
      <c r="R102" s="36"/>
      <c r="S102" s="19"/>
      <c r="T102" s="36"/>
      <c r="U102" s="19"/>
      <c r="V102" s="36"/>
      <c r="W102" s="19"/>
      <c r="X102" s="36"/>
      <c r="Y102" s="19"/>
      <c r="Z102" s="36"/>
      <c r="AA102" s="19"/>
      <c r="AB102" s="36"/>
      <c r="AC102" s="19"/>
      <c r="AD102" s="37"/>
      <c r="AE102" s="21"/>
      <c r="AF102" s="37"/>
      <c r="AG102" s="36"/>
      <c r="AH102" s="19"/>
      <c r="AI102" s="37"/>
      <c r="AJ102" s="21"/>
      <c r="AK102" s="37"/>
      <c r="AL102" s="21"/>
    </row>
    <row r="103" spans="1:38" ht="16.5" hidden="1" customHeight="1" x14ac:dyDescent="0.3">
      <c r="A103" s="1" t="s">
        <v>110</v>
      </c>
      <c r="B103" s="2"/>
      <c r="C103" s="3"/>
      <c r="D103" s="2"/>
      <c r="E103" s="3"/>
      <c r="F103" s="2"/>
      <c r="G103" s="3"/>
      <c r="H103" s="2"/>
      <c r="I103" s="3"/>
      <c r="J103" s="2"/>
      <c r="K103" s="3"/>
      <c r="L103" s="2"/>
      <c r="M103" s="3"/>
      <c r="N103" s="2"/>
      <c r="O103" s="3"/>
      <c r="P103" s="2"/>
      <c r="Q103" s="3"/>
      <c r="R103" s="2"/>
      <c r="S103" s="3"/>
      <c r="T103" s="2"/>
      <c r="U103" s="3"/>
      <c r="V103" s="2"/>
      <c r="W103" s="3"/>
      <c r="X103" s="2"/>
      <c r="Y103" s="3"/>
      <c r="Z103" s="2"/>
      <c r="AA103" s="3"/>
      <c r="AB103" s="2"/>
      <c r="AC103" s="3"/>
      <c r="AD103" s="4"/>
      <c r="AE103" s="5"/>
      <c r="AF103" s="4"/>
      <c r="AG103" s="2"/>
      <c r="AH103" s="3"/>
      <c r="AI103" s="4"/>
      <c r="AJ103" s="5"/>
      <c r="AK103" s="4"/>
      <c r="AL103" s="5"/>
    </row>
    <row r="104" spans="1:38" ht="16.5" hidden="1" customHeight="1" x14ac:dyDescent="0.3">
      <c r="A104" s="38" t="s">
        <v>111</v>
      </c>
      <c r="B104" s="39">
        <v>0</v>
      </c>
      <c r="C104" s="34">
        <f>IFERROR(B104/B148, "NA")</f>
        <v>0</v>
      </c>
      <c r="D104" s="39">
        <v>0</v>
      </c>
      <c r="E104" s="34">
        <f>IFERROR(D104/D148, "NA")</f>
        <v>0</v>
      </c>
      <c r="F104" s="39">
        <v>2179.79</v>
      </c>
      <c r="G104" s="34">
        <f>IFERROR(F104/F148, "NA")</f>
        <v>7.9060568405949119E-2</v>
      </c>
      <c r="H104" s="39">
        <v>12526.02</v>
      </c>
      <c r="I104" s="34">
        <f>IFERROR(H104/H148, "NA")</f>
        <v>0.40821246828667385</v>
      </c>
      <c r="J104" s="39">
        <v>0</v>
      </c>
      <c r="K104" s="34">
        <f>IFERROR(J104/J148, "NA")</f>
        <v>0</v>
      </c>
      <c r="L104" s="39">
        <v>0</v>
      </c>
      <c r="M104" s="34">
        <f>IFERROR(L104/L148, "NA")</f>
        <v>0</v>
      </c>
      <c r="N104" s="39">
        <v>0</v>
      </c>
      <c r="O104" s="34">
        <f>IFERROR(N104/N148, "NA")</f>
        <v>0</v>
      </c>
      <c r="P104" s="39">
        <v>2238.1499999999996</v>
      </c>
      <c r="Q104" s="34">
        <f>IFERROR(P104/P148, "NA")</f>
        <v>8.7309661699685806E-2</v>
      </c>
      <c r="R104" s="39">
        <v>15169.11</v>
      </c>
      <c r="S104" s="34">
        <f>IFERROR(R104/R148, "NA")</f>
        <v>0.44047400920200419</v>
      </c>
      <c r="T104" s="39">
        <v>0</v>
      </c>
      <c r="U104" s="34">
        <f>IFERROR(T104/T148, "NA")</f>
        <v>0</v>
      </c>
      <c r="V104" s="39">
        <v>0</v>
      </c>
      <c r="W104" s="34">
        <f>IFERROR(V104/V148, "NA")</f>
        <v>0</v>
      </c>
      <c r="X104" s="39">
        <v>0</v>
      </c>
      <c r="Y104" s="34">
        <f>IFERROR(X104/X148, "NA")</f>
        <v>0</v>
      </c>
      <c r="Z104" s="39">
        <v>0</v>
      </c>
      <c r="AA104" s="34">
        <f>IFERROR(Z104/Z148, "NA")</f>
        <v>0</v>
      </c>
      <c r="AB104" s="33">
        <f>IFERROR((R104+T104+V104+X104)/4, "NA")</f>
        <v>3792.2775000000001</v>
      </c>
      <c r="AC104" s="34">
        <f>IFERROR(AB104/AB148, "NA")</f>
        <v>0.1067625779783809</v>
      </c>
      <c r="AD104" s="15">
        <f>IFERROR(X104-AB104, "NA")</f>
        <v>-3792.2775000000001</v>
      </c>
      <c r="AE104" s="16">
        <f>IFERROR(AD104/AD148, "NA")</f>
        <v>-0.41048328109309135</v>
      </c>
      <c r="AF104" s="15">
        <f>IFERROR((X104-AB104)/AB104, "NA")</f>
        <v>-1</v>
      </c>
      <c r="AG104" s="33">
        <f>IFERROR((J104+L104+N104+P104+R104+T104+V104+X104)/8, "NA")</f>
        <v>2175.9075000000003</v>
      </c>
      <c r="AH104" s="34">
        <f>IFERROR(AG104/AG148, "NA")</f>
        <v>7.0098955357132078E-2</v>
      </c>
      <c r="AI104" s="15">
        <f>IFERROR(X104-AG104, "NA")</f>
        <v>-2175.9075000000003</v>
      </c>
      <c r="AJ104" s="16">
        <f>IFERROR(AI104/AI148, "NA")</f>
        <v>-0.15860866731893852</v>
      </c>
      <c r="AK104" s="15">
        <f>IFERROR((X104-AG104)/AG104, "NA")</f>
        <v>-1</v>
      </c>
      <c r="AL104" s="16">
        <f>IFERROR(AK104/AK148, "NA")</f>
        <v>-2.2626395288043502</v>
      </c>
    </row>
    <row r="105" spans="1:38" ht="16.5" hidden="1" customHeight="1" x14ac:dyDescent="0.3">
      <c r="A105" s="12" t="s">
        <v>112</v>
      </c>
      <c r="B105" s="13">
        <f>IFERROR(B104, "NA")</f>
        <v>0</v>
      </c>
      <c r="C105" s="14">
        <f>IFERROR(B105/B148, "NA")</f>
        <v>0</v>
      </c>
      <c r="D105" s="13">
        <f>IFERROR(D104, "NA")</f>
        <v>0</v>
      </c>
      <c r="E105" s="14">
        <f>IFERROR(D105/D148, "NA")</f>
        <v>0</v>
      </c>
      <c r="F105" s="13">
        <f>IFERROR(F104, "NA")</f>
        <v>2179.79</v>
      </c>
      <c r="G105" s="14">
        <f>IFERROR(F105/F148, "NA")</f>
        <v>7.9060568405949119E-2</v>
      </c>
      <c r="H105" s="13">
        <f>IFERROR(H104, "NA")</f>
        <v>12526.02</v>
      </c>
      <c r="I105" s="14">
        <f>IFERROR(H105/H148, "NA")</f>
        <v>0.40821246828667385</v>
      </c>
      <c r="J105" s="13">
        <f>IFERROR(J104, "NA")</f>
        <v>0</v>
      </c>
      <c r="K105" s="14">
        <f>IFERROR(J105/J148, "NA")</f>
        <v>0</v>
      </c>
      <c r="L105" s="13">
        <f>IFERROR(L104, "NA")</f>
        <v>0</v>
      </c>
      <c r="M105" s="14">
        <f>IFERROR(L105/L148, "NA")</f>
        <v>0</v>
      </c>
      <c r="N105" s="13">
        <f>IFERROR(N104, "NA")</f>
        <v>0</v>
      </c>
      <c r="O105" s="14">
        <f>IFERROR(N105/N148, "NA")</f>
        <v>0</v>
      </c>
      <c r="P105" s="13">
        <f>IFERROR(P104, "NA")</f>
        <v>2238.1499999999996</v>
      </c>
      <c r="Q105" s="14">
        <f>IFERROR(P105/P148, "NA")</f>
        <v>8.7309661699685806E-2</v>
      </c>
      <c r="R105" s="13">
        <f>IFERROR(R104, "NA")</f>
        <v>15169.11</v>
      </c>
      <c r="S105" s="14">
        <f>IFERROR(R105/R148, "NA")</f>
        <v>0.44047400920200419</v>
      </c>
      <c r="T105" s="13">
        <f>IFERROR(T104, "NA")</f>
        <v>0</v>
      </c>
      <c r="U105" s="14">
        <f>IFERROR(T105/T148, "NA")</f>
        <v>0</v>
      </c>
      <c r="V105" s="13">
        <f>IFERROR(V104, "NA")</f>
        <v>0</v>
      </c>
      <c r="W105" s="14">
        <f>IFERROR(V105/V148, "NA")</f>
        <v>0</v>
      </c>
      <c r="X105" s="13">
        <f>IFERROR(X104, "NA")</f>
        <v>0</v>
      </c>
      <c r="Y105" s="14">
        <f>IFERROR(X105/X148, "NA")</f>
        <v>0</v>
      </c>
      <c r="Z105" s="13">
        <f>IFERROR(Z104, "NA")</f>
        <v>0</v>
      </c>
      <c r="AA105" s="14">
        <f>IFERROR(Z105/Z148, "NA")</f>
        <v>0</v>
      </c>
      <c r="AB105" s="13">
        <f>IFERROR((R105+T105+V105+X105)/4, "NA")</f>
        <v>3792.2775000000001</v>
      </c>
      <c r="AC105" s="14">
        <f>IFERROR(AB105/AB148, "NA")</f>
        <v>0.1067625779783809</v>
      </c>
      <c r="AD105" s="15">
        <f>IFERROR(X105-AB105, "NA")</f>
        <v>-3792.2775000000001</v>
      </c>
      <c r="AE105" s="16">
        <f>IFERROR(AD105/AD148, "NA")</f>
        <v>-0.41048328109309135</v>
      </c>
      <c r="AF105" s="15">
        <f>IFERROR((X105-AB105)/AB105, "NA")</f>
        <v>-1</v>
      </c>
      <c r="AG105" s="13">
        <f>IFERROR((J105+L105+N105+P105+R105+T105+V105+X105)/8, "NA")</f>
        <v>2175.9075000000003</v>
      </c>
      <c r="AH105" s="14">
        <f>IFERROR(AG105/AG148, "NA")</f>
        <v>7.0098955357132078E-2</v>
      </c>
      <c r="AI105" s="15">
        <f>IFERROR(X105-AG105, "NA")</f>
        <v>-2175.9075000000003</v>
      </c>
      <c r="AJ105" s="16">
        <f>IFERROR(AI105/AI148, "NA")</f>
        <v>-0.15860866731893852</v>
      </c>
      <c r="AK105" s="15">
        <f>IFERROR((X105-AG105)/AG105, "NA")</f>
        <v>-1</v>
      </c>
      <c r="AL105" s="16">
        <f>IFERROR(AK105/AK148, "NA")</f>
        <v>-2.2626395288043502</v>
      </c>
    </row>
    <row r="106" spans="1:38" ht="16.5" hidden="1" customHeight="1" x14ac:dyDescent="0.3">
      <c r="A106" s="35" t="s">
        <v>3</v>
      </c>
      <c r="B106" s="36"/>
      <c r="C106" s="19"/>
      <c r="D106" s="36"/>
      <c r="E106" s="19"/>
      <c r="F106" s="36"/>
      <c r="G106" s="19"/>
      <c r="H106" s="36"/>
      <c r="I106" s="19"/>
      <c r="J106" s="36"/>
      <c r="K106" s="19"/>
      <c r="L106" s="36"/>
      <c r="M106" s="19"/>
      <c r="N106" s="36"/>
      <c r="O106" s="19"/>
      <c r="P106" s="36"/>
      <c r="Q106" s="19"/>
      <c r="R106" s="36"/>
      <c r="S106" s="19"/>
      <c r="T106" s="36"/>
      <c r="U106" s="19"/>
      <c r="V106" s="36"/>
      <c r="W106" s="19"/>
      <c r="X106" s="36"/>
      <c r="Y106" s="19"/>
      <c r="Z106" s="36"/>
      <c r="AA106" s="19"/>
      <c r="AB106" s="36"/>
      <c r="AC106" s="19"/>
      <c r="AD106" s="37"/>
      <c r="AE106" s="21"/>
      <c r="AF106" s="37"/>
      <c r="AG106" s="36"/>
      <c r="AH106" s="19"/>
      <c r="AI106" s="37"/>
      <c r="AJ106" s="21"/>
      <c r="AK106" s="37"/>
      <c r="AL106" s="21"/>
    </row>
    <row r="107" spans="1:38" ht="16.5" hidden="1" customHeight="1" x14ac:dyDescent="0.3">
      <c r="A107" s="32" t="s">
        <v>113</v>
      </c>
      <c r="B107" s="33">
        <f>IFERROR(B87-B99-B105, "NA")</f>
        <v>6514.4799999999987</v>
      </c>
      <c r="C107" s="34">
        <f>IFERROR(B107/B148, "NA")</f>
        <v>0.24177240182477575</v>
      </c>
      <c r="D107" s="33">
        <f>IFERROR(D87-D99-D105, "NA")</f>
        <v>4114.6000000000076</v>
      </c>
      <c r="E107" s="34">
        <f>IFERROR(D107/D148, "NA")</f>
        <v>0.17133472524232823</v>
      </c>
      <c r="F107" s="33">
        <f>IFERROR(F87-F99-F105, "NA")</f>
        <v>1559.2600000000084</v>
      </c>
      <c r="G107" s="34">
        <f>IFERROR(F107/F148, "NA")</f>
        <v>5.6554063415586317E-2</v>
      </c>
      <c r="H107" s="33">
        <f>IFERROR(H87-H99-H105, "NA")</f>
        <v>-6184.1099999999979</v>
      </c>
      <c r="I107" s="34">
        <f>IFERROR(H107/H148, "NA")</f>
        <v>-0.2015349494297711</v>
      </c>
      <c r="J107" s="33">
        <f>IFERROR(J87-J99-J105, "NA")</f>
        <v>3921.4299999999939</v>
      </c>
      <c r="K107" s="34">
        <f>IFERROR(J107/J148, "NA")</f>
        <v>0.18396814383314514</v>
      </c>
      <c r="L107" s="33">
        <f>IFERROR(L87-L99-L105, "NA")</f>
        <v>9394.7200000000121</v>
      </c>
      <c r="M107" s="34">
        <f>IFERROR(L107/L148, "NA")</f>
        <v>0.2829959120255614</v>
      </c>
      <c r="N107" s="33">
        <f>IFERROR(N87-N99-N105, "NA")</f>
        <v>6945.0499999999993</v>
      </c>
      <c r="O107" s="34">
        <f>IFERROR(N107/N148, "NA")</f>
        <v>0.26615862479952013</v>
      </c>
      <c r="P107" s="33">
        <f>IFERROR(P87-P99-P105, "NA")</f>
        <v>2276.0999999999922</v>
      </c>
      <c r="Q107" s="34">
        <f>IFERROR(P107/P148, "NA")</f>
        <v>8.8790081538169557E-2</v>
      </c>
      <c r="R107" s="33">
        <f>IFERROR(R87-R99-R105, "NA")</f>
        <v>-8975.7000000000044</v>
      </c>
      <c r="S107" s="34">
        <f>IFERROR(R107/R148, "NA")</f>
        <v>-0.26063246719118199</v>
      </c>
      <c r="T107" s="33">
        <f>IFERROR(T87-T99-T105, "NA")</f>
        <v>5342.9500000000044</v>
      </c>
      <c r="U107" s="34">
        <f>IFERROR(T107/T148, "NA")</f>
        <v>0.18715094952936873</v>
      </c>
      <c r="V107" s="33">
        <f>IFERROR(V87-V99-V105, "NA")</f>
        <v>8833.7299999999886</v>
      </c>
      <c r="W107" s="34">
        <f>IFERROR(V107/V148, "NA")</f>
        <v>0.25727020225480862</v>
      </c>
      <c r="X107" s="33">
        <f>IFERROR(X87-X99-X105, "NA")</f>
        <v>12446.819999999992</v>
      </c>
      <c r="Y107" s="34">
        <f>IFERROR(X107/X148, "NA")</f>
        <v>0.27808387230968878</v>
      </c>
      <c r="Z107" s="33">
        <f>IFERROR(Z87-Z99-Z105, "NA")</f>
        <v>26623.499999999993</v>
      </c>
      <c r="AA107" s="34">
        <f>IFERROR(Z107/Z148, "NA")</f>
        <v>0.24732801025598142</v>
      </c>
      <c r="AB107" s="33">
        <f>IFERROR((R107+T107+V107+X107)/4, "NA")</f>
        <v>4411.9499999999953</v>
      </c>
      <c r="AC107" s="34">
        <f>IFERROR(AB107/AB148, "NA")</f>
        <v>0.12420798739325302</v>
      </c>
      <c r="AD107" s="15">
        <f>IFERROR(X107-AB107, "NA")</f>
        <v>8034.8699999999972</v>
      </c>
      <c r="AE107" s="16">
        <f>IFERROR(AD107/AD148, "NA")</f>
        <v>0.8697095085358193</v>
      </c>
      <c r="AF107" s="15">
        <f>IFERROR((X107-AB107)/AB107, "NA")</f>
        <v>1.8211607112501289</v>
      </c>
      <c r="AG107" s="33">
        <f>IFERROR((J107+L107+N107+P107+R107+T107+V107+X107)/8, "NA")</f>
        <v>5023.1374999999971</v>
      </c>
      <c r="AH107" s="34">
        <f>IFERROR(AG107/AG148, "NA")</f>
        <v>0.16182521148772905</v>
      </c>
      <c r="AI107" s="15">
        <f>IFERROR(X107-AG107, "NA")</f>
        <v>7423.6824999999953</v>
      </c>
      <c r="AJ107" s="16">
        <f>IFERROR(AI107/AI148, "NA")</f>
        <v>0.54113531385131253</v>
      </c>
      <c r="AK107" s="15">
        <f>IFERROR((X107-AG107)/AG107, "NA")</f>
        <v>1.4778975291837024</v>
      </c>
      <c r="AL107" s="16">
        <f>IFERROR(AK107/AK148, "NA")</f>
        <v>3.343949369053326</v>
      </c>
    </row>
    <row r="108" spans="1:38" ht="3.75" hidden="1" customHeight="1" x14ac:dyDescent="0.3">
      <c r="A108" s="35" t="s">
        <v>3</v>
      </c>
      <c r="B108" s="36"/>
      <c r="C108" s="19"/>
      <c r="D108" s="36"/>
      <c r="E108" s="19"/>
      <c r="F108" s="36"/>
      <c r="G108" s="19"/>
      <c r="H108" s="36"/>
      <c r="I108" s="19"/>
      <c r="J108" s="36"/>
      <c r="K108" s="19"/>
      <c r="L108" s="36"/>
      <c r="M108" s="19"/>
      <c r="N108" s="36"/>
      <c r="O108" s="19"/>
      <c r="P108" s="36"/>
      <c r="Q108" s="19"/>
      <c r="R108" s="36"/>
      <c r="S108" s="19"/>
      <c r="T108" s="36"/>
      <c r="U108" s="19"/>
      <c r="V108" s="36"/>
      <c r="W108" s="19"/>
      <c r="X108" s="36"/>
      <c r="Y108" s="19"/>
      <c r="Z108" s="36"/>
      <c r="AA108" s="19"/>
      <c r="AB108" s="36"/>
      <c r="AC108" s="19"/>
      <c r="AD108" s="37"/>
      <c r="AE108" s="21"/>
      <c r="AF108" s="37"/>
      <c r="AG108" s="36"/>
      <c r="AH108" s="19"/>
      <c r="AI108" s="37"/>
      <c r="AJ108" s="21"/>
      <c r="AK108" s="37"/>
      <c r="AL108" s="21"/>
    </row>
    <row r="109" spans="1:38" ht="16.5" hidden="1" customHeight="1" x14ac:dyDescent="0.3">
      <c r="A109" s="1" t="s">
        <v>114</v>
      </c>
      <c r="B109" s="2"/>
      <c r="C109" s="3"/>
      <c r="D109" s="2"/>
      <c r="E109" s="3"/>
      <c r="F109" s="2"/>
      <c r="G109" s="3"/>
      <c r="H109" s="2"/>
      <c r="I109" s="3"/>
      <c r="J109" s="2"/>
      <c r="K109" s="3"/>
      <c r="L109" s="2"/>
      <c r="M109" s="3"/>
      <c r="N109" s="2"/>
      <c r="O109" s="3"/>
      <c r="P109" s="2"/>
      <c r="Q109" s="3"/>
      <c r="R109" s="2"/>
      <c r="S109" s="3"/>
      <c r="T109" s="2"/>
      <c r="U109" s="3"/>
      <c r="V109" s="2"/>
      <c r="W109" s="3"/>
      <c r="X109" s="2"/>
      <c r="Y109" s="3"/>
      <c r="Z109" s="2"/>
      <c r="AA109" s="3"/>
      <c r="AB109" s="2"/>
      <c r="AC109" s="3"/>
      <c r="AD109" s="4"/>
      <c r="AE109" s="5"/>
      <c r="AF109" s="4"/>
      <c r="AG109" s="2"/>
      <c r="AH109" s="3"/>
      <c r="AI109" s="4"/>
      <c r="AJ109" s="5"/>
      <c r="AK109" s="4"/>
      <c r="AL109" s="5"/>
    </row>
    <row r="110" spans="1:38" ht="16.5" hidden="1" customHeight="1" x14ac:dyDescent="0.3">
      <c r="A110" s="6" t="s">
        <v>115</v>
      </c>
      <c r="B110" s="7">
        <v>0</v>
      </c>
      <c r="C110" s="8">
        <f>IFERROR(B110/B148, "NA")</f>
        <v>0</v>
      </c>
      <c r="D110" s="7">
        <v>0</v>
      </c>
      <c r="E110" s="8">
        <f>IFERROR(D110/D148, "NA")</f>
        <v>0</v>
      </c>
      <c r="F110" s="7">
        <v>0</v>
      </c>
      <c r="G110" s="8">
        <f>IFERROR(F110/F148, "NA")</f>
        <v>0</v>
      </c>
      <c r="H110" s="7">
        <v>0</v>
      </c>
      <c r="I110" s="8">
        <f>IFERROR(H110/H148, "NA")</f>
        <v>0</v>
      </c>
      <c r="J110" s="7">
        <v>0</v>
      </c>
      <c r="K110" s="8">
        <f>IFERROR(J110/J148, "NA")</f>
        <v>0</v>
      </c>
      <c r="L110" s="7">
        <v>0</v>
      </c>
      <c r="M110" s="8">
        <f>IFERROR(L110/L148, "NA")</f>
        <v>0</v>
      </c>
      <c r="N110" s="7">
        <v>0</v>
      </c>
      <c r="O110" s="8">
        <f>IFERROR(N110/N148, "NA")</f>
        <v>0</v>
      </c>
      <c r="P110" s="7">
        <v>0</v>
      </c>
      <c r="Q110" s="8">
        <f>IFERROR(P110/P148, "NA")</f>
        <v>0</v>
      </c>
      <c r="R110" s="7">
        <v>0</v>
      </c>
      <c r="S110" s="8">
        <f>IFERROR(R110/R148, "NA")</f>
        <v>0</v>
      </c>
      <c r="T110" s="7">
        <v>0</v>
      </c>
      <c r="U110" s="8">
        <f>IFERROR(T110/T148, "NA")</f>
        <v>0</v>
      </c>
      <c r="V110" s="7">
        <v>0</v>
      </c>
      <c r="W110" s="8">
        <f>IFERROR(V110/V148, "NA")</f>
        <v>0</v>
      </c>
      <c r="X110" s="7">
        <v>0</v>
      </c>
      <c r="Y110" s="8">
        <f>IFERROR(X110/X148, "NA")</f>
        <v>0</v>
      </c>
      <c r="Z110" s="7">
        <v>0</v>
      </c>
      <c r="AA110" s="8">
        <f>IFERROR(Z110/Z148, "NA")</f>
        <v>0</v>
      </c>
      <c r="AB110" s="9">
        <f t="shared" ref="AB110:AB135" si="42">IFERROR((R110+T110+V110+X110)/4, "NA")</f>
        <v>0</v>
      </c>
      <c r="AC110" s="8">
        <f>IFERROR(AB110/AB148, "NA")</f>
        <v>0</v>
      </c>
      <c r="AD110" s="10">
        <f t="shared" ref="AD110:AD135" si="43">IFERROR(X110-AB110, "NA")</f>
        <v>0</v>
      </c>
      <c r="AE110" s="11">
        <f>IFERROR(AD110/AD148, "NA")</f>
        <v>0</v>
      </c>
      <c r="AF110" s="10" t="str">
        <f t="shared" ref="AF110:AF135" si="44">IFERROR((X110-AB110)/AB110, "NA")</f>
        <v>NA</v>
      </c>
      <c r="AG110" s="9">
        <f t="shared" ref="AG110:AG135" si="45">IFERROR((J110+L110+N110+P110+R110+T110+V110+X110)/8, "NA")</f>
        <v>0</v>
      </c>
      <c r="AH110" s="8">
        <f>IFERROR(AG110/AG148, "NA")</f>
        <v>0</v>
      </c>
      <c r="AI110" s="10">
        <f t="shared" ref="AI110:AI135" si="46">IFERROR(X110-AG110, "NA")</f>
        <v>0</v>
      </c>
      <c r="AJ110" s="11">
        <f>IFERROR(AI110/AI148, "NA")</f>
        <v>0</v>
      </c>
      <c r="AK110" s="10" t="str">
        <f t="shared" ref="AK110:AK135" si="47">IFERROR((X110-AG110)/AG110, "NA")</f>
        <v>NA</v>
      </c>
      <c r="AL110" s="11" t="str">
        <f>IFERROR(AK110/AK148, "NA")</f>
        <v>NA</v>
      </c>
    </row>
    <row r="111" spans="1:38" ht="16.5" hidden="1" customHeight="1" x14ac:dyDescent="0.3">
      <c r="A111" s="6" t="s">
        <v>116</v>
      </c>
      <c r="B111" s="7">
        <v>0</v>
      </c>
      <c r="C111" s="8">
        <f>IFERROR(B111/B148, "NA")</f>
        <v>0</v>
      </c>
      <c r="D111" s="7">
        <v>0</v>
      </c>
      <c r="E111" s="8">
        <f>IFERROR(D111/D148, "NA")</f>
        <v>0</v>
      </c>
      <c r="F111" s="7">
        <v>0</v>
      </c>
      <c r="G111" s="8">
        <f>IFERROR(F111/F148, "NA")</f>
        <v>0</v>
      </c>
      <c r="H111" s="7">
        <v>0</v>
      </c>
      <c r="I111" s="8">
        <f>IFERROR(H111/H148, "NA")</f>
        <v>0</v>
      </c>
      <c r="J111" s="7">
        <v>0</v>
      </c>
      <c r="K111" s="8">
        <f>IFERROR(J111/J148, "NA")</f>
        <v>0</v>
      </c>
      <c r="L111" s="7">
        <v>0</v>
      </c>
      <c r="M111" s="8">
        <f>IFERROR(L111/L148, "NA")</f>
        <v>0</v>
      </c>
      <c r="N111" s="7">
        <v>0</v>
      </c>
      <c r="O111" s="8">
        <f>IFERROR(N111/N148, "NA")</f>
        <v>0</v>
      </c>
      <c r="P111" s="7">
        <v>0</v>
      </c>
      <c r="Q111" s="8">
        <f>IFERROR(P111/P148, "NA")</f>
        <v>0</v>
      </c>
      <c r="R111" s="7">
        <v>0</v>
      </c>
      <c r="S111" s="8">
        <f>IFERROR(R111/R148, "NA")</f>
        <v>0</v>
      </c>
      <c r="T111" s="7">
        <v>0</v>
      </c>
      <c r="U111" s="8">
        <f>IFERROR(T111/T148, "NA")</f>
        <v>0</v>
      </c>
      <c r="V111" s="7">
        <v>0</v>
      </c>
      <c r="W111" s="8">
        <f>IFERROR(V111/V148, "NA")</f>
        <v>0</v>
      </c>
      <c r="X111" s="7">
        <v>0</v>
      </c>
      <c r="Y111" s="8">
        <f>IFERROR(X111/X148, "NA")</f>
        <v>0</v>
      </c>
      <c r="Z111" s="7">
        <v>0</v>
      </c>
      <c r="AA111" s="8">
        <f>IFERROR(Z111/Z148, "NA")</f>
        <v>0</v>
      </c>
      <c r="AB111" s="9">
        <f t="shared" si="42"/>
        <v>0</v>
      </c>
      <c r="AC111" s="8">
        <f>IFERROR(AB111/AB148, "NA")</f>
        <v>0</v>
      </c>
      <c r="AD111" s="10">
        <f t="shared" si="43"/>
        <v>0</v>
      </c>
      <c r="AE111" s="11">
        <f>IFERROR(AD111/AD148, "NA")</f>
        <v>0</v>
      </c>
      <c r="AF111" s="10" t="str">
        <f t="shared" si="44"/>
        <v>NA</v>
      </c>
      <c r="AG111" s="9">
        <f t="shared" si="45"/>
        <v>0</v>
      </c>
      <c r="AH111" s="8">
        <f>IFERROR(AG111/AG148, "NA")</f>
        <v>0</v>
      </c>
      <c r="AI111" s="10">
        <f t="shared" si="46"/>
        <v>0</v>
      </c>
      <c r="AJ111" s="11">
        <f>IFERROR(AI111/AI148, "NA")</f>
        <v>0</v>
      </c>
      <c r="AK111" s="10" t="str">
        <f t="shared" si="47"/>
        <v>NA</v>
      </c>
      <c r="AL111" s="11" t="str">
        <f>IFERROR(AK111/AK148, "NA")</f>
        <v>NA</v>
      </c>
    </row>
    <row r="112" spans="1:38" ht="16.5" hidden="1" customHeight="1" x14ac:dyDescent="0.3">
      <c r="A112" s="6" t="s">
        <v>117</v>
      </c>
      <c r="B112" s="7">
        <v>0</v>
      </c>
      <c r="C112" s="8">
        <f>IFERROR(B112/B148, "NA")</f>
        <v>0</v>
      </c>
      <c r="D112" s="7">
        <v>0</v>
      </c>
      <c r="E112" s="8">
        <f>IFERROR(D112/D148, "NA")</f>
        <v>0</v>
      </c>
      <c r="F112" s="7">
        <v>0</v>
      </c>
      <c r="G112" s="8">
        <f>IFERROR(F112/F148, "NA")</f>
        <v>0</v>
      </c>
      <c r="H112" s="7">
        <v>0</v>
      </c>
      <c r="I112" s="8">
        <f>IFERROR(H112/H148, "NA")</f>
        <v>0</v>
      </c>
      <c r="J112" s="7">
        <v>0</v>
      </c>
      <c r="K112" s="8">
        <f>IFERROR(J112/J148, "NA")</f>
        <v>0</v>
      </c>
      <c r="L112" s="7">
        <v>0</v>
      </c>
      <c r="M112" s="8">
        <f>IFERROR(L112/L148, "NA")</f>
        <v>0</v>
      </c>
      <c r="N112" s="7">
        <v>0</v>
      </c>
      <c r="O112" s="8">
        <f>IFERROR(N112/N148, "NA")</f>
        <v>0</v>
      </c>
      <c r="P112" s="7">
        <v>0</v>
      </c>
      <c r="Q112" s="8">
        <f>IFERROR(P112/P148, "NA")</f>
        <v>0</v>
      </c>
      <c r="R112" s="7">
        <v>0</v>
      </c>
      <c r="S112" s="8">
        <f>IFERROR(R112/R148, "NA")</f>
        <v>0</v>
      </c>
      <c r="T112" s="7">
        <v>0</v>
      </c>
      <c r="U112" s="8">
        <f>IFERROR(T112/T148, "NA")</f>
        <v>0</v>
      </c>
      <c r="V112" s="7">
        <v>0</v>
      </c>
      <c r="W112" s="8">
        <f>IFERROR(V112/V148, "NA")</f>
        <v>0</v>
      </c>
      <c r="X112" s="7">
        <v>0</v>
      </c>
      <c r="Y112" s="8">
        <f>IFERROR(X112/X148, "NA")</f>
        <v>0</v>
      </c>
      <c r="Z112" s="7">
        <v>0</v>
      </c>
      <c r="AA112" s="8">
        <f>IFERROR(Z112/Z148, "NA")</f>
        <v>0</v>
      </c>
      <c r="AB112" s="9">
        <f t="shared" si="42"/>
        <v>0</v>
      </c>
      <c r="AC112" s="8">
        <f>IFERROR(AB112/AB148, "NA")</f>
        <v>0</v>
      </c>
      <c r="AD112" s="10">
        <f t="shared" si="43"/>
        <v>0</v>
      </c>
      <c r="AE112" s="11">
        <f>IFERROR(AD112/AD148, "NA")</f>
        <v>0</v>
      </c>
      <c r="AF112" s="10" t="str">
        <f t="shared" si="44"/>
        <v>NA</v>
      </c>
      <c r="AG112" s="9">
        <f t="shared" si="45"/>
        <v>0</v>
      </c>
      <c r="AH112" s="8">
        <f>IFERROR(AG112/AG148, "NA")</f>
        <v>0</v>
      </c>
      <c r="AI112" s="10">
        <f t="shared" si="46"/>
        <v>0</v>
      </c>
      <c r="AJ112" s="11">
        <f>IFERROR(AI112/AI148, "NA")</f>
        <v>0</v>
      </c>
      <c r="AK112" s="10" t="str">
        <f t="shared" si="47"/>
        <v>NA</v>
      </c>
      <c r="AL112" s="11" t="str">
        <f>IFERROR(AK112/AK148, "NA")</f>
        <v>NA</v>
      </c>
    </row>
    <row r="113" spans="1:38" ht="16.5" hidden="1" customHeight="1" x14ac:dyDescent="0.3">
      <c r="A113" s="6" t="s">
        <v>118</v>
      </c>
      <c r="B113" s="7">
        <v>0</v>
      </c>
      <c r="C113" s="8">
        <f>IFERROR(B113/B148, "NA")</f>
        <v>0</v>
      </c>
      <c r="D113" s="7">
        <v>0</v>
      </c>
      <c r="E113" s="8">
        <f>IFERROR(D113/D148, "NA")</f>
        <v>0</v>
      </c>
      <c r="F113" s="7">
        <v>0</v>
      </c>
      <c r="G113" s="8">
        <f>IFERROR(F113/F148, "NA")</f>
        <v>0</v>
      </c>
      <c r="H113" s="7">
        <v>0</v>
      </c>
      <c r="I113" s="8">
        <f>IFERROR(H113/H148, "NA")</f>
        <v>0</v>
      </c>
      <c r="J113" s="7">
        <v>0</v>
      </c>
      <c r="K113" s="8">
        <f>IFERROR(J113/J148, "NA")</f>
        <v>0</v>
      </c>
      <c r="L113" s="7">
        <v>0</v>
      </c>
      <c r="M113" s="8">
        <f>IFERROR(L113/L148, "NA")</f>
        <v>0</v>
      </c>
      <c r="N113" s="7">
        <v>0</v>
      </c>
      <c r="O113" s="8">
        <f>IFERROR(N113/N148, "NA")</f>
        <v>0</v>
      </c>
      <c r="P113" s="7">
        <v>0</v>
      </c>
      <c r="Q113" s="8">
        <f>IFERROR(P113/P148, "NA")</f>
        <v>0</v>
      </c>
      <c r="R113" s="7">
        <v>0</v>
      </c>
      <c r="S113" s="8">
        <f>IFERROR(R113/R148, "NA")</f>
        <v>0</v>
      </c>
      <c r="T113" s="7">
        <v>0</v>
      </c>
      <c r="U113" s="8">
        <f>IFERROR(T113/T148, "NA")</f>
        <v>0</v>
      </c>
      <c r="V113" s="7">
        <v>0</v>
      </c>
      <c r="W113" s="8">
        <f>IFERROR(V113/V148, "NA")</f>
        <v>0</v>
      </c>
      <c r="X113" s="7">
        <v>0</v>
      </c>
      <c r="Y113" s="8">
        <f>IFERROR(X113/X148, "NA")</f>
        <v>0</v>
      </c>
      <c r="Z113" s="7">
        <v>0</v>
      </c>
      <c r="AA113" s="8">
        <f>IFERROR(Z113/Z148, "NA")</f>
        <v>0</v>
      </c>
      <c r="AB113" s="9">
        <f t="shared" si="42"/>
        <v>0</v>
      </c>
      <c r="AC113" s="8">
        <f>IFERROR(AB113/AB148, "NA")</f>
        <v>0</v>
      </c>
      <c r="AD113" s="10">
        <f t="shared" si="43"/>
        <v>0</v>
      </c>
      <c r="AE113" s="11">
        <f>IFERROR(AD113/AD148, "NA")</f>
        <v>0</v>
      </c>
      <c r="AF113" s="10" t="str">
        <f t="shared" si="44"/>
        <v>NA</v>
      </c>
      <c r="AG113" s="9">
        <f t="shared" si="45"/>
        <v>0</v>
      </c>
      <c r="AH113" s="8">
        <f>IFERROR(AG113/AG148, "NA")</f>
        <v>0</v>
      </c>
      <c r="AI113" s="10">
        <f t="shared" si="46"/>
        <v>0</v>
      </c>
      <c r="AJ113" s="11">
        <f>IFERROR(AI113/AI148, "NA")</f>
        <v>0</v>
      </c>
      <c r="AK113" s="10" t="str">
        <f t="shared" si="47"/>
        <v>NA</v>
      </c>
      <c r="AL113" s="11" t="str">
        <f>IFERROR(AK113/AK148, "NA")</f>
        <v>NA</v>
      </c>
    </row>
    <row r="114" spans="1:38" ht="16.5" hidden="1" customHeight="1" x14ac:dyDescent="0.3">
      <c r="A114" s="6" t="s">
        <v>119</v>
      </c>
      <c r="B114" s="7">
        <v>0</v>
      </c>
      <c r="C114" s="8">
        <f>IFERROR(B114/B148, "NA")</f>
        <v>0</v>
      </c>
      <c r="D114" s="7">
        <v>0</v>
      </c>
      <c r="E114" s="8">
        <f>IFERROR(D114/D148, "NA")</f>
        <v>0</v>
      </c>
      <c r="F114" s="7">
        <v>0</v>
      </c>
      <c r="G114" s="8">
        <f>IFERROR(F114/F148, "NA")</f>
        <v>0</v>
      </c>
      <c r="H114" s="7">
        <v>0</v>
      </c>
      <c r="I114" s="8">
        <f>IFERROR(H114/H148, "NA")</f>
        <v>0</v>
      </c>
      <c r="J114" s="7">
        <v>0</v>
      </c>
      <c r="K114" s="8">
        <f>IFERROR(J114/J148, "NA")</f>
        <v>0</v>
      </c>
      <c r="L114" s="7">
        <v>0</v>
      </c>
      <c r="M114" s="8">
        <f>IFERROR(L114/L148, "NA")</f>
        <v>0</v>
      </c>
      <c r="N114" s="7">
        <v>0</v>
      </c>
      <c r="O114" s="8">
        <f>IFERROR(N114/N148, "NA")</f>
        <v>0</v>
      </c>
      <c r="P114" s="7">
        <v>0</v>
      </c>
      <c r="Q114" s="8">
        <f>IFERROR(P114/P148, "NA")</f>
        <v>0</v>
      </c>
      <c r="R114" s="7">
        <v>0</v>
      </c>
      <c r="S114" s="8">
        <f>IFERROR(R114/R148, "NA")</f>
        <v>0</v>
      </c>
      <c r="T114" s="7">
        <v>0</v>
      </c>
      <c r="U114" s="8">
        <f>IFERROR(T114/T148, "NA")</f>
        <v>0</v>
      </c>
      <c r="V114" s="7">
        <v>0</v>
      </c>
      <c r="W114" s="8">
        <f>IFERROR(V114/V148, "NA")</f>
        <v>0</v>
      </c>
      <c r="X114" s="7">
        <v>0</v>
      </c>
      <c r="Y114" s="8">
        <f>IFERROR(X114/X148, "NA")</f>
        <v>0</v>
      </c>
      <c r="Z114" s="7">
        <v>0</v>
      </c>
      <c r="AA114" s="8">
        <f>IFERROR(Z114/Z148, "NA")</f>
        <v>0</v>
      </c>
      <c r="AB114" s="9">
        <f t="shared" si="42"/>
        <v>0</v>
      </c>
      <c r="AC114" s="8">
        <f>IFERROR(AB114/AB148, "NA")</f>
        <v>0</v>
      </c>
      <c r="AD114" s="10">
        <f t="shared" si="43"/>
        <v>0</v>
      </c>
      <c r="AE114" s="11">
        <f>IFERROR(AD114/AD148, "NA")</f>
        <v>0</v>
      </c>
      <c r="AF114" s="10" t="str">
        <f t="shared" si="44"/>
        <v>NA</v>
      </c>
      <c r="AG114" s="9">
        <f t="shared" si="45"/>
        <v>0</v>
      </c>
      <c r="AH114" s="8">
        <f>IFERROR(AG114/AG148, "NA")</f>
        <v>0</v>
      </c>
      <c r="AI114" s="10">
        <f t="shared" si="46"/>
        <v>0</v>
      </c>
      <c r="AJ114" s="11">
        <f>IFERROR(AI114/AI148, "NA")</f>
        <v>0</v>
      </c>
      <c r="AK114" s="10" t="str">
        <f t="shared" si="47"/>
        <v>NA</v>
      </c>
      <c r="AL114" s="11" t="str">
        <f>IFERROR(AK114/AK148, "NA")</f>
        <v>NA</v>
      </c>
    </row>
    <row r="115" spans="1:38" ht="16.5" hidden="1" customHeight="1" x14ac:dyDescent="0.3">
      <c r="A115" s="6" t="s">
        <v>120</v>
      </c>
      <c r="B115" s="7">
        <v>0</v>
      </c>
      <c r="C115" s="8">
        <f>IFERROR(B115/B148, "NA")</f>
        <v>0</v>
      </c>
      <c r="D115" s="7">
        <v>0</v>
      </c>
      <c r="E115" s="8">
        <f>IFERROR(D115/D148, "NA")</f>
        <v>0</v>
      </c>
      <c r="F115" s="7">
        <v>0</v>
      </c>
      <c r="G115" s="8">
        <f>IFERROR(F115/F148, "NA")</f>
        <v>0</v>
      </c>
      <c r="H115" s="7">
        <v>0</v>
      </c>
      <c r="I115" s="8">
        <f>IFERROR(H115/H148, "NA")</f>
        <v>0</v>
      </c>
      <c r="J115" s="7">
        <v>0</v>
      </c>
      <c r="K115" s="8">
        <f>IFERROR(J115/J148, "NA")</f>
        <v>0</v>
      </c>
      <c r="L115" s="7">
        <v>0</v>
      </c>
      <c r="M115" s="8">
        <f>IFERROR(L115/L148, "NA")</f>
        <v>0</v>
      </c>
      <c r="N115" s="7">
        <v>0</v>
      </c>
      <c r="O115" s="8">
        <f>IFERROR(N115/N148, "NA")</f>
        <v>0</v>
      </c>
      <c r="P115" s="7">
        <v>0</v>
      </c>
      <c r="Q115" s="8">
        <f>IFERROR(P115/P148, "NA")</f>
        <v>0</v>
      </c>
      <c r="R115" s="7">
        <v>0</v>
      </c>
      <c r="S115" s="8">
        <f>IFERROR(R115/R148, "NA")</f>
        <v>0</v>
      </c>
      <c r="T115" s="7">
        <v>0</v>
      </c>
      <c r="U115" s="8">
        <f>IFERROR(T115/T148, "NA")</f>
        <v>0</v>
      </c>
      <c r="V115" s="7">
        <v>0</v>
      </c>
      <c r="W115" s="8">
        <f>IFERROR(V115/V148, "NA")</f>
        <v>0</v>
      </c>
      <c r="X115" s="7">
        <v>0</v>
      </c>
      <c r="Y115" s="8">
        <f>IFERROR(X115/X148, "NA")</f>
        <v>0</v>
      </c>
      <c r="Z115" s="7">
        <v>0</v>
      </c>
      <c r="AA115" s="8">
        <f>IFERROR(Z115/Z148, "NA")</f>
        <v>0</v>
      </c>
      <c r="AB115" s="9">
        <f t="shared" si="42"/>
        <v>0</v>
      </c>
      <c r="AC115" s="8">
        <f>IFERROR(AB115/AB148, "NA")</f>
        <v>0</v>
      </c>
      <c r="AD115" s="10">
        <f t="shared" si="43"/>
        <v>0</v>
      </c>
      <c r="AE115" s="11">
        <f>IFERROR(AD115/AD148, "NA")</f>
        <v>0</v>
      </c>
      <c r="AF115" s="10" t="str">
        <f t="shared" si="44"/>
        <v>NA</v>
      </c>
      <c r="AG115" s="9">
        <f t="shared" si="45"/>
        <v>0</v>
      </c>
      <c r="AH115" s="8">
        <f>IFERROR(AG115/AG148, "NA")</f>
        <v>0</v>
      </c>
      <c r="AI115" s="10">
        <f t="shared" si="46"/>
        <v>0</v>
      </c>
      <c r="AJ115" s="11">
        <f>IFERROR(AI115/AI148, "NA")</f>
        <v>0</v>
      </c>
      <c r="AK115" s="10" t="str">
        <f t="shared" si="47"/>
        <v>NA</v>
      </c>
      <c r="AL115" s="11" t="str">
        <f>IFERROR(AK115/AK148, "NA")</f>
        <v>NA</v>
      </c>
    </row>
    <row r="116" spans="1:38" ht="16.5" hidden="1" customHeight="1" x14ac:dyDescent="0.3">
      <c r="A116" s="6" t="s">
        <v>121</v>
      </c>
      <c r="B116" s="7">
        <v>0</v>
      </c>
      <c r="C116" s="8">
        <f>IFERROR(B116/B148, "NA")</f>
        <v>0</v>
      </c>
      <c r="D116" s="7">
        <v>0</v>
      </c>
      <c r="E116" s="8">
        <f>IFERROR(D116/D148, "NA")</f>
        <v>0</v>
      </c>
      <c r="F116" s="7">
        <v>0</v>
      </c>
      <c r="G116" s="8">
        <f>IFERROR(F116/F148, "NA")</f>
        <v>0</v>
      </c>
      <c r="H116" s="7">
        <v>0</v>
      </c>
      <c r="I116" s="8">
        <f>IFERROR(H116/H148, "NA")</f>
        <v>0</v>
      </c>
      <c r="J116" s="7">
        <v>0</v>
      </c>
      <c r="K116" s="8">
        <f>IFERROR(J116/J148, "NA")</f>
        <v>0</v>
      </c>
      <c r="L116" s="7">
        <v>0</v>
      </c>
      <c r="M116" s="8">
        <f>IFERROR(L116/L148, "NA")</f>
        <v>0</v>
      </c>
      <c r="N116" s="7">
        <v>0</v>
      </c>
      <c r="O116" s="8">
        <f>IFERROR(N116/N148, "NA")</f>
        <v>0</v>
      </c>
      <c r="P116" s="7">
        <v>0</v>
      </c>
      <c r="Q116" s="8">
        <f>IFERROR(P116/P148, "NA")</f>
        <v>0</v>
      </c>
      <c r="R116" s="7">
        <v>0</v>
      </c>
      <c r="S116" s="8">
        <f>IFERROR(R116/R148, "NA")</f>
        <v>0</v>
      </c>
      <c r="T116" s="7">
        <v>0</v>
      </c>
      <c r="U116" s="8">
        <f>IFERROR(T116/T148, "NA")</f>
        <v>0</v>
      </c>
      <c r="V116" s="7">
        <v>0</v>
      </c>
      <c r="W116" s="8">
        <f>IFERROR(V116/V148, "NA")</f>
        <v>0</v>
      </c>
      <c r="X116" s="7">
        <v>0</v>
      </c>
      <c r="Y116" s="8">
        <f>IFERROR(X116/X148, "NA")</f>
        <v>0</v>
      </c>
      <c r="Z116" s="7">
        <v>0</v>
      </c>
      <c r="AA116" s="8">
        <f>IFERROR(Z116/Z148, "NA")</f>
        <v>0</v>
      </c>
      <c r="AB116" s="9">
        <f t="shared" si="42"/>
        <v>0</v>
      </c>
      <c r="AC116" s="8">
        <f>IFERROR(AB116/AB148, "NA")</f>
        <v>0</v>
      </c>
      <c r="AD116" s="10">
        <f t="shared" si="43"/>
        <v>0</v>
      </c>
      <c r="AE116" s="11">
        <f>IFERROR(AD116/AD148, "NA")</f>
        <v>0</v>
      </c>
      <c r="AF116" s="10" t="str">
        <f t="shared" si="44"/>
        <v>NA</v>
      </c>
      <c r="AG116" s="9">
        <f t="shared" si="45"/>
        <v>0</v>
      </c>
      <c r="AH116" s="8">
        <f>IFERROR(AG116/AG148, "NA")</f>
        <v>0</v>
      </c>
      <c r="AI116" s="10">
        <f t="shared" si="46"/>
        <v>0</v>
      </c>
      <c r="AJ116" s="11">
        <f>IFERROR(AI116/AI148, "NA")</f>
        <v>0</v>
      </c>
      <c r="AK116" s="10" t="str">
        <f t="shared" si="47"/>
        <v>NA</v>
      </c>
      <c r="AL116" s="11" t="str">
        <f>IFERROR(AK116/AK148, "NA")</f>
        <v>NA</v>
      </c>
    </row>
    <row r="117" spans="1:38" ht="16.5" hidden="1" customHeight="1" x14ac:dyDescent="0.3">
      <c r="A117" s="6" t="s">
        <v>122</v>
      </c>
      <c r="B117" s="7">
        <v>0</v>
      </c>
      <c r="C117" s="8">
        <f>IFERROR(B117/B148, "NA")</f>
        <v>0</v>
      </c>
      <c r="D117" s="7">
        <v>0</v>
      </c>
      <c r="E117" s="8">
        <f>IFERROR(D117/D148, "NA")</f>
        <v>0</v>
      </c>
      <c r="F117" s="7">
        <v>0</v>
      </c>
      <c r="G117" s="8">
        <f>IFERROR(F117/F148, "NA")</f>
        <v>0</v>
      </c>
      <c r="H117" s="7">
        <v>0</v>
      </c>
      <c r="I117" s="8">
        <f>IFERROR(H117/H148, "NA")</f>
        <v>0</v>
      </c>
      <c r="J117" s="7">
        <v>0</v>
      </c>
      <c r="K117" s="8">
        <f>IFERROR(J117/J148, "NA")</f>
        <v>0</v>
      </c>
      <c r="L117" s="7">
        <v>0</v>
      </c>
      <c r="M117" s="8">
        <f>IFERROR(L117/L148, "NA")</f>
        <v>0</v>
      </c>
      <c r="N117" s="7">
        <v>0</v>
      </c>
      <c r="O117" s="8">
        <f>IFERROR(N117/N148, "NA")</f>
        <v>0</v>
      </c>
      <c r="P117" s="7">
        <v>0</v>
      </c>
      <c r="Q117" s="8">
        <f>IFERROR(P117/P148, "NA")</f>
        <v>0</v>
      </c>
      <c r="R117" s="7">
        <v>0</v>
      </c>
      <c r="S117" s="8">
        <f>IFERROR(R117/R148, "NA")</f>
        <v>0</v>
      </c>
      <c r="T117" s="7">
        <v>0</v>
      </c>
      <c r="U117" s="8">
        <f>IFERROR(T117/T148, "NA")</f>
        <v>0</v>
      </c>
      <c r="V117" s="7">
        <v>0</v>
      </c>
      <c r="W117" s="8">
        <f>IFERROR(V117/V148, "NA")</f>
        <v>0</v>
      </c>
      <c r="X117" s="7">
        <v>0</v>
      </c>
      <c r="Y117" s="8">
        <f>IFERROR(X117/X148, "NA")</f>
        <v>0</v>
      </c>
      <c r="Z117" s="7">
        <v>0</v>
      </c>
      <c r="AA117" s="8">
        <f>IFERROR(Z117/Z148, "NA")</f>
        <v>0</v>
      </c>
      <c r="AB117" s="9">
        <f t="shared" si="42"/>
        <v>0</v>
      </c>
      <c r="AC117" s="8">
        <f>IFERROR(AB117/AB148, "NA")</f>
        <v>0</v>
      </c>
      <c r="AD117" s="10">
        <f t="shared" si="43"/>
        <v>0</v>
      </c>
      <c r="AE117" s="11">
        <f>IFERROR(AD117/AD148, "NA")</f>
        <v>0</v>
      </c>
      <c r="AF117" s="10" t="str">
        <f t="shared" si="44"/>
        <v>NA</v>
      </c>
      <c r="AG117" s="9">
        <f t="shared" si="45"/>
        <v>0</v>
      </c>
      <c r="AH117" s="8">
        <f>IFERROR(AG117/AG148, "NA")</f>
        <v>0</v>
      </c>
      <c r="AI117" s="10">
        <f t="shared" si="46"/>
        <v>0</v>
      </c>
      <c r="AJ117" s="11">
        <f>IFERROR(AI117/AI148, "NA")</f>
        <v>0</v>
      </c>
      <c r="AK117" s="10" t="str">
        <f t="shared" si="47"/>
        <v>NA</v>
      </c>
      <c r="AL117" s="11" t="str">
        <f>IFERROR(AK117/AK148, "NA")</f>
        <v>NA</v>
      </c>
    </row>
    <row r="118" spans="1:38" ht="16.5" hidden="1" customHeight="1" x14ac:dyDescent="0.3">
      <c r="A118" s="6" t="s">
        <v>123</v>
      </c>
      <c r="B118" s="7">
        <v>0</v>
      </c>
      <c r="C118" s="8">
        <f>IFERROR(B118/B148, "NA")</f>
        <v>0</v>
      </c>
      <c r="D118" s="7">
        <v>0</v>
      </c>
      <c r="E118" s="8">
        <f>IFERROR(D118/D148, "NA")</f>
        <v>0</v>
      </c>
      <c r="F118" s="7">
        <v>0</v>
      </c>
      <c r="G118" s="8">
        <f>IFERROR(F118/F148, "NA")</f>
        <v>0</v>
      </c>
      <c r="H118" s="7">
        <v>0</v>
      </c>
      <c r="I118" s="8">
        <f>IFERROR(H118/H148, "NA")</f>
        <v>0</v>
      </c>
      <c r="J118" s="7">
        <v>0</v>
      </c>
      <c r="K118" s="8">
        <f>IFERROR(J118/J148, "NA")</f>
        <v>0</v>
      </c>
      <c r="L118" s="7">
        <v>0</v>
      </c>
      <c r="M118" s="8">
        <f>IFERROR(L118/L148, "NA")</f>
        <v>0</v>
      </c>
      <c r="N118" s="7">
        <v>0</v>
      </c>
      <c r="O118" s="8">
        <f>IFERROR(N118/N148, "NA")</f>
        <v>0</v>
      </c>
      <c r="P118" s="7">
        <v>0</v>
      </c>
      <c r="Q118" s="8">
        <f>IFERROR(P118/P148, "NA")</f>
        <v>0</v>
      </c>
      <c r="R118" s="7">
        <v>0</v>
      </c>
      <c r="S118" s="8">
        <f>IFERROR(R118/R148, "NA")</f>
        <v>0</v>
      </c>
      <c r="T118" s="7">
        <v>0</v>
      </c>
      <c r="U118" s="8">
        <f>IFERROR(T118/T148, "NA")</f>
        <v>0</v>
      </c>
      <c r="V118" s="7">
        <v>0</v>
      </c>
      <c r="W118" s="8">
        <f>IFERROR(V118/V148, "NA")</f>
        <v>0</v>
      </c>
      <c r="X118" s="7">
        <v>0</v>
      </c>
      <c r="Y118" s="8">
        <f>IFERROR(X118/X148, "NA")</f>
        <v>0</v>
      </c>
      <c r="Z118" s="7">
        <v>0</v>
      </c>
      <c r="AA118" s="8">
        <f>IFERROR(Z118/Z148, "NA")</f>
        <v>0</v>
      </c>
      <c r="AB118" s="9">
        <f t="shared" si="42"/>
        <v>0</v>
      </c>
      <c r="AC118" s="8">
        <f>IFERROR(AB118/AB148, "NA")</f>
        <v>0</v>
      </c>
      <c r="AD118" s="10">
        <f t="shared" si="43"/>
        <v>0</v>
      </c>
      <c r="AE118" s="11">
        <f>IFERROR(AD118/AD148, "NA")</f>
        <v>0</v>
      </c>
      <c r="AF118" s="10" t="str">
        <f t="shared" si="44"/>
        <v>NA</v>
      </c>
      <c r="AG118" s="9">
        <f t="shared" si="45"/>
        <v>0</v>
      </c>
      <c r="AH118" s="8">
        <f>IFERROR(AG118/AG148, "NA")</f>
        <v>0</v>
      </c>
      <c r="AI118" s="10">
        <f t="shared" si="46"/>
        <v>0</v>
      </c>
      <c r="AJ118" s="11">
        <f>IFERROR(AI118/AI148, "NA")</f>
        <v>0</v>
      </c>
      <c r="AK118" s="10" t="str">
        <f t="shared" si="47"/>
        <v>NA</v>
      </c>
      <c r="AL118" s="11" t="str">
        <f>IFERROR(AK118/AK148, "NA")</f>
        <v>NA</v>
      </c>
    </row>
    <row r="119" spans="1:38" ht="16.5" hidden="1" customHeight="1" x14ac:dyDescent="0.3">
      <c r="A119" s="6" t="s">
        <v>124</v>
      </c>
      <c r="B119" s="7">
        <v>0</v>
      </c>
      <c r="C119" s="8">
        <f>IFERROR(B119/B148, "NA")</f>
        <v>0</v>
      </c>
      <c r="D119" s="7">
        <v>0</v>
      </c>
      <c r="E119" s="8">
        <f>IFERROR(D119/D148, "NA")</f>
        <v>0</v>
      </c>
      <c r="F119" s="7">
        <v>0</v>
      </c>
      <c r="G119" s="8">
        <f>IFERROR(F119/F148, "NA")</f>
        <v>0</v>
      </c>
      <c r="H119" s="7">
        <v>0</v>
      </c>
      <c r="I119" s="8">
        <f>IFERROR(H119/H148, "NA")</f>
        <v>0</v>
      </c>
      <c r="J119" s="7">
        <v>0</v>
      </c>
      <c r="K119" s="8">
        <f>IFERROR(J119/J148, "NA")</f>
        <v>0</v>
      </c>
      <c r="L119" s="7">
        <v>0</v>
      </c>
      <c r="M119" s="8">
        <f>IFERROR(L119/L148, "NA")</f>
        <v>0</v>
      </c>
      <c r="N119" s="7">
        <v>0</v>
      </c>
      <c r="O119" s="8">
        <f>IFERROR(N119/N148, "NA")</f>
        <v>0</v>
      </c>
      <c r="P119" s="7">
        <v>0</v>
      </c>
      <c r="Q119" s="8">
        <f>IFERROR(P119/P148, "NA")</f>
        <v>0</v>
      </c>
      <c r="R119" s="7">
        <v>0</v>
      </c>
      <c r="S119" s="8">
        <f>IFERROR(R119/R148, "NA")</f>
        <v>0</v>
      </c>
      <c r="T119" s="7">
        <v>0</v>
      </c>
      <c r="U119" s="8">
        <f>IFERROR(T119/T148, "NA")</f>
        <v>0</v>
      </c>
      <c r="V119" s="7">
        <v>0</v>
      </c>
      <c r="W119" s="8">
        <f>IFERROR(V119/V148, "NA")</f>
        <v>0</v>
      </c>
      <c r="X119" s="7">
        <v>0</v>
      </c>
      <c r="Y119" s="8">
        <f>IFERROR(X119/X148, "NA")</f>
        <v>0</v>
      </c>
      <c r="Z119" s="7">
        <v>0</v>
      </c>
      <c r="AA119" s="8">
        <f>IFERROR(Z119/Z148, "NA")</f>
        <v>0</v>
      </c>
      <c r="AB119" s="9">
        <f t="shared" si="42"/>
        <v>0</v>
      </c>
      <c r="AC119" s="8">
        <f>IFERROR(AB119/AB148, "NA")</f>
        <v>0</v>
      </c>
      <c r="AD119" s="10">
        <f t="shared" si="43"/>
        <v>0</v>
      </c>
      <c r="AE119" s="11">
        <f>IFERROR(AD119/AD148, "NA")</f>
        <v>0</v>
      </c>
      <c r="AF119" s="10" t="str">
        <f t="shared" si="44"/>
        <v>NA</v>
      </c>
      <c r="AG119" s="9">
        <f t="shared" si="45"/>
        <v>0</v>
      </c>
      <c r="AH119" s="8">
        <f>IFERROR(AG119/AG148, "NA")</f>
        <v>0</v>
      </c>
      <c r="AI119" s="10">
        <f t="shared" si="46"/>
        <v>0</v>
      </c>
      <c r="AJ119" s="11">
        <f>IFERROR(AI119/AI148, "NA")</f>
        <v>0</v>
      </c>
      <c r="AK119" s="10" t="str">
        <f t="shared" si="47"/>
        <v>NA</v>
      </c>
      <c r="AL119" s="11" t="str">
        <f>IFERROR(AK119/AK148, "NA")</f>
        <v>NA</v>
      </c>
    </row>
    <row r="120" spans="1:38" ht="16.5" hidden="1" customHeight="1" x14ac:dyDescent="0.3">
      <c r="A120" s="6" t="s">
        <v>125</v>
      </c>
      <c r="B120" s="7">
        <v>0</v>
      </c>
      <c r="C120" s="8">
        <f>IFERROR(B120/B148, "NA")</f>
        <v>0</v>
      </c>
      <c r="D120" s="7">
        <v>0</v>
      </c>
      <c r="E120" s="8">
        <f>IFERROR(D120/D148, "NA")</f>
        <v>0</v>
      </c>
      <c r="F120" s="7">
        <v>0</v>
      </c>
      <c r="G120" s="8">
        <f>IFERROR(F120/F148, "NA")</f>
        <v>0</v>
      </c>
      <c r="H120" s="7">
        <v>0</v>
      </c>
      <c r="I120" s="8">
        <f>IFERROR(H120/H148, "NA")</f>
        <v>0</v>
      </c>
      <c r="J120" s="7">
        <v>0</v>
      </c>
      <c r="K120" s="8">
        <f>IFERROR(J120/J148, "NA")</f>
        <v>0</v>
      </c>
      <c r="L120" s="7">
        <v>0</v>
      </c>
      <c r="M120" s="8">
        <f>IFERROR(L120/L148, "NA")</f>
        <v>0</v>
      </c>
      <c r="N120" s="7">
        <v>0</v>
      </c>
      <c r="O120" s="8">
        <f>IFERROR(N120/N148, "NA")</f>
        <v>0</v>
      </c>
      <c r="P120" s="7">
        <v>0</v>
      </c>
      <c r="Q120" s="8">
        <f>IFERROR(P120/P148, "NA")</f>
        <v>0</v>
      </c>
      <c r="R120" s="7">
        <v>0</v>
      </c>
      <c r="S120" s="8">
        <f>IFERROR(R120/R148, "NA")</f>
        <v>0</v>
      </c>
      <c r="T120" s="7">
        <v>0</v>
      </c>
      <c r="U120" s="8">
        <f>IFERROR(T120/T148, "NA")</f>
        <v>0</v>
      </c>
      <c r="V120" s="7">
        <v>0</v>
      </c>
      <c r="W120" s="8">
        <f>IFERROR(V120/V148, "NA")</f>
        <v>0</v>
      </c>
      <c r="X120" s="7">
        <v>0</v>
      </c>
      <c r="Y120" s="8">
        <f>IFERROR(X120/X148, "NA")</f>
        <v>0</v>
      </c>
      <c r="Z120" s="7">
        <v>0</v>
      </c>
      <c r="AA120" s="8">
        <f>IFERROR(Z120/Z148, "NA")</f>
        <v>0</v>
      </c>
      <c r="AB120" s="9">
        <f t="shared" si="42"/>
        <v>0</v>
      </c>
      <c r="AC120" s="8">
        <f>IFERROR(AB120/AB148, "NA")</f>
        <v>0</v>
      </c>
      <c r="AD120" s="10">
        <f t="shared" si="43"/>
        <v>0</v>
      </c>
      <c r="AE120" s="11">
        <f>IFERROR(AD120/AD148, "NA")</f>
        <v>0</v>
      </c>
      <c r="AF120" s="10" t="str">
        <f t="shared" si="44"/>
        <v>NA</v>
      </c>
      <c r="AG120" s="9">
        <f t="shared" si="45"/>
        <v>0</v>
      </c>
      <c r="AH120" s="8">
        <f>IFERROR(AG120/AG148, "NA")</f>
        <v>0</v>
      </c>
      <c r="AI120" s="10">
        <f t="shared" si="46"/>
        <v>0</v>
      </c>
      <c r="AJ120" s="11">
        <f>IFERROR(AI120/AI148, "NA")</f>
        <v>0</v>
      </c>
      <c r="AK120" s="10" t="str">
        <f t="shared" si="47"/>
        <v>NA</v>
      </c>
      <c r="AL120" s="11" t="str">
        <f>IFERROR(AK120/AK148, "NA")</f>
        <v>NA</v>
      </c>
    </row>
    <row r="121" spans="1:38" ht="16.5" hidden="1" customHeight="1" x14ac:dyDescent="0.3">
      <c r="A121" s="6" t="s">
        <v>126</v>
      </c>
      <c r="B121" s="7">
        <v>0</v>
      </c>
      <c r="C121" s="8">
        <f>IFERROR(B121/B148, "NA")</f>
        <v>0</v>
      </c>
      <c r="D121" s="7">
        <v>0</v>
      </c>
      <c r="E121" s="8">
        <f>IFERROR(D121/D148, "NA")</f>
        <v>0</v>
      </c>
      <c r="F121" s="7">
        <v>0</v>
      </c>
      <c r="G121" s="8">
        <f>IFERROR(F121/F148, "NA")</f>
        <v>0</v>
      </c>
      <c r="H121" s="7">
        <v>0</v>
      </c>
      <c r="I121" s="8">
        <f>IFERROR(H121/H148, "NA")</f>
        <v>0</v>
      </c>
      <c r="J121" s="7">
        <v>0</v>
      </c>
      <c r="K121" s="8">
        <f>IFERROR(J121/J148, "NA")</f>
        <v>0</v>
      </c>
      <c r="L121" s="7">
        <v>0</v>
      </c>
      <c r="M121" s="8">
        <f>IFERROR(L121/L148, "NA")</f>
        <v>0</v>
      </c>
      <c r="N121" s="7">
        <v>0</v>
      </c>
      <c r="O121" s="8">
        <f>IFERROR(N121/N148, "NA")</f>
        <v>0</v>
      </c>
      <c r="P121" s="7">
        <v>0</v>
      </c>
      <c r="Q121" s="8">
        <f>IFERROR(P121/P148, "NA")</f>
        <v>0</v>
      </c>
      <c r="R121" s="7">
        <v>0</v>
      </c>
      <c r="S121" s="8">
        <f>IFERROR(R121/R148, "NA")</f>
        <v>0</v>
      </c>
      <c r="T121" s="7">
        <v>0</v>
      </c>
      <c r="U121" s="8">
        <f>IFERROR(T121/T148, "NA")</f>
        <v>0</v>
      </c>
      <c r="V121" s="7">
        <v>0</v>
      </c>
      <c r="W121" s="8">
        <f>IFERROR(V121/V148, "NA")</f>
        <v>0</v>
      </c>
      <c r="X121" s="7">
        <v>0</v>
      </c>
      <c r="Y121" s="8">
        <f>IFERROR(X121/X148, "NA")</f>
        <v>0</v>
      </c>
      <c r="Z121" s="7">
        <v>0</v>
      </c>
      <c r="AA121" s="8">
        <f>IFERROR(Z121/Z148, "NA")</f>
        <v>0</v>
      </c>
      <c r="AB121" s="9">
        <f t="shared" si="42"/>
        <v>0</v>
      </c>
      <c r="AC121" s="8">
        <f>IFERROR(AB121/AB148, "NA")</f>
        <v>0</v>
      </c>
      <c r="AD121" s="10">
        <f t="shared" si="43"/>
        <v>0</v>
      </c>
      <c r="AE121" s="11">
        <f>IFERROR(AD121/AD148, "NA")</f>
        <v>0</v>
      </c>
      <c r="AF121" s="10" t="str">
        <f t="shared" si="44"/>
        <v>NA</v>
      </c>
      <c r="AG121" s="9">
        <f t="shared" si="45"/>
        <v>0</v>
      </c>
      <c r="AH121" s="8">
        <f>IFERROR(AG121/AG148, "NA")</f>
        <v>0</v>
      </c>
      <c r="AI121" s="10">
        <f t="shared" si="46"/>
        <v>0</v>
      </c>
      <c r="AJ121" s="11">
        <f>IFERROR(AI121/AI148, "NA")</f>
        <v>0</v>
      </c>
      <c r="AK121" s="10" t="str">
        <f t="shared" si="47"/>
        <v>NA</v>
      </c>
      <c r="AL121" s="11" t="str">
        <f>IFERROR(AK121/AK148, "NA")</f>
        <v>NA</v>
      </c>
    </row>
    <row r="122" spans="1:38" ht="16.5" hidden="1" customHeight="1" x14ac:dyDescent="0.3">
      <c r="A122" s="6" t="s">
        <v>127</v>
      </c>
      <c r="B122" s="7">
        <v>0</v>
      </c>
      <c r="C122" s="8">
        <f>IFERROR(B122/B148, "NA")</f>
        <v>0</v>
      </c>
      <c r="D122" s="7">
        <v>0</v>
      </c>
      <c r="E122" s="8">
        <f>IFERROR(D122/D148, "NA")</f>
        <v>0</v>
      </c>
      <c r="F122" s="7">
        <v>0</v>
      </c>
      <c r="G122" s="8">
        <f>IFERROR(F122/F148, "NA")</f>
        <v>0</v>
      </c>
      <c r="H122" s="7">
        <v>0</v>
      </c>
      <c r="I122" s="8">
        <f>IFERROR(H122/H148, "NA")</f>
        <v>0</v>
      </c>
      <c r="J122" s="7">
        <v>0</v>
      </c>
      <c r="K122" s="8">
        <f>IFERROR(J122/J148, "NA")</f>
        <v>0</v>
      </c>
      <c r="L122" s="7">
        <v>0</v>
      </c>
      <c r="M122" s="8">
        <f>IFERROR(L122/L148, "NA")</f>
        <v>0</v>
      </c>
      <c r="N122" s="7">
        <v>0</v>
      </c>
      <c r="O122" s="8">
        <f>IFERROR(N122/N148, "NA")</f>
        <v>0</v>
      </c>
      <c r="P122" s="7">
        <v>0</v>
      </c>
      <c r="Q122" s="8">
        <f>IFERROR(P122/P148, "NA")</f>
        <v>0</v>
      </c>
      <c r="R122" s="7">
        <v>0</v>
      </c>
      <c r="S122" s="8">
        <f>IFERROR(R122/R148, "NA")</f>
        <v>0</v>
      </c>
      <c r="T122" s="7">
        <v>0</v>
      </c>
      <c r="U122" s="8">
        <f>IFERROR(T122/T148, "NA")</f>
        <v>0</v>
      </c>
      <c r="V122" s="7">
        <v>0</v>
      </c>
      <c r="W122" s="8">
        <f>IFERROR(V122/V148, "NA")</f>
        <v>0</v>
      </c>
      <c r="X122" s="7">
        <v>0</v>
      </c>
      <c r="Y122" s="8">
        <f>IFERROR(X122/X148, "NA")</f>
        <v>0</v>
      </c>
      <c r="Z122" s="7">
        <v>0</v>
      </c>
      <c r="AA122" s="8">
        <f>IFERROR(Z122/Z148, "NA")</f>
        <v>0</v>
      </c>
      <c r="AB122" s="9">
        <f t="shared" si="42"/>
        <v>0</v>
      </c>
      <c r="AC122" s="8">
        <f>IFERROR(AB122/AB148, "NA")</f>
        <v>0</v>
      </c>
      <c r="AD122" s="10">
        <f t="shared" si="43"/>
        <v>0</v>
      </c>
      <c r="AE122" s="11">
        <f>IFERROR(AD122/AD148, "NA")</f>
        <v>0</v>
      </c>
      <c r="AF122" s="10" t="str">
        <f t="shared" si="44"/>
        <v>NA</v>
      </c>
      <c r="AG122" s="9">
        <f t="shared" si="45"/>
        <v>0</v>
      </c>
      <c r="AH122" s="8">
        <f>IFERROR(AG122/AG148, "NA")</f>
        <v>0</v>
      </c>
      <c r="AI122" s="10">
        <f t="shared" si="46"/>
        <v>0</v>
      </c>
      <c r="AJ122" s="11">
        <f>IFERROR(AI122/AI148, "NA")</f>
        <v>0</v>
      </c>
      <c r="AK122" s="10" t="str">
        <f t="shared" si="47"/>
        <v>NA</v>
      </c>
      <c r="AL122" s="11" t="str">
        <f>IFERROR(AK122/AK148, "NA")</f>
        <v>NA</v>
      </c>
    </row>
    <row r="123" spans="1:38" ht="16.5" hidden="1" customHeight="1" x14ac:dyDescent="0.3">
      <c r="A123" s="6" t="s">
        <v>128</v>
      </c>
      <c r="B123" s="7">
        <v>0</v>
      </c>
      <c r="C123" s="8">
        <f>IFERROR(B123/B148, "NA")</f>
        <v>0</v>
      </c>
      <c r="D123" s="7">
        <v>0</v>
      </c>
      <c r="E123" s="8">
        <f>IFERROR(D123/D148, "NA")</f>
        <v>0</v>
      </c>
      <c r="F123" s="7">
        <v>0</v>
      </c>
      <c r="G123" s="8">
        <f>IFERROR(F123/F148, "NA")</f>
        <v>0</v>
      </c>
      <c r="H123" s="7">
        <v>0</v>
      </c>
      <c r="I123" s="8">
        <f>IFERROR(H123/H148, "NA")</f>
        <v>0</v>
      </c>
      <c r="J123" s="7">
        <v>0</v>
      </c>
      <c r="K123" s="8">
        <f>IFERROR(J123/J148, "NA")</f>
        <v>0</v>
      </c>
      <c r="L123" s="7">
        <v>0</v>
      </c>
      <c r="M123" s="8">
        <f>IFERROR(L123/L148, "NA")</f>
        <v>0</v>
      </c>
      <c r="N123" s="7">
        <v>0</v>
      </c>
      <c r="O123" s="8">
        <f>IFERROR(N123/N148, "NA")</f>
        <v>0</v>
      </c>
      <c r="P123" s="7">
        <v>0</v>
      </c>
      <c r="Q123" s="8">
        <f>IFERROR(P123/P148, "NA")</f>
        <v>0</v>
      </c>
      <c r="R123" s="7">
        <v>0</v>
      </c>
      <c r="S123" s="8">
        <f>IFERROR(R123/R148, "NA")</f>
        <v>0</v>
      </c>
      <c r="T123" s="7">
        <v>0</v>
      </c>
      <c r="U123" s="8">
        <f>IFERROR(T123/T148, "NA")</f>
        <v>0</v>
      </c>
      <c r="V123" s="7">
        <v>0</v>
      </c>
      <c r="W123" s="8">
        <f>IFERROR(V123/V148, "NA")</f>
        <v>0</v>
      </c>
      <c r="X123" s="7">
        <v>0</v>
      </c>
      <c r="Y123" s="8">
        <f>IFERROR(X123/X148, "NA")</f>
        <v>0</v>
      </c>
      <c r="Z123" s="7">
        <v>0</v>
      </c>
      <c r="AA123" s="8">
        <f>IFERROR(Z123/Z148, "NA")</f>
        <v>0</v>
      </c>
      <c r="AB123" s="9">
        <f t="shared" si="42"/>
        <v>0</v>
      </c>
      <c r="AC123" s="8">
        <f>IFERROR(AB123/AB148, "NA")</f>
        <v>0</v>
      </c>
      <c r="AD123" s="10">
        <f t="shared" si="43"/>
        <v>0</v>
      </c>
      <c r="AE123" s="11">
        <f>IFERROR(AD123/AD148, "NA")</f>
        <v>0</v>
      </c>
      <c r="AF123" s="10" t="str">
        <f t="shared" si="44"/>
        <v>NA</v>
      </c>
      <c r="AG123" s="9">
        <f t="shared" si="45"/>
        <v>0</v>
      </c>
      <c r="AH123" s="8">
        <f>IFERROR(AG123/AG148, "NA")</f>
        <v>0</v>
      </c>
      <c r="AI123" s="10">
        <f t="shared" si="46"/>
        <v>0</v>
      </c>
      <c r="AJ123" s="11">
        <f>IFERROR(AI123/AI148, "NA")</f>
        <v>0</v>
      </c>
      <c r="AK123" s="10" t="str">
        <f t="shared" si="47"/>
        <v>NA</v>
      </c>
      <c r="AL123" s="11" t="str">
        <f>IFERROR(AK123/AK148, "NA")</f>
        <v>NA</v>
      </c>
    </row>
    <row r="124" spans="1:38" ht="16.5" hidden="1" customHeight="1" x14ac:dyDescent="0.3">
      <c r="A124" s="6" t="s">
        <v>129</v>
      </c>
      <c r="B124" s="7">
        <v>0</v>
      </c>
      <c r="C124" s="8">
        <f>IFERROR(B124/B148, "NA")</f>
        <v>0</v>
      </c>
      <c r="D124" s="7">
        <v>0</v>
      </c>
      <c r="E124" s="8">
        <f>IFERROR(D124/D148, "NA")</f>
        <v>0</v>
      </c>
      <c r="F124" s="7">
        <v>0</v>
      </c>
      <c r="G124" s="8">
        <f>IFERROR(F124/F148, "NA")</f>
        <v>0</v>
      </c>
      <c r="H124" s="7">
        <v>0</v>
      </c>
      <c r="I124" s="8">
        <f>IFERROR(H124/H148, "NA")</f>
        <v>0</v>
      </c>
      <c r="J124" s="7">
        <v>0</v>
      </c>
      <c r="K124" s="8">
        <f>IFERROR(J124/J148, "NA")</f>
        <v>0</v>
      </c>
      <c r="L124" s="7">
        <v>0</v>
      </c>
      <c r="M124" s="8">
        <f>IFERROR(L124/L148, "NA")</f>
        <v>0</v>
      </c>
      <c r="N124" s="7">
        <v>0</v>
      </c>
      <c r="O124" s="8">
        <f>IFERROR(N124/N148, "NA")</f>
        <v>0</v>
      </c>
      <c r="P124" s="7">
        <v>0</v>
      </c>
      <c r="Q124" s="8">
        <f>IFERROR(P124/P148, "NA")</f>
        <v>0</v>
      </c>
      <c r="R124" s="7">
        <v>0</v>
      </c>
      <c r="S124" s="8">
        <f>IFERROR(R124/R148, "NA")</f>
        <v>0</v>
      </c>
      <c r="T124" s="7">
        <v>0</v>
      </c>
      <c r="U124" s="8">
        <f>IFERROR(T124/T148, "NA")</f>
        <v>0</v>
      </c>
      <c r="V124" s="7">
        <v>0</v>
      </c>
      <c r="W124" s="8">
        <f>IFERROR(V124/V148, "NA")</f>
        <v>0</v>
      </c>
      <c r="X124" s="7">
        <v>0</v>
      </c>
      <c r="Y124" s="8">
        <f>IFERROR(X124/X148, "NA")</f>
        <v>0</v>
      </c>
      <c r="Z124" s="7">
        <v>0</v>
      </c>
      <c r="AA124" s="8">
        <f>IFERROR(Z124/Z148, "NA")</f>
        <v>0</v>
      </c>
      <c r="AB124" s="9">
        <f t="shared" si="42"/>
        <v>0</v>
      </c>
      <c r="AC124" s="8">
        <f>IFERROR(AB124/AB148, "NA")</f>
        <v>0</v>
      </c>
      <c r="AD124" s="10">
        <f t="shared" si="43"/>
        <v>0</v>
      </c>
      <c r="AE124" s="11">
        <f>IFERROR(AD124/AD148, "NA")</f>
        <v>0</v>
      </c>
      <c r="AF124" s="10" t="str">
        <f t="shared" si="44"/>
        <v>NA</v>
      </c>
      <c r="AG124" s="9">
        <f t="shared" si="45"/>
        <v>0</v>
      </c>
      <c r="AH124" s="8">
        <f>IFERROR(AG124/AG148, "NA")</f>
        <v>0</v>
      </c>
      <c r="AI124" s="10">
        <f t="shared" si="46"/>
        <v>0</v>
      </c>
      <c r="AJ124" s="11">
        <f>IFERROR(AI124/AI148, "NA")</f>
        <v>0</v>
      </c>
      <c r="AK124" s="10" t="str">
        <f t="shared" si="47"/>
        <v>NA</v>
      </c>
      <c r="AL124" s="11" t="str">
        <f>IFERROR(AK124/AK148, "NA")</f>
        <v>NA</v>
      </c>
    </row>
    <row r="125" spans="1:38" ht="16.5" hidden="1" customHeight="1" x14ac:dyDescent="0.3">
      <c r="A125" s="6" t="s">
        <v>130</v>
      </c>
      <c r="B125" s="7">
        <v>0</v>
      </c>
      <c r="C125" s="8">
        <f>IFERROR(B125/B148, "NA")</f>
        <v>0</v>
      </c>
      <c r="D125" s="7">
        <v>0</v>
      </c>
      <c r="E125" s="8">
        <f>IFERROR(D125/D148, "NA")</f>
        <v>0</v>
      </c>
      <c r="F125" s="7">
        <v>0</v>
      </c>
      <c r="G125" s="8">
        <f>IFERROR(F125/F148, "NA")</f>
        <v>0</v>
      </c>
      <c r="H125" s="7">
        <v>0</v>
      </c>
      <c r="I125" s="8">
        <f>IFERROR(H125/H148, "NA")</f>
        <v>0</v>
      </c>
      <c r="J125" s="7">
        <v>0</v>
      </c>
      <c r="K125" s="8">
        <f>IFERROR(J125/J148, "NA")</f>
        <v>0</v>
      </c>
      <c r="L125" s="7">
        <v>0</v>
      </c>
      <c r="M125" s="8">
        <f>IFERROR(L125/L148, "NA")</f>
        <v>0</v>
      </c>
      <c r="N125" s="7">
        <v>0</v>
      </c>
      <c r="O125" s="8">
        <f>IFERROR(N125/N148, "NA")</f>
        <v>0</v>
      </c>
      <c r="P125" s="7">
        <v>0</v>
      </c>
      <c r="Q125" s="8">
        <f>IFERROR(P125/P148, "NA")</f>
        <v>0</v>
      </c>
      <c r="R125" s="7">
        <v>0</v>
      </c>
      <c r="S125" s="8">
        <f>IFERROR(R125/R148, "NA")</f>
        <v>0</v>
      </c>
      <c r="T125" s="7">
        <v>0</v>
      </c>
      <c r="U125" s="8">
        <f>IFERROR(T125/T148, "NA")</f>
        <v>0</v>
      </c>
      <c r="V125" s="7">
        <v>0</v>
      </c>
      <c r="W125" s="8">
        <f>IFERROR(V125/V148, "NA")</f>
        <v>0</v>
      </c>
      <c r="X125" s="7">
        <v>0</v>
      </c>
      <c r="Y125" s="8">
        <f>IFERROR(X125/X148, "NA")</f>
        <v>0</v>
      </c>
      <c r="Z125" s="7">
        <v>0</v>
      </c>
      <c r="AA125" s="8">
        <f>IFERROR(Z125/Z148, "NA")</f>
        <v>0</v>
      </c>
      <c r="AB125" s="9">
        <f t="shared" si="42"/>
        <v>0</v>
      </c>
      <c r="AC125" s="8">
        <f>IFERROR(AB125/AB148, "NA")</f>
        <v>0</v>
      </c>
      <c r="AD125" s="10">
        <f t="shared" si="43"/>
        <v>0</v>
      </c>
      <c r="AE125" s="11">
        <f>IFERROR(AD125/AD148, "NA")</f>
        <v>0</v>
      </c>
      <c r="AF125" s="10" t="str">
        <f t="shared" si="44"/>
        <v>NA</v>
      </c>
      <c r="AG125" s="9">
        <f t="shared" si="45"/>
        <v>0</v>
      </c>
      <c r="AH125" s="8">
        <f>IFERROR(AG125/AG148, "NA")</f>
        <v>0</v>
      </c>
      <c r="AI125" s="10">
        <f t="shared" si="46"/>
        <v>0</v>
      </c>
      <c r="AJ125" s="11">
        <f>IFERROR(AI125/AI148, "NA")</f>
        <v>0</v>
      </c>
      <c r="AK125" s="10" t="str">
        <f t="shared" si="47"/>
        <v>NA</v>
      </c>
      <c r="AL125" s="11" t="str">
        <f>IFERROR(AK125/AK148, "NA")</f>
        <v>NA</v>
      </c>
    </row>
    <row r="126" spans="1:38" ht="16.5" hidden="1" customHeight="1" x14ac:dyDescent="0.3">
      <c r="A126" s="6" t="s">
        <v>131</v>
      </c>
      <c r="B126" s="7">
        <v>0</v>
      </c>
      <c r="C126" s="8">
        <f>IFERROR(B126/B148, "NA")</f>
        <v>0</v>
      </c>
      <c r="D126" s="7">
        <v>0</v>
      </c>
      <c r="E126" s="8">
        <f>IFERROR(D126/D148, "NA")</f>
        <v>0</v>
      </c>
      <c r="F126" s="7">
        <v>0</v>
      </c>
      <c r="G126" s="8">
        <f>IFERROR(F126/F148, "NA")</f>
        <v>0</v>
      </c>
      <c r="H126" s="7">
        <v>0</v>
      </c>
      <c r="I126" s="8">
        <f>IFERROR(H126/H148, "NA")</f>
        <v>0</v>
      </c>
      <c r="J126" s="7">
        <v>0</v>
      </c>
      <c r="K126" s="8">
        <f>IFERROR(J126/J148, "NA")</f>
        <v>0</v>
      </c>
      <c r="L126" s="7">
        <v>0</v>
      </c>
      <c r="M126" s="8">
        <f>IFERROR(L126/L148, "NA")</f>
        <v>0</v>
      </c>
      <c r="N126" s="7">
        <v>0</v>
      </c>
      <c r="O126" s="8">
        <f>IFERROR(N126/N148, "NA")</f>
        <v>0</v>
      </c>
      <c r="P126" s="7">
        <v>0</v>
      </c>
      <c r="Q126" s="8">
        <f>IFERROR(P126/P148, "NA")</f>
        <v>0</v>
      </c>
      <c r="R126" s="7">
        <v>0</v>
      </c>
      <c r="S126" s="8">
        <f>IFERROR(R126/R148, "NA")</f>
        <v>0</v>
      </c>
      <c r="T126" s="7">
        <v>0</v>
      </c>
      <c r="U126" s="8">
        <f>IFERROR(T126/T148, "NA")</f>
        <v>0</v>
      </c>
      <c r="V126" s="7">
        <v>0</v>
      </c>
      <c r="W126" s="8">
        <f>IFERROR(V126/V148, "NA")</f>
        <v>0</v>
      </c>
      <c r="X126" s="7">
        <v>0</v>
      </c>
      <c r="Y126" s="8">
        <f>IFERROR(X126/X148, "NA")</f>
        <v>0</v>
      </c>
      <c r="Z126" s="7">
        <v>0</v>
      </c>
      <c r="AA126" s="8">
        <f>IFERROR(Z126/Z148, "NA")</f>
        <v>0</v>
      </c>
      <c r="AB126" s="9">
        <f t="shared" si="42"/>
        <v>0</v>
      </c>
      <c r="AC126" s="8">
        <f>IFERROR(AB126/AB148, "NA")</f>
        <v>0</v>
      </c>
      <c r="AD126" s="10">
        <f t="shared" si="43"/>
        <v>0</v>
      </c>
      <c r="AE126" s="11">
        <f>IFERROR(AD126/AD148, "NA")</f>
        <v>0</v>
      </c>
      <c r="AF126" s="10" t="str">
        <f t="shared" si="44"/>
        <v>NA</v>
      </c>
      <c r="AG126" s="9">
        <f t="shared" si="45"/>
        <v>0</v>
      </c>
      <c r="AH126" s="8">
        <f>IFERROR(AG126/AG148, "NA")</f>
        <v>0</v>
      </c>
      <c r="AI126" s="10">
        <f t="shared" si="46"/>
        <v>0</v>
      </c>
      <c r="AJ126" s="11">
        <f>IFERROR(AI126/AI148, "NA")</f>
        <v>0</v>
      </c>
      <c r="AK126" s="10" t="str">
        <f t="shared" si="47"/>
        <v>NA</v>
      </c>
      <c r="AL126" s="11" t="str">
        <f>IFERROR(AK126/AK148, "NA")</f>
        <v>NA</v>
      </c>
    </row>
    <row r="127" spans="1:38" ht="16.5" hidden="1" customHeight="1" x14ac:dyDescent="0.3">
      <c r="A127" s="6" t="s">
        <v>132</v>
      </c>
      <c r="B127" s="7">
        <v>0</v>
      </c>
      <c r="C127" s="8">
        <f>IFERROR(B127/B148, "NA")</f>
        <v>0</v>
      </c>
      <c r="D127" s="7">
        <v>0</v>
      </c>
      <c r="E127" s="8">
        <f>IFERROR(D127/D148, "NA")</f>
        <v>0</v>
      </c>
      <c r="F127" s="7">
        <v>0</v>
      </c>
      <c r="G127" s="8">
        <f>IFERROR(F127/F148, "NA")</f>
        <v>0</v>
      </c>
      <c r="H127" s="7">
        <v>0</v>
      </c>
      <c r="I127" s="8">
        <f>IFERROR(H127/H148, "NA")</f>
        <v>0</v>
      </c>
      <c r="J127" s="7">
        <v>0</v>
      </c>
      <c r="K127" s="8">
        <f>IFERROR(J127/J148, "NA")</f>
        <v>0</v>
      </c>
      <c r="L127" s="7">
        <v>0</v>
      </c>
      <c r="M127" s="8">
        <f>IFERROR(L127/L148, "NA")</f>
        <v>0</v>
      </c>
      <c r="N127" s="7">
        <v>0</v>
      </c>
      <c r="O127" s="8">
        <f>IFERROR(N127/N148, "NA")</f>
        <v>0</v>
      </c>
      <c r="P127" s="7">
        <v>0</v>
      </c>
      <c r="Q127" s="8">
        <f>IFERROR(P127/P148, "NA")</f>
        <v>0</v>
      </c>
      <c r="R127" s="7">
        <v>0</v>
      </c>
      <c r="S127" s="8">
        <f>IFERROR(R127/R148, "NA")</f>
        <v>0</v>
      </c>
      <c r="T127" s="7">
        <v>0</v>
      </c>
      <c r="U127" s="8">
        <f>IFERROR(T127/T148, "NA")</f>
        <v>0</v>
      </c>
      <c r="V127" s="7">
        <v>0</v>
      </c>
      <c r="W127" s="8">
        <f>IFERROR(V127/V148, "NA")</f>
        <v>0</v>
      </c>
      <c r="X127" s="7">
        <v>0</v>
      </c>
      <c r="Y127" s="8">
        <f>IFERROR(X127/X148, "NA")</f>
        <v>0</v>
      </c>
      <c r="Z127" s="7">
        <v>0</v>
      </c>
      <c r="AA127" s="8">
        <f>IFERROR(Z127/Z148, "NA")</f>
        <v>0</v>
      </c>
      <c r="AB127" s="9">
        <f t="shared" si="42"/>
        <v>0</v>
      </c>
      <c r="AC127" s="8">
        <f>IFERROR(AB127/AB148, "NA")</f>
        <v>0</v>
      </c>
      <c r="AD127" s="10">
        <f t="shared" si="43"/>
        <v>0</v>
      </c>
      <c r="AE127" s="11">
        <f>IFERROR(AD127/AD148, "NA")</f>
        <v>0</v>
      </c>
      <c r="AF127" s="10" t="str">
        <f t="shared" si="44"/>
        <v>NA</v>
      </c>
      <c r="AG127" s="9">
        <f t="shared" si="45"/>
        <v>0</v>
      </c>
      <c r="AH127" s="8">
        <f>IFERROR(AG127/AG148, "NA")</f>
        <v>0</v>
      </c>
      <c r="AI127" s="10">
        <f t="shared" si="46"/>
        <v>0</v>
      </c>
      <c r="AJ127" s="11">
        <f>IFERROR(AI127/AI148, "NA")</f>
        <v>0</v>
      </c>
      <c r="AK127" s="10" t="str">
        <f t="shared" si="47"/>
        <v>NA</v>
      </c>
      <c r="AL127" s="11" t="str">
        <f>IFERROR(AK127/AK148, "NA")</f>
        <v>NA</v>
      </c>
    </row>
    <row r="128" spans="1:38" ht="16.5" hidden="1" customHeight="1" x14ac:dyDescent="0.3">
      <c r="A128" s="6" t="s">
        <v>133</v>
      </c>
      <c r="B128" s="7">
        <v>623.83999999999992</v>
      </c>
      <c r="C128" s="8">
        <f>IFERROR(B128/B148, "NA")</f>
        <v>2.315262233583772E-2</v>
      </c>
      <c r="D128" s="7">
        <v>512.41999999999996</v>
      </c>
      <c r="E128" s="8">
        <f>IFERROR(D128/D148, "NA")</f>
        <v>2.133751516761621E-2</v>
      </c>
      <c r="F128" s="7">
        <v>580.13000000000011</v>
      </c>
      <c r="G128" s="8">
        <f>IFERROR(F128/F148, "NA")</f>
        <v>2.1041204679966084E-2</v>
      </c>
      <c r="H128" s="7">
        <v>-1716.3899999999999</v>
      </c>
      <c r="I128" s="8">
        <f>IFERROR(H128/H148, "NA")</f>
        <v>-5.5935708105412894E-2</v>
      </c>
      <c r="J128" s="7">
        <v>472.74999999999994</v>
      </c>
      <c r="K128" s="8">
        <f>IFERROR(J128/J148, "NA")</f>
        <v>2.2178373704775933E-2</v>
      </c>
      <c r="L128" s="7">
        <v>544.79</v>
      </c>
      <c r="M128" s="8">
        <f>IFERROR(L128/L148, "NA")</f>
        <v>1.6410637348681534E-2</v>
      </c>
      <c r="N128" s="7">
        <v>535.04</v>
      </c>
      <c r="O128" s="8">
        <f>IFERROR(N128/N148, "NA")</f>
        <v>2.0504605526631955E-2</v>
      </c>
      <c r="P128" s="7">
        <v>472.31999999999994</v>
      </c>
      <c r="Q128" s="8">
        <f>IFERROR(P128/P148, "NA")</f>
        <v>1.8425082954223623E-2</v>
      </c>
      <c r="R128" s="7">
        <v>-2024.8999999999999</v>
      </c>
      <c r="S128" s="8">
        <f>IFERROR(R128/R148, "NA")</f>
        <v>-5.8798164245175769E-2</v>
      </c>
      <c r="T128" s="7">
        <v>395.29</v>
      </c>
      <c r="U128" s="8">
        <f>IFERROR(T128/T148, "NA")</f>
        <v>1.3846077324224278E-2</v>
      </c>
      <c r="V128" s="7">
        <v>512.25</v>
      </c>
      <c r="W128" s="8">
        <f>IFERROR(V128/V148, "NA")</f>
        <v>1.4918574724949245E-2</v>
      </c>
      <c r="X128" s="7">
        <v>488.1</v>
      </c>
      <c r="Y128" s="8">
        <f>IFERROR(X128/X148, "NA")</f>
        <v>1.0905013334679796E-2</v>
      </c>
      <c r="Z128" s="7">
        <v>1395.64</v>
      </c>
      <c r="AA128" s="8">
        <f>IFERROR(Z128/Z148, "NA")</f>
        <v>1.2965269939476705E-2</v>
      </c>
      <c r="AB128" s="9">
        <f t="shared" si="42"/>
        <v>-157.31499999999997</v>
      </c>
      <c r="AC128" s="8">
        <f>IFERROR(AB128/AB148, "NA")</f>
        <v>-4.4288306841123804E-3</v>
      </c>
      <c r="AD128" s="10">
        <f t="shared" si="43"/>
        <v>645.41499999999996</v>
      </c>
      <c r="AE128" s="11">
        <f>IFERROR(AD128/AD148, "NA")</f>
        <v>6.9860938938856018E-2</v>
      </c>
      <c r="AF128" s="10">
        <f t="shared" si="44"/>
        <v>-4.1026920509805169</v>
      </c>
      <c r="AG128" s="9">
        <f t="shared" si="45"/>
        <v>174.45499999999998</v>
      </c>
      <c r="AH128" s="8">
        <f>IFERROR(AG128/AG148, "NA")</f>
        <v>5.6202358127946496E-3</v>
      </c>
      <c r="AI128" s="10">
        <f t="shared" si="46"/>
        <v>313.64500000000004</v>
      </c>
      <c r="AJ128" s="11">
        <f>IFERROR(AI128/AI148, "NA")</f>
        <v>2.2862559856633827E-2</v>
      </c>
      <c r="AK128" s="10">
        <f t="shared" si="47"/>
        <v>1.7978561806769657</v>
      </c>
      <c r="AL128" s="11">
        <f>IFERROR(AK128/AK148, "NA")</f>
        <v>4.0679004615049186</v>
      </c>
    </row>
    <row r="129" spans="1:38" ht="16.5" hidden="1" customHeight="1" x14ac:dyDescent="0.3">
      <c r="A129" s="6" t="s">
        <v>134</v>
      </c>
      <c r="B129" s="7">
        <v>0</v>
      </c>
      <c r="C129" s="8">
        <f>IFERROR(B129/B148, "NA")</f>
        <v>0</v>
      </c>
      <c r="D129" s="7">
        <v>0</v>
      </c>
      <c r="E129" s="8">
        <f>IFERROR(D129/D148, "NA")</f>
        <v>0</v>
      </c>
      <c r="F129" s="7">
        <v>0</v>
      </c>
      <c r="G129" s="8">
        <f>IFERROR(F129/F148, "NA")</f>
        <v>0</v>
      </c>
      <c r="H129" s="7">
        <v>0</v>
      </c>
      <c r="I129" s="8">
        <f>IFERROR(H129/H148, "NA")</f>
        <v>0</v>
      </c>
      <c r="J129" s="7">
        <v>0</v>
      </c>
      <c r="K129" s="8">
        <f>IFERROR(J129/J148, "NA")</f>
        <v>0</v>
      </c>
      <c r="L129" s="7">
        <v>0</v>
      </c>
      <c r="M129" s="8">
        <f>IFERROR(L129/L148, "NA")</f>
        <v>0</v>
      </c>
      <c r="N129" s="7">
        <v>0</v>
      </c>
      <c r="O129" s="8">
        <f>IFERROR(N129/N148, "NA")</f>
        <v>0</v>
      </c>
      <c r="P129" s="7">
        <v>0</v>
      </c>
      <c r="Q129" s="8">
        <f>IFERROR(P129/P148, "NA")</f>
        <v>0</v>
      </c>
      <c r="R129" s="7">
        <v>0</v>
      </c>
      <c r="S129" s="8">
        <f>IFERROR(R129/R148, "NA")</f>
        <v>0</v>
      </c>
      <c r="T129" s="7">
        <v>0</v>
      </c>
      <c r="U129" s="8">
        <f>IFERROR(T129/T148, "NA")</f>
        <v>0</v>
      </c>
      <c r="V129" s="7">
        <v>0</v>
      </c>
      <c r="W129" s="8">
        <f>IFERROR(V129/V148, "NA")</f>
        <v>0</v>
      </c>
      <c r="X129" s="7">
        <v>0</v>
      </c>
      <c r="Y129" s="8">
        <f>IFERROR(X129/X148, "NA")</f>
        <v>0</v>
      </c>
      <c r="Z129" s="7">
        <v>0</v>
      </c>
      <c r="AA129" s="8">
        <f>IFERROR(Z129/Z148, "NA")</f>
        <v>0</v>
      </c>
      <c r="AB129" s="9">
        <f t="shared" si="42"/>
        <v>0</v>
      </c>
      <c r="AC129" s="8">
        <f>IFERROR(AB129/AB148, "NA")</f>
        <v>0</v>
      </c>
      <c r="AD129" s="10">
        <f t="shared" si="43"/>
        <v>0</v>
      </c>
      <c r="AE129" s="11">
        <f>IFERROR(AD129/AD148, "NA")</f>
        <v>0</v>
      </c>
      <c r="AF129" s="10" t="str">
        <f t="shared" si="44"/>
        <v>NA</v>
      </c>
      <c r="AG129" s="9">
        <f t="shared" si="45"/>
        <v>0</v>
      </c>
      <c r="AH129" s="8">
        <f>IFERROR(AG129/AG148, "NA")</f>
        <v>0</v>
      </c>
      <c r="AI129" s="10">
        <f t="shared" si="46"/>
        <v>0</v>
      </c>
      <c r="AJ129" s="11">
        <f>IFERROR(AI129/AI148, "NA")</f>
        <v>0</v>
      </c>
      <c r="AK129" s="10" t="str">
        <f t="shared" si="47"/>
        <v>NA</v>
      </c>
      <c r="AL129" s="11" t="str">
        <f>IFERROR(AK129/AK148, "NA")</f>
        <v>NA</v>
      </c>
    </row>
    <row r="130" spans="1:38" ht="16.5" hidden="1" customHeight="1" x14ac:dyDescent="0.3">
      <c r="A130" s="6" t="s">
        <v>135</v>
      </c>
      <c r="B130" s="7">
        <v>0</v>
      </c>
      <c r="C130" s="8">
        <f>IFERROR(B130/B148, "NA")</f>
        <v>0</v>
      </c>
      <c r="D130" s="7">
        <v>0</v>
      </c>
      <c r="E130" s="8">
        <f>IFERROR(D130/D148, "NA")</f>
        <v>0</v>
      </c>
      <c r="F130" s="7">
        <v>0</v>
      </c>
      <c r="G130" s="8">
        <f>IFERROR(F130/F148, "NA")</f>
        <v>0</v>
      </c>
      <c r="H130" s="7">
        <v>0</v>
      </c>
      <c r="I130" s="8">
        <f>IFERROR(H130/H148, "NA")</f>
        <v>0</v>
      </c>
      <c r="J130" s="7">
        <v>0</v>
      </c>
      <c r="K130" s="8">
        <f>IFERROR(J130/J148, "NA")</f>
        <v>0</v>
      </c>
      <c r="L130" s="7">
        <v>0</v>
      </c>
      <c r="M130" s="8">
        <f>IFERROR(L130/L148, "NA")</f>
        <v>0</v>
      </c>
      <c r="N130" s="7">
        <v>0</v>
      </c>
      <c r="O130" s="8">
        <f>IFERROR(N130/N148, "NA")</f>
        <v>0</v>
      </c>
      <c r="P130" s="7">
        <v>0</v>
      </c>
      <c r="Q130" s="8">
        <f>IFERROR(P130/P148, "NA")</f>
        <v>0</v>
      </c>
      <c r="R130" s="7">
        <v>0</v>
      </c>
      <c r="S130" s="8">
        <f>IFERROR(R130/R148, "NA")</f>
        <v>0</v>
      </c>
      <c r="T130" s="7">
        <v>0</v>
      </c>
      <c r="U130" s="8">
        <f>IFERROR(T130/T148, "NA")</f>
        <v>0</v>
      </c>
      <c r="V130" s="7">
        <v>0</v>
      </c>
      <c r="W130" s="8">
        <f>IFERROR(V130/V148, "NA")</f>
        <v>0</v>
      </c>
      <c r="X130" s="7">
        <v>0</v>
      </c>
      <c r="Y130" s="8">
        <f>IFERROR(X130/X148, "NA")</f>
        <v>0</v>
      </c>
      <c r="Z130" s="7">
        <v>0</v>
      </c>
      <c r="AA130" s="8">
        <f>IFERROR(Z130/Z148, "NA")</f>
        <v>0</v>
      </c>
      <c r="AB130" s="9">
        <f t="shared" si="42"/>
        <v>0</v>
      </c>
      <c r="AC130" s="8">
        <f>IFERROR(AB130/AB148, "NA")</f>
        <v>0</v>
      </c>
      <c r="AD130" s="10">
        <f t="shared" si="43"/>
        <v>0</v>
      </c>
      <c r="AE130" s="11">
        <f>IFERROR(AD130/AD148, "NA")</f>
        <v>0</v>
      </c>
      <c r="AF130" s="10" t="str">
        <f t="shared" si="44"/>
        <v>NA</v>
      </c>
      <c r="AG130" s="9">
        <f t="shared" si="45"/>
        <v>0</v>
      </c>
      <c r="AH130" s="8">
        <f>IFERROR(AG130/AG148, "NA")</f>
        <v>0</v>
      </c>
      <c r="AI130" s="10">
        <f t="shared" si="46"/>
        <v>0</v>
      </c>
      <c r="AJ130" s="11">
        <f>IFERROR(AI130/AI148, "NA")</f>
        <v>0</v>
      </c>
      <c r="AK130" s="10" t="str">
        <f t="shared" si="47"/>
        <v>NA</v>
      </c>
      <c r="AL130" s="11" t="str">
        <f>IFERROR(AK130/AK148, "NA")</f>
        <v>NA</v>
      </c>
    </row>
    <row r="131" spans="1:38" ht="16.5" hidden="1" customHeight="1" x14ac:dyDescent="0.3">
      <c r="A131" s="6" t="s">
        <v>136</v>
      </c>
      <c r="B131" s="7">
        <v>0</v>
      </c>
      <c r="C131" s="8">
        <f>IFERROR(B131/B148, "NA")</f>
        <v>0</v>
      </c>
      <c r="D131" s="7">
        <v>0</v>
      </c>
      <c r="E131" s="8">
        <f>IFERROR(D131/D148, "NA")</f>
        <v>0</v>
      </c>
      <c r="F131" s="7">
        <v>0</v>
      </c>
      <c r="G131" s="8">
        <f>IFERROR(F131/F148, "NA")</f>
        <v>0</v>
      </c>
      <c r="H131" s="7">
        <v>0</v>
      </c>
      <c r="I131" s="8">
        <f>IFERROR(H131/H148, "NA")</f>
        <v>0</v>
      </c>
      <c r="J131" s="7">
        <v>0</v>
      </c>
      <c r="K131" s="8">
        <f>IFERROR(J131/J148, "NA")</f>
        <v>0</v>
      </c>
      <c r="L131" s="7">
        <v>0</v>
      </c>
      <c r="M131" s="8">
        <f>IFERROR(L131/L148, "NA")</f>
        <v>0</v>
      </c>
      <c r="N131" s="7">
        <v>0</v>
      </c>
      <c r="O131" s="8">
        <f>IFERROR(N131/N148, "NA")</f>
        <v>0</v>
      </c>
      <c r="P131" s="7">
        <v>0</v>
      </c>
      <c r="Q131" s="8">
        <f>IFERROR(P131/P148, "NA")</f>
        <v>0</v>
      </c>
      <c r="R131" s="7">
        <v>0</v>
      </c>
      <c r="S131" s="8">
        <f>IFERROR(R131/R148, "NA")</f>
        <v>0</v>
      </c>
      <c r="T131" s="7">
        <v>0</v>
      </c>
      <c r="U131" s="8">
        <f>IFERROR(T131/T148, "NA")</f>
        <v>0</v>
      </c>
      <c r="V131" s="7">
        <v>0</v>
      </c>
      <c r="W131" s="8">
        <f>IFERROR(V131/V148, "NA")</f>
        <v>0</v>
      </c>
      <c r="X131" s="7">
        <v>0</v>
      </c>
      <c r="Y131" s="8">
        <f>IFERROR(X131/X148, "NA")</f>
        <v>0</v>
      </c>
      <c r="Z131" s="7">
        <v>0</v>
      </c>
      <c r="AA131" s="8">
        <f>IFERROR(Z131/Z148, "NA")</f>
        <v>0</v>
      </c>
      <c r="AB131" s="9">
        <f t="shared" si="42"/>
        <v>0</v>
      </c>
      <c r="AC131" s="8">
        <f>IFERROR(AB131/AB148, "NA")</f>
        <v>0</v>
      </c>
      <c r="AD131" s="10">
        <f t="shared" si="43"/>
        <v>0</v>
      </c>
      <c r="AE131" s="11">
        <f>IFERROR(AD131/AD148, "NA")</f>
        <v>0</v>
      </c>
      <c r="AF131" s="10" t="str">
        <f t="shared" si="44"/>
        <v>NA</v>
      </c>
      <c r="AG131" s="9">
        <f t="shared" si="45"/>
        <v>0</v>
      </c>
      <c r="AH131" s="8">
        <f>IFERROR(AG131/AG148, "NA")</f>
        <v>0</v>
      </c>
      <c r="AI131" s="10">
        <f t="shared" si="46"/>
        <v>0</v>
      </c>
      <c r="AJ131" s="11">
        <f>IFERROR(AI131/AI148, "NA")</f>
        <v>0</v>
      </c>
      <c r="AK131" s="10" t="str">
        <f t="shared" si="47"/>
        <v>NA</v>
      </c>
      <c r="AL131" s="11" t="str">
        <f>IFERROR(AK131/AK148, "NA")</f>
        <v>NA</v>
      </c>
    </row>
    <row r="132" spans="1:38" ht="16.5" hidden="1" customHeight="1" x14ac:dyDescent="0.3">
      <c r="A132" s="6" t="s">
        <v>137</v>
      </c>
      <c r="B132" s="7">
        <v>0</v>
      </c>
      <c r="C132" s="8">
        <f>IFERROR(B132/B148, "NA")</f>
        <v>0</v>
      </c>
      <c r="D132" s="7">
        <v>0</v>
      </c>
      <c r="E132" s="8">
        <f>IFERROR(D132/D148, "NA")</f>
        <v>0</v>
      </c>
      <c r="F132" s="7">
        <v>0</v>
      </c>
      <c r="G132" s="8">
        <f>IFERROR(F132/F148, "NA")</f>
        <v>0</v>
      </c>
      <c r="H132" s="7">
        <v>0</v>
      </c>
      <c r="I132" s="8">
        <f>IFERROR(H132/H148, "NA")</f>
        <v>0</v>
      </c>
      <c r="J132" s="7">
        <v>0</v>
      </c>
      <c r="K132" s="8">
        <f>IFERROR(J132/J148, "NA")</f>
        <v>0</v>
      </c>
      <c r="L132" s="7">
        <v>0</v>
      </c>
      <c r="M132" s="8">
        <f>IFERROR(L132/L148, "NA")</f>
        <v>0</v>
      </c>
      <c r="N132" s="7">
        <v>0</v>
      </c>
      <c r="O132" s="8">
        <f>IFERROR(N132/N148, "NA")</f>
        <v>0</v>
      </c>
      <c r="P132" s="7">
        <v>0</v>
      </c>
      <c r="Q132" s="8">
        <f>IFERROR(P132/P148, "NA")</f>
        <v>0</v>
      </c>
      <c r="R132" s="7">
        <v>0</v>
      </c>
      <c r="S132" s="8">
        <f>IFERROR(R132/R148, "NA")</f>
        <v>0</v>
      </c>
      <c r="T132" s="7">
        <v>0</v>
      </c>
      <c r="U132" s="8">
        <f>IFERROR(T132/T148, "NA")</f>
        <v>0</v>
      </c>
      <c r="V132" s="7">
        <v>0</v>
      </c>
      <c r="W132" s="8">
        <f>IFERROR(V132/V148, "NA")</f>
        <v>0</v>
      </c>
      <c r="X132" s="7">
        <v>0</v>
      </c>
      <c r="Y132" s="8">
        <f>IFERROR(X132/X148, "NA")</f>
        <v>0</v>
      </c>
      <c r="Z132" s="7">
        <v>0</v>
      </c>
      <c r="AA132" s="8">
        <f>IFERROR(Z132/Z148, "NA")</f>
        <v>0</v>
      </c>
      <c r="AB132" s="9">
        <f t="shared" si="42"/>
        <v>0</v>
      </c>
      <c r="AC132" s="8">
        <f>IFERROR(AB132/AB148, "NA")</f>
        <v>0</v>
      </c>
      <c r="AD132" s="10">
        <f t="shared" si="43"/>
        <v>0</v>
      </c>
      <c r="AE132" s="11">
        <f>IFERROR(AD132/AD148, "NA")</f>
        <v>0</v>
      </c>
      <c r="AF132" s="10" t="str">
        <f t="shared" si="44"/>
        <v>NA</v>
      </c>
      <c r="AG132" s="9">
        <f t="shared" si="45"/>
        <v>0</v>
      </c>
      <c r="AH132" s="8">
        <f>IFERROR(AG132/AG148, "NA")</f>
        <v>0</v>
      </c>
      <c r="AI132" s="10">
        <f t="shared" si="46"/>
        <v>0</v>
      </c>
      <c r="AJ132" s="11">
        <f>IFERROR(AI132/AI148, "NA")</f>
        <v>0</v>
      </c>
      <c r="AK132" s="10" t="str">
        <f t="shared" si="47"/>
        <v>NA</v>
      </c>
      <c r="AL132" s="11" t="str">
        <f>IFERROR(AK132/AK148, "NA")</f>
        <v>NA</v>
      </c>
    </row>
    <row r="133" spans="1:38" ht="16.5" hidden="1" customHeight="1" x14ac:dyDescent="0.3">
      <c r="A133" s="6" t="s">
        <v>138</v>
      </c>
      <c r="B133" s="7">
        <v>0</v>
      </c>
      <c r="C133" s="8">
        <f>IFERROR(B133/B148, "NA")</f>
        <v>0</v>
      </c>
      <c r="D133" s="7">
        <v>0</v>
      </c>
      <c r="E133" s="8">
        <f>IFERROR(D133/D148, "NA")</f>
        <v>0</v>
      </c>
      <c r="F133" s="7">
        <v>0</v>
      </c>
      <c r="G133" s="8">
        <f>IFERROR(F133/F148, "NA")</f>
        <v>0</v>
      </c>
      <c r="H133" s="7">
        <v>0</v>
      </c>
      <c r="I133" s="8">
        <f>IFERROR(H133/H148, "NA")</f>
        <v>0</v>
      </c>
      <c r="J133" s="7">
        <v>0</v>
      </c>
      <c r="K133" s="8">
        <f>IFERROR(J133/J148, "NA")</f>
        <v>0</v>
      </c>
      <c r="L133" s="7">
        <v>0</v>
      </c>
      <c r="M133" s="8">
        <f>IFERROR(L133/L148, "NA")</f>
        <v>0</v>
      </c>
      <c r="N133" s="7">
        <v>0</v>
      </c>
      <c r="O133" s="8">
        <f>IFERROR(N133/N148, "NA")</f>
        <v>0</v>
      </c>
      <c r="P133" s="7">
        <v>0</v>
      </c>
      <c r="Q133" s="8">
        <f>IFERROR(P133/P148, "NA")</f>
        <v>0</v>
      </c>
      <c r="R133" s="7">
        <v>0</v>
      </c>
      <c r="S133" s="8">
        <f>IFERROR(R133/R148, "NA")</f>
        <v>0</v>
      </c>
      <c r="T133" s="7">
        <v>0</v>
      </c>
      <c r="U133" s="8">
        <f>IFERROR(T133/T148, "NA")</f>
        <v>0</v>
      </c>
      <c r="V133" s="7">
        <v>0</v>
      </c>
      <c r="W133" s="8">
        <f>IFERROR(V133/V148, "NA")</f>
        <v>0</v>
      </c>
      <c r="X133" s="7">
        <v>0</v>
      </c>
      <c r="Y133" s="8">
        <f>IFERROR(X133/X148, "NA")</f>
        <v>0</v>
      </c>
      <c r="Z133" s="7">
        <v>0</v>
      </c>
      <c r="AA133" s="8">
        <f>IFERROR(Z133/Z148, "NA")</f>
        <v>0</v>
      </c>
      <c r="AB133" s="9">
        <f t="shared" si="42"/>
        <v>0</v>
      </c>
      <c r="AC133" s="8">
        <f>IFERROR(AB133/AB148, "NA")</f>
        <v>0</v>
      </c>
      <c r="AD133" s="10">
        <f t="shared" si="43"/>
        <v>0</v>
      </c>
      <c r="AE133" s="11">
        <f>IFERROR(AD133/AD148, "NA")</f>
        <v>0</v>
      </c>
      <c r="AF133" s="10" t="str">
        <f t="shared" si="44"/>
        <v>NA</v>
      </c>
      <c r="AG133" s="9">
        <f t="shared" si="45"/>
        <v>0</v>
      </c>
      <c r="AH133" s="8">
        <f>IFERROR(AG133/AG148, "NA")</f>
        <v>0</v>
      </c>
      <c r="AI133" s="10">
        <f t="shared" si="46"/>
        <v>0</v>
      </c>
      <c r="AJ133" s="11">
        <f>IFERROR(AI133/AI148, "NA")</f>
        <v>0</v>
      </c>
      <c r="AK133" s="10" t="str">
        <f t="shared" si="47"/>
        <v>NA</v>
      </c>
      <c r="AL133" s="11" t="str">
        <f>IFERROR(AK133/AK148, "NA")</f>
        <v>NA</v>
      </c>
    </row>
    <row r="134" spans="1:38" ht="16.5" hidden="1" customHeight="1" x14ac:dyDescent="0.3">
      <c r="A134" s="6" t="s">
        <v>139</v>
      </c>
      <c r="B134" s="7">
        <v>0</v>
      </c>
      <c r="C134" s="8">
        <f>IFERROR(B134/B148, "NA")</f>
        <v>0</v>
      </c>
      <c r="D134" s="7">
        <v>0</v>
      </c>
      <c r="E134" s="8">
        <f>IFERROR(D134/D148, "NA")</f>
        <v>0</v>
      </c>
      <c r="F134" s="7">
        <v>0</v>
      </c>
      <c r="G134" s="8">
        <f>IFERROR(F134/F148, "NA")</f>
        <v>0</v>
      </c>
      <c r="H134" s="7">
        <v>0</v>
      </c>
      <c r="I134" s="8">
        <f>IFERROR(H134/H148, "NA")</f>
        <v>0</v>
      </c>
      <c r="J134" s="7">
        <v>0</v>
      </c>
      <c r="K134" s="8">
        <f>IFERROR(J134/J148, "NA")</f>
        <v>0</v>
      </c>
      <c r="L134" s="7">
        <v>0</v>
      </c>
      <c r="M134" s="8">
        <f>IFERROR(L134/L148, "NA")</f>
        <v>0</v>
      </c>
      <c r="N134" s="7">
        <v>0</v>
      </c>
      <c r="O134" s="8">
        <f>IFERROR(N134/N148, "NA")</f>
        <v>0</v>
      </c>
      <c r="P134" s="7">
        <v>0</v>
      </c>
      <c r="Q134" s="8">
        <f>IFERROR(P134/P148, "NA")</f>
        <v>0</v>
      </c>
      <c r="R134" s="7">
        <v>0</v>
      </c>
      <c r="S134" s="8">
        <f>IFERROR(R134/R148, "NA")</f>
        <v>0</v>
      </c>
      <c r="T134" s="7">
        <v>0</v>
      </c>
      <c r="U134" s="8">
        <f>IFERROR(T134/T148, "NA")</f>
        <v>0</v>
      </c>
      <c r="V134" s="7">
        <v>0</v>
      </c>
      <c r="W134" s="8">
        <f>IFERROR(V134/V148, "NA")</f>
        <v>0</v>
      </c>
      <c r="X134" s="7">
        <v>0</v>
      </c>
      <c r="Y134" s="8">
        <f>IFERROR(X134/X148, "NA")</f>
        <v>0</v>
      </c>
      <c r="Z134" s="7">
        <v>0</v>
      </c>
      <c r="AA134" s="8">
        <f>IFERROR(Z134/Z148, "NA")</f>
        <v>0</v>
      </c>
      <c r="AB134" s="9">
        <f t="shared" si="42"/>
        <v>0</v>
      </c>
      <c r="AC134" s="8">
        <f>IFERROR(AB134/AB148, "NA")</f>
        <v>0</v>
      </c>
      <c r="AD134" s="10">
        <f t="shared" si="43"/>
        <v>0</v>
      </c>
      <c r="AE134" s="11">
        <f>IFERROR(AD134/AD148, "NA")</f>
        <v>0</v>
      </c>
      <c r="AF134" s="10" t="str">
        <f t="shared" si="44"/>
        <v>NA</v>
      </c>
      <c r="AG134" s="9">
        <f t="shared" si="45"/>
        <v>0</v>
      </c>
      <c r="AH134" s="8">
        <f>IFERROR(AG134/AG148, "NA")</f>
        <v>0</v>
      </c>
      <c r="AI134" s="10">
        <f t="shared" si="46"/>
        <v>0</v>
      </c>
      <c r="AJ134" s="11">
        <f>IFERROR(AI134/AI148, "NA")</f>
        <v>0</v>
      </c>
      <c r="AK134" s="10" t="str">
        <f t="shared" si="47"/>
        <v>NA</v>
      </c>
      <c r="AL134" s="11" t="str">
        <f>IFERROR(AK134/AK148, "NA")</f>
        <v>NA</v>
      </c>
    </row>
    <row r="135" spans="1:38" ht="16.5" hidden="1" customHeight="1" x14ac:dyDescent="0.3">
      <c r="A135" s="12" t="s">
        <v>140</v>
      </c>
      <c r="B135" s="13">
        <f>IFERROR(B110+B111+B112+B113+B114+B115+B116+B117+B118+B119+B120+B121+B122+B123+B124+B125+B126+B127+B128+B129+B130+B131+B132+B133+B134, "NA")</f>
        <v>623.83999999999992</v>
      </c>
      <c r="C135" s="14">
        <f>IFERROR(B135/B148, "NA")</f>
        <v>2.315262233583772E-2</v>
      </c>
      <c r="D135" s="13">
        <f>IFERROR(D110+D111+D112+D113+D114+D115+D116+D117+D118+D119+D120+D121+D122+D123+D124+D125+D126+D127+D128+D129+D130+D131+D132+D133+D134, "NA")</f>
        <v>512.41999999999996</v>
      </c>
      <c r="E135" s="14">
        <f>IFERROR(D135/D148, "NA")</f>
        <v>2.133751516761621E-2</v>
      </c>
      <c r="F135" s="13">
        <f>IFERROR(F110+F111+F112+F113+F114+F115+F116+F117+F118+F119+F120+F121+F122+F123+F124+F125+F126+F127+F128+F129+F130+F131+F132+F133+F134, "NA")</f>
        <v>580.13000000000011</v>
      </c>
      <c r="G135" s="14">
        <f>IFERROR(F135/F148, "NA")</f>
        <v>2.1041204679966084E-2</v>
      </c>
      <c r="H135" s="13">
        <f>IFERROR(H110+H111+H112+H113+H114+H115+H116+H117+H118+H119+H120+H121+H122+H123+H124+H125+H126+H127+H128+H129+H130+H131+H132+H133+H134, "NA")</f>
        <v>-1716.3899999999999</v>
      </c>
      <c r="I135" s="14">
        <f>IFERROR(H135/H148, "NA")</f>
        <v>-5.5935708105412894E-2</v>
      </c>
      <c r="J135" s="13">
        <f>IFERROR(J110+J111+J112+J113+J114+J115+J116+J117+J118+J119+J120+J121+J122+J123+J124+J125+J126+J127+J128+J129+J130+J131+J132+J133+J134, "NA")</f>
        <v>472.74999999999994</v>
      </c>
      <c r="K135" s="14">
        <f>IFERROR(J135/J148, "NA")</f>
        <v>2.2178373704775933E-2</v>
      </c>
      <c r="L135" s="13">
        <f>IFERROR(L110+L111+L112+L113+L114+L115+L116+L117+L118+L119+L120+L121+L122+L123+L124+L125+L126+L127+L128+L129+L130+L131+L132+L133+L134, "NA")</f>
        <v>544.79</v>
      </c>
      <c r="M135" s="14">
        <f>IFERROR(L135/L148, "NA")</f>
        <v>1.6410637348681534E-2</v>
      </c>
      <c r="N135" s="13">
        <f>IFERROR(N110+N111+N112+N113+N114+N115+N116+N117+N118+N119+N120+N121+N122+N123+N124+N125+N126+N127+N128+N129+N130+N131+N132+N133+N134, "NA")</f>
        <v>535.04</v>
      </c>
      <c r="O135" s="14">
        <f>IFERROR(N135/N148, "NA")</f>
        <v>2.0504605526631955E-2</v>
      </c>
      <c r="P135" s="13">
        <f>IFERROR(P110+P111+P112+P113+P114+P115+P116+P117+P118+P119+P120+P121+P122+P123+P124+P125+P126+P127+P128+P129+P130+P131+P132+P133+P134, "NA")</f>
        <v>472.31999999999994</v>
      </c>
      <c r="Q135" s="14">
        <f>IFERROR(P135/P148, "NA")</f>
        <v>1.8425082954223623E-2</v>
      </c>
      <c r="R135" s="13">
        <f>IFERROR(R110+R111+R112+R113+R114+R115+R116+R117+R118+R119+R120+R121+R122+R123+R124+R125+R126+R127+R128+R129+R130+R131+R132+R133+R134, "NA")</f>
        <v>-2024.8999999999999</v>
      </c>
      <c r="S135" s="14">
        <f>IFERROR(R135/R148, "NA")</f>
        <v>-5.8798164245175769E-2</v>
      </c>
      <c r="T135" s="13">
        <f>IFERROR(T110+T111+T112+T113+T114+T115+T116+T117+T118+T119+T120+T121+T122+T123+T124+T125+T126+T127+T128+T129+T130+T131+T132+T133+T134, "NA")</f>
        <v>395.29</v>
      </c>
      <c r="U135" s="14">
        <f>IFERROR(T135/T148, "NA")</f>
        <v>1.3846077324224278E-2</v>
      </c>
      <c r="V135" s="13">
        <f>IFERROR(V110+V111+V112+V113+V114+V115+V116+V117+V118+V119+V120+V121+V122+V123+V124+V125+V126+V127+V128+V129+V130+V131+V132+V133+V134, "NA")</f>
        <v>512.25</v>
      </c>
      <c r="W135" s="14">
        <f>IFERROR(V135/V148, "NA")</f>
        <v>1.4918574724949245E-2</v>
      </c>
      <c r="X135" s="13">
        <f>IFERROR(X110+X111+X112+X113+X114+X115+X116+X117+X118+X119+X120+X121+X122+X123+X124+X125+X126+X127+X128+X129+X130+X131+X132+X133+X134, "NA")</f>
        <v>488.1</v>
      </c>
      <c r="Y135" s="14">
        <f>IFERROR(X135/X148, "NA")</f>
        <v>1.0905013334679796E-2</v>
      </c>
      <c r="Z135" s="13">
        <f>IFERROR(Z110+Z111+Z112+Z113+Z114+Z115+Z116+Z117+Z118+Z119+Z120+Z121+Z122+Z123+Z124+Z125+Z126+Z127+Z128+Z129+Z130+Z131+Z132+Z133+Z134, "NA")</f>
        <v>1395.64</v>
      </c>
      <c r="AA135" s="14">
        <f>IFERROR(Z135/Z148, "NA")</f>
        <v>1.2965269939476705E-2</v>
      </c>
      <c r="AB135" s="13">
        <f t="shared" si="42"/>
        <v>-157.31499999999997</v>
      </c>
      <c r="AC135" s="14">
        <f>IFERROR(AB135/AB148, "NA")</f>
        <v>-4.4288306841123804E-3</v>
      </c>
      <c r="AD135" s="15">
        <f t="shared" si="43"/>
        <v>645.41499999999996</v>
      </c>
      <c r="AE135" s="16">
        <f>IFERROR(AD135/AD148, "NA")</f>
        <v>6.9860938938856018E-2</v>
      </c>
      <c r="AF135" s="15">
        <f t="shared" si="44"/>
        <v>-4.1026920509805169</v>
      </c>
      <c r="AG135" s="13">
        <f t="shared" si="45"/>
        <v>174.45499999999998</v>
      </c>
      <c r="AH135" s="14">
        <f>IFERROR(AG135/AG148, "NA")</f>
        <v>5.6202358127946496E-3</v>
      </c>
      <c r="AI135" s="15">
        <f t="shared" si="46"/>
        <v>313.64500000000004</v>
      </c>
      <c r="AJ135" s="16">
        <f>IFERROR(AI135/AI148, "NA")</f>
        <v>2.2862559856633827E-2</v>
      </c>
      <c r="AK135" s="15">
        <f t="shared" si="47"/>
        <v>1.7978561806769657</v>
      </c>
      <c r="AL135" s="16">
        <f>IFERROR(AK135/AK148, "NA")</f>
        <v>4.0679004615049186</v>
      </c>
    </row>
    <row r="136" spans="1:38" ht="16.5" hidden="1" customHeight="1" x14ac:dyDescent="0.3">
      <c r="A136" s="35" t="s">
        <v>3</v>
      </c>
      <c r="B136" s="36"/>
      <c r="C136" s="19"/>
      <c r="D136" s="36"/>
      <c r="E136" s="19"/>
      <c r="F136" s="36"/>
      <c r="G136" s="19"/>
      <c r="H136" s="36"/>
      <c r="I136" s="19"/>
      <c r="J136" s="36"/>
      <c r="K136" s="19"/>
      <c r="L136" s="36"/>
      <c r="M136" s="19"/>
      <c r="N136" s="36"/>
      <c r="O136" s="19"/>
      <c r="P136" s="36"/>
      <c r="Q136" s="19"/>
      <c r="R136" s="36"/>
      <c r="S136" s="19"/>
      <c r="T136" s="36"/>
      <c r="U136" s="19"/>
      <c r="V136" s="36"/>
      <c r="W136" s="19"/>
      <c r="X136" s="36"/>
      <c r="Y136" s="19"/>
      <c r="Z136" s="36"/>
      <c r="AA136" s="19"/>
      <c r="AB136" s="36"/>
      <c r="AC136" s="19"/>
      <c r="AD136" s="37"/>
      <c r="AE136" s="21"/>
      <c r="AF136" s="37"/>
      <c r="AG136" s="36"/>
      <c r="AH136" s="19"/>
      <c r="AI136" s="37"/>
      <c r="AJ136" s="21"/>
      <c r="AK136" s="37"/>
      <c r="AL136" s="21"/>
    </row>
    <row r="137" spans="1:38" ht="16.5" hidden="1" customHeight="1" x14ac:dyDescent="0.3">
      <c r="A137" s="32" t="s">
        <v>141</v>
      </c>
      <c r="B137" s="33">
        <f>IFERROR(B107-B135, "NA")</f>
        <v>5890.6399999999985</v>
      </c>
      <c r="C137" s="34">
        <f>IFERROR(B137/B148, "NA")</f>
        <v>0.21861977948893802</v>
      </c>
      <c r="D137" s="33">
        <f>IFERROR(D107-D135, "NA")</f>
        <v>3602.1800000000076</v>
      </c>
      <c r="E137" s="34">
        <f>IFERROR(D137/D148, "NA")</f>
        <v>0.14999721007471201</v>
      </c>
      <c r="F137" s="33">
        <f>IFERROR(F107-F135, "NA")</f>
        <v>979.13000000000829</v>
      </c>
      <c r="G137" s="34">
        <f>IFERROR(F137/F148, "NA")</f>
        <v>3.5512858735620226E-2</v>
      </c>
      <c r="H137" s="33">
        <f>IFERROR(H107-H135, "NA")</f>
        <v>-4467.7199999999975</v>
      </c>
      <c r="I137" s="34">
        <f>IFERROR(H137/H148, "NA")</f>
        <v>-0.1455992413243582</v>
      </c>
      <c r="J137" s="33">
        <f>IFERROR(J107-J135, "NA")</f>
        <v>3448.6799999999939</v>
      </c>
      <c r="K137" s="34">
        <f>IFERROR(J137/J148, "NA")</f>
        <v>0.1617897701283692</v>
      </c>
      <c r="L137" s="33">
        <f>IFERROR(L107-L135, "NA")</f>
        <v>8849.9300000000112</v>
      </c>
      <c r="M137" s="34">
        <f>IFERROR(L137/L148, "NA")</f>
        <v>0.26658527467687981</v>
      </c>
      <c r="N137" s="33">
        <f>IFERROR(N107-N135, "NA")</f>
        <v>6410.0099999999993</v>
      </c>
      <c r="O137" s="34">
        <f>IFERROR(N137/N148, "NA")</f>
        <v>0.24565401927288819</v>
      </c>
      <c r="P137" s="33">
        <f>IFERROR(P107-P135, "NA")</f>
        <v>1803.7799999999922</v>
      </c>
      <c r="Q137" s="34">
        <f>IFERROR(P137/P148, "NA")</f>
        <v>7.0364998583945945E-2</v>
      </c>
      <c r="R137" s="33">
        <f>IFERROR(R107-R135, "NA")</f>
        <v>-6950.8000000000047</v>
      </c>
      <c r="S137" s="34">
        <f>IFERROR(R137/R148, "NA")</f>
        <v>-0.20183430294600624</v>
      </c>
      <c r="T137" s="33">
        <f>IFERROR(T107-T135, "NA")</f>
        <v>4947.6600000000044</v>
      </c>
      <c r="U137" s="34">
        <f>IFERROR(T137/T148, "NA")</f>
        <v>0.17330487220514446</v>
      </c>
      <c r="V137" s="33">
        <f>IFERROR(V107-V135, "NA")</f>
        <v>8321.4799999999886</v>
      </c>
      <c r="W137" s="34">
        <f>IFERROR(V137/V148, "NA")</f>
        <v>0.24235162752985939</v>
      </c>
      <c r="X137" s="33">
        <f>IFERROR(X107-X135, "NA")</f>
        <v>11958.719999999992</v>
      </c>
      <c r="Y137" s="34">
        <f>IFERROR(X137/X148, "NA")</f>
        <v>0.26717885897500898</v>
      </c>
      <c r="Z137" s="33">
        <f>IFERROR(Z107-Z135, "NA")</f>
        <v>25227.859999999993</v>
      </c>
      <c r="AA137" s="34">
        <f>IFERROR(Z137/Z148, "NA")</f>
        <v>0.23436274031650473</v>
      </c>
      <c r="AB137" s="33">
        <f>IFERROR((R137+T137+V137+X137)/4, "NA")</f>
        <v>4569.2649999999949</v>
      </c>
      <c r="AC137" s="34">
        <f>IFERROR(AB137/AB148, "NA")</f>
        <v>0.12863681807736541</v>
      </c>
      <c r="AD137" s="15">
        <f>IFERROR(X137-AB137, "NA")</f>
        <v>7389.4549999999972</v>
      </c>
      <c r="AE137" s="16">
        <f>IFERROR(AD137/AD148, "NA")</f>
        <v>0.79984856959696338</v>
      </c>
      <c r="AF137" s="15">
        <f>IFERROR((X137-AB137)/AB137, "NA")</f>
        <v>1.6172086757935917</v>
      </c>
      <c r="AG137" s="33">
        <f>IFERROR((J137+L137+N137+P137+R137+T137+V137+X137)/8, "NA")</f>
        <v>4848.6824999999972</v>
      </c>
      <c r="AH137" s="34">
        <f>IFERROR(AG137/AG148, "NA")</f>
        <v>0.15620497567493438</v>
      </c>
      <c r="AI137" s="15">
        <f>IFERROR(X137-AG137, "NA")</f>
        <v>7110.0374999999949</v>
      </c>
      <c r="AJ137" s="16">
        <f>IFERROR(AI137/AI148, "NA")</f>
        <v>0.51827275399467865</v>
      </c>
      <c r="AK137" s="15">
        <f>IFERROR((X137-AG137)/AG137, "NA")</f>
        <v>1.4663854562553846</v>
      </c>
      <c r="AL137" s="16">
        <f>IFERROR(AK137/AK148, "NA")</f>
        <v>3.317901697787236</v>
      </c>
    </row>
    <row r="138" spans="1:38" ht="3.75" hidden="1" customHeight="1" x14ac:dyDescent="0.3">
      <c r="A138" s="35" t="s">
        <v>3</v>
      </c>
      <c r="B138" s="36"/>
      <c r="C138" s="19"/>
      <c r="D138" s="36"/>
      <c r="E138" s="19"/>
      <c r="F138" s="36"/>
      <c r="G138" s="19"/>
      <c r="H138" s="36"/>
      <c r="I138" s="19"/>
      <c r="J138" s="36"/>
      <c r="K138" s="19"/>
      <c r="L138" s="36"/>
      <c r="M138" s="19"/>
      <c r="N138" s="36"/>
      <c r="O138" s="19"/>
      <c r="P138" s="36"/>
      <c r="Q138" s="19"/>
      <c r="R138" s="36"/>
      <c r="S138" s="19"/>
      <c r="T138" s="36"/>
      <c r="U138" s="19"/>
      <c r="V138" s="36"/>
      <c r="W138" s="19"/>
      <c r="X138" s="36"/>
      <c r="Y138" s="19"/>
      <c r="Z138" s="36"/>
      <c r="AA138" s="19"/>
      <c r="AB138" s="36"/>
      <c r="AC138" s="19"/>
      <c r="AD138" s="37"/>
      <c r="AE138" s="21"/>
      <c r="AF138" s="37"/>
      <c r="AG138" s="36"/>
      <c r="AH138" s="19"/>
      <c r="AI138" s="37"/>
      <c r="AJ138" s="21"/>
      <c r="AK138" s="37"/>
      <c r="AL138" s="21"/>
    </row>
    <row r="139" spans="1:38" ht="16.5" hidden="1" customHeight="1" x14ac:dyDescent="0.3">
      <c r="A139" s="1" t="s">
        <v>142</v>
      </c>
      <c r="B139" s="2"/>
      <c r="C139" s="3"/>
      <c r="D139" s="2"/>
      <c r="E139" s="3"/>
      <c r="F139" s="2"/>
      <c r="G139" s="3"/>
      <c r="H139" s="2"/>
      <c r="I139" s="3"/>
      <c r="J139" s="2"/>
      <c r="K139" s="3"/>
      <c r="L139" s="2"/>
      <c r="M139" s="3"/>
      <c r="N139" s="2"/>
      <c r="O139" s="3"/>
      <c r="P139" s="2"/>
      <c r="Q139" s="3"/>
      <c r="R139" s="2"/>
      <c r="S139" s="3"/>
      <c r="T139" s="2"/>
      <c r="U139" s="3"/>
      <c r="V139" s="2"/>
      <c r="W139" s="3"/>
      <c r="X139" s="2"/>
      <c r="Y139" s="3"/>
      <c r="Z139" s="2"/>
      <c r="AA139" s="3"/>
      <c r="AB139" s="2"/>
      <c r="AC139" s="3"/>
      <c r="AD139" s="4"/>
      <c r="AE139" s="5"/>
      <c r="AF139" s="4"/>
      <c r="AG139" s="2"/>
      <c r="AH139" s="3"/>
      <c r="AI139" s="4"/>
      <c r="AJ139" s="5"/>
      <c r="AK139" s="4"/>
      <c r="AL139" s="5"/>
    </row>
    <row r="140" spans="1:38" ht="16.5" hidden="1" customHeight="1" x14ac:dyDescent="0.3">
      <c r="A140" s="6" t="s">
        <v>143</v>
      </c>
      <c r="B140" s="7">
        <v>0</v>
      </c>
      <c r="C140" s="8">
        <f>IFERROR(B140/B148, "NA")</f>
        <v>0</v>
      </c>
      <c r="D140" s="7">
        <v>0</v>
      </c>
      <c r="E140" s="8">
        <f>IFERROR(D140/D148, "NA")</f>
        <v>0</v>
      </c>
      <c r="F140" s="7">
        <v>0</v>
      </c>
      <c r="G140" s="8">
        <f>IFERROR(F140/F148, "NA")</f>
        <v>0</v>
      </c>
      <c r="H140" s="7">
        <v>3469.35</v>
      </c>
      <c r="I140" s="8">
        <f>IFERROR(H140/H148, "NA")</f>
        <v>0.11306320178718952</v>
      </c>
      <c r="J140" s="7">
        <v>0</v>
      </c>
      <c r="K140" s="8">
        <f>IFERROR(J140/J148, "NA")</f>
        <v>0</v>
      </c>
      <c r="L140" s="7">
        <v>0</v>
      </c>
      <c r="M140" s="8">
        <f>IFERROR(L140/L148, "NA")</f>
        <v>0</v>
      </c>
      <c r="N140" s="7">
        <v>0</v>
      </c>
      <c r="O140" s="8">
        <f>IFERROR(N140/N148, "NA")</f>
        <v>0</v>
      </c>
      <c r="P140" s="7">
        <v>-82.53</v>
      </c>
      <c r="Q140" s="8">
        <f>IFERROR(P140/P148, "NA")</f>
        <v>-3.2194742890668949E-3</v>
      </c>
      <c r="R140" s="7">
        <v>3752.76</v>
      </c>
      <c r="S140" s="8">
        <f>IFERROR(R140/R148, "NA")</f>
        <v>0.10897101034753609</v>
      </c>
      <c r="T140" s="7">
        <v>0</v>
      </c>
      <c r="U140" s="8">
        <f>IFERROR(T140/T148, "NA")</f>
        <v>0</v>
      </c>
      <c r="V140" s="7">
        <v>0</v>
      </c>
      <c r="W140" s="8">
        <f>IFERROR(V140/V148, "NA")</f>
        <v>0</v>
      </c>
      <c r="X140" s="7">
        <v>0</v>
      </c>
      <c r="Y140" s="8">
        <f>IFERROR(X140/X148, "NA")</f>
        <v>0</v>
      </c>
      <c r="Z140" s="7">
        <v>0</v>
      </c>
      <c r="AA140" s="8">
        <f>IFERROR(Z140/Z148, "NA")</f>
        <v>0</v>
      </c>
      <c r="AB140" s="9">
        <f>IFERROR((R140+T140+V140+X140)/4, "NA")</f>
        <v>938.19</v>
      </c>
      <c r="AC140" s="8">
        <f>IFERROR(AB140/AB148, "NA")</f>
        <v>2.6412514124701365E-2</v>
      </c>
      <c r="AD140" s="10">
        <f>IFERROR(X140-AB140, "NA")</f>
        <v>-938.19</v>
      </c>
      <c r="AE140" s="11">
        <f>IFERROR(AD140/AD148, "NA")</f>
        <v>-0.10155145805883863</v>
      </c>
      <c r="AF140" s="10">
        <f>IFERROR((X140-AB140)/AB140, "NA")</f>
        <v>-1</v>
      </c>
      <c r="AG140" s="9">
        <f>IFERROR((J140+L140+N140+P140+R140+T140+V140+X140)/8, "NA")</f>
        <v>458.77875</v>
      </c>
      <c r="AH140" s="8">
        <f>IFERROR(AG140/AG148, "NA")</f>
        <v>1.4779999202654917E-2</v>
      </c>
      <c r="AI140" s="10">
        <f>IFERROR(X140-AG140, "NA")</f>
        <v>-458.77875</v>
      </c>
      <c r="AJ140" s="11">
        <f>IFERROR(AI140/AI148, "NA")</f>
        <v>-3.3441810431623795E-2</v>
      </c>
      <c r="AK140" s="10">
        <f>IFERROR((X140-AG140)/AG140, "NA")</f>
        <v>-1</v>
      </c>
      <c r="AL140" s="11">
        <f>IFERROR(AK140/AK148, "NA")</f>
        <v>-2.2626395288043502</v>
      </c>
    </row>
    <row r="141" spans="1:38" ht="16.5" hidden="1" customHeight="1" x14ac:dyDescent="0.3">
      <c r="A141" s="12" t="s">
        <v>144</v>
      </c>
      <c r="B141" s="13">
        <f>IFERROR(B140, "NA")</f>
        <v>0</v>
      </c>
      <c r="C141" s="14">
        <f>IFERROR(B141/B148, "NA")</f>
        <v>0</v>
      </c>
      <c r="D141" s="13">
        <f>IFERROR(D140, "NA")</f>
        <v>0</v>
      </c>
      <c r="E141" s="14">
        <f>IFERROR(D141/D148, "NA")</f>
        <v>0</v>
      </c>
      <c r="F141" s="13">
        <f>IFERROR(F140, "NA")</f>
        <v>0</v>
      </c>
      <c r="G141" s="14">
        <f>IFERROR(F141/F148, "NA")</f>
        <v>0</v>
      </c>
      <c r="H141" s="13">
        <f>IFERROR(H140, "NA")</f>
        <v>3469.35</v>
      </c>
      <c r="I141" s="14">
        <f>IFERROR(H141/H148, "NA")</f>
        <v>0.11306320178718952</v>
      </c>
      <c r="J141" s="13">
        <f>IFERROR(J140, "NA")</f>
        <v>0</v>
      </c>
      <c r="K141" s="14">
        <f>IFERROR(J141/J148, "NA")</f>
        <v>0</v>
      </c>
      <c r="L141" s="13">
        <f>IFERROR(L140, "NA")</f>
        <v>0</v>
      </c>
      <c r="M141" s="14">
        <f>IFERROR(L141/L148, "NA")</f>
        <v>0</v>
      </c>
      <c r="N141" s="13">
        <f>IFERROR(N140, "NA")</f>
        <v>0</v>
      </c>
      <c r="O141" s="14">
        <f>IFERROR(N141/N148, "NA")</f>
        <v>0</v>
      </c>
      <c r="P141" s="13">
        <f>IFERROR(P140, "NA")</f>
        <v>-82.53</v>
      </c>
      <c r="Q141" s="14">
        <f>IFERROR(P141/P148, "NA")</f>
        <v>-3.2194742890668949E-3</v>
      </c>
      <c r="R141" s="13">
        <f>IFERROR(R140, "NA")</f>
        <v>3752.76</v>
      </c>
      <c r="S141" s="14">
        <f>IFERROR(R141/R148, "NA")</f>
        <v>0.10897101034753609</v>
      </c>
      <c r="T141" s="13">
        <f>IFERROR(T140, "NA")</f>
        <v>0</v>
      </c>
      <c r="U141" s="14">
        <f>IFERROR(T141/T148, "NA")</f>
        <v>0</v>
      </c>
      <c r="V141" s="13">
        <f>IFERROR(V140, "NA")</f>
        <v>0</v>
      </c>
      <c r="W141" s="14">
        <f>IFERROR(V141/V148, "NA")</f>
        <v>0</v>
      </c>
      <c r="X141" s="13">
        <f>IFERROR(X140, "NA")</f>
        <v>0</v>
      </c>
      <c r="Y141" s="14">
        <f>IFERROR(X141/X148, "NA")</f>
        <v>0</v>
      </c>
      <c r="Z141" s="13">
        <f>IFERROR(Z140, "NA")</f>
        <v>0</v>
      </c>
      <c r="AA141" s="14">
        <f>IFERROR(Z141/Z148, "NA")</f>
        <v>0</v>
      </c>
      <c r="AB141" s="13">
        <f>IFERROR((R141+T141+V141+X141)/4, "NA")</f>
        <v>938.19</v>
      </c>
      <c r="AC141" s="14">
        <f>IFERROR(AB141/AB148, "NA")</f>
        <v>2.6412514124701365E-2</v>
      </c>
      <c r="AD141" s="15">
        <f>IFERROR(X141-AB141, "NA")</f>
        <v>-938.19</v>
      </c>
      <c r="AE141" s="16">
        <f>IFERROR(AD141/AD148, "NA")</f>
        <v>-0.10155145805883863</v>
      </c>
      <c r="AF141" s="15">
        <f>IFERROR((X141-AB141)/AB141, "NA")</f>
        <v>-1</v>
      </c>
      <c r="AG141" s="13">
        <f>IFERROR((J141+L141+N141+P141+R141+T141+V141+X141)/8, "NA")</f>
        <v>458.77875</v>
      </c>
      <c r="AH141" s="14">
        <f>IFERROR(AG141/AG148, "NA")</f>
        <v>1.4779999202654917E-2</v>
      </c>
      <c r="AI141" s="15">
        <f>IFERROR(X141-AG141, "NA")</f>
        <v>-458.77875</v>
      </c>
      <c r="AJ141" s="16">
        <f>IFERROR(AI141/AI148, "NA")</f>
        <v>-3.3441810431623795E-2</v>
      </c>
      <c r="AK141" s="15">
        <f>IFERROR((X141-AG141)/AG141, "NA")</f>
        <v>-1</v>
      </c>
      <c r="AL141" s="16">
        <f>IFERROR(AK141/AK148, "NA")</f>
        <v>-2.2626395288043502</v>
      </c>
    </row>
    <row r="142" spans="1:38" ht="3.75" hidden="1" customHeight="1" x14ac:dyDescent="0.3">
      <c r="A142" s="35" t="s">
        <v>3</v>
      </c>
      <c r="B142" s="36"/>
      <c r="C142" s="19"/>
      <c r="D142" s="36"/>
      <c r="E142" s="19"/>
      <c r="F142" s="36"/>
      <c r="G142" s="19"/>
      <c r="H142" s="36"/>
      <c r="I142" s="19"/>
      <c r="J142" s="36"/>
      <c r="K142" s="19"/>
      <c r="L142" s="36"/>
      <c r="M142" s="19"/>
      <c r="N142" s="36"/>
      <c r="O142" s="19"/>
      <c r="P142" s="36"/>
      <c r="Q142" s="19"/>
      <c r="R142" s="36"/>
      <c r="S142" s="19"/>
      <c r="T142" s="36"/>
      <c r="U142" s="19"/>
      <c r="V142" s="36"/>
      <c r="W142" s="19"/>
      <c r="X142" s="36"/>
      <c r="Y142" s="19"/>
      <c r="Z142" s="36"/>
      <c r="AA142" s="19"/>
      <c r="AB142" s="36"/>
      <c r="AC142" s="19"/>
      <c r="AD142" s="37"/>
      <c r="AE142" s="21"/>
      <c r="AF142" s="37"/>
      <c r="AG142" s="36"/>
      <c r="AH142" s="19"/>
      <c r="AI142" s="37"/>
      <c r="AJ142" s="21"/>
      <c r="AK142" s="37"/>
      <c r="AL142" s="21"/>
    </row>
    <row r="143" spans="1:38" ht="16.5" hidden="1" customHeight="1" x14ac:dyDescent="0.3">
      <c r="A143" s="1" t="s">
        <v>145</v>
      </c>
      <c r="B143" s="2"/>
      <c r="C143" s="3"/>
      <c r="D143" s="2"/>
      <c r="E143" s="3"/>
      <c r="F143" s="2"/>
      <c r="G143" s="3"/>
      <c r="H143" s="2"/>
      <c r="I143" s="3"/>
      <c r="J143" s="2"/>
      <c r="K143" s="3"/>
      <c r="L143" s="2"/>
      <c r="M143" s="3"/>
      <c r="N143" s="2"/>
      <c r="O143" s="3"/>
      <c r="P143" s="2"/>
      <c r="Q143" s="3"/>
      <c r="R143" s="2"/>
      <c r="S143" s="3"/>
      <c r="T143" s="2"/>
      <c r="U143" s="3"/>
      <c r="V143" s="2"/>
      <c r="W143" s="3"/>
      <c r="X143" s="2"/>
      <c r="Y143" s="3"/>
      <c r="Z143" s="2"/>
      <c r="AA143" s="3"/>
      <c r="AB143" s="2"/>
      <c r="AC143" s="3"/>
      <c r="AD143" s="4"/>
      <c r="AE143" s="5"/>
      <c r="AF143" s="4"/>
      <c r="AG143" s="2"/>
      <c r="AH143" s="3"/>
      <c r="AI143" s="4"/>
      <c r="AJ143" s="5"/>
      <c r="AK143" s="4"/>
      <c r="AL143" s="5"/>
    </row>
    <row r="144" spans="1:38" ht="16.5" hidden="1" customHeight="1" x14ac:dyDescent="0.3">
      <c r="A144" s="6" t="s">
        <v>146</v>
      </c>
      <c r="B144" s="7">
        <v>0</v>
      </c>
      <c r="C144" s="8">
        <f>IFERROR(B144/B148, "NA")</f>
        <v>0</v>
      </c>
      <c r="D144" s="7">
        <v>0</v>
      </c>
      <c r="E144" s="8">
        <f>IFERROR(D144/D148, "NA")</f>
        <v>0</v>
      </c>
      <c r="F144" s="7">
        <v>0</v>
      </c>
      <c r="G144" s="8">
        <f>IFERROR(F144/F148, "NA")</f>
        <v>0</v>
      </c>
      <c r="H144" s="7">
        <v>0</v>
      </c>
      <c r="I144" s="8">
        <f>IFERROR(H144/H148, "NA")</f>
        <v>0</v>
      </c>
      <c r="J144" s="7">
        <v>0</v>
      </c>
      <c r="K144" s="8">
        <f>IFERROR(J144/J148, "NA")</f>
        <v>0</v>
      </c>
      <c r="L144" s="7">
        <v>0</v>
      </c>
      <c r="M144" s="8">
        <f>IFERROR(L144/L148, "NA")</f>
        <v>0</v>
      </c>
      <c r="N144" s="7">
        <v>0</v>
      </c>
      <c r="O144" s="8">
        <f>IFERROR(N144/N148, "NA")</f>
        <v>0</v>
      </c>
      <c r="P144" s="7">
        <v>0</v>
      </c>
      <c r="Q144" s="8">
        <f>IFERROR(P144/P148, "NA")</f>
        <v>0</v>
      </c>
      <c r="R144" s="7">
        <v>0</v>
      </c>
      <c r="S144" s="8">
        <f>IFERROR(R144/R148, "NA")</f>
        <v>0</v>
      </c>
      <c r="T144" s="7">
        <v>0</v>
      </c>
      <c r="U144" s="8">
        <f>IFERROR(T144/T148, "NA")</f>
        <v>0</v>
      </c>
      <c r="V144" s="7">
        <v>0</v>
      </c>
      <c r="W144" s="8">
        <f>IFERROR(V144/V148, "NA")</f>
        <v>0</v>
      </c>
      <c r="X144" s="7">
        <v>0</v>
      </c>
      <c r="Y144" s="8">
        <f>IFERROR(X144/X148, "NA")</f>
        <v>0</v>
      </c>
      <c r="Z144" s="7">
        <v>0</v>
      </c>
      <c r="AA144" s="8">
        <f>IFERROR(Z144/Z148, "NA")</f>
        <v>0</v>
      </c>
      <c r="AB144" s="9">
        <f>IFERROR((R144+T144+V144+X144)/4, "NA")</f>
        <v>0</v>
      </c>
      <c r="AC144" s="8">
        <f>IFERROR(AB144/AB148, "NA")</f>
        <v>0</v>
      </c>
      <c r="AD144" s="10">
        <f>IFERROR(X144-AB144, "NA")</f>
        <v>0</v>
      </c>
      <c r="AE144" s="11">
        <f>IFERROR(AD144/AD148, "NA")</f>
        <v>0</v>
      </c>
      <c r="AF144" s="10" t="str">
        <f>IFERROR((X144-AB144)/AB144, "NA")</f>
        <v>NA</v>
      </c>
      <c r="AG144" s="9">
        <f>IFERROR((J144+L144+N144+P144+R144+T144+V144+X144)/8, "NA")</f>
        <v>0</v>
      </c>
      <c r="AH144" s="8">
        <f>IFERROR(AG144/AG148, "NA")</f>
        <v>0</v>
      </c>
      <c r="AI144" s="10">
        <f>IFERROR(X144-AG144, "NA")</f>
        <v>0</v>
      </c>
      <c r="AJ144" s="11">
        <f>IFERROR(AI144/AI148, "NA")</f>
        <v>0</v>
      </c>
      <c r="AK144" s="10" t="str">
        <f>IFERROR((X144-AG144)/AG144, "NA")</f>
        <v>NA</v>
      </c>
      <c r="AL144" s="11" t="str">
        <f>IFERROR(AK144/AK148, "NA")</f>
        <v>NA</v>
      </c>
    </row>
    <row r="145" spans="1:38" ht="16.5" hidden="1" customHeight="1" x14ac:dyDescent="0.3">
      <c r="A145" s="12" t="s">
        <v>147</v>
      </c>
      <c r="B145" s="13">
        <f>IFERROR(B144, "NA")</f>
        <v>0</v>
      </c>
      <c r="C145" s="14">
        <f>IFERROR(B145/B148, "NA")</f>
        <v>0</v>
      </c>
      <c r="D145" s="13">
        <f>IFERROR(D144, "NA")</f>
        <v>0</v>
      </c>
      <c r="E145" s="14">
        <f>IFERROR(D145/D148, "NA")</f>
        <v>0</v>
      </c>
      <c r="F145" s="13">
        <f>IFERROR(F144, "NA")</f>
        <v>0</v>
      </c>
      <c r="G145" s="14">
        <f>IFERROR(F145/F148, "NA")</f>
        <v>0</v>
      </c>
      <c r="H145" s="13">
        <f>IFERROR(H144, "NA")</f>
        <v>0</v>
      </c>
      <c r="I145" s="14">
        <f>IFERROR(H145/H148, "NA")</f>
        <v>0</v>
      </c>
      <c r="J145" s="13">
        <f>IFERROR(J144, "NA")</f>
        <v>0</v>
      </c>
      <c r="K145" s="14">
        <f>IFERROR(J145/J148, "NA")</f>
        <v>0</v>
      </c>
      <c r="L145" s="13">
        <f>IFERROR(L144, "NA")</f>
        <v>0</v>
      </c>
      <c r="M145" s="14">
        <f>IFERROR(L145/L148, "NA")</f>
        <v>0</v>
      </c>
      <c r="N145" s="13">
        <f>IFERROR(N144, "NA")</f>
        <v>0</v>
      </c>
      <c r="O145" s="14">
        <f>IFERROR(N145/N148, "NA")</f>
        <v>0</v>
      </c>
      <c r="P145" s="13">
        <f>IFERROR(P144, "NA")</f>
        <v>0</v>
      </c>
      <c r="Q145" s="14">
        <f>IFERROR(P145/P148, "NA")</f>
        <v>0</v>
      </c>
      <c r="R145" s="13">
        <f>IFERROR(R144, "NA")</f>
        <v>0</v>
      </c>
      <c r="S145" s="14">
        <f>IFERROR(R145/R148, "NA")</f>
        <v>0</v>
      </c>
      <c r="T145" s="13">
        <f>IFERROR(T144, "NA")</f>
        <v>0</v>
      </c>
      <c r="U145" s="14">
        <f>IFERROR(T145/T148, "NA")</f>
        <v>0</v>
      </c>
      <c r="V145" s="13">
        <f>IFERROR(V144, "NA")</f>
        <v>0</v>
      </c>
      <c r="W145" s="14">
        <f>IFERROR(V145/V148, "NA")</f>
        <v>0</v>
      </c>
      <c r="X145" s="13">
        <f>IFERROR(X144, "NA")</f>
        <v>0</v>
      </c>
      <c r="Y145" s="14">
        <f>IFERROR(X145/X148, "NA")</f>
        <v>0</v>
      </c>
      <c r="Z145" s="13">
        <f>IFERROR(Z144, "NA")</f>
        <v>0</v>
      </c>
      <c r="AA145" s="14">
        <f>IFERROR(Z145/Z148, "NA")</f>
        <v>0</v>
      </c>
      <c r="AB145" s="13">
        <f>IFERROR((R145+T145+V145+X145)/4, "NA")</f>
        <v>0</v>
      </c>
      <c r="AC145" s="14">
        <f>IFERROR(AB145/AB148, "NA")</f>
        <v>0</v>
      </c>
      <c r="AD145" s="15">
        <f>IFERROR(X145-AB145, "NA")</f>
        <v>0</v>
      </c>
      <c r="AE145" s="16">
        <f>IFERROR(AD145/AD148, "NA")</f>
        <v>0</v>
      </c>
      <c r="AF145" s="15" t="str">
        <f>IFERROR((X145-AB145)/AB145, "NA")</f>
        <v>NA</v>
      </c>
      <c r="AG145" s="13">
        <f>IFERROR((J145+L145+N145+P145+R145+T145+V145+X145)/8, "NA")</f>
        <v>0</v>
      </c>
      <c r="AH145" s="14">
        <f>IFERROR(AG145/AG148, "NA")</f>
        <v>0</v>
      </c>
      <c r="AI145" s="15">
        <f>IFERROR(X145-AG145, "NA")</f>
        <v>0</v>
      </c>
      <c r="AJ145" s="16">
        <f>IFERROR(AI145/AI148, "NA")</f>
        <v>0</v>
      </c>
      <c r="AK145" s="15" t="str">
        <f>IFERROR((X145-AG145)/AG145, "NA")</f>
        <v>NA</v>
      </c>
      <c r="AL145" s="16" t="str">
        <f>IFERROR(AK145/AK148, "NA")</f>
        <v>NA</v>
      </c>
    </row>
    <row r="146" spans="1:38" ht="3.75" hidden="1" customHeight="1" x14ac:dyDescent="0.3">
      <c r="A146" s="35" t="s">
        <v>3</v>
      </c>
      <c r="B146" s="36"/>
      <c r="C146" s="19"/>
      <c r="D146" s="36"/>
      <c r="E146" s="19"/>
      <c r="F146" s="36"/>
      <c r="G146" s="19"/>
      <c r="H146" s="36"/>
      <c r="I146" s="19"/>
      <c r="J146" s="36"/>
      <c r="K146" s="19"/>
      <c r="L146" s="36"/>
      <c r="M146" s="19"/>
      <c r="N146" s="36"/>
      <c r="O146" s="19"/>
      <c r="P146" s="36"/>
      <c r="Q146" s="19"/>
      <c r="R146" s="36"/>
      <c r="S146" s="19"/>
      <c r="T146" s="36"/>
      <c r="U146" s="19"/>
      <c r="V146" s="36"/>
      <c r="W146" s="19"/>
      <c r="X146" s="36"/>
      <c r="Y146" s="19"/>
      <c r="Z146" s="36"/>
      <c r="AA146" s="19"/>
      <c r="AB146" s="36"/>
      <c r="AC146" s="19"/>
      <c r="AD146" s="37"/>
      <c r="AE146" s="21"/>
      <c r="AF146" s="37"/>
      <c r="AG146" s="36"/>
      <c r="AH146" s="19"/>
      <c r="AI146" s="37"/>
      <c r="AJ146" s="21"/>
      <c r="AK146" s="37"/>
      <c r="AL146" s="21"/>
    </row>
    <row r="147" spans="1:38" ht="16.5" hidden="1" customHeight="1" x14ac:dyDescent="0.3">
      <c r="A147" s="32" t="s">
        <v>148</v>
      </c>
      <c r="B147" s="33">
        <f>IFERROR(B137-B141-B145, "NA")</f>
        <v>5890.6399999999985</v>
      </c>
      <c r="C147" s="34">
        <f>IFERROR(B147/B148, "NA")</f>
        <v>0.21861977948893802</v>
      </c>
      <c r="D147" s="33">
        <f>IFERROR(D137-D141-D145, "NA")</f>
        <v>3602.1800000000076</v>
      </c>
      <c r="E147" s="34">
        <f>IFERROR(D147/D148, "NA")</f>
        <v>0.14999721007471201</v>
      </c>
      <c r="F147" s="33">
        <f>IFERROR(F137-F141-F145, "NA")</f>
        <v>979.13000000000829</v>
      </c>
      <c r="G147" s="34">
        <f>IFERROR(F147/F148, "NA")</f>
        <v>3.5512858735620226E-2</v>
      </c>
      <c r="H147" s="33">
        <f>IFERROR(H137-H141-H145, "NA")</f>
        <v>-7937.0699999999979</v>
      </c>
      <c r="I147" s="34">
        <f>IFERROR(H147/H148, "NA")</f>
        <v>-0.25866244311154774</v>
      </c>
      <c r="J147" s="33">
        <f>IFERROR(J137-J141-J145, "NA")</f>
        <v>3448.6799999999939</v>
      </c>
      <c r="K147" s="34">
        <f>IFERROR(J147/J148, "NA")</f>
        <v>0.1617897701283692</v>
      </c>
      <c r="L147" s="33">
        <f>IFERROR(L137-L141-L145, "NA")</f>
        <v>8849.9300000000112</v>
      </c>
      <c r="M147" s="34">
        <f>IFERROR(L147/L148, "NA")</f>
        <v>0.26658527467687981</v>
      </c>
      <c r="N147" s="33">
        <f>IFERROR(N137-N141-N145, "NA")</f>
        <v>6410.0099999999993</v>
      </c>
      <c r="O147" s="34">
        <f>IFERROR(N147/N148, "NA")</f>
        <v>0.24565401927288819</v>
      </c>
      <c r="P147" s="33">
        <f>IFERROR(P137-P141-P145, "NA")</f>
        <v>1886.3099999999922</v>
      </c>
      <c r="Q147" s="34">
        <f>IFERROR(P147/P148, "NA")</f>
        <v>7.3584472873012841E-2</v>
      </c>
      <c r="R147" s="33">
        <f>IFERROR(R137-R141-R145, "NA")</f>
        <v>-10703.560000000005</v>
      </c>
      <c r="S147" s="34">
        <f>IFERROR(R147/R148, "NA")</f>
        <v>-0.31080531329354233</v>
      </c>
      <c r="T147" s="33">
        <f>IFERROR(T137-T141-T145, "NA")</f>
        <v>4947.6600000000044</v>
      </c>
      <c r="U147" s="34">
        <f>IFERROR(T147/T148, "NA")</f>
        <v>0.17330487220514446</v>
      </c>
      <c r="V147" s="33">
        <f>IFERROR(V137-V141-V145, "NA")</f>
        <v>8321.4799999999886</v>
      </c>
      <c r="W147" s="34">
        <f>IFERROR(V147/V148, "NA")</f>
        <v>0.24235162752985939</v>
      </c>
      <c r="X147" s="33">
        <f>IFERROR(X137-X141-X145, "NA")</f>
        <v>11958.719999999992</v>
      </c>
      <c r="Y147" s="34">
        <f>IFERROR(X147/X148, "NA")</f>
        <v>0.26717885897500898</v>
      </c>
      <c r="Z147" s="33">
        <f>IFERROR(Z137-Z141-Z145, "NA")</f>
        <v>25227.859999999993</v>
      </c>
      <c r="AA147" s="34">
        <f>IFERROR(Z147/Z148, "NA")</f>
        <v>0.23436274031650473</v>
      </c>
      <c r="AB147" s="33">
        <f>IFERROR((R147+T147+V147+X147)/4, "NA")</f>
        <v>3631.0749999999953</v>
      </c>
      <c r="AC147" s="34">
        <f>IFERROR(AB147/AB148, "NA")</f>
        <v>0.10222430395266405</v>
      </c>
      <c r="AD147" s="15">
        <f>IFERROR(X147-AB147, "NA")</f>
        <v>8327.6449999999968</v>
      </c>
      <c r="AE147" s="16">
        <f>IFERROR(AD147/AD148, "NA")</f>
        <v>0.90140002765580185</v>
      </c>
      <c r="AF147" s="15">
        <f>IFERROR((X147-AB147)/AB147, "NA")</f>
        <v>2.2934378937367055</v>
      </c>
      <c r="AG147" s="33">
        <f>IFERROR((J147+L147+N147+P147+R147+T147+V147+X147)/8, "NA")</f>
        <v>4389.9037499999968</v>
      </c>
      <c r="AH147" s="34">
        <f>IFERROR(AG147/AG148, "NA")</f>
        <v>0.14142497647227947</v>
      </c>
      <c r="AI147" s="15">
        <f>IFERROR(X147-AG147, "NA")</f>
        <v>7568.8162499999953</v>
      </c>
      <c r="AJ147" s="16">
        <f>IFERROR(AI147/AI148, "NA")</f>
        <v>0.55171456442630251</v>
      </c>
      <c r="AK147" s="15">
        <f>IFERROR((X147-AG147)/AG147, "NA")</f>
        <v>1.7241417308978588</v>
      </c>
      <c r="AL147" s="16">
        <f>IFERROR(AK147/AK148, "NA")</f>
        <v>3.9011112335906484</v>
      </c>
    </row>
    <row r="148" spans="1:38" ht="15.6" hidden="1" x14ac:dyDescent="0.3">
      <c r="A148" s="40" t="s">
        <v>25</v>
      </c>
      <c r="B148" s="7">
        <v>26944.68</v>
      </c>
      <c r="C148" s="41"/>
      <c r="D148" s="7">
        <v>24014.98</v>
      </c>
      <c r="E148" s="41"/>
      <c r="F148" s="7">
        <v>27571.14</v>
      </c>
      <c r="G148" s="41"/>
      <c r="H148" s="7">
        <v>30685.05</v>
      </c>
      <c r="I148" s="41"/>
      <c r="J148" s="7">
        <v>21315.81</v>
      </c>
      <c r="K148" s="41"/>
      <c r="L148" s="7">
        <v>33197.370000000003</v>
      </c>
      <c r="M148" s="41"/>
      <c r="N148" s="7">
        <v>26093.65</v>
      </c>
      <c r="O148" s="41"/>
      <c r="P148" s="7">
        <v>25634.62</v>
      </c>
      <c r="Q148" s="41"/>
      <c r="R148" s="7">
        <v>34438.15</v>
      </c>
      <c r="S148" s="41"/>
      <c r="T148" s="7">
        <v>28548.880000000001</v>
      </c>
      <c r="U148" s="41"/>
      <c r="V148" s="7">
        <v>34336.39</v>
      </c>
      <c r="W148" s="41"/>
      <c r="X148" s="7">
        <v>44759.23</v>
      </c>
      <c r="Y148" s="41"/>
      <c r="Z148" s="7">
        <v>107644.5</v>
      </c>
      <c r="AA148" s="41"/>
      <c r="AB148" s="9">
        <f>IFERROR((R148+T148+V148+X148)/4, "NA")</f>
        <v>35520.662499999999</v>
      </c>
      <c r="AC148" s="41"/>
      <c r="AD148" s="10">
        <f>IFERROR(X148-AB148, "NA")</f>
        <v>9238.5675000000047</v>
      </c>
      <c r="AE148" s="42"/>
      <c r="AF148" s="10">
        <f>IFERROR((X148-AB148)/AB148, "NA")</f>
        <v>0.26008995468482621</v>
      </c>
      <c r="AG148" s="9">
        <f>IFERROR((J148+L148+N148+P148+R148+T148+V148+X148)/8, "NA")</f>
        <v>31040.512500000001</v>
      </c>
      <c r="AH148" s="41"/>
      <c r="AI148" s="10">
        <f>IFERROR(X148-AG148, "NA")</f>
        <v>13718.717500000002</v>
      </c>
      <c r="AJ148" s="42"/>
      <c r="AK148" s="10">
        <f>IFERROR((X148-AG148)/AG148, "NA")</f>
        <v>0.44196169441467831</v>
      </c>
      <c r="AL148" s="42"/>
    </row>
    <row r="151" spans="1:38" ht="15.6" x14ac:dyDescent="0.3">
      <c r="A151" s="43" t="s">
        <v>149</v>
      </c>
    </row>
    <row r="152" spans="1:38" ht="15.6" x14ac:dyDescent="0.3">
      <c r="A152" s="43" t="s">
        <v>150</v>
      </c>
    </row>
    <row r="153" spans="1:38" ht="15.6" x14ac:dyDescent="0.3">
      <c r="A153" s="43" t="s">
        <v>151</v>
      </c>
    </row>
  </sheetData>
  <mergeCells count="23">
    <mergeCell ref="A1:AL1"/>
    <mergeCell ref="A2:AL2"/>
    <mergeCell ref="A3:AL3"/>
    <mergeCell ref="A5"/>
    <mergeCell ref="B5:C5"/>
    <mergeCell ref="D5:E5"/>
    <mergeCell ref="F5:G5"/>
    <mergeCell ref="H5:I5"/>
    <mergeCell ref="J5:K5"/>
    <mergeCell ref="L5:M5"/>
    <mergeCell ref="N5:O5"/>
    <mergeCell ref="P5:Q5"/>
    <mergeCell ref="R5:S5"/>
    <mergeCell ref="T5:U5"/>
    <mergeCell ref="V5:W5"/>
    <mergeCell ref="X5:Y5"/>
    <mergeCell ref="AI5:AJ5"/>
    <mergeCell ref="AK5:AL5"/>
    <mergeCell ref="Z5:AA5"/>
    <mergeCell ref="AB5:AC5"/>
    <mergeCell ref="AD5:AE5"/>
    <mergeCell ref="AF5"/>
    <mergeCell ref="AG5:AH5"/>
  </mergeCells>
  <pageMargins left="0.7" right="0.7" top="0.75" bottom="0.75" header="0.3" footer="0.3"/>
  <ignoredErrors>
    <ignoredError sqref="A1:AL153" numberStoredAsText="1"/>
  </ignoredError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/>
  </sheetPr>
  <dimension ref="A1:AL153"/>
  <sheetViews>
    <sheetView showGridLines="0" workbookViewId="0">
      <pane xSplit="1" ySplit="5" topLeftCell="B6" activePane="bottomRight" state="frozen"/>
      <selection pane="topRight" activeCell="B1" sqref="B1"/>
      <selection pane="bottomLeft" activeCell="A6" sqref="A6"/>
      <selection pane="bottomRight" sqref="A1:AL1"/>
    </sheetView>
  </sheetViews>
  <sheetFormatPr defaultRowHeight="14.4" x14ac:dyDescent="0.3"/>
  <cols>
    <col min="1" max="1" width="42.88671875" customWidth="1"/>
    <col min="2" max="2" width="17.109375" customWidth="1"/>
    <col min="3" max="3" width="9.44140625" customWidth="1"/>
    <col min="4" max="4" width="17.109375" customWidth="1"/>
    <col min="5" max="5" width="9.44140625" customWidth="1"/>
    <col min="6" max="6" width="17.109375" customWidth="1"/>
    <col min="7" max="7" width="9.44140625" customWidth="1"/>
    <col min="8" max="8" width="17.109375" customWidth="1"/>
    <col min="9" max="9" width="9.44140625" customWidth="1"/>
    <col min="10" max="10" width="17.109375" customWidth="1"/>
    <col min="11" max="11" width="9.44140625" customWidth="1"/>
    <col min="12" max="12" width="17.109375" customWidth="1"/>
    <col min="13" max="13" width="9.44140625" customWidth="1"/>
    <col min="14" max="14" width="17.109375" customWidth="1"/>
    <col min="15" max="15" width="9.44140625" customWidth="1"/>
    <col min="16" max="16" width="17.109375" customWidth="1"/>
    <col min="17" max="17" width="9.44140625" customWidth="1"/>
    <col min="18" max="18" width="17.109375" customWidth="1"/>
    <col min="19" max="19" width="9.44140625" customWidth="1"/>
    <col min="20" max="20" width="17.109375" customWidth="1"/>
    <col min="21" max="21" width="9.44140625" customWidth="1"/>
    <col min="22" max="22" width="17.109375" customWidth="1"/>
    <col min="23" max="23" width="9.44140625" customWidth="1"/>
    <col min="24" max="24" width="17.109375" customWidth="1"/>
    <col min="25" max="25" width="9.44140625" customWidth="1"/>
    <col min="26" max="26" width="17.109375" customWidth="1"/>
    <col min="27" max="27" width="9.44140625" customWidth="1"/>
    <col min="28" max="28" width="17.109375" customWidth="1"/>
    <col min="29" max="29" width="9.44140625" customWidth="1"/>
    <col min="30" max="30" width="16.6640625" customWidth="1"/>
    <col min="31" max="31" width="0" hidden="1" customWidth="1"/>
    <col min="32" max="32" width="16.6640625" customWidth="1"/>
    <col min="33" max="33" width="17.109375" customWidth="1"/>
    <col min="34" max="34" width="9.44140625" customWidth="1"/>
    <col min="35" max="35" width="16.6640625" customWidth="1"/>
    <col min="36" max="36" width="0" hidden="1" customWidth="1"/>
    <col min="37" max="37" width="16.6640625" customWidth="1"/>
    <col min="38" max="38" width="0" hidden="1" customWidth="1"/>
  </cols>
  <sheetData>
    <row r="1" spans="1:38" ht="33.6" x14ac:dyDescent="0.3">
      <c r="A1" s="153" t="s">
        <v>0</v>
      </c>
      <c r="B1" s="153" t="s">
        <v>0</v>
      </c>
      <c r="C1" s="153" t="s">
        <v>0</v>
      </c>
      <c r="D1" s="153" t="s">
        <v>0</v>
      </c>
      <c r="E1" s="153" t="s">
        <v>0</v>
      </c>
      <c r="F1" s="153" t="s">
        <v>0</v>
      </c>
      <c r="G1" s="153" t="s">
        <v>0</v>
      </c>
      <c r="H1" s="153" t="s">
        <v>0</v>
      </c>
      <c r="I1" s="153" t="s">
        <v>0</v>
      </c>
      <c r="J1" s="153" t="s">
        <v>0</v>
      </c>
      <c r="K1" s="153" t="s">
        <v>0</v>
      </c>
      <c r="L1" s="153" t="s">
        <v>0</v>
      </c>
      <c r="M1" s="153" t="s">
        <v>0</v>
      </c>
      <c r="N1" s="153" t="s">
        <v>0</v>
      </c>
      <c r="O1" s="153" t="s">
        <v>0</v>
      </c>
      <c r="P1" s="153" t="s">
        <v>0</v>
      </c>
      <c r="Q1" s="153" t="s">
        <v>0</v>
      </c>
      <c r="R1" s="153" t="s">
        <v>0</v>
      </c>
      <c r="S1" s="153" t="s">
        <v>0</v>
      </c>
      <c r="T1" s="153" t="s">
        <v>0</v>
      </c>
      <c r="U1" s="153" t="s">
        <v>0</v>
      </c>
      <c r="V1" s="153" t="s">
        <v>0</v>
      </c>
      <c r="W1" s="153" t="s">
        <v>0</v>
      </c>
      <c r="X1" s="153" t="s">
        <v>0</v>
      </c>
      <c r="Y1" s="153" t="s">
        <v>0</v>
      </c>
      <c r="Z1" s="153" t="s">
        <v>0</v>
      </c>
      <c r="AA1" s="153" t="s">
        <v>0</v>
      </c>
      <c r="AB1" s="153" t="s">
        <v>0</v>
      </c>
      <c r="AC1" s="153" t="s">
        <v>0</v>
      </c>
      <c r="AD1" s="153" t="s">
        <v>0</v>
      </c>
      <c r="AE1" s="153" t="s">
        <v>0</v>
      </c>
      <c r="AF1" s="153" t="s">
        <v>0</v>
      </c>
      <c r="AG1" s="153" t="s">
        <v>0</v>
      </c>
      <c r="AH1" s="153" t="s">
        <v>0</v>
      </c>
      <c r="AI1" s="153" t="s">
        <v>0</v>
      </c>
      <c r="AJ1" s="153" t="s">
        <v>0</v>
      </c>
      <c r="AK1" s="153" t="s">
        <v>0</v>
      </c>
      <c r="AL1" s="153" t="s">
        <v>0</v>
      </c>
    </row>
    <row r="2" spans="1:38" ht="23.4" x14ac:dyDescent="0.3">
      <c r="A2" s="154" t="s">
        <v>1</v>
      </c>
      <c r="B2" s="154" t="s">
        <v>1</v>
      </c>
      <c r="C2" s="154" t="s">
        <v>1</v>
      </c>
      <c r="D2" s="154" t="s">
        <v>1</v>
      </c>
      <c r="E2" s="154" t="s">
        <v>1</v>
      </c>
      <c r="F2" s="154" t="s">
        <v>1</v>
      </c>
      <c r="G2" s="154" t="s">
        <v>1</v>
      </c>
      <c r="H2" s="154" t="s">
        <v>1</v>
      </c>
      <c r="I2" s="154" t="s">
        <v>1</v>
      </c>
      <c r="J2" s="154" t="s">
        <v>1</v>
      </c>
      <c r="K2" s="154" t="s">
        <v>1</v>
      </c>
      <c r="L2" s="154" t="s">
        <v>1</v>
      </c>
      <c r="M2" s="154" t="s">
        <v>1</v>
      </c>
      <c r="N2" s="154" t="s">
        <v>1</v>
      </c>
      <c r="O2" s="154" t="s">
        <v>1</v>
      </c>
      <c r="P2" s="154" t="s">
        <v>1</v>
      </c>
      <c r="Q2" s="154" t="s">
        <v>1</v>
      </c>
      <c r="R2" s="154" t="s">
        <v>1</v>
      </c>
      <c r="S2" s="154" t="s">
        <v>1</v>
      </c>
      <c r="T2" s="154" t="s">
        <v>1</v>
      </c>
      <c r="U2" s="154" t="s">
        <v>1</v>
      </c>
      <c r="V2" s="154" t="s">
        <v>1</v>
      </c>
      <c r="W2" s="154" t="s">
        <v>1</v>
      </c>
      <c r="X2" s="154" t="s">
        <v>1</v>
      </c>
      <c r="Y2" s="154" t="s">
        <v>1</v>
      </c>
      <c r="Z2" s="154" t="s">
        <v>1</v>
      </c>
      <c r="AA2" s="154" t="s">
        <v>1</v>
      </c>
      <c r="AB2" s="154" t="s">
        <v>1</v>
      </c>
      <c r="AC2" s="154" t="s">
        <v>1</v>
      </c>
      <c r="AD2" s="154" t="s">
        <v>1</v>
      </c>
      <c r="AE2" s="154" t="s">
        <v>1</v>
      </c>
      <c r="AF2" s="154" t="s">
        <v>1</v>
      </c>
      <c r="AG2" s="154" t="s">
        <v>1</v>
      </c>
      <c r="AH2" s="154" t="s">
        <v>1</v>
      </c>
      <c r="AI2" s="154" t="s">
        <v>1</v>
      </c>
      <c r="AJ2" s="154" t="s">
        <v>1</v>
      </c>
      <c r="AK2" s="154" t="s">
        <v>1</v>
      </c>
      <c r="AL2" s="154" t="s">
        <v>1</v>
      </c>
    </row>
    <row r="3" spans="1:38" ht="15.6" x14ac:dyDescent="0.3">
      <c r="A3" s="155" t="s">
        <v>154</v>
      </c>
      <c r="B3" s="155" t="s">
        <v>154</v>
      </c>
      <c r="C3" s="155" t="s">
        <v>154</v>
      </c>
      <c r="D3" s="155" t="s">
        <v>154</v>
      </c>
      <c r="E3" s="155" t="s">
        <v>154</v>
      </c>
      <c r="F3" s="155" t="s">
        <v>154</v>
      </c>
      <c r="G3" s="155" t="s">
        <v>154</v>
      </c>
      <c r="H3" s="155" t="s">
        <v>154</v>
      </c>
      <c r="I3" s="155" t="s">
        <v>154</v>
      </c>
      <c r="J3" s="155" t="s">
        <v>154</v>
      </c>
      <c r="K3" s="155" t="s">
        <v>154</v>
      </c>
      <c r="L3" s="155" t="s">
        <v>154</v>
      </c>
      <c r="M3" s="155" t="s">
        <v>154</v>
      </c>
      <c r="N3" s="155" t="s">
        <v>154</v>
      </c>
      <c r="O3" s="155" t="s">
        <v>154</v>
      </c>
      <c r="P3" s="155" t="s">
        <v>154</v>
      </c>
      <c r="Q3" s="155" t="s">
        <v>154</v>
      </c>
      <c r="R3" s="155" t="s">
        <v>154</v>
      </c>
      <c r="S3" s="155" t="s">
        <v>154</v>
      </c>
      <c r="T3" s="155" t="s">
        <v>154</v>
      </c>
      <c r="U3" s="155" t="s">
        <v>154</v>
      </c>
      <c r="V3" s="155" t="s">
        <v>154</v>
      </c>
      <c r="W3" s="155" t="s">
        <v>154</v>
      </c>
      <c r="X3" s="155" t="s">
        <v>154</v>
      </c>
      <c r="Y3" s="155" t="s">
        <v>154</v>
      </c>
      <c r="Z3" s="155" t="s">
        <v>154</v>
      </c>
      <c r="AA3" s="155" t="s">
        <v>154</v>
      </c>
      <c r="AB3" s="155" t="s">
        <v>154</v>
      </c>
      <c r="AC3" s="155" t="s">
        <v>154</v>
      </c>
      <c r="AD3" s="155" t="s">
        <v>154</v>
      </c>
      <c r="AE3" s="155" t="s">
        <v>154</v>
      </c>
      <c r="AF3" s="155" t="s">
        <v>154</v>
      </c>
      <c r="AG3" s="155" t="s">
        <v>154</v>
      </c>
      <c r="AH3" s="155" t="s">
        <v>154</v>
      </c>
      <c r="AI3" s="155" t="s">
        <v>154</v>
      </c>
      <c r="AJ3" s="155" t="s">
        <v>154</v>
      </c>
      <c r="AK3" s="155" t="s">
        <v>154</v>
      </c>
      <c r="AL3" s="155" t="s">
        <v>154</v>
      </c>
    </row>
    <row r="5" spans="1:38" ht="13.5" customHeight="1" x14ac:dyDescent="0.3">
      <c r="A5" s="156" t="s">
        <v>3</v>
      </c>
      <c r="B5" s="151" t="s">
        <v>4</v>
      </c>
      <c r="C5" s="152" t="s">
        <v>3</v>
      </c>
      <c r="D5" s="151" t="s">
        <v>5</v>
      </c>
      <c r="E5" s="152" t="s">
        <v>3</v>
      </c>
      <c r="F5" s="151" t="s">
        <v>6</v>
      </c>
      <c r="G5" s="152" t="s">
        <v>3</v>
      </c>
      <c r="H5" s="151" t="s">
        <v>7</v>
      </c>
      <c r="I5" s="152" t="s">
        <v>3</v>
      </c>
      <c r="J5" s="151" t="s">
        <v>8</v>
      </c>
      <c r="K5" s="152" t="s">
        <v>3</v>
      </c>
      <c r="L5" s="151" t="s">
        <v>9</v>
      </c>
      <c r="M5" s="152" t="s">
        <v>3</v>
      </c>
      <c r="N5" s="151" t="s">
        <v>10</v>
      </c>
      <c r="O5" s="152" t="s">
        <v>3</v>
      </c>
      <c r="P5" s="151" t="s">
        <v>11</v>
      </c>
      <c r="Q5" s="152" t="s">
        <v>3</v>
      </c>
      <c r="R5" s="151" t="s">
        <v>12</v>
      </c>
      <c r="S5" s="152" t="s">
        <v>3</v>
      </c>
      <c r="T5" s="151" t="s">
        <v>13</v>
      </c>
      <c r="U5" s="152" t="s">
        <v>3</v>
      </c>
      <c r="V5" s="151" t="s">
        <v>14</v>
      </c>
      <c r="W5" s="152" t="s">
        <v>3</v>
      </c>
      <c r="X5" s="151" t="s">
        <v>15</v>
      </c>
      <c r="Y5" s="152" t="s">
        <v>3</v>
      </c>
      <c r="Z5" s="151" t="s">
        <v>16</v>
      </c>
      <c r="AA5" s="152" t="s">
        <v>3</v>
      </c>
      <c r="AB5" s="151" t="s">
        <v>17</v>
      </c>
      <c r="AC5" s="152" t="s">
        <v>3</v>
      </c>
      <c r="AD5" s="149" t="s">
        <v>18</v>
      </c>
      <c r="AE5" s="150" t="s">
        <v>3</v>
      </c>
      <c r="AF5" s="149" t="s">
        <v>19</v>
      </c>
      <c r="AG5" s="151" t="s">
        <v>20</v>
      </c>
      <c r="AH5" s="152" t="s">
        <v>3</v>
      </c>
      <c r="AI5" s="149" t="s">
        <v>21</v>
      </c>
      <c r="AJ5" s="150" t="s">
        <v>3</v>
      </c>
      <c r="AK5" s="149" t="s">
        <v>22</v>
      </c>
      <c r="AL5" s="150" t="s">
        <v>3</v>
      </c>
    </row>
    <row r="6" spans="1:38" ht="16.5" customHeight="1" x14ac:dyDescent="0.3">
      <c r="A6" s="1" t="s">
        <v>23</v>
      </c>
      <c r="B6" s="2"/>
      <c r="C6" s="3"/>
      <c r="D6" s="2"/>
      <c r="E6" s="3"/>
      <c r="F6" s="2"/>
      <c r="G6" s="3"/>
      <c r="H6" s="2"/>
      <c r="I6" s="3"/>
      <c r="J6" s="2"/>
      <c r="K6" s="3"/>
      <c r="L6" s="2"/>
      <c r="M6" s="3"/>
      <c r="N6" s="2"/>
      <c r="O6" s="3"/>
      <c r="P6" s="2"/>
      <c r="Q6" s="3"/>
      <c r="R6" s="2"/>
      <c r="S6" s="3"/>
      <c r="T6" s="2"/>
      <c r="U6" s="3"/>
      <c r="V6" s="2"/>
      <c r="W6" s="3"/>
      <c r="X6" s="2"/>
      <c r="Y6" s="3"/>
      <c r="Z6" s="2"/>
      <c r="AA6" s="3"/>
      <c r="AB6" s="2"/>
      <c r="AC6" s="3"/>
      <c r="AD6" s="4"/>
      <c r="AE6" s="5"/>
      <c r="AF6" s="4"/>
      <c r="AG6" s="2"/>
      <c r="AH6" s="3"/>
      <c r="AI6" s="4"/>
      <c r="AJ6" s="5"/>
      <c r="AK6" s="4"/>
      <c r="AL6" s="5"/>
    </row>
    <row r="7" spans="1:38" ht="16.5" customHeight="1" x14ac:dyDescent="0.3">
      <c r="A7" s="6" t="s">
        <v>23</v>
      </c>
      <c r="B7" s="7">
        <v>28785.519999999993</v>
      </c>
      <c r="C7" s="8">
        <f>IFERROR(B7/B148, "NA")</f>
        <v>0.99999999999999978</v>
      </c>
      <c r="D7" s="7">
        <v>33728.229999999989</v>
      </c>
      <c r="E7" s="8">
        <f>IFERROR(D7/D148, "NA")</f>
        <v>0.99999999999999956</v>
      </c>
      <c r="F7" s="7">
        <v>29344.21</v>
      </c>
      <c r="G7" s="8">
        <f>IFERROR(F7/F148, "NA")</f>
        <v>1</v>
      </c>
      <c r="H7" s="7">
        <v>29796.2</v>
      </c>
      <c r="I7" s="8">
        <f>IFERROR(H7/H148, "NA")</f>
        <v>1</v>
      </c>
      <c r="J7" s="7">
        <v>30945.32</v>
      </c>
      <c r="K7" s="8">
        <f>IFERROR(J7/J148, "NA")</f>
        <v>1</v>
      </c>
      <c r="L7" s="7">
        <v>23215.039999999997</v>
      </c>
      <c r="M7" s="8">
        <f>IFERROR(L7/L148, "NA")</f>
        <v>0.99999999999999989</v>
      </c>
      <c r="N7" s="7">
        <v>25239.139999999996</v>
      </c>
      <c r="O7" s="8">
        <f>IFERROR(N7/N148, "NA")</f>
        <v>0.99999999999999989</v>
      </c>
      <c r="P7" s="7">
        <v>33248.910000000003</v>
      </c>
      <c r="Q7" s="8">
        <f>IFERROR(P7/P148, "NA")</f>
        <v>1</v>
      </c>
      <c r="R7" s="7">
        <v>33375.4</v>
      </c>
      <c r="S7" s="8">
        <f>IFERROR(R7/R148, "NA")</f>
        <v>1</v>
      </c>
      <c r="T7" s="7">
        <v>27216.920000000002</v>
      </c>
      <c r="U7" s="8">
        <f>IFERROR(T7/T148, "NA")</f>
        <v>1.0000000000000002</v>
      </c>
      <c r="V7" s="7">
        <v>41004.600000000006</v>
      </c>
      <c r="W7" s="8">
        <f>IFERROR(V7/V148, "NA")</f>
        <v>1.0000000000000002</v>
      </c>
      <c r="X7" s="7">
        <v>32059.54</v>
      </c>
      <c r="Y7" s="8">
        <f>IFERROR(X7/X148, "NA")</f>
        <v>1</v>
      </c>
      <c r="Z7" s="7">
        <v>100281.06</v>
      </c>
      <c r="AA7" s="8">
        <f>IFERROR(Z7/Z148, "NA")</f>
        <v>1</v>
      </c>
      <c r="AB7" s="9">
        <f>IFERROR((R7+T7+V7+X7)/4, "NA")</f>
        <v>33414.115000000005</v>
      </c>
      <c r="AC7" s="8">
        <f>IFERROR(AB7/AB148, "NA")</f>
        <v>1.0000000000000002</v>
      </c>
      <c r="AD7" s="10">
        <f>IFERROR(X7-AB7, "NA")</f>
        <v>-1354.5750000000044</v>
      </c>
      <c r="AE7" s="11">
        <f>IFERROR(AD7/AD148, "NA")</f>
        <v>1.0000000000000053</v>
      </c>
      <c r="AF7" s="10">
        <f>IFERROR((X7-AB7)/AB7, "NA")</f>
        <v>-4.0539005746523714E-2</v>
      </c>
      <c r="AG7" s="9">
        <f>IFERROR((J7+L7+N7+P7+R7+T7+V7+X7)/8, "NA")</f>
        <v>30788.108750000003</v>
      </c>
      <c r="AH7" s="8">
        <f>IFERROR(AG7/AG148, "NA")</f>
        <v>1.0000000000000002</v>
      </c>
      <c r="AI7" s="10">
        <f>IFERROR(X7-AG7, "NA")</f>
        <v>1271.4312499999978</v>
      </c>
      <c r="AJ7" s="11">
        <f>IFERROR(AI7/AI148, "NA")</f>
        <v>0.99999999999999711</v>
      </c>
      <c r="AK7" s="10">
        <f>IFERROR((X7-AG7)/AG7, "NA")</f>
        <v>4.1296178999627502E-2</v>
      </c>
      <c r="AL7" s="11">
        <f>IFERROR(AK7/AK148, "NA")</f>
        <v>0.999999999999997</v>
      </c>
    </row>
    <row r="8" spans="1:38" ht="30.75" hidden="1" customHeight="1" x14ac:dyDescent="0.3">
      <c r="A8" s="6" t="s">
        <v>24</v>
      </c>
      <c r="B8" s="7">
        <v>0</v>
      </c>
      <c r="C8" s="8">
        <f>IFERROR(B8/B148, "NA")</f>
        <v>0</v>
      </c>
      <c r="D8" s="7">
        <v>0</v>
      </c>
      <c r="E8" s="8">
        <f>IFERROR(D8/D148, "NA")</f>
        <v>0</v>
      </c>
      <c r="F8" s="7">
        <v>0</v>
      </c>
      <c r="G8" s="8">
        <f>IFERROR(F8/F148, "NA")</f>
        <v>0</v>
      </c>
      <c r="H8" s="7">
        <v>0</v>
      </c>
      <c r="I8" s="8">
        <f>IFERROR(H8/H148, "NA")</f>
        <v>0</v>
      </c>
      <c r="J8" s="7">
        <v>0</v>
      </c>
      <c r="K8" s="8">
        <f>IFERROR(J8/J148, "NA")</f>
        <v>0</v>
      </c>
      <c r="L8" s="7">
        <v>0</v>
      </c>
      <c r="M8" s="8">
        <f>IFERROR(L8/L148, "NA")</f>
        <v>0</v>
      </c>
      <c r="N8" s="7">
        <v>0</v>
      </c>
      <c r="O8" s="8">
        <f>IFERROR(N8/N148, "NA")</f>
        <v>0</v>
      </c>
      <c r="P8" s="7">
        <v>0</v>
      </c>
      <c r="Q8" s="8">
        <f>IFERROR(P8/P148, "NA")</f>
        <v>0</v>
      </c>
      <c r="R8" s="7">
        <v>0</v>
      </c>
      <c r="S8" s="8">
        <f>IFERROR(R8/R148, "NA")</f>
        <v>0</v>
      </c>
      <c r="T8" s="7">
        <v>0</v>
      </c>
      <c r="U8" s="8">
        <f>IFERROR(T8/T148, "NA")</f>
        <v>0</v>
      </c>
      <c r="V8" s="7">
        <v>0</v>
      </c>
      <c r="W8" s="8">
        <f>IFERROR(V8/V148, "NA")</f>
        <v>0</v>
      </c>
      <c r="X8" s="7">
        <v>0</v>
      </c>
      <c r="Y8" s="8">
        <f>IFERROR(X8/X148, "NA")</f>
        <v>0</v>
      </c>
      <c r="Z8" s="7">
        <v>0</v>
      </c>
      <c r="AA8" s="8">
        <f>IFERROR(Z8/Z148, "NA")</f>
        <v>0</v>
      </c>
      <c r="AB8" s="9">
        <f>IFERROR((R8+T8+V8+X8)/4, "NA")</f>
        <v>0</v>
      </c>
      <c r="AC8" s="8">
        <f>IFERROR(AB8/AB148, "NA")</f>
        <v>0</v>
      </c>
      <c r="AD8" s="10">
        <f>IFERROR(X8-AB8, "NA")</f>
        <v>0</v>
      </c>
      <c r="AE8" s="11">
        <f>IFERROR(AD8/AD148, "NA")</f>
        <v>0</v>
      </c>
      <c r="AF8" s="10" t="str">
        <f>IFERROR((X8-AB8)/AB8, "NA")</f>
        <v>NA</v>
      </c>
      <c r="AG8" s="9">
        <f>IFERROR((J8+L8+N8+P8+R8+T8+V8+X8)/8, "NA")</f>
        <v>0</v>
      </c>
      <c r="AH8" s="8">
        <f>IFERROR(AG8/AG148, "NA")</f>
        <v>0</v>
      </c>
      <c r="AI8" s="10">
        <f>IFERROR(X8-AG8, "NA")</f>
        <v>0</v>
      </c>
      <c r="AJ8" s="11">
        <f>IFERROR(AI8/AI148, "NA")</f>
        <v>0</v>
      </c>
      <c r="AK8" s="10" t="str">
        <f>IFERROR((X8-AG8)/AG8, "NA")</f>
        <v>NA</v>
      </c>
      <c r="AL8" s="11" t="str">
        <f>IFERROR(AK8/AK148, "NA")</f>
        <v>NA</v>
      </c>
    </row>
    <row r="9" spans="1:38" ht="16.5" customHeight="1" x14ac:dyDescent="0.3">
      <c r="A9" s="12" t="s">
        <v>25</v>
      </c>
      <c r="B9" s="13">
        <f>IFERROR(B7+B8, "NA")</f>
        <v>28785.519999999993</v>
      </c>
      <c r="C9" s="14">
        <f>IFERROR(B9/B148, "NA")</f>
        <v>0.99999999999999978</v>
      </c>
      <c r="D9" s="13">
        <f>IFERROR(D7+D8, "NA")</f>
        <v>33728.229999999989</v>
      </c>
      <c r="E9" s="14">
        <f>IFERROR(D9/D148, "NA")</f>
        <v>0.99999999999999956</v>
      </c>
      <c r="F9" s="13">
        <f>IFERROR(F7+F8, "NA")</f>
        <v>29344.21</v>
      </c>
      <c r="G9" s="14">
        <f>IFERROR(F9/F148, "NA")</f>
        <v>1</v>
      </c>
      <c r="H9" s="13">
        <f>IFERROR(H7+H8, "NA")</f>
        <v>29796.2</v>
      </c>
      <c r="I9" s="14">
        <f>IFERROR(H9/H148, "NA")</f>
        <v>1</v>
      </c>
      <c r="J9" s="13">
        <f>IFERROR(J7+J8, "NA")</f>
        <v>30945.32</v>
      </c>
      <c r="K9" s="14">
        <f>IFERROR(J9/J148, "NA")</f>
        <v>1</v>
      </c>
      <c r="L9" s="13">
        <f>IFERROR(L7+L8, "NA")</f>
        <v>23215.039999999997</v>
      </c>
      <c r="M9" s="14">
        <f>IFERROR(L9/L148, "NA")</f>
        <v>0.99999999999999989</v>
      </c>
      <c r="N9" s="13">
        <f>IFERROR(N7+N8, "NA")</f>
        <v>25239.139999999996</v>
      </c>
      <c r="O9" s="14">
        <f>IFERROR(N9/N148, "NA")</f>
        <v>0.99999999999999989</v>
      </c>
      <c r="P9" s="13">
        <f>IFERROR(P7+P8, "NA")</f>
        <v>33248.910000000003</v>
      </c>
      <c r="Q9" s="14">
        <f>IFERROR(P9/P148, "NA")</f>
        <v>1</v>
      </c>
      <c r="R9" s="13">
        <f>IFERROR(R7+R8, "NA")</f>
        <v>33375.4</v>
      </c>
      <c r="S9" s="14">
        <f>IFERROR(R9/R148, "NA")</f>
        <v>1</v>
      </c>
      <c r="T9" s="13">
        <f>IFERROR(T7+T8, "NA")</f>
        <v>27216.920000000002</v>
      </c>
      <c r="U9" s="14">
        <f>IFERROR(T9/T148, "NA")</f>
        <v>1.0000000000000002</v>
      </c>
      <c r="V9" s="13">
        <f>IFERROR(V7+V8, "NA")</f>
        <v>41004.600000000006</v>
      </c>
      <c r="W9" s="14">
        <f>IFERROR(V9/V148, "NA")</f>
        <v>1.0000000000000002</v>
      </c>
      <c r="X9" s="13">
        <f>IFERROR(X7+X8, "NA")</f>
        <v>32059.54</v>
      </c>
      <c r="Y9" s="14">
        <f>IFERROR(X9/X148, "NA")</f>
        <v>1</v>
      </c>
      <c r="Z9" s="13">
        <f>IFERROR(Z7+Z8, "NA")</f>
        <v>100281.06</v>
      </c>
      <c r="AA9" s="14">
        <f>IFERROR(Z9/Z148, "NA")</f>
        <v>1</v>
      </c>
      <c r="AB9" s="13">
        <f>IFERROR((R9+T9+V9+X9)/4, "NA")</f>
        <v>33414.115000000005</v>
      </c>
      <c r="AC9" s="14">
        <f>IFERROR(AB9/AB148, "NA")</f>
        <v>1.0000000000000002</v>
      </c>
      <c r="AD9" s="15">
        <f>IFERROR(X9-AB9, "NA")</f>
        <v>-1354.5750000000044</v>
      </c>
      <c r="AE9" s="16">
        <f>IFERROR(AD9/AD148, "NA")</f>
        <v>1.0000000000000053</v>
      </c>
      <c r="AF9" s="15">
        <f>IFERROR((X9-AB9)/AB9, "NA")</f>
        <v>-4.0539005746523714E-2</v>
      </c>
      <c r="AG9" s="13">
        <f>IFERROR((J9+L9+N9+P9+R9+T9+V9+X9)/8, "NA")</f>
        <v>30788.108750000003</v>
      </c>
      <c r="AH9" s="14">
        <f>IFERROR(AG9/AG148, "NA")</f>
        <v>1.0000000000000002</v>
      </c>
      <c r="AI9" s="15">
        <f>IFERROR(X9-AG9, "NA")</f>
        <v>1271.4312499999978</v>
      </c>
      <c r="AJ9" s="16">
        <f>IFERROR(AI9/AI148, "NA")</f>
        <v>0.99999999999999711</v>
      </c>
      <c r="AK9" s="15">
        <f>IFERROR((X9-AG9)/AG9, "NA")</f>
        <v>4.1296178999627502E-2</v>
      </c>
      <c r="AL9" s="16">
        <f>IFERROR(AK9/AK148, "NA")</f>
        <v>0.999999999999997</v>
      </c>
    </row>
    <row r="10" spans="1:38" ht="3.75" customHeight="1" x14ac:dyDescent="0.3">
      <c r="A10" s="17" t="s">
        <v>3</v>
      </c>
      <c r="B10" s="18"/>
      <c r="C10" s="19"/>
      <c r="D10" s="18"/>
      <c r="E10" s="19"/>
      <c r="F10" s="18"/>
      <c r="G10" s="19"/>
      <c r="H10" s="18"/>
      <c r="I10" s="19"/>
      <c r="J10" s="18"/>
      <c r="K10" s="19"/>
      <c r="L10" s="18"/>
      <c r="M10" s="19"/>
      <c r="N10" s="18"/>
      <c r="O10" s="19"/>
      <c r="P10" s="18"/>
      <c r="Q10" s="19"/>
      <c r="R10" s="18"/>
      <c r="S10" s="19"/>
      <c r="T10" s="18"/>
      <c r="U10" s="19"/>
      <c r="V10" s="18"/>
      <c r="W10" s="19"/>
      <c r="X10" s="18"/>
      <c r="Y10" s="19"/>
      <c r="Z10" s="18"/>
      <c r="AA10" s="19"/>
      <c r="AB10" s="18"/>
      <c r="AC10" s="19"/>
      <c r="AD10" s="20"/>
      <c r="AE10" s="21"/>
      <c r="AF10" s="20"/>
      <c r="AG10" s="18"/>
      <c r="AH10" s="19"/>
      <c r="AI10" s="20"/>
      <c r="AJ10" s="21"/>
      <c r="AK10" s="20"/>
      <c r="AL10" s="21"/>
    </row>
    <row r="11" spans="1:38" ht="16.5" customHeight="1" x14ac:dyDescent="0.3">
      <c r="A11" s="1" t="s">
        <v>26</v>
      </c>
      <c r="B11" s="2"/>
      <c r="C11" s="3"/>
      <c r="D11" s="2"/>
      <c r="E11" s="3"/>
      <c r="F11" s="2"/>
      <c r="G11" s="3"/>
      <c r="H11" s="2"/>
      <c r="I11" s="3"/>
      <c r="J11" s="2"/>
      <c r="K11" s="3"/>
      <c r="L11" s="2"/>
      <c r="M11" s="3"/>
      <c r="N11" s="2"/>
      <c r="O11" s="3"/>
      <c r="P11" s="2"/>
      <c r="Q11" s="3"/>
      <c r="R11" s="2"/>
      <c r="S11" s="3"/>
      <c r="T11" s="2"/>
      <c r="U11" s="3"/>
      <c r="V11" s="2"/>
      <c r="W11" s="3"/>
      <c r="X11" s="2"/>
      <c r="Y11" s="3"/>
      <c r="Z11" s="2"/>
      <c r="AA11" s="3"/>
      <c r="AB11" s="2"/>
      <c r="AC11" s="3"/>
      <c r="AD11" s="4"/>
      <c r="AE11" s="5"/>
      <c r="AF11" s="4"/>
      <c r="AG11" s="2"/>
      <c r="AH11" s="3"/>
      <c r="AI11" s="4"/>
      <c r="AJ11" s="5"/>
      <c r="AK11" s="4"/>
      <c r="AL11" s="5"/>
    </row>
    <row r="12" spans="1:38" ht="16.5" customHeight="1" x14ac:dyDescent="0.3">
      <c r="A12" s="22" t="s">
        <v>27</v>
      </c>
      <c r="B12" s="2"/>
      <c r="C12" s="3"/>
      <c r="D12" s="2"/>
      <c r="E12" s="3"/>
      <c r="F12" s="2"/>
      <c r="G12" s="3"/>
      <c r="H12" s="2"/>
      <c r="I12" s="3"/>
      <c r="J12" s="2"/>
      <c r="K12" s="3"/>
      <c r="L12" s="2"/>
      <c r="M12" s="3"/>
      <c r="N12" s="2"/>
      <c r="O12" s="3"/>
      <c r="P12" s="2"/>
      <c r="Q12" s="3"/>
      <c r="R12" s="2"/>
      <c r="S12" s="3"/>
      <c r="T12" s="2"/>
      <c r="U12" s="3"/>
      <c r="V12" s="2"/>
      <c r="W12" s="3"/>
      <c r="X12" s="2"/>
      <c r="Y12" s="3"/>
      <c r="Z12" s="2"/>
      <c r="AA12" s="3"/>
      <c r="AB12" s="2"/>
      <c r="AC12" s="3"/>
      <c r="AD12" s="4"/>
      <c r="AE12" s="5"/>
      <c r="AF12" s="4"/>
      <c r="AG12" s="2"/>
      <c r="AH12" s="3"/>
      <c r="AI12" s="4"/>
      <c r="AJ12" s="5"/>
      <c r="AK12" s="4"/>
      <c r="AL12" s="5"/>
    </row>
    <row r="13" spans="1:38" ht="16.5" hidden="1" customHeight="1" x14ac:dyDescent="0.3">
      <c r="A13" s="23" t="s">
        <v>28</v>
      </c>
      <c r="B13" s="7">
        <v>0</v>
      </c>
      <c r="C13" s="8">
        <f>IFERROR(B13/B148, "NA")</f>
        <v>0</v>
      </c>
      <c r="D13" s="7">
        <v>0</v>
      </c>
      <c r="E13" s="8">
        <f>IFERROR(D13/D148, "NA")</f>
        <v>0</v>
      </c>
      <c r="F13" s="7">
        <v>0</v>
      </c>
      <c r="G13" s="8">
        <f>IFERROR(F13/F148, "NA")</f>
        <v>0</v>
      </c>
      <c r="H13" s="7">
        <v>0</v>
      </c>
      <c r="I13" s="8">
        <f>IFERROR(H13/H148, "NA")</f>
        <v>0</v>
      </c>
      <c r="J13" s="7">
        <v>0</v>
      </c>
      <c r="K13" s="8">
        <f>IFERROR(J13/J148, "NA")</f>
        <v>0</v>
      </c>
      <c r="L13" s="7">
        <v>0</v>
      </c>
      <c r="M13" s="8">
        <f>IFERROR(L13/L148, "NA")</f>
        <v>0</v>
      </c>
      <c r="N13" s="7">
        <v>0</v>
      </c>
      <c r="O13" s="8">
        <f>IFERROR(N13/N148, "NA")</f>
        <v>0</v>
      </c>
      <c r="P13" s="7">
        <v>0</v>
      </c>
      <c r="Q13" s="8">
        <f>IFERROR(P13/P148, "NA")</f>
        <v>0</v>
      </c>
      <c r="R13" s="7">
        <v>0</v>
      </c>
      <c r="S13" s="8">
        <f>IFERROR(R13/R148, "NA")</f>
        <v>0</v>
      </c>
      <c r="T13" s="7">
        <v>0</v>
      </c>
      <c r="U13" s="8">
        <f>IFERROR(T13/T148, "NA")</f>
        <v>0</v>
      </c>
      <c r="V13" s="7">
        <v>0</v>
      </c>
      <c r="W13" s="8">
        <f>IFERROR(V13/V148, "NA")</f>
        <v>0</v>
      </c>
      <c r="X13" s="7">
        <v>0</v>
      </c>
      <c r="Y13" s="8">
        <f>IFERROR(X13/X148, "NA")</f>
        <v>0</v>
      </c>
      <c r="Z13" s="7">
        <v>0</v>
      </c>
      <c r="AA13" s="8">
        <f>IFERROR(Z13/Z148, "NA")</f>
        <v>0</v>
      </c>
      <c r="AB13" s="9">
        <f>IFERROR((R13+T13+V13+X13)/4, "NA")</f>
        <v>0</v>
      </c>
      <c r="AC13" s="8">
        <f>IFERROR(AB13/AB148, "NA")</f>
        <v>0</v>
      </c>
      <c r="AD13" s="10">
        <f>IFERROR(X13-AB13, "NA")</f>
        <v>0</v>
      </c>
      <c r="AE13" s="11">
        <f>IFERROR(AD13/AD148, "NA")</f>
        <v>0</v>
      </c>
      <c r="AF13" s="10" t="str">
        <f>IFERROR((X13-AB13)/AB13, "NA")</f>
        <v>NA</v>
      </c>
      <c r="AG13" s="9">
        <f>IFERROR((J13+L13+N13+P13+R13+T13+V13+X13)/8, "NA")</f>
        <v>0</v>
      </c>
      <c r="AH13" s="8">
        <f>IFERROR(AG13/AG148, "NA")</f>
        <v>0</v>
      </c>
      <c r="AI13" s="10">
        <f>IFERROR(X13-AG13, "NA")</f>
        <v>0</v>
      </c>
      <c r="AJ13" s="11">
        <f>IFERROR(AI13/AI148, "NA")</f>
        <v>0</v>
      </c>
      <c r="AK13" s="10" t="str">
        <f>IFERROR((X13-AG13)/AG13, "NA")</f>
        <v>NA</v>
      </c>
      <c r="AL13" s="11" t="str">
        <f>IFERROR(AK13/AK148, "NA")</f>
        <v>NA</v>
      </c>
    </row>
    <row r="14" spans="1:38" ht="16.5" customHeight="1" x14ac:dyDescent="0.3">
      <c r="A14" s="24" t="s">
        <v>29</v>
      </c>
      <c r="B14" s="2"/>
      <c r="C14" s="3"/>
      <c r="D14" s="2"/>
      <c r="E14" s="3"/>
      <c r="F14" s="2"/>
      <c r="G14" s="3"/>
      <c r="H14" s="2"/>
      <c r="I14" s="3"/>
      <c r="J14" s="2"/>
      <c r="K14" s="3"/>
      <c r="L14" s="2"/>
      <c r="M14" s="3"/>
      <c r="N14" s="2"/>
      <c r="O14" s="3"/>
      <c r="P14" s="2"/>
      <c r="Q14" s="3"/>
      <c r="R14" s="2"/>
      <c r="S14" s="3"/>
      <c r="T14" s="2"/>
      <c r="U14" s="3"/>
      <c r="V14" s="2"/>
      <c r="W14" s="3"/>
      <c r="X14" s="2"/>
      <c r="Y14" s="3"/>
      <c r="Z14" s="2"/>
      <c r="AA14" s="3"/>
      <c r="AB14" s="2"/>
      <c r="AC14" s="3"/>
      <c r="AD14" s="4"/>
      <c r="AE14" s="5"/>
      <c r="AF14" s="4"/>
      <c r="AG14" s="2"/>
      <c r="AH14" s="3"/>
      <c r="AI14" s="4"/>
      <c r="AJ14" s="5"/>
      <c r="AK14" s="4"/>
      <c r="AL14" s="5"/>
    </row>
    <row r="15" spans="1:38" ht="16.5" hidden="1" customHeight="1" x14ac:dyDescent="0.3">
      <c r="A15" s="25" t="s">
        <v>30</v>
      </c>
      <c r="B15" s="7">
        <v>0</v>
      </c>
      <c r="C15" s="8">
        <f>IFERROR(B15/B148, "NA")</f>
        <v>0</v>
      </c>
      <c r="D15" s="7">
        <v>0</v>
      </c>
      <c r="E15" s="8">
        <f>IFERROR(D15/D148, "NA")</f>
        <v>0</v>
      </c>
      <c r="F15" s="7">
        <v>0</v>
      </c>
      <c r="G15" s="8">
        <f>IFERROR(F15/F148, "NA")</f>
        <v>0</v>
      </c>
      <c r="H15" s="7">
        <v>0</v>
      </c>
      <c r="I15" s="8">
        <f>IFERROR(H15/H148, "NA")</f>
        <v>0</v>
      </c>
      <c r="J15" s="7">
        <v>0</v>
      </c>
      <c r="K15" s="8">
        <f>IFERROR(J15/J148, "NA")</f>
        <v>0</v>
      </c>
      <c r="L15" s="7">
        <v>0</v>
      </c>
      <c r="M15" s="8">
        <f>IFERROR(L15/L148, "NA")</f>
        <v>0</v>
      </c>
      <c r="N15" s="7">
        <v>0</v>
      </c>
      <c r="O15" s="8">
        <f>IFERROR(N15/N148, "NA")</f>
        <v>0</v>
      </c>
      <c r="P15" s="7">
        <v>0</v>
      </c>
      <c r="Q15" s="8">
        <f>IFERROR(P15/P148, "NA")</f>
        <v>0</v>
      </c>
      <c r="R15" s="7">
        <v>0</v>
      </c>
      <c r="S15" s="8">
        <f>IFERROR(R15/R148, "NA")</f>
        <v>0</v>
      </c>
      <c r="T15" s="7">
        <v>0</v>
      </c>
      <c r="U15" s="8">
        <f>IFERROR(T15/T148, "NA")</f>
        <v>0</v>
      </c>
      <c r="V15" s="7">
        <v>0</v>
      </c>
      <c r="W15" s="8">
        <f>IFERROR(V15/V148, "NA")</f>
        <v>0</v>
      </c>
      <c r="X15" s="7">
        <v>0</v>
      </c>
      <c r="Y15" s="8">
        <f>IFERROR(X15/X148, "NA")</f>
        <v>0</v>
      </c>
      <c r="Z15" s="7">
        <v>0</v>
      </c>
      <c r="AA15" s="8">
        <f>IFERROR(Z15/Z148, "NA")</f>
        <v>0</v>
      </c>
      <c r="AB15" s="9">
        <f t="shared" ref="AB15:AB27" si="0">IFERROR((R15+T15+V15+X15)/4, "NA")</f>
        <v>0</v>
      </c>
      <c r="AC15" s="8">
        <f>IFERROR(AB15/AB148, "NA")</f>
        <v>0</v>
      </c>
      <c r="AD15" s="10">
        <f t="shared" ref="AD15:AD27" si="1">IFERROR(X15-AB15, "NA")</f>
        <v>0</v>
      </c>
      <c r="AE15" s="11">
        <f>IFERROR(AD15/AD148, "NA")</f>
        <v>0</v>
      </c>
      <c r="AF15" s="10" t="str">
        <f t="shared" ref="AF15:AF27" si="2">IFERROR((X15-AB15)/AB15, "NA")</f>
        <v>NA</v>
      </c>
      <c r="AG15" s="9">
        <f t="shared" ref="AG15:AG27" si="3">IFERROR((J15+L15+N15+P15+R15+T15+V15+X15)/8, "NA")</f>
        <v>0</v>
      </c>
      <c r="AH15" s="8">
        <f>IFERROR(AG15/AG148, "NA")</f>
        <v>0</v>
      </c>
      <c r="AI15" s="10">
        <f t="shared" ref="AI15:AI27" si="4">IFERROR(X15-AG15, "NA")</f>
        <v>0</v>
      </c>
      <c r="AJ15" s="11">
        <f>IFERROR(AI15/AI148, "NA")</f>
        <v>0</v>
      </c>
      <c r="AK15" s="10" t="str">
        <f t="shared" ref="AK15:AK27" si="5">IFERROR((X15-AG15)/AG15, "NA")</f>
        <v>NA</v>
      </c>
      <c r="AL15" s="11" t="str">
        <f>IFERROR(AK15/AK148, "NA")</f>
        <v>NA</v>
      </c>
    </row>
    <row r="16" spans="1:38" ht="16.5" customHeight="1" x14ac:dyDescent="0.3">
      <c r="A16" s="25" t="s">
        <v>31</v>
      </c>
      <c r="B16" s="7">
        <v>1760.73</v>
      </c>
      <c r="C16" s="8">
        <f>IFERROR(B16/B148, "NA")</f>
        <v>6.116721184817922E-2</v>
      </c>
      <c r="D16" s="7">
        <v>1781.41</v>
      </c>
      <c r="E16" s="8">
        <f>IFERROR(D16/D148, "NA")</f>
        <v>5.2816587173415266E-2</v>
      </c>
      <c r="F16" s="7">
        <v>1286.19</v>
      </c>
      <c r="G16" s="8">
        <f>IFERROR(F16/F148, "NA")</f>
        <v>4.3831133978389607E-2</v>
      </c>
      <c r="H16" s="7">
        <v>1645.38</v>
      </c>
      <c r="I16" s="8">
        <f>IFERROR(H16/H148, "NA")</f>
        <v>5.522113558104725E-2</v>
      </c>
      <c r="J16" s="7">
        <v>1690.67</v>
      </c>
      <c r="K16" s="8">
        <f>IFERROR(J16/J148, "NA")</f>
        <v>5.4634109454999982E-2</v>
      </c>
      <c r="L16" s="7">
        <v>1225.1199999999999</v>
      </c>
      <c r="M16" s="8">
        <f>IFERROR(L16/L148, "NA")</f>
        <v>5.2772685293671684E-2</v>
      </c>
      <c r="N16" s="7">
        <v>1149.03</v>
      </c>
      <c r="O16" s="8">
        <f>IFERROR(N16/N148, "NA")</f>
        <v>4.5525719180605995E-2</v>
      </c>
      <c r="P16" s="7">
        <v>1712.22</v>
      </c>
      <c r="Q16" s="8">
        <f>IFERROR(P16/P148, "NA")</f>
        <v>5.1497026519064834E-2</v>
      </c>
      <c r="R16" s="7">
        <v>1520.71</v>
      </c>
      <c r="S16" s="8">
        <f>IFERROR(R16/R148, "NA")</f>
        <v>4.5563798486310272E-2</v>
      </c>
      <c r="T16" s="7">
        <v>1446.51</v>
      </c>
      <c r="U16" s="8">
        <f>IFERROR(T16/T148, "NA")</f>
        <v>5.3147453863258594E-2</v>
      </c>
      <c r="V16" s="7">
        <v>1797.44</v>
      </c>
      <c r="W16" s="8">
        <f>IFERROR(V16/V148, "NA")</f>
        <v>4.3835081917638512E-2</v>
      </c>
      <c r="X16" s="7">
        <v>1525.35</v>
      </c>
      <c r="Y16" s="8">
        <f>IFERROR(X16/X148, "NA")</f>
        <v>4.7578661453033945E-2</v>
      </c>
      <c r="Z16" s="7">
        <v>4769.3</v>
      </c>
      <c r="AA16" s="8">
        <f>IFERROR(Z16/Z148, "NA")</f>
        <v>4.7559329747810804E-2</v>
      </c>
      <c r="AB16" s="9">
        <f t="shared" si="0"/>
        <v>1572.5025000000001</v>
      </c>
      <c r="AC16" s="8">
        <f>IFERROR(AB16/AB148, "NA")</f>
        <v>4.7061024959062961E-2</v>
      </c>
      <c r="AD16" s="10">
        <f t="shared" si="1"/>
        <v>-47.152500000000146</v>
      </c>
      <c r="AE16" s="11">
        <f>IFERROR(AD16/AD148, "NA")</f>
        <v>3.4809811195393572E-2</v>
      </c>
      <c r="AF16" s="10">
        <f t="shared" si="2"/>
        <v>-2.9985643901997067E-2</v>
      </c>
      <c r="AG16" s="9">
        <f t="shared" si="3"/>
        <v>1508.3812500000001</v>
      </c>
      <c r="AH16" s="8">
        <f>IFERROR(AG16/AG148, "NA")</f>
        <v>4.8992332145117556E-2</v>
      </c>
      <c r="AI16" s="10">
        <f t="shared" si="4"/>
        <v>16.968749999999773</v>
      </c>
      <c r="AJ16" s="11">
        <f>IFERROR(AI16/AI148, "NA")</f>
        <v>1.3346179748216629E-2</v>
      </c>
      <c r="AK16" s="10">
        <f t="shared" si="5"/>
        <v>1.1249642621850259E-2</v>
      </c>
      <c r="AL16" s="11">
        <f>IFERROR(AK16/AK148, "NA")</f>
        <v>0.27241364441857197</v>
      </c>
    </row>
    <row r="17" spans="1:38" ht="16.5" customHeight="1" x14ac:dyDescent="0.3">
      <c r="A17" s="25" t="s">
        <v>32</v>
      </c>
      <c r="B17" s="7">
        <v>985.78</v>
      </c>
      <c r="C17" s="8">
        <f>IFERROR(B17/B148, "NA")</f>
        <v>3.4245690194236546E-2</v>
      </c>
      <c r="D17" s="7">
        <v>841.31</v>
      </c>
      <c r="E17" s="8">
        <f>IFERROR(D17/D148, "NA")</f>
        <v>2.4943793374274305E-2</v>
      </c>
      <c r="F17" s="7">
        <v>962.89</v>
      </c>
      <c r="G17" s="8">
        <f>IFERROR(F17/F148, "NA")</f>
        <v>3.2813628310320843E-2</v>
      </c>
      <c r="H17" s="7">
        <v>803.88</v>
      </c>
      <c r="I17" s="8">
        <f>IFERROR(H17/H148, "NA")</f>
        <v>2.6979279236949677E-2</v>
      </c>
      <c r="J17" s="7">
        <v>877.62</v>
      </c>
      <c r="K17" s="8">
        <f>IFERROR(J17/J148, "NA")</f>
        <v>2.8360346572599671E-2</v>
      </c>
      <c r="L17" s="7">
        <v>825.32</v>
      </c>
      <c r="M17" s="8">
        <f>IFERROR(L17/L148, "NA")</f>
        <v>3.5551091016858036E-2</v>
      </c>
      <c r="N17" s="7">
        <v>828.91</v>
      </c>
      <c r="O17" s="8">
        <f>IFERROR(N17/N148, "NA")</f>
        <v>3.2842244228606834E-2</v>
      </c>
      <c r="P17" s="7">
        <v>778.71</v>
      </c>
      <c r="Q17" s="8">
        <f>IFERROR(P17/P148, "NA")</f>
        <v>2.342061739768311E-2</v>
      </c>
      <c r="R17" s="7">
        <v>865.19</v>
      </c>
      <c r="S17" s="8">
        <f>IFERROR(R17/R148, "NA")</f>
        <v>2.5922985192686831E-2</v>
      </c>
      <c r="T17" s="7">
        <v>800.97</v>
      </c>
      <c r="U17" s="8">
        <f>IFERROR(T17/T148, "NA")</f>
        <v>2.942911982693119E-2</v>
      </c>
      <c r="V17" s="7">
        <v>916.43</v>
      </c>
      <c r="W17" s="8">
        <f>IFERROR(V17/V148, "NA")</f>
        <v>2.2349443720948381E-2</v>
      </c>
      <c r="X17" s="7">
        <v>938.23</v>
      </c>
      <c r="Y17" s="8">
        <f>IFERROR(X17/X148, "NA")</f>
        <v>2.9265235870508437E-2</v>
      </c>
      <c r="Z17" s="7">
        <v>2655.63</v>
      </c>
      <c r="AA17" s="8">
        <f>IFERROR(Z17/Z148, "NA")</f>
        <v>2.648187005602055E-2</v>
      </c>
      <c r="AB17" s="9">
        <f t="shared" si="0"/>
        <v>880.20500000000004</v>
      </c>
      <c r="AC17" s="8">
        <f>IFERROR(AB17/AB148, "NA")</f>
        <v>2.6342310727068489E-2</v>
      </c>
      <c r="AD17" s="10">
        <f t="shared" si="1"/>
        <v>58.024999999999977</v>
      </c>
      <c r="AE17" s="11">
        <f>IFERROR(AD17/AD148, "NA")</f>
        <v>-4.2836313973017445E-2</v>
      </c>
      <c r="AF17" s="10">
        <f t="shared" si="2"/>
        <v>6.5922143137110076E-2</v>
      </c>
      <c r="AG17" s="9">
        <f t="shared" si="3"/>
        <v>853.92250000000013</v>
      </c>
      <c r="AH17" s="8">
        <f>IFERROR(AG17/AG148, "NA")</f>
        <v>2.7735464589068014E-2</v>
      </c>
      <c r="AI17" s="10">
        <f t="shared" si="4"/>
        <v>84.307499999999891</v>
      </c>
      <c r="AJ17" s="11">
        <f>IFERROR(AI17/AI148, "NA")</f>
        <v>6.630912996672042E-2</v>
      </c>
      <c r="AK17" s="10">
        <f t="shared" si="5"/>
        <v>9.8729685656485072E-2</v>
      </c>
      <c r="AL17" s="11">
        <f>IFERROR(AK17/AK148, "NA")</f>
        <v>2.3907704792100821</v>
      </c>
    </row>
    <row r="18" spans="1:38" ht="16.5" customHeight="1" x14ac:dyDescent="0.3">
      <c r="A18" s="25" t="s">
        <v>33</v>
      </c>
      <c r="B18" s="7">
        <v>1089.8599999999999</v>
      </c>
      <c r="C18" s="8">
        <f>IFERROR(B18/B148, "NA")</f>
        <v>3.786139698014835E-2</v>
      </c>
      <c r="D18" s="7">
        <v>1790.14</v>
      </c>
      <c r="E18" s="8">
        <f>IFERROR(D18/D148, "NA")</f>
        <v>5.3075420797355805E-2</v>
      </c>
      <c r="F18" s="7">
        <v>1257.8</v>
      </c>
      <c r="G18" s="8">
        <f>IFERROR(F18/F148, "NA")</f>
        <v>4.2863651807290092E-2</v>
      </c>
      <c r="H18" s="7">
        <v>1343.16</v>
      </c>
      <c r="I18" s="8">
        <f>IFERROR(H18/H148, "NA")</f>
        <v>4.5078231452332848E-2</v>
      </c>
      <c r="J18" s="7">
        <v>1463.11</v>
      </c>
      <c r="K18" s="8">
        <f>IFERROR(J18/J148, "NA")</f>
        <v>4.7280493463955131E-2</v>
      </c>
      <c r="L18" s="7">
        <v>1120.0999999999999</v>
      </c>
      <c r="M18" s="8">
        <f>IFERROR(L18/L148, "NA")</f>
        <v>4.8248893820557699E-2</v>
      </c>
      <c r="N18" s="7">
        <v>1181.53</v>
      </c>
      <c r="O18" s="8">
        <f>IFERROR(N18/N148, "NA")</f>
        <v>4.6813401724464465E-2</v>
      </c>
      <c r="P18" s="7">
        <v>1474.91</v>
      </c>
      <c r="Q18" s="8">
        <f>IFERROR(P18/P148, "NA")</f>
        <v>4.4359649684756579E-2</v>
      </c>
      <c r="R18" s="7">
        <v>1469.81</v>
      </c>
      <c r="S18" s="8">
        <f>IFERROR(R18/R148, "NA")</f>
        <v>4.4038723131408157E-2</v>
      </c>
      <c r="T18" s="7">
        <v>939.71</v>
      </c>
      <c r="U18" s="8">
        <f>IFERROR(T18/T148, "NA")</f>
        <v>3.4526684136191754E-2</v>
      </c>
      <c r="V18" s="7">
        <v>1409.23</v>
      </c>
      <c r="W18" s="8">
        <f>IFERROR(V18/V148, "NA")</f>
        <v>3.4367607536715396E-2</v>
      </c>
      <c r="X18" s="7">
        <v>1012.97</v>
      </c>
      <c r="Y18" s="8">
        <f>IFERROR(X18/X148, "NA")</f>
        <v>3.1596523218985678E-2</v>
      </c>
      <c r="Z18" s="7">
        <v>3361.91</v>
      </c>
      <c r="AA18" s="8">
        <f>IFERROR(Z18/Z148, "NA")</f>
        <v>3.3524874986363327E-2</v>
      </c>
      <c r="AB18" s="9">
        <f t="shared" si="0"/>
        <v>1207.93</v>
      </c>
      <c r="AC18" s="8">
        <f>IFERROR(AB18/AB148, "NA")</f>
        <v>3.6150291575880435E-2</v>
      </c>
      <c r="AD18" s="10">
        <f t="shared" si="1"/>
        <v>-194.96000000000004</v>
      </c>
      <c r="AE18" s="11">
        <f>IFERROR(AD18/AD148, "NA")</f>
        <v>0.14392706199361457</v>
      </c>
      <c r="AF18" s="10">
        <f t="shared" si="2"/>
        <v>-0.16140008113052912</v>
      </c>
      <c r="AG18" s="9">
        <f t="shared" si="3"/>
        <v>1258.9212499999999</v>
      </c>
      <c r="AH18" s="8">
        <f>IFERROR(AG18/AG148, "NA")</f>
        <v>4.0889853294415163E-2</v>
      </c>
      <c r="AI18" s="10">
        <f t="shared" si="4"/>
        <v>-245.95124999999985</v>
      </c>
      <c r="AJ18" s="11">
        <f>IFERROR(AI18/AI148, "NA")</f>
        <v>-0.1934443958334354</v>
      </c>
      <c r="AK18" s="10">
        <f t="shared" si="5"/>
        <v>-0.19536666808984268</v>
      </c>
      <c r="AL18" s="11">
        <f>IFERROR(AK18/AK148, "NA")</f>
        <v>-4.7308654897975995</v>
      </c>
    </row>
    <row r="19" spans="1:38" ht="16.5" customHeight="1" x14ac:dyDescent="0.3">
      <c r="A19" s="25" t="s">
        <v>34</v>
      </c>
      <c r="B19" s="7">
        <v>863.92</v>
      </c>
      <c r="C19" s="8">
        <f>IFERROR(B19/B148, "NA")</f>
        <v>3.001231174562766E-2</v>
      </c>
      <c r="D19" s="7">
        <v>768.76</v>
      </c>
      <c r="E19" s="8">
        <f>IFERROR(D19/D148, "NA")</f>
        <v>2.2792776258937986E-2</v>
      </c>
      <c r="F19" s="7">
        <v>689.94</v>
      </c>
      <c r="G19" s="8">
        <f>IFERROR(F19/F148, "NA")</f>
        <v>2.3511963688918534E-2</v>
      </c>
      <c r="H19" s="7">
        <v>858.84</v>
      </c>
      <c r="I19" s="8">
        <f>IFERROR(H19/H148, "NA")</f>
        <v>2.88238097475517E-2</v>
      </c>
      <c r="J19" s="7">
        <v>645.15</v>
      </c>
      <c r="K19" s="8">
        <f>IFERROR(J19/J148, "NA")</f>
        <v>2.0848063616727829E-2</v>
      </c>
      <c r="L19" s="7">
        <v>676.24</v>
      </c>
      <c r="M19" s="8">
        <f>IFERROR(L19/L148, "NA")</f>
        <v>2.9129391980371344E-2</v>
      </c>
      <c r="N19" s="7">
        <v>586.21</v>
      </c>
      <c r="O19" s="8">
        <f>IFERROR(N19/N148, "NA")</f>
        <v>2.32262272010853E-2</v>
      </c>
      <c r="P19" s="7">
        <v>678.21</v>
      </c>
      <c r="Q19" s="8">
        <f>IFERROR(P19/P148, "NA")</f>
        <v>2.0397961918150097E-2</v>
      </c>
      <c r="R19" s="7">
        <v>756.68</v>
      </c>
      <c r="S19" s="8">
        <f>IFERROR(R19/R148, "NA")</f>
        <v>2.2671788203287448E-2</v>
      </c>
      <c r="T19" s="7">
        <v>541.12</v>
      </c>
      <c r="U19" s="8">
        <f>IFERROR(T19/T148, "NA")</f>
        <v>1.9881750029026063E-2</v>
      </c>
      <c r="V19" s="7">
        <v>759.24</v>
      </c>
      <c r="W19" s="8">
        <f>IFERROR(V19/V148, "NA")</f>
        <v>1.8515971378820915E-2</v>
      </c>
      <c r="X19" s="7">
        <v>724.77</v>
      </c>
      <c r="Y19" s="8">
        <f>IFERROR(X19/X148, "NA")</f>
        <v>2.2606999351830998E-2</v>
      </c>
      <c r="Z19" s="7">
        <v>2025.13</v>
      </c>
      <c r="AA19" s="8">
        <f>IFERROR(Z19/Z148, "NA")</f>
        <v>2.0194541222440212E-2</v>
      </c>
      <c r="AB19" s="9">
        <f t="shared" si="0"/>
        <v>695.45249999999999</v>
      </c>
      <c r="AC19" s="8">
        <f>IFERROR(AB19/AB148, "NA")</f>
        <v>2.0813135406997911E-2</v>
      </c>
      <c r="AD19" s="10">
        <f t="shared" si="1"/>
        <v>29.317499999999995</v>
      </c>
      <c r="AE19" s="11">
        <f>IFERROR(AD19/AD148, "NA")</f>
        <v>-2.1643319860472885E-2</v>
      </c>
      <c r="AF19" s="10">
        <f t="shared" si="2"/>
        <v>4.2156006341195117E-2</v>
      </c>
      <c r="AG19" s="9">
        <f t="shared" si="3"/>
        <v>670.95249999999987</v>
      </c>
      <c r="AH19" s="8">
        <f>IFERROR(AG19/AG148, "NA")</f>
        <v>2.1792585749522531E-2</v>
      </c>
      <c r="AI19" s="10">
        <f t="shared" si="4"/>
        <v>53.817500000000109</v>
      </c>
      <c r="AJ19" s="11">
        <f>IFERROR(AI19/AI148, "NA")</f>
        <v>4.2328281611766307E-2</v>
      </c>
      <c r="AK19" s="10">
        <f t="shared" si="5"/>
        <v>8.0210596130128611E-2</v>
      </c>
      <c r="AL19" s="11">
        <f>IFERROR(AK19/AK148, "NA")</f>
        <v>1.9423248850905039</v>
      </c>
    </row>
    <row r="20" spans="1:38" ht="16.5" customHeight="1" x14ac:dyDescent="0.3">
      <c r="A20" s="25" t="s">
        <v>35</v>
      </c>
      <c r="B20" s="7">
        <v>450.31</v>
      </c>
      <c r="C20" s="8">
        <f>IFERROR(B20/B148, "NA")</f>
        <v>1.5643629157993326E-2</v>
      </c>
      <c r="D20" s="7">
        <v>360.32</v>
      </c>
      <c r="E20" s="8">
        <f>IFERROR(D20/D148, "NA")</f>
        <v>1.0683039104038367E-2</v>
      </c>
      <c r="F20" s="7">
        <v>370.48</v>
      </c>
      <c r="G20" s="8">
        <f>IFERROR(F20/F148, "NA")</f>
        <v>1.2625318589254917E-2</v>
      </c>
      <c r="H20" s="7">
        <v>376.56</v>
      </c>
      <c r="I20" s="8">
        <f>IFERROR(H20/H148, "NA")</f>
        <v>1.2637853149059276E-2</v>
      </c>
      <c r="J20" s="7">
        <v>388.42</v>
      </c>
      <c r="K20" s="8">
        <f>IFERROR(J20/J148, "NA")</f>
        <v>1.25518172053157E-2</v>
      </c>
      <c r="L20" s="7">
        <v>345.67</v>
      </c>
      <c r="M20" s="8">
        <f>IFERROR(L20/L148, "NA")</f>
        <v>1.4889916192261569E-2</v>
      </c>
      <c r="N20" s="7">
        <v>302.91000000000003</v>
      </c>
      <c r="O20" s="8">
        <f>IFERROR(N20/N148, "NA")</f>
        <v>1.2001597518774413E-2</v>
      </c>
      <c r="P20" s="7">
        <v>387.64</v>
      </c>
      <c r="Q20" s="8">
        <f>IFERROR(P20/P148, "NA")</f>
        <v>1.1658728060558976E-2</v>
      </c>
      <c r="R20" s="7">
        <v>257.45</v>
      </c>
      <c r="S20" s="8">
        <f>IFERROR(R20/R148, "NA")</f>
        <v>7.7137652282819073E-3</v>
      </c>
      <c r="T20" s="7">
        <v>321.56</v>
      </c>
      <c r="U20" s="8">
        <f>IFERROR(T20/T148, "NA")</f>
        <v>1.1814709379312576E-2</v>
      </c>
      <c r="V20" s="7">
        <v>373.42</v>
      </c>
      <c r="W20" s="8">
        <f>IFERROR(V20/V148, "NA")</f>
        <v>9.1067831414036477E-3</v>
      </c>
      <c r="X20" s="7">
        <v>317.22000000000003</v>
      </c>
      <c r="Y20" s="8">
        <f>IFERROR(X20/X148, "NA")</f>
        <v>9.8947146465607431E-3</v>
      </c>
      <c r="Z20" s="7">
        <v>1012.2</v>
      </c>
      <c r="AA20" s="8">
        <f>IFERROR(Z20/Z148, "NA")</f>
        <v>1.0093630841157842E-2</v>
      </c>
      <c r="AB20" s="9">
        <f t="shared" si="0"/>
        <v>317.41250000000002</v>
      </c>
      <c r="AC20" s="8">
        <f>IFERROR(AB20/AB148, "NA")</f>
        <v>9.499353791055069E-3</v>
      </c>
      <c r="AD20" s="10">
        <f t="shared" si="1"/>
        <v>-0.19249999999999545</v>
      </c>
      <c r="AE20" s="11">
        <f>IFERROR(AD20/AD148, "NA")</f>
        <v>1.4211099422327731E-4</v>
      </c>
      <c r="AF20" s="10">
        <f t="shared" si="2"/>
        <v>-6.0646634899380277E-4</v>
      </c>
      <c r="AG20" s="9">
        <f t="shared" si="3"/>
        <v>336.78625</v>
      </c>
      <c r="AH20" s="8">
        <f>IFERROR(AG20/AG148, "NA")</f>
        <v>1.0938841769551694E-2</v>
      </c>
      <c r="AI20" s="10">
        <f t="shared" si="4"/>
        <v>-19.566249999999968</v>
      </c>
      <c r="AJ20" s="11">
        <f>IFERROR(AI20/AI148, "NA")</f>
        <v>-1.5389152972290043E-2</v>
      </c>
      <c r="AK20" s="10">
        <f t="shared" si="5"/>
        <v>-5.8096938339970733E-2</v>
      </c>
      <c r="AL20" s="11">
        <f>IFERROR(AK20/AK148, "NA")</f>
        <v>-1.4068356866744161</v>
      </c>
    </row>
    <row r="21" spans="1:38" ht="16.5" customHeight="1" x14ac:dyDescent="0.3">
      <c r="A21" s="25" t="s">
        <v>36</v>
      </c>
      <c r="B21" s="7">
        <v>237.03</v>
      </c>
      <c r="C21" s="8">
        <f>IFERROR(B21/B148, "NA")</f>
        <v>8.2343483807136367E-3</v>
      </c>
      <c r="D21" s="7">
        <v>163.98</v>
      </c>
      <c r="E21" s="8">
        <f>IFERROR(D21/D148, "NA")</f>
        <v>4.8618027094810478E-3</v>
      </c>
      <c r="F21" s="7">
        <v>145.41</v>
      </c>
      <c r="G21" s="8">
        <f>IFERROR(F21/F148, "NA")</f>
        <v>4.9553216801542788E-3</v>
      </c>
      <c r="H21" s="7">
        <v>257.49</v>
      </c>
      <c r="I21" s="8">
        <f>IFERROR(H21/H148, "NA")</f>
        <v>8.641705989354348E-3</v>
      </c>
      <c r="J21" s="7">
        <v>212.09</v>
      </c>
      <c r="K21" s="8">
        <f>IFERROR(J21/J148, "NA")</f>
        <v>6.853701949115408E-3</v>
      </c>
      <c r="L21" s="7">
        <v>178.25</v>
      </c>
      <c r="M21" s="8">
        <f>IFERROR(L21/L148, "NA")</f>
        <v>7.6782120556328996E-3</v>
      </c>
      <c r="N21" s="7">
        <v>167.44</v>
      </c>
      <c r="O21" s="8">
        <f>IFERROR(N21/N148, "NA")</f>
        <v>6.6341404659588247E-3</v>
      </c>
      <c r="P21" s="7">
        <v>208.74</v>
      </c>
      <c r="Q21" s="8">
        <f>IFERROR(P21/P148, "NA")</f>
        <v>6.2781005452509564E-3</v>
      </c>
      <c r="R21" s="7">
        <v>165.76</v>
      </c>
      <c r="S21" s="8">
        <f>IFERROR(R21/R148, "NA")</f>
        <v>4.9665322363177666E-3</v>
      </c>
      <c r="T21" s="7">
        <v>207.64</v>
      </c>
      <c r="U21" s="8">
        <f>IFERROR(T21/T148, "NA")</f>
        <v>7.6290777942544562E-3</v>
      </c>
      <c r="V21" s="7">
        <v>302.86</v>
      </c>
      <c r="W21" s="8">
        <f>IFERROR(V21/V148, "NA")</f>
        <v>7.3860005950551894E-3</v>
      </c>
      <c r="X21" s="7">
        <v>162.44999999999999</v>
      </c>
      <c r="Y21" s="8">
        <f>IFERROR(X21/X148, "NA")</f>
        <v>5.0671344629398922E-3</v>
      </c>
      <c r="Z21" s="7">
        <v>672.95</v>
      </c>
      <c r="AA21" s="8">
        <f>IFERROR(Z21/Z148, "NA")</f>
        <v>6.7106390778079138E-3</v>
      </c>
      <c r="AB21" s="9">
        <f t="shared" si="0"/>
        <v>209.67750000000001</v>
      </c>
      <c r="AC21" s="8">
        <f>IFERROR(AB21/AB148, "NA")</f>
        <v>6.2751175663338689E-3</v>
      </c>
      <c r="AD21" s="10">
        <f t="shared" si="1"/>
        <v>-47.22750000000002</v>
      </c>
      <c r="AE21" s="11">
        <f>IFERROR(AD21/AD148, "NA")</f>
        <v>3.4865179115220732E-2</v>
      </c>
      <c r="AF21" s="10">
        <f t="shared" si="2"/>
        <v>-0.22523875952355413</v>
      </c>
      <c r="AG21" s="9">
        <f t="shared" si="3"/>
        <v>200.65375000000003</v>
      </c>
      <c r="AH21" s="8">
        <f>IFERROR(AG21/AG148, "NA")</f>
        <v>6.5172483191258063E-3</v>
      </c>
      <c r="AI21" s="10">
        <f t="shared" si="4"/>
        <v>-38.203750000000042</v>
      </c>
      <c r="AJ21" s="11">
        <f>IFERROR(AI21/AI148, "NA")</f>
        <v>-3.0047829955414419E-2</v>
      </c>
      <c r="AK21" s="10">
        <f t="shared" si="5"/>
        <v>-0.19039639179432249</v>
      </c>
      <c r="AL21" s="11">
        <f>IFERROR(AK21/AK148, "NA")</f>
        <v>-4.6105086815910816</v>
      </c>
    </row>
    <row r="22" spans="1:38" ht="16.5" hidden="1" customHeight="1" x14ac:dyDescent="0.3">
      <c r="A22" s="25" t="s">
        <v>37</v>
      </c>
      <c r="B22" s="7">
        <v>0</v>
      </c>
      <c r="C22" s="8">
        <f>IFERROR(B22/B148, "NA")</f>
        <v>0</v>
      </c>
      <c r="D22" s="7">
        <v>0</v>
      </c>
      <c r="E22" s="8">
        <f>IFERROR(D22/D148, "NA")</f>
        <v>0</v>
      </c>
      <c r="F22" s="7">
        <v>0</v>
      </c>
      <c r="G22" s="8">
        <f>IFERROR(F22/F148, "NA")</f>
        <v>0</v>
      </c>
      <c r="H22" s="7">
        <v>0</v>
      </c>
      <c r="I22" s="8">
        <f>IFERROR(H22/H148, "NA")</f>
        <v>0</v>
      </c>
      <c r="J22" s="7">
        <v>0</v>
      </c>
      <c r="K22" s="8">
        <f>IFERROR(J22/J148, "NA")</f>
        <v>0</v>
      </c>
      <c r="L22" s="7">
        <v>0</v>
      </c>
      <c r="M22" s="8">
        <f>IFERROR(L22/L148, "NA")</f>
        <v>0</v>
      </c>
      <c r="N22" s="7">
        <v>0</v>
      </c>
      <c r="O22" s="8">
        <f>IFERROR(N22/N148, "NA")</f>
        <v>0</v>
      </c>
      <c r="P22" s="7">
        <v>0</v>
      </c>
      <c r="Q22" s="8">
        <f>IFERROR(P22/P148, "NA")</f>
        <v>0</v>
      </c>
      <c r="R22" s="7">
        <v>0</v>
      </c>
      <c r="S22" s="8">
        <f>IFERROR(R22/R148, "NA")</f>
        <v>0</v>
      </c>
      <c r="T22" s="7">
        <v>0</v>
      </c>
      <c r="U22" s="8">
        <f>IFERROR(T22/T148, "NA")</f>
        <v>0</v>
      </c>
      <c r="V22" s="7">
        <v>0</v>
      </c>
      <c r="W22" s="8">
        <f>IFERROR(V22/V148, "NA")</f>
        <v>0</v>
      </c>
      <c r="X22" s="7">
        <v>0</v>
      </c>
      <c r="Y22" s="8">
        <f>IFERROR(X22/X148, "NA")</f>
        <v>0</v>
      </c>
      <c r="Z22" s="7">
        <v>0</v>
      </c>
      <c r="AA22" s="8">
        <f>IFERROR(Z22/Z148, "NA")</f>
        <v>0</v>
      </c>
      <c r="AB22" s="9">
        <f t="shared" si="0"/>
        <v>0</v>
      </c>
      <c r="AC22" s="8">
        <f>IFERROR(AB22/AB148, "NA")</f>
        <v>0</v>
      </c>
      <c r="AD22" s="10">
        <f t="shared" si="1"/>
        <v>0</v>
      </c>
      <c r="AE22" s="11">
        <f>IFERROR(AD22/AD148, "NA")</f>
        <v>0</v>
      </c>
      <c r="AF22" s="10" t="str">
        <f t="shared" si="2"/>
        <v>NA</v>
      </c>
      <c r="AG22" s="9">
        <f t="shared" si="3"/>
        <v>0</v>
      </c>
      <c r="AH22" s="8">
        <f>IFERROR(AG22/AG148, "NA")</f>
        <v>0</v>
      </c>
      <c r="AI22" s="10">
        <f t="shared" si="4"/>
        <v>0</v>
      </c>
      <c r="AJ22" s="11">
        <f>IFERROR(AI22/AI148, "NA")</f>
        <v>0</v>
      </c>
      <c r="AK22" s="10" t="str">
        <f t="shared" si="5"/>
        <v>NA</v>
      </c>
      <c r="AL22" s="11" t="str">
        <f>IFERROR(AK22/AK148, "NA")</f>
        <v>NA</v>
      </c>
    </row>
    <row r="23" spans="1:38" ht="16.5" customHeight="1" x14ac:dyDescent="0.3">
      <c r="A23" s="25" t="s">
        <v>38</v>
      </c>
      <c r="B23" s="7">
        <v>159.97999999999999</v>
      </c>
      <c r="C23" s="8">
        <f>IFERROR(B23/B148, "NA")</f>
        <v>5.5576553767310785E-3</v>
      </c>
      <c r="D23" s="7">
        <v>170.57</v>
      </c>
      <c r="E23" s="8">
        <f>IFERROR(D23/D148, "NA")</f>
        <v>5.0571879994888548E-3</v>
      </c>
      <c r="F23" s="7">
        <v>201.71</v>
      </c>
      <c r="G23" s="8">
        <f>IFERROR(F23/F148, "NA")</f>
        <v>6.8739284513026598E-3</v>
      </c>
      <c r="H23" s="7">
        <v>77.02</v>
      </c>
      <c r="I23" s="8">
        <f>IFERROR(H23/H148, "NA")</f>
        <v>2.584893375665353E-3</v>
      </c>
      <c r="J23" s="7">
        <v>249.57</v>
      </c>
      <c r="K23" s="8">
        <f>IFERROR(J23/J148, "NA")</f>
        <v>8.0648705523161494E-3</v>
      </c>
      <c r="L23" s="7">
        <v>33.56</v>
      </c>
      <c r="M23" s="8">
        <f>IFERROR(L23/L148, "NA")</f>
        <v>1.4456145671082196E-3</v>
      </c>
      <c r="N23" s="7">
        <v>162.33000000000001</v>
      </c>
      <c r="O23" s="8">
        <f>IFERROR(N23/N148, "NA")</f>
        <v>6.4316771490629246E-3</v>
      </c>
      <c r="P23" s="7">
        <v>115.68</v>
      </c>
      <c r="Q23" s="8">
        <f>IFERROR(P23/P148, "NA")</f>
        <v>3.479211799725164E-3</v>
      </c>
      <c r="R23" s="7">
        <v>427.77</v>
      </c>
      <c r="S23" s="8">
        <f>IFERROR(R23/R148, "NA")</f>
        <v>1.2816925040598764E-2</v>
      </c>
      <c r="T23" s="7">
        <v>15.31</v>
      </c>
      <c r="U23" s="8">
        <f>IFERROR(T23/T148, "NA")</f>
        <v>5.625177279427651E-4</v>
      </c>
      <c r="V23" s="7">
        <v>228.72</v>
      </c>
      <c r="W23" s="8">
        <f>IFERROR(V23/V148, "NA")</f>
        <v>5.5779107709866696E-3</v>
      </c>
      <c r="X23" s="7">
        <v>248.42</v>
      </c>
      <c r="Y23" s="8">
        <f>IFERROR(X23/X148, "NA")</f>
        <v>7.7487075609943244E-3</v>
      </c>
      <c r="Z23" s="7">
        <v>492.45</v>
      </c>
      <c r="AA23" s="8">
        <f>IFERROR(Z23/Z148, "NA")</f>
        <v>4.9106979922230575E-3</v>
      </c>
      <c r="AB23" s="9">
        <f t="shared" si="0"/>
        <v>230.05499999999998</v>
      </c>
      <c r="AC23" s="8">
        <f>IFERROR(AB23/AB148, "NA")</f>
        <v>6.8849646324614612E-3</v>
      </c>
      <c r="AD23" s="10">
        <f t="shared" si="1"/>
        <v>18.365000000000009</v>
      </c>
      <c r="AE23" s="11">
        <f>IFERROR(AD23/AD148, "NA")</f>
        <v>-1.3557757968366498E-2</v>
      </c>
      <c r="AF23" s="10">
        <f t="shared" si="2"/>
        <v>7.9828736606463724E-2</v>
      </c>
      <c r="AG23" s="9">
        <f t="shared" si="3"/>
        <v>185.17000000000002</v>
      </c>
      <c r="AH23" s="8">
        <f>IFERROR(AG23/AG148, "NA")</f>
        <v>6.0143349987355106E-3</v>
      </c>
      <c r="AI23" s="10">
        <f t="shared" si="4"/>
        <v>63.249999999999972</v>
      </c>
      <c r="AJ23" s="11">
        <f>IFERROR(AI23/AI148, "NA")</f>
        <v>4.9747086206981227E-2</v>
      </c>
      <c r="AK23" s="10">
        <f t="shared" si="5"/>
        <v>0.34157800939677035</v>
      </c>
      <c r="AL23" s="11">
        <f>IFERROR(AK23/AK148, "NA")</f>
        <v>8.2714192371127222</v>
      </c>
    </row>
    <row r="24" spans="1:38" ht="16.5" customHeight="1" x14ac:dyDescent="0.3">
      <c r="A24" s="25" t="s">
        <v>39</v>
      </c>
      <c r="B24" s="7">
        <v>1594.99</v>
      </c>
      <c r="C24" s="8">
        <f>IFERROR(B24/B148, "NA")</f>
        <v>5.5409455865310056E-2</v>
      </c>
      <c r="D24" s="7">
        <v>1995.95</v>
      </c>
      <c r="E24" s="8">
        <f>IFERROR(D24/D148, "NA")</f>
        <v>5.9177430893942548E-2</v>
      </c>
      <c r="F24" s="7">
        <v>2061.59</v>
      </c>
      <c r="G24" s="8">
        <f>IFERROR(F24/F148, "NA")</f>
        <v>7.0255426879783103E-2</v>
      </c>
      <c r="H24" s="7">
        <v>1366.77</v>
      </c>
      <c r="I24" s="8">
        <f>IFERROR(H24/H148, "NA")</f>
        <v>4.5870614373644959E-2</v>
      </c>
      <c r="J24" s="7">
        <v>1795.83</v>
      </c>
      <c r="K24" s="8">
        <f>IFERROR(J24/J148, "NA")</f>
        <v>5.8032361597811881E-2</v>
      </c>
      <c r="L24" s="7">
        <v>1342.93</v>
      </c>
      <c r="M24" s="8">
        <f>IFERROR(L24/L148, "NA")</f>
        <v>5.784741271175927E-2</v>
      </c>
      <c r="N24" s="7">
        <v>1304.72</v>
      </c>
      <c r="O24" s="8">
        <f>IFERROR(N24/N148, "NA")</f>
        <v>5.1694312880708297E-2</v>
      </c>
      <c r="P24" s="7">
        <v>2150.52</v>
      </c>
      <c r="Q24" s="8">
        <f>IFERROR(P24/P148, "NA")</f>
        <v>6.4679413550699852E-2</v>
      </c>
      <c r="R24" s="7">
        <v>1716.16</v>
      </c>
      <c r="S24" s="8">
        <f>IFERROR(R24/R148, "NA")</f>
        <v>5.1419908076008075E-2</v>
      </c>
      <c r="T24" s="7">
        <v>1650.36</v>
      </c>
      <c r="U24" s="8">
        <f>IFERROR(T24/T148, "NA")</f>
        <v>6.0637280044913235E-2</v>
      </c>
      <c r="V24" s="7">
        <v>2114.33</v>
      </c>
      <c r="W24" s="8">
        <f>IFERROR(V24/V148, "NA")</f>
        <v>5.1563239246328461E-2</v>
      </c>
      <c r="X24" s="7">
        <v>1887.25</v>
      </c>
      <c r="Y24" s="8">
        <f>IFERROR(X24/X148, "NA")</f>
        <v>5.8867033026674745E-2</v>
      </c>
      <c r="Z24" s="7">
        <v>5651.94</v>
      </c>
      <c r="AA24" s="8">
        <f>IFERROR(Z24/Z148, "NA")</f>
        <v>5.6360991796456879E-2</v>
      </c>
      <c r="AB24" s="9">
        <f t="shared" si="0"/>
        <v>1842.0250000000001</v>
      </c>
      <c r="AC24" s="8">
        <f>IFERROR(AB24/AB148, "NA")</f>
        <v>5.5127152103235419E-2</v>
      </c>
      <c r="AD24" s="10">
        <f t="shared" si="1"/>
        <v>45.224999999999909</v>
      </c>
      <c r="AE24" s="11">
        <f>IFERROR(AD24/AD148, "NA")</f>
        <v>-3.3386855655833013E-2</v>
      </c>
      <c r="AF24" s="10">
        <f t="shared" si="2"/>
        <v>2.4551784042018923E-2</v>
      </c>
      <c r="AG24" s="9">
        <f t="shared" si="3"/>
        <v>1745.2625</v>
      </c>
      <c r="AH24" s="8">
        <f>IFERROR(AG24/AG148, "NA")</f>
        <v>5.6686252285632843E-2</v>
      </c>
      <c r="AI24" s="10">
        <f t="shared" si="4"/>
        <v>141.98749999999995</v>
      </c>
      <c r="AJ24" s="11">
        <f>IFERROR(AI24/AI148, "NA")</f>
        <v>0.11167532652669956</v>
      </c>
      <c r="AK24" s="10">
        <f t="shared" si="5"/>
        <v>8.1355956482191044E-2</v>
      </c>
      <c r="AL24" s="11">
        <f>IFERROR(AK24/AK148, "NA")</f>
        <v>1.9700601472820196</v>
      </c>
    </row>
    <row r="25" spans="1:38" ht="16.5" hidden="1" customHeight="1" x14ac:dyDescent="0.3">
      <c r="A25" s="25" t="s">
        <v>40</v>
      </c>
      <c r="B25" s="7">
        <v>0</v>
      </c>
      <c r="C25" s="8">
        <f>IFERROR(B25/B148, "NA")</f>
        <v>0</v>
      </c>
      <c r="D25" s="7">
        <v>0</v>
      </c>
      <c r="E25" s="8">
        <f>IFERROR(D25/D148, "NA")</f>
        <v>0</v>
      </c>
      <c r="F25" s="7">
        <v>0</v>
      </c>
      <c r="G25" s="8">
        <f>IFERROR(F25/F148, "NA")</f>
        <v>0</v>
      </c>
      <c r="H25" s="7">
        <v>0</v>
      </c>
      <c r="I25" s="8">
        <f>IFERROR(H25/H148, "NA")</f>
        <v>0</v>
      </c>
      <c r="J25" s="7">
        <v>0</v>
      </c>
      <c r="K25" s="8">
        <f>IFERROR(J25/J148, "NA")</f>
        <v>0</v>
      </c>
      <c r="L25" s="7">
        <v>0</v>
      </c>
      <c r="M25" s="8">
        <f>IFERROR(L25/L148, "NA")</f>
        <v>0</v>
      </c>
      <c r="N25" s="7">
        <v>0</v>
      </c>
      <c r="O25" s="8">
        <f>IFERROR(N25/N148, "NA")</f>
        <v>0</v>
      </c>
      <c r="P25" s="7">
        <v>0</v>
      </c>
      <c r="Q25" s="8">
        <f>IFERROR(P25/P148, "NA")</f>
        <v>0</v>
      </c>
      <c r="R25" s="7">
        <v>0</v>
      </c>
      <c r="S25" s="8">
        <f>IFERROR(R25/R148, "NA")</f>
        <v>0</v>
      </c>
      <c r="T25" s="7">
        <v>0</v>
      </c>
      <c r="U25" s="8">
        <f>IFERROR(T25/T148, "NA")</f>
        <v>0</v>
      </c>
      <c r="V25" s="7">
        <v>0</v>
      </c>
      <c r="W25" s="8">
        <f>IFERROR(V25/V148, "NA")</f>
        <v>0</v>
      </c>
      <c r="X25" s="7">
        <v>0</v>
      </c>
      <c r="Y25" s="8">
        <f>IFERROR(X25/X148, "NA")</f>
        <v>0</v>
      </c>
      <c r="Z25" s="7">
        <v>0</v>
      </c>
      <c r="AA25" s="8">
        <f>IFERROR(Z25/Z148, "NA")</f>
        <v>0</v>
      </c>
      <c r="AB25" s="9">
        <f t="shared" si="0"/>
        <v>0</v>
      </c>
      <c r="AC25" s="8">
        <f>IFERROR(AB25/AB148, "NA")</f>
        <v>0</v>
      </c>
      <c r="AD25" s="10">
        <f t="shared" si="1"/>
        <v>0</v>
      </c>
      <c r="AE25" s="11">
        <f>IFERROR(AD25/AD148, "NA")</f>
        <v>0</v>
      </c>
      <c r="AF25" s="10" t="str">
        <f t="shared" si="2"/>
        <v>NA</v>
      </c>
      <c r="AG25" s="9">
        <f t="shared" si="3"/>
        <v>0</v>
      </c>
      <c r="AH25" s="8">
        <f>IFERROR(AG25/AG148, "NA")</f>
        <v>0</v>
      </c>
      <c r="AI25" s="10">
        <f t="shared" si="4"/>
        <v>0</v>
      </c>
      <c r="AJ25" s="11">
        <f>IFERROR(AI25/AI148, "NA")</f>
        <v>0</v>
      </c>
      <c r="AK25" s="10" t="str">
        <f t="shared" si="5"/>
        <v>NA</v>
      </c>
      <c r="AL25" s="11" t="str">
        <f>IFERROR(AK25/AK148, "NA")</f>
        <v>NA</v>
      </c>
    </row>
    <row r="26" spans="1:38" ht="16.5" hidden="1" customHeight="1" x14ac:dyDescent="0.3">
      <c r="A26" s="25" t="s">
        <v>41</v>
      </c>
      <c r="B26" s="7">
        <v>0</v>
      </c>
      <c r="C26" s="8">
        <f>IFERROR(B26/B148, "NA")</f>
        <v>0</v>
      </c>
      <c r="D26" s="7">
        <v>0</v>
      </c>
      <c r="E26" s="8">
        <f>IFERROR(D26/D148, "NA")</f>
        <v>0</v>
      </c>
      <c r="F26" s="7">
        <v>0</v>
      </c>
      <c r="G26" s="8">
        <f>IFERROR(F26/F148, "NA")</f>
        <v>0</v>
      </c>
      <c r="H26" s="7">
        <v>0</v>
      </c>
      <c r="I26" s="8">
        <f>IFERROR(H26/H148, "NA")</f>
        <v>0</v>
      </c>
      <c r="J26" s="7">
        <v>0</v>
      </c>
      <c r="K26" s="8">
        <f>IFERROR(J26/J148, "NA")</f>
        <v>0</v>
      </c>
      <c r="L26" s="7">
        <v>0</v>
      </c>
      <c r="M26" s="8">
        <f>IFERROR(L26/L148, "NA")</f>
        <v>0</v>
      </c>
      <c r="N26" s="7">
        <v>0</v>
      </c>
      <c r="O26" s="8">
        <f>IFERROR(N26/N148, "NA")</f>
        <v>0</v>
      </c>
      <c r="P26" s="7">
        <v>0</v>
      </c>
      <c r="Q26" s="8">
        <f>IFERROR(P26/P148, "NA")</f>
        <v>0</v>
      </c>
      <c r="R26" s="7">
        <v>0</v>
      </c>
      <c r="S26" s="8">
        <f>IFERROR(R26/R148, "NA")</f>
        <v>0</v>
      </c>
      <c r="T26" s="7">
        <v>0</v>
      </c>
      <c r="U26" s="8">
        <f>IFERROR(T26/T148, "NA")</f>
        <v>0</v>
      </c>
      <c r="V26" s="7">
        <v>0</v>
      </c>
      <c r="W26" s="8">
        <f>IFERROR(V26/V148, "NA")</f>
        <v>0</v>
      </c>
      <c r="X26" s="7">
        <v>0</v>
      </c>
      <c r="Y26" s="8">
        <f>IFERROR(X26/X148, "NA")</f>
        <v>0</v>
      </c>
      <c r="Z26" s="7">
        <v>0</v>
      </c>
      <c r="AA26" s="8">
        <f>IFERROR(Z26/Z148, "NA")</f>
        <v>0</v>
      </c>
      <c r="AB26" s="9">
        <f t="shared" si="0"/>
        <v>0</v>
      </c>
      <c r="AC26" s="8">
        <f>IFERROR(AB26/AB148, "NA")</f>
        <v>0</v>
      </c>
      <c r="AD26" s="10">
        <f t="shared" si="1"/>
        <v>0</v>
      </c>
      <c r="AE26" s="11">
        <f>IFERROR(AD26/AD148, "NA")</f>
        <v>0</v>
      </c>
      <c r="AF26" s="10" t="str">
        <f t="shared" si="2"/>
        <v>NA</v>
      </c>
      <c r="AG26" s="9">
        <f t="shared" si="3"/>
        <v>0</v>
      </c>
      <c r="AH26" s="8">
        <f>IFERROR(AG26/AG148, "NA")</f>
        <v>0</v>
      </c>
      <c r="AI26" s="10">
        <f t="shared" si="4"/>
        <v>0</v>
      </c>
      <c r="AJ26" s="11">
        <f>IFERROR(AI26/AI148, "NA")</f>
        <v>0</v>
      </c>
      <c r="AK26" s="10" t="str">
        <f t="shared" si="5"/>
        <v>NA</v>
      </c>
      <c r="AL26" s="11" t="str">
        <f>IFERROR(AK26/AK148, "NA")</f>
        <v>NA</v>
      </c>
    </row>
    <row r="27" spans="1:38" ht="16.5" customHeight="1" x14ac:dyDescent="0.3">
      <c r="A27" s="26" t="s">
        <v>42</v>
      </c>
      <c r="B27" s="13">
        <f>IFERROR(B15+B16+B17+B18+B19+B20+B21+B22+B23+B24+B25+B26, "NA")</f>
        <v>7142.5999999999995</v>
      </c>
      <c r="C27" s="14">
        <f>IFERROR(B27/B148, "NA")</f>
        <v>0.24813169954893985</v>
      </c>
      <c r="D27" s="13">
        <f>IFERROR(D15+D16+D17+D18+D19+D20+D21+D22+D23+D24+D25+D26, "NA")</f>
        <v>7872.44</v>
      </c>
      <c r="E27" s="14">
        <f>IFERROR(D27/D148, "NA")</f>
        <v>0.23340803831093415</v>
      </c>
      <c r="F27" s="13">
        <f>IFERROR(F15+F16+F17+F18+F19+F20+F21+F22+F23+F24+F25+F26, "NA")</f>
        <v>6976.0099999999993</v>
      </c>
      <c r="G27" s="14">
        <f>IFERROR(F27/F148, "NA")</f>
        <v>0.237730373385414</v>
      </c>
      <c r="H27" s="13">
        <f>IFERROR(H15+H16+H17+H18+H19+H20+H21+H22+H23+H24+H25+H26, "NA")</f>
        <v>6729.1</v>
      </c>
      <c r="I27" s="14">
        <f>IFERROR(H27/H148, "NA")</f>
        <v>0.22583752290560541</v>
      </c>
      <c r="J27" s="13">
        <f>IFERROR(J15+J16+J17+J18+J19+J20+J21+J22+J23+J24+J25+J26, "NA")</f>
        <v>7322.4599999999991</v>
      </c>
      <c r="K27" s="14">
        <f>IFERROR(J27/J148, "NA")</f>
        <v>0.23662576441284172</v>
      </c>
      <c r="L27" s="13">
        <f>IFERROR(L15+L16+L17+L18+L19+L20+L21+L22+L23+L24+L25+L26, "NA")</f>
        <v>5747.1900000000005</v>
      </c>
      <c r="M27" s="14">
        <f>IFERROR(L27/L148, "NA")</f>
        <v>0.24756321763822076</v>
      </c>
      <c r="N27" s="13">
        <f>IFERROR(N15+N16+N17+N18+N19+N20+N21+N22+N23+N24+N25+N26, "NA")</f>
        <v>5683.08</v>
      </c>
      <c r="O27" s="14">
        <f>IFERROR(N27/N148, "NA")</f>
        <v>0.22516932034926707</v>
      </c>
      <c r="P27" s="13">
        <f>IFERROR(P15+P16+P17+P18+P19+P20+P21+P22+P23+P24+P25+P26, "NA")</f>
        <v>7506.630000000001</v>
      </c>
      <c r="Q27" s="14">
        <f>IFERROR(P27/P148, "NA")</f>
        <v>0.22577070947588959</v>
      </c>
      <c r="R27" s="13">
        <f>IFERROR(R15+R16+R17+R18+R19+R20+R21+R22+R23+R24+R25+R26, "NA")</f>
        <v>7179.5300000000007</v>
      </c>
      <c r="S27" s="14">
        <f>IFERROR(R27/R148, "NA")</f>
        <v>0.21511442559489924</v>
      </c>
      <c r="T27" s="13">
        <f>IFERROR(T15+T16+T17+T18+T19+T20+T21+T22+T23+T24+T25+T26, "NA")</f>
        <v>5923.18</v>
      </c>
      <c r="U27" s="14">
        <f>IFERROR(T27/T148, "NA")</f>
        <v>0.21762859280183064</v>
      </c>
      <c r="V27" s="13">
        <f>IFERROR(V15+V16+V17+V18+V19+V20+V21+V22+V23+V24+V25+V26, "NA")</f>
        <v>7901.67</v>
      </c>
      <c r="W27" s="14">
        <f>IFERROR(V27/V148, "NA")</f>
        <v>0.19270203830789717</v>
      </c>
      <c r="X27" s="13">
        <f>IFERROR(X15+X16+X17+X18+X19+X20+X21+X22+X23+X24+X25+X26, "NA")</f>
        <v>6816.66</v>
      </c>
      <c r="Y27" s="14">
        <f>IFERROR(X27/X148, "NA")</f>
        <v>0.21262500959152875</v>
      </c>
      <c r="Z27" s="13">
        <f>IFERROR(Z15+Z16+Z17+Z18+Z19+Z20+Z21+Z22+Z23+Z24+Z25+Z26, "NA")</f>
        <v>20641.510000000002</v>
      </c>
      <c r="AA27" s="14">
        <f>IFERROR(Z27/Z148, "NA")</f>
        <v>0.20583657572028061</v>
      </c>
      <c r="AB27" s="13">
        <f t="shared" si="0"/>
        <v>6955.26</v>
      </c>
      <c r="AC27" s="14">
        <f>IFERROR(AB27/AB148, "NA")</f>
        <v>0.20815335076209562</v>
      </c>
      <c r="AD27" s="15">
        <f t="shared" si="1"/>
        <v>-138.60000000000036</v>
      </c>
      <c r="AE27" s="16">
        <f>IFERROR(AD27/AD148, "NA")</f>
        <v>0.10231991584076235</v>
      </c>
      <c r="AF27" s="15">
        <f t="shared" si="2"/>
        <v>-1.9927364325704626E-2</v>
      </c>
      <c r="AG27" s="13">
        <f t="shared" si="3"/>
        <v>6760.0499999999993</v>
      </c>
      <c r="AH27" s="14">
        <f>IFERROR(AG27/AG148, "NA")</f>
        <v>0.21956691315116911</v>
      </c>
      <c r="AI27" s="15">
        <f t="shared" si="4"/>
        <v>56.610000000000582</v>
      </c>
      <c r="AJ27" s="16">
        <f>IFERROR(AI27/AI148, "NA")</f>
        <v>4.4524625299244863E-2</v>
      </c>
      <c r="AK27" s="15">
        <f t="shared" si="5"/>
        <v>8.3741984156922786E-3</v>
      </c>
      <c r="AL27" s="16">
        <f>IFERROR(AK27/AK148, "NA")</f>
        <v>0.20278385600197515</v>
      </c>
    </row>
    <row r="28" spans="1:38" ht="16.5" customHeight="1" x14ac:dyDescent="0.3">
      <c r="A28" s="24" t="s">
        <v>43</v>
      </c>
      <c r="B28" s="2"/>
      <c r="C28" s="3"/>
      <c r="D28" s="2"/>
      <c r="E28" s="3"/>
      <c r="F28" s="2"/>
      <c r="G28" s="3"/>
      <c r="H28" s="2"/>
      <c r="I28" s="3"/>
      <c r="J28" s="2"/>
      <c r="K28" s="3"/>
      <c r="L28" s="2"/>
      <c r="M28" s="3"/>
      <c r="N28" s="2"/>
      <c r="O28" s="3"/>
      <c r="P28" s="2"/>
      <c r="Q28" s="3"/>
      <c r="R28" s="2"/>
      <c r="S28" s="3"/>
      <c r="T28" s="2"/>
      <c r="U28" s="3"/>
      <c r="V28" s="2"/>
      <c r="W28" s="3"/>
      <c r="X28" s="2"/>
      <c r="Y28" s="3"/>
      <c r="Z28" s="2"/>
      <c r="AA28" s="3"/>
      <c r="AB28" s="2"/>
      <c r="AC28" s="3"/>
      <c r="AD28" s="4"/>
      <c r="AE28" s="5"/>
      <c r="AF28" s="4"/>
      <c r="AG28" s="2"/>
      <c r="AH28" s="3"/>
      <c r="AI28" s="4"/>
      <c r="AJ28" s="5"/>
      <c r="AK28" s="4"/>
      <c r="AL28" s="5"/>
    </row>
    <row r="29" spans="1:38" ht="16.5" hidden="1" customHeight="1" x14ac:dyDescent="0.3">
      <c r="A29" s="25" t="s">
        <v>44</v>
      </c>
      <c r="B29" s="7">
        <v>0</v>
      </c>
      <c r="C29" s="8">
        <f>IFERROR(B29/B148, "NA")</f>
        <v>0</v>
      </c>
      <c r="D29" s="7">
        <v>0</v>
      </c>
      <c r="E29" s="8">
        <f>IFERROR(D29/D148, "NA")</f>
        <v>0</v>
      </c>
      <c r="F29" s="7">
        <v>0</v>
      </c>
      <c r="G29" s="8">
        <f>IFERROR(F29/F148, "NA")</f>
        <v>0</v>
      </c>
      <c r="H29" s="7">
        <v>0</v>
      </c>
      <c r="I29" s="8">
        <f>IFERROR(H29/H148, "NA")</f>
        <v>0</v>
      </c>
      <c r="J29" s="7">
        <v>0</v>
      </c>
      <c r="K29" s="8">
        <f>IFERROR(J29/J148, "NA")</f>
        <v>0</v>
      </c>
      <c r="L29" s="7">
        <v>0</v>
      </c>
      <c r="M29" s="8">
        <f>IFERROR(L29/L148, "NA")</f>
        <v>0</v>
      </c>
      <c r="N29" s="7">
        <v>0</v>
      </c>
      <c r="O29" s="8">
        <f>IFERROR(N29/N148, "NA")</f>
        <v>0</v>
      </c>
      <c r="P29" s="7">
        <v>0</v>
      </c>
      <c r="Q29" s="8">
        <f>IFERROR(P29/P148, "NA")</f>
        <v>0</v>
      </c>
      <c r="R29" s="7">
        <v>0</v>
      </c>
      <c r="S29" s="8">
        <f>IFERROR(R29/R148, "NA")</f>
        <v>0</v>
      </c>
      <c r="T29" s="7">
        <v>0</v>
      </c>
      <c r="U29" s="8">
        <f>IFERROR(T29/T148, "NA")</f>
        <v>0</v>
      </c>
      <c r="V29" s="7">
        <v>0</v>
      </c>
      <c r="W29" s="8">
        <f>IFERROR(V29/V148, "NA")</f>
        <v>0</v>
      </c>
      <c r="X29" s="7">
        <v>0</v>
      </c>
      <c r="Y29" s="8">
        <f>IFERROR(X29/X148, "NA")</f>
        <v>0</v>
      </c>
      <c r="Z29" s="7">
        <v>0</v>
      </c>
      <c r="AA29" s="8">
        <f>IFERROR(Z29/Z148, "NA")</f>
        <v>0</v>
      </c>
      <c r="AB29" s="9">
        <f t="shared" ref="AB29:AB35" si="6">IFERROR((R29+T29+V29+X29)/4, "NA")</f>
        <v>0</v>
      </c>
      <c r="AC29" s="8">
        <f>IFERROR(AB29/AB148, "NA")</f>
        <v>0</v>
      </c>
      <c r="AD29" s="10">
        <f t="shared" ref="AD29:AD35" si="7">IFERROR(X29-AB29, "NA")</f>
        <v>0</v>
      </c>
      <c r="AE29" s="11">
        <f>IFERROR(AD29/AD148, "NA")</f>
        <v>0</v>
      </c>
      <c r="AF29" s="10" t="str">
        <f t="shared" ref="AF29:AF35" si="8">IFERROR((X29-AB29)/AB29, "NA")</f>
        <v>NA</v>
      </c>
      <c r="AG29" s="9">
        <f t="shared" ref="AG29:AG35" si="9">IFERROR((J29+L29+N29+P29+R29+T29+V29+X29)/8, "NA")</f>
        <v>0</v>
      </c>
      <c r="AH29" s="8">
        <f>IFERROR(AG29/AG148, "NA")</f>
        <v>0</v>
      </c>
      <c r="AI29" s="10">
        <f t="shared" ref="AI29:AI35" si="10">IFERROR(X29-AG29, "NA")</f>
        <v>0</v>
      </c>
      <c r="AJ29" s="11">
        <f>IFERROR(AI29/AI148, "NA")</f>
        <v>0</v>
      </c>
      <c r="AK29" s="10" t="str">
        <f t="shared" ref="AK29:AK35" si="11">IFERROR((X29-AG29)/AG29, "NA")</f>
        <v>NA</v>
      </c>
      <c r="AL29" s="11" t="str">
        <f>IFERROR(AK29/AK148, "NA")</f>
        <v>NA</v>
      </c>
    </row>
    <row r="30" spans="1:38" ht="16.5" customHeight="1" x14ac:dyDescent="0.3">
      <c r="A30" s="25" t="s">
        <v>45</v>
      </c>
      <c r="B30" s="7">
        <v>510.21</v>
      </c>
      <c r="C30" s="8">
        <f>IFERROR(B30/B148, "NA")</f>
        <v>1.7724536503075157E-2</v>
      </c>
      <c r="D30" s="7">
        <v>242.89</v>
      </c>
      <c r="E30" s="8">
        <f>IFERROR(D30/D148, "NA")</f>
        <v>7.2013859013651165E-3</v>
      </c>
      <c r="F30" s="7">
        <v>476.39</v>
      </c>
      <c r="G30" s="8">
        <f>IFERROR(F30/F148, "NA")</f>
        <v>1.6234548485033334E-2</v>
      </c>
      <c r="H30" s="7">
        <v>215.45</v>
      </c>
      <c r="I30" s="8">
        <f>IFERROR(H30/H148, "NA")</f>
        <v>7.2307878185808921E-3</v>
      </c>
      <c r="J30" s="7">
        <v>422.21</v>
      </c>
      <c r="K30" s="8">
        <f>IFERROR(J30/J148, "NA")</f>
        <v>1.36437432219153E-2</v>
      </c>
      <c r="L30" s="7">
        <v>549.4</v>
      </c>
      <c r="M30" s="8">
        <f>IFERROR(L30/L148, "NA")</f>
        <v>2.3665692585496296E-2</v>
      </c>
      <c r="N30" s="7">
        <v>203.28</v>
      </c>
      <c r="O30" s="8">
        <f>IFERROR(N30/N148, "NA")</f>
        <v>8.0541571543245923E-3</v>
      </c>
      <c r="P30" s="7">
        <v>441.15</v>
      </c>
      <c r="Q30" s="8">
        <f>IFERROR(P30/P148, "NA")</f>
        <v>1.3268104127323269E-2</v>
      </c>
      <c r="R30" s="7">
        <v>301.58999999999997</v>
      </c>
      <c r="S30" s="8">
        <f>IFERROR(R30/R148, "NA")</f>
        <v>9.0362961942029151E-3</v>
      </c>
      <c r="T30" s="7">
        <v>472.94</v>
      </c>
      <c r="U30" s="8">
        <f>IFERROR(T30/T148, "NA")</f>
        <v>1.7376690676241105E-2</v>
      </c>
      <c r="V30" s="7">
        <v>319.44</v>
      </c>
      <c r="W30" s="8">
        <f>IFERROR(V30/V148, "NA")</f>
        <v>7.7903454734346879E-3</v>
      </c>
      <c r="X30" s="7">
        <v>405.43</v>
      </c>
      <c r="Y30" s="8">
        <f>IFERROR(X30/X148, "NA")</f>
        <v>1.2646157742749896E-2</v>
      </c>
      <c r="Z30" s="7">
        <v>1197.81</v>
      </c>
      <c r="AA30" s="8">
        <f>IFERROR(Z30/Z148, "NA")</f>
        <v>1.1944528707614378E-2</v>
      </c>
      <c r="AB30" s="9">
        <f t="shared" si="6"/>
        <v>374.85</v>
      </c>
      <c r="AC30" s="8">
        <f>IFERROR(AB30/AB148, "NA")</f>
        <v>1.1218312979410051E-2</v>
      </c>
      <c r="AD30" s="10">
        <f t="shared" si="7"/>
        <v>30.579999999999984</v>
      </c>
      <c r="AE30" s="11">
        <f>IFERROR(AD30/AD148, "NA")</f>
        <v>-2.2575346510898289E-2</v>
      </c>
      <c r="AF30" s="10">
        <f t="shared" si="8"/>
        <v>8.1579298386021029E-2</v>
      </c>
      <c r="AG30" s="9">
        <f t="shared" si="9"/>
        <v>389.42999999999995</v>
      </c>
      <c r="AH30" s="8">
        <f>IFERROR(AG30/AG148, "NA")</f>
        <v>1.2648714578806338E-2</v>
      </c>
      <c r="AI30" s="10">
        <f t="shared" si="10"/>
        <v>16.000000000000057</v>
      </c>
      <c r="AJ30" s="11">
        <f>IFERROR(AI30/AI148, "NA")</f>
        <v>1.2584243151173166E-2</v>
      </c>
      <c r="AK30" s="10">
        <f t="shared" si="11"/>
        <v>4.1085689340831621E-2</v>
      </c>
      <c r="AL30" s="11">
        <f>IFERROR(AK30/AK148, "NA")</f>
        <v>0.99490292652020174</v>
      </c>
    </row>
    <row r="31" spans="1:38" ht="16.5" customHeight="1" x14ac:dyDescent="0.3">
      <c r="A31" s="25" t="s">
        <v>46</v>
      </c>
      <c r="B31" s="7">
        <v>148.56</v>
      </c>
      <c r="C31" s="8">
        <f>IFERROR(B31/B148, "NA")</f>
        <v>5.1609281333114708E-3</v>
      </c>
      <c r="D31" s="7">
        <v>7.3</v>
      </c>
      <c r="E31" s="8">
        <f>IFERROR(D31/D148, "NA")</f>
        <v>2.1643590547147E-4</v>
      </c>
      <c r="F31" s="7">
        <v>12.18</v>
      </c>
      <c r="G31" s="8">
        <f>IFERROR(F31/F148, "NA")</f>
        <v>4.150733654100758E-4</v>
      </c>
      <c r="H31" s="7">
        <v>7.31</v>
      </c>
      <c r="I31" s="8">
        <f>IFERROR(H31/H148, "NA")</f>
        <v>2.4533329753458495E-4</v>
      </c>
      <c r="J31" s="7">
        <v>7.3</v>
      </c>
      <c r="K31" s="8">
        <f>IFERROR(J31/J148, "NA")</f>
        <v>2.3589996807271663E-4</v>
      </c>
      <c r="L31" s="7">
        <v>29.23</v>
      </c>
      <c r="M31" s="8">
        <f>IFERROR(L31/L148, "NA")</f>
        <v>1.2590975505534343E-3</v>
      </c>
      <c r="N31" s="7">
        <v>19.48</v>
      </c>
      <c r="O31" s="8">
        <f>IFERROR(N31/N148, "NA")</f>
        <v>7.7181710628809069E-4</v>
      </c>
      <c r="P31" s="7">
        <v>46.27</v>
      </c>
      <c r="Q31" s="8">
        <f>IFERROR(P31/P148, "NA")</f>
        <v>1.3916245675422141E-3</v>
      </c>
      <c r="R31" s="7">
        <v>19.489999999999998</v>
      </c>
      <c r="S31" s="8">
        <f>IFERROR(R31/R148, "NA")</f>
        <v>5.8396303864522965E-4</v>
      </c>
      <c r="T31" s="7">
        <v>21.92</v>
      </c>
      <c r="U31" s="8">
        <f>IFERROR(T31/T148, "NA")</f>
        <v>8.0538135836090213E-4</v>
      </c>
      <c r="V31" s="7">
        <v>19.48</v>
      </c>
      <c r="W31" s="8">
        <f>IFERROR(V31/V148, "NA")</f>
        <v>4.7506865083429665E-4</v>
      </c>
      <c r="X31" s="7">
        <v>29.22</v>
      </c>
      <c r="Y31" s="8">
        <f>IFERROR(X31/X148, "NA")</f>
        <v>9.114291720966676E-4</v>
      </c>
      <c r="Z31" s="7">
        <v>70.62</v>
      </c>
      <c r="AA31" s="8">
        <f>IFERROR(Z31/Z148, "NA")</f>
        <v>7.0422071725209136E-4</v>
      </c>
      <c r="AB31" s="9">
        <f t="shared" si="6"/>
        <v>22.5275</v>
      </c>
      <c r="AC31" s="8">
        <f>IFERROR(AB31/AB148, "NA")</f>
        <v>6.7419113150236063E-4</v>
      </c>
      <c r="AD31" s="10">
        <f t="shared" si="7"/>
        <v>6.692499999999999</v>
      </c>
      <c r="AE31" s="11">
        <f>IFERROR(AD31/AD148, "NA")</f>
        <v>-4.9406640459184713E-3</v>
      </c>
      <c r="AF31" s="10">
        <f t="shared" si="8"/>
        <v>0.29708134502274991</v>
      </c>
      <c r="AG31" s="9">
        <f t="shared" si="9"/>
        <v>24.048749999999998</v>
      </c>
      <c r="AH31" s="8">
        <f>IFERROR(AG31/AG148, "NA")</f>
        <v>7.8110514014603121E-4</v>
      </c>
      <c r="AI31" s="10">
        <f t="shared" si="10"/>
        <v>5.1712500000000006</v>
      </c>
      <c r="AJ31" s="11">
        <f>IFERROR(AI31/AI148, "NA")</f>
        <v>4.0672667122190007E-3</v>
      </c>
      <c r="AK31" s="10">
        <f t="shared" si="11"/>
        <v>0.21503196631841576</v>
      </c>
      <c r="AL31" s="11">
        <f>IFERROR(AK31/AK148, "NA")</f>
        <v>5.2070668891752607</v>
      </c>
    </row>
    <row r="32" spans="1:38" ht="16.5" customHeight="1" x14ac:dyDescent="0.3">
      <c r="A32" s="25" t="s">
        <v>47</v>
      </c>
      <c r="B32" s="7">
        <v>-4.91</v>
      </c>
      <c r="C32" s="8">
        <f>IFERROR(B32/B148, "NA")</f>
        <v>-1.7057187085729215E-4</v>
      </c>
      <c r="D32" s="7">
        <v>28.9</v>
      </c>
      <c r="E32" s="8">
        <f>IFERROR(D32/D148, "NA")</f>
        <v>8.5684899563362785E-4</v>
      </c>
      <c r="F32" s="7">
        <v>1</v>
      </c>
      <c r="G32" s="8">
        <f>IFERROR(F32/F148, "NA")</f>
        <v>3.4078273022173711E-5</v>
      </c>
      <c r="H32" s="7">
        <v>0</v>
      </c>
      <c r="I32" s="8">
        <f>IFERROR(H32/H148, "NA")</f>
        <v>0</v>
      </c>
      <c r="J32" s="7">
        <v>0</v>
      </c>
      <c r="K32" s="8">
        <f>IFERROR(J32/J148, "NA")</f>
        <v>0</v>
      </c>
      <c r="L32" s="7">
        <v>3</v>
      </c>
      <c r="M32" s="8">
        <f>IFERROR(L32/L148, "NA")</f>
        <v>1.2922657036128302E-4</v>
      </c>
      <c r="N32" s="7">
        <v>1.99</v>
      </c>
      <c r="O32" s="8">
        <f>IFERROR(N32/N148, "NA")</f>
        <v>7.8845792685487706E-5</v>
      </c>
      <c r="P32" s="7">
        <v>-1.99</v>
      </c>
      <c r="Q32" s="8">
        <f>IFERROR(P32/P148, "NA")</f>
        <v>-5.9851586112146223E-5</v>
      </c>
      <c r="R32" s="7">
        <v>0</v>
      </c>
      <c r="S32" s="8">
        <f>IFERROR(R32/R148, "NA")</f>
        <v>0</v>
      </c>
      <c r="T32" s="7">
        <v>1.99</v>
      </c>
      <c r="U32" s="8">
        <f>IFERROR(T32/T148, "NA")</f>
        <v>7.3116282077472406E-5</v>
      </c>
      <c r="V32" s="7">
        <v>-1.99</v>
      </c>
      <c r="W32" s="8">
        <f>IFERROR(V32/V148, "NA")</f>
        <v>-4.8531140408637083E-5</v>
      </c>
      <c r="X32" s="7">
        <v>-29.9</v>
      </c>
      <c r="Y32" s="8">
        <f>IFERROR(X32/X148, "NA")</f>
        <v>-9.3263970724470776E-4</v>
      </c>
      <c r="Z32" s="7">
        <v>-29.9</v>
      </c>
      <c r="AA32" s="8">
        <f>IFERROR(Z32/Z148, "NA")</f>
        <v>-2.9816198592236661E-4</v>
      </c>
      <c r="AB32" s="9">
        <f t="shared" si="6"/>
        <v>-7.4749999999999996</v>
      </c>
      <c r="AC32" s="8">
        <f>IFERROR(AB32/AB148, "NA")</f>
        <v>-2.2370785519831962E-4</v>
      </c>
      <c r="AD32" s="10">
        <f t="shared" si="7"/>
        <v>-22.424999999999997</v>
      </c>
      <c r="AE32" s="11">
        <f>IFERROR(AD32/AD148, "NA")</f>
        <v>1.655500802834841E-2</v>
      </c>
      <c r="AF32" s="10">
        <f t="shared" si="8"/>
        <v>2.9999999999999996</v>
      </c>
      <c r="AG32" s="9">
        <f t="shared" si="9"/>
        <v>-3.3624999999999998</v>
      </c>
      <c r="AH32" s="8">
        <f>IFERROR(AG32/AG148, "NA")</f>
        <v>-1.0921424330749124E-4</v>
      </c>
      <c r="AI32" s="10">
        <f t="shared" si="10"/>
        <v>-26.537499999999998</v>
      </c>
      <c r="AJ32" s="11">
        <f>IFERROR(AI32/AI148, "NA")</f>
        <v>-2.0872147039016044E-2</v>
      </c>
      <c r="AK32" s="10">
        <f t="shared" si="11"/>
        <v>7.8921933085501861</v>
      </c>
      <c r="AL32" s="11">
        <f>IFERROR(AK32/AK148, "NA")</f>
        <v>191.11195029984134</v>
      </c>
    </row>
    <row r="33" spans="1:38" ht="16.5" customHeight="1" x14ac:dyDescent="0.3">
      <c r="A33" s="25" t="s">
        <v>48</v>
      </c>
      <c r="B33" s="7">
        <v>7.35</v>
      </c>
      <c r="C33" s="8">
        <f>IFERROR(B33/B148, "NA")</f>
        <v>2.553367109574536E-4</v>
      </c>
      <c r="D33" s="7">
        <v>0</v>
      </c>
      <c r="E33" s="8">
        <f>IFERROR(D33/D148, "NA")</f>
        <v>0</v>
      </c>
      <c r="F33" s="7">
        <v>0</v>
      </c>
      <c r="G33" s="8">
        <f>IFERROR(F33/F148, "NA")</f>
        <v>0</v>
      </c>
      <c r="H33" s="7">
        <v>0</v>
      </c>
      <c r="I33" s="8">
        <f>IFERROR(H33/H148, "NA")</f>
        <v>0</v>
      </c>
      <c r="J33" s="7">
        <v>0</v>
      </c>
      <c r="K33" s="8">
        <f>IFERROR(J33/J148, "NA")</f>
        <v>0</v>
      </c>
      <c r="L33" s="7">
        <v>7.35</v>
      </c>
      <c r="M33" s="8">
        <f>IFERROR(L33/L148, "NA")</f>
        <v>3.1660509738514337E-4</v>
      </c>
      <c r="N33" s="7">
        <v>0</v>
      </c>
      <c r="O33" s="8">
        <f>IFERROR(N33/N148, "NA")</f>
        <v>0</v>
      </c>
      <c r="P33" s="7">
        <v>14.36</v>
      </c>
      <c r="Q33" s="8">
        <f>IFERROR(P33/P148, "NA")</f>
        <v>4.3189385757307525E-4</v>
      </c>
      <c r="R33" s="7">
        <v>-7.35</v>
      </c>
      <c r="S33" s="8">
        <f>IFERROR(R33/R148, "NA")</f>
        <v>-2.2022207973537394E-4</v>
      </c>
      <c r="T33" s="7">
        <v>21.03</v>
      </c>
      <c r="U33" s="8">
        <f>IFERROR(T33/T148, "NA")</f>
        <v>7.7268111160263555E-4</v>
      </c>
      <c r="V33" s="7">
        <v>-14.7</v>
      </c>
      <c r="W33" s="8">
        <f>IFERROR(V33/V148, "NA")</f>
        <v>-3.5849636382259551E-4</v>
      </c>
      <c r="X33" s="7">
        <v>14.7</v>
      </c>
      <c r="Y33" s="8">
        <f>IFERROR(X33/X148, "NA")</f>
        <v>4.5852186275910383E-4</v>
      </c>
      <c r="Z33" s="7">
        <v>21.03</v>
      </c>
      <c r="AA33" s="8">
        <f>IFERROR(Z33/Z148, "NA")</f>
        <v>2.0971058742298896E-4</v>
      </c>
      <c r="AB33" s="9">
        <f t="shared" si="6"/>
        <v>3.4200000000000004</v>
      </c>
      <c r="AC33" s="8">
        <f>IFERROR(AB33/AB148, "NA")</f>
        <v>1.0235195515428137E-4</v>
      </c>
      <c r="AD33" s="10">
        <f t="shared" si="7"/>
        <v>11.28</v>
      </c>
      <c r="AE33" s="11">
        <f>IFERROR(AD33/AD148, "NA")</f>
        <v>-8.3273351420187318E-3</v>
      </c>
      <c r="AF33" s="10">
        <f t="shared" si="8"/>
        <v>3.2982456140350873</v>
      </c>
      <c r="AG33" s="9">
        <f t="shared" si="9"/>
        <v>4.4237500000000001</v>
      </c>
      <c r="AH33" s="8">
        <f>IFERROR(AG33/AG148, "NA")</f>
        <v>1.4368372009859165E-4</v>
      </c>
      <c r="AI33" s="10">
        <f t="shared" si="10"/>
        <v>10.276249999999999</v>
      </c>
      <c r="AJ33" s="11">
        <f>IFERROR(AI33/AI148, "NA")</f>
        <v>8.0824267926401742E-3</v>
      </c>
      <c r="AK33" s="10">
        <f t="shared" si="11"/>
        <v>2.3229725911274368</v>
      </c>
      <c r="AL33" s="11">
        <f>IFERROR(AK33/AK148, "NA")</f>
        <v>56.251513999597478</v>
      </c>
    </row>
    <row r="34" spans="1:38" ht="16.5" customHeight="1" x14ac:dyDescent="0.3">
      <c r="A34" s="26" t="s">
        <v>49</v>
      </c>
      <c r="B34" s="13">
        <f>IFERROR(B29+B30+B31+B32+B33, "NA")</f>
        <v>661.21</v>
      </c>
      <c r="C34" s="14">
        <f>IFERROR(B34/B148, "NA")</f>
        <v>2.2970229476486789E-2</v>
      </c>
      <c r="D34" s="13">
        <f>IFERROR(D29+D30+D31+D32+D33, "NA")</f>
        <v>279.08999999999997</v>
      </c>
      <c r="E34" s="14">
        <f>IFERROR(D34/D148, "NA")</f>
        <v>8.2746708024702149E-3</v>
      </c>
      <c r="F34" s="13">
        <f>IFERROR(F29+F30+F31+F32+F33, "NA")</f>
        <v>489.57</v>
      </c>
      <c r="G34" s="14">
        <f>IFERROR(F34/F148, "NA")</f>
        <v>1.6683700123465584E-2</v>
      </c>
      <c r="H34" s="13">
        <f>IFERROR(H29+H30+H31+H32+H33, "NA")</f>
        <v>222.76</v>
      </c>
      <c r="I34" s="14">
        <f>IFERROR(H34/H148, "NA")</f>
        <v>7.4761211161154771E-3</v>
      </c>
      <c r="J34" s="13">
        <f>IFERROR(J29+J30+J31+J32+J33, "NA")</f>
        <v>429.51</v>
      </c>
      <c r="K34" s="14">
        <f>IFERROR(J34/J148, "NA")</f>
        <v>1.3879643189988017E-2</v>
      </c>
      <c r="L34" s="13">
        <f>IFERROR(L29+L30+L31+L32+L33, "NA")</f>
        <v>588.98</v>
      </c>
      <c r="M34" s="14">
        <f>IFERROR(L34/L148, "NA")</f>
        <v>2.5370621803796161E-2</v>
      </c>
      <c r="N34" s="13">
        <f>IFERROR(N29+N30+N31+N32+N33, "NA")</f>
        <v>224.75</v>
      </c>
      <c r="O34" s="14">
        <f>IFERROR(N34/N148, "NA")</f>
        <v>8.9048200532981705E-3</v>
      </c>
      <c r="P34" s="13">
        <f>IFERROR(P29+P30+P31+P32+P33, "NA")</f>
        <v>499.78999999999996</v>
      </c>
      <c r="Q34" s="14">
        <f>IFERROR(P34/P148, "NA")</f>
        <v>1.5031770966326413E-2</v>
      </c>
      <c r="R34" s="13">
        <f>IFERROR(R29+R30+R31+R32+R33, "NA")</f>
        <v>313.72999999999996</v>
      </c>
      <c r="S34" s="14">
        <f>IFERROR(R34/R148, "NA")</f>
        <v>9.4000371531127707E-3</v>
      </c>
      <c r="T34" s="13">
        <f>IFERROR(T29+T30+T31+T32+T33, "NA")</f>
        <v>517.88</v>
      </c>
      <c r="U34" s="14">
        <f>IFERROR(T34/T148, "NA")</f>
        <v>1.9027869428282114E-2</v>
      </c>
      <c r="V34" s="13">
        <f>IFERROR(V29+V30+V31+V32+V33, "NA")</f>
        <v>322.23</v>
      </c>
      <c r="W34" s="14">
        <f>IFERROR(V34/V148, "NA")</f>
        <v>7.8583866200377522E-3</v>
      </c>
      <c r="X34" s="13">
        <f>IFERROR(X29+X30+X31+X32+X33, "NA")</f>
        <v>419.45</v>
      </c>
      <c r="Y34" s="14">
        <f>IFERROR(X34/X148, "NA")</f>
        <v>1.3083469070360959E-2</v>
      </c>
      <c r="Z34" s="13">
        <f>IFERROR(Z29+Z30+Z31+Z32+Z33, "NA")</f>
        <v>1259.5599999999997</v>
      </c>
      <c r="AA34" s="14">
        <f>IFERROR(Z34/Z148, "NA")</f>
        <v>1.256029802636709E-2</v>
      </c>
      <c r="AB34" s="13">
        <f t="shared" si="6"/>
        <v>393.32249999999999</v>
      </c>
      <c r="AC34" s="14">
        <f>IFERROR(AB34/AB148, "NA")</f>
        <v>1.1771148210868372E-2</v>
      </c>
      <c r="AD34" s="15">
        <f t="shared" si="7"/>
        <v>26.127499999999998</v>
      </c>
      <c r="AE34" s="16">
        <f>IFERROR(AD34/AD148, "NA")</f>
        <v>-1.9288337670487092E-2</v>
      </c>
      <c r="AF34" s="15">
        <f t="shared" si="8"/>
        <v>6.6427677033477614E-2</v>
      </c>
      <c r="AG34" s="13">
        <f t="shared" si="9"/>
        <v>414.53999999999996</v>
      </c>
      <c r="AH34" s="14">
        <f>IFERROR(AG34/AG148, "NA")</f>
        <v>1.3464289195743469E-2</v>
      </c>
      <c r="AI34" s="15">
        <f t="shared" si="10"/>
        <v>4.910000000000025</v>
      </c>
      <c r="AJ34" s="16">
        <f>IFERROR(AI34/AI148, "NA")</f>
        <v>3.8617896170162714E-3</v>
      </c>
      <c r="AK34" s="15">
        <f t="shared" si="11"/>
        <v>1.1844454093694277E-2</v>
      </c>
      <c r="AL34" s="16">
        <f>IFERROR(AK34/AK148, "NA")</f>
        <v>0.28681719182302751</v>
      </c>
    </row>
    <row r="35" spans="1:38" ht="16.5" customHeight="1" x14ac:dyDescent="0.3">
      <c r="A35" s="27" t="s">
        <v>50</v>
      </c>
      <c r="B35" s="13">
        <f>IFERROR(B13+B15+B16+B17+B18+B19+B20+B21+B22+B23+B24+B25+B26+B29+B30+B31+B32+B33, "NA")</f>
        <v>7803.81</v>
      </c>
      <c r="C35" s="14">
        <f>IFERROR(B35/B148, "NA")</f>
        <v>0.27110192902542668</v>
      </c>
      <c r="D35" s="13">
        <f>IFERROR(D13+D15+D16+D17+D18+D19+D20+D21+D22+D23+D24+D25+D26+D29+D30+D31+D32+D33, "NA")</f>
        <v>8151.53</v>
      </c>
      <c r="E35" s="14">
        <f>IFERROR(D35/D148, "NA")</f>
        <v>0.24168270911340439</v>
      </c>
      <c r="F35" s="13">
        <f>IFERROR(F13+F15+F16+F17+F18+F19+F20+F21+F22+F23+F24+F25+F26+F29+F30+F31+F32+F33, "NA")</f>
        <v>7465.58</v>
      </c>
      <c r="G35" s="14">
        <f>IFERROR(F35/F148, "NA")</f>
        <v>0.25441407350887962</v>
      </c>
      <c r="H35" s="13">
        <f>IFERROR(H13+H15+H16+H17+H18+H19+H20+H21+H22+H23+H24+H25+H26+H29+H30+H31+H32+H33, "NA")</f>
        <v>6951.8600000000006</v>
      </c>
      <c r="I35" s="14">
        <f>IFERROR(H35/H148, "NA")</f>
        <v>0.23331364402172092</v>
      </c>
      <c r="J35" s="13">
        <f>IFERROR(J13+J15+J16+J17+J18+J19+J20+J21+J22+J23+J24+J25+J26+J29+J30+J31+J32+J33, "NA")</f>
        <v>7751.9699999999993</v>
      </c>
      <c r="K35" s="14">
        <f>IFERROR(J35/J148, "NA")</f>
        <v>0.25050540760282974</v>
      </c>
      <c r="L35" s="13">
        <f>IFERROR(L13+L15+L16+L17+L18+L19+L20+L21+L22+L23+L24+L25+L26+L29+L30+L31+L32+L33, "NA")</f>
        <v>6336.17</v>
      </c>
      <c r="M35" s="14">
        <f>IFERROR(L35/L148, "NA")</f>
        <v>0.27293383944201688</v>
      </c>
      <c r="N35" s="13">
        <f>IFERROR(N13+N15+N16+N17+N18+N19+N20+N21+N22+N23+N24+N25+N26+N29+N30+N31+N32+N33, "NA")</f>
        <v>5907.829999999999</v>
      </c>
      <c r="O35" s="14">
        <f>IFERROR(N35/N148, "NA")</f>
        <v>0.23407414040256519</v>
      </c>
      <c r="P35" s="13">
        <f>IFERROR(P13+P15+P16+P17+P18+P19+P20+P21+P22+P23+P24+P25+P26+P29+P30+P31+P32+P33, "NA")</f>
        <v>8006.420000000001</v>
      </c>
      <c r="Q35" s="14">
        <f>IFERROR(P35/P148, "NA")</f>
        <v>0.240802480442216</v>
      </c>
      <c r="R35" s="13">
        <f>IFERROR(R13+R15+R16+R17+R18+R19+R20+R21+R22+R23+R24+R25+R26+R29+R30+R31+R32+R33, "NA")</f>
        <v>7493.26</v>
      </c>
      <c r="S35" s="14">
        <f>IFERROR(R35/R148, "NA")</f>
        <v>0.22451446274801201</v>
      </c>
      <c r="T35" s="13">
        <f>IFERROR(T13+T15+T16+T17+T18+T19+T20+T21+T22+T23+T24+T25+T26+T29+T30+T31+T32+T33, "NA")</f>
        <v>6441.0599999999995</v>
      </c>
      <c r="U35" s="14">
        <f>IFERROR(T35/T148, "NA")</f>
        <v>0.23665646223011275</v>
      </c>
      <c r="V35" s="13">
        <f>IFERROR(V13+V15+V16+V17+V18+V19+V20+V21+V22+V23+V24+V25+V26+V29+V30+V31+V32+V33, "NA")</f>
        <v>8223.9</v>
      </c>
      <c r="W35" s="14">
        <f>IFERROR(V35/V148, "NA")</f>
        <v>0.20056042492793491</v>
      </c>
      <c r="X35" s="13">
        <f>IFERROR(X13+X15+X16+X17+X18+X19+X20+X21+X22+X23+X24+X25+X26+X29+X30+X31+X32+X33, "NA")</f>
        <v>7236.1100000000006</v>
      </c>
      <c r="Y35" s="14">
        <f>IFERROR(X35/X148, "NA")</f>
        <v>0.22570847866188973</v>
      </c>
      <c r="Z35" s="13">
        <f>IFERROR(Z13+Z15+Z16+Z17+Z18+Z19+Z20+Z21+Z22+Z23+Z24+Z25+Z26+Z29+Z30+Z31+Z32+Z33, "NA")</f>
        <v>21901.07</v>
      </c>
      <c r="AA35" s="14">
        <f>IFERROR(Z35/Z148, "NA")</f>
        <v>0.21839687374664768</v>
      </c>
      <c r="AB35" s="13">
        <f t="shared" si="6"/>
        <v>7348.5825000000004</v>
      </c>
      <c r="AC35" s="14">
        <f>IFERROR(AB35/AB148, "NA")</f>
        <v>0.21992449897296398</v>
      </c>
      <c r="AD35" s="15">
        <f t="shared" si="7"/>
        <v>-112.47249999999985</v>
      </c>
      <c r="AE35" s="16">
        <f>IFERROR(AD35/AD148, "NA")</f>
        <v>8.3031578170274886E-2</v>
      </c>
      <c r="AF35" s="15">
        <f t="shared" si="8"/>
        <v>-1.5305332695114989E-2</v>
      </c>
      <c r="AG35" s="13">
        <f t="shared" si="9"/>
        <v>7174.59</v>
      </c>
      <c r="AH35" s="14">
        <f>IFERROR(AG35/AG148, "NA")</f>
        <v>0.2330312023469126</v>
      </c>
      <c r="AI35" s="15">
        <f t="shared" si="10"/>
        <v>61.520000000000437</v>
      </c>
      <c r="AJ35" s="16">
        <f>IFERROR(AI35/AI148, "NA")</f>
        <v>4.8386414916261E-2</v>
      </c>
      <c r="AK35" s="15">
        <f t="shared" si="11"/>
        <v>8.5747060110752584E-3</v>
      </c>
      <c r="AL35" s="16">
        <f>IFERROR(AK35/AK148, "NA")</f>
        <v>0.20763921066771282</v>
      </c>
    </row>
    <row r="36" spans="1:38" ht="16.5" customHeight="1" x14ac:dyDescent="0.3">
      <c r="A36" s="22" t="s">
        <v>51</v>
      </c>
      <c r="B36" s="2"/>
      <c r="C36" s="3"/>
      <c r="D36" s="2"/>
      <c r="E36" s="3"/>
      <c r="F36" s="2"/>
      <c r="G36" s="3"/>
      <c r="H36" s="2"/>
      <c r="I36" s="3"/>
      <c r="J36" s="2"/>
      <c r="K36" s="3"/>
      <c r="L36" s="2"/>
      <c r="M36" s="3"/>
      <c r="N36" s="2"/>
      <c r="O36" s="3"/>
      <c r="P36" s="2"/>
      <c r="Q36" s="3"/>
      <c r="R36" s="2"/>
      <c r="S36" s="3"/>
      <c r="T36" s="2"/>
      <c r="U36" s="3"/>
      <c r="V36" s="2"/>
      <c r="W36" s="3"/>
      <c r="X36" s="2"/>
      <c r="Y36" s="3"/>
      <c r="Z36" s="2"/>
      <c r="AA36" s="3"/>
      <c r="AB36" s="2"/>
      <c r="AC36" s="3"/>
      <c r="AD36" s="4"/>
      <c r="AE36" s="5"/>
      <c r="AF36" s="4"/>
      <c r="AG36" s="2"/>
      <c r="AH36" s="3"/>
      <c r="AI36" s="4"/>
      <c r="AJ36" s="5"/>
      <c r="AK36" s="4"/>
      <c r="AL36" s="5"/>
    </row>
    <row r="37" spans="1:38" ht="16.5" hidden="1" customHeight="1" x14ac:dyDescent="0.3">
      <c r="A37" s="23" t="s">
        <v>52</v>
      </c>
      <c r="B37" s="7">
        <v>0</v>
      </c>
      <c r="C37" s="8">
        <f>IFERROR(B37/B148, "NA")</f>
        <v>0</v>
      </c>
      <c r="D37" s="7">
        <v>0</v>
      </c>
      <c r="E37" s="8">
        <f>IFERROR(D37/D148, "NA")</f>
        <v>0</v>
      </c>
      <c r="F37" s="7">
        <v>0</v>
      </c>
      <c r="G37" s="8">
        <f>IFERROR(F37/F148, "NA")</f>
        <v>0</v>
      </c>
      <c r="H37" s="7">
        <v>0</v>
      </c>
      <c r="I37" s="8">
        <f>IFERROR(H37/H148, "NA")</f>
        <v>0</v>
      </c>
      <c r="J37" s="7">
        <v>0</v>
      </c>
      <c r="K37" s="8">
        <f>IFERROR(J37/J148, "NA")</f>
        <v>0</v>
      </c>
      <c r="L37" s="7">
        <v>0</v>
      </c>
      <c r="M37" s="8">
        <f>IFERROR(L37/L148, "NA")</f>
        <v>0</v>
      </c>
      <c r="N37" s="7">
        <v>0</v>
      </c>
      <c r="O37" s="8">
        <f>IFERROR(N37/N148, "NA")</f>
        <v>0</v>
      </c>
      <c r="P37" s="7">
        <v>0</v>
      </c>
      <c r="Q37" s="8">
        <f>IFERROR(P37/P148, "NA")</f>
        <v>0</v>
      </c>
      <c r="R37" s="7">
        <v>0</v>
      </c>
      <c r="S37" s="8">
        <f>IFERROR(R37/R148, "NA")</f>
        <v>0</v>
      </c>
      <c r="T37" s="7">
        <v>0</v>
      </c>
      <c r="U37" s="8">
        <f>IFERROR(T37/T148, "NA")</f>
        <v>0</v>
      </c>
      <c r="V37" s="7">
        <v>0</v>
      </c>
      <c r="W37" s="8">
        <f>IFERROR(V37/V148, "NA")</f>
        <v>0</v>
      </c>
      <c r="X37" s="7">
        <v>0</v>
      </c>
      <c r="Y37" s="8">
        <f>IFERROR(X37/X148, "NA")</f>
        <v>0</v>
      </c>
      <c r="Z37" s="7">
        <v>0</v>
      </c>
      <c r="AA37" s="8">
        <f>IFERROR(Z37/Z148, "NA")</f>
        <v>0</v>
      </c>
      <c r="AB37" s="9">
        <f>IFERROR((R37+T37+V37+X37)/4, "NA")</f>
        <v>0</v>
      </c>
      <c r="AC37" s="8">
        <f>IFERROR(AB37/AB148, "NA")</f>
        <v>0</v>
      </c>
      <c r="AD37" s="10">
        <f>IFERROR(X37-AB37, "NA")</f>
        <v>0</v>
      </c>
      <c r="AE37" s="11">
        <f>IFERROR(AD37/AD148, "NA")</f>
        <v>0</v>
      </c>
      <c r="AF37" s="10" t="str">
        <f>IFERROR((X37-AB37)/AB37, "NA")</f>
        <v>NA</v>
      </c>
      <c r="AG37" s="9">
        <f>IFERROR((J37+L37+N37+P37+R37+T37+V37+X37)/8, "NA")</f>
        <v>0</v>
      </c>
      <c r="AH37" s="8">
        <f>IFERROR(AG37/AG148, "NA")</f>
        <v>0</v>
      </c>
      <c r="AI37" s="10">
        <f>IFERROR(X37-AG37, "NA")</f>
        <v>0</v>
      </c>
      <c r="AJ37" s="11">
        <f>IFERROR(AI37/AI148, "NA")</f>
        <v>0</v>
      </c>
      <c r="AK37" s="10" t="str">
        <f>IFERROR((X37-AG37)/AG37, "NA")</f>
        <v>NA</v>
      </c>
      <c r="AL37" s="11" t="str">
        <f>IFERROR(AK37/AK148, "NA")</f>
        <v>NA</v>
      </c>
    </row>
    <row r="38" spans="1:38" ht="16.5" customHeight="1" x14ac:dyDescent="0.3">
      <c r="A38" s="24" t="s">
        <v>53</v>
      </c>
      <c r="B38" s="2"/>
      <c r="C38" s="3"/>
      <c r="D38" s="2"/>
      <c r="E38" s="3"/>
      <c r="F38" s="2"/>
      <c r="G38" s="3"/>
      <c r="H38" s="2"/>
      <c r="I38" s="3"/>
      <c r="J38" s="2"/>
      <c r="K38" s="3"/>
      <c r="L38" s="2"/>
      <c r="M38" s="3"/>
      <c r="N38" s="2"/>
      <c r="O38" s="3"/>
      <c r="P38" s="2"/>
      <c r="Q38" s="3"/>
      <c r="R38" s="2"/>
      <c r="S38" s="3"/>
      <c r="T38" s="2"/>
      <c r="U38" s="3"/>
      <c r="V38" s="2"/>
      <c r="W38" s="3"/>
      <c r="X38" s="2"/>
      <c r="Y38" s="3"/>
      <c r="Z38" s="2"/>
      <c r="AA38" s="3"/>
      <c r="AB38" s="2"/>
      <c r="AC38" s="3"/>
      <c r="AD38" s="4"/>
      <c r="AE38" s="5"/>
      <c r="AF38" s="4"/>
      <c r="AG38" s="2"/>
      <c r="AH38" s="3"/>
      <c r="AI38" s="4"/>
      <c r="AJ38" s="5"/>
      <c r="AK38" s="4"/>
      <c r="AL38" s="5"/>
    </row>
    <row r="39" spans="1:38" ht="16.5" hidden="1" customHeight="1" x14ac:dyDescent="0.3">
      <c r="A39" s="25" t="s">
        <v>54</v>
      </c>
      <c r="B39" s="7">
        <v>0</v>
      </c>
      <c r="C39" s="8">
        <f>IFERROR(B39/B148, "NA")</f>
        <v>0</v>
      </c>
      <c r="D39" s="7">
        <v>0</v>
      </c>
      <c r="E39" s="8">
        <f>IFERROR(D39/D148, "NA")</f>
        <v>0</v>
      </c>
      <c r="F39" s="7">
        <v>0</v>
      </c>
      <c r="G39" s="8">
        <f>IFERROR(F39/F148, "NA")</f>
        <v>0</v>
      </c>
      <c r="H39" s="7">
        <v>0</v>
      </c>
      <c r="I39" s="8">
        <f>IFERROR(H39/H148, "NA")</f>
        <v>0</v>
      </c>
      <c r="J39" s="7">
        <v>0</v>
      </c>
      <c r="K39" s="8">
        <f>IFERROR(J39/J148, "NA")</f>
        <v>0</v>
      </c>
      <c r="L39" s="7">
        <v>0</v>
      </c>
      <c r="M39" s="8">
        <f>IFERROR(L39/L148, "NA")</f>
        <v>0</v>
      </c>
      <c r="N39" s="7">
        <v>0</v>
      </c>
      <c r="O39" s="8">
        <f>IFERROR(N39/N148, "NA")</f>
        <v>0</v>
      </c>
      <c r="P39" s="7">
        <v>0</v>
      </c>
      <c r="Q39" s="8">
        <f>IFERROR(P39/P148, "NA")</f>
        <v>0</v>
      </c>
      <c r="R39" s="7">
        <v>0</v>
      </c>
      <c r="S39" s="8">
        <f>IFERROR(R39/R148, "NA")</f>
        <v>0</v>
      </c>
      <c r="T39" s="7">
        <v>0</v>
      </c>
      <c r="U39" s="8">
        <f>IFERROR(T39/T148, "NA")</f>
        <v>0</v>
      </c>
      <c r="V39" s="7">
        <v>0</v>
      </c>
      <c r="W39" s="8">
        <f>IFERROR(V39/V148, "NA")</f>
        <v>0</v>
      </c>
      <c r="X39" s="7">
        <v>0</v>
      </c>
      <c r="Y39" s="8">
        <f>IFERROR(X39/X148, "NA")</f>
        <v>0</v>
      </c>
      <c r="Z39" s="7">
        <v>0</v>
      </c>
      <c r="AA39" s="8">
        <f>IFERROR(Z39/Z148, "NA")</f>
        <v>0</v>
      </c>
      <c r="AB39" s="9">
        <f t="shared" ref="AB39:AB44" si="12">IFERROR((R39+T39+V39+X39)/4, "NA")</f>
        <v>0</v>
      </c>
      <c r="AC39" s="8">
        <f>IFERROR(AB39/AB148, "NA")</f>
        <v>0</v>
      </c>
      <c r="AD39" s="10">
        <f t="shared" ref="AD39:AD44" si="13">IFERROR(X39-AB39, "NA")</f>
        <v>0</v>
      </c>
      <c r="AE39" s="11">
        <f>IFERROR(AD39/AD148, "NA")</f>
        <v>0</v>
      </c>
      <c r="AF39" s="10" t="str">
        <f t="shared" ref="AF39:AF44" si="14">IFERROR((X39-AB39)/AB39, "NA")</f>
        <v>NA</v>
      </c>
      <c r="AG39" s="9">
        <f t="shared" ref="AG39:AG44" si="15">IFERROR((J39+L39+N39+P39+R39+T39+V39+X39)/8, "NA")</f>
        <v>0</v>
      </c>
      <c r="AH39" s="8">
        <f>IFERROR(AG39/AG148, "NA")</f>
        <v>0</v>
      </c>
      <c r="AI39" s="10">
        <f t="shared" ref="AI39:AI44" si="16">IFERROR(X39-AG39, "NA")</f>
        <v>0</v>
      </c>
      <c r="AJ39" s="11">
        <f>IFERROR(AI39/AI148, "NA")</f>
        <v>0</v>
      </c>
      <c r="AK39" s="10" t="str">
        <f t="shared" ref="AK39:AK44" si="17">IFERROR((X39-AG39)/AG39, "NA")</f>
        <v>NA</v>
      </c>
      <c r="AL39" s="11" t="str">
        <f>IFERROR(AK39/AK148, "NA")</f>
        <v>NA</v>
      </c>
    </row>
    <row r="40" spans="1:38" ht="16.5" customHeight="1" x14ac:dyDescent="0.3">
      <c r="A40" s="25" t="s">
        <v>55</v>
      </c>
      <c r="B40" s="7">
        <v>949.68</v>
      </c>
      <c r="C40" s="8">
        <f>IFERROR(B40/B148, "NA")</f>
        <v>3.2991587437016939E-2</v>
      </c>
      <c r="D40" s="7">
        <v>988.9</v>
      </c>
      <c r="E40" s="8">
        <f>IFERROR(D40/D148, "NA")</f>
        <v>2.9319653002840642E-2</v>
      </c>
      <c r="F40" s="7">
        <v>888.38</v>
      </c>
      <c r="G40" s="8">
        <f>IFERROR(F40/F148, "NA")</f>
        <v>3.0274456187438681E-2</v>
      </c>
      <c r="H40" s="7">
        <v>821.15</v>
      </c>
      <c r="I40" s="8">
        <f>IFERROR(H40/H148, "NA")</f>
        <v>2.7558883347540961E-2</v>
      </c>
      <c r="J40" s="7">
        <v>920.09</v>
      </c>
      <c r="K40" s="8">
        <f>IFERROR(J40/J148, "NA")</f>
        <v>2.9732767345756968E-2</v>
      </c>
      <c r="L40" s="7">
        <v>690.78</v>
      </c>
      <c r="M40" s="8">
        <f>IFERROR(L40/L148, "NA")</f>
        <v>2.9755710091389029E-2</v>
      </c>
      <c r="N40" s="7">
        <v>917.2</v>
      </c>
      <c r="O40" s="8">
        <f>IFERROR(N40/N148, "NA")</f>
        <v>3.6340382437753428E-2</v>
      </c>
      <c r="P40" s="7">
        <v>824.36</v>
      </c>
      <c r="Q40" s="8">
        <f>IFERROR(P40/P148, "NA")</f>
        <v>2.479359473739139E-2</v>
      </c>
      <c r="R40" s="7">
        <v>1097.3499999999999</v>
      </c>
      <c r="S40" s="8">
        <f>IFERROR(R40/R148, "NA")</f>
        <v>3.2879006693552731E-2</v>
      </c>
      <c r="T40" s="7">
        <v>688.11</v>
      </c>
      <c r="U40" s="8">
        <f>IFERROR(T40/T148, "NA")</f>
        <v>2.5282434603180672E-2</v>
      </c>
      <c r="V40" s="7">
        <v>1006.73</v>
      </c>
      <c r="W40" s="8">
        <f>IFERROR(V40/V148, "NA")</f>
        <v>2.4551635670144328E-2</v>
      </c>
      <c r="X40" s="7">
        <v>854.98</v>
      </c>
      <c r="Y40" s="8">
        <f>IFERROR(X40/X148, "NA")</f>
        <v>2.6668504913046162E-2</v>
      </c>
      <c r="Z40" s="7">
        <v>2549.8200000000002</v>
      </c>
      <c r="AA40" s="8">
        <f>IFERROR(Z40/Z148, "NA")</f>
        <v>2.5426735616875213E-2</v>
      </c>
      <c r="AB40" s="9">
        <f t="shared" si="12"/>
        <v>911.79250000000002</v>
      </c>
      <c r="AC40" s="8">
        <f>IFERROR(AB40/AB148, "NA")</f>
        <v>2.7287644757312893E-2</v>
      </c>
      <c r="AD40" s="10">
        <f t="shared" si="13"/>
        <v>-56.8125</v>
      </c>
      <c r="AE40" s="11">
        <f>IFERROR(AD40/AD148, "NA")</f>
        <v>4.1941199269143546E-2</v>
      </c>
      <c r="AF40" s="10">
        <f t="shared" si="14"/>
        <v>-6.2308584464118751E-2</v>
      </c>
      <c r="AG40" s="9">
        <f t="shared" si="15"/>
        <v>874.94999999999982</v>
      </c>
      <c r="AH40" s="8">
        <f>IFERROR(AG40/AG148, "NA")</f>
        <v>2.8418439310599092E-2</v>
      </c>
      <c r="AI40" s="10">
        <f t="shared" si="16"/>
        <v>-19.9699999999998</v>
      </c>
      <c r="AJ40" s="11">
        <f>IFERROR(AI40/AI148, "NA")</f>
        <v>-1.5706708483057795E-2</v>
      </c>
      <c r="AK40" s="10">
        <f t="shared" si="17"/>
        <v>-2.2824161380650097E-2</v>
      </c>
      <c r="AL40" s="11">
        <f>IFERROR(AK40/AK148, "NA")</f>
        <v>-0.55269426696489055</v>
      </c>
    </row>
    <row r="41" spans="1:38" ht="16.5" customHeight="1" x14ac:dyDescent="0.3">
      <c r="A41" s="25" t="s">
        <v>56</v>
      </c>
      <c r="B41" s="7">
        <v>239.59</v>
      </c>
      <c r="C41" s="8">
        <f>IFERROR(B41/B148, "NA")</f>
        <v>8.3232819834416754E-3</v>
      </c>
      <c r="D41" s="7">
        <v>388.96</v>
      </c>
      <c r="E41" s="8">
        <f>IFERROR(D41/D148, "NA")</f>
        <v>1.1532179423586709E-2</v>
      </c>
      <c r="F41" s="7">
        <v>275.91000000000003</v>
      </c>
      <c r="G41" s="8">
        <f>IFERROR(F41/F148, "NA")</f>
        <v>9.4025363095479493E-3</v>
      </c>
      <c r="H41" s="7">
        <v>397.52</v>
      </c>
      <c r="I41" s="8">
        <f>IFERROR(H41/H148, "NA")</f>
        <v>1.3341298554849276E-2</v>
      </c>
      <c r="J41" s="7">
        <v>415.05</v>
      </c>
      <c r="K41" s="8">
        <f>IFERROR(J41/J148, "NA")</f>
        <v>1.3412367362819321E-2</v>
      </c>
      <c r="L41" s="7">
        <v>76.959999999999994</v>
      </c>
      <c r="M41" s="8">
        <f>IFERROR(L41/L148, "NA")</f>
        <v>3.3150922850014469E-3</v>
      </c>
      <c r="N41" s="7">
        <v>164.12</v>
      </c>
      <c r="O41" s="8">
        <f>IFERROR(N41/N148, "NA")</f>
        <v>6.5025987414785132E-3</v>
      </c>
      <c r="P41" s="7">
        <v>430.02</v>
      </c>
      <c r="Q41" s="8">
        <f>IFERROR(P41/P148, "NA")</f>
        <v>1.2933356311530211E-2</v>
      </c>
      <c r="R41" s="7">
        <v>173.71</v>
      </c>
      <c r="S41" s="8">
        <f>IFERROR(R41/R148, "NA")</f>
        <v>5.2047316286845998E-3</v>
      </c>
      <c r="T41" s="7">
        <v>137.46</v>
      </c>
      <c r="U41" s="8">
        <f>IFERROR(T41/T148, "NA")</f>
        <v>5.0505347408891241E-3</v>
      </c>
      <c r="V41" s="7">
        <v>560.49</v>
      </c>
      <c r="W41" s="8">
        <f>IFERROR(V41/V148, "NA")</f>
        <v>1.3668954214892963E-2</v>
      </c>
      <c r="X41" s="7">
        <v>429.82</v>
      </c>
      <c r="Y41" s="8">
        <f>IFERROR(X41/X148, "NA")</f>
        <v>1.3406929731368571E-2</v>
      </c>
      <c r="Z41" s="7">
        <v>1127.77</v>
      </c>
      <c r="AA41" s="8">
        <f>IFERROR(Z41/Z148, "NA")</f>
        <v>1.1246091734570815E-2</v>
      </c>
      <c r="AB41" s="9">
        <f t="shared" si="12"/>
        <v>325.37</v>
      </c>
      <c r="AC41" s="8">
        <f>IFERROR(AB41/AB148, "NA")</f>
        <v>9.7375016516223767E-3</v>
      </c>
      <c r="AD41" s="10">
        <f t="shared" si="13"/>
        <v>104.44999999999999</v>
      </c>
      <c r="AE41" s="11">
        <f>IFERROR(AD41/AD148, "NA")</f>
        <v>-7.7109056346086571E-2</v>
      </c>
      <c r="AF41" s="10">
        <f t="shared" si="14"/>
        <v>0.32101914743215415</v>
      </c>
      <c r="AG41" s="9">
        <f t="shared" si="15"/>
        <v>298.45375000000001</v>
      </c>
      <c r="AH41" s="8">
        <f>IFERROR(AG41/AG148, "NA")</f>
        <v>9.6937993958462945E-3</v>
      </c>
      <c r="AI41" s="10">
        <f t="shared" si="16"/>
        <v>131.36624999999998</v>
      </c>
      <c r="AJ41" s="11">
        <f>IFERROR(AI41/AI148, "NA")</f>
        <v>0.10332155199111225</v>
      </c>
      <c r="AK41" s="10">
        <f t="shared" si="17"/>
        <v>0.4401561380950984</v>
      </c>
      <c r="AL41" s="11">
        <f>IFERROR(AK41/AK148, "NA")</f>
        <v>10.658519716777365</v>
      </c>
    </row>
    <row r="42" spans="1:38" ht="16.5" hidden="1" customHeight="1" x14ac:dyDescent="0.3">
      <c r="A42" s="25" t="s">
        <v>57</v>
      </c>
      <c r="B42" s="7">
        <v>0</v>
      </c>
      <c r="C42" s="8">
        <f>IFERROR(B42/B148, "NA")</f>
        <v>0</v>
      </c>
      <c r="D42" s="7">
        <v>0</v>
      </c>
      <c r="E42" s="8">
        <f>IFERROR(D42/D148, "NA")</f>
        <v>0</v>
      </c>
      <c r="F42" s="7">
        <v>0</v>
      </c>
      <c r="G42" s="8">
        <f>IFERROR(F42/F148, "NA")</f>
        <v>0</v>
      </c>
      <c r="H42" s="7">
        <v>0</v>
      </c>
      <c r="I42" s="8">
        <f>IFERROR(H42/H148, "NA")</f>
        <v>0</v>
      </c>
      <c r="J42" s="7">
        <v>0</v>
      </c>
      <c r="K42" s="8">
        <f>IFERROR(J42/J148, "NA")</f>
        <v>0</v>
      </c>
      <c r="L42" s="7">
        <v>0</v>
      </c>
      <c r="M42" s="8">
        <f>IFERROR(L42/L148, "NA")</f>
        <v>0</v>
      </c>
      <c r="N42" s="7">
        <v>0</v>
      </c>
      <c r="O42" s="8">
        <f>IFERROR(N42/N148, "NA")</f>
        <v>0</v>
      </c>
      <c r="P42" s="7">
        <v>0</v>
      </c>
      <c r="Q42" s="8">
        <f>IFERROR(P42/P148, "NA")</f>
        <v>0</v>
      </c>
      <c r="R42" s="7">
        <v>0</v>
      </c>
      <c r="S42" s="8">
        <f>IFERROR(R42/R148, "NA")</f>
        <v>0</v>
      </c>
      <c r="T42" s="7">
        <v>0</v>
      </c>
      <c r="U42" s="8">
        <f>IFERROR(T42/T148, "NA")</f>
        <v>0</v>
      </c>
      <c r="V42" s="7">
        <v>0</v>
      </c>
      <c r="W42" s="8">
        <f>IFERROR(V42/V148, "NA")</f>
        <v>0</v>
      </c>
      <c r="X42" s="7">
        <v>0</v>
      </c>
      <c r="Y42" s="8">
        <f>IFERROR(X42/X148, "NA")</f>
        <v>0</v>
      </c>
      <c r="Z42" s="7">
        <v>0</v>
      </c>
      <c r="AA42" s="8">
        <f>IFERROR(Z42/Z148, "NA")</f>
        <v>0</v>
      </c>
      <c r="AB42" s="9">
        <f t="shared" si="12"/>
        <v>0</v>
      </c>
      <c r="AC42" s="8">
        <f>IFERROR(AB42/AB148, "NA")</f>
        <v>0</v>
      </c>
      <c r="AD42" s="10">
        <f t="shared" si="13"/>
        <v>0</v>
      </c>
      <c r="AE42" s="11">
        <f>IFERROR(AD42/AD148, "NA")</f>
        <v>0</v>
      </c>
      <c r="AF42" s="10" t="str">
        <f t="shared" si="14"/>
        <v>NA</v>
      </c>
      <c r="AG42" s="9">
        <f t="shared" si="15"/>
        <v>0</v>
      </c>
      <c r="AH42" s="8">
        <f>IFERROR(AG42/AG148, "NA")</f>
        <v>0</v>
      </c>
      <c r="AI42" s="10">
        <f t="shared" si="16"/>
        <v>0</v>
      </c>
      <c r="AJ42" s="11">
        <f>IFERROR(AI42/AI148, "NA")</f>
        <v>0</v>
      </c>
      <c r="AK42" s="10" t="str">
        <f t="shared" si="17"/>
        <v>NA</v>
      </c>
      <c r="AL42" s="11" t="str">
        <f>IFERROR(AK42/AK148, "NA")</f>
        <v>NA</v>
      </c>
    </row>
    <row r="43" spans="1:38" ht="16.5" hidden="1" customHeight="1" x14ac:dyDescent="0.3">
      <c r="A43" s="25" t="s">
        <v>58</v>
      </c>
      <c r="B43" s="7">
        <v>0</v>
      </c>
      <c r="C43" s="8">
        <f>IFERROR(B43/B148, "NA")</f>
        <v>0</v>
      </c>
      <c r="D43" s="7">
        <v>0</v>
      </c>
      <c r="E43" s="8">
        <f>IFERROR(D43/D148, "NA")</f>
        <v>0</v>
      </c>
      <c r="F43" s="7">
        <v>0</v>
      </c>
      <c r="G43" s="8">
        <f>IFERROR(F43/F148, "NA")</f>
        <v>0</v>
      </c>
      <c r="H43" s="7">
        <v>0</v>
      </c>
      <c r="I43" s="8">
        <f>IFERROR(H43/H148, "NA")</f>
        <v>0</v>
      </c>
      <c r="J43" s="7">
        <v>0</v>
      </c>
      <c r="K43" s="8">
        <f>IFERROR(J43/J148, "NA")</f>
        <v>0</v>
      </c>
      <c r="L43" s="7">
        <v>0</v>
      </c>
      <c r="M43" s="8">
        <f>IFERROR(L43/L148, "NA")</f>
        <v>0</v>
      </c>
      <c r="N43" s="7">
        <v>0</v>
      </c>
      <c r="O43" s="8">
        <f>IFERROR(N43/N148, "NA")</f>
        <v>0</v>
      </c>
      <c r="P43" s="7">
        <v>0</v>
      </c>
      <c r="Q43" s="8">
        <f>IFERROR(P43/P148, "NA")</f>
        <v>0</v>
      </c>
      <c r="R43" s="7">
        <v>0</v>
      </c>
      <c r="S43" s="8">
        <f>IFERROR(R43/R148, "NA")</f>
        <v>0</v>
      </c>
      <c r="T43" s="7">
        <v>0</v>
      </c>
      <c r="U43" s="8">
        <f>IFERROR(T43/T148, "NA")</f>
        <v>0</v>
      </c>
      <c r="V43" s="7">
        <v>0</v>
      </c>
      <c r="W43" s="8">
        <f>IFERROR(V43/V148, "NA")</f>
        <v>0</v>
      </c>
      <c r="X43" s="7">
        <v>0</v>
      </c>
      <c r="Y43" s="8">
        <f>IFERROR(X43/X148, "NA")</f>
        <v>0</v>
      </c>
      <c r="Z43" s="7">
        <v>0</v>
      </c>
      <c r="AA43" s="8">
        <f>IFERROR(Z43/Z148, "NA")</f>
        <v>0</v>
      </c>
      <c r="AB43" s="9">
        <f t="shared" si="12"/>
        <v>0</v>
      </c>
      <c r="AC43" s="8">
        <f>IFERROR(AB43/AB148, "NA")</f>
        <v>0</v>
      </c>
      <c r="AD43" s="10">
        <f t="shared" si="13"/>
        <v>0</v>
      </c>
      <c r="AE43" s="11">
        <f>IFERROR(AD43/AD148, "NA")</f>
        <v>0</v>
      </c>
      <c r="AF43" s="10" t="str">
        <f t="shared" si="14"/>
        <v>NA</v>
      </c>
      <c r="AG43" s="9">
        <f t="shared" si="15"/>
        <v>0</v>
      </c>
      <c r="AH43" s="8">
        <f>IFERROR(AG43/AG148, "NA")</f>
        <v>0</v>
      </c>
      <c r="AI43" s="10">
        <f t="shared" si="16"/>
        <v>0</v>
      </c>
      <c r="AJ43" s="11">
        <f>IFERROR(AI43/AI148, "NA")</f>
        <v>0</v>
      </c>
      <c r="AK43" s="10" t="str">
        <f t="shared" si="17"/>
        <v>NA</v>
      </c>
      <c r="AL43" s="11" t="str">
        <f>IFERROR(AK43/AK148, "NA")</f>
        <v>NA</v>
      </c>
    </row>
    <row r="44" spans="1:38" ht="16.5" customHeight="1" x14ac:dyDescent="0.3">
      <c r="A44" s="26" t="s">
        <v>59</v>
      </c>
      <c r="B44" s="13">
        <f>IFERROR(B39+B40+B41+B42+B43, "NA")</f>
        <v>1189.27</v>
      </c>
      <c r="C44" s="14">
        <f>IFERROR(B44/B148, "NA")</f>
        <v>4.1314869420458616E-2</v>
      </c>
      <c r="D44" s="13">
        <f>IFERROR(D39+D40+D41+D42+D43, "NA")</f>
        <v>1377.86</v>
      </c>
      <c r="E44" s="14">
        <f>IFERROR(D44/D148, "NA")</f>
        <v>4.0851832426427349E-2</v>
      </c>
      <c r="F44" s="13">
        <f>IFERROR(F39+F40+F41+F42+F43, "NA")</f>
        <v>1164.29</v>
      </c>
      <c r="G44" s="14">
        <f>IFERROR(F44/F148, "NA")</f>
        <v>3.9676992496986627E-2</v>
      </c>
      <c r="H44" s="13">
        <f>IFERROR(H39+H40+H41+H42+H43, "NA")</f>
        <v>1218.67</v>
      </c>
      <c r="I44" s="14">
        <f>IFERROR(H44/H148, "NA")</f>
        <v>4.090018190239024E-2</v>
      </c>
      <c r="J44" s="13">
        <f>IFERROR(J39+J40+J41+J42+J43, "NA")</f>
        <v>1335.14</v>
      </c>
      <c r="K44" s="14">
        <f>IFERROR(J44/J148, "NA")</f>
        <v>4.314513470857629E-2</v>
      </c>
      <c r="L44" s="13">
        <f>IFERROR(L39+L40+L41+L42+L43, "NA")</f>
        <v>767.74</v>
      </c>
      <c r="M44" s="14">
        <f>IFERROR(L44/L148, "NA")</f>
        <v>3.3070802376390478E-2</v>
      </c>
      <c r="N44" s="13">
        <f>IFERROR(N39+N40+N41+N42+N43, "NA")</f>
        <v>1081.3200000000002</v>
      </c>
      <c r="O44" s="14">
        <f>IFERROR(N44/N148, "NA")</f>
        <v>4.2842981179231944E-2</v>
      </c>
      <c r="P44" s="13">
        <f>IFERROR(P39+P40+P41+P42+P43, "NA")</f>
        <v>1254.3800000000001</v>
      </c>
      <c r="Q44" s="14">
        <f>IFERROR(P44/P148, "NA")</f>
        <v>3.7726951048921605E-2</v>
      </c>
      <c r="R44" s="13">
        <f>IFERROR(R39+R40+R41+R42+R43, "NA")</f>
        <v>1271.06</v>
      </c>
      <c r="S44" s="14">
        <f>IFERROR(R44/R148, "NA")</f>
        <v>3.8083738322237333E-2</v>
      </c>
      <c r="T44" s="13">
        <f>IFERROR(T39+T40+T41+T42+T43, "NA")</f>
        <v>825.57</v>
      </c>
      <c r="U44" s="14">
        <f>IFERROR(T44/T148, "NA")</f>
        <v>3.0332969344069795E-2</v>
      </c>
      <c r="V44" s="13">
        <f>IFERROR(V39+V40+V41+V42+V43, "NA")</f>
        <v>1567.22</v>
      </c>
      <c r="W44" s="14">
        <f>IFERROR(V44/V148, "NA")</f>
        <v>3.8220589885037293E-2</v>
      </c>
      <c r="X44" s="13">
        <f>IFERROR(X39+X40+X41+X42+X43, "NA")</f>
        <v>1284.8</v>
      </c>
      <c r="Y44" s="14">
        <f>IFERROR(X44/X148, "NA")</f>
        <v>4.007543464441473E-2</v>
      </c>
      <c r="Z44" s="13">
        <f>IFERROR(Z39+Z40+Z41+Z42+Z43, "NA")</f>
        <v>3677.59</v>
      </c>
      <c r="AA44" s="14">
        <f>IFERROR(Z44/Z148, "NA")</f>
        <v>3.667282735144603E-2</v>
      </c>
      <c r="AB44" s="13">
        <f t="shared" si="12"/>
        <v>1237.1625000000001</v>
      </c>
      <c r="AC44" s="14">
        <f>IFERROR(AB44/AB148, "NA")</f>
        <v>3.7025146408935269E-2</v>
      </c>
      <c r="AD44" s="15">
        <f t="shared" si="13"/>
        <v>47.637499999999818</v>
      </c>
      <c r="AE44" s="16">
        <f>IFERROR(AD44/AD148, "NA")</f>
        <v>-3.5167857076942893E-2</v>
      </c>
      <c r="AF44" s="15">
        <f t="shared" si="14"/>
        <v>3.8505450981580681E-2</v>
      </c>
      <c r="AG44" s="13">
        <f t="shared" si="15"/>
        <v>1173.4037499999999</v>
      </c>
      <c r="AH44" s="14">
        <f>IFERROR(AG44/AG148, "NA")</f>
        <v>3.8112238706445388E-2</v>
      </c>
      <c r="AI44" s="15">
        <f t="shared" si="16"/>
        <v>111.39625000000001</v>
      </c>
      <c r="AJ44" s="16">
        <f>IFERROR(AI44/AI148, "NA")</f>
        <v>8.7614843508054319E-2</v>
      </c>
      <c r="AK44" s="15">
        <f t="shared" si="17"/>
        <v>9.493428838965276E-2</v>
      </c>
      <c r="AL44" s="16">
        <f>IFERROR(AK44/AK148, "NA")</f>
        <v>2.2988637372602629</v>
      </c>
    </row>
    <row r="45" spans="1:38" ht="16.5" customHeight="1" x14ac:dyDescent="0.3">
      <c r="A45" s="24" t="s">
        <v>60</v>
      </c>
      <c r="B45" s="2"/>
      <c r="C45" s="3"/>
      <c r="D45" s="2"/>
      <c r="E45" s="3"/>
      <c r="F45" s="2"/>
      <c r="G45" s="3"/>
      <c r="H45" s="2"/>
      <c r="I45" s="3"/>
      <c r="J45" s="2"/>
      <c r="K45" s="3"/>
      <c r="L45" s="2"/>
      <c r="M45" s="3"/>
      <c r="N45" s="2"/>
      <c r="O45" s="3"/>
      <c r="P45" s="2"/>
      <c r="Q45" s="3"/>
      <c r="R45" s="2"/>
      <c r="S45" s="3"/>
      <c r="T45" s="2"/>
      <c r="U45" s="3"/>
      <c r="V45" s="2"/>
      <c r="W45" s="3"/>
      <c r="X45" s="2"/>
      <c r="Y45" s="3"/>
      <c r="Z45" s="2"/>
      <c r="AA45" s="3"/>
      <c r="AB45" s="2"/>
      <c r="AC45" s="3"/>
      <c r="AD45" s="4"/>
      <c r="AE45" s="5"/>
      <c r="AF45" s="4"/>
      <c r="AG45" s="2"/>
      <c r="AH45" s="3"/>
      <c r="AI45" s="4"/>
      <c r="AJ45" s="5"/>
      <c r="AK45" s="4"/>
      <c r="AL45" s="5"/>
    </row>
    <row r="46" spans="1:38" ht="16.5" hidden="1" customHeight="1" x14ac:dyDescent="0.3">
      <c r="A46" s="25" t="s">
        <v>61</v>
      </c>
      <c r="B46" s="7">
        <v>0</v>
      </c>
      <c r="C46" s="8">
        <f>IFERROR(B46/B148, "NA")</f>
        <v>0</v>
      </c>
      <c r="D46" s="7">
        <v>0</v>
      </c>
      <c r="E46" s="8">
        <f>IFERROR(D46/D148, "NA")</f>
        <v>0</v>
      </c>
      <c r="F46" s="7">
        <v>0</v>
      </c>
      <c r="G46" s="8">
        <f>IFERROR(F46/F148, "NA")</f>
        <v>0</v>
      </c>
      <c r="H46" s="7">
        <v>0</v>
      </c>
      <c r="I46" s="8">
        <f>IFERROR(H46/H148, "NA")</f>
        <v>0</v>
      </c>
      <c r="J46" s="7">
        <v>0</v>
      </c>
      <c r="K46" s="8">
        <f>IFERROR(J46/J148, "NA")</f>
        <v>0</v>
      </c>
      <c r="L46" s="7">
        <v>0</v>
      </c>
      <c r="M46" s="8">
        <f>IFERROR(L46/L148, "NA")</f>
        <v>0</v>
      </c>
      <c r="N46" s="7">
        <v>0</v>
      </c>
      <c r="O46" s="8">
        <f>IFERROR(N46/N148, "NA")</f>
        <v>0</v>
      </c>
      <c r="P46" s="7">
        <v>0</v>
      </c>
      <c r="Q46" s="8">
        <f>IFERROR(P46/P148, "NA")</f>
        <v>0</v>
      </c>
      <c r="R46" s="7">
        <v>0</v>
      </c>
      <c r="S46" s="8">
        <f>IFERROR(R46/R148, "NA")</f>
        <v>0</v>
      </c>
      <c r="T46" s="7">
        <v>0</v>
      </c>
      <c r="U46" s="8">
        <f>IFERROR(T46/T148, "NA")</f>
        <v>0</v>
      </c>
      <c r="V46" s="7">
        <v>0</v>
      </c>
      <c r="W46" s="8">
        <f>IFERROR(V46/V148, "NA")</f>
        <v>0</v>
      </c>
      <c r="X46" s="7">
        <v>0</v>
      </c>
      <c r="Y46" s="8">
        <f>IFERROR(X46/X148, "NA")</f>
        <v>0</v>
      </c>
      <c r="Z46" s="7">
        <v>0</v>
      </c>
      <c r="AA46" s="8">
        <f>IFERROR(Z46/Z148, "NA")</f>
        <v>0</v>
      </c>
      <c r="AB46" s="9">
        <f t="shared" ref="AB46:AB57" si="18">IFERROR((R46+T46+V46+X46)/4, "NA")</f>
        <v>0</v>
      </c>
      <c r="AC46" s="8">
        <f>IFERROR(AB46/AB148, "NA")</f>
        <v>0</v>
      </c>
      <c r="AD46" s="10">
        <f t="shared" ref="AD46:AD57" si="19">IFERROR(X46-AB46, "NA")</f>
        <v>0</v>
      </c>
      <c r="AE46" s="11">
        <f>IFERROR(AD46/AD148, "NA")</f>
        <v>0</v>
      </c>
      <c r="AF46" s="10" t="str">
        <f t="shared" ref="AF46:AF57" si="20">IFERROR((X46-AB46)/AB46, "NA")</f>
        <v>NA</v>
      </c>
      <c r="AG46" s="9">
        <f t="shared" ref="AG46:AG57" si="21">IFERROR((J46+L46+N46+P46+R46+T46+V46+X46)/8, "NA")</f>
        <v>0</v>
      </c>
      <c r="AH46" s="8">
        <f>IFERROR(AG46/AG148, "NA")</f>
        <v>0</v>
      </c>
      <c r="AI46" s="10">
        <f t="shared" ref="AI46:AI57" si="22">IFERROR(X46-AG46, "NA")</f>
        <v>0</v>
      </c>
      <c r="AJ46" s="11">
        <f>IFERROR(AI46/AI148, "NA")</f>
        <v>0</v>
      </c>
      <c r="AK46" s="10" t="str">
        <f t="shared" ref="AK46:AK57" si="23">IFERROR((X46-AG46)/AG46, "NA")</f>
        <v>NA</v>
      </c>
      <c r="AL46" s="11" t="str">
        <f>IFERROR(AK46/AK148, "NA")</f>
        <v>NA</v>
      </c>
    </row>
    <row r="47" spans="1:38" ht="16.5" customHeight="1" x14ac:dyDescent="0.3">
      <c r="A47" s="25" t="s">
        <v>62</v>
      </c>
      <c r="B47" s="7">
        <v>135.19999999999999</v>
      </c>
      <c r="C47" s="8">
        <f>IFERROR(B47/B148, "NA")</f>
        <v>4.6968058940745202E-3</v>
      </c>
      <c r="D47" s="7">
        <v>166.06</v>
      </c>
      <c r="E47" s="8">
        <f>IFERROR(D47/D148, "NA")</f>
        <v>4.9234721181633306E-3</v>
      </c>
      <c r="F47" s="7">
        <v>171.21</v>
      </c>
      <c r="G47" s="8">
        <f>IFERROR(F47/F148, "NA")</f>
        <v>5.8345411241263615E-3</v>
      </c>
      <c r="H47" s="7">
        <v>140.69999999999999</v>
      </c>
      <c r="I47" s="8">
        <f>IFERROR(H47/H148, "NA")</f>
        <v>4.7220786543250475E-3</v>
      </c>
      <c r="J47" s="7">
        <v>98.82</v>
      </c>
      <c r="K47" s="8">
        <f>IFERROR(J47/J148, "NA")</f>
        <v>3.193374636293953E-3</v>
      </c>
      <c r="L47" s="7">
        <v>146.81</v>
      </c>
      <c r="M47" s="8">
        <f>IFERROR(L47/L148, "NA")</f>
        <v>6.3239175982466537E-3</v>
      </c>
      <c r="N47" s="7">
        <v>144.33000000000001</v>
      </c>
      <c r="O47" s="8">
        <f>IFERROR(N47/N148, "NA")</f>
        <v>5.7184991247720808E-3</v>
      </c>
      <c r="P47" s="7">
        <v>103.74</v>
      </c>
      <c r="Q47" s="8">
        <f>IFERROR(P47/P148, "NA")</f>
        <v>3.1201022830522861E-3</v>
      </c>
      <c r="R47" s="7">
        <v>21.24</v>
      </c>
      <c r="S47" s="8">
        <f>IFERROR(R47/R148, "NA")</f>
        <v>6.3639686715365206E-4</v>
      </c>
      <c r="T47" s="7">
        <v>46.84</v>
      </c>
      <c r="U47" s="8">
        <f>IFERROR(T47/T148, "NA")</f>
        <v>1.7209882675923655E-3</v>
      </c>
      <c r="V47" s="7">
        <v>118.01</v>
      </c>
      <c r="W47" s="8">
        <f>IFERROR(V47/V148, "NA")</f>
        <v>2.877969788755408E-3</v>
      </c>
      <c r="X47" s="7">
        <v>111.85</v>
      </c>
      <c r="Y47" s="8">
        <f>IFERROR(X47/X148, "NA")</f>
        <v>3.488821112218079E-3</v>
      </c>
      <c r="Z47" s="7">
        <v>276.7</v>
      </c>
      <c r="AA47" s="8">
        <f>IFERROR(Z47/Z148, "NA")</f>
        <v>2.7592448663785562E-3</v>
      </c>
      <c r="AB47" s="9">
        <f t="shared" si="18"/>
        <v>74.484999999999999</v>
      </c>
      <c r="AC47" s="8">
        <f>IFERROR(AB47/AB148, "NA")</f>
        <v>2.2291477718323531E-3</v>
      </c>
      <c r="AD47" s="10">
        <f t="shared" si="19"/>
        <v>37.364999999999995</v>
      </c>
      <c r="AE47" s="11">
        <f>IFERROR(AD47/AD148, "NA")</f>
        <v>-2.7584297657937046E-2</v>
      </c>
      <c r="AF47" s="10">
        <f t="shared" si="20"/>
        <v>0.50164462643485264</v>
      </c>
      <c r="AG47" s="9">
        <f t="shared" si="21"/>
        <v>98.955000000000013</v>
      </c>
      <c r="AH47" s="8">
        <f>IFERROR(AG47/AG148, "NA")</f>
        <v>3.2140655602952558E-3</v>
      </c>
      <c r="AI47" s="10">
        <f t="shared" si="22"/>
        <v>12.894999999999982</v>
      </c>
      <c r="AJ47" s="11">
        <f>IFERROR(AI47/AI148, "NA")</f>
        <v>1.0142113464648574E-2</v>
      </c>
      <c r="AK47" s="10">
        <f t="shared" si="23"/>
        <v>0.13031175786973856</v>
      </c>
      <c r="AL47" s="11">
        <f>IFERROR(AK47/AK148, "NA")</f>
        <v>3.1555403193819358</v>
      </c>
    </row>
    <row r="48" spans="1:38" ht="16.5" hidden="1" customHeight="1" x14ac:dyDescent="0.3">
      <c r="A48" s="25" t="s">
        <v>63</v>
      </c>
      <c r="B48" s="7">
        <v>0</v>
      </c>
      <c r="C48" s="8">
        <f>IFERROR(B48/B148, "NA")</f>
        <v>0</v>
      </c>
      <c r="D48" s="7">
        <v>0</v>
      </c>
      <c r="E48" s="8">
        <f>IFERROR(D48/D148, "NA")</f>
        <v>0</v>
      </c>
      <c r="F48" s="7">
        <v>0</v>
      </c>
      <c r="G48" s="8">
        <f>IFERROR(F48/F148, "NA")</f>
        <v>0</v>
      </c>
      <c r="H48" s="7">
        <v>0</v>
      </c>
      <c r="I48" s="8">
        <f>IFERROR(H48/H148, "NA")</f>
        <v>0</v>
      </c>
      <c r="J48" s="7">
        <v>0</v>
      </c>
      <c r="K48" s="8">
        <f>IFERROR(J48/J148, "NA")</f>
        <v>0</v>
      </c>
      <c r="L48" s="7">
        <v>0</v>
      </c>
      <c r="M48" s="8">
        <f>IFERROR(L48/L148, "NA")</f>
        <v>0</v>
      </c>
      <c r="N48" s="7">
        <v>0</v>
      </c>
      <c r="O48" s="8">
        <f>IFERROR(N48/N148, "NA")</f>
        <v>0</v>
      </c>
      <c r="P48" s="7">
        <v>0</v>
      </c>
      <c r="Q48" s="8">
        <f>IFERROR(P48/P148, "NA")</f>
        <v>0</v>
      </c>
      <c r="R48" s="7">
        <v>0</v>
      </c>
      <c r="S48" s="8">
        <f>IFERROR(R48/R148, "NA")</f>
        <v>0</v>
      </c>
      <c r="T48" s="7">
        <v>0</v>
      </c>
      <c r="U48" s="8">
        <f>IFERROR(T48/T148, "NA")</f>
        <v>0</v>
      </c>
      <c r="V48" s="7">
        <v>0</v>
      </c>
      <c r="W48" s="8">
        <f>IFERROR(V48/V148, "NA")</f>
        <v>0</v>
      </c>
      <c r="X48" s="7">
        <v>0</v>
      </c>
      <c r="Y48" s="8">
        <f>IFERROR(X48/X148, "NA")</f>
        <v>0</v>
      </c>
      <c r="Z48" s="7">
        <v>0</v>
      </c>
      <c r="AA48" s="8">
        <f>IFERROR(Z48/Z148, "NA")</f>
        <v>0</v>
      </c>
      <c r="AB48" s="9">
        <f t="shared" si="18"/>
        <v>0</v>
      </c>
      <c r="AC48" s="8">
        <f>IFERROR(AB48/AB148, "NA")</f>
        <v>0</v>
      </c>
      <c r="AD48" s="10">
        <f t="shared" si="19"/>
        <v>0</v>
      </c>
      <c r="AE48" s="11">
        <f>IFERROR(AD48/AD148, "NA")</f>
        <v>0</v>
      </c>
      <c r="AF48" s="10" t="str">
        <f t="shared" si="20"/>
        <v>NA</v>
      </c>
      <c r="AG48" s="9">
        <f t="shared" si="21"/>
        <v>0</v>
      </c>
      <c r="AH48" s="8">
        <f>IFERROR(AG48/AG148, "NA")</f>
        <v>0</v>
      </c>
      <c r="AI48" s="10">
        <f t="shared" si="22"/>
        <v>0</v>
      </c>
      <c r="AJ48" s="11">
        <f>IFERROR(AI48/AI148, "NA")</f>
        <v>0</v>
      </c>
      <c r="AK48" s="10" t="str">
        <f t="shared" si="23"/>
        <v>NA</v>
      </c>
      <c r="AL48" s="11" t="str">
        <f>IFERROR(AK48/AK148, "NA")</f>
        <v>NA</v>
      </c>
    </row>
    <row r="49" spans="1:38" ht="16.5" hidden="1" customHeight="1" x14ac:dyDescent="0.3">
      <c r="A49" s="25" t="s">
        <v>64</v>
      </c>
      <c r="B49" s="7">
        <v>0</v>
      </c>
      <c r="C49" s="8">
        <f>IFERROR(B49/B148, "NA")</f>
        <v>0</v>
      </c>
      <c r="D49" s="7">
        <v>0</v>
      </c>
      <c r="E49" s="8">
        <f>IFERROR(D49/D148, "NA")</f>
        <v>0</v>
      </c>
      <c r="F49" s="7">
        <v>0</v>
      </c>
      <c r="G49" s="8">
        <f>IFERROR(F49/F148, "NA")</f>
        <v>0</v>
      </c>
      <c r="H49" s="7">
        <v>0</v>
      </c>
      <c r="I49" s="8">
        <f>IFERROR(H49/H148, "NA")</f>
        <v>0</v>
      </c>
      <c r="J49" s="7">
        <v>0</v>
      </c>
      <c r="K49" s="8">
        <f>IFERROR(J49/J148, "NA")</f>
        <v>0</v>
      </c>
      <c r="L49" s="7">
        <v>0</v>
      </c>
      <c r="M49" s="8">
        <f>IFERROR(L49/L148, "NA")</f>
        <v>0</v>
      </c>
      <c r="N49" s="7">
        <v>0</v>
      </c>
      <c r="O49" s="8">
        <f>IFERROR(N49/N148, "NA")</f>
        <v>0</v>
      </c>
      <c r="P49" s="7">
        <v>0</v>
      </c>
      <c r="Q49" s="8">
        <f>IFERROR(P49/P148, "NA")</f>
        <v>0</v>
      </c>
      <c r="R49" s="7">
        <v>0</v>
      </c>
      <c r="S49" s="8">
        <f>IFERROR(R49/R148, "NA")</f>
        <v>0</v>
      </c>
      <c r="T49" s="7">
        <v>0</v>
      </c>
      <c r="U49" s="8">
        <f>IFERROR(T49/T148, "NA")</f>
        <v>0</v>
      </c>
      <c r="V49" s="7">
        <v>0</v>
      </c>
      <c r="W49" s="8">
        <f>IFERROR(V49/V148, "NA")</f>
        <v>0</v>
      </c>
      <c r="X49" s="7">
        <v>0</v>
      </c>
      <c r="Y49" s="8">
        <f>IFERROR(X49/X148, "NA")</f>
        <v>0</v>
      </c>
      <c r="Z49" s="7">
        <v>0</v>
      </c>
      <c r="AA49" s="8">
        <f>IFERROR(Z49/Z148, "NA")</f>
        <v>0</v>
      </c>
      <c r="AB49" s="9">
        <f t="shared" si="18"/>
        <v>0</v>
      </c>
      <c r="AC49" s="8">
        <f>IFERROR(AB49/AB148, "NA")</f>
        <v>0</v>
      </c>
      <c r="AD49" s="10">
        <f t="shared" si="19"/>
        <v>0</v>
      </c>
      <c r="AE49" s="11">
        <f>IFERROR(AD49/AD148, "NA")</f>
        <v>0</v>
      </c>
      <c r="AF49" s="10" t="str">
        <f t="shared" si="20"/>
        <v>NA</v>
      </c>
      <c r="AG49" s="9">
        <f t="shared" si="21"/>
        <v>0</v>
      </c>
      <c r="AH49" s="8">
        <f>IFERROR(AG49/AG148, "NA")</f>
        <v>0</v>
      </c>
      <c r="AI49" s="10">
        <f t="shared" si="22"/>
        <v>0</v>
      </c>
      <c r="AJ49" s="11">
        <f>IFERROR(AI49/AI148, "NA")</f>
        <v>0</v>
      </c>
      <c r="AK49" s="10" t="str">
        <f t="shared" si="23"/>
        <v>NA</v>
      </c>
      <c r="AL49" s="11" t="str">
        <f>IFERROR(AK49/AK148, "NA")</f>
        <v>NA</v>
      </c>
    </row>
    <row r="50" spans="1:38" ht="16.5" hidden="1" customHeight="1" x14ac:dyDescent="0.3">
      <c r="A50" s="25" t="s">
        <v>65</v>
      </c>
      <c r="B50" s="7">
        <v>0</v>
      </c>
      <c r="C50" s="8">
        <f>IFERROR(B50/B148, "NA")</f>
        <v>0</v>
      </c>
      <c r="D50" s="7">
        <v>0</v>
      </c>
      <c r="E50" s="8">
        <f>IFERROR(D50/D148, "NA")</f>
        <v>0</v>
      </c>
      <c r="F50" s="7">
        <v>0</v>
      </c>
      <c r="G50" s="8">
        <f>IFERROR(F50/F148, "NA")</f>
        <v>0</v>
      </c>
      <c r="H50" s="7">
        <v>0</v>
      </c>
      <c r="I50" s="8">
        <f>IFERROR(H50/H148, "NA")</f>
        <v>0</v>
      </c>
      <c r="J50" s="7">
        <v>0</v>
      </c>
      <c r="K50" s="8">
        <f>IFERROR(J50/J148, "NA")</f>
        <v>0</v>
      </c>
      <c r="L50" s="7">
        <v>0</v>
      </c>
      <c r="M50" s="8">
        <f>IFERROR(L50/L148, "NA")</f>
        <v>0</v>
      </c>
      <c r="N50" s="7">
        <v>0</v>
      </c>
      <c r="O50" s="8">
        <f>IFERROR(N50/N148, "NA")</f>
        <v>0</v>
      </c>
      <c r="P50" s="7">
        <v>0</v>
      </c>
      <c r="Q50" s="8">
        <f>IFERROR(P50/P148, "NA")</f>
        <v>0</v>
      </c>
      <c r="R50" s="7">
        <v>0</v>
      </c>
      <c r="S50" s="8">
        <f>IFERROR(R50/R148, "NA")</f>
        <v>0</v>
      </c>
      <c r="T50" s="7">
        <v>0</v>
      </c>
      <c r="U50" s="8">
        <f>IFERROR(T50/T148, "NA")</f>
        <v>0</v>
      </c>
      <c r="V50" s="7">
        <v>0</v>
      </c>
      <c r="W50" s="8">
        <f>IFERROR(V50/V148, "NA")</f>
        <v>0</v>
      </c>
      <c r="X50" s="7">
        <v>0</v>
      </c>
      <c r="Y50" s="8">
        <f>IFERROR(X50/X148, "NA")</f>
        <v>0</v>
      </c>
      <c r="Z50" s="7">
        <v>0</v>
      </c>
      <c r="AA50" s="8">
        <f>IFERROR(Z50/Z148, "NA")</f>
        <v>0</v>
      </c>
      <c r="AB50" s="9">
        <f t="shared" si="18"/>
        <v>0</v>
      </c>
      <c r="AC50" s="8">
        <f>IFERROR(AB50/AB148, "NA")</f>
        <v>0</v>
      </c>
      <c r="AD50" s="10">
        <f t="shared" si="19"/>
        <v>0</v>
      </c>
      <c r="AE50" s="11">
        <f>IFERROR(AD50/AD148, "NA")</f>
        <v>0</v>
      </c>
      <c r="AF50" s="10" t="str">
        <f t="shared" si="20"/>
        <v>NA</v>
      </c>
      <c r="AG50" s="9">
        <f t="shared" si="21"/>
        <v>0</v>
      </c>
      <c r="AH50" s="8">
        <f>IFERROR(AG50/AG148, "NA")</f>
        <v>0</v>
      </c>
      <c r="AI50" s="10">
        <f t="shared" si="22"/>
        <v>0</v>
      </c>
      <c r="AJ50" s="11">
        <f>IFERROR(AI50/AI148, "NA")</f>
        <v>0</v>
      </c>
      <c r="AK50" s="10" t="str">
        <f t="shared" si="23"/>
        <v>NA</v>
      </c>
      <c r="AL50" s="11" t="str">
        <f>IFERROR(AK50/AK148, "NA")</f>
        <v>NA</v>
      </c>
    </row>
    <row r="51" spans="1:38" ht="16.5" hidden="1" customHeight="1" x14ac:dyDescent="0.3">
      <c r="A51" s="25" t="s">
        <v>66</v>
      </c>
      <c r="B51" s="7">
        <v>0</v>
      </c>
      <c r="C51" s="8">
        <f>IFERROR(B51/B148, "NA")</f>
        <v>0</v>
      </c>
      <c r="D51" s="7">
        <v>0</v>
      </c>
      <c r="E51" s="8">
        <f>IFERROR(D51/D148, "NA")</f>
        <v>0</v>
      </c>
      <c r="F51" s="7">
        <v>0</v>
      </c>
      <c r="G51" s="8">
        <f>IFERROR(F51/F148, "NA")</f>
        <v>0</v>
      </c>
      <c r="H51" s="7">
        <v>0</v>
      </c>
      <c r="I51" s="8">
        <f>IFERROR(H51/H148, "NA")</f>
        <v>0</v>
      </c>
      <c r="J51" s="7">
        <v>0</v>
      </c>
      <c r="K51" s="8">
        <f>IFERROR(J51/J148, "NA")</f>
        <v>0</v>
      </c>
      <c r="L51" s="7">
        <v>0</v>
      </c>
      <c r="M51" s="8">
        <f>IFERROR(L51/L148, "NA")</f>
        <v>0</v>
      </c>
      <c r="N51" s="7">
        <v>0</v>
      </c>
      <c r="O51" s="8">
        <f>IFERROR(N51/N148, "NA")</f>
        <v>0</v>
      </c>
      <c r="P51" s="7">
        <v>0</v>
      </c>
      <c r="Q51" s="8">
        <f>IFERROR(P51/P148, "NA")</f>
        <v>0</v>
      </c>
      <c r="R51" s="7">
        <v>0</v>
      </c>
      <c r="S51" s="8">
        <f>IFERROR(R51/R148, "NA")</f>
        <v>0</v>
      </c>
      <c r="T51" s="7">
        <v>0</v>
      </c>
      <c r="U51" s="8">
        <f>IFERROR(T51/T148, "NA")</f>
        <v>0</v>
      </c>
      <c r="V51" s="7">
        <v>0</v>
      </c>
      <c r="W51" s="8">
        <f>IFERROR(V51/V148, "NA")</f>
        <v>0</v>
      </c>
      <c r="X51" s="7">
        <v>0</v>
      </c>
      <c r="Y51" s="8">
        <f>IFERROR(X51/X148, "NA")</f>
        <v>0</v>
      </c>
      <c r="Z51" s="7">
        <v>0</v>
      </c>
      <c r="AA51" s="8">
        <f>IFERROR(Z51/Z148, "NA")</f>
        <v>0</v>
      </c>
      <c r="AB51" s="9">
        <f t="shared" si="18"/>
        <v>0</v>
      </c>
      <c r="AC51" s="8">
        <f>IFERROR(AB51/AB148, "NA")</f>
        <v>0</v>
      </c>
      <c r="AD51" s="10">
        <f t="shared" si="19"/>
        <v>0</v>
      </c>
      <c r="AE51" s="11">
        <f>IFERROR(AD51/AD148, "NA")</f>
        <v>0</v>
      </c>
      <c r="AF51" s="10" t="str">
        <f t="shared" si="20"/>
        <v>NA</v>
      </c>
      <c r="AG51" s="9">
        <f t="shared" si="21"/>
        <v>0</v>
      </c>
      <c r="AH51" s="8">
        <f>IFERROR(AG51/AG148, "NA")</f>
        <v>0</v>
      </c>
      <c r="AI51" s="10">
        <f t="shared" si="22"/>
        <v>0</v>
      </c>
      <c r="AJ51" s="11">
        <f>IFERROR(AI51/AI148, "NA")</f>
        <v>0</v>
      </c>
      <c r="AK51" s="10" t="str">
        <f t="shared" si="23"/>
        <v>NA</v>
      </c>
      <c r="AL51" s="11" t="str">
        <f>IFERROR(AK51/AK148, "NA")</f>
        <v>NA</v>
      </c>
    </row>
    <row r="52" spans="1:38" ht="16.5" customHeight="1" x14ac:dyDescent="0.3">
      <c r="A52" s="26" t="s">
        <v>67</v>
      </c>
      <c r="B52" s="13">
        <f>IFERROR(B46+B47+B48+B49+B50+B51, "NA")</f>
        <v>135.19999999999999</v>
      </c>
      <c r="C52" s="14">
        <f>IFERROR(B52/B148, "NA")</f>
        <v>4.6968058940745202E-3</v>
      </c>
      <c r="D52" s="13">
        <f>IFERROR(D46+D47+D48+D49+D50+D51, "NA")</f>
        <v>166.06</v>
      </c>
      <c r="E52" s="14">
        <f>IFERROR(D52/D148, "NA")</f>
        <v>4.9234721181633306E-3</v>
      </c>
      <c r="F52" s="13">
        <f>IFERROR(F46+F47+F48+F49+F50+F51, "NA")</f>
        <v>171.21</v>
      </c>
      <c r="G52" s="14">
        <f>IFERROR(F52/F148, "NA")</f>
        <v>5.8345411241263615E-3</v>
      </c>
      <c r="H52" s="13">
        <f>IFERROR(H46+H47+H48+H49+H50+H51, "NA")</f>
        <v>140.69999999999999</v>
      </c>
      <c r="I52" s="14">
        <f>IFERROR(H52/H148, "NA")</f>
        <v>4.7220786543250475E-3</v>
      </c>
      <c r="J52" s="13">
        <f>IFERROR(J46+J47+J48+J49+J50+J51, "NA")</f>
        <v>98.82</v>
      </c>
      <c r="K52" s="14">
        <f>IFERROR(J52/J148, "NA")</f>
        <v>3.193374636293953E-3</v>
      </c>
      <c r="L52" s="13">
        <f>IFERROR(L46+L47+L48+L49+L50+L51, "NA")</f>
        <v>146.81</v>
      </c>
      <c r="M52" s="14">
        <f>IFERROR(L52/L148, "NA")</f>
        <v>6.3239175982466537E-3</v>
      </c>
      <c r="N52" s="13">
        <f>IFERROR(N46+N47+N48+N49+N50+N51, "NA")</f>
        <v>144.33000000000001</v>
      </c>
      <c r="O52" s="14">
        <f>IFERROR(N52/N148, "NA")</f>
        <v>5.7184991247720808E-3</v>
      </c>
      <c r="P52" s="13">
        <f>IFERROR(P46+P47+P48+P49+P50+P51, "NA")</f>
        <v>103.74</v>
      </c>
      <c r="Q52" s="14">
        <f>IFERROR(P52/P148, "NA")</f>
        <v>3.1201022830522861E-3</v>
      </c>
      <c r="R52" s="13">
        <f>IFERROR(R46+R47+R48+R49+R50+R51, "NA")</f>
        <v>21.24</v>
      </c>
      <c r="S52" s="14">
        <f>IFERROR(R52/R148, "NA")</f>
        <v>6.3639686715365206E-4</v>
      </c>
      <c r="T52" s="13">
        <f>IFERROR(T46+T47+T48+T49+T50+T51, "NA")</f>
        <v>46.84</v>
      </c>
      <c r="U52" s="14">
        <f>IFERROR(T52/T148, "NA")</f>
        <v>1.7209882675923655E-3</v>
      </c>
      <c r="V52" s="13">
        <f>IFERROR(V46+V47+V48+V49+V50+V51, "NA")</f>
        <v>118.01</v>
      </c>
      <c r="W52" s="14">
        <f>IFERROR(V52/V148, "NA")</f>
        <v>2.877969788755408E-3</v>
      </c>
      <c r="X52" s="13">
        <f>IFERROR(X46+X47+X48+X49+X50+X51, "NA")</f>
        <v>111.85</v>
      </c>
      <c r="Y52" s="14">
        <f>IFERROR(X52/X148, "NA")</f>
        <v>3.488821112218079E-3</v>
      </c>
      <c r="Z52" s="13">
        <f>IFERROR(Z46+Z47+Z48+Z49+Z50+Z51, "NA")</f>
        <v>276.7</v>
      </c>
      <c r="AA52" s="14">
        <f>IFERROR(Z52/Z148, "NA")</f>
        <v>2.7592448663785562E-3</v>
      </c>
      <c r="AB52" s="13">
        <f t="shared" si="18"/>
        <v>74.484999999999999</v>
      </c>
      <c r="AC52" s="14">
        <f>IFERROR(AB52/AB148, "NA")</f>
        <v>2.2291477718323531E-3</v>
      </c>
      <c r="AD52" s="15">
        <f t="shared" si="19"/>
        <v>37.364999999999995</v>
      </c>
      <c r="AE52" s="16">
        <f>IFERROR(AD52/AD148, "NA")</f>
        <v>-2.7584297657937046E-2</v>
      </c>
      <c r="AF52" s="15">
        <f t="shared" si="20"/>
        <v>0.50164462643485264</v>
      </c>
      <c r="AG52" s="13">
        <f t="shared" si="21"/>
        <v>98.955000000000013</v>
      </c>
      <c r="AH52" s="14">
        <f>IFERROR(AG52/AG148, "NA")</f>
        <v>3.2140655602952558E-3</v>
      </c>
      <c r="AI52" s="15">
        <f t="shared" si="22"/>
        <v>12.894999999999982</v>
      </c>
      <c r="AJ52" s="16">
        <f>IFERROR(AI52/AI148, "NA")</f>
        <v>1.0142113464648574E-2</v>
      </c>
      <c r="AK52" s="15">
        <f t="shared" si="23"/>
        <v>0.13031175786973856</v>
      </c>
      <c r="AL52" s="16">
        <f>IFERROR(AK52/AK148, "NA")</f>
        <v>3.1555403193819358</v>
      </c>
    </row>
    <row r="53" spans="1:38" ht="16.5" customHeight="1" x14ac:dyDescent="0.3">
      <c r="A53" s="23" t="s">
        <v>68</v>
      </c>
      <c r="B53" s="7">
        <v>13.49</v>
      </c>
      <c r="C53" s="8">
        <f>IFERROR(B53/B148, "NA")</f>
        <v>4.6863839875048289E-4</v>
      </c>
      <c r="D53" s="7">
        <v>15.02</v>
      </c>
      <c r="E53" s="8">
        <f>IFERROR(D53/D148, "NA")</f>
        <v>4.4532428769609311E-4</v>
      </c>
      <c r="F53" s="7">
        <v>46.01</v>
      </c>
      <c r="G53" s="8">
        <f>IFERROR(F53/F148, "NA")</f>
        <v>1.5679413417502123E-3</v>
      </c>
      <c r="H53" s="7">
        <v>25.43</v>
      </c>
      <c r="I53" s="8">
        <f>IFERROR(H53/H148, "NA")</f>
        <v>8.5346453574616896E-4</v>
      </c>
      <c r="J53" s="7">
        <v>24.48</v>
      </c>
      <c r="K53" s="8">
        <f>IFERROR(J53/J148, "NA")</f>
        <v>7.910727696465896E-4</v>
      </c>
      <c r="L53" s="7">
        <v>42.87</v>
      </c>
      <c r="M53" s="8">
        <f>IFERROR(L53/L148, "NA")</f>
        <v>1.8466476904627344E-3</v>
      </c>
      <c r="N53" s="7">
        <v>32.369999999999997</v>
      </c>
      <c r="O53" s="8">
        <f>IFERROR(N53/N148, "NA")</f>
        <v>1.2825318136830334E-3</v>
      </c>
      <c r="P53" s="7">
        <v>39.93</v>
      </c>
      <c r="Q53" s="8">
        <f>IFERROR(P53/P148, "NA")</f>
        <v>1.2009416248532658E-3</v>
      </c>
      <c r="R53" s="7">
        <v>23.53</v>
      </c>
      <c r="S53" s="8">
        <f>IFERROR(R53/R148, "NA")</f>
        <v>7.0501027703038762E-4</v>
      </c>
      <c r="T53" s="7">
        <v>32.729999999999997</v>
      </c>
      <c r="U53" s="8">
        <f>IFERROR(T53/T148, "NA")</f>
        <v>1.2025607599978247E-3</v>
      </c>
      <c r="V53" s="7">
        <v>97.09</v>
      </c>
      <c r="W53" s="8">
        <f>IFERROR(V53/V148, "NA")</f>
        <v>2.3677831267711431E-3</v>
      </c>
      <c r="X53" s="7">
        <v>28.93</v>
      </c>
      <c r="Y53" s="8">
        <f>IFERROR(X53/X148, "NA")</f>
        <v>9.0238350269529748E-4</v>
      </c>
      <c r="Z53" s="7">
        <v>158.75</v>
      </c>
      <c r="AA53" s="8">
        <f>IFERROR(Z53/Z148, "NA")</f>
        <v>1.5830506777650736E-3</v>
      </c>
      <c r="AB53" s="9">
        <f t="shared" si="18"/>
        <v>45.57</v>
      </c>
      <c r="AC53" s="8">
        <f>IFERROR(AB53/AB148, "NA")</f>
        <v>1.3637949112223981E-3</v>
      </c>
      <c r="AD53" s="10">
        <f t="shared" si="19"/>
        <v>-16.64</v>
      </c>
      <c r="AE53" s="11">
        <f>IFERROR(AD53/AD148, "NA")</f>
        <v>1.2284295812339691E-2</v>
      </c>
      <c r="AF53" s="10">
        <f t="shared" si="20"/>
        <v>-0.3651525126179504</v>
      </c>
      <c r="AG53" s="9">
        <f t="shared" si="21"/>
        <v>40.241250000000001</v>
      </c>
      <c r="AH53" s="8">
        <f>IFERROR(AG53/AG148, "NA")</f>
        <v>1.3070387118208422E-3</v>
      </c>
      <c r="AI53" s="10">
        <f t="shared" si="22"/>
        <v>-11.311250000000001</v>
      </c>
      <c r="AJ53" s="11">
        <f>IFERROR(AI53/AI148, "NA")</f>
        <v>-8.8964700214816863E-3</v>
      </c>
      <c r="AK53" s="10">
        <f t="shared" si="23"/>
        <v>-0.28108595036187994</v>
      </c>
      <c r="AL53" s="11">
        <f>IFERROR(AK53/AK148, "NA")</f>
        <v>-6.8065849473486288</v>
      </c>
    </row>
    <row r="54" spans="1:38" ht="16.5" customHeight="1" x14ac:dyDescent="0.3">
      <c r="A54" s="23" t="s">
        <v>69</v>
      </c>
      <c r="B54" s="7">
        <v>21.5</v>
      </c>
      <c r="C54" s="8">
        <f>IFERROR(B54/B148, "NA")</f>
        <v>7.4690330416125883E-4</v>
      </c>
      <c r="D54" s="7">
        <v>38.75</v>
      </c>
      <c r="E54" s="8">
        <f>IFERROR(D54/D148, "NA")</f>
        <v>1.1488892242492415E-3</v>
      </c>
      <c r="F54" s="7">
        <v>48.75</v>
      </c>
      <c r="G54" s="8">
        <f>IFERROR(F54/F148, "NA")</f>
        <v>1.6613158098309684E-3</v>
      </c>
      <c r="H54" s="7">
        <v>48.75</v>
      </c>
      <c r="I54" s="8">
        <f>IFERROR(H54/H148, "NA")</f>
        <v>1.6361146723407683E-3</v>
      </c>
      <c r="J54" s="7">
        <v>35.81</v>
      </c>
      <c r="K54" s="8">
        <f>IFERROR(J54/J148, "NA")</f>
        <v>1.1572024461210936E-3</v>
      </c>
      <c r="L54" s="7">
        <v>46.75</v>
      </c>
      <c r="M54" s="8">
        <f>IFERROR(L54/L148, "NA")</f>
        <v>2.0137807214633272E-3</v>
      </c>
      <c r="N54" s="7">
        <v>31</v>
      </c>
      <c r="O54" s="8">
        <f>IFERROR(N54/N148, "NA")</f>
        <v>1.2282510418342306E-3</v>
      </c>
      <c r="P54" s="7">
        <v>34.31</v>
      </c>
      <c r="Q54" s="8">
        <f>IFERROR(P54/P148, "NA")</f>
        <v>1.0319135273908226E-3</v>
      </c>
      <c r="R54" s="7">
        <v>34</v>
      </c>
      <c r="S54" s="8">
        <f>IFERROR(R54/R148, "NA")</f>
        <v>1.0187143824493489E-3</v>
      </c>
      <c r="T54" s="7">
        <v>36</v>
      </c>
      <c r="U54" s="8">
        <f>IFERROR(T54/T148, "NA")</f>
        <v>1.3227066104467369E-3</v>
      </c>
      <c r="V54" s="7">
        <v>39</v>
      </c>
      <c r="W54" s="8">
        <f>IFERROR(V54/V148, "NA")</f>
        <v>9.5111280197831465E-4</v>
      </c>
      <c r="X54" s="7">
        <v>33.25</v>
      </c>
      <c r="Y54" s="8">
        <f>IFERROR(X54/X148, "NA")</f>
        <v>1.0371327848122587E-3</v>
      </c>
      <c r="Z54" s="7">
        <v>108.25</v>
      </c>
      <c r="AA54" s="8">
        <f>IFERROR(Z54/Z148, "NA")</f>
        <v>1.079466052712247E-3</v>
      </c>
      <c r="AB54" s="9">
        <f t="shared" si="18"/>
        <v>35.5625</v>
      </c>
      <c r="AC54" s="8">
        <f>IFERROR(AB54/AB148, "NA")</f>
        <v>1.0642957325070559E-3</v>
      </c>
      <c r="AD54" s="10">
        <f t="shared" si="19"/>
        <v>-2.3125</v>
      </c>
      <c r="AE54" s="11">
        <f>IFERROR(AD54/AD148, "NA")</f>
        <v>1.7071775280069431E-3</v>
      </c>
      <c r="AF54" s="10">
        <f t="shared" si="20"/>
        <v>-6.5026362038664326E-2</v>
      </c>
      <c r="AG54" s="9">
        <f t="shared" si="21"/>
        <v>36.265000000000001</v>
      </c>
      <c r="AH54" s="8">
        <f>IFERROR(AG54/AG148, "NA")</f>
        <v>1.1778898241029503E-3</v>
      </c>
      <c r="AI54" s="10">
        <f t="shared" si="22"/>
        <v>-3.0150000000000006</v>
      </c>
      <c r="AJ54" s="11">
        <f>IFERROR(AI54/AI148, "NA")</f>
        <v>-2.3713433187991855E-3</v>
      </c>
      <c r="AK54" s="10">
        <f t="shared" si="23"/>
        <v>-8.3138011857162561E-2</v>
      </c>
      <c r="AL54" s="11">
        <f>IFERROR(AK54/AK148, "NA")</f>
        <v>-2.0132131802778224</v>
      </c>
    </row>
    <row r="55" spans="1:38" ht="16.5" customHeight="1" x14ac:dyDescent="0.3">
      <c r="A55" s="23" t="s">
        <v>70</v>
      </c>
      <c r="B55" s="7">
        <v>-208.85</v>
      </c>
      <c r="C55" s="8">
        <f>IFERROR(B55/B148, "NA")</f>
        <v>-7.2553839569339026E-3</v>
      </c>
      <c r="D55" s="7">
        <v>-348.21</v>
      </c>
      <c r="E55" s="8">
        <f>IFERROR(D55/D148, "NA")</f>
        <v>-1.0323992690989119E-2</v>
      </c>
      <c r="F55" s="7">
        <v>-190.06</v>
      </c>
      <c r="G55" s="8">
        <f>IFERROR(F55/F148, "NA")</f>
        <v>-6.4769165705943358E-3</v>
      </c>
      <c r="H55" s="7">
        <v>-142.19999999999999</v>
      </c>
      <c r="I55" s="8">
        <f>IFERROR(H55/H148, "NA")</f>
        <v>-4.772420644243225E-3</v>
      </c>
      <c r="J55" s="7">
        <v>-199.16</v>
      </c>
      <c r="K55" s="8">
        <f>IFERROR(J55/J148, "NA")</f>
        <v>-6.4358681700496228E-3</v>
      </c>
      <c r="L55" s="7">
        <v>-183.49</v>
      </c>
      <c r="M55" s="8">
        <f>IFERROR(L55/L148, "NA")</f>
        <v>-7.9039277985306078E-3</v>
      </c>
      <c r="N55" s="7">
        <v>-240.84</v>
      </c>
      <c r="O55" s="8">
        <f>IFERROR(N55/N148, "NA")</f>
        <v>-9.5423219650114868E-3</v>
      </c>
      <c r="P55" s="7">
        <v>-237.66</v>
      </c>
      <c r="Q55" s="8">
        <f>IFERROR(P55/P148, "NA")</f>
        <v>-7.1479034951822474E-3</v>
      </c>
      <c r="R55" s="7">
        <v>-186.55</v>
      </c>
      <c r="S55" s="8">
        <f>IFERROR(R55/R148, "NA")</f>
        <v>-5.5894461189978251E-3</v>
      </c>
      <c r="T55" s="7">
        <v>-215.46</v>
      </c>
      <c r="U55" s="8">
        <f>IFERROR(T55/T148, "NA")</f>
        <v>-7.9163990635237203E-3</v>
      </c>
      <c r="V55" s="7">
        <v>-142.84</v>
      </c>
      <c r="W55" s="8">
        <f>IFERROR(V55/V148, "NA")</f>
        <v>-3.4835116060149352E-3</v>
      </c>
      <c r="X55" s="7">
        <v>-126.81</v>
      </c>
      <c r="Y55" s="8">
        <f>IFERROR(X55/X148, "NA")</f>
        <v>-3.9554528854749632E-3</v>
      </c>
      <c r="Z55" s="7">
        <v>-485.11</v>
      </c>
      <c r="AA55" s="8">
        <f>IFERROR(Z55/Z148, "NA")</f>
        <v>-4.8375037120668655E-3</v>
      </c>
      <c r="AB55" s="9">
        <f t="shared" si="18"/>
        <v>-167.91500000000002</v>
      </c>
      <c r="AC55" s="8">
        <f>IFERROR(AB55/AB148, "NA")</f>
        <v>-5.0252715057693444E-3</v>
      </c>
      <c r="AD55" s="10">
        <f t="shared" si="19"/>
        <v>41.105000000000018</v>
      </c>
      <c r="AE55" s="11">
        <f>IFERROR(AD55/AD148, "NA")</f>
        <v>-3.0345311259989374E-2</v>
      </c>
      <c r="AF55" s="10">
        <f t="shared" si="20"/>
        <v>-0.24479647440669394</v>
      </c>
      <c r="AG55" s="9">
        <f t="shared" si="21"/>
        <v>-191.60124999999999</v>
      </c>
      <c r="AH55" s="8">
        <f>IFERROR(AG55/AG148, "NA")</f>
        <v>-6.2232224640950051E-3</v>
      </c>
      <c r="AI55" s="10">
        <f t="shared" si="22"/>
        <v>64.791249999999991</v>
      </c>
      <c r="AJ55" s="11">
        <f>IFERROR(AI55/AI148, "NA")</f>
        <v>5.095930275427784E-2</v>
      </c>
      <c r="AK55" s="10">
        <f t="shared" si="23"/>
        <v>-0.33815671870616709</v>
      </c>
      <c r="AL55" s="11">
        <f>IFERROR(AK55/AK148, "NA")</f>
        <v>-8.1885716039059275</v>
      </c>
    </row>
    <row r="56" spans="1:38" ht="16.5" customHeight="1" x14ac:dyDescent="0.3">
      <c r="A56" s="27" t="s">
        <v>71</v>
      </c>
      <c r="B56" s="13">
        <f>IFERROR(B37+B39+B40+B41+B42+B43+B46+B47+B48+B49+B50+B51+B53+B54+B55, "NA")</f>
        <v>1150.6100000000001</v>
      </c>
      <c r="C56" s="14">
        <f>IFERROR(B56/B148, "NA")</f>
        <v>3.9971833060510983E-2</v>
      </c>
      <c r="D56" s="13">
        <f>IFERROR(D37+D39+D40+D41+D42+D43+D46+D47+D48+D49+D50+D51+D53+D54+D55, "NA")</f>
        <v>1249.4799999999998</v>
      </c>
      <c r="E56" s="14">
        <f>IFERROR(D56/D148, "NA")</f>
        <v>3.7045525365546894E-2</v>
      </c>
      <c r="F56" s="13">
        <f>IFERROR(F37+F39+F40+F41+F42+F43+F46+F47+F48+F49+F50+F51+F53+F54+F55, "NA")</f>
        <v>1240.2</v>
      </c>
      <c r="G56" s="14">
        <f>IFERROR(F56/F148, "NA")</f>
        <v>4.2263874202099837E-2</v>
      </c>
      <c r="H56" s="13">
        <f>IFERROR(H37+H39+H40+H41+H42+H43+H46+H47+H48+H49+H50+H51+H53+H54+H55, "NA")</f>
        <v>1291.3500000000001</v>
      </c>
      <c r="I56" s="14">
        <f>IFERROR(H56/H148, "NA")</f>
        <v>4.3339419120559004E-2</v>
      </c>
      <c r="J56" s="13">
        <f>IFERROR(J37+J39+J40+J41+J42+J43+J46+J47+J48+J49+J50+J51+J53+J54+J55, "NA")</f>
        <v>1295.0899999999999</v>
      </c>
      <c r="K56" s="14">
        <f>IFERROR(J56/J148, "NA")</f>
        <v>4.18509163905883E-2</v>
      </c>
      <c r="L56" s="13">
        <f>IFERROR(L37+L39+L40+L41+L42+L43+L46+L47+L48+L49+L50+L51+L53+L54+L55, "NA")</f>
        <v>820.68</v>
      </c>
      <c r="M56" s="14">
        <f>IFERROR(L56/L148, "NA")</f>
        <v>3.5351220588032584E-2</v>
      </c>
      <c r="N56" s="13">
        <f>IFERROR(N37+N39+N40+N41+N42+N43+N46+N47+N48+N49+N50+N51+N53+N54+N55, "NA")</f>
        <v>1048.18</v>
      </c>
      <c r="O56" s="14">
        <f>IFERROR(N56/N148, "NA")</f>
        <v>4.1529941194509798E-2</v>
      </c>
      <c r="P56" s="13">
        <f>IFERROR(P37+P39+P40+P41+P42+P43+P46+P47+P48+P49+P50+P51+P53+P54+P55, "NA")</f>
        <v>1194.7</v>
      </c>
      <c r="Q56" s="14">
        <f>IFERROR(P56/P148, "NA")</f>
        <v>3.5932004989035732E-2</v>
      </c>
      <c r="R56" s="13">
        <f>IFERROR(R37+R39+R40+R41+R42+R43+R46+R47+R48+R49+R50+R51+R53+R54+R55, "NA")</f>
        <v>1163.28</v>
      </c>
      <c r="S56" s="14">
        <f>IFERROR(R56/R148, "NA")</f>
        <v>3.4854413729872899E-2</v>
      </c>
      <c r="T56" s="13">
        <f>IFERROR(T37+T39+T40+T41+T42+T43+T46+T47+T48+T49+T50+T51+T53+T54+T55, "NA")</f>
        <v>725.68000000000006</v>
      </c>
      <c r="U56" s="14">
        <f>IFERROR(T56/T148, "NA")</f>
        <v>2.6662825918583002E-2</v>
      </c>
      <c r="V56" s="13">
        <f>IFERROR(V37+V39+V40+V41+V42+V43+V46+V47+V48+V49+V50+V51+V53+V54+V55, "NA")</f>
        <v>1678.48</v>
      </c>
      <c r="W56" s="14">
        <f>IFERROR(V56/V148, "NA")</f>
        <v>4.0933943996527222E-2</v>
      </c>
      <c r="X56" s="13">
        <f>IFERROR(X37+X39+X40+X41+X42+X43+X46+X47+X48+X49+X50+X51+X53+X54+X55, "NA")</f>
        <v>1332.02</v>
      </c>
      <c r="Y56" s="14">
        <f>IFERROR(X56/X148, "NA")</f>
        <v>4.1548319158665407E-2</v>
      </c>
      <c r="Z56" s="13">
        <f>IFERROR(Z37+Z39+Z40+Z41+Z42+Z43+Z46+Z47+Z48+Z49+Z50+Z51+Z53+Z54+Z55, "NA")</f>
        <v>3736.18</v>
      </c>
      <c r="AA56" s="14">
        <f>IFERROR(Z56/Z148, "NA")</f>
        <v>3.7257085236235034E-2</v>
      </c>
      <c r="AB56" s="13">
        <f t="shared" si="18"/>
        <v>1224.865</v>
      </c>
      <c r="AC56" s="14">
        <f>IFERROR(AB56/AB148, "NA")</f>
        <v>3.665711331872773E-2</v>
      </c>
      <c r="AD56" s="15">
        <f t="shared" si="19"/>
        <v>107.15499999999997</v>
      </c>
      <c r="AE56" s="16">
        <f>IFERROR(AD56/AD148, "NA")</f>
        <v>-7.9105992654522783E-2</v>
      </c>
      <c r="AF56" s="15">
        <f t="shared" si="20"/>
        <v>8.7483110383593271E-2</v>
      </c>
      <c r="AG56" s="13">
        <f t="shared" si="21"/>
        <v>1157.2637500000001</v>
      </c>
      <c r="AH56" s="14">
        <f>IFERROR(AG56/AG148, "NA")</f>
        <v>3.7588010338569434E-2</v>
      </c>
      <c r="AI56" s="15">
        <f t="shared" si="22"/>
        <v>174.75624999999991</v>
      </c>
      <c r="AJ56" s="16">
        <f>IFERROR(AI56/AI148, "NA")</f>
        <v>0.13744844638669981</v>
      </c>
      <c r="AK56" s="15">
        <f t="shared" si="23"/>
        <v>0.1510081431307253</v>
      </c>
      <c r="AL56" s="16">
        <f>IFERROR(AK56/AK148, "NA")</f>
        <v>3.6567098164720511</v>
      </c>
    </row>
    <row r="57" spans="1:38" ht="16.5" customHeight="1" x14ac:dyDescent="0.3">
      <c r="A57" s="12" t="s">
        <v>72</v>
      </c>
      <c r="B57" s="28">
        <f>IFERROR(B13+B15+B16+B17+B18+B19+B20+B21+B22+B23+B24+B25+B26+B29+B30+B31+B32+B33+B37+B39+B40+B41+B42+B43+B46+B47+B48+B49+B50+B51+B53+B54+B55, "NA")</f>
        <v>8954.42</v>
      </c>
      <c r="C57" s="29">
        <f>IFERROR(B57/B148, "NA")</f>
        <v>0.31107376208593768</v>
      </c>
      <c r="D57" s="28">
        <f>IFERROR(D13+D15+D16+D17+D18+D19+D20+D21+D22+D23+D24+D25+D26+D29+D30+D31+D32+D33+D37+D39+D40+D41+D42+D43+D46+D47+D48+D49+D50+D51+D53+D54+D55, "NA")</f>
        <v>9401.01</v>
      </c>
      <c r="E57" s="29">
        <f>IFERROR(D57/D148, "NA")</f>
        <v>0.27872823447895129</v>
      </c>
      <c r="F57" s="28">
        <f>IFERROR(F13+F15+F16+F17+F18+F19+F20+F21+F22+F23+F24+F25+F26+F29+F30+F31+F32+F33+F37+F39+F40+F41+F42+F43+F46+F47+F48+F49+F50+F51+F53+F54+F55, "NA")</f>
        <v>8705.7799999999988</v>
      </c>
      <c r="G57" s="29">
        <f>IFERROR(F57/F148, "NA")</f>
        <v>0.29667794771097938</v>
      </c>
      <c r="H57" s="28">
        <f>IFERROR(H13+H15+H16+H17+H18+H19+H20+H21+H22+H23+H24+H25+H26+H29+H30+H31+H32+H33+H37+H39+H40+H41+H42+H43+H46+H47+H48+H49+H50+H51+H53+H54+H55, "NA")</f>
        <v>8243.2100000000009</v>
      </c>
      <c r="I57" s="29">
        <f>IFERROR(H57/H148, "NA")</f>
        <v>0.27665306314227989</v>
      </c>
      <c r="J57" s="28">
        <f>IFERROR(J13+J15+J16+J17+J18+J19+J20+J21+J22+J23+J24+J25+J26+J29+J30+J31+J32+J33+J37+J39+J40+J41+J42+J43+J46+J47+J48+J49+J50+J51+J53+J54+J55, "NA")</f>
        <v>9047.0599999999977</v>
      </c>
      <c r="K57" s="29">
        <f>IFERROR(J57/J148, "NA")</f>
        <v>0.29235632399341799</v>
      </c>
      <c r="L57" s="28">
        <f>IFERROR(L13+L15+L16+L17+L18+L19+L20+L21+L22+L23+L24+L25+L26+L29+L30+L31+L32+L33+L37+L39+L40+L41+L42+L43+L46+L47+L48+L49+L50+L51+L53+L54+L55, "NA")</f>
        <v>7156.85</v>
      </c>
      <c r="M57" s="29">
        <f>IFERROR(L57/L148, "NA")</f>
        <v>0.30828506003004946</v>
      </c>
      <c r="N57" s="28">
        <f>IFERROR(N13+N15+N16+N17+N18+N19+N20+N21+N22+N23+N24+N25+N26+N29+N30+N31+N32+N33+N37+N39+N40+N41+N42+N43+N46+N47+N48+N49+N50+N51+N53+N54+N55, "NA")</f>
        <v>6956.0099999999984</v>
      </c>
      <c r="O57" s="29">
        <f>IFERROR(N57/N148, "NA")</f>
        <v>0.27560408159707495</v>
      </c>
      <c r="P57" s="28">
        <f>IFERROR(P13+P15+P16+P17+P18+P19+P20+P21+P22+P23+P24+P25+P26+P29+P30+P31+P32+P33+P37+P39+P40+P41+P42+P43+P46+P47+P48+P49+P50+P51+P53+P54+P55, "NA")</f>
        <v>9201.1200000000008</v>
      </c>
      <c r="Q57" s="29">
        <f>IFERROR(P57/P148, "NA")</f>
        <v>0.27673448543125173</v>
      </c>
      <c r="R57" s="28">
        <f>IFERROR(R13+R15+R16+R17+R18+R19+R20+R21+R22+R23+R24+R25+R26+R29+R30+R31+R32+R33+R37+R39+R40+R41+R42+R43+R46+R47+R48+R49+R50+R51+R53+R54+R55, "NA")</f>
        <v>8656.5400000000009</v>
      </c>
      <c r="S57" s="29">
        <f>IFERROR(R57/R148, "NA")</f>
        <v>0.25936887647788492</v>
      </c>
      <c r="T57" s="28">
        <f>IFERROR(T13+T15+T16+T17+T18+T19+T20+T21+T22+T23+T24+T25+T26+T29+T30+T31+T32+T33+T37+T39+T40+T41+T42+T43+T46+T47+T48+T49+T50+T51+T53+T54+T55, "NA")</f>
        <v>7166.7399999999989</v>
      </c>
      <c r="U57" s="29">
        <f>IFERROR(T57/T148, "NA")</f>
        <v>0.26331928814869571</v>
      </c>
      <c r="V57" s="28">
        <f>IFERROR(V13+V15+V16+V17+V18+V19+V20+V21+V22+V23+V24+V25+V26+V29+V30+V31+V32+V33+V37+V39+V40+V41+V42+V43+V46+V47+V48+V49+V50+V51+V53+V54+V55, "NA")</f>
        <v>9902.3799999999992</v>
      </c>
      <c r="W57" s="29">
        <f>IFERROR(V57/V148, "NA")</f>
        <v>0.24149436892446213</v>
      </c>
      <c r="X57" s="28">
        <f>IFERROR(X13+X15+X16+X17+X18+X19+X20+X21+X22+X23+X24+X25+X26+X29+X30+X31+X32+X33+X37+X39+X40+X41+X42+X43+X46+X47+X48+X49+X50+X51+X53+X54+X55, "NA")</f>
        <v>8568.130000000001</v>
      </c>
      <c r="Y57" s="29">
        <f>IFERROR(X57/X148, "NA")</f>
        <v>0.26725679782055517</v>
      </c>
      <c r="Z57" s="28">
        <f>IFERROR(Z13+Z15+Z16+Z17+Z18+Z19+Z20+Z21+Z22+Z23+Z24+Z25+Z26+Z29+Z30+Z31+Z32+Z33+Z37+Z39+Z40+Z41+Z42+Z43+Z46+Z47+Z48+Z49+Z50+Z51+Z53+Z54+Z55, "NA")</f>
        <v>25637.25</v>
      </c>
      <c r="AA57" s="29">
        <f>IFERROR(Z57/Z148, "NA")</f>
        <v>0.25565395898288273</v>
      </c>
      <c r="AB57" s="28">
        <f t="shared" si="18"/>
        <v>8573.4474999999984</v>
      </c>
      <c r="AC57" s="29">
        <f>IFERROR(AB57/AB148, "NA")</f>
        <v>0.25658161229169169</v>
      </c>
      <c r="AD57" s="30">
        <f t="shared" si="19"/>
        <v>-5.3174999999973807</v>
      </c>
      <c r="AE57" s="31">
        <f>IFERROR(AD57/AD148, "NA")</f>
        <v>3.9255855157502477E-3</v>
      </c>
      <c r="AF57" s="30">
        <f t="shared" si="20"/>
        <v>-6.2022891024845974E-4</v>
      </c>
      <c r="AG57" s="28">
        <f t="shared" si="21"/>
        <v>8331.8537500000002</v>
      </c>
      <c r="AH57" s="29">
        <f>IFERROR(AG57/AG148, "NA")</f>
        <v>0.27061921268548206</v>
      </c>
      <c r="AI57" s="30">
        <f t="shared" si="22"/>
        <v>236.2762500000008</v>
      </c>
      <c r="AJ57" s="31">
        <f>IFERROR(AI57/AI148, "NA")</f>
        <v>0.18583486130296115</v>
      </c>
      <c r="AK57" s="30">
        <f t="shared" si="23"/>
        <v>2.8358184995746091E-2</v>
      </c>
      <c r="AL57" s="31">
        <f>IFERROR(AK57/AK148, "NA")</f>
        <v>0.68670239433052149</v>
      </c>
    </row>
    <row r="58" spans="1:38" ht="3.75" customHeight="1" x14ac:dyDescent="0.3">
      <c r="A58" s="17" t="s">
        <v>3</v>
      </c>
      <c r="B58" s="18"/>
      <c r="C58" s="19"/>
      <c r="D58" s="18"/>
      <c r="E58" s="19"/>
      <c r="F58" s="18"/>
      <c r="G58" s="19"/>
      <c r="H58" s="18"/>
      <c r="I58" s="19"/>
      <c r="J58" s="18"/>
      <c r="K58" s="19"/>
      <c r="L58" s="18"/>
      <c r="M58" s="19"/>
      <c r="N58" s="18"/>
      <c r="O58" s="19"/>
      <c r="P58" s="18"/>
      <c r="Q58" s="19"/>
      <c r="R58" s="18"/>
      <c r="S58" s="19"/>
      <c r="T58" s="18"/>
      <c r="U58" s="19"/>
      <c r="V58" s="18"/>
      <c r="W58" s="19"/>
      <c r="X58" s="18"/>
      <c r="Y58" s="19"/>
      <c r="Z58" s="18"/>
      <c r="AA58" s="19"/>
      <c r="AB58" s="18"/>
      <c r="AC58" s="19"/>
      <c r="AD58" s="20"/>
      <c r="AE58" s="21"/>
      <c r="AF58" s="20"/>
      <c r="AG58" s="18"/>
      <c r="AH58" s="19"/>
      <c r="AI58" s="20"/>
      <c r="AJ58" s="21"/>
      <c r="AK58" s="20"/>
      <c r="AL58" s="21"/>
    </row>
    <row r="59" spans="1:38" ht="16.5" customHeight="1" x14ac:dyDescent="0.3">
      <c r="A59" s="32" t="s">
        <v>73</v>
      </c>
      <c r="B59" s="33">
        <f>IFERROR(B9-B57, "NA")</f>
        <v>19831.099999999991</v>
      </c>
      <c r="C59" s="34">
        <f>IFERROR(B59/B148, "NA")</f>
        <v>0.68892623791406205</v>
      </c>
      <c r="D59" s="33">
        <f>IFERROR(D9-D57, "NA")</f>
        <v>24327.219999999987</v>
      </c>
      <c r="E59" s="34">
        <f>IFERROR(D59/D148, "NA")</f>
        <v>0.72127176552104821</v>
      </c>
      <c r="F59" s="33">
        <f>IFERROR(F9-F57, "NA")</f>
        <v>20638.43</v>
      </c>
      <c r="G59" s="34">
        <f>IFERROR(F59/F148, "NA")</f>
        <v>0.70332205228902056</v>
      </c>
      <c r="H59" s="33">
        <f>IFERROR(H9-H57, "NA")</f>
        <v>21552.989999999998</v>
      </c>
      <c r="I59" s="34">
        <f>IFERROR(H59/H148, "NA")</f>
        <v>0.72334693685772</v>
      </c>
      <c r="J59" s="33">
        <f>IFERROR(J9-J57, "NA")</f>
        <v>21898.260000000002</v>
      </c>
      <c r="K59" s="34">
        <f>IFERROR(J59/J148, "NA")</f>
        <v>0.70764367600658196</v>
      </c>
      <c r="L59" s="33">
        <f>IFERROR(L9-L57, "NA")</f>
        <v>16058.189999999997</v>
      </c>
      <c r="M59" s="34">
        <f>IFERROR(L59/L148, "NA")</f>
        <v>0.69171493996995037</v>
      </c>
      <c r="N59" s="33">
        <f>IFERROR(N9-N57, "NA")</f>
        <v>18283.129999999997</v>
      </c>
      <c r="O59" s="34">
        <f>IFERROR(N59/N148, "NA")</f>
        <v>0.72439591840292494</v>
      </c>
      <c r="P59" s="33">
        <f>IFERROR(P9-P57, "NA")</f>
        <v>24047.79</v>
      </c>
      <c r="Q59" s="34">
        <f>IFERROR(P59/P148, "NA")</f>
        <v>0.72326551456874821</v>
      </c>
      <c r="R59" s="33">
        <f>IFERROR(R9-R57, "NA")</f>
        <v>24718.86</v>
      </c>
      <c r="S59" s="34">
        <f>IFERROR(R59/R148, "NA")</f>
        <v>0.74063112352211513</v>
      </c>
      <c r="T59" s="33">
        <f>IFERROR(T9-T57, "NA")</f>
        <v>20050.180000000004</v>
      </c>
      <c r="U59" s="34">
        <f>IFERROR(T59/T148, "NA")</f>
        <v>0.73668071185130446</v>
      </c>
      <c r="V59" s="33">
        <f>IFERROR(V9-V57, "NA")</f>
        <v>31102.220000000008</v>
      </c>
      <c r="W59" s="34">
        <f>IFERROR(V59/V148, "NA")</f>
        <v>0.75850563107553814</v>
      </c>
      <c r="X59" s="33">
        <f>IFERROR(X9-X57, "NA")</f>
        <v>23491.41</v>
      </c>
      <c r="Y59" s="34">
        <f>IFERROR(X59/X148, "NA")</f>
        <v>0.73274320217944489</v>
      </c>
      <c r="Z59" s="33">
        <f>IFERROR(Z9-Z57, "NA")</f>
        <v>74643.81</v>
      </c>
      <c r="AA59" s="34">
        <f>IFERROR(Z59/Z148, "NA")</f>
        <v>0.74434604101711732</v>
      </c>
      <c r="AB59" s="33">
        <f>IFERROR((R59+T59+V59+X59)/4, "NA")</f>
        <v>24840.667500000003</v>
      </c>
      <c r="AC59" s="34">
        <f>IFERROR(AB59/AB148, "NA")</f>
        <v>0.74341838770830848</v>
      </c>
      <c r="AD59" s="15">
        <f>IFERROR(X59-AB59, "NA")</f>
        <v>-1349.2575000000033</v>
      </c>
      <c r="AE59" s="16">
        <f>IFERROR(AD59/AD148, "NA")</f>
        <v>0.99607441448425249</v>
      </c>
      <c r="AF59" s="15">
        <f>IFERROR((X59-AB59)/AB59, "NA")</f>
        <v>-5.4316475191337074E-2</v>
      </c>
      <c r="AG59" s="33">
        <f>IFERROR((J59+L59+N59+P59+R59+T59+V59+X59)/8, "NA")</f>
        <v>22456.255000000001</v>
      </c>
      <c r="AH59" s="34">
        <f>IFERROR(AG59/AG148, "NA")</f>
        <v>0.72938078731451805</v>
      </c>
      <c r="AI59" s="15">
        <f>IFERROR(X59-AG59, "NA")</f>
        <v>1035.1549999999988</v>
      </c>
      <c r="AJ59" s="16">
        <f>IFERROR(AI59/AI148, "NA")</f>
        <v>0.81416513869703744</v>
      </c>
      <c r="AK59" s="15">
        <f>IFERROR((X59-AG59)/AG59, "NA")</f>
        <v>4.6096510749454832E-2</v>
      </c>
      <c r="AL59" s="16">
        <f>IFERROR(AK59/AK148, "NA")</f>
        <v>1.1162415474291336</v>
      </c>
    </row>
    <row r="60" spans="1:38" ht="3.75" customHeight="1" x14ac:dyDescent="0.3">
      <c r="A60" s="35" t="s">
        <v>3</v>
      </c>
      <c r="B60" s="36"/>
      <c r="C60" s="19"/>
      <c r="D60" s="36"/>
      <c r="E60" s="19"/>
      <c r="F60" s="36"/>
      <c r="G60" s="19"/>
      <c r="H60" s="36"/>
      <c r="I60" s="19"/>
      <c r="J60" s="36"/>
      <c r="K60" s="19"/>
      <c r="L60" s="36"/>
      <c r="M60" s="19"/>
      <c r="N60" s="36"/>
      <c r="O60" s="19"/>
      <c r="P60" s="36"/>
      <c r="Q60" s="19"/>
      <c r="R60" s="36"/>
      <c r="S60" s="19"/>
      <c r="T60" s="36"/>
      <c r="U60" s="19"/>
      <c r="V60" s="36"/>
      <c r="W60" s="19"/>
      <c r="X60" s="36"/>
      <c r="Y60" s="19"/>
      <c r="Z60" s="36"/>
      <c r="AA60" s="19"/>
      <c r="AB60" s="36"/>
      <c r="AC60" s="19"/>
      <c r="AD60" s="37"/>
      <c r="AE60" s="21"/>
      <c r="AF60" s="37"/>
      <c r="AG60" s="36"/>
      <c r="AH60" s="19"/>
      <c r="AI60" s="37"/>
      <c r="AJ60" s="21"/>
      <c r="AK60" s="37"/>
      <c r="AL60" s="21"/>
    </row>
    <row r="61" spans="1:38" ht="16.5" customHeight="1" x14ac:dyDescent="0.3">
      <c r="A61" s="1" t="s">
        <v>74</v>
      </c>
      <c r="B61" s="2"/>
      <c r="C61" s="3"/>
      <c r="D61" s="2"/>
      <c r="E61" s="3"/>
      <c r="F61" s="2"/>
      <c r="G61" s="3"/>
      <c r="H61" s="2"/>
      <c r="I61" s="3"/>
      <c r="J61" s="2"/>
      <c r="K61" s="3"/>
      <c r="L61" s="2"/>
      <c r="M61" s="3"/>
      <c r="N61" s="2"/>
      <c r="O61" s="3"/>
      <c r="P61" s="2"/>
      <c r="Q61" s="3"/>
      <c r="R61" s="2"/>
      <c r="S61" s="3"/>
      <c r="T61" s="2"/>
      <c r="U61" s="3"/>
      <c r="V61" s="2"/>
      <c r="W61" s="3"/>
      <c r="X61" s="2"/>
      <c r="Y61" s="3"/>
      <c r="Z61" s="2"/>
      <c r="AA61" s="3"/>
      <c r="AB61" s="2"/>
      <c r="AC61" s="3"/>
      <c r="AD61" s="4"/>
      <c r="AE61" s="5"/>
      <c r="AF61" s="4"/>
      <c r="AG61" s="2"/>
      <c r="AH61" s="3"/>
      <c r="AI61" s="4"/>
      <c r="AJ61" s="5"/>
      <c r="AK61" s="4"/>
      <c r="AL61" s="5"/>
    </row>
    <row r="62" spans="1:38" ht="16.5" customHeight="1" x14ac:dyDescent="0.3">
      <c r="A62" s="22" t="s">
        <v>74</v>
      </c>
      <c r="B62" s="2"/>
      <c r="C62" s="3"/>
      <c r="D62" s="2"/>
      <c r="E62" s="3"/>
      <c r="F62" s="2"/>
      <c r="G62" s="3"/>
      <c r="H62" s="2"/>
      <c r="I62" s="3"/>
      <c r="J62" s="2"/>
      <c r="K62" s="3"/>
      <c r="L62" s="2"/>
      <c r="M62" s="3"/>
      <c r="N62" s="2"/>
      <c r="O62" s="3"/>
      <c r="P62" s="2"/>
      <c r="Q62" s="3"/>
      <c r="R62" s="2"/>
      <c r="S62" s="3"/>
      <c r="T62" s="2"/>
      <c r="U62" s="3"/>
      <c r="V62" s="2"/>
      <c r="W62" s="3"/>
      <c r="X62" s="2"/>
      <c r="Y62" s="3"/>
      <c r="Z62" s="2"/>
      <c r="AA62" s="3"/>
      <c r="AB62" s="2"/>
      <c r="AC62" s="3"/>
      <c r="AD62" s="4"/>
      <c r="AE62" s="5"/>
      <c r="AF62" s="4"/>
      <c r="AG62" s="2"/>
      <c r="AH62" s="3"/>
      <c r="AI62" s="4"/>
      <c r="AJ62" s="5"/>
      <c r="AK62" s="4"/>
      <c r="AL62" s="5"/>
    </row>
    <row r="63" spans="1:38" ht="16.5" hidden="1" customHeight="1" x14ac:dyDescent="0.3">
      <c r="A63" s="23" t="s">
        <v>75</v>
      </c>
      <c r="B63" s="7">
        <v>0</v>
      </c>
      <c r="C63" s="8">
        <f>IFERROR(B63/B148, "NA")</f>
        <v>0</v>
      </c>
      <c r="D63" s="7">
        <v>0</v>
      </c>
      <c r="E63" s="8">
        <f>IFERROR(D63/D148, "NA")</f>
        <v>0</v>
      </c>
      <c r="F63" s="7">
        <v>0</v>
      </c>
      <c r="G63" s="8">
        <f>IFERROR(F63/F148, "NA")</f>
        <v>0</v>
      </c>
      <c r="H63" s="7">
        <v>0</v>
      </c>
      <c r="I63" s="8">
        <f>IFERROR(H63/H148, "NA")</f>
        <v>0</v>
      </c>
      <c r="J63" s="7">
        <v>0</v>
      </c>
      <c r="K63" s="8">
        <f>IFERROR(J63/J148, "NA")</f>
        <v>0</v>
      </c>
      <c r="L63" s="7">
        <v>0</v>
      </c>
      <c r="M63" s="8">
        <f>IFERROR(L63/L148, "NA")</f>
        <v>0</v>
      </c>
      <c r="N63" s="7">
        <v>0</v>
      </c>
      <c r="O63" s="8">
        <f>IFERROR(N63/N148, "NA")</f>
        <v>0</v>
      </c>
      <c r="P63" s="7">
        <v>0</v>
      </c>
      <c r="Q63" s="8">
        <f>IFERROR(P63/P148, "NA")</f>
        <v>0</v>
      </c>
      <c r="R63" s="7">
        <v>0</v>
      </c>
      <c r="S63" s="8">
        <f>IFERROR(R63/R148, "NA")</f>
        <v>0</v>
      </c>
      <c r="T63" s="7">
        <v>0</v>
      </c>
      <c r="U63" s="8">
        <f>IFERROR(T63/T148, "NA")</f>
        <v>0</v>
      </c>
      <c r="V63" s="7">
        <v>0</v>
      </c>
      <c r="W63" s="8">
        <f>IFERROR(V63/V148, "NA")</f>
        <v>0</v>
      </c>
      <c r="X63" s="7">
        <v>0</v>
      </c>
      <c r="Y63" s="8">
        <f>IFERROR(X63/X148, "NA")</f>
        <v>0</v>
      </c>
      <c r="Z63" s="7">
        <v>0</v>
      </c>
      <c r="AA63" s="8">
        <f>IFERROR(Z63/Z148, "NA")</f>
        <v>0</v>
      </c>
      <c r="AB63" s="9">
        <f>IFERROR((R63+T63+V63+X63)/4, "NA")</f>
        <v>0</v>
      </c>
      <c r="AC63" s="8">
        <f>IFERROR(AB63/AB148, "NA")</f>
        <v>0</v>
      </c>
      <c r="AD63" s="10">
        <f>IFERROR(X63-AB63, "NA")</f>
        <v>0</v>
      </c>
      <c r="AE63" s="11">
        <f>IFERROR(AD63/AD148, "NA")</f>
        <v>0</v>
      </c>
      <c r="AF63" s="10" t="str">
        <f>IFERROR((X63-AB63)/AB63, "NA")</f>
        <v>NA</v>
      </c>
      <c r="AG63" s="9">
        <f>IFERROR((J63+L63+N63+P63+R63+T63+V63+X63)/8, "NA")</f>
        <v>0</v>
      </c>
      <c r="AH63" s="8">
        <f>IFERROR(AG63/AG148, "NA")</f>
        <v>0</v>
      </c>
      <c r="AI63" s="10">
        <f>IFERROR(X63-AG63, "NA")</f>
        <v>0</v>
      </c>
      <c r="AJ63" s="11">
        <f>IFERROR(AI63/AI148, "NA")</f>
        <v>0</v>
      </c>
      <c r="AK63" s="10" t="str">
        <f>IFERROR((X63-AG63)/AG63, "NA")</f>
        <v>NA</v>
      </c>
      <c r="AL63" s="11" t="str">
        <f>IFERROR(AK63/AK148, "NA")</f>
        <v>NA</v>
      </c>
    </row>
    <row r="64" spans="1:38" ht="16.5" customHeight="1" x14ac:dyDescent="0.3">
      <c r="A64" s="24" t="s">
        <v>76</v>
      </c>
      <c r="B64" s="2"/>
      <c r="C64" s="3"/>
      <c r="D64" s="2"/>
      <c r="E64" s="3"/>
      <c r="F64" s="2"/>
      <c r="G64" s="3"/>
      <c r="H64" s="2"/>
      <c r="I64" s="3"/>
      <c r="J64" s="2"/>
      <c r="K64" s="3"/>
      <c r="L64" s="2"/>
      <c r="M64" s="3"/>
      <c r="N64" s="2"/>
      <c r="O64" s="3"/>
      <c r="P64" s="2"/>
      <c r="Q64" s="3"/>
      <c r="R64" s="2"/>
      <c r="S64" s="3"/>
      <c r="T64" s="2"/>
      <c r="U64" s="3"/>
      <c r="V64" s="2"/>
      <c r="W64" s="3"/>
      <c r="X64" s="2"/>
      <c r="Y64" s="3"/>
      <c r="Z64" s="2"/>
      <c r="AA64" s="3"/>
      <c r="AB64" s="2"/>
      <c r="AC64" s="3"/>
      <c r="AD64" s="4"/>
      <c r="AE64" s="5"/>
      <c r="AF64" s="4"/>
      <c r="AG64" s="2"/>
      <c r="AH64" s="3"/>
      <c r="AI64" s="4"/>
      <c r="AJ64" s="5"/>
      <c r="AK64" s="4"/>
      <c r="AL64" s="5"/>
    </row>
    <row r="65" spans="1:38" ht="16.5" hidden="1" customHeight="1" x14ac:dyDescent="0.3">
      <c r="A65" s="25" t="s">
        <v>77</v>
      </c>
      <c r="B65" s="7">
        <v>0</v>
      </c>
      <c r="C65" s="8">
        <f>IFERROR(B65/B148, "NA")</f>
        <v>0</v>
      </c>
      <c r="D65" s="7">
        <v>0</v>
      </c>
      <c r="E65" s="8">
        <f>IFERROR(D65/D148, "NA")</f>
        <v>0</v>
      </c>
      <c r="F65" s="7">
        <v>0</v>
      </c>
      <c r="G65" s="8">
        <f>IFERROR(F65/F148, "NA")</f>
        <v>0</v>
      </c>
      <c r="H65" s="7">
        <v>0</v>
      </c>
      <c r="I65" s="8">
        <f>IFERROR(H65/H148, "NA")</f>
        <v>0</v>
      </c>
      <c r="J65" s="7">
        <v>0</v>
      </c>
      <c r="K65" s="8">
        <f>IFERROR(J65/J148, "NA")</f>
        <v>0</v>
      </c>
      <c r="L65" s="7">
        <v>0</v>
      </c>
      <c r="M65" s="8">
        <f>IFERROR(L65/L148, "NA")</f>
        <v>0</v>
      </c>
      <c r="N65" s="7">
        <v>0</v>
      </c>
      <c r="O65" s="8">
        <f>IFERROR(N65/N148, "NA")</f>
        <v>0</v>
      </c>
      <c r="P65" s="7">
        <v>0</v>
      </c>
      <c r="Q65" s="8">
        <f>IFERROR(P65/P148, "NA")</f>
        <v>0</v>
      </c>
      <c r="R65" s="7">
        <v>0</v>
      </c>
      <c r="S65" s="8">
        <f>IFERROR(R65/R148, "NA")</f>
        <v>0</v>
      </c>
      <c r="T65" s="7">
        <v>0</v>
      </c>
      <c r="U65" s="8">
        <f>IFERROR(T65/T148, "NA")</f>
        <v>0</v>
      </c>
      <c r="V65" s="7">
        <v>0</v>
      </c>
      <c r="W65" s="8">
        <f>IFERROR(V65/V148, "NA")</f>
        <v>0</v>
      </c>
      <c r="X65" s="7">
        <v>0</v>
      </c>
      <c r="Y65" s="8">
        <f>IFERROR(X65/X148, "NA")</f>
        <v>0</v>
      </c>
      <c r="Z65" s="7">
        <v>0</v>
      </c>
      <c r="AA65" s="8">
        <f>IFERROR(Z65/Z148, "NA")</f>
        <v>0</v>
      </c>
      <c r="AB65" s="9">
        <f t="shared" ref="AB65:AB72" si="24">IFERROR((R65+T65+V65+X65)/4, "NA")</f>
        <v>0</v>
      </c>
      <c r="AC65" s="8">
        <f>IFERROR(AB65/AB148, "NA")</f>
        <v>0</v>
      </c>
      <c r="AD65" s="10">
        <f t="shared" ref="AD65:AD72" si="25">IFERROR(X65-AB65, "NA")</f>
        <v>0</v>
      </c>
      <c r="AE65" s="11">
        <f>IFERROR(AD65/AD148, "NA")</f>
        <v>0</v>
      </c>
      <c r="AF65" s="10" t="str">
        <f t="shared" ref="AF65:AF72" si="26">IFERROR((X65-AB65)/AB65, "NA")</f>
        <v>NA</v>
      </c>
      <c r="AG65" s="9">
        <f t="shared" ref="AG65:AG72" si="27">IFERROR((J65+L65+N65+P65+R65+T65+V65+X65)/8, "NA")</f>
        <v>0</v>
      </c>
      <c r="AH65" s="8">
        <f>IFERROR(AG65/AG148, "NA")</f>
        <v>0</v>
      </c>
      <c r="AI65" s="10">
        <f t="shared" ref="AI65:AI72" si="28">IFERROR(X65-AG65, "NA")</f>
        <v>0</v>
      </c>
      <c r="AJ65" s="11">
        <f>IFERROR(AI65/AI148, "NA")</f>
        <v>0</v>
      </c>
      <c r="AK65" s="10" t="str">
        <f t="shared" ref="AK65:AK72" si="29">IFERROR((X65-AG65)/AG65, "NA")</f>
        <v>NA</v>
      </c>
      <c r="AL65" s="11" t="str">
        <f>IFERROR(AK65/AK148, "NA")</f>
        <v>NA</v>
      </c>
    </row>
    <row r="66" spans="1:38" ht="16.5" customHeight="1" x14ac:dyDescent="0.3">
      <c r="A66" s="25" t="s">
        <v>78</v>
      </c>
      <c r="B66" s="7">
        <v>1461.54</v>
      </c>
      <c r="C66" s="8">
        <f>IFERROR(B66/B148, "NA")</f>
        <v>5.0773444426225403E-2</v>
      </c>
      <c r="D66" s="7">
        <v>1461.54</v>
      </c>
      <c r="E66" s="8">
        <f>IFERROR(D66/D148, "NA")</f>
        <v>4.3332840175722233E-2</v>
      </c>
      <c r="F66" s="7">
        <v>1461.54</v>
      </c>
      <c r="G66" s="8">
        <f>IFERROR(F66/F148, "NA")</f>
        <v>4.9806759152827763E-2</v>
      </c>
      <c r="H66" s="7">
        <v>1461.54</v>
      </c>
      <c r="I66" s="8">
        <f>IFERROR(H66/H148, "NA")</f>
        <v>4.9051221296675412E-2</v>
      </c>
      <c r="J66" s="7">
        <v>1461.54</v>
      </c>
      <c r="K66" s="8">
        <f>IFERROR(J66/J148, "NA")</f>
        <v>4.7229758813287434E-2</v>
      </c>
      <c r="L66" s="7">
        <v>1461.54</v>
      </c>
      <c r="M66" s="8">
        <f>IFERROR(L66/L148, "NA")</f>
        <v>6.2956600548609867E-2</v>
      </c>
      <c r="N66" s="7">
        <v>1461.54</v>
      </c>
      <c r="O66" s="8">
        <f>IFERROR(N66/N148, "NA")</f>
        <v>5.7907678312335523E-2</v>
      </c>
      <c r="P66" s="7">
        <v>1461.54</v>
      </c>
      <c r="Q66" s="8">
        <f>IFERROR(P66/P148, "NA")</f>
        <v>4.3957531239369949E-2</v>
      </c>
      <c r="R66" s="7">
        <v>1461.54</v>
      </c>
      <c r="S66" s="8">
        <f>IFERROR(R66/R148, "NA")</f>
        <v>4.3790935838971215E-2</v>
      </c>
      <c r="T66" s="7">
        <v>1461.54</v>
      </c>
      <c r="U66" s="8">
        <f>IFERROR(T66/T148, "NA")</f>
        <v>5.3699683873120102E-2</v>
      </c>
      <c r="V66" s="7">
        <v>1461.54</v>
      </c>
      <c r="W66" s="8">
        <f>IFERROR(V66/V148, "NA")</f>
        <v>3.5643318066753485E-2</v>
      </c>
      <c r="X66" s="7">
        <v>1461.54</v>
      </c>
      <c r="Y66" s="8">
        <f>IFERROR(X66/X148, "NA")</f>
        <v>4.5588302265097996E-2</v>
      </c>
      <c r="Z66" s="7">
        <v>4384.62</v>
      </c>
      <c r="AA66" s="8">
        <f>IFERROR(Z66/Z148, "NA")</f>
        <v>4.3723311261368795E-2</v>
      </c>
      <c r="AB66" s="9">
        <f t="shared" si="24"/>
        <v>1461.54</v>
      </c>
      <c r="AC66" s="8">
        <f>IFERROR(AB66/AB148, "NA")</f>
        <v>4.3740197817598941E-2</v>
      </c>
      <c r="AD66" s="10">
        <f t="shared" si="25"/>
        <v>0</v>
      </c>
      <c r="AE66" s="11">
        <f>IFERROR(AD66/AD148, "NA")</f>
        <v>0</v>
      </c>
      <c r="AF66" s="10">
        <f t="shared" si="26"/>
        <v>0</v>
      </c>
      <c r="AG66" s="9">
        <f t="shared" si="27"/>
        <v>1461.54</v>
      </c>
      <c r="AH66" s="8">
        <f>IFERROR(AG66/AG148, "NA")</f>
        <v>4.7470924955726614E-2</v>
      </c>
      <c r="AI66" s="10">
        <f t="shared" si="28"/>
        <v>0</v>
      </c>
      <c r="AJ66" s="11">
        <f>IFERROR(AI66/AI148, "NA")</f>
        <v>0</v>
      </c>
      <c r="AK66" s="10">
        <f t="shared" si="29"/>
        <v>0</v>
      </c>
      <c r="AL66" s="11">
        <f>IFERROR(AK66/AK148, "NA")</f>
        <v>0</v>
      </c>
    </row>
    <row r="67" spans="1:38" ht="16.5" hidden="1" customHeight="1" x14ac:dyDescent="0.3">
      <c r="A67" s="25" t="s">
        <v>79</v>
      </c>
      <c r="B67" s="7">
        <v>0</v>
      </c>
      <c r="C67" s="8">
        <f>IFERROR(B67/B148, "NA")</f>
        <v>0</v>
      </c>
      <c r="D67" s="7">
        <v>0</v>
      </c>
      <c r="E67" s="8">
        <f>IFERROR(D67/D148, "NA")</f>
        <v>0</v>
      </c>
      <c r="F67" s="7">
        <v>0</v>
      </c>
      <c r="G67" s="8">
        <f>IFERROR(F67/F148, "NA")</f>
        <v>0</v>
      </c>
      <c r="H67" s="7">
        <v>0</v>
      </c>
      <c r="I67" s="8">
        <f>IFERROR(H67/H148, "NA")</f>
        <v>0</v>
      </c>
      <c r="J67" s="7">
        <v>0</v>
      </c>
      <c r="K67" s="8">
        <f>IFERROR(J67/J148, "NA")</f>
        <v>0</v>
      </c>
      <c r="L67" s="7">
        <v>0</v>
      </c>
      <c r="M67" s="8">
        <f>IFERROR(L67/L148, "NA")</f>
        <v>0</v>
      </c>
      <c r="N67" s="7">
        <v>0</v>
      </c>
      <c r="O67" s="8">
        <f>IFERROR(N67/N148, "NA")</f>
        <v>0</v>
      </c>
      <c r="P67" s="7">
        <v>0</v>
      </c>
      <c r="Q67" s="8">
        <f>IFERROR(P67/P148, "NA")</f>
        <v>0</v>
      </c>
      <c r="R67" s="7">
        <v>0</v>
      </c>
      <c r="S67" s="8">
        <f>IFERROR(R67/R148, "NA")</f>
        <v>0</v>
      </c>
      <c r="T67" s="7">
        <v>0</v>
      </c>
      <c r="U67" s="8">
        <f>IFERROR(T67/T148, "NA")</f>
        <v>0</v>
      </c>
      <c r="V67" s="7">
        <v>0</v>
      </c>
      <c r="W67" s="8">
        <f>IFERROR(V67/V148, "NA")</f>
        <v>0</v>
      </c>
      <c r="X67" s="7">
        <v>0</v>
      </c>
      <c r="Y67" s="8">
        <f>IFERROR(X67/X148, "NA")</f>
        <v>0</v>
      </c>
      <c r="Z67" s="7">
        <v>0</v>
      </c>
      <c r="AA67" s="8">
        <f>IFERROR(Z67/Z148, "NA")</f>
        <v>0</v>
      </c>
      <c r="AB67" s="9">
        <f t="shared" si="24"/>
        <v>0</v>
      </c>
      <c r="AC67" s="8">
        <f>IFERROR(AB67/AB148, "NA")</f>
        <v>0</v>
      </c>
      <c r="AD67" s="10">
        <f t="shared" si="25"/>
        <v>0</v>
      </c>
      <c r="AE67" s="11">
        <f>IFERROR(AD67/AD148, "NA")</f>
        <v>0</v>
      </c>
      <c r="AF67" s="10" t="str">
        <f t="shared" si="26"/>
        <v>NA</v>
      </c>
      <c r="AG67" s="9">
        <f t="shared" si="27"/>
        <v>0</v>
      </c>
      <c r="AH67" s="8">
        <f>IFERROR(AG67/AG148, "NA")</f>
        <v>0</v>
      </c>
      <c r="AI67" s="10">
        <f t="shared" si="28"/>
        <v>0</v>
      </c>
      <c r="AJ67" s="11">
        <f>IFERROR(AI67/AI148, "NA")</f>
        <v>0</v>
      </c>
      <c r="AK67" s="10" t="str">
        <f t="shared" si="29"/>
        <v>NA</v>
      </c>
      <c r="AL67" s="11" t="str">
        <f>IFERROR(AK67/AK148, "NA")</f>
        <v>NA</v>
      </c>
    </row>
    <row r="68" spans="1:38" ht="16.5" customHeight="1" x14ac:dyDescent="0.3">
      <c r="A68" s="25" t="s">
        <v>80</v>
      </c>
      <c r="B68" s="7">
        <v>4737.42</v>
      </c>
      <c r="C68" s="8">
        <f>IFERROR(B68/B148, "NA")</f>
        <v>0.16457649540463401</v>
      </c>
      <c r="D68" s="7">
        <v>5623.22</v>
      </c>
      <c r="E68" s="8">
        <f>IFERROR(D68/D148, "NA")</f>
        <v>0.1667214674472986</v>
      </c>
      <c r="F68" s="7">
        <v>5161.08</v>
      </c>
      <c r="G68" s="8">
        <f>IFERROR(F68/F148, "NA")</f>
        <v>0.1758806933292803</v>
      </c>
      <c r="H68" s="7">
        <v>4770.66</v>
      </c>
      <c r="I68" s="8">
        <f>IFERROR(H68/H148, "NA")</f>
        <v>0.16010967841536838</v>
      </c>
      <c r="J68" s="7">
        <v>4686.41</v>
      </c>
      <c r="K68" s="8">
        <f>IFERROR(J68/J148, "NA")</f>
        <v>0.15144163964050136</v>
      </c>
      <c r="L68" s="7">
        <v>4722.04</v>
      </c>
      <c r="M68" s="8">
        <f>IFERROR(L68/L148, "NA")</f>
        <v>0.20340434476959762</v>
      </c>
      <c r="N68" s="7">
        <v>5039.3500000000004</v>
      </c>
      <c r="O68" s="8">
        <f>IFERROR(N68/N148, "NA")</f>
        <v>0.19966409315055902</v>
      </c>
      <c r="P68" s="7">
        <v>5521.4</v>
      </c>
      <c r="Q68" s="8">
        <f>IFERROR(P68/P148, "NA")</f>
        <v>0.16606258671336893</v>
      </c>
      <c r="R68" s="7">
        <v>5217.59</v>
      </c>
      <c r="S68" s="8">
        <f>IFERROR(R68/R148, "NA")</f>
        <v>0.15633041102129114</v>
      </c>
      <c r="T68" s="7">
        <v>4662.72</v>
      </c>
      <c r="U68" s="8">
        <f>IFERROR(T68/T148, "NA")</f>
        <v>0.17131696018506137</v>
      </c>
      <c r="V68" s="7">
        <v>5021.32</v>
      </c>
      <c r="W68" s="8">
        <f>IFERROR(V68/V148, "NA")</f>
        <v>0.12245748038025002</v>
      </c>
      <c r="X68" s="7">
        <v>4837.6099999999997</v>
      </c>
      <c r="Y68" s="8">
        <f>IFERROR(X68/X148, "NA")</f>
        <v>0.15089455431986859</v>
      </c>
      <c r="Z68" s="7">
        <v>14521.65</v>
      </c>
      <c r="AA68" s="8">
        <f>IFERROR(Z68/Z148, "NA")</f>
        <v>0.14480949842373025</v>
      </c>
      <c r="AB68" s="9">
        <f t="shared" si="24"/>
        <v>4934.8100000000004</v>
      </c>
      <c r="AC68" s="8">
        <f>IFERROR(AB68/AB148, "NA")</f>
        <v>0.14768638941956119</v>
      </c>
      <c r="AD68" s="10">
        <f t="shared" si="25"/>
        <v>-97.200000000000728</v>
      </c>
      <c r="AE68" s="11">
        <f>IFERROR(AD68/AD148, "NA")</f>
        <v>7.1756824096119401E-2</v>
      </c>
      <c r="AF68" s="10">
        <f t="shared" si="26"/>
        <v>-1.9696806969265426E-2</v>
      </c>
      <c r="AG68" s="9">
        <f t="shared" si="27"/>
        <v>4963.5550000000003</v>
      </c>
      <c r="AH68" s="8">
        <f>IFERROR(AG68/AG148, "NA")</f>
        <v>0.16121662555839844</v>
      </c>
      <c r="AI68" s="10">
        <f t="shared" si="28"/>
        <v>-125.94500000000062</v>
      </c>
      <c r="AJ68" s="11">
        <f>IFERROR(AI68/AI148, "NA")</f>
        <v>-9.9057656479656669E-2</v>
      </c>
      <c r="AK68" s="10">
        <f t="shared" si="29"/>
        <v>-2.5373950726848119E-2</v>
      </c>
      <c r="AL68" s="11">
        <f>IFERROR(AK68/AK148, "NA")</f>
        <v>-0.61443822023042183</v>
      </c>
    </row>
    <row r="69" spans="1:38" ht="16.5" customHeight="1" x14ac:dyDescent="0.3">
      <c r="A69" s="25" t="s">
        <v>81</v>
      </c>
      <c r="B69" s="7">
        <v>126.68</v>
      </c>
      <c r="C69" s="8">
        <f>IFERROR(B69/B148, "NA")</f>
        <v>4.4008237474952687E-3</v>
      </c>
      <c r="D69" s="7">
        <v>111.18</v>
      </c>
      <c r="E69" s="8">
        <f>IFERROR(D69/D148, "NA")</f>
        <v>3.2963484890846627E-3</v>
      </c>
      <c r="F69" s="7">
        <v>70.099999999999994</v>
      </c>
      <c r="G69" s="8">
        <f>IFERROR(F69/F148, "NA")</f>
        <v>2.3888869388543768E-3</v>
      </c>
      <c r="H69" s="7">
        <v>245.57</v>
      </c>
      <c r="I69" s="8">
        <f>IFERROR(H69/H148, "NA")</f>
        <v>8.2416549761378955E-3</v>
      </c>
      <c r="J69" s="7">
        <v>18.809999999999999</v>
      </c>
      <c r="K69" s="8">
        <f>IFERROR(J69/J148, "NA")</f>
        <v>6.0784635608873976E-4</v>
      </c>
      <c r="L69" s="7">
        <v>255.11</v>
      </c>
      <c r="M69" s="8">
        <f>IFERROR(L69/L148, "NA")</f>
        <v>1.0988996788288971E-2</v>
      </c>
      <c r="N69" s="7">
        <v>33.67</v>
      </c>
      <c r="O69" s="8">
        <f>IFERROR(N69/N148, "NA")</f>
        <v>1.3340391154373723E-3</v>
      </c>
      <c r="P69" s="7">
        <v>71.709999999999994</v>
      </c>
      <c r="Q69" s="8">
        <f>IFERROR(P69/P148, "NA")</f>
        <v>2.156762432212063E-3</v>
      </c>
      <c r="R69" s="7">
        <v>416.73</v>
      </c>
      <c r="S69" s="8">
        <f>IFERROR(R69/R148, "NA")</f>
        <v>1.2486142488179917E-2</v>
      </c>
      <c r="T69" s="7">
        <v>0</v>
      </c>
      <c r="U69" s="8">
        <f>IFERROR(T69/T148, "NA")</f>
        <v>0</v>
      </c>
      <c r="V69" s="7">
        <v>411.69</v>
      </c>
      <c r="W69" s="8">
        <f>IFERROR(V69/V148, "NA")</f>
        <v>1.0040093062729547E-2</v>
      </c>
      <c r="X69" s="7">
        <v>54.34</v>
      </c>
      <c r="Y69" s="8">
        <f>IFERROR(X69/X148, "NA")</f>
        <v>1.6949712940360342E-3</v>
      </c>
      <c r="Z69" s="7">
        <v>466.03</v>
      </c>
      <c r="AA69" s="8">
        <f>IFERROR(Z69/Z148, "NA")</f>
        <v>4.6472384715518563E-3</v>
      </c>
      <c r="AB69" s="9">
        <f t="shared" si="24"/>
        <v>220.69000000000003</v>
      </c>
      <c r="AC69" s="8">
        <f>IFERROR(AB69/AB148, "NA")</f>
        <v>6.6046938546778823E-3</v>
      </c>
      <c r="AD69" s="10">
        <f t="shared" si="25"/>
        <v>-166.35000000000002</v>
      </c>
      <c r="AE69" s="11">
        <f>IFERROR(AD69/AD148, "NA")</f>
        <v>0.12280604617684542</v>
      </c>
      <c r="AF69" s="10">
        <f t="shared" si="26"/>
        <v>-0.75377225973084416</v>
      </c>
      <c r="AG69" s="9">
        <f t="shared" si="27"/>
        <v>157.75749999999999</v>
      </c>
      <c r="AH69" s="8">
        <f>IFERROR(AG69/AG148, "NA")</f>
        <v>5.1239750151915384E-3</v>
      </c>
      <c r="AI69" s="10">
        <f t="shared" si="28"/>
        <v>-103.41749999999999</v>
      </c>
      <c r="AJ69" s="11">
        <f>IFERROR(AI69/AI148, "NA")</f>
        <v>-8.1339435380402891E-2</v>
      </c>
      <c r="AK69" s="10">
        <f t="shared" si="29"/>
        <v>-0.65554727984406447</v>
      </c>
      <c r="AL69" s="11">
        <f>IFERROR(AK69/AK148, "NA")</f>
        <v>-15.8742841522935</v>
      </c>
    </row>
    <row r="70" spans="1:38" ht="16.5" customHeight="1" x14ac:dyDescent="0.3">
      <c r="A70" s="26" t="s">
        <v>82</v>
      </c>
      <c r="B70" s="13">
        <f>IFERROR(B65+B66+B67+B68+B69, "NA")</f>
        <v>6325.64</v>
      </c>
      <c r="C70" s="14">
        <f>IFERROR(B70/B148, "NA")</f>
        <v>0.21975076357835469</v>
      </c>
      <c r="D70" s="13">
        <f>IFERROR(D65+D66+D67+D68+D69, "NA")</f>
        <v>7195.9400000000005</v>
      </c>
      <c r="E70" s="14">
        <f>IFERROR(D70/D148, "NA")</f>
        <v>0.21335065611210549</v>
      </c>
      <c r="F70" s="13">
        <f>IFERROR(F65+F66+F67+F68+F69, "NA")</f>
        <v>6692.72</v>
      </c>
      <c r="G70" s="14">
        <f>IFERROR(F70/F148, "NA")</f>
        <v>0.22807633942096245</v>
      </c>
      <c r="H70" s="13">
        <f>IFERROR(H65+H66+H67+H68+H69, "NA")</f>
        <v>6477.7699999999995</v>
      </c>
      <c r="I70" s="14">
        <f>IFERROR(H70/H148, "NA")</f>
        <v>0.2174025546881817</v>
      </c>
      <c r="J70" s="13">
        <f>IFERROR(J65+J66+J67+J68+J69, "NA")</f>
        <v>6166.76</v>
      </c>
      <c r="K70" s="14">
        <f>IFERROR(J70/J148, "NA")</f>
        <v>0.19927924480987755</v>
      </c>
      <c r="L70" s="13">
        <f>IFERROR(L65+L66+L67+L68+L69, "NA")</f>
        <v>6438.69</v>
      </c>
      <c r="M70" s="14">
        <f>IFERROR(L70/L148, "NA")</f>
        <v>0.27734994210649644</v>
      </c>
      <c r="N70" s="13">
        <f>IFERROR(N65+N66+N67+N68+N69, "NA")</f>
        <v>6534.56</v>
      </c>
      <c r="O70" s="14">
        <f>IFERROR(N70/N148, "NA")</f>
        <v>0.25890581057833195</v>
      </c>
      <c r="P70" s="13">
        <f>IFERROR(P65+P66+P67+P68+P69, "NA")</f>
        <v>7054.65</v>
      </c>
      <c r="Q70" s="14">
        <f>IFERROR(P70/P148, "NA")</f>
        <v>0.21217688038495094</v>
      </c>
      <c r="R70" s="13">
        <f>IFERROR(R65+R66+R67+R68+R69, "NA")</f>
        <v>7095.8600000000006</v>
      </c>
      <c r="S70" s="14">
        <f>IFERROR(R70/R148, "NA")</f>
        <v>0.21260748934844229</v>
      </c>
      <c r="T70" s="13">
        <f>IFERROR(T65+T66+T67+T68+T69, "NA")</f>
        <v>6124.26</v>
      </c>
      <c r="U70" s="14">
        <f>IFERROR(T70/T148, "NA")</f>
        <v>0.22501664405818148</v>
      </c>
      <c r="V70" s="13">
        <f>IFERROR(V65+V66+V67+V68+V69, "NA")</f>
        <v>6894.5499999999993</v>
      </c>
      <c r="W70" s="14">
        <f>IFERROR(V70/V148, "NA")</f>
        <v>0.16814089150973305</v>
      </c>
      <c r="X70" s="13">
        <f>IFERROR(X65+X66+X67+X68+X69, "NA")</f>
        <v>6353.49</v>
      </c>
      <c r="Y70" s="14">
        <f>IFERROR(X70/X148, "NA")</f>
        <v>0.19817782787900262</v>
      </c>
      <c r="Z70" s="13">
        <f>IFERROR(Z65+Z66+Z67+Z68+Z69, "NA")</f>
        <v>19372.3</v>
      </c>
      <c r="AA70" s="14">
        <f>IFERROR(Z70/Z148, "NA")</f>
        <v>0.19318004815665091</v>
      </c>
      <c r="AB70" s="13">
        <f t="shared" si="24"/>
        <v>6617.0399999999991</v>
      </c>
      <c r="AC70" s="14">
        <f>IFERROR(AB70/AB148, "NA")</f>
        <v>0.19803128109183796</v>
      </c>
      <c r="AD70" s="15">
        <f t="shared" si="25"/>
        <v>-263.54999999999927</v>
      </c>
      <c r="AE70" s="16">
        <f>IFERROR(AD70/AD148, "NA")</f>
        <v>0.19456287027296373</v>
      </c>
      <c r="AF70" s="15">
        <f t="shared" si="26"/>
        <v>-3.9828986979072112E-2</v>
      </c>
      <c r="AG70" s="13">
        <f t="shared" si="27"/>
        <v>6582.8525</v>
      </c>
      <c r="AH70" s="14">
        <f>IFERROR(AG70/AG148, "NA")</f>
        <v>0.21381152552931657</v>
      </c>
      <c r="AI70" s="15">
        <f t="shared" si="28"/>
        <v>-229.36250000000018</v>
      </c>
      <c r="AJ70" s="16">
        <f>IFERROR(AI70/AI148, "NA")</f>
        <v>-0.18039709186005923</v>
      </c>
      <c r="AK70" s="15">
        <f t="shared" si="29"/>
        <v>-3.4842418237382683E-2</v>
      </c>
      <c r="AL70" s="16">
        <f>IFERROR(AK70/AK148, "NA")</f>
        <v>-0.84372014751526681</v>
      </c>
    </row>
    <row r="71" spans="1:38" ht="16.5" hidden="1" customHeight="1" x14ac:dyDescent="0.3">
      <c r="A71" s="23" t="s">
        <v>83</v>
      </c>
      <c r="B71" s="7">
        <v>0</v>
      </c>
      <c r="C71" s="8">
        <f>IFERROR(B71/B148, "NA")</f>
        <v>0</v>
      </c>
      <c r="D71" s="7">
        <v>0</v>
      </c>
      <c r="E71" s="8">
        <f>IFERROR(D71/D148, "NA")</f>
        <v>0</v>
      </c>
      <c r="F71" s="7">
        <v>0</v>
      </c>
      <c r="G71" s="8">
        <f>IFERROR(F71/F148, "NA")</f>
        <v>0</v>
      </c>
      <c r="H71" s="7">
        <v>0</v>
      </c>
      <c r="I71" s="8">
        <f>IFERROR(H71/H148, "NA")</f>
        <v>0</v>
      </c>
      <c r="J71" s="7">
        <v>0</v>
      </c>
      <c r="K71" s="8">
        <f>IFERROR(J71/J148, "NA")</f>
        <v>0</v>
      </c>
      <c r="L71" s="7">
        <v>0</v>
      </c>
      <c r="M71" s="8">
        <f>IFERROR(L71/L148, "NA")</f>
        <v>0</v>
      </c>
      <c r="N71" s="7">
        <v>0</v>
      </c>
      <c r="O71" s="8">
        <f>IFERROR(N71/N148, "NA")</f>
        <v>0</v>
      </c>
      <c r="P71" s="7">
        <v>0</v>
      </c>
      <c r="Q71" s="8">
        <f>IFERROR(P71/P148, "NA")</f>
        <v>0</v>
      </c>
      <c r="R71" s="7">
        <v>0</v>
      </c>
      <c r="S71" s="8">
        <f>IFERROR(R71/R148, "NA")</f>
        <v>0</v>
      </c>
      <c r="T71" s="7">
        <v>0</v>
      </c>
      <c r="U71" s="8">
        <f>IFERROR(T71/T148, "NA")</f>
        <v>0</v>
      </c>
      <c r="V71" s="7">
        <v>0</v>
      </c>
      <c r="W71" s="8">
        <f>IFERROR(V71/V148, "NA")</f>
        <v>0</v>
      </c>
      <c r="X71" s="7">
        <v>0</v>
      </c>
      <c r="Y71" s="8">
        <f>IFERROR(X71/X148, "NA")</f>
        <v>0</v>
      </c>
      <c r="Z71" s="7">
        <v>0</v>
      </c>
      <c r="AA71" s="8">
        <f>IFERROR(Z71/Z148, "NA")</f>
        <v>0</v>
      </c>
      <c r="AB71" s="9">
        <f t="shared" si="24"/>
        <v>0</v>
      </c>
      <c r="AC71" s="8">
        <f>IFERROR(AB71/AB148, "NA")</f>
        <v>0</v>
      </c>
      <c r="AD71" s="10">
        <f t="shared" si="25"/>
        <v>0</v>
      </c>
      <c r="AE71" s="11">
        <f>IFERROR(AD71/AD148, "NA")</f>
        <v>0</v>
      </c>
      <c r="AF71" s="10" t="str">
        <f t="shared" si="26"/>
        <v>NA</v>
      </c>
      <c r="AG71" s="9">
        <f t="shared" si="27"/>
        <v>0</v>
      </c>
      <c r="AH71" s="8">
        <f>IFERROR(AG71/AG148, "NA")</f>
        <v>0</v>
      </c>
      <c r="AI71" s="10">
        <f t="shared" si="28"/>
        <v>0</v>
      </c>
      <c r="AJ71" s="11">
        <f>IFERROR(AI71/AI148, "NA")</f>
        <v>0</v>
      </c>
      <c r="AK71" s="10" t="str">
        <f t="shared" si="29"/>
        <v>NA</v>
      </c>
      <c r="AL71" s="11" t="str">
        <f>IFERROR(AK71/AK148, "NA")</f>
        <v>NA</v>
      </c>
    </row>
    <row r="72" spans="1:38" ht="16.5" customHeight="1" x14ac:dyDescent="0.3">
      <c r="A72" s="23" t="s">
        <v>84</v>
      </c>
      <c r="B72" s="7">
        <v>0</v>
      </c>
      <c r="C72" s="8">
        <f>IFERROR(B72/B148, "NA")</f>
        <v>0</v>
      </c>
      <c r="D72" s="7">
        <v>0</v>
      </c>
      <c r="E72" s="8">
        <f>IFERROR(D72/D148, "NA")</f>
        <v>0</v>
      </c>
      <c r="F72" s="7">
        <v>0</v>
      </c>
      <c r="G72" s="8">
        <f>IFERROR(F72/F148, "NA")</f>
        <v>0</v>
      </c>
      <c r="H72" s="7">
        <v>-875</v>
      </c>
      <c r="I72" s="8">
        <f>IFERROR(H72/H148, "NA")</f>
        <v>-2.9366160785603532E-2</v>
      </c>
      <c r="J72" s="7">
        <v>0</v>
      </c>
      <c r="K72" s="8">
        <f>IFERROR(J72/J148, "NA")</f>
        <v>0</v>
      </c>
      <c r="L72" s="7">
        <v>0</v>
      </c>
      <c r="M72" s="8">
        <f>IFERROR(L72/L148, "NA")</f>
        <v>0</v>
      </c>
      <c r="N72" s="7">
        <v>0</v>
      </c>
      <c r="O72" s="8">
        <f>IFERROR(N72/N148, "NA")</f>
        <v>0</v>
      </c>
      <c r="P72" s="7">
        <v>0</v>
      </c>
      <c r="Q72" s="8">
        <f>IFERROR(P72/P148, "NA")</f>
        <v>0</v>
      </c>
      <c r="R72" s="7">
        <v>525</v>
      </c>
      <c r="S72" s="8">
        <f>IFERROR(R72/R148, "NA")</f>
        <v>1.5730148552526711E-2</v>
      </c>
      <c r="T72" s="7">
        <v>0</v>
      </c>
      <c r="U72" s="8">
        <f>IFERROR(T72/T148, "NA")</f>
        <v>0</v>
      </c>
      <c r="V72" s="7">
        <v>0</v>
      </c>
      <c r="W72" s="8">
        <f>IFERROR(V72/V148, "NA")</f>
        <v>0</v>
      </c>
      <c r="X72" s="7">
        <v>0</v>
      </c>
      <c r="Y72" s="8">
        <f>IFERROR(X72/X148, "NA")</f>
        <v>0</v>
      </c>
      <c r="Z72" s="7">
        <v>0</v>
      </c>
      <c r="AA72" s="8">
        <f>IFERROR(Z72/Z148, "NA")</f>
        <v>0</v>
      </c>
      <c r="AB72" s="9">
        <f t="shared" si="24"/>
        <v>131.25</v>
      </c>
      <c r="AC72" s="8">
        <f>IFERROR(AB72/AB148, "NA")</f>
        <v>3.9279807350875526E-3</v>
      </c>
      <c r="AD72" s="10">
        <f t="shared" si="25"/>
        <v>-131.25</v>
      </c>
      <c r="AE72" s="11">
        <f>IFERROR(AD72/AD148, "NA")</f>
        <v>9.6893859697691362E-2</v>
      </c>
      <c r="AF72" s="10">
        <f t="shared" si="26"/>
        <v>-1</v>
      </c>
      <c r="AG72" s="9">
        <f t="shared" si="27"/>
        <v>65.625</v>
      </c>
      <c r="AH72" s="8">
        <f>IFERROR(AG72/AG148, "NA")</f>
        <v>2.1315047485662791E-3</v>
      </c>
      <c r="AI72" s="10">
        <f t="shared" si="28"/>
        <v>-65.625</v>
      </c>
      <c r="AJ72" s="11">
        <f>IFERROR(AI72/AI148, "NA")</f>
        <v>-5.1615059799733506E-2</v>
      </c>
      <c r="AK72" s="10">
        <f t="shared" si="29"/>
        <v>-1</v>
      </c>
      <c r="AL72" s="11">
        <f>IFERROR(AK72/AK148, "NA")</f>
        <v>-24.215315417172548</v>
      </c>
    </row>
    <row r="73" spans="1:38" ht="16.5" customHeight="1" x14ac:dyDescent="0.3">
      <c r="A73" s="24" t="s">
        <v>85</v>
      </c>
      <c r="B73" s="2"/>
      <c r="C73" s="3"/>
      <c r="D73" s="2"/>
      <c r="E73" s="3"/>
      <c r="F73" s="2"/>
      <c r="G73" s="3"/>
      <c r="H73" s="2"/>
      <c r="I73" s="3"/>
      <c r="J73" s="2"/>
      <c r="K73" s="3"/>
      <c r="L73" s="2"/>
      <c r="M73" s="3"/>
      <c r="N73" s="2"/>
      <c r="O73" s="3"/>
      <c r="P73" s="2"/>
      <c r="Q73" s="3"/>
      <c r="R73" s="2"/>
      <c r="S73" s="3"/>
      <c r="T73" s="2"/>
      <c r="U73" s="3"/>
      <c r="V73" s="2"/>
      <c r="W73" s="3"/>
      <c r="X73" s="2"/>
      <c r="Y73" s="3"/>
      <c r="Z73" s="2"/>
      <c r="AA73" s="3"/>
      <c r="AB73" s="2"/>
      <c r="AC73" s="3"/>
      <c r="AD73" s="4"/>
      <c r="AE73" s="5"/>
      <c r="AF73" s="4"/>
      <c r="AG73" s="2"/>
      <c r="AH73" s="3"/>
      <c r="AI73" s="4"/>
      <c r="AJ73" s="5"/>
      <c r="AK73" s="4"/>
      <c r="AL73" s="5"/>
    </row>
    <row r="74" spans="1:38" ht="16.5" customHeight="1" x14ac:dyDescent="0.3">
      <c r="A74" s="25" t="s">
        <v>86</v>
      </c>
      <c r="B74" s="7">
        <v>559.88</v>
      </c>
      <c r="C74" s="8">
        <f>IFERROR(B74/B148, "NA")</f>
        <v>1.9450056834130494E-2</v>
      </c>
      <c r="D74" s="7">
        <v>638.27</v>
      </c>
      <c r="E74" s="8">
        <f>IFERROR(D74/D148, "NA")</f>
        <v>1.8923910326750022E-2</v>
      </c>
      <c r="F74" s="7">
        <v>589.30999999999995</v>
      </c>
      <c r="G74" s="8">
        <f>IFERROR(F74/F148, "NA")</f>
        <v>2.0082667074697188E-2</v>
      </c>
      <c r="H74" s="7">
        <v>559.82000000000005</v>
      </c>
      <c r="I74" s="8">
        <f>IFERROR(H74/H148, "NA")</f>
        <v>1.878830186399608E-2</v>
      </c>
      <c r="J74" s="7">
        <v>537.13</v>
      </c>
      <c r="K74" s="8">
        <f>IFERROR(J74/J148, "NA")</f>
        <v>1.7357390390534012E-2</v>
      </c>
      <c r="L74" s="7">
        <v>584.29</v>
      </c>
      <c r="M74" s="8">
        <f>IFERROR(L74/L148, "NA")</f>
        <v>2.5168597598798019E-2</v>
      </c>
      <c r="N74" s="7">
        <v>564.79</v>
      </c>
      <c r="O74" s="8">
        <f>IFERROR(N74/N148, "NA")</f>
        <v>2.2377545352179194E-2</v>
      </c>
      <c r="P74" s="7">
        <v>632.85</v>
      </c>
      <c r="Q74" s="8">
        <f>IFERROR(P74/P148, "NA")</f>
        <v>1.9033706668880272E-2</v>
      </c>
      <c r="R74" s="7">
        <v>630.77</v>
      </c>
      <c r="S74" s="8">
        <f>IFERROR(R74/R148, "NA")</f>
        <v>1.8899249147575757E-2</v>
      </c>
      <c r="T74" s="7">
        <v>534.32000000000005</v>
      </c>
      <c r="U74" s="8">
        <f>IFERROR(T74/T148, "NA")</f>
        <v>1.9631905447052792E-2</v>
      </c>
      <c r="V74" s="7">
        <v>592.94000000000005</v>
      </c>
      <c r="W74" s="8">
        <f>IFERROR(V74/V148, "NA")</f>
        <v>1.446032884115441E-2</v>
      </c>
      <c r="X74" s="7">
        <v>559.88</v>
      </c>
      <c r="Y74" s="8">
        <f>IFERROR(X74/X148, "NA")</f>
        <v>1.7463756498065787E-2</v>
      </c>
      <c r="Z74" s="7">
        <v>1687.14</v>
      </c>
      <c r="AA74" s="8">
        <f>IFERROR(Z74/Z148, "NA")</f>
        <v>1.6824114144784668E-2</v>
      </c>
      <c r="AB74" s="9">
        <f t="shared" ref="AB74:AB85" si="30">IFERROR((R74+T74+V74+X74)/4, "NA")</f>
        <v>579.47750000000008</v>
      </c>
      <c r="AC74" s="8">
        <f>IFERROR(AB74/AB148, "NA")</f>
        <v>1.7342296810793884E-2</v>
      </c>
      <c r="AD74" s="10">
        <f t="shared" ref="AD74:AD85" si="31">IFERROR(X74-AB74, "NA")</f>
        <v>-19.597500000000082</v>
      </c>
      <c r="AE74" s="11">
        <f>IFERROR(AD74/AD148, "NA")</f>
        <v>1.4467637450861062E-2</v>
      </c>
      <c r="AF74" s="10">
        <f t="shared" ref="AF74:AF85" si="32">IFERROR((X74-AB74)/AB74, "NA")</f>
        <v>-3.3819259591614997E-2</v>
      </c>
      <c r="AG74" s="9">
        <f t="shared" ref="AG74:AG85" si="33">IFERROR((J74+L74+N74+P74+R74+T74+V74+X74)/8, "NA")</f>
        <v>579.62125000000003</v>
      </c>
      <c r="AH74" s="8">
        <f>IFERROR(AG74/AG148, "NA")</f>
        <v>1.8826140140875008E-2</v>
      </c>
      <c r="AI74" s="10">
        <f t="shared" ref="AI74:AI85" si="34">IFERROR(X74-AG74, "NA")</f>
        <v>-19.741250000000036</v>
      </c>
      <c r="AJ74" s="11">
        <f>IFERROR(AI74/AI148, "NA")</f>
        <v>-1.5526793131756053E-2</v>
      </c>
      <c r="AK74" s="10">
        <f t="shared" ref="AK74:AK85" si="35">IFERROR((X74-AG74)/AG74, "NA")</f>
        <v>-3.4058878966221534E-2</v>
      </c>
      <c r="AL74" s="11">
        <f>IFERROR(AK74/AK148, "NA")</f>
        <v>-0.82474649692235802</v>
      </c>
    </row>
    <row r="75" spans="1:38" ht="16.5" hidden="1" customHeight="1" x14ac:dyDescent="0.3">
      <c r="A75" s="25" t="s">
        <v>87</v>
      </c>
      <c r="B75" s="7">
        <v>0</v>
      </c>
      <c r="C75" s="8">
        <f>IFERROR(B75/B148, "NA")</f>
        <v>0</v>
      </c>
      <c r="D75" s="7">
        <v>0</v>
      </c>
      <c r="E75" s="8">
        <f>IFERROR(D75/D148, "NA")</f>
        <v>0</v>
      </c>
      <c r="F75" s="7">
        <v>0</v>
      </c>
      <c r="G75" s="8">
        <f>IFERROR(F75/F148, "NA")</f>
        <v>0</v>
      </c>
      <c r="H75" s="7">
        <v>0</v>
      </c>
      <c r="I75" s="8">
        <f>IFERROR(H75/H148, "NA")</f>
        <v>0</v>
      </c>
      <c r="J75" s="7">
        <v>0</v>
      </c>
      <c r="K75" s="8">
        <f>IFERROR(J75/J148, "NA")</f>
        <v>0</v>
      </c>
      <c r="L75" s="7">
        <v>0</v>
      </c>
      <c r="M75" s="8">
        <f>IFERROR(L75/L148, "NA")</f>
        <v>0</v>
      </c>
      <c r="N75" s="7">
        <v>0</v>
      </c>
      <c r="O75" s="8">
        <f>IFERROR(N75/N148, "NA")</f>
        <v>0</v>
      </c>
      <c r="P75" s="7">
        <v>0</v>
      </c>
      <c r="Q75" s="8">
        <f>IFERROR(P75/P148, "NA")</f>
        <v>0</v>
      </c>
      <c r="R75" s="7">
        <v>0</v>
      </c>
      <c r="S75" s="8">
        <f>IFERROR(R75/R148, "NA")</f>
        <v>0</v>
      </c>
      <c r="T75" s="7">
        <v>0</v>
      </c>
      <c r="U75" s="8">
        <f>IFERROR(T75/T148, "NA")</f>
        <v>0</v>
      </c>
      <c r="V75" s="7">
        <v>0</v>
      </c>
      <c r="W75" s="8">
        <f>IFERROR(V75/V148, "NA")</f>
        <v>0</v>
      </c>
      <c r="X75" s="7">
        <v>0</v>
      </c>
      <c r="Y75" s="8">
        <f>IFERROR(X75/X148, "NA")</f>
        <v>0</v>
      </c>
      <c r="Z75" s="7">
        <v>0</v>
      </c>
      <c r="AA75" s="8">
        <f>IFERROR(Z75/Z148, "NA")</f>
        <v>0</v>
      </c>
      <c r="AB75" s="9">
        <f t="shared" si="30"/>
        <v>0</v>
      </c>
      <c r="AC75" s="8">
        <f>IFERROR(AB75/AB148, "NA")</f>
        <v>0</v>
      </c>
      <c r="AD75" s="10">
        <f t="shared" si="31"/>
        <v>0</v>
      </c>
      <c r="AE75" s="11">
        <f>IFERROR(AD75/AD148, "NA")</f>
        <v>0</v>
      </c>
      <c r="AF75" s="10" t="str">
        <f t="shared" si="32"/>
        <v>NA</v>
      </c>
      <c r="AG75" s="9">
        <f t="shared" si="33"/>
        <v>0</v>
      </c>
      <c r="AH75" s="8">
        <f>IFERROR(AG75/AG148, "NA")</f>
        <v>0</v>
      </c>
      <c r="AI75" s="10">
        <f t="shared" si="34"/>
        <v>0</v>
      </c>
      <c r="AJ75" s="11">
        <f>IFERROR(AI75/AI148, "NA")</f>
        <v>0</v>
      </c>
      <c r="AK75" s="10" t="str">
        <f t="shared" si="35"/>
        <v>NA</v>
      </c>
      <c r="AL75" s="11" t="str">
        <f>IFERROR(AK75/AK148, "NA")</f>
        <v>NA</v>
      </c>
    </row>
    <row r="76" spans="1:38" ht="16.5" hidden="1" customHeight="1" x14ac:dyDescent="0.3">
      <c r="A76" s="25" t="s">
        <v>88</v>
      </c>
      <c r="B76" s="7">
        <v>0</v>
      </c>
      <c r="C76" s="8">
        <f>IFERROR(B76/B148, "NA")</f>
        <v>0</v>
      </c>
      <c r="D76" s="7">
        <v>0</v>
      </c>
      <c r="E76" s="8">
        <f>IFERROR(D76/D148, "NA")</f>
        <v>0</v>
      </c>
      <c r="F76" s="7">
        <v>0</v>
      </c>
      <c r="G76" s="8">
        <f>IFERROR(F76/F148, "NA")</f>
        <v>0</v>
      </c>
      <c r="H76" s="7">
        <v>0</v>
      </c>
      <c r="I76" s="8">
        <f>IFERROR(H76/H148, "NA")</f>
        <v>0</v>
      </c>
      <c r="J76" s="7">
        <v>0</v>
      </c>
      <c r="K76" s="8">
        <f>IFERROR(J76/J148, "NA")</f>
        <v>0</v>
      </c>
      <c r="L76" s="7">
        <v>0</v>
      </c>
      <c r="M76" s="8">
        <f>IFERROR(L76/L148, "NA")</f>
        <v>0</v>
      </c>
      <c r="N76" s="7">
        <v>0</v>
      </c>
      <c r="O76" s="8">
        <f>IFERROR(N76/N148, "NA")</f>
        <v>0</v>
      </c>
      <c r="P76" s="7">
        <v>0</v>
      </c>
      <c r="Q76" s="8">
        <f>IFERROR(P76/P148, "NA")</f>
        <v>0</v>
      </c>
      <c r="R76" s="7">
        <v>0</v>
      </c>
      <c r="S76" s="8">
        <f>IFERROR(R76/R148, "NA")</f>
        <v>0</v>
      </c>
      <c r="T76" s="7">
        <v>0</v>
      </c>
      <c r="U76" s="8">
        <f>IFERROR(T76/T148, "NA")</f>
        <v>0</v>
      </c>
      <c r="V76" s="7">
        <v>0</v>
      </c>
      <c r="W76" s="8">
        <f>IFERROR(V76/V148, "NA")</f>
        <v>0</v>
      </c>
      <c r="X76" s="7">
        <v>0</v>
      </c>
      <c r="Y76" s="8">
        <f>IFERROR(X76/X148, "NA")</f>
        <v>0</v>
      </c>
      <c r="Z76" s="7">
        <v>0</v>
      </c>
      <c r="AA76" s="8">
        <f>IFERROR(Z76/Z148, "NA")</f>
        <v>0</v>
      </c>
      <c r="AB76" s="9">
        <f t="shared" si="30"/>
        <v>0</v>
      </c>
      <c r="AC76" s="8">
        <f>IFERROR(AB76/AB148, "NA")</f>
        <v>0</v>
      </c>
      <c r="AD76" s="10">
        <f t="shared" si="31"/>
        <v>0</v>
      </c>
      <c r="AE76" s="11">
        <f>IFERROR(AD76/AD148, "NA")</f>
        <v>0</v>
      </c>
      <c r="AF76" s="10" t="str">
        <f t="shared" si="32"/>
        <v>NA</v>
      </c>
      <c r="AG76" s="9">
        <f t="shared" si="33"/>
        <v>0</v>
      </c>
      <c r="AH76" s="8">
        <f>IFERROR(AG76/AG148, "NA")</f>
        <v>0</v>
      </c>
      <c r="AI76" s="10">
        <f t="shared" si="34"/>
        <v>0</v>
      </c>
      <c r="AJ76" s="11">
        <f>IFERROR(AI76/AI148, "NA")</f>
        <v>0</v>
      </c>
      <c r="AK76" s="10" t="str">
        <f t="shared" si="35"/>
        <v>NA</v>
      </c>
      <c r="AL76" s="11" t="str">
        <f>IFERROR(AK76/AK148, "NA")</f>
        <v>NA</v>
      </c>
    </row>
    <row r="77" spans="1:38" ht="16.5" hidden="1" customHeight="1" x14ac:dyDescent="0.3">
      <c r="A77" s="25" t="s">
        <v>89</v>
      </c>
      <c r="B77" s="7">
        <v>0</v>
      </c>
      <c r="C77" s="8">
        <f>IFERROR(B77/B148, "NA")</f>
        <v>0</v>
      </c>
      <c r="D77" s="7">
        <v>0</v>
      </c>
      <c r="E77" s="8">
        <f>IFERROR(D77/D148, "NA")</f>
        <v>0</v>
      </c>
      <c r="F77" s="7">
        <v>0</v>
      </c>
      <c r="G77" s="8">
        <f>IFERROR(F77/F148, "NA")</f>
        <v>0</v>
      </c>
      <c r="H77" s="7">
        <v>0</v>
      </c>
      <c r="I77" s="8">
        <f>IFERROR(H77/H148, "NA")</f>
        <v>0</v>
      </c>
      <c r="J77" s="7">
        <v>0</v>
      </c>
      <c r="K77" s="8">
        <f>IFERROR(J77/J148, "NA")</f>
        <v>0</v>
      </c>
      <c r="L77" s="7">
        <v>0</v>
      </c>
      <c r="M77" s="8">
        <f>IFERROR(L77/L148, "NA")</f>
        <v>0</v>
      </c>
      <c r="N77" s="7">
        <v>0</v>
      </c>
      <c r="O77" s="8">
        <f>IFERROR(N77/N148, "NA")</f>
        <v>0</v>
      </c>
      <c r="P77" s="7">
        <v>0</v>
      </c>
      <c r="Q77" s="8">
        <f>IFERROR(P77/P148, "NA")</f>
        <v>0</v>
      </c>
      <c r="R77" s="7">
        <v>0</v>
      </c>
      <c r="S77" s="8">
        <f>IFERROR(R77/R148, "NA")</f>
        <v>0</v>
      </c>
      <c r="T77" s="7">
        <v>0</v>
      </c>
      <c r="U77" s="8">
        <f>IFERROR(T77/T148, "NA")</f>
        <v>0</v>
      </c>
      <c r="V77" s="7">
        <v>0</v>
      </c>
      <c r="W77" s="8">
        <f>IFERROR(V77/V148, "NA")</f>
        <v>0</v>
      </c>
      <c r="X77" s="7">
        <v>0</v>
      </c>
      <c r="Y77" s="8">
        <f>IFERROR(X77/X148, "NA")</f>
        <v>0</v>
      </c>
      <c r="Z77" s="7">
        <v>0</v>
      </c>
      <c r="AA77" s="8">
        <f>IFERROR(Z77/Z148, "NA")</f>
        <v>0</v>
      </c>
      <c r="AB77" s="9">
        <f t="shared" si="30"/>
        <v>0</v>
      </c>
      <c r="AC77" s="8">
        <f>IFERROR(AB77/AB148, "NA")</f>
        <v>0</v>
      </c>
      <c r="AD77" s="10">
        <f t="shared" si="31"/>
        <v>0</v>
      </c>
      <c r="AE77" s="11">
        <f>IFERROR(AD77/AD148, "NA")</f>
        <v>0</v>
      </c>
      <c r="AF77" s="10" t="str">
        <f t="shared" si="32"/>
        <v>NA</v>
      </c>
      <c r="AG77" s="9">
        <f t="shared" si="33"/>
        <v>0</v>
      </c>
      <c r="AH77" s="8">
        <f>IFERROR(AG77/AG148, "NA")</f>
        <v>0</v>
      </c>
      <c r="AI77" s="10">
        <f t="shared" si="34"/>
        <v>0</v>
      </c>
      <c r="AJ77" s="11">
        <f>IFERROR(AI77/AI148, "NA")</f>
        <v>0</v>
      </c>
      <c r="AK77" s="10" t="str">
        <f t="shared" si="35"/>
        <v>NA</v>
      </c>
      <c r="AL77" s="11" t="str">
        <f>IFERROR(AK77/AK148, "NA")</f>
        <v>NA</v>
      </c>
    </row>
    <row r="78" spans="1:38" ht="16.5" hidden="1" customHeight="1" x14ac:dyDescent="0.3">
      <c r="A78" s="25" t="s">
        <v>90</v>
      </c>
      <c r="B78" s="7">
        <v>0</v>
      </c>
      <c r="C78" s="8">
        <f>IFERROR(B78/B148, "NA")</f>
        <v>0</v>
      </c>
      <c r="D78" s="7">
        <v>0</v>
      </c>
      <c r="E78" s="8">
        <f>IFERROR(D78/D148, "NA")</f>
        <v>0</v>
      </c>
      <c r="F78" s="7">
        <v>0</v>
      </c>
      <c r="G78" s="8">
        <f>IFERROR(F78/F148, "NA")</f>
        <v>0</v>
      </c>
      <c r="H78" s="7">
        <v>0</v>
      </c>
      <c r="I78" s="8">
        <f>IFERROR(H78/H148, "NA")</f>
        <v>0</v>
      </c>
      <c r="J78" s="7">
        <v>0</v>
      </c>
      <c r="K78" s="8">
        <f>IFERROR(J78/J148, "NA")</f>
        <v>0</v>
      </c>
      <c r="L78" s="7">
        <v>0</v>
      </c>
      <c r="M78" s="8">
        <f>IFERROR(L78/L148, "NA")</f>
        <v>0</v>
      </c>
      <c r="N78" s="7">
        <v>0</v>
      </c>
      <c r="O78" s="8">
        <f>IFERROR(N78/N148, "NA")</f>
        <v>0</v>
      </c>
      <c r="P78" s="7">
        <v>0</v>
      </c>
      <c r="Q78" s="8">
        <f>IFERROR(P78/P148, "NA")</f>
        <v>0</v>
      </c>
      <c r="R78" s="7">
        <v>0</v>
      </c>
      <c r="S78" s="8">
        <f>IFERROR(R78/R148, "NA")</f>
        <v>0</v>
      </c>
      <c r="T78" s="7">
        <v>0</v>
      </c>
      <c r="U78" s="8">
        <f>IFERROR(T78/T148, "NA")</f>
        <v>0</v>
      </c>
      <c r="V78" s="7">
        <v>0</v>
      </c>
      <c r="W78" s="8">
        <f>IFERROR(V78/V148, "NA")</f>
        <v>0</v>
      </c>
      <c r="X78" s="7">
        <v>0</v>
      </c>
      <c r="Y78" s="8">
        <f>IFERROR(X78/X148, "NA")</f>
        <v>0</v>
      </c>
      <c r="Z78" s="7">
        <v>0</v>
      </c>
      <c r="AA78" s="8">
        <f>IFERROR(Z78/Z148, "NA")</f>
        <v>0</v>
      </c>
      <c r="AB78" s="9">
        <f t="shared" si="30"/>
        <v>0</v>
      </c>
      <c r="AC78" s="8">
        <f>IFERROR(AB78/AB148, "NA")</f>
        <v>0</v>
      </c>
      <c r="AD78" s="10">
        <f t="shared" si="31"/>
        <v>0</v>
      </c>
      <c r="AE78" s="11">
        <f>IFERROR(AD78/AD148, "NA")</f>
        <v>0</v>
      </c>
      <c r="AF78" s="10" t="str">
        <f t="shared" si="32"/>
        <v>NA</v>
      </c>
      <c r="AG78" s="9">
        <f t="shared" si="33"/>
        <v>0</v>
      </c>
      <c r="AH78" s="8">
        <f>IFERROR(AG78/AG148, "NA")</f>
        <v>0</v>
      </c>
      <c r="AI78" s="10">
        <f t="shared" si="34"/>
        <v>0</v>
      </c>
      <c r="AJ78" s="11">
        <f>IFERROR(AI78/AI148, "NA")</f>
        <v>0</v>
      </c>
      <c r="AK78" s="10" t="str">
        <f t="shared" si="35"/>
        <v>NA</v>
      </c>
      <c r="AL78" s="11" t="str">
        <f>IFERROR(AK78/AK148, "NA")</f>
        <v>NA</v>
      </c>
    </row>
    <row r="79" spans="1:38" ht="16.5" hidden="1" customHeight="1" x14ac:dyDescent="0.3">
      <c r="A79" s="25" t="s">
        <v>91</v>
      </c>
      <c r="B79" s="7">
        <v>0</v>
      </c>
      <c r="C79" s="8">
        <f>IFERROR(B79/B148, "NA")</f>
        <v>0</v>
      </c>
      <c r="D79" s="7">
        <v>0</v>
      </c>
      <c r="E79" s="8">
        <f>IFERROR(D79/D148, "NA")</f>
        <v>0</v>
      </c>
      <c r="F79" s="7">
        <v>0</v>
      </c>
      <c r="G79" s="8">
        <f>IFERROR(F79/F148, "NA")</f>
        <v>0</v>
      </c>
      <c r="H79" s="7">
        <v>0</v>
      </c>
      <c r="I79" s="8">
        <f>IFERROR(H79/H148, "NA")</f>
        <v>0</v>
      </c>
      <c r="J79" s="7">
        <v>0</v>
      </c>
      <c r="K79" s="8">
        <f>IFERROR(J79/J148, "NA")</f>
        <v>0</v>
      </c>
      <c r="L79" s="7">
        <v>0</v>
      </c>
      <c r="M79" s="8">
        <f>IFERROR(L79/L148, "NA")</f>
        <v>0</v>
      </c>
      <c r="N79" s="7">
        <v>0</v>
      </c>
      <c r="O79" s="8">
        <f>IFERROR(N79/N148, "NA")</f>
        <v>0</v>
      </c>
      <c r="P79" s="7">
        <v>0</v>
      </c>
      <c r="Q79" s="8">
        <f>IFERROR(P79/P148, "NA")</f>
        <v>0</v>
      </c>
      <c r="R79" s="7">
        <v>0</v>
      </c>
      <c r="S79" s="8">
        <f>IFERROR(R79/R148, "NA")</f>
        <v>0</v>
      </c>
      <c r="T79" s="7">
        <v>0</v>
      </c>
      <c r="U79" s="8">
        <f>IFERROR(T79/T148, "NA")</f>
        <v>0</v>
      </c>
      <c r="V79" s="7">
        <v>0</v>
      </c>
      <c r="W79" s="8">
        <f>IFERROR(V79/V148, "NA")</f>
        <v>0</v>
      </c>
      <c r="X79" s="7">
        <v>0</v>
      </c>
      <c r="Y79" s="8">
        <f>IFERROR(X79/X148, "NA")</f>
        <v>0</v>
      </c>
      <c r="Z79" s="7">
        <v>0</v>
      </c>
      <c r="AA79" s="8">
        <f>IFERROR(Z79/Z148, "NA")</f>
        <v>0</v>
      </c>
      <c r="AB79" s="9">
        <f t="shared" si="30"/>
        <v>0</v>
      </c>
      <c r="AC79" s="8">
        <f>IFERROR(AB79/AB148, "NA")</f>
        <v>0</v>
      </c>
      <c r="AD79" s="10">
        <f t="shared" si="31"/>
        <v>0</v>
      </c>
      <c r="AE79" s="11">
        <f>IFERROR(AD79/AD148, "NA")</f>
        <v>0</v>
      </c>
      <c r="AF79" s="10" t="str">
        <f t="shared" si="32"/>
        <v>NA</v>
      </c>
      <c r="AG79" s="9">
        <f t="shared" si="33"/>
        <v>0</v>
      </c>
      <c r="AH79" s="8">
        <f>IFERROR(AG79/AG148, "NA")</f>
        <v>0</v>
      </c>
      <c r="AI79" s="10">
        <f t="shared" si="34"/>
        <v>0</v>
      </c>
      <c r="AJ79" s="11">
        <f>IFERROR(AI79/AI148, "NA")</f>
        <v>0</v>
      </c>
      <c r="AK79" s="10" t="str">
        <f t="shared" si="35"/>
        <v>NA</v>
      </c>
      <c r="AL79" s="11" t="str">
        <f>IFERROR(AK79/AK148, "NA")</f>
        <v>NA</v>
      </c>
    </row>
    <row r="80" spans="1:38" ht="16.5" hidden="1" customHeight="1" x14ac:dyDescent="0.3">
      <c r="A80" s="25" t="s">
        <v>92</v>
      </c>
      <c r="B80" s="7">
        <v>0</v>
      </c>
      <c r="C80" s="8">
        <f>IFERROR(B80/B148, "NA")</f>
        <v>0</v>
      </c>
      <c r="D80" s="7">
        <v>0</v>
      </c>
      <c r="E80" s="8">
        <f>IFERROR(D80/D148, "NA")</f>
        <v>0</v>
      </c>
      <c r="F80" s="7">
        <v>0</v>
      </c>
      <c r="G80" s="8">
        <f>IFERROR(F80/F148, "NA")</f>
        <v>0</v>
      </c>
      <c r="H80" s="7">
        <v>0</v>
      </c>
      <c r="I80" s="8">
        <f>IFERROR(H80/H148, "NA")</f>
        <v>0</v>
      </c>
      <c r="J80" s="7">
        <v>0</v>
      </c>
      <c r="K80" s="8">
        <f>IFERROR(J80/J148, "NA")</f>
        <v>0</v>
      </c>
      <c r="L80" s="7">
        <v>0</v>
      </c>
      <c r="M80" s="8">
        <f>IFERROR(L80/L148, "NA")</f>
        <v>0</v>
      </c>
      <c r="N80" s="7">
        <v>0</v>
      </c>
      <c r="O80" s="8">
        <f>IFERROR(N80/N148, "NA")</f>
        <v>0</v>
      </c>
      <c r="P80" s="7">
        <v>0</v>
      </c>
      <c r="Q80" s="8">
        <f>IFERROR(P80/P148, "NA")</f>
        <v>0</v>
      </c>
      <c r="R80" s="7">
        <v>0</v>
      </c>
      <c r="S80" s="8">
        <f>IFERROR(R80/R148, "NA")</f>
        <v>0</v>
      </c>
      <c r="T80" s="7">
        <v>0</v>
      </c>
      <c r="U80" s="8">
        <f>IFERROR(T80/T148, "NA")</f>
        <v>0</v>
      </c>
      <c r="V80" s="7">
        <v>0</v>
      </c>
      <c r="W80" s="8">
        <f>IFERROR(V80/V148, "NA")</f>
        <v>0</v>
      </c>
      <c r="X80" s="7">
        <v>0</v>
      </c>
      <c r="Y80" s="8">
        <f>IFERROR(X80/X148, "NA")</f>
        <v>0</v>
      </c>
      <c r="Z80" s="7">
        <v>0</v>
      </c>
      <c r="AA80" s="8">
        <f>IFERROR(Z80/Z148, "NA")</f>
        <v>0</v>
      </c>
      <c r="AB80" s="9">
        <f t="shared" si="30"/>
        <v>0</v>
      </c>
      <c r="AC80" s="8">
        <f>IFERROR(AB80/AB148, "NA")</f>
        <v>0</v>
      </c>
      <c r="AD80" s="10">
        <f t="shared" si="31"/>
        <v>0</v>
      </c>
      <c r="AE80" s="11">
        <f>IFERROR(AD80/AD148, "NA")</f>
        <v>0</v>
      </c>
      <c r="AF80" s="10" t="str">
        <f t="shared" si="32"/>
        <v>NA</v>
      </c>
      <c r="AG80" s="9">
        <f t="shared" si="33"/>
        <v>0</v>
      </c>
      <c r="AH80" s="8">
        <f>IFERROR(AG80/AG148, "NA")</f>
        <v>0</v>
      </c>
      <c r="AI80" s="10">
        <f t="shared" si="34"/>
        <v>0</v>
      </c>
      <c r="AJ80" s="11">
        <f>IFERROR(AI80/AI148, "NA")</f>
        <v>0</v>
      </c>
      <c r="AK80" s="10" t="str">
        <f t="shared" si="35"/>
        <v>NA</v>
      </c>
      <c r="AL80" s="11" t="str">
        <f>IFERROR(AK80/AK148, "NA")</f>
        <v>NA</v>
      </c>
    </row>
    <row r="81" spans="1:38" ht="16.5" customHeight="1" x14ac:dyDescent="0.3">
      <c r="A81" s="26" t="s">
        <v>93</v>
      </c>
      <c r="B81" s="13">
        <f>IFERROR(B74+B75+B76+B77+B78+B79+B80, "NA")</f>
        <v>559.88</v>
      </c>
      <c r="C81" s="14">
        <f>IFERROR(B81/B148, "NA")</f>
        <v>1.9450056834130494E-2</v>
      </c>
      <c r="D81" s="13">
        <f>IFERROR(D74+D75+D76+D77+D78+D79+D80, "NA")</f>
        <v>638.27</v>
      </c>
      <c r="E81" s="14">
        <f>IFERROR(D81/D148, "NA")</f>
        <v>1.8923910326750022E-2</v>
      </c>
      <c r="F81" s="13">
        <f>IFERROR(F74+F75+F76+F77+F78+F79+F80, "NA")</f>
        <v>589.30999999999995</v>
      </c>
      <c r="G81" s="14">
        <f>IFERROR(F81/F148, "NA")</f>
        <v>2.0082667074697188E-2</v>
      </c>
      <c r="H81" s="13">
        <f>IFERROR(H74+H75+H76+H77+H78+H79+H80, "NA")</f>
        <v>559.82000000000005</v>
      </c>
      <c r="I81" s="14">
        <f>IFERROR(H81/H148, "NA")</f>
        <v>1.878830186399608E-2</v>
      </c>
      <c r="J81" s="13">
        <f>IFERROR(J74+J75+J76+J77+J78+J79+J80, "NA")</f>
        <v>537.13</v>
      </c>
      <c r="K81" s="14">
        <f>IFERROR(J81/J148, "NA")</f>
        <v>1.7357390390534012E-2</v>
      </c>
      <c r="L81" s="13">
        <f>IFERROR(L74+L75+L76+L77+L78+L79+L80, "NA")</f>
        <v>584.29</v>
      </c>
      <c r="M81" s="14">
        <f>IFERROR(L81/L148, "NA")</f>
        <v>2.5168597598798019E-2</v>
      </c>
      <c r="N81" s="13">
        <f>IFERROR(N74+N75+N76+N77+N78+N79+N80, "NA")</f>
        <v>564.79</v>
      </c>
      <c r="O81" s="14">
        <f>IFERROR(N81/N148, "NA")</f>
        <v>2.2377545352179194E-2</v>
      </c>
      <c r="P81" s="13">
        <f>IFERROR(P74+P75+P76+P77+P78+P79+P80, "NA")</f>
        <v>632.85</v>
      </c>
      <c r="Q81" s="14">
        <f>IFERROR(P81/P148, "NA")</f>
        <v>1.9033706668880272E-2</v>
      </c>
      <c r="R81" s="13">
        <f>IFERROR(R74+R75+R76+R77+R78+R79+R80, "NA")</f>
        <v>630.77</v>
      </c>
      <c r="S81" s="14">
        <f>IFERROR(R81/R148, "NA")</f>
        <v>1.8899249147575757E-2</v>
      </c>
      <c r="T81" s="13">
        <f>IFERROR(T74+T75+T76+T77+T78+T79+T80, "NA")</f>
        <v>534.32000000000005</v>
      </c>
      <c r="U81" s="14">
        <f>IFERROR(T81/T148, "NA")</f>
        <v>1.9631905447052792E-2</v>
      </c>
      <c r="V81" s="13">
        <f>IFERROR(V74+V75+V76+V77+V78+V79+V80, "NA")</f>
        <v>592.94000000000005</v>
      </c>
      <c r="W81" s="14">
        <f>IFERROR(V81/V148, "NA")</f>
        <v>1.446032884115441E-2</v>
      </c>
      <c r="X81" s="13">
        <f>IFERROR(X74+X75+X76+X77+X78+X79+X80, "NA")</f>
        <v>559.88</v>
      </c>
      <c r="Y81" s="14">
        <f>IFERROR(X81/X148, "NA")</f>
        <v>1.7463756498065787E-2</v>
      </c>
      <c r="Z81" s="13">
        <f>IFERROR(Z74+Z75+Z76+Z77+Z78+Z79+Z80, "NA")</f>
        <v>1687.14</v>
      </c>
      <c r="AA81" s="14">
        <f>IFERROR(Z81/Z148, "NA")</f>
        <v>1.6824114144784668E-2</v>
      </c>
      <c r="AB81" s="13">
        <f t="shared" si="30"/>
        <v>579.47750000000008</v>
      </c>
      <c r="AC81" s="14">
        <f>IFERROR(AB81/AB148, "NA")</f>
        <v>1.7342296810793884E-2</v>
      </c>
      <c r="AD81" s="15">
        <f t="shared" si="31"/>
        <v>-19.597500000000082</v>
      </c>
      <c r="AE81" s="16">
        <f>IFERROR(AD81/AD148, "NA")</f>
        <v>1.4467637450861062E-2</v>
      </c>
      <c r="AF81" s="15">
        <f t="shared" si="32"/>
        <v>-3.3819259591614997E-2</v>
      </c>
      <c r="AG81" s="13">
        <f t="shared" si="33"/>
        <v>579.62125000000003</v>
      </c>
      <c r="AH81" s="14">
        <f>IFERROR(AG81/AG148, "NA")</f>
        <v>1.8826140140875008E-2</v>
      </c>
      <c r="AI81" s="15">
        <f t="shared" si="34"/>
        <v>-19.741250000000036</v>
      </c>
      <c r="AJ81" s="16">
        <f>IFERROR(AI81/AI148, "NA")</f>
        <v>-1.5526793131756053E-2</v>
      </c>
      <c r="AK81" s="15">
        <f t="shared" si="35"/>
        <v>-3.4058878966221534E-2</v>
      </c>
      <c r="AL81" s="16">
        <f>IFERROR(AK81/AK148, "NA")</f>
        <v>-0.82474649692235802</v>
      </c>
    </row>
    <row r="82" spans="1:38" ht="16.5" customHeight="1" x14ac:dyDescent="0.3">
      <c r="A82" s="23" t="s">
        <v>94</v>
      </c>
      <c r="B82" s="7">
        <v>228.34</v>
      </c>
      <c r="C82" s="8">
        <f>IFERROR(B82/B148, "NA")</f>
        <v>7.9324604870782255E-3</v>
      </c>
      <c r="D82" s="7">
        <v>0</v>
      </c>
      <c r="E82" s="8">
        <f>IFERROR(D82/D148, "NA")</f>
        <v>0</v>
      </c>
      <c r="F82" s="7">
        <v>0</v>
      </c>
      <c r="G82" s="8">
        <f>IFERROR(F82/F148, "NA")</f>
        <v>0</v>
      </c>
      <c r="H82" s="7">
        <v>0</v>
      </c>
      <c r="I82" s="8">
        <f>IFERROR(H82/H148, "NA")</f>
        <v>0</v>
      </c>
      <c r="J82" s="7">
        <v>224</v>
      </c>
      <c r="K82" s="8">
        <f>IFERROR(J82/J148, "NA")</f>
        <v>7.2385743627792504E-3</v>
      </c>
      <c r="L82" s="7">
        <v>0</v>
      </c>
      <c r="M82" s="8">
        <f>IFERROR(L82/L148, "NA")</f>
        <v>0</v>
      </c>
      <c r="N82" s="7">
        <v>0</v>
      </c>
      <c r="O82" s="8">
        <f>IFERROR(N82/N148, "NA")</f>
        <v>0</v>
      </c>
      <c r="P82" s="7">
        <v>0</v>
      </c>
      <c r="Q82" s="8">
        <f>IFERROR(P82/P148, "NA")</f>
        <v>0</v>
      </c>
      <c r="R82" s="7">
        <v>0</v>
      </c>
      <c r="S82" s="8">
        <f>IFERROR(R82/R148, "NA")</f>
        <v>0</v>
      </c>
      <c r="T82" s="7">
        <v>248</v>
      </c>
      <c r="U82" s="8">
        <f>IFERROR(T82/T148, "NA")</f>
        <v>9.1119788719664103E-3</v>
      </c>
      <c r="V82" s="7">
        <v>0</v>
      </c>
      <c r="W82" s="8">
        <f>IFERROR(V82/V148, "NA")</f>
        <v>0</v>
      </c>
      <c r="X82" s="7">
        <v>0</v>
      </c>
      <c r="Y82" s="8">
        <f>IFERROR(X82/X148, "NA")</f>
        <v>0</v>
      </c>
      <c r="Z82" s="7">
        <v>248</v>
      </c>
      <c r="AA82" s="8">
        <f>IFERROR(Z82/Z148, "NA")</f>
        <v>2.4730492477841779E-3</v>
      </c>
      <c r="AB82" s="9">
        <f t="shared" si="30"/>
        <v>62</v>
      </c>
      <c r="AC82" s="8">
        <f>IFERROR(AB82/AB148, "NA")</f>
        <v>1.8555032805746914E-3</v>
      </c>
      <c r="AD82" s="10">
        <f t="shared" si="31"/>
        <v>-62</v>
      </c>
      <c r="AE82" s="11">
        <f>IFERROR(AD82/AD148, "NA")</f>
        <v>4.5770813723861825E-2</v>
      </c>
      <c r="AF82" s="10">
        <f t="shared" si="32"/>
        <v>-1</v>
      </c>
      <c r="AG82" s="9">
        <f t="shared" si="33"/>
        <v>59</v>
      </c>
      <c r="AH82" s="8">
        <f>IFERROR(AG82/AG148, "NA")</f>
        <v>1.9163242691872069E-3</v>
      </c>
      <c r="AI82" s="10">
        <f t="shared" si="34"/>
        <v>-59</v>
      </c>
      <c r="AJ82" s="11">
        <f>IFERROR(AI82/AI148, "NA")</f>
        <v>-4.640439661995089E-2</v>
      </c>
      <c r="AK82" s="10">
        <f t="shared" si="35"/>
        <v>-1</v>
      </c>
      <c r="AL82" s="11">
        <f>IFERROR(AK82/AK148, "NA")</f>
        <v>-24.215315417172548</v>
      </c>
    </row>
    <row r="83" spans="1:38" ht="16.5" customHeight="1" x14ac:dyDescent="0.3">
      <c r="A83" s="23" t="s">
        <v>95</v>
      </c>
      <c r="B83" s="7">
        <v>-236.49</v>
      </c>
      <c r="C83" s="8">
        <f>IFERROR(B83/B148, "NA")</f>
        <v>-8.2155889488881913E-3</v>
      </c>
      <c r="D83" s="7">
        <v>-236.49</v>
      </c>
      <c r="E83" s="8">
        <f>IFERROR(D83/D148, "NA")</f>
        <v>-7.0116338746504039E-3</v>
      </c>
      <c r="F83" s="7">
        <v>2389.1799999999998</v>
      </c>
      <c r="G83" s="8">
        <f>IFERROR(F83/F148, "NA")</f>
        <v>8.1419128339116978E-2</v>
      </c>
      <c r="H83" s="7">
        <v>-236.49</v>
      </c>
      <c r="I83" s="8">
        <f>IFERROR(H83/H148, "NA")</f>
        <v>-7.9369181304998621E-3</v>
      </c>
      <c r="J83" s="7">
        <v>-236.49</v>
      </c>
      <c r="K83" s="8">
        <f>IFERROR(J83/J148, "NA")</f>
        <v>-7.6421895136324332E-3</v>
      </c>
      <c r="L83" s="7">
        <v>-159.66</v>
      </c>
      <c r="M83" s="8">
        <f>IFERROR(L83/L148, "NA")</f>
        <v>-6.8774380746274826E-3</v>
      </c>
      <c r="N83" s="7">
        <v>-159.66</v>
      </c>
      <c r="O83" s="8">
        <f>IFERROR(N83/N148, "NA")</f>
        <v>-6.325889075459782E-3</v>
      </c>
      <c r="P83" s="7">
        <v>2466.0100000000002</v>
      </c>
      <c r="Q83" s="8">
        <f>IFERROR(P83/P148, "NA")</f>
        <v>7.4168145662519461E-2</v>
      </c>
      <c r="R83" s="7">
        <v>-159.66</v>
      </c>
      <c r="S83" s="8">
        <f>IFERROR(R83/R148, "NA")</f>
        <v>-4.7837628912312654E-3</v>
      </c>
      <c r="T83" s="7">
        <v>-159.66</v>
      </c>
      <c r="U83" s="8">
        <f>IFERROR(T83/T148, "NA")</f>
        <v>-5.8662038173312777E-3</v>
      </c>
      <c r="V83" s="7">
        <v>-159.66</v>
      </c>
      <c r="W83" s="8">
        <f>IFERROR(V83/V148, "NA")</f>
        <v>-3.893709486252762E-3</v>
      </c>
      <c r="X83" s="7">
        <v>1291.4100000000001</v>
      </c>
      <c r="Y83" s="8">
        <f>IFERROR(X83/X148, "NA")</f>
        <v>4.0281613522839071E-2</v>
      </c>
      <c r="Z83" s="7">
        <v>972.09</v>
      </c>
      <c r="AA83" s="8">
        <f>IFERROR(Z83/Z148, "NA")</f>
        <v>9.6936550132198443E-3</v>
      </c>
      <c r="AB83" s="9">
        <f t="shared" si="30"/>
        <v>203.10750000000002</v>
      </c>
      <c r="AC83" s="8">
        <f>IFERROR(AB83/AB148, "NA")</f>
        <v>6.0784940735374863E-3</v>
      </c>
      <c r="AD83" s="10">
        <f t="shared" si="31"/>
        <v>1088.3025</v>
      </c>
      <c r="AE83" s="11">
        <f>IFERROR(AD83/AD148, "NA")</f>
        <v>-0.80342727423730864</v>
      </c>
      <c r="AF83" s="10">
        <f t="shared" si="32"/>
        <v>5.3582585576603519</v>
      </c>
      <c r="AG83" s="9">
        <f t="shared" si="33"/>
        <v>340.32875000000001</v>
      </c>
      <c r="AH83" s="8">
        <f>IFERROR(AG83/AG148, "NA")</f>
        <v>1.1053902425883826E-2</v>
      </c>
      <c r="AI83" s="10">
        <f t="shared" si="34"/>
        <v>951.08125000000007</v>
      </c>
      <c r="AJ83" s="11">
        <f>IFERROR(AI83/AI148, "NA")</f>
        <v>0.74803985665760453</v>
      </c>
      <c r="AK83" s="10">
        <f t="shared" si="35"/>
        <v>2.7945956666899288</v>
      </c>
      <c r="AL83" s="11">
        <f>IFERROR(AK83/AK148, "NA")</f>
        <v>67.67201553236022</v>
      </c>
    </row>
    <row r="84" spans="1:38" ht="16.5" customHeight="1" x14ac:dyDescent="0.3">
      <c r="A84" s="27" t="s">
        <v>96</v>
      </c>
      <c r="B84" s="13">
        <f>IFERROR(B63+B65+B66+B67+B68+B69+B71+B72+B74+B75+B76+B77+B78+B79+B80+B82+B83, "NA")</f>
        <v>6877.3700000000008</v>
      </c>
      <c r="C84" s="14">
        <f>IFERROR(B84/B148, "NA")</f>
        <v>0.23891769195067522</v>
      </c>
      <c r="D84" s="13">
        <f>IFERROR(D63+D65+D66+D67+D68+D69+D71+D72+D74+D75+D76+D77+D78+D79+D80+D82+D83, "NA")</f>
        <v>7597.7200000000012</v>
      </c>
      <c r="E84" s="14">
        <f>IFERROR(D84/D148, "NA")</f>
        <v>0.22526293256420513</v>
      </c>
      <c r="F84" s="13">
        <f>IFERROR(F63+F65+F66+F67+F68+F69+F71+F72+F74+F75+F76+F77+F78+F79+F80+F82+F83, "NA")</f>
        <v>9671.2100000000009</v>
      </c>
      <c r="G84" s="14">
        <f>IFERROR(F84/F148, "NA")</f>
        <v>0.32957813483477666</v>
      </c>
      <c r="H84" s="13">
        <f>IFERROR(H63+H65+H66+H67+H68+H69+H71+H72+H74+H75+H76+H77+H78+H79+H80+H82+H83, "NA")</f>
        <v>5926.0999999999995</v>
      </c>
      <c r="I84" s="14">
        <f>IFERROR(H84/H148, "NA")</f>
        <v>0.19888777763607438</v>
      </c>
      <c r="J84" s="13">
        <f>IFERROR(J63+J65+J66+J67+J68+J69+J71+J72+J74+J75+J76+J77+J78+J79+J80+J82+J83, "NA")</f>
        <v>6691.4000000000005</v>
      </c>
      <c r="K84" s="14">
        <f>IFERROR(J84/J148, "NA")</f>
        <v>0.21623302004955841</v>
      </c>
      <c r="L84" s="13">
        <f>IFERROR(L63+L65+L66+L67+L68+L69+L71+L72+L74+L75+L76+L77+L78+L79+L80+L82+L83, "NA")</f>
        <v>6863.32</v>
      </c>
      <c r="M84" s="14">
        <f>IFERROR(L84/L148, "NA")</f>
        <v>0.29564110163066698</v>
      </c>
      <c r="N84" s="13">
        <f>IFERROR(N63+N65+N66+N67+N68+N69+N71+N72+N74+N75+N76+N77+N78+N79+N80+N82+N83, "NA")</f>
        <v>6939.6900000000005</v>
      </c>
      <c r="O84" s="14">
        <f>IFERROR(N84/N148, "NA")</f>
        <v>0.27495746685505135</v>
      </c>
      <c r="P84" s="13">
        <f>IFERROR(P63+P65+P66+P67+P68+P69+P71+P72+P74+P75+P76+P77+P78+P79+P80+P82+P83, "NA")</f>
        <v>10153.51</v>
      </c>
      <c r="Q84" s="14">
        <f>IFERROR(P84/P148, "NA")</f>
        <v>0.30537873271635069</v>
      </c>
      <c r="R84" s="13">
        <f>IFERROR(R63+R65+R66+R67+R68+R69+R71+R72+R74+R75+R76+R77+R78+R79+R80+R82+R83, "NA")</f>
        <v>8091.9700000000012</v>
      </c>
      <c r="S84" s="14">
        <f>IFERROR(R84/R148, "NA")</f>
        <v>0.24245312415731349</v>
      </c>
      <c r="T84" s="13">
        <f>IFERROR(T63+T65+T66+T67+T68+T69+T71+T72+T74+T75+T76+T77+T78+T79+T80+T82+T83, "NA")</f>
        <v>6746.92</v>
      </c>
      <c r="U84" s="14">
        <f>IFERROR(T84/T148, "NA")</f>
        <v>0.2478943245598694</v>
      </c>
      <c r="V84" s="13">
        <f>IFERROR(V63+V65+V66+V67+V68+V69+V71+V72+V74+V75+V76+V77+V78+V79+V80+V82+V83, "NA")</f>
        <v>7327.83</v>
      </c>
      <c r="W84" s="14">
        <f>IFERROR(V84/V148, "NA")</f>
        <v>0.17870751086463471</v>
      </c>
      <c r="X84" s="13">
        <f>IFERROR(X63+X65+X66+X67+X68+X69+X71+X72+X74+X75+X76+X77+X78+X79+X80+X82+X83, "NA")</f>
        <v>8204.7800000000007</v>
      </c>
      <c r="Y84" s="14">
        <f>IFERROR(X84/X148, "NA")</f>
        <v>0.25592319789990747</v>
      </c>
      <c r="Z84" s="13">
        <f>IFERROR(Z63+Z65+Z66+Z67+Z68+Z69+Z71+Z72+Z74+Z75+Z76+Z77+Z78+Z79+Z80+Z82+Z83, "NA")</f>
        <v>22279.53</v>
      </c>
      <c r="AA84" s="14">
        <f>IFERROR(Z84/Z148, "NA")</f>
        <v>0.22217086656243959</v>
      </c>
      <c r="AB84" s="13">
        <f t="shared" si="30"/>
        <v>7592.875</v>
      </c>
      <c r="AC84" s="14">
        <f>IFERROR(AB84/AB148, "NA")</f>
        <v>0.22723555599183162</v>
      </c>
      <c r="AD84" s="15">
        <f t="shared" si="31"/>
        <v>611.90500000000065</v>
      </c>
      <c r="AE84" s="16">
        <f>IFERROR(AD84/AD148, "NA")</f>
        <v>-0.45173209309193063</v>
      </c>
      <c r="AF84" s="15">
        <f t="shared" si="32"/>
        <v>8.0589368322275909E-2</v>
      </c>
      <c r="AG84" s="13">
        <f t="shared" si="33"/>
        <v>7627.4275000000007</v>
      </c>
      <c r="AH84" s="14">
        <f>IFERROR(AG84/AG148, "NA")</f>
        <v>0.24773939711382892</v>
      </c>
      <c r="AI84" s="15">
        <f t="shared" si="34"/>
        <v>577.35249999999996</v>
      </c>
      <c r="AJ84" s="16">
        <f>IFERROR(AI84/AI148, "NA")</f>
        <v>0.45409651524610495</v>
      </c>
      <c r="AK84" s="15">
        <f t="shared" si="35"/>
        <v>7.5694262580666929E-2</v>
      </c>
      <c r="AL84" s="16">
        <f>IFERROR(AK84/AK148, "NA")</f>
        <v>1.8329604436611309</v>
      </c>
    </row>
    <row r="85" spans="1:38" ht="16.5" customHeight="1" x14ac:dyDescent="0.3">
      <c r="A85" s="12" t="s">
        <v>96</v>
      </c>
      <c r="B85" s="28">
        <f>IFERROR(B63+B65+B66+B67+B68+B69+B71+B72+B74+B75+B76+B77+B78+B79+B80+B82+B83, "NA")</f>
        <v>6877.3700000000008</v>
      </c>
      <c r="C85" s="29">
        <f>IFERROR(B85/B148, "NA")</f>
        <v>0.23891769195067522</v>
      </c>
      <c r="D85" s="28">
        <f>IFERROR(D63+D65+D66+D67+D68+D69+D71+D72+D74+D75+D76+D77+D78+D79+D80+D82+D83, "NA")</f>
        <v>7597.7200000000012</v>
      </c>
      <c r="E85" s="29">
        <f>IFERROR(D85/D148, "NA")</f>
        <v>0.22526293256420513</v>
      </c>
      <c r="F85" s="28">
        <f>IFERROR(F63+F65+F66+F67+F68+F69+F71+F72+F74+F75+F76+F77+F78+F79+F80+F82+F83, "NA")</f>
        <v>9671.2100000000009</v>
      </c>
      <c r="G85" s="29">
        <f>IFERROR(F85/F148, "NA")</f>
        <v>0.32957813483477666</v>
      </c>
      <c r="H85" s="28">
        <f>IFERROR(H63+H65+H66+H67+H68+H69+H71+H72+H74+H75+H76+H77+H78+H79+H80+H82+H83, "NA")</f>
        <v>5926.0999999999995</v>
      </c>
      <c r="I85" s="29">
        <f>IFERROR(H85/H148, "NA")</f>
        <v>0.19888777763607438</v>
      </c>
      <c r="J85" s="28">
        <f>IFERROR(J63+J65+J66+J67+J68+J69+J71+J72+J74+J75+J76+J77+J78+J79+J80+J82+J83, "NA")</f>
        <v>6691.4000000000005</v>
      </c>
      <c r="K85" s="29">
        <f>IFERROR(J85/J148, "NA")</f>
        <v>0.21623302004955841</v>
      </c>
      <c r="L85" s="28">
        <f>IFERROR(L63+L65+L66+L67+L68+L69+L71+L72+L74+L75+L76+L77+L78+L79+L80+L82+L83, "NA")</f>
        <v>6863.32</v>
      </c>
      <c r="M85" s="29">
        <f>IFERROR(L85/L148, "NA")</f>
        <v>0.29564110163066698</v>
      </c>
      <c r="N85" s="28">
        <f>IFERROR(N63+N65+N66+N67+N68+N69+N71+N72+N74+N75+N76+N77+N78+N79+N80+N82+N83, "NA")</f>
        <v>6939.6900000000005</v>
      </c>
      <c r="O85" s="29">
        <f>IFERROR(N85/N148, "NA")</f>
        <v>0.27495746685505135</v>
      </c>
      <c r="P85" s="28">
        <f>IFERROR(P63+P65+P66+P67+P68+P69+P71+P72+P74+P75+P76+P77+P78+P79+P80+P82+P83, "NA")</f>
        <v>10153.51</v>
      </c>
      <c r="Q85" s="29">
        <f>IFERROR(P85/P148, "NA")</f>
        <v>0.30537873271635069</v>
      </c>
      <c r="R85" s="28">
        <f>IFERROR(R63+R65+R66+R67+R68+R69+R71+R72+R74+R75+R76+R77+R78+R79+R80+R82+R83, "NA")</f>
        <v>8091.9700000000012</v>
      </c>
      <c r="S85" s="29">
        <f>IFERROR(R85/R148, "NA")</f>
        <v>0.24245312415731349</v>
      </c>
      <c r="T85" s="28">
        <f>IFERROR(T63+T65+T66+T67+T68+T69+T71+T72+T74+T75+T76+T77+T78+T79+T80+T82+T83, "NA")</f>
        <v>6746.92</v>
      </c>
      <c r="U85" s="29">
        <f>IFERROR(T85/T148, "NA")</f>
        <v>0.2478943245598694</v>
      </c>
      <c r="V85" s="28">
        <f>IFERROR(V63+V65+V66+V67+V68+V69+V71+V72+V74+V75+V76+V77+V78+V79+V80+V82+V83, "NA")</f>
        <v>7327.83</v>
      </c>
      <c r="W85" s="29">
        <f>IFERROR(V85/V148, "NA")</f>
        <v>0.17870751086463471</v>
      </c>
      <c r="X85" s="28">
        <f>IFERROR(X63+X65+X66+X67+X68+X69+X71+X72+X74+X75+X76+X77+X78+X79+X80+X82+X83, "NA")</f>
        <v>8204.7800000000007</v>
      </c>
      <c r="Y85" s="29">
        <f>IFERROR(X85/X148, "NA")</f>
        <v>0.25592319789990747</v>
      </c>
      <c r="Z85" s="28">
        <f>IFERROR(Z63+Z65+Z66+Z67+Z68+Z69+Z71+Z72+Z74+Z75+Z76+Z77+Z78+Z79+Z80+Z82+Z83, "NA")</f>
        <v>22279.53</v>
      </c>
      <c r="AA85" s="29">
        <f>IFERROR(Z85/Z148, "NA")</f>
        <v>0.22217086656243959</v>
      </c>
      <c r="AB85" s="28">
        <f t="shared" si="30"/>
        <v>7592.875</v>
      </c>
      <c r="AC85" s="29">
        <f>IFERROR(AB85/AB148, "NA")</f>
        <v>0.22723555599183162</v>
      </c>
      <c r="AD85" s="30">
        <f t="shared" si="31"/>
        <v>611.90500000000065</v>
      </c>
      <c r="AE85" s="31">
        <f>IFERROR(AD85/AD148, "NA")</f>
        <v>-0.45173209309193063</v>
      </c>
      <c r="AF85" s="30">
        <f t="shared" si="32"/>
        <v>8.0589368322275909E-2</v>
      </c>
      <c r="AG85" s="28">
        <f t="shared" si="33"/>
        <v>7627.4275000000007</v>
      </c>
      <c r="AH85" s="29">
        <f>IFERROR(AG85/AG148, "NA")</f>
        <v>0.24773939711382892</v>
      </c>
      <c r="AI85" s="30">
        <f t="shared" si="34"/>
        <v>577.35249999999996</v>
      </c>
      <c r="AJ85" s="31">
        <f>IFERROR(AI85/AI148, "NA")</f>
        <v>0.45409651524610495</v>
      </c>
      <c r="AK85" s="30">
        <f t="shared" si="35"/>
        <v>7.5694262580666929E-2</v>
      </c>
      <c r="AL85" s="31">
        <f>IFERROR(AK85/AK148, "NA")</f>
        <v>1.8329604436611309</v>
      </c>
    </row>
    <row r="86" spans="1:38" ht="3.75" customHeight="1" x14ac:dyDescent="0.3">
      <c r="A86" s="35" t="s">
        <v>3</v>
      </c>
      <c r="B86" s="36"/>
      <c r="C86" s="19"/>
      <c r="D86" s="36"/>
      <c r="E86" s="19"/>
      <c r="F86" s="36"/>
      <c r="G86" s="19"/>
      <c r="H86" s="36"/>
      <c r="I86" s="19"/>
      <c r="J86" s="36"/>
      <c r="K86" s="19"/>
      <c r="L86" s="36"/>
      <c r="M86" s="19"/>
      <c r="N86" s="36"/>
      <c r="O86" s="19"/>
      <c r="P86" s="36"/>
      <c r="Q86" s="19"/>
      <c r="R86" s="36"/>
      <c r="S86" s="19"/>
      <c r="T86" s="36"/>
      <c r="U86" s="19"/>
      <c r="V86" s="36"/>
      <c r="W86" s="19"/>
      <c r="X86" s="36"/>
      <c r="Y86" s="19"/>
      <c r="Z86" s="36"/>
      <c r="AA86" s="19"/>
      <c r="AB86" s="36"/>
      <c r="AC86" s="19"/>
      <c r="AD86" s="37"/>
      <c r="AE86" s="21"/>
      <c r="AF86" s="37"/>
      <c r="AG86" s="36"/>
      <c r="AH86" s="19"/>
      <c r="AI86" s="37"/>
      <c r="AJ86" s="21"/>
      <c r="AK86" s="37"/>
      <c r="AL86" s="21"/>
    </row>
    <row r="87" spans="1:38" ht="16.5" customHeight="1" x14ac:dyDescent="0.3">
      <c r="A87" s="32" t="s">
        <v>97</v>
      </c>
      <c r="B87" s="33">
        <f>IFERROR(B59-B85, "NA")</f>
        <v>12953.72999999999</v>
      </c>
      <c r="C87" s="34">
        <f>IFERROR(B87/B148, "NA")</f>
        <v>0.4500085459633868</v>
      </c>
      <c r="D87" s="33">
        <f>IFERROR(D59-D85, "NA")</f>
        <v>16729.499999999985</v>
      </c>
      <c r="E87" s="34">
        <f>IFERROR(D87/D148, "NA")</f>
        <v>0.49600883295684312</v>
      </c>
      <c r="F87" s="33">
        <f>IFERROR(F59-F85, "NA")</f>
        <v>10967.22</v>
      </c>
      <c r="G87" s="34">
        <f>IFERROR(F87/F148, "NA")</f>
        <v>0.37374391745424396</v>
      </c>
      <c r="H87" s="33">
        <f>IFERROR(H59-H85, "NA")</f>
        <v>15626.89</v>
      </c>
      <c r="I87" s="34">
        <f>IFERROR(H87/H148, "NA")</f>
        <v>0.52445915922164565</v>
      </c>
      <c r="J87" s="33">
        <f>IFERROR(J59-J85, "NA")</f>
        <v>15206.86</v>
      </c>
      <c r="K87" s="34">
        <f>IFERROR(J87/J148, "NA")</f>
        <v>0.4914106559570236</v>
      </c>
      <c r="L87" s="33">
        <f>IFERROR(L59-L85, "NA")</f>
        <v>9194.8699999999972</v>
      </c>
      <c r="M87" s="34">
        <f>IFERROR(L87/L148, "NA")</f>
        <v>0.39607383833928334</v>
      </c>
      <c r="N87" s="33">
        <f>IFERROR(N59-N85, "NA")</f>
        <v>11343.439999999997</v>
      </c>
      <c r="O87" s="34">
        <f>IFERROR(N87/N148, "NA")</f>
        <v>0.44943845154787354</v>
      </c>
      <c r="P87" s="33">
        <f>IFERROR(P59-P85, "NA")</f>
        <v>13894.28</v>
      </c>
      <c r="Q87" s="34">
        <f>IFERROR(P87/P148, "NA")</f>
        <v>0.41788678185239753</v>
      </c>
      <c r="R87" s="33">
        <f>IFERROR(R59-R85, "NA")</f>
        <v>16626.89</v>
      </c>
      <c r="S87" s="34">
        <f>IFERROR(R87/R148, "NA")</f>
        <v>0.49817799936480156</v>
      </c>
      <c r="T87" s="33">
        <f>IFERROR(T59-T85, "NA")</f>
        <v>13303.260000000004</v>
      </c>
      <c r="U87" s="34">
        <f>IFERROR(T87/T148, "NA")</f>
        <v>0.48878638729143509</v>
      </c>
      <c r="V87" s="33">
        <f>IFERROR(V59-V85, "NA")</f>
        <v>23774.390000000007</v>
      </c>
      <c r="W87" s="34">
        <f>IFERROR(V87/V148, "NA")</f>
        <v>0.57979812021090338</v>
      </c>
      <c r="X87" s="33">
        <f>IFERROR(X59-X85, "NA")</f>
        <v>15286.63</v>
      </c>
      <c r="Y87" s="34">
        <f>IFERROR(X87/X148, "NA")</f>
        <v>0.47682000427953736</v>
      </c>
      <c r="Z87" s="33">
        <f>IFERROR(Z59-Z85, "NA")</f>
        <v>52364.28</v>
      </c>
      <c r="AA87" s="34">
        <f>IFERROR(Z87/Z148, "NA")</f>
        <v>0.52217517445467765</v>
      </c>
      <c r="AB87" s="33">
        <f>IFERROR((R87+T87+V87+X87)/4, "NA")</f>
        <v>17247.792500000003</v>
      </c>
      <c r="AC87" s="34">
        <f>IFERROR(AB87/AB148, "NA")</f>
        <v>0.51618283171647683</v>
      </c>
      <c r="AD87" s="15">
        <f>IFERROR(X87-AB87, "NA")</f>
        <v>-1961.162500000004</v>
      </c>
      <c r="AE87" s="16">
        <f>IFERROR(AD87/AD148, "NA")</f>
        <v>1.447806507576183</v>
      </c>
      <c r="AF87" s="15">
        <f>IFERROR((X87-AB87)/AB87, "NA")</f>
        <v>-0.11370513067107015</v>
      </c>
      <c r="AG87" s="33">
        <f>IFERROR((J87+L87+N87+P87+R87+T87+V87+X87)/8, "NA")</f>
        <v>14828.827500000003</v>
      </c>
      <c r="AH87" s="34">
        <f>IFERROR(AG87/AG148, "NA")</f>
        <v>0.48164139020068919</v>
      </c>
      <c r="AI87" s="15">
        <f>IFERROR(X87-AG87, "NA")</f>
        <v>457.80249999999614</v>
      </c>
      <c r="AJ87" s="16">
        <f>IFERROR(AI87/AI148, "NA")</f>
        <v>0.36006862345093027</v>
      </c>
      <c r="AK87" s="15">
        <f>IFERROR((X87-AG87)/AG87, "NA")</f>
        <v>3.0872467833346639E-2</v>
      </c>
      <c r="AL87" s="16">
        <f>IFERROR(AK87/AK148, "NA")</f>
        <v>0.74758654629100241</v>
      </c>
    </row>
    <row r="88" spans="1:38" ht="3.75" customHeight="1" x14ac:dyDescent="0.3">
      <c r="A88" s="35" t="s">
        <v>3</v>
      </c>
      <c r="B88" s="36"/>
      <c r="C88" s="19"/>
      <c r="D88" s="36"/>
      <c r="E88" s="19"/>
      <c r="F88" s="36"/>
      <c r="G88" s="19"/>
      <c r="H88" s="36"/>
      <c r="I88" s="19"/>
      <c r="J88" s="36"/>
      <c r="K88" s="19"/>
      <c r="L88" s="36"/>
      <c r="M88" s="19"/>
      <c r="N88" s="36"/>
      <c r="O88" s="19"/>
      <c r="P88" s="36"/>
      <c r="Q88" s="19"/>
      <c r="R88" s="36"/>
      <c r="S88" s="19"/>
      <c r="T88" s="36"/>
      <c r="U88" s="19"/>
      <c r="V88" s="36"/>
      <c r="W88" s="19"/>
      <c r="X88" s="36"/>
      <c r="Y88" s="19"/>
      <c r="Z88" s="36"/>
      <c r="AA88" s="19"/>
      <c r="AB88" s="36"/>
      <c r="AC88" s="19"/>
      <c r="AD88" s="37"/>
      <c r="AE88" s="21"/>
      <c r="AF88" s="37"/>
      <c r="AG88" s="36"/>
      <c r="AH88" s="19"/>
      <c r="AI88" s="37"/>
      <c r="AJ88" s="21"/>
      <c r="AK88" s="37"/>
      <c r="AL88" s="21"/>
    </row>
    <row r="89" spans="1:38" ht="16.5" hidden="1" customHeight="1" x14ac:dyDescent="0.3">
      <c r="A89" s="1" t="s">
        <v>98</v>
      </c>
      <c r="B89" s="2"/>
      <c r="C89" s="3"/>
      <c r="D89" s="2"/>
      <c r="E89" s="3"/>
      <c r="F89" s="2"/>
      <c r="G89" s="3"/>
      <c r="H89" s="2"/>
      <c r="I89" s="3"/>
      <c r="J89" s="2"/>
      <c r="K89" s="3"/>
      <c r="L89" s="2"/>
      <c r="M89" s="3"/>
      <c r="N89" s="2"/>
      <c r="O89" s="3"/>
      <c r="P89" s="2"/>
      <c r="Q89" s="3"/>
      <c r="R89" s="2"/>
      <c r="S89" s="3"/>
      <c r="T89" s="2"/>
      <c r="U89" s="3"/>
      <c r="V89" s="2"/>
      <c r="W89" s="3"/>
      <c r="X89" s="2"/>
      <c r="Y89" s="3"/>
      <c r="Z89" s="2"/>
      <c r="AA89" s="3"/>
      <c r="AB89" s="2"/>
      <c r="AC89" s="3"/>
      <c r="AD89" s="4"/>
      <c r="AE89" s="5"/>
      <c r="AF89" s="4"/>
      <c r="AG89" s="2"/>
      <c r="AH89" s="3"/>
      <c r="AI89" s="4"/>
      <c r="AJ89" s="5"/>
      <c r="AK89" s="4"/>
      <c r="AL89" s="5"/>
    </row>
    <row r="90" spans="1:38" ht="16.5" hidden="1" customHeight="1" x14ac:dyDescent="0.3">
      <c r="A90" s="6" t="s">
        <v>99</v>
      </c>
      <c r="B90" s="7">
        <v>866.24999999999989</v>
      </c>
      <c r="C90" s="8">
        <f>IFERROR(B90/B148, "NA")</f>
        <v>3.0093255219985598E-2</v>
      </c>
      <c r="D90" s="7">
        <v>536.19000000000005</v>
      </c>
      <c r="E90" s="8">
        <f>IFERROR(D90/D148, "NA")</f>
        <v>1.5897365500650344E-2</v>
      </c>
      <c r="F90" s="7">
        <v>2241.6999999999998</v>
      </c>
      <c r="G90" s="8">
        <f>IFERROR(F90/F148, "NA")</f>
        <v>7.6393264633806801E-2</v>
      </c>
      <c r="H90" s="7">
        <v>873.9799999999999</v>
      </c>
      <c r="I90" s="8">
        <f>IFERROR(H90/H148, "NA")</f>
        <v>2.933192823245917E-2</v>
      </c>
      <c r="J90" s="7">
        <v>802.93</v>
      </c>
      <c r="K90" s="8">
        <f>IFERROR(J90/J148, "NA")</f>
        <v>2.5946734433510463E-2</v>
      </c>
      <c r="L90" s="7">
        <v>268.09000000000003</v>
      </c>
      <c r="M90" s="8">
        <f>IFERROR(L90/L148, "NA")</f>
        <v>1.154811708271879E-2</v>
      </c>
      <c r="N90" s="7">
        <v>460.36</v>
      </c>
      <c r="O90" s="8">
        <f>IFERROR(N90/N148, "NA")</f>
        <v>1.823992418125182E-2</v>
      </c>
      <c r="P90" s="7">
        <v>715.32</v>
      </c>
      <c r="Q90" s="8">
        <f>IFERROR(P90/P148, "NA")</f>
        <v>2.1514088732532886E-2</v>
      </c>
      <c r="R90" s="7">
        <v>748.79</v>
      </c>
      <c r="S90" s="8">
        <f>IFERROR(R90/R148, "NA")</f>
        <v>2.2435386542183761E-2</v>
      </c>
      <c r="T90" s="7">
        <v>604.50999999999988</v>
      </c>
      <c r="U90" s="8">
        <f>IFERROR(T90/T148, "NA")</f>
        <v>2.2210815918921021E-2</v>
      </c>
      <c r="V90" s="7">
        <v>932.04</v>
      </c>
      <c r="W90" s="8">
        <f>IFERROR(V90/V148, "NA")</f>
        <v>2.2730132716817137E-2</v>
      </c>
      <c r="X90" s="7">
        <v>647.66</v>
      </c>
      <c r="Y90" s="8">
        <f>IFERROR(X90/X148, "NA")</f>
        <v>2.0201787049970148E-2</v>
      </c>
      <c r="Z90" s="7">
        <v>2184.21</v>
      </c>
      <c r="AA90" s="8">
        <f>IFERROR(Z90/Z148, "NA")</f>
        <v>2.1780882651220482E-2</v>
      </c>
      <c r="AB90" s="9">
        <f t="shared" ref="AB90:AB99" si="36">IFERROR((R90+T90+V90+X90)/4, "NA")</f>
        <v>733.24999999999989</v>
      </c>
      <c r="AC90" s="8">
        <f>IFERROR(AB90/AB148, "NA")</f>
        <v>2.1944319040022454E-2</v>
      </c>
      <c r="AD90" s="10">
        <f t="shared" ref="AD90:AD99" si="37">IFERROR(X90-AB90, "NA")</f>
        <v>-85.589999999999918</v>
      </c>
      <c r="AE90" s="11">
        <f>IFERROR(AD90/AD148, "NA")</f>
        <v>6.3185870106860165E-2</v>
      </c>
      <c r="AF90" s="10">
        <f t="shared" ref="AF90:AF99" si="38">IFERROR((X90-AB90)/AB90, "NA")</f>
        <v>-0.11672690078417992</v>
      </c>
      <c r="AG90" s="9">
        <f t="shared" ref="AG90:AG99" si="39">IFERROR((J90+L90+N90+P90+R90+T90+V90+X90)/8, "NA")</f>
        <v>647.46249999999998</v>
      </c>
      <c r="AH90" s="8">
        <f>IFERROR(AG90/AG148, "NA")</f>
        <v>2.102962884980715E-2</v>
      </c>
      <c r="AI90" s="10">
        <f t="shared" ref="AI90:AI99" si="40">IFERROR(X90-AG90, "NA")</f>
        <v>0.19749999999999091</v>
      </c>
      <c r="AJ90" s="11">
        <f>IFERROR(AI90/AI148, "NA")</f>
        <v>1.5533675139728609E-4</v>
      </c>
      <c r="AK90" s="10">
        <f t="shared" ref="AK90:AK99" si="41">IFERROR((X90-AG90)/AG90, "NA")</f>
        <v>3.0503697125314736E-4</v>
      </c>
      <c r="AL90" s="11">
        <f>IFERROR(AK90/AK148, "NA")</f>
        <v>7.3865664727939583E-3</v>
      </c>
    </row>
    <row r="91" spans="1:38" ht="16.5" hidden="1" customHeight="1" x14ac:dyDescent="0.3">
      <c r="A91" s="6" t="s">
        <v>100</v>
      </c>
      <c r="B91" s="7">
        <v>784.27</v>
      </c>
      <c r="C91" s="8">
        <f>IFERROR(B91/B148, "NA")</f>
        <v>2.7245295551374438E-2</v>
      </c>
      <c r="D91" s="7">
        <v>579.63</v>
      </c>
      <c r="E91" s="8">
        <f>IFERROR(D91/D148, "NA")</f>
        <v>1.7185307381976461E-2</v>
      </c>
      <c r="F91" s="7">
        <v>756</v>
      </c>
      <c r="G91" s="8">
        <f>IFERROR(F91/F148, "NA")</f>
        <v>2.5763174404763327E-2</v>
      </c>
      <c r="H91" s="7">
        <v>732.59</v>
      </c>
      <c r="I91" s="8">
        <f>IFERROR(H91/H148, "NA")</f>
        <v>2.4586692262771763E-2</v>
      </c>
      <c r="J91" s="7">
        <v>457.40999999999997</v>
      </c>
      <c r="K91" s="8">
        <f>IFERROR(J91/J148, "NA")</f>
        <v>1.4781233478923468E-2</v>
      </c>
      <c r="L91" s="7">
        <v>300.45</v>
      </c>
      <c r="M91" s="8">
        <f>IFERROR(L91/L148, "NA")</f>
        <v>1.2942041021682494E-2</v>
      </c>
      <c r="N91" s="7">
        <v>240.8</v>
      </c>
      <c r="O91" s="8">
        <f>IFERROR(N91/N148, "NA")</f>
        <v>9.5407371249575067E-3</v>
      </c>
      <c r="P91" s="7">
        <v>943.42</v>
      </c>
      <c r="Q91" s="8">
        <f>IFERROR(P91/P148, "NA")</f>
        <v>2.8374464004985424E-2</v>
      </c>
      <c r="R91" s="7">
        <v>2082.83</v>
      </c>
      <c r="S91" s="8">
        <f>IFERROR(R91/R148, "NA")</f>
        <v>6.2406143446969917E-2</v>
      </c>
      <c r="T91" s="7">
        <v>1819.76</v>
      </c>
      <c r="U91" s="8">
        <f>IFERROR(T91/T148, "NA")</f>
        <v>6.6861349484070937E-2</v>
      </c>
      <c r="V91" s="7">
        <v>1842.5900000000001</v>
      </c>
      <c r="W91" s="8">
        <f>IFERROR(V91/V148, "NA")</f>
        <v>4.4936177892236487E-2</v>
      </c>
      <c r="X91" s="7">
        <v>1725.75</v>
      </c>
      <c r="Y91" s="8">
        <f>IFERROR(X91/X148, "NA")</f>
        <v>5.3829530929015199E-2</v>
      </c>
      <c r="Z91" s="7">
        <v>5388.1</v>
      </c>
      <c r="AA91" s="8">
        <f>IFERROR(Z91/Z148, "NA")</f>
        <v>5.3729986499943268E-2</v>
      </c>
      <c r="AB91" s="9">
        <f t="shared" si="36"/>
        <v>1867.7325000000001</v>
      </c>
      <c r="AC91" s="8">
        <f>IFERROR(AB91/AB148, "NA")</f>
        <v>5.5896512596547904E-2</v>
      </c>
      <c r="AD91" s="10">
        <f t="shared" si="37"/>
        <v>-141.98250000000007</v>
      </c>
      <c r="AE91" s="11">
        <f>IFERROR(AD91/AD148, "NA")</f>
        <v>0.10481700902497121</v>
      </c>
      <c r="AF91" s="10">
        <f t="shared" si="38"/>
        <v>-7.6018648280736165E-2</v>
      </c>
      <c r="AG91" s="9">
        <f t="shared" si="39"/>
        <v>1176.62625</v>
      </c>
      <c r="AH91" s="8">
        <f>IFERROR(AG91/AG148, "NA")</f>
        <v>3.8216905739622609E-2</v>
      </c>
      <c r="AI91" s="10">
        <f t="shared" si="40"/>
        <v>549.12374999999997</v>
      </c>
      <c r="AJ91" s="11">
        <f>IFERROR(AI91/AI148, "NA")</f>
        <v>0.43189417438025007</v>
      </c>
      <c r="AK91" s="10">
        <f t="shared" si="41"/>
        <v>0.46669343812446812</v>
      </c>
      <c r="AL91" s="11">
        <f>IFERROR(AK91/AK148, "NA")</f>
        <v>11.301128807308695</v>
      </c>
    </row>
    <row r="92" spans="1:38" ht="16.5" hidden="1" customHeight="1" x14ac:dyDescent="0.3">
      <c r="A92" s="6" t="s">
        <v>101</v>
      </c>
      <c r="B92" s="7">
        <v>468.42</v>
      </c>
      <c r="C92" s="8">
        <f>IFERROR(B92/B148, "NA")</f>
        <v>1.6272764917917064E-2</v>
      </c>
      <c r="D92" s="7">
        <v>489.85</v>
      </c>
      <c r="E92" s="8">
        <f>IFERROR(D92/D148, "NA")</f>
        <v>1.4523442232219123E-2</v>
      </c>
      <c r="F92" s="7">
        <v>291.11</v>
      </c>
      <c r="G92" s="8">
        <f>IFERROR(F92/F148, "NA")</f>
        <v>9.9205260594849888E-3</v>
      </c>
      <c r="H92" s="7">
        <v>407.41</v>
      </c>
      <c r="I92" s="8">
        <f>IFERROR(H92/H148, "NA")</f>
        <v>1.3673220075043126E-2</v>
      </c>
      <c r="J92" s="7">
        <v>546.94999999999993</v>
      </c>
      <c r="K92" s="8">
        <f>IFERROR(J92/J148, "NA")</f>
        <v>1.7674724320187993E-2</v>
      </c>
      <c r="L92" s="7">
        <v>93.6</v>
      </c>
      <c r="M92" s="8">
        <f>IFERROR(L92/L148, "NA")</f>
        <v>4.0318689952720298E-3</v>
      </c>
      <c r="N92" s="7">
        <v>210.77</v>
      </c>
      <c r="O92" s="8">
        <f>IFERROR(N92/N148, "NA")</f>
        <v>8.3509184544322823E-3</v>
      </c>
      <c r="P92" s="7">
        <v>309.92</v>
      </c>
      <c r="Q92" s="8">
        <f>IFERROR(P92/P148, "NA")</f>
        <v>9.3212078230534463E-3</v>
      </c>
      <c r="R92" s="7">
        <v>328.07</v>
      </c>
      <c r="S92" s="8">
        <f>IFERROR(R92/R148, "NA")</f>
        <v>9.829694925004644E-3</v>
      </c>
      <c r="T92" s="7">
        <v>282.31</v>
      </c>
      <c r="U92" s="8">
        <f>IFERROR(T92/T148, "NA")</f>
        <v>1.037259175542273E-2</v>
      </c>
      <c r="V92" s="7">
        <v>587.75</v>
      </c>
      <c r="W92" s="8">
        <f>IFERROR(V92/V148, "NA")</f>
        <v>1.4333757675968062E-2</v>
      </c>
      <c r="X92" s="7">
        <v>385.68</v>
      </c>
      <c r="Y92" s="8">
        <f>IFERROR(X92/X148, "NA")</f>
        <v>1.2030116464553141E-2</v>
      </c>
      <c r="Z92" s="7">
        <v>1255.74</v>
      </c>
      <c r="AA92" s="8">
        <f>IFERROR(Z92/Z148, "NA")</f>
        <v>1.2522205090372999E-2</v>
      </c>
      <c r="AB92" s="9">
        <f t="shared" si="36"/>
        <v>395.95250000000004</v>
      </c>
      <c r="AC92" s="8">
        <f>IFERROR(AB92/AB148, "NA")</f>
        <v>1.1849857462931461E-2</v>
      </c>
      <c r="AD92" s="10">
        <f t="shared" si="37"/>
        <v>-10.272500000000036</v>
      </c>
      <c r="AE92" s="11">
        <f>IFERROR(AD92/AD148, "NA")</f>
        <v>7.5835594190060045E-3</v>
      </c>
      <c r="AF92" s="10">
        <f t="shared" si="38"/>
        <v>-2.5943768507586226E-2</v>
      </c>
      <c r="AG92" s="9">
        <f t="shared" si="39"/>
        <v>343.13124999999997</v>
      </c>
      <c r="AH92" s="8">
        <f>IFERROR(AG92/AG148, "NA")</f>
        <v>1.1144927828670216E-2</v>
      </c>
      <c r="AI92" s="10">
        <f t="shared" si="40"/>
        <v>42.548750000000041</v>
      </c>
      <c r="AJ92" s="11">
        <f>IFERROR(AI92/AI148, "NA")</f>
        <v>3.3465238486154868E-2</v>
      </c>
      <c r="AK92" s="10">
        <f t="shared" si="41"/>
        <v>0.12400138430993984</v>
      </c>
      <c r="AL92" s="11">
        <f>IFERROR(AK92/AK148, "NA")</f>
        <v>3.0027326332312243</v>
      </c>
    </row>
    <row r="93" spans="1:38" ht="16.5" hidden="1" customHeight="1" x14ac:dyDescent="0.3">
      <c r="A93" s="6" t="s">
        <v>102</v>
      </c>
      <c r="B93" s="7">
        <v>1403.47</v>
      </c>
      <c r="C93" s="8">
        <f>IFERROR(B93/B148, "NA")</f>
        <v>4.8756110711218693E-2</v>
      </c>
      <c r="D93" s="7">
        <v>2699.7099999999996</v>
      </c>
      <c r="E93" s="8">
        <f>IFERROR(D93/D148, "NA")</f>
        <v>8.0043038131559205E-2</v>
      </c>
      <c r="F93" s="7">
        <v>1595.5400000000002</v>
      </c>
      <c r="G93" s="8">
        <f>IFERROR(F93/F148, "NA")</f>
        <v>5.4373247737799051E-2</v>
      </c>
      <c r="H93" s="7">
        <v>1804.8</v>
      </c>
      <c r="I93" s="8">
        <f>IFERROR(H93/H148, "NA")</f>
        <v>6.0571482269551148E-2</v>
      </c>
      <c r="J93" s="7">
        <v>2114.5500000000002</v>
      </c>
      <c r="K93" s="8">
        <f>IFERROR(J93/J148, "NA")</f>
        <v>6.8331818833994931E-2</v>
      </c>
      <c r="L93" s="7">
        <v>1000.6199999999999</v>
      </c>
      <c r="M93" s="8">
        <f>IFERROR(L93/L148, "NA")</f>
        <v>4.3102230278302338E-2</v>
      </c>
      <c r="N93" s="7">
        <v>1233.83</v>
      </c>
      <c r="O93" s="8">
        <f>IFERROR(N93/N148, "NA")</f>
        <v>4.8885580095042853E-2</v>
      </c>
      <c r="P93" s="7">
        <v>1856.18</v>
      </c>
      <c r="Q93" s="8">
        <f>IFERROR(P93/P148, "NA")</f>
        <v>5.5826792517408838E-2</v>
      </c>
      <c r="R93" s="7">
        <v>2270.0699999999997</v>
      </c>
      <c r="S93" s="8">
        <f>IFERROR(R93/R148, "NA")</f>
        <v>6.8016263475493915E-2</v>
      </c>
      <c r="T93" s="7">
        <v>1419.15</v>
      </c>
      <c r="U93" s="8">
        <f>IFERROR(T93/T148, "NA")</f>
        <v>5.2142196839319074E-2</v>
      </c>
      <c r="V93" s="7">
        <v>3760.07</v>
      </c>
      <c r="W93" s="8">
        <f>IFERROR(V93/V148, "NA")</f>
        <v>9.1698736239348766E-2</v>
      </c>
      <c r="X93" s="7">
        <v>1631.7</v>
      </c>
      <c r="Y93" s="8">
        <f>IFERROR(X93/X148, "NA")</f>
        <v>5.0895926766260528E-2</v>
      </c>
      <c r="Z93" s="7">
        <v>6810.92</v>
      </c>
      <c r="AA93" s="8">
        <f>IFERROR(Z93/Z148, "NA")</f>
        <v>6.791830880128312E-2</v>
      </c>
      <c r="AB93" s="9">
        <f t="shared" si="36"/>
        <v>2270.2474999999999</v>
      </c>
      <c r="AC93" s="8">
        <f>IFERROR(AB93/AB148, "NA")</f>
        <v>6.7942769096233729E-2</v>
      </c>
      <c r="AD93" s="10">
        <f t="shared" si="37"/>
        <v>-638.5474999999999</v>
      </c>
      <c r="AE93" s="11">
        <f>IFERROR(AD93/AD148, "NA")</f>
        <v>0.47140062381189768</v>
      </c>
      <c r="AF93" s="10">
        <f t="shared" si="38"/>
        <v>-0.2812677912870733</v>
      </c>
      <c r="AG93" s="9">
        <f t="shared" si="39"/>
        <v>1910.77125</v>
      </c>
      <c r="AH93" s="8">
        <f>IFERROR(AG93/AG148, "NA")</f>
        <v>6.2061988461697894E-2</v>
      </c>
      <c r="AI93" s="10">
        <f t="shared" si="40"/>
        <v>-279.07124999999996</v>
      </c>
      <c r="AJ93" s="11">
        <f>IFERROR(AI93/AI148, "NA")</f>
        <v>-0.21949377915636387</v>
      </c>
      <c r="AK93" s="10">
        <f t="shared" si="41"/>
        <v>-0.14605162705896896</v>
      </c>
      <c r="AL93" s="11">
        <f>IFERROR(AK93/AK148, "NA")</f>
        <v>-3.5366862164241861</v>
      </c>
    </row>
    <row r="94" spans="1:38" ht="16.5" hidden="1" customHeight="1" x14ac:dyDescent="0.3">
      <c r="A94" s="6" t="s">
        <v>103</v>
      </c>
      <c r="B94" s="7">
        <v>864.94</v>
      </c>
      <c r="C94" s="8">
        <f>IFERROR(B94/B148, "NA")</f>
        <v>3.0047746227964616E-2</v>
      </c>
      <c r="D94" s="7">
        <v>915.59</v>
      </c>
      <c r="E94" s="8">
        <f>IFERROR(D94/D148, "NA")</f>
        <v>2.7146102834331953E-2</v>
      </c>
      <c r="F94" s="7">
        <v>818.61</v>
      </c>
      <c r="G94" s="8">
        <f>IFERROR(F94/F148, "NA")</f>
        <v>2.7896815078681622E-2</v>
      </c>
      <c r="H94" s="7">
        <v>813.05</v>
      </c>
      <c r="I94" s="8">
        <f>IFERROR(H94/H148, "NA")</f>
        <v>2.7287036601982801E-2</v>
      </c>
      <c r="J94" s="7">
        <v>894.19</v>
      </c>
      <c r="K94" s="8">
        <f>IFERROR(J94/J148, "NA")</f>
        <v>2.8895807185060619E-2</v>
      </c>
      <c r="L94" s="7">
        <v>696.46</v>
      </c>
      <c r="M94" s="8">
        <f>IFERROR(L94/L148, "NA")</f>
        <v>3.0000379064606394E-2</v>
      </c>
      <c r="N94" s="7">
        <v>663.01</v>
      </c>
      <c r="O94" s="8">
        <f>IFERROR(N94/N148, "NA")</f>
        <v>2.6269120104726231E-2</v>
      </c>
      <c r="P94" s="7">
        <v>1028.6099999999999</v>
      </c>
      <c r="Q94" s="8">
        <f>IFERROR(P94/P148, "NA")</f>
        <v>3.0936653261715942E-2</v>
      </c>
      <c r="R94" s="7">
        <v>914.66</v>
      </c>
      <c r="S94" s="8">
        <f>IFERROR(R94/R148, "NA")</f>
        <v>2.7405214619150631E-2</v>
      </c>
      <c r="T94" s="7">
        <v>773.61</v>
      </c>
      <c r="U94" s="8">
        <f>IFERROR(T94/T148, "NA")</f>
        <v>2.8423862802991671E-2</v>
      </c>
      <c r="V94" s="7">
        <v>1159.83</v>
      </c>
      <c r="W94" s="8">
        <f>IFERROR(V94/V148, "NA")</f>
        <v>2.8285363105602784E-2</v>
      </c>
      <c r="X94" s="7">
        <v>792.31</v>
      </c>
      <c r="Y94" s="8">
        <f>IFERROR(X94/X148, "NA")</f>
        <v>2.4713704563446636E-2</v>
      </c>
      <c r="Z94" s="7">
        <v>2725.75</v>
      </c>
      <c r="AA94" s="8">
        <f>IFERROR(Z94/Z148, "NA")</f>
        <v>2.7181104786885978E-2</v>
      </c>
      <c r="AB94" s="9">
        <f t="shared" si="36"/>
        <v>910.10249999999996</v>
      </c>
      <c r="AC94" s="8">
        <f>IFERROR(AB94/AB148, "NA")</f>
        <v>2.7237067329181096E-2</v>
      </c>
      <c r="AD94" s="10">
        <f t="shared" si="37"/>
        <v>-117.79250000000002</v>
      </c>
      <c r="AE94" s="11">
        <f>IFERROR(AD94/AD148, "NA")</f>
        <v>8.695900928335476E-2</v>
      </c>
      <c r="AF94" s="10">
        <f t="shared" si="38"/>
        <v>-0.12942772929422788</v>
      </c>
      <c r="AG94" s="9">
        <f t="shared" si="39"/>
        <v>865.33499999999981</v>
      </c>
      <c r="AH94" s="8">
        <f>IFERROR(AG94/AG148, "NA")</f>
        <v>2.8106143414866294E-2</v>
      </c>
      <c r="AI94" s="10">
        <f t="shared" si="40"/>
        <v>-73.024999999999864</v>
      </c>
      <c r="AJ94" s="11">
        <f>IFERROR(AI94/AI148, "NA")</f>
        <v>-5.743527225715097E-2</v>
      </c>
      <c r="AK94" s="10">
        <f t="shared" si="41"/>
        <v>-8.4389282763322734E-2</v>
      </c>
      <c r="AL94" s="11">
        <f>IFERROR(AK94/AK148, "NA")</f>
        <v>-2.0435130999428224</v>
      </c>
    </row>
    <row r="95" spans="1:38" ht="16.5" hidden="1" customHeight="1" x14ac:dyDescent="0.3">
      <c r="A95" s="6" t="s">
        <v>104</v>
      </c>
      <c r="B95" s="7">
        <v>0</v>
      </c>
      <c r="C95" s="8">
        <f>IFERROR(B95/B148, "NA")</f>
        <v>0</v>
      </c>
      <c r="D95" s="7">
        <v>0</v>
      </c>
      <c r="E95" s="8">
        <f>IFERROR(D95/D148, "NA")</f>
        <v>0</v>
      </c>
      <c r="F95" s="7">
        <v>0</v>
      </c>
      <c r="G95" s="8">
        <f>IFERROR(F95/F148, "NA")</f>
        <v>0</v>
      </c>
      <c r="H95" s="7">
        <v>1092.3900000000001</v>
      </c>
      <c r="I95" s="8">
        <f>IFERROR(H95/H148, "NA")</f>
        <v>3.6662057577811935E-2</v>
      </c>
      <c r="J95" s="7">
        <v>0</v>
      </c>
      <c r="K95" s="8">
        <f>IFERROR(J95/J148, "NA")</f>
        <v>0</v>
      </c>
      <c r="L95" s="7">
        <v>0</v>
      </c>
      <c r="M95" s="8">
        <f>IFERROR(L95/L148, "NA")</f>
        <v>0</v>
      </c>
      <c r="N95" s="7">
        <v>0</v>
      </c>
      <c r="O95" s="8">
        <f>IFERROR(N95/N148, "NA")</f>
        <v>0</v>
      </c>
      <c r="P95" s="7">
        <v>0</v>
      </c>
      <c r="Q95" s="8">
        <f>IFERROR(P95/P148, "NA")</f>
        <v>0</v>
      </c>
      <c r="R95" s="7">
        <v>1204.99</v>
      </c>
      <c r="S95" s="8">
        <f>IFERROR(R95/R148, "NA")</f>
        <v>3.61041365796365E-2</v>
      </c>
      <c r="T95" s="7">
        <v>0</v>
      </c>
      <c r="U95" s="8">
        <f>IFERROR(T95/T148, "NA")</f>
        <v>0</v>
      </c>
      <c r="V95" s="7">
        <v>-1346</v>
      </c>
      <c r="W95" s="8">
        <f>IFERROR(V95/V148, "NA")</f>
        <v>-3.2825585422123375E-2</v>
      </c>
      <c r="X95" s="7">
        <v>0</v>
      </c>
      <c r="Y95" s="8">
        <f>IFERROR(X95/X148, "NA")</f>
        <v>0</v>
      </c>
      <c r="Z95" s="7">
        <v>-1346</v>
      </c>
      <c r="AA95" s="8">
        <f>IFERROR(Z95/Z148, "NA")</f>
        <v>-1.3422275352893158E-2</v>
      </c>
      <c r="AB95" s="9">
        <f t="shared" si="36"/>
        <v>-35.252499999999998</v>
      </c>
      <c r="AC95" s="8">
        <f>IFERROR(AB95/AB148, "NA")</f>
        <v>-1.0550182161041823E-3</v>
      </c>
      <c r="AD95" s="10">
        <f t="shared" si="37"/>
        <v>35.252499999999998</v>
      </c>
      <c r="AE95" s="11">
        <f>IFERROR(AD95/AD148, "NA")</f>
        <v>-2.6024767916136112E-2</v>
      </c>
      <c r="AF95" s="10">
        <f t="shared" si="38"/>
        <v>-1</v>
      </c>
      <c r="AG95" s="9">
        <f t="shared" si="39"/>
        <v>-17.626249999999999</v>
      </c>
      <c r="AH95" s="8">
        <f>IFERROR(AG95/AG148, "NA")</f>
        <v>-5.7250187541967805E-4</v>
      </c>
      <c r="AI95" s="10">
        <f t="shared" si="40"/>
        <v>17.626249999999999</v>
      </c>
      <c r="AJ95" s="11">
        <f>IFERROR(AI95/AI148, "NA")</f>
        <v>1.3863313490210328E-2</v>
      </c>
      <c r="AK95" s="10">
        <f t="shared" si="41"/>
        <v>-1</v>
      </c>
      <c r="AL95" s="11">
        <f>IFERROR(AK95/AK148, "NA")</f>
        <v>-24.215315417172548</v>
      </c>
    </row>
    <row r="96" spans="1:38" ht="16.5" hidden="1" customHeight="1" x14ac:dyDescent="0.3">
      <c r="A96" s="6" t="s">
        <v>105</v>
      </c>
      <c r="B96" s="7">
        <v>0</v>
      </c>
      <c r="C96" s="8">
        <f>IFERROR(B96/B148, "NA")</f>
        <v>0</v>
      </c>
      <c r="D96" s="7">
        <v>0</v>
      </c>
      <c r="E96" s="8">
        <f>IFERROR(D96/D148, "NA")</f>
        <v>0</v>
      </c>
      <c r="F96" s="7">
        <v>0</v>
      </c>
      <c r="G96" s="8">
        <f>IFERROR(F96/F148, "NA")</f>
        <v>0</v>
      </c>
      <c r="H96" s="7">
        <v>0</v>
      </c>
      <c r="I96" s="8">
        <f>IFERROR(H96/H148, "NA")</f>
        <v>0</v>
      </c>
      <c r="J96" s="7">
        <v>0</v>
      </c>
      <c r="K96" s="8">
        <f>IFERROR(J96/J148, "NA")</f>
        <v>0</v>
      </c>
      <c r="L96" s="7">
        <v>0</v>
      </c>
      <c r="M96" s="8">
        <f>IFERROR(L96/L148, "NA")</f>
        <v>0</v>
      </c>
      <c r="N96" s="7">
        <v>0</v>
      </c>
      <c r="O96" s="8">
        <f>IFERROR(N96/N148, "NA")</f>
        <v>0</v>
      </c>
      <c r="P96" s="7">
        <v>0</v>
      </c>
      <c r="Q96" s="8">
        <f>IFERROR(P96/P148, "NA")</f>
        <v>0</v>
      </c>
      <c r="R96" s="7">
        <v>0</v>
      </c>
      <c r="S96" s="8">
        <f>IFERROR(R96/R148, "NA")</f>
        <v>0</v>
      </c>
      <c r="T96" s="7">
        <v>0</v>
      </c>
      <c r="U96" s="8">
        <f>IFERROR(T96/T148, "NA")</f>
        <v>0</v>
      </c>
      <c r="V96" s="7">
        <v>0</v>
      </c>
      <c r="W96" s="8">
        <f>IFERROR(V96/V148, "NA")</f>
        <v>0</v>
      </c>
      <c r="X96" s="7">
        <v>0</v>
      </c>
      <c r="Y96" s="8">
        <f>IFERROR(X96/X148, "NA")</f>
        <v>0</v>
      </c>
      <c r="Z96" s="7">
        <v>0</v>
      </c>
      <c r="AA96" s="8">
        <f>IFERROR(Z96/Z148, "NA")</f>
        <v>0</v>
      </c>
      <c r="AB96" s="9">
        <f t="shared" si="36"/>
        <v>0</v>
      </c>
      <c r="AC96" s="8">
        <f>IFERROR(AB96/AB148, "NA")</f>
        <v>0</v>
      </c>
      <c r="AD96" s="10">
        <f t="shared" si="37"/>
        <v>0</v>
      </c>
      <c r="AE96" s="11">
        <f>IFERROR(AD96/AD148, "NA")</f>
        <v>0</v>
      </c>
      <c r="AF96" s="10" t="str">
        <f t="shared" si="38"/>
        <v>NA</v>
      </c>
      <c r="AG96" s="9">
        <f t="shared" si="39"/>
        <v>0</v>
      </c>
      <c r="AH96" s="8">
        <f>IFERROR(AG96/AG148, "NA")</f>
        <v>0</v>
      </c>
      <c r="AI96" s="10">
        <f t="shared" si="40"/>
        <v>0</v>
      </c>
      <c r="AJ96" s="11">
        <f>IFERROR(AI96/AI148, "NA")</f>
        <v>0</v>
      </c>
      <c r="AK96" s="10" t="str">
        <f t="shared" si="41"/>
        <v>NA</v>
      </c>
      <c r="AL96" s="11" t="str">
        <f>IFERROR(AK96/AK148, "NA")</f>
        <v>NA</v>
      </c>
    </row>
    <row r="97" spans="1:38" ht="16.5" hidden="1" customHeight="1" x14ac:dyDescent="0.3">
      <c r="A97" s="6" t="s">
        <v>106</v>
      </c>
      <c r="B97" s="7">
        <v>2403.88</v>
      </c>
      <c r="C97" s="8">
        <f>IFERROR(B97/B148, "NA")</f>
        <v>8.3510042549170563E-2</v>
      </c>
      <c r="D97" s="7">
        <v>0</v>
      </c>
      <c r="E97" s="8">
        <f>IFERROR(D97/D148, "NA")</f>
        <v>0</v>
      </c>
      <c r="F97" s="7">
        <v>228.61</v>
      </c>
      <c r="G97" s="8">
        <f>IFERROR(F97/F148, "NA")</f>
        <v>7.7906339955991326E-3</v>
      </c>
      <c r="H97" s="7">
        <v>545.54999999999995</v>
      </c>
      <c r="I97" s="8">
        <f>IFERROR(H97/H148, "NA")</f>
        <v>1.8309381733241148E-2</v>
      </c>
      <c r="J97" s="7">
        <v>288.52999999999997</v>
      </c>
      <c r="K97" s="8">
        <f>IFERROR(J97/J148, "NA")</f>
        <v>9.3238654504138267E-3</v>
      </c>
      <c r="L97" s="7">
        <v>0</v>
      </c>
      <c r="M97" s="8">
        <f>IFERROR(L97/L148, "NA")</f>
        <v>0</v>
      </c>
      <c r="N97" s="7">
        <v>322.39999999999998</v>
      </c>
      <c r="O97" s="8">
        <f>IFERROR(N97/N148, "NA")</f>
        <v>1.2773810835075996E-2</v>
      </c>
      <c r="P97" s="7">
        <v>2863.75</v>
      </c>
      <c r="Q97" s="8">
        <f>IFERROR(P97/P148, "NA")</f>
        <v>8.6130643079728023E-2</v>
      </c>
      <c r="R97" s="7">
        <v>437.49</v>
      </c>
      <c r="S97" s="8">
        <f>IFERROR(R97/R148, "NA")</f>
        <v>1.3108157505228401E-2</v>
      </c>
      <c r="T97" s="7">
        <v>1407.54</v>
      </c>
      <c r="U97" s="8">
        <f>IFERROR(T97/T148, "NA")</f>
        <v>5.1715623957450003E-2</v>
      </c>
      <c r="V97" s="7">
        <v>386.99</v>
      </c>
      <c r="W97" s="8">
        <f>IFERROR(V97/V148, "NA")</f>
        <v>9.4377216214766146E-3</v>
      </c>
      <c r="X97" s="7">
        <v>226.36</v>
      </c>
      <c r="Y97" s="8">
        <f>IFERROR(X97/X148, "NA")</f>
        <v>7.0606128472211396E-3</v>
      </c>
      <c r="Z97" s="7">
        <v>2020.8899999999999</v>
      </c>
      <c r="AA97" s="8">
        <f>IFERROR(Z97/Z148, "NA")</f>
        <v>2.0152260057881319E-2</v>
      </c>
      <c r="AB97" s="9">
        <f t="shared" si="36"/>
        <v>614.59500000000003</v>
      </c>
      <c r="AC97" s="8">
        <f>IFERROR(AB97/AB148, "NA")</f>
        <v>1.8393274818141975E-2</v>
      </c>
      <c r="AD97" s="10">
        <f t="shared" si="37"/>
        <v>-388.23500000000001</v>
      </c>
      <c r="AE97" s="11">
        <f>IFERROR(AD97/AD148, "NA")</f>
        <v>0.28661019138844351</v>
      </c>
      <c r="AF97" s="10">
        <f t="shared" si="38"/>
        <v>-0.63169241533042086</v>
      </c>
      <c r="AG97" s="9">
        <f t="shared" si="39"/>
        <v>741.63249999999994</v>
      </c>
      <c r="AH97" s="8">
        <f>IFERROR(AG97/AG148, "NA")</f>
        <v>2.4088277263864089E-2</v>
      </c>
      <c r="AI97" s="10">
        <f t="shared" si="40"/>
        <v>-515.27249999999992</v>
      </c>
      <c r="AJ97" s="11">
        <f>IFERROR(AI97/AI148, "NA")</f>
        <v>-0.40526965181955321</v>
      </c>
      <c r="AK97" s="10">
        <f t="shared" si="41"/>
        <v>-0.69478144498791516</v>
      </c>
      <c r="AL97" s="11">
        <f>IFERROR(AK97/AK148, "NA")</f>
        <v>-16.824351836381283</v>
      </c>
    </row>
    <row r="98" spans="1:38" ht="16.5" hidden="1" customHeight="1" x14ac:dyDescent="0.3">
      <c r="A98" s="6" t="s">
        <v>107</v>
      </c>
      <c r="B98" s="7">
        <v>422.62</v>
      </c>
      <c r="C98" s="8">
        <f>IFERROR(B98/B148, "NA")</f>
        <v>1.4681687181610755E-2</v>
      </c>
      <c r="D98" s="7">
        <v>652.99</v>
      </c>
      <c r="E98" s="8">
        <f>IFERROR(D98/D148, "NA")</f>
        <v>1.9360339988193864E-2</v>
      </c>
      <c r="F98" s="7">
        <v>2374.56</v>
      </c>
      <c r="G98" s="8">
        <f>IFERROR(F98/F148, "NA")</f>
        <v>8.0920903987532808E-2</v>
      </c>
      <c r="H98" s="7">
        <v>1407.3</v>
      </c>
      <c r="I98" s="8">
        <f>IFERROR(H98/H148, "NA")</f>
        <v>4.7230854941234114E-2</v>
      </c>
      <c r="J98" s="7">
        <v>311.02999999999997</v>
      </c>
      <c r="K98" s="8">
        <f>IFERROR(J98/J148, "NA")</f>
        <v>1.0050954393103707E-2</v>
      </c>
      <c r="L98" s="7">
        <v>911.51</v>
      </c>
      <c r="M98" s="8">
        <f>IFERROR(L98/L148, "NA")</f>
        <v>3.9263770383337698E-2</v>
      </c>
      <c r="N98" s="7">
        <v>390.07</v>
      </c>
      <c r="O98" s="8">
        <f>IFERROR(N98/N148, "NA")</f>
        <v>1.5454963996396074E-2</v>
      </c>
      <c r="P98" s="7">
        <v>2351.77</v>
      </c>
      <c r="Q98" s="8">
        <f>IFERROR(P98/P148, "NA")</f>
        <v>7.0732243553247295E-2</v>
      </c>
      <c r="R98" s="7">
        <v>1256.95</v>
      </c>
      <c r="S98" s="8">
        <f>IFERROR(R98/R148, "NA")</f>
        <v>3.766097185352086E-2</v>
      </c>
      <c r="T98" s="7">
        <v>408.23</v>
      </c>
      <c r="U98" s="8">
        <f>IFERROR(T98/T148, "NA")</f>
        <v>1.4999125543963095E-2</v>
      </c>
      <c r="V98" s="7">
        <v>194.24</v>
      </c>
      <c r="W98" s="8">
        <f>IFERROR(V98/V148, "NA")</f>
        <v>4.7370295040068677E-3</v>
      </c>
      <c r="X98" s="7">
        <v>1849.3899999999999</v>
      </c>
      <c r="Y98" s="8">
        <f>IFERROR(X98/X148, "NA")</f>
        <v>5.7686105290344146E-2</v>
      </c>
      <c r="Z98" s="7">
        <v>2451.86</v>
      </c>
      <c r="AA98" s="8">
        <f>IFERROR(Z98/Z148, "NA")</f>
        <v>2.4449881164000462E-2</v>
      </c>
      <c r="AB98" s="9">
        <f t="shared" si="36"/>
        <v>927.20249999999999</v>
      </c>
      <c r="AC98" s="8">
        <f>IFERROR(AB98/AB148, "NA")</f>
        <v>2.7748827104952505E-2</v>
      </c>
      <c r="AD98" s="10">
        <f t="shared" si="37"/>
        <v>922.18749999999989</v>
      </c>
      <c r="AE98" s="11">
        <f>IFERROR(AD98/AD148, "NA")</f>
        <v>-0.68079471420925519</v>
      </c>
      <c r="AF98" s="10">
        <f t="shared" si="38"/>
        <v>0.99459125703392726</v>
      </c>
      <c r="AG98" s="9">
        <f t="shared" si="39"/>
        <v>959.14874999999984</v>
      </c>
      <c r="AH98" s="8">
        <f>IFERROR(AG98/AG148, "NA")</f>
        <v>3.1153220803145299E-2</v>
      </c>
      <c r="AI98" s="10">
        <f t="shared" si="40"/>
        <v>890.24125000000004</v>
      </c>
      <c r="AJ98" s="11">
        <f>IFERROR(AI98/AI148, "NA")</f>
        <v>0.70018827207526868</v>
      </c>
      <c r="AK98" s="10">
        <f t="shared" si="41"/>
        <v>0.92815765020806229</v>
      </c>
      <c r="AL98" s="11">
        <f>IFERROR(AK98/AK148, "NA")</f>
        <v>22.475630256649936</v>
      </c>
    </row>
    <row r="99" spans="1:38" ht="16.5" hidden="1" customHeight="1" x14ac:dyDescent="0.3">
      <c r="A99" s="12" t="s">
        <v>108</v>
      </c>
      <c r="B99" s="13">
        <f>IFERROR(B90+B91+B92+B93+B94+B95+B96+B97+B98, "NA")</f>
        <v>7213.85</v>
      </c>
      <c r="C99" s="14">
        <f>IFERROR(B99/B148, "NA")</f>
        <v>0.25060690235924171</v>
      </c>
      <c r="D99" s="13">
        <f>IFERROR(D90+D91+D92+D93+D94+D95+D96+D97+D98, "NA")</f>
        <v>5873.9599999999991</v>
      </c>
      <c r="E99" s="14">
        <f>IFERROR(D99/D148, "NA")</f>
        <v>0.17415559606893094</v>
      </c>
      <c r="F99" s="13">
        <f>IFERROR(F90+F91+F92+F93+F94+F95+F96+F97+F98, "NA")</f>
        <v>8306.1299999999992</v>
      </c>
      <c r="G99" s="14">
        <f>IFERROR(F99/F148, "NA")</f>
        <v>0.2830585658976677</v>
      </c>
      <c r="H99" s="13">
        <f>IFERROR(H90+H91+H92+H93+H94+H95+H96+H97+H98, "NA")</f>
        <v>7677.0700000000006</v>
      </c>
      <c r="I99" s="14">
        <f>IFERROR(H99/H148, "NA")</f>
        <v>0.25765265369409523</v>
      </c>
      <c r="J99" s="13">
        <f>IFERROR(J90+J91+J92+J93+J94+J95+J96+J97+J98, "NA")</f>
        <v>5415.59</v>
      </c>
      <c r="K99" s="14">
        <f>IFERROR(J99/J148, "NA")</f>
        <v>0.17500513809519502</v>
      </c>
      <c r="L99" s="13">
        <f>IFERROR(L90+L91+L92+L93+L94+L95+L96+L97+L98, "NA")</f>
        <v>3270.7299999999996</v>
      </c>
      <c r="M99" s="14">
        <f>IFERROR(L99/L148, "NA")</f>
        <v>0.14088840682591972</v>
      </c>
      <c r="N99" s="13">
        <f>IFERROR(N90+N91+N92+N93+N94+N95+N96+N97+N98, "NA")</f>
        <v>3521.2400000000007</v>
      </c>
      <c r="O99" s="14">
        <f>IFERROR(N99/N148, "NA")</f>
        <v>0.13951505479188281</v>
      </c>
      <c r="P99" s="13">
        <f>IFERROR(P90+P91+P92+P93+P94+P95+P96+P97+P98, "NA")</f>
        <v>10068.969999999999</v>
      </c>
      <c r="Q99" s="14">
        <f>IFERROR(P99/P148, "NA")</f>
        <v>0.30283609297267183</v>
      </c>
      <c r="R99" s="13">
        <f>IFERROR(R90+R91+R92+R93+R94+R95+R96+R97+R98, "NA")</f>
        <v>9243.85</v>
      </c>
      <c r="S99" s="14">
        <f>IFERROR(R99/R148, "NA")</f>
        <v>0.27696596894718867</v>
      </c>
      <c r="T99" s="13">
        <f>IFERROR(T90+T91+T92+T93+T94+T95+T96+T97+T98, "NA")</f>
        <v>6715.1099999999988</v>
      </c>
      <c r="U99" s="14">
        <f>IFERROR(T99/T148, "NA")</f>
        <v>0.24672556630213849</v>
      </c>
      <c r="V99" s="13">
        <f>IFERROR(V90+V91+V92+V93+V94+V95+V96+V97+V98, "NA")</f>
        <v>7517.51</v>
      </c>
      <c r="W99" s="14">
        <f>IFERROR(V99/V148, "NA")</f>
        <v>0.18333333333333335</v>
      </c>
      <c r="X99" s="13">
        <f>IFERROR(X90+X91+X92+X93+X94+X95+X96+X97+X98, "NA")</f>
        <v>7258.85</v>
      </c>
      <c r="Y99" s="14">
        <f>IFERROR(X99/X148, "NA")</f>
        <v>0.22641778391081097</v>
      </c>
      <c r="Z99" s="13">
        <f>IFERROR(Z90+Z91+Z92+Z93+Z94+Z95+Z96+Z97+Z98, "NA")</f>
        <v>21491.47</v>
      </c>
      <c r="AA99" s="14">
        <f>IFERROR(Z99/Z148, "NA")</f>
        <v>0.21431235369869447</v>
      </c>
      <c r="AB99" s="13">
        <f t="shared" si="36"/>
        <v>7683.83</v>
      </c>
      <c r="AC99" s="14">
        <f>IFERROR(AB99/AB148, "NA")</f>
        <v>0.22995760923190695</v>
      </c>
      <c r="AD99" s="15">
        <f t="shared" si="37"/>
        <v>-424.97999999999956</v>
      </c>
      <c r="AE99" s="16">
        <f>IFERROR(AD99/AD148, "NA")</f>
        <v>0.31373678090914159</v>
      </c>
      <c r="AF99" s="15">
        <f t="shared" si="38"/>
        <v>-5.5308355338418415E-2</v>
      </c>
      <c r="AG99" s="13">
        <f t="shared" si="39"/>
        <v>6626.4812499999998</v>
      </c>
      <c r="AH99" s="14">
        <f>IFERROR(AG99/AG148, "NA")</f>
        <v>0.2152285904862539</v>
      </c>
      <c r="AI99" s="15">
        <f t="shared" si="40"/>
        <v>632.36875000000055</v>
      </c>
      <c r="AJ99" s="16">
        <f>IFERROR(AI99/AI148, "NA")</f>
        <v>0.49736763195021344</v>
      </c>
      <c r="AK99" s="15">
        <f t="shared" si="41"/>
        <v>9.5430549961942557E-2</v>
      </c>
      <c r="AL99" s="16">
        <f>IFERROR(AK99/AK148, "NA")</f>
        <v>2.3108808677626826</v>
      </c>
    </row>
    <row r="100" spans="1:38" ht="16.5" hidden="1" customHeight="1" x14ac:dyDescent="0.3">
      <c r="A100" s="35" t="s">
        <v>3</v>
      </c>
      <c r="B100" s="36"/>
      <c r="C100" s="19"/>
      <c r="D100" s="36"/>
      <c r="E100" s="19"/>
      <c r="F100" s="36"/>
      <c r="G100" s="19"/>
      <c r="H100" s="36"/>
      <c r="I100" s="19"/>
      <c r="J100" s="36"/>
      <c r="K100" s="19"/>
      <c r="L100" s="36"/>
      <c r="M100" s="19"/>
      <c r="N100" s="36"/>
      <c r="O100" s="19"/>
      <c r="P100" s="36"/>
      <c r="Q100" s="19"/>
      <c r="R100" s="36"/>
      <c r="S100" s="19"/>
      <c r="T100" s="36"/>
      <c r="U100" s="19"/>
      <c r="V100" s="36"/>
      <c r="W100" s="19"/>
      <c r="X100" s="36"/>
      <c r="Y100" s="19"/>
      <c r="Z100" s="36"/>
      <c r="AA100" s="19"/>
      <c r="AB100" s="36"/>
      <c r="AC100" s="19"/>
      <c r="AD100" s="37"/>
      <c r="AE100" s="21"/>
      <c r="AF100" s="37"/>
      <c r="AG100" s="36"/>
      <c r="AH100" s="19"/>
      <c r="AI100" s="37"/>
      <c r="AJ100" s="21"/>
      <c r="AK100" s="37"/>
      <c r="AL100" s="21"/>
    </row>
    <row r="101" spans="1:38" ht="16.5" hidden="1" customHeight="1" x14ac:dyDescent="0.3">
      <c r="A101" s="32" t="s">
        <v>109</v>
      </c>
      <c r="B101" s="33">
        <f>IFERROR(B87-B99, "NA")</f>
        <v>5739.8799999999901</v>
      </c>
      <c r="C101" s="34">
        <f>IFERROR(B101/B148, "NA")</f>
        <v>0.19940164360414508</v>
      </c>
      <c r="D101" s="33">
        <f>IFERROR(D87-D99, "NA")</f>
        <v>10855.539999999986</v>
      </c>
      <c r="E101" s="34">
        <f>IFERROR(D101/D148, "NA")</f>
        <v>0.32185323688791218</v>
      </c>
      <c r="F101" s="33">
        <f>IFERROR(F87-F99, "NA")</f>
        <v>2661.09</v>
      </c>
      <c r="G101" s="34">
        <f>IFERROR(F101/F148, "NA")</f>
        <v>9.0685351556576241E-2</v>
      </c>
      <c r="H101" s="33">
        <f>IFERROR(H87-H99, "NA")</f>
        <v>7949.8199999999988</v>
      </c>
      <c r="I101" s="34">
        <f>IFERROR(H101/H148, "NA")</f>
        <v>0.26680650552755042</v>
      </c>
      <c r="J101" s="33">
        <f>IFERROR(J87-J99, "NA")</f>
        <v>9791.27</v>
      </c>
      <c r="K101" s="34">
        <f>IFERROR(J101/J148, "NA")</f>
        <v>0.31640551786182858</v>
      </c>
      <c r="L101" s="33">
        <f>IFERROR(L87-L99, "NA")</f>
        <v>5924.1399999999976</v>
      </c>
      <c r="M101" s="34">
        <f>IFERROR(L101/L148, "NA")</f>
        <v>0.25518543151336365</v>
      </c>
      <c r="N101" s="33">
        <f>IFERROR(N87-N99, "NA")</f>
        <v>7822.1999999999962</v>
      </c>
      <c r="O101" s="34">
        <f>IFERROR(N101/N148, "NA")</f>
        <v>0.30992339675599073</v>
      </c>
      <c r="P101" s="33">
        <f>IFERROR(P87-P99, "NA")</f>
        <v>3825.3100000000013</v>
      </c>
      <c r="Q101" s="34">
        <f>IFERROR(P101/P148, "NA")</f>
        <v>0.11505068887972571</v>
      </c>
      <c r="R101" s="33">
        <f>IFERROR(R87-R99, "NA")</f>
        <v>7383.0399999999991</v>
      </c>
      <c r="S101" s="34">
        <f>IFERROR(R101/R148, "NA")</f>
        <v>0.22121203041761295</v>
      </c>
      <c r="T101" s="33">
        <f>IFERROR(T87-T99, "NA")</f>
        <v>6588.1500000000051</v>
      </c>
      <c r="U101" s="34">
        <f>IFERROR(T101/T148, "NA")</f>
        <v>0.24206082098929657</v>
      </c>
      <c r="V101" s="33">
        <f>IFERROR(V87-V99, "NA")</f>
        <v>16256.880000000006</v>
      </c>
      <c r="W101" s="34">
        <f>IFERROR(V101/V148, "NA")</f>
        <v>0.39646478687757003</v>
      </c>
      <c r="X101" s="33">
        <f>IFERROR(X87-X99, "NA")</f>
        <v>8027.7799999999988</v>
      </c>
      <c r="Y101" s="34">
        <f>IFERROR(X101/X148, "NA")</f>
        <v>0.25040222036872639</v>
      </c>
      <c r="Z101" s="33">
        <f>IFERROR(Z87-Z99, "NA")</f>
        <v>30872.809999999998</v>
      </c>
      <c r="AA101" s="34">
        <f>IFERROR(Z101/Z148, "NA")</f>
        <v>0.3078628207559832</v>
      </c>
      <c r="AB101" s="33">
        <f>IFERROR((R101+T101+V101+X101)/4, "NA")</f>
        <v>9563.9625000000015</v>
      </c>
      <c r="AC101" s="34">
        <f>IFERROR(AB101/AB148, "NA")</f>
        <v>0.28622522248456983</v>
      </c>
      <c r="AD101" s="15">
        <f>IFERROR(X101-AB101, "NA")</f>
        <v>-1536.1825000000026</v>
      </c>
      <c r="AE101" s="16">
        <f>IFERROR(AD101/AD148, "NA")</f>
        <v>1.1340697266670401</v>
      </c>
      <c r="AF101" s="15">
        <f>IFERROR((X101-AB101)/AB101, "NA")</f>
        <v>-0.16062197023461797</v>
      </c>
      <c r="AG101" s="33">
        <f>IFERROR((J101+L101+N101+P101+R101+T101+V101+X101)/8, "NA")</f>
        <v>8202.3462500000005</v>
      </c>
      <c r="AH101" s="34">
        <f>IFERROR(AG101/AG148, "NA")</f>
        <v>0.26641279971443521</v>
      </c>
      <c r="AI101" s="15">
        <f>IFERROR(X101-AG101, "NA")</f>
        <v>-174.56625000000167</v>
      </c>
      <c r="AJ101" s="16">
        <f>IFERROR(AI101/AI148, "NA")</f>
        <v>-0.13729900849928101</v>
      </c>
      <c r="AK101" s="15">
        <f>IFERROR((X101-AG101)/AG101, "NA")</f>
        <v>-2.128247755939365E-2</v>
      </c>
      <c r="AL101" s="16">
        <f>IFERROR(AK101/AK148, "NA")</f>
        <v>-0.51536190695961381</v>
      </c>
    </row>
    <row r="102" spans="1:38" ht="3.75" hidden="1" customHeight="1" x14ac:dyDescent="0.3">
      <c r="A102" s="35" t="s">
        <v>3</v>
      </c>
      <c r="B102" s="36"/>
      <c r="C102" s="19"/>
      <c r="D102" s="36"/>
      <c r="E102" s="19"/>
      <c r="F102" s="36"/>
      <c r="G102" s="19"/>
      <c r="H102" s="36"/>
      <c r="I102" s="19"/>
      <c r="J102" s="36"/>
      <c r="K102" s="19"/>
      <c r="L102" s="36"/>
      <c r="M102" s="19"/>
      <c r="N102" s="36"/>
      <c r="O102" s="19"/>
      <c r="P102" s="36"/>
      <c r="Q102" s="19"/>
      <c r="R102" s="36"/>
      <c r="S102" s="19"/>
      <c r="T102" s="36"/>
      <c r="U102" s="19"/>
      <c r="V102" s="36"/>
      <c r="W102" s="19"/>
      <c r="X102" s="36"/>
      <c r="Y102" s="19"/>
      <c r="Z102" s="36"/>
      <c r="AA102" s="19"/>
      <c r="AB102" s="36"/>
      <c r="AC102" s="19"/>
      <c r="AD102" s="37"/>
      <c r="AE102" s="21"/>
      <c r="AF102" s="37"/>
      <c r="AG102" s="36"/>
      <c r="AH102" s="19"/>
      <c r="AI102" s="37"/>
      <c r="AJ102" s="21"/>
      <c r="AK102" s="37"/>
      <c r="AL102" s="21"/>
    </row>
    <row r="103" spans="1:38" ht="16.5" hidden="1" customHeight="1" x14ac:dyDescent="0.3">
      <c r="A103" s="1" t="s">
        <v>110</v>
      </c>
      <c r="B103" s="2"/>
      <c r="C103" s="3"/>
      <c r="D103" s="2"/>
      <c r="E103" s="3"/>
      <c r="F103" s="2"/>
      <c r="G103" s="3"/>
      <c r="H103" s="2"/>
      <c r="I103" s="3"/>
      <c r="J103" s="2"/>
      <c r="K103" s="3"/>
      <c r="L103" s="2"/>
      <c r="M103" s="3"/>
      <c r="N103" s="2"/>
      <c r="O103" s="3"/>
      <c r="P103" s="2"/>
      <c r="Q103" s="3"/>
      <c r="R103" s="2"/>
      <c r="S103" s="3"/>
      <c r="T103" s="2"/>
      <c r="U103" s="3"/>
      <c r="V103" s="2"/>
      <c r="W103" s="3"/>
      <c r="X103" s="2"/>
      <c r="Y103" s="3"/>
      <c r="Z103" s="2"/>
      <c r="AA103" s="3"/>
      <c r="AB103" s="2"/>
      <c r="AC103" s="3"/>
      <c r="AD103" s="4"/>
      <c r="AE103" s="5"/>
      <c r="AF103" s="4"/>
      <c r="AG103" s="2"/>
      <c r="AH103" s="3"/>
      <c r="AI103" s="4"/>
      <c r="AJ103" s="5"/>
      <c r="AK103" s="4"/>
      <c r="AL103" s="5"/>
    </row>
    <row r="104" spans="1:38" ht="16.5" hidden="1" customHeight="1" x14ac:dyDescent="0.3">
      <c r="A104" s="38" t="s">
        <v>111</v>
      </c>
      <c r="B104" s="39">
        <v>-5005</v>
      </c>
      <c r="C104" s="34">
        <f>IFERROR(B104/B148, "NA")</f>
        <v>-0.17387214127102793</v>
      </c>
      <c r="D104" s="39">
        <v>-294.70999999999998</v>
      </c>
      <c r="E104" s="34">
        <f>IFERROR(D104/D148, "NA")</f>
        <v>-8.737784342670812E-3</v>
      </c>
      <c r="F104" s="39">
        <v>926.02</v>
      </c>
      <c r="G104" s="34">
        <f>IFERROR(F104/F148, "NA")</f>
        <v>3.1557162383993302E-2</v>
      </c>
      <c r="H104" s="39">
        <v>22168.329999999998</v>
      </c>
      <c r="I104" s="34">
        <f>IFERROR(H104/H148, "NA")</f>
        <v>0.74399856357522087</v>
      </c>
      <c r="J104" s="39">
        <v>-4844.3500000000004</v>
      </c>
      <c r="K104" s="34">
        <f>IFERROR(J104/J148, "NA")</f>
        <v>-0.15654548086754316</v>
      </c>
      <c r="L104" s="39">
        <v>0</v>
      </c>
      <c r="M104" s="34">
        <f>IFERROR(L104/L148, "NA")</f>
        <v>0</v>
      </c>
      <c r="N104" s="39">
        <v>0</v>
      </c>
      <c r="O104" s="34">
        <f>IFERROR(N104/N148, "NA")</f>
        <v>0</v>
      </c>
      <c r="P104" s="39">
        <v>927.82999999999993</v>
      </c>
      <c r="Q104" s="34">
        <f>IFERROR(P104/P148, "NA")</f>
        <v>2.7905576453483735E-2</v>
      </c>
      <c r="R104" s="39">
        <v>25414.949999999997</v>
      </c>
      <c r="S104" s="34">
        <f>IFERROR(R104/R148, "NA")</f>
        <v>0.76148750277150223</v>
      </c>
      <c r="T104" s="39">
        <v>-5855</v>
      </c>
      <c r="U104" s="34">
        <f>IFERROR(T104/T148, "NA")</f>
        <v>-0.21512353344904567</v>
      </c>
      <c r="V104" s="39">
        <v>0</v>
      </c>
      <c r="W104" s="34">
        <f>IFERROR(V104/V148, "NA")</f>
        <v>0</v>
      </c>
      <c r="X104" s="39">
        <v>861.28</v>
      </c>
      <c r="Y104" s="34">
        <f>IFERROR(X104/X148, "NA")</f>
        <v>2.6865014282800064E-2</v>
      </c>
      <c r="Z104" s="39">
        <v>-4993.72</v>
      </c>
      <c r="AA104" s="34">
        <f>IFERROR(Z104/Z148, "NA")</f>
        <v>-4.9797239877600021E-2</v>
      </c>
      <c r="AB104" s="33">
        <f>IFERROR((R104+T104+V104+X104)/4, "NA")</f>
        <v>5105.307499999999</v>
      </c>
      <c r="AC104" s="34">
        <f>IFERROR(AB104/AB148, "NA")</f>
        <v>0.15278894862246087</v>
      </c>
      <c r="AD104" s="15">
        <f>IFERROR(X104-AB104, "NA")</f>
        <v>-4244.0274999999992</v>
      </c>
      <c r="AE104" s="16">
        <f>IFERROR(AD104/AD148, "NA")</f>
        <v>3.1331063248620477</v>
      </c>
      <c r="AF104" s="15">
        <f>IFERROR((X104-AB104)/AB104, "NA")</f>
        <v>-0.83129713538312822</v>
      </c>
      <c r="AG104" s="33">
        <f>IFERROR((J104+L104+N104+P104+R104+T104+V104+X104)/8, "NA")</f>
        <v>2063.0887499999994</v>
      </c>
      <c r="AH104" s="34">
        <f>IFERROR(AG104/AG148, "NA")</f>
        <v>6.700927188325588E-2</v>
      </c>
      <c r="AI104" s="15">
        <f>IFERROR(X104-AG104, "NA")</f>
        <v>-1201.8087499999995</v>
      </c>
      <c r="AJ104" s="16">
        <f>IFERROR(AI104/AI148, "NA")</f>
        <v>-0.94524084570046396</v>
      </c>
      <c r="AK104" s="15">
        <f>IFERROR((X104-AG104)/AG104, "NA")</f>
        <v>-0.58252886600249254</v>
      </c>
      <c r="AL104" s="16">
        <f>IFERROR(AK104/AK148, "NA")</f>
        <v>-14.106120229858197</v>
      </c>
    </row>
    <row r="105" spans="1:38" ht="16.5" hidden="1" customHeight="1" x14ac:dyDescent="0.3">
      <c r="A105" s="12" t="s">
        <v>112</v>
      </c>
      <c r="B105" s="13">
        <f>IFERROR(B104, "NA")</f>
        <v>-5005</v>
      </c>
      <c r="C105" s="14">
        <f>IFERROR(B105/B148, "NA")</f>
        <v>-0.17387214127102793</v>
      </c>
      <c r="D105" s="13">
        <f>IFERROR(D104, "NA")</f>
        <v>-294.70999999999998</v>
      </c>
      <c r="E105" s="14">
        <f>IFERROR(D105/D148, "NA")</f>
        <v>-8.737784342670812E-3</v>
      </c>
      <c r="F105" s="13">
        <f>IFERROR(F104, "NA")</f>
        <v>926.02</v>
      </c>
      <c r="G105" s="14">
        <f>IFERROR(F105/F148, "NA")</f>
        <v>3.1557162383993302E-2</v>
      </c>
      <c r="H105" s="13">
        <f>IFERROR(H104, "NA")</f>
        <v>22168.329999999998</v>
      </c>
      <c r="I105" s="14">
        <f>IFERROR(H105/H148, "NA")</f>
        <v>0.74399856357522087</v>
      </c>
      <c r="J105" s="13">
        <f>IFERROR(J104, "NA")</f>
        <v>-4844.3500000000004</v>
      </c>
      <c r="K105" s="14">
        <f>IFERROR(J105/J148, "NA")</f>
        <v>-0.15654548086754316</v>
      </c>
      <c r="L105" s="13">
        <f>IFERROR(L104, "NA")</f>
        <v>0</v>
      </c>
      <c r="M105" s="14">
        <f>IFERROR(L105/L148, "NA")</f>
        <v>0</v>
      </c>
      <c r="N105" s="13">
        <f>IFERROR(N104, "NA")</f>
        <v>0</v>
      </c>
      <c r="O105" s="14">
        <f>IFERROR(N105/N148, "NA")</f>
        <v>0</v>
      </c>
      <c r="P105" s="13">
        <f>IFERROR(P104, "NA")</f>
        <v>927.82999999999993</v>
      </c>
      <c r="Q105" s="14">
        <f>IFERROR(P105/P148, "NA")</f>
        <v>2.7905576453483735E-2</v>
      </c>
      <c r="R105" s="13">
        <f>IFERROR(R104, "NA")</f>
        <v>25414.949999999997</v>
      </c>
      <c r="S105" s="14">
        <f>IFERROR(R105/R148, "NA")</f>
        <v>0.76148750277150223</v>
      </c>
      <c r="T105" s="13">
        <f>IFERROR(T104, "NA")</f>
        <v>-5855</v>
      </c>
      <c r="U105" s="14">
        <f>IFERROR(T105/T148, "NA")</f>
        <v>-0.21512353344904567</v>
      </c>
      <c r="V105" s="13">
        <f>IFERROR(V104, "NA")</f>
        <v>0</v>
      </c>
      <c r="W105" s="14">
        <f>IFERROR(V105/V148, "NA")</f>
        <v>0</v>
      </c>
      <c r="X105" s="13">
        <f>IFERROR(X104, "NA")</f>
        <v>861.28</v>
      </c>
      <c r="Y105" s="14">
        <f>IFERROR(X105/X148, "NA")</f>
        <v>2.6865014282800064E-2</v>
      </c>
      <c r="Z105" s="13">
        <f>IFERROR(Z104, "NA")</f>
        <v>-4993.72</v>
      </c>
      <c r="AA105" s="14">
        <f>IFERROR(Z105/Z148, "NA")</f>
        <v>-4.9797239877600021E-2</v>
      </c>
      <c r="AB105" s="13">
        <f>IFERROR((R105+T105+V105+X105)/4, "NA")</f>
        <v>5105.307499999999</v>
      </c>
      <c r="AC105" s="14">
        <f>IFERROR(AB105/AB148, "NA")</f>
        <v>0.15278894862246087</v>
      </c>
      <c r="AD105" s="15">
        <f>IFERROR(X105-AB105, "NA")</f>
        <v>-4244.0274999999992</v>
      </c>
      <c r="AE105" s="16">
        <f>IFERROR(AD105/AD148, "NA")</f>
        <v>3.1331063248620477</v>
      </c>
      <c r="AF105" s="15">
        <f>IFERROR((X105-AB105)/AB105, "NA")</f>
        <v>-0.83129713538312822</v>
      </c>
      <c r="AG105" s="13">
        <f>IFERROR((J105+L105+N105+P105+R105+T105+V105+X105)/8, "NA")</f>
        <v>2063.0887499999994</v>
      </c>
      <c r="AH105" s="14">
        <f>IFERROR(AG105/AG148, "NA")</f>
        <v>6.700927188325588E-2</v>
      </c>
      <c r="AI105" s="15">
        <f>IFERROR(X105-AG105, "NA")</f>
        <v>-1201.8087499999995</v>
      </c>
      <c r="AJ105" s="16">
        <f>IFERROR(AI105/AI148, "NA")</f>
        <v>-0.94524084570046396</v>
      </c>
      <c r="AK105" s="15">
        <f>IFERROR((X105-AG105)/AG105, "NA")</f>
        <v>-0.58252886600249254</v>
      </c>
      <c r="AL105" s="16">
        <f>IFERROR(AK105/AK148, "NA")</f>
        <v>-14.106120229858197</v>
      </c>
    </row>
    <row r="106" spans="1:38" ht="16.5" hidden="1" customHeight="1" x14ac:dyDescent="0.3">
      <c r="A106" s="35" t="s">
        <v>3</v>
      </c>
      <c r="B106" s="36"/>
      <c r="C106" s="19"/>
      <c r="D106" s="36"/>
      <c r="E106" s="19"/>
      <c r="F106" s="36"/>
      <c r="G106" s="19"/>
      <c r="H106" s="36"/>
      <c r="I106" s="19"/>
      <c r="J106" s="36"/>
      <c r="K106" s="19"/>
      <c r="L106" s="36"/>
      <c r="M106" s="19"/>
      <c r="N106" s="36"/>
      <c r="O106" s="19"/>
      <c r="P106" s="36"/>
      <c r="Q106" s="19"/>
      <c r="R106" s="36"/>
      <c r="S106" s="19"/>
      <c r="T106" s="36"/>
      <c r="U106" s="19"/>
      <c r="V106" s="36"/>
      <c r="W106" s="19"/>
      <c r="X106" s="36"/>
      <c r="Y106" s="19"/>
      <c r="Z106" s="36"/>
      <c r="AA106" s="19"/>
      <c r="AB106" s="36"/>
      <c r="AC106" s="19"/>
      <c r="AD106" s="37"/>
      <c r="AE106" s="21"/>
      <c r="AF106" s="37"/>
      <c r="AG106" s="36"/>
      <c r="AH106" s="19"/>
      <c r="AI106" s="37"/>
      <c r="AJ106" s="21"/>
      <c r="AK106" s="37"/>
      <c r="AL106" s="21"/>
    </row>
    <row r="107" spans="1:38" ht="16.5" hidden="1" customHeight="1" x14ac:dyDescent="0.3">
      <c r="A107" s="32" t="s">
        <v>113</v>
      </c>
      <c r="B107" s="33">
        <f>IFERROR(B87-B99-B105, "NA")</f>
        <v>10744.87999999999</v>
      </c>
      <c r="C107" s="34">
        <f>IFERROR(B107/B148, "NA")</f>
        <v>0.37327378487517299</v>
      </c>
      <c r="D107" s="33">
        <f>IFERROR(D87-D99-D105, "NA")</f>
        <v>11150.249999999985</v>
      </c>
      <c r="E107" s="34">
        <f>IFERROR(D107/D148, "NA")</f>
        <v>0.33059102123058293</v>
      </c>
      <c r="F107" s="33">
        <f>IFERROR(F87-F99-F105, "NA")</f>
        <v>1735.0700000000002</v>
      </c>
      <c r="G107" s="34">
        <f>IFERROR(F107/F148, "NA")</f>
        <v>5.9128189172582946E-2</v>
      </c>
      <c r="H107" s="33">
        <f>IFERROR(H87-H99-H105, "NA")</f>
        <v>-14218.509999999998</v>
      </c>
      <c r="I107" s="34">
        <f>IFERROR(H107/H148, "NA")</f>
        <v>-0.47719205804767045</v>
      </c>
      <c r="J107" s="33">
        <f>IFERROR(J87-J99-J105, "NA")</f>
        <v>14635.62</v>
      </c>
      <c r="K107" s="34">
        <f>IFERROR(J107/J148, "NA")</f>
        <v>0.47295099872937169</v>
      </c>
      <c r="L107" s="33">
        <f>IFERROR(L87-L99-L105, "NA")</f>
        <v>5924.1399999999976</v>
      </c>
      <c r="M107" s="34">
        <f>IFERROR(L107/L148, "NA")</f>
        <v>0.25518543151336365</v>
      </c>
      <c r="N107" s="33">
        <f>IFERROR(N87-N99-N105, "NA")</f>
        <v>7822.1999999999962</v>
      </c>
      <c r="O107" s="34">
        <f>IFERROR(N107/N148, "NA")</f>
        <v>0.30992339675599073</v>
      </c>
      <c r="P107" s="33">
        <f>IFERROR(P87-P99-P105, "NA")</f>
        <v>2897.4800000000014</v>
      </c>
      <c r="Q107" s="34">
        <f>IFERROR(P107/P148, "NA")</f>
        <v>8.7145112426241969E-2</v>
      </c>
      <c r="R107" s="33">
        <f>IFERROR(R87-R99-R105, "NA")</f>
        <v>-18031.909999999996</v>
      </c>
      <c r="S107" s="34">
        <f>IFERROR(R107/R148, "NA")</f>
        <v>-0.54027547235388929</v>
      </c>
      <c r="T107" s="33">
        <f>IFERROR(T87-T99-T105, "NA")</f>
        <v>12443.150000000005</v>
      </c>
      <c r="U107" s="34">
        <f>IFERROR(T107/T148, "NA")</f>
        <v>0.45718435443834227</v>
      </c>
      <c r="V107" s="33">
        <f>IFERROR(V87-V99-V105, "NA")</f>
        <v>16256.880000000006</v>
      </c>
      <c r="W107" s="34">
        <f>IFERROR(V107/V148, "NA")</f>
        <v>0.39646478687757003</v>
      </c>
      <c r="X107" s="33">
        <f>IFERROR(X87-X99-X105, "NA")</f>
        <v>7166.4999999999991</v>
      </c>
      <c r="Y107" s="34">
        <f>IFERROR(X107/X148, "NA")</f>
        <v>0.22353720608592634</v>
      </c>
      <c r="Z107" s="33">
        <f>IFERROR(Z87-Z99-Z105, "NA")</f>
        <v>35866.53</v>
      </c>
      <c r="AA107" s="34">
        <f>IFERROR(Z107/Z148, "NA")</f>
        <v>0.35766006063358324</v>
      </c>
      <c r="AB107" s="33">
        <f>IFERROR((R107+T107+V107+X107)/4, "NA")</f>
        <v>4458.6550000000034</v>
      </c>
      <c r="AC107" s="34">
        <f>IFERROR(AB107/AB148, "NA")</f>
        <v>0.13343627386210899</v>
      </c>
      <c r="AD107" s="15">
        <f>IFERROR(X107-AB107, "NA")</f>
        <v>2707.8449999999957</v>
      </c>
      <c r="AE107" s="16">
        <f>IFERROR(AD107/AD148, "NA")</f>
        <v>-1.9990365981950069</v>
      </c>
      <c r="AF107" s="15">
        <f>IFERROR((X107-AB107)/AB107, "NA")</f>
        <v>0.60732328471254082</v>
      </c>
      <c r="AG107" s="33">
        <f>IFERROR((J107+L107+N107+P107+R107+T107+V107+X107)/8, "NA")</f>
        <v>6139.2575000000015</v>
      </c>
      <c r="AH107" s="34">
        <f>IFERROR(AG107/AG148, "NA")</f>
        <v>0.19940352783117934</v>
      </c>
      <c r="AI107" s="15">
        <f>IFERROR(X107-AG107, "NA")</f>
        <v>1027.2424999999976</v>
      </c>
      <c r="AJ107" s="16">
        <f>IFERROR(AI107/AI148, "NA")</f>
        <v>0.80794183720118284</v>
      </c>
      <c r="AK107" s="15">
        <f>IFERROR((X107-AG107)/AG107, "NA")</f>
        <v>0.167323572923924</v>
      </c>
      <c r="AL107" s="16">
        <f>IFERROR(AK107/AK148, "NA")</f>
        <v>4.0517930950810914</v>
      </c>
    </row>
    <row r="108" spans="1:38" ht="3.75" hidden="1" customHeight="1" x14ac:dyDescent="0.3">
      <c r="A108" s="35" t="s">
        <v>3</v>
      </c>
      <c r="B108" s="36"/>
      <c r="C108" s="19"/>
      <c r="D108" s="36"/>
      <c r="E108" s="19"/>
      <c r="F108" s="36"/>
      <c r="G108" s="19"/>
      <c r="H108" s="36"/>
      <c r="I108" s="19"/>
      <c r="J108" s="36"/>
      <c r="K108" s="19"/>
      <c r="L108" s="36"/>
      <c r="M108" s="19"/>
      <c r="N108" s="36"/>
      <c r="O108" s="19"/>
      <c r="P108" s="36"/>
      <c r="Q108" s="19"/>
      <c r="R108" s="36"/>
      <c r="S108" s="19"/>
      <c r="T108" s="36"/>
      <c r="U108" s="19"/>
      <c r="V108" s="36"/>
      <c r="W108" s="19"/>
      <c r="X108" s="36"/>
      <c r="Y108" s="19"/>
      <c r="Z108" s="36"/>
      <c r="AA108" s="19"/>
      <c r="AB108" s="36"/>
      <c r="AC108" s="19"/>
      <c r="AD108" s="37"/>
      <c r="AE108" s="21"/>
      <c r="AF108" s="37"/>
      <c r="AG108" s="36"/>
      <c r="AH108" s="19"/>
      <c r="AI108" s="37"/>
      <c r="AJ108" s="21"/>
      <c r="AK108" s="37"/>
      <c r="AL108" s="21"/>
    </row>
    <row r="109" spans="1:38" ht="16.5" hidden="1" customHeight="1" x14ac:dyDescent="0.3">
      <c r="A109" s="1" t="s">
        <v>114</v>
      </c>
      <c r="B109" s="2"/>
      <c r="C109" s="3"/>
      <c r="D109" s="2"/>
      <c r="E109" s="3"/>
      <c r="F109" s="2"/>
      <c r="G109" s="3"/>
      <c r="H109" s="2"/>
      <c r="I109" s="3"/>
      <c r="J109" s="2"/>
      <c r="K109" s="3"/>
      <c r="L109" s="2"/>
      <c r="M109" s="3"/>
      <c r="N109" s="2"/>
      <c r="O109" s="3"/>
      <c r="P109" s="2"/>
      <c r="Q109" s="3"/>
      <c r="R109" s="2"/>
      <c r="S109" s="3"/>
      <c r="T109" s="2"/>
      <c r="U109" s="3"/>
      <c r="V109" s="2"/>
      <c r="W109" s="3"/>
      <c r="X109" s="2"/>
      <c r="Y109" s="3"/>
      <c r="Z109" s="2"/>
      <c r="AA109" s="3"/>
      <c r="AB109" s="2"/>
      <c r="AC109" s="3"/>
      <c r="AD109" s="4"/>
      <c r="AE109" s="5"/>
      <c r="AF109" s="4"/>
      <c r="AG109" s="2"/>
      <c r="AH109" s="3"/>
      <c r="AI109" s="4"/>
      <c r="AJ109" s="5"/>
      <c r="AK109" s="4"/>
      <c r="AL109" s="5"/>
    </row>
    <row r="110" spans="1:38" ht="16.5" hidden="1" customHeight="1" x14ac:dyDescent="0.3">
      <c r="A110" s="6" t="s">
        <v>115</v>
      </c>
      <c r="B110" s="7">
        <v>0</v>
      </c>
      <c r="C110" s="8">
        <f>IFERROR(B110/B148, "NA")</f>
        <v>0</v>
      </c>
      <c r="D110" s="7">
        <v>0</v>
      </c>
      <c r="E110" s="8">
        <f>IFERROR(D110/D148, "NA")</f>
        <v>0</v>
      </c>
      <c r="F110" s="7">
        <v>0</v>
      </c>
      <c r="G110" s="8">
        <f>IFERROR(F110/F148, "NA")</f>
        <v>0</v>
      </c>
      <c r="H110" s="7">
        <v>0</v>
      </c>
      <c r="I110" s="8">
        <f>IFERROR(H110/H148, "NA")</f>
        <v>0</v>
      </c>
      <c r="J110" s="7">
        <v>0</v>
      </c>
      <c r="K110" s="8">
        <f>IFERROR(J110/J148, "NA")</f>
        <v>0</v>
      </c>
      <c r="L110" s="7">
        <v>0</v>
      </c>
      <c r="M110" s="8">
        <f>IFERROR(L110/L148, "NA")</f>
        <v>0</v>
      </c>
      <c r="N110" s="7">
        <v>0</v>
      </c>
      <c r="O110" s="8">
        <f>IFERROR(N110/N148, "NA")</f>
        <v>0</v>
      </c>
      <c r="P110" s="7">
        <v>0</v>
      </c>
      <c r="Q110" s="8">
        <f>IFERROR(P110/P148, "NA")</f>
        <v>0</v>
      </c>
      <c r="R110" s="7">
        <v>0</v>
      </c>
      <c r="S110" s="8">
        <f>IFERROR(R110/R148, "NA")</f>
        <v>0</v>
      </c>
      <c r="T110" s="7">
        <v>0</v>
      </c>
      <c r="U110" s="8">
        <f>IFERROR(T110/T148, "NA")</f>
        <v>0</v>
      </c>
      <c r="V110" s="7">
        <v>0</v>
      </c>
      <c r="W110" s="8">
        <f>IFERROR(V110/V148, "NA")</f>
        <v>0</v>
      </c>
      <c r="X110" s="7">
        <v>0</v>
      </c>
      <c r="Y110" s="8">
        <f>IFERROR(X110/X148, "NA")</f>
        <v>0</v>
      </c>
      <c r="Z110" s="7">
        <v>0</v>
      </c>
      <c r="AA110" s="8">
        <f>IFERROR(Z110/Z148, "NA")</f>
        <v>0</v>
      </c>
      <c r="AB110" s="9">
        <f t="shared" ref="AB110:AB135" si="42">IFERROR((R110+T110+V110+X110)/4, "NA")</f>
        <v>0</v>
      </c>
      <c r="AC110" s="8">
        <f>IFERROR(AB110/AB148, "NA")</f>
        <v>0</v>
      </c>
      <c r="AD110" s="10">
        <f t="shared" ref="AD110:AD135" si="43">IFERROR(X110-AB110, "NA")</f>
        <v>0</v>
      </c>
      <c r="AE110" s="11">
        <f>IFERROR(AD110/AD148, "NA")</f>
        <v>0</v>
      </c>
      <c r="AF110" s="10" t="str">
        <f t="shared" ref="AF110:AF135" si="44">IFERROR((X110-AB110)/AB110, "NA")</f>
        <v>NA</v>
      </c>
      <c r="AG110" s="9">
        <f t="shared" ref="AG110:AG135" si="45">IFERROR((J110+L110+N110+P110+R110+T110+V110+X110)/8, "NA")</f>
        <v>0</v>
      </c>
      <c r="AH110" s="8">
        <f>IFERROR(AG110/AG148, "NA")</f>
        <v>0</v>
      </c>
      <c r="AI110" s="10">
        <f t="shared" ref="AI110:AI135" si="46">IFERROR(X110-AG110, "NA")</f>
        <v>0</v>
      </c>
      <c r="AJ110" s="11">
        <f>IFERROR(AI110/AI148, "NA")</f>
        <v>0</v>
      </c>
      <c r="AK110" s="10" t="str">
        <f t="shared" ref="AK110:AK135" si="47">IFERROR((X110-AG110)/AG110, "NA")</f>
        <v>NA</v>
      </c>
      <c r="AL110" s="11" t="str">
        <f>IFERROR(AK110/AK148, "NA")</f>
        <v>NA</v>
      </c>
    </row>
    <row r="111" spans="1:38" ht="16.5" hidden="1" customHeight="1" x14ac:dyDescent="0.3">
      <c r="A111" s="6" t="s">
        <v>116</v>
      </c>
      <c r="B111" s="7">
        <v>0</v>
      </c>
      <c r="C111" s="8">
        <f>IFERROR(B111/B148, "NA")</f>
        <v>0</v>
      </c>
      <c r="D111" s="7">
        <v>0</v>
      </c>
      <c r="E111" s="8">
        <f>IFERROR(D111/D148, "NA")</f>
        <v>0</v>
      </c>
      <c r="F111" s="7">
        <v>0</v>
      </c>
      <c r="G111" s="8">
        <f>IFERROR(F111/F148, "NA")</f>
        <v>0</v>
      </c>
      <c r="H111" s="7">
        <v>0</v>
      </c>
      <c r="I111" s="8">
        <f>IFERROR(H111/H148, "NA")</f>
        <v>0</v>
      </c>
      <c r="J111" s="7">
        <v>0</v>
      </c>
      <c r="K111" s="8">
        <f>IFERROR(J111/J148, "NA")</f>
        <v>0</v>
      </c>
      <c r="L111" s="7">
        <v>0</v>
      </c>
      <c r="M111" s="8">
        <f>IFERROR(L111/L148, "NA")</f>
        <v>0</v>
      </c>
      <c r="N111" s="7">
        <v>0</v>
      </c>
      <c r="O111" s="8">
        <f>IFERROR(N111/N148, "NA")</f>
        <v>0</v>
      </c>
      <c r="P111" s="7">
        <v>0</v>
      </c>
      <c r="Q111" s="8">
        <f>IFERROR(P111/P148, "NA")</f>
        <v>0</v>
      </c>
      <c r="R111" s="7">
        <v>0</v>
      </c>
      <c r="S111" s="8">
        <f>IFERROR(R111/R148, "NA")</f>
        <v>0</v>
      </c>
      <c r="T111" s="7">
        <v>0</v>
      </c>
      <c r="U111" s="8">
        <f>IFERROR(T111/T148, "NA")</f>
        <v>0</v>
      </c>
      <c r="V111" s="7">
        <v>0</v>
      </c>
      <c r="W111" s="8">
        <f>IFERROR(V111/V148, "NA")</f>
        <v>0</v>
      </c>
      <c r="X111" s="7">
        <v>0</v>
      </c>
      <c r="Y111" s="8">
        <f>IFERROR(X111/X148, "NA")</f>
        <v>0</v>
      </c>
      <c r="Z111" s="7">
        <v>0</v>
      </c>
      <c r="AA111" s="8">
        <f>IFERROR(Z111/Z148, "NA")</f>
        <v>0</v>
      </c>
      <c r="AB111" s="9">
        <f t="shared" si="42"/>
        <v>0</v>
      </c>
      <c r="AC111" s="8">
        <f>IFERROR(AB111/AB148, "NA")</f>
        <v>0</v>
      </c>
      <c r="AD111" s="10">
        <f t="shared" si="43"/>
        <v>0</v>
      </c>
      <c r="AE111" s="11">
        <f>IFERROR(AD111/AD148, "NA")</f>
        <v>0</v>
      </c>
      <c r="AF111" s="10" t="str">
        <f t="shared" si="44"/>
        <v>NA</v>
      </c>
      <c r="AG111" s="9">
        <f t="shared" si="45"/>
        <v>0</v>
      </c>
      <c r="AH111" s="8">
        <f>IFERROR(AG111/AG148, "NA")</f>
        <v>0</v>
      </c>
      <c r="AI111" s="10">
        <f t="shared" si="46"/>
        <v>0</v>
      </c>
      <c r="AJ111" s="11">
        <f>IFERROR(AI111/AI148, "NA")</f>
        <v>0</v>
      </c>
      <c r="AK111" s="10" t="str">
        <f t="shared" si="47"/>
        <v>NA</v>
      </c>
      <c r="AL111" s="11" t="str">
        <f>IFERROR(AK111/AK148, "NA")</f>
        <v>NA</v>
      </c>
    </row>
    <row r="112" spans="1:38" ht="16.5" hidden="1" customHeight="1" x14ac:dyDescent="0.3">
      <c r="A112" s="6" t="s">
        <v>117</v>
      </c>
      <c r="B112" s="7">
        <v>0</v>
      </c>
      <c r="C112" s="8">
        <f>IFERROR(B112/B148, "NA")</f>
        <v>0</v>
      </c>
      <c r="D112" s="7">
        <v>0</v>
      </c>
      <c r="E112" s="8">
        <f>IFERROR(D112/D148, "NA")</f>
        <v>0</v>
      </c>
      <c r="F112" s="7">
        <v>0</v>
      </c>
      <c r="G112" s="8">
        <f>IFERROR(F112/F148, "NA")</f>
        <v>0</v>
      </c>
      <c r="H112" s="7">
        <v>0</v>
      </c>
      <c r="I112" s="8">
        <f>IFERROR(H112/H148, "NA")</f>
        <v>0</v>
      </c>
      <c r="J112" s="7">
        <v>0</v>
      </c>
      <c r="K112" s="8">
        <f>IFERROR(J112/J148, "NA")</f>
        <v>0</v>
      </c>
      <c r="L112" s="7">
        <v>0</v>
      </c>
      <c r="M112" s="8">
        <f>IFERROR(L112/L148, "NA")</f>
        <v>0</v>
      </c>
      <c r="N112" s="7">
        <v>0</v>
      </c>
      <c r="O112" s="8">
        <f>IFERROR(N112/N148, "NA")</f>
        <v>0</v>
      </c>
      <c r="P112" s="7">
        <v>0</v>
      </c>
      <c r="Q112" s="8">
        <f>IFERROR(P112/P148, "NA")</f>
        <v>0</v>
      </c>
      <c r="R112" s="7">
        <v>0</v>
      </c>
      <c r="S112" s="8">
        <f>IFERROR(R112/R148, "NA")</f>
        <v>0</v>
      </c>
      <c r="T112" s="7">
        <v>0</v>
      </c>
      <c r="U112" s="8">
        <f>IFERROR(T112/T148, "NA")</f>
        <v>0</v>
      </c>
      <c r="V112" s="7">
        <v>0</v>
      </c>
      <c r="W112" s="8">
        <f>IFERROR(V112/V148, "NA")</f>
        <v>0</v>
      </c>
      <c r="X112" s="7">
        <v>0</v>
      </c>
      <c r="Y112" s="8">
        <f>IFERROR(X112/X148, "NA")</f>
        <v>0</v>
      </c>
      <c r="Z112" s="7">
        <v>0</v>
      </c>
      <c r="AA112" s="8">
        <f>IFERROR(Z112/Z148, "NA")</f>
        <v>0</v>
      </c>
      <c r="AB112" s="9">
        <f t="shared" si="42"/>
        <v>0</v>
      </c>
      <c r="AC112" s="8">
        <f>IFERROR(AB112/AB148, "NA")</f>
        <v>0</v>
      </c>
      <c r="AD112" s="10">
        <f t="shared" si="43"/>
        <v>0</v>
      </c>
      <c r="AE112" s="11">
        <f>IFERROR(AD112/AD148, "NA")</f>
        <v>0</v>
      </c>
      <c r="AF112" s="10" t="str">
        <f t="shared" si="44"/>
        <v>NA</v>
      </c>
      <c r="AG112" s="9">
        <f t="shared" si="45"/>
        <v>0</v>
      </c>
      <c r="AH112" s="8">
        <f>IFERROR(AG112/AG148, "NA")</f>
        <v>0</v>
      </c>
      <c r="AI112" s="10">
        <f t="shared" si="46"/>
        <v>0</v>
      </c>
      <c r="AJ112" s="11">
        <f>IFERROR(AI112/AI148, "NA")</f>
        <v>0</v>
      </c>
      <c r="AK112" s="10" t="str">
        <f t="shared" si="47"/>
        <v>NA</v>
      </c>
      <c r="AL112" s="11" t="str">
        <f>IFERROR(AK112/AK148, "NA")</f>
        <v>NA</v>
      </c>
    </row>
    <row r="113" spans="1:38" ht="16.5" hidden="1" customHeight="1" x14ac:dyDescent="0.3">
      <c r="A113" s="6" t="s">
        <v>118</v>
      </c>
      <c r="B113" s="7">
        <v>0</v>
      </c>
      <c r="C113" s="8">
        <f>IFERROR(B113/B148, "NA")</f>
        <v>0</v>
      </c>
      <c r="D113" s="7">
        <v>0</v>
      </c>
      <c r="E113" s="8">
        <f>IFERROR(D113/D148, "NA")</f>
        <v>0</v>
      </c>
      <c r="F113" s="7">
        <v>0</v>
      </c>
      <c r="G113" s="8">
        <f>IFERROR(F113/F148, "NA")</f>
        <v>0</v>
      </c>
      <c r="H113" s="7">
        <v>0</v>
      </c>
      <c r="I113" s="8">
        <f>IFERROR(H113/H148, "NA")</f>
        <v>0</v>
      </c>
      <c r="J113" s="7">
        <v>0</v>
      </c>
      <c r="K113" s="8">
        <f>IFERROR(J113/J148, "NA")</f>
        <v>0</v>
      </c>
      <c r="L113" s="7">
        <v>0</v>
      </c>
      <c r="M113" s="8">
        <f>IFERROR(L113/L148, "NA")</f>
        <v>0</v>
      </c>
      <c r="N113" s="7">
        <v>0</v>
      </c>
      <c r="O113" s="8">
        <f>IFERROR(N113/N148, "NA")</f>
        <v>0</v>
      </c>
      <c r="P113" s="7">
        <v>0</v>
      </c>
      <c r="Q113" s="8">
        <f>IFERROR(P113/P148, "NA")</f>
        <v>0</v>
      </c>
      <c r="R113" s="7">
        <v>0</v>
      </c>
      <c r="S113" s="8">
        <f>IFERROR(R113/R148, "NA")</f>
        <v>0</v>
      </c>
      <c r="T113" s="7">
        <v>0</v>
      </c>
      <c r="U113" s="8">
        <f>IFERROR(T113/T148, "NA")</f>
        <v>0</v>
      </c>
      <c r="V113" s="7">
        <v>0</v>
      </c>
      <c r="W113" s="8">
        <f>IFERROR(V113/V148, "NA")</f>
        <v>0</v>
      </c>
      <c r="X113" s="7">
        <v>0</v>
      </c>
      <c r="Y113" s="8">
        <f>IFERROR(X113/X148, "NA")</f>
        <v>0</v>
      </c>
      <c r="Z113" s="7">
        <v>0</v>
      </c>
      <c r="AA113" s="8">
        <f>IFERROR(Z113/Z148, "NA")</f>
        <v>0</v>
      </c>
      <c r="AB113" s="9">
        <f t="shared" si="42"/>
        <v>0</v>
      </c>
      <c r="AC113" s="8">
        <f>IFERROR(AB113/AB148, "NA")</f>
        <v>0</v>
      </c>
      <c r="AD113" s="10">
        <f t="shared" si="43"/>
        <v>0</v>
      </c>
      <c r="AE113" s="11">
        <f>IFERROR(AD113/AD148, "NA")</f>
        <v>0</v>
      </c>
      <c r="AF113" s="10" t="str">
        <f t="shared" si="44"/>
        <v>NA</v>
      </c>
      <c r="AG113" s="9">
        <f t="shared" si="45"/>
        <v>0</v>
      </c>
      <c r="AH113" s="8">
        <f>IFERROR(AG113/AG148, "NA")</f>
        <v>0</v>
      </c>
      <c r="AI113" s="10">
        <f t="shared" si="46"/>
        <v>0</v>
      </c>
      <c r="AJ113" s="11">
        <f>IFERROR(AI113/AI148, "NA")</f>
        <v>0</v>
      </c>
      <c r="AK113" s="10" t="str">
        <f t="shared" si="47"/>
        <v>NA</v>
      </c>
      <c r="AL113" s="11" t="str">
        <f>IFERROR(AK113/AK148, "NA")</f>
        <v>NA</v>
      </c>
    </row>
    <row r="114" spans="1:38" ht="16.5" hidden="1" customHeight="1" x14ac:dyDescent="0.3">
      <c r="A114" s="6" t="s">
        <v>119</v>
      </c>
      <c r="B114" s="7">
        <v>0</v>
      </c>
      <c r="C114" s="8">
        <f>IFERROR(B114/B148, "NA")</f>
        <v>0</v>
      </c>
      <c r="D114" s="7">
        <v>0</v>
      </c>
      <c r="E114" s="8">
        <f>IFERROR(D114/D148, "NA")</f>
        <v>0</v>
      </c>
      <c r="F114" s="7">
        <v>0</v>
      </c>
      <c r="G114" s="8">
        <f>IFERROR(F114/F148, "NA")</f>
        <v>0</v>
      </c>
      <c r="H114" s="7">
        <v>0</v>
      </c>
      <c r="I114" s="8">
        <f>IFERROR(H114/H148, "NA")</f>
        <v>0</v>
      </c>
      <c r="J114" s="7">
        <v>0</v>
      </c>
      <c r="K114" s="8">
        <f>IFERROR(J114/J148, "NA")</f>
        <v>0</v>
      </c>
      <c r="L114" s="7">
        <v>0</v>
      </c>
      <c r="M114" s="8">
        <f>IFERROR(L114/L148, "NA")</f>
        <v>0</v>
      </c>
      <c r="N114" s="7">
        <v>0</v>
      </c>
      <c r="O114" s="8">
        <f>IFERROR(N114/N148, "NA")</f>
        <v>0</v>
      </c>
      <c r="P114" s="7">
        <v>0</v>
      </c>
      <c r="Q114" s="8">
        <f>IFERROR(P114/P148, "NA")</f>
        <v>0</v>
      </c>
      <c r="R114" s="7">
        <v>0</v>
      </c>
      <c r="S114" s="8">
        <f>IFERROR(R114/R148, "NA")</f>
        <v>0</v>
      </c>
      <c r="T114" s="7">
        <v>0</v>
      </c>
      <c r="U114" s="8">
        <f>IFERROR(T114/T148, "NA")</f>
        <v>0</v>
      </c>
      <c r="V114" s="7">
        <v>0</v>
      </c>
      <c r="W114" s="8">
        <f>IFERROR(V114/V148, "NA")</f>
        <v>0</v>
      </c>
      <c r="X114" s="7">
        <v>0</v>
      </c>
      <c r="Y114" s="8">
        <f>IFERROR(X114/X148, "NA")</f>
        <v>0</v>
      </c>
      <c r="Z114" s="7">
        <v>0</v>
      </c>
      <c r="AA114" s="8">
        <f>IFERROR(Z114/Z148, "NA")</f>
        <v>0</v>
      </c>
      <c r="AB114" s="9">
        <f t="shared" si="42"/>
        <v>0</v>
      </c>
      <c r="AC114" s="8">
        <f>IFERROR(AB114/AB148, "NA")</f>
        <v>0</v>
      </c>
      <c r="AD114" s="10">
        <f t="shared" si="43"/>
        <v>0</v>
      </c>
      <c r="AE114" s="11">
        <f>IFERROR(AD114/AD148, "NA")</f>
        <v>0</v>
      </c>
      <c r="AF114" s="10" t="str">
        <f t="shared" si="44"/>
        <v>NA</v>
      </c>
      <c r="AG114" s="9">
        <f t="shared" si="45"/>
        <v>0</v>
      </c>
      <c r="AH114" s="8">
        <f>IFERROR(AG114/AG148, "NA")</f>
        <v>0</v>
      </c>
      <c r="AI114" s="10">
        <f t="shared" si="46"/>
        <v>0</v>
      </c>
      <c r="AJ114" s="11">
        <f>IFERROR(AI114/AI148, "NA")</f>
        <v>0</v>
      </c>
      <c r="AK114" s="10" t="str">
        <f t="shared" si="47"/>
        <v>NA</v>
      </c>
      <c r="AL114" s="11" t="str">
        <f>IFERROR(AK114/AK148, "NA")</f>
        <v>NA</v>
      </c>
    </row>
    <row r="115" spans="1:38" ht="16.5" hidden="1" customHeight="1" x14ac:dyDescent="0.3">
      <c r="A115" s="6" t="s">
        <v>120</v>
      </c>
      <c r="B115" s="7">
        <v>0</v>
      </c>
      <c r="C115" s="8">
        <f>IFERROR(B115/B148, "NA")</f>
        <v>0</v>
      </c>
      <c r="D115" s="7">
        <v>0</v>
      </c>
      <c r="E115" s="8">
        <f>IFERROR(D115/D148, "NA")</f>
        <v>0</v>
      </c>
      <c r="F115" s="7">
        <v>0</v>
      </c>
      <c r="G115" s="8">
        <f>IFERROR(F115/F148, "NA")</f>
        <v>0</v>
      </c>
      <c r="H115" s="7">
        <v>0</v>
      </c>
      <c r="I115" s="8">
        <f>IFERROR(H115/H148, "NA")</f>
        <v>0</v>
      </c>
      <c r="J115" s="7">
        <v>0</v>
      </c>
      <c r="K115" s="8">
        <f>IFERROR(J115/J148, "NA")</f>
        <v>0</v>
      </c>
      <c r="L115" s="7">
        <v>0</v>
      </c>
      <c r="M115" s="8">
        <f>IFERROR(L115/L148, "NA")</f>
        <v>0</v>
      </c>
      <c r="N115" s="7">
        <v>0</v>
      </c>
      <c r="O115" s="8">
        <f>IFERROR(N115/N148, "NA")</f>
        <v>0</v>
      </c>
      <c r="P115" s="7">
        <v>0</v>
      </c>
      <c r="Q115" s="8">
        <f>IFERROR(P115/P148, "NA")</f>
        <v>0</v>
      </c>
      <c r="R115" s="7">
        <v>0</v>
      </c>
      <c r="S115" s="8">
        <f>IFERROR(R115/R148, "NA")</f>
        <v>0</v>
      </c>
      <c r="T115" s="7">
        <v>0</v>
      </c>
      <c r="U115" s="8">
        <f>IFERROR(T115/T148, "NA")</f>
        <v>0</v>
      </c>
      <c r="V115" s="7">
        <v>0</v>
      </c>
      <c r="W115" s="8">
        <f>IFERROR(V115/V148, "NA")</f>
        <v>0</v>
      </c>
      <c r="X115" s="7">
        <v>0</v>
      </c>
      <c r="Y115" s="8">
        <f>IFERROR(X115/X148, "NA")</f>
        <v>0</v>
      </c>
      <c r="Z115" s="7">
        <v>0</v>
      </c>
      <c r="AA115" s="8">
        <f>IFERROR(Z115/Z148, "NA")</f>
        <v>0</v>
      </c>
      <c r="AB115" s="9">
        <f t="shared" si="42"/>
        <v>0</v>
      </c>
      <c r="AC115" s="8">
        <f>IFERROR(AB115/AB148, "NA")</f>
        <v>0</v>
      </c>
      <c r="AD115" s="10">
        <f t="shared" si="43"/>
        <v>0</v>
      </c>
      <c r="AE115" s="11">
        <f>IFERROR(AD115/AD148, "NA")</f>
        <v>0</v>
      </c>
      <c r="AF115" s="10" t="str">
        <f t="shared" si="44"/>
        <v>NA</v>
      </c>
      <c r="AG115" s="9">
        <f t="shared" si="45"/>
        <v>0</v>
      </c>
      <c r="AH115" s="8">
        <f>IFERROR(AG115/AG148, "NA")</f>
        <v>0</v>
      </c>
      <c r="AI115" s="10">
        <f t="shared" si="46"/>
        <v>0</v>
      </c>
      <c r="AJ115" s="11">
        <f>IFERROR(AI115/AI148, "NA")</f>
        <v>0</v>
      </c>
      <c r="AK115" s="10" t="str">
        <f t="shared" si="47"/>
        <v>NA</v>
      </c>
      <c r="AL115" s="11" t="str">
        <f>IFERROR(AK115/AK148, "NA")</f>
        <v>NA</v>
      </c>
    </row>
    <row r="116" spans="1:38" ht="16.5" hidden="1" customHeight="1" x14ac:dyDescent="0.3">
      <c r="A116" s="6" t="s">
        <v>121</v>
      </c>
      <c r="B116" s="7">
        <v>0</v>
      </c>
      <c r="C116" s="8">
        <f>IFERROR(B116/B148, "NA")</f>
        <v>0</v>
      </c>
      <c r="D116" s="7">
        <v>0</v>
      </c>
      <c r="E116" s="8">
        <f>IFERROR(D116/D148, "NA")</f>
        <v>0</v>
      </c>
      <c r="F116" s="7">
        <v>0</v>
      </c>
      <c r="G116" s="8">
        <f>IFERROR(F116/F148, "NA")</f>
        <v>0</v>
      </c>
      <c r="H116" s="7">
        <v>0</v>
      </c>
      <c r="I116" s="8">
        <f>IFERROR(H116/H148, "NA")</f>
        <v>0</v>
      </c>
      <c r="J116" s="7">
        <v>0</v>
      </c>
      <c r="K116" s="8">
        <f>IFERROR(J116/J148, "NA")</f>
        <v>0</v>
      </c>
      <c r="L116" s="7">
        <v>0</v>
      </c>
      <c r="M116" s="8">
        <f>IFERROR(L116/L148, "NA")</f>
        <v>0</v>
      </c>
      <c r="N116" s="7">
        <v>0</v>
      </c>
      <c r="O116" s="8">
        <f>IFERROR(N116/N148, "NA")</f>
        <v>0</v>
      </c>
      <c r="P116" s="7">
        <v>0</v>
      </c>
      <c r="Q116" s="8">
        <f>IFERROR(P116/P148, "NA")</f>
        <v>0</v>
      </c>
      <c r="R116" s="7">
        <v>0</v>
      </c>
      <c r="S116" s="8">
        <f>IFERROR(R116/R148, "NA")</f>
        <v>0</v>
      </c>
      <c r="T116" s="7">
        <v>0</v>
      </c>
      <c r="U116" s="8">
        <f>IFERROR(T116/T148, "NA")</f>
        <v>0</v>
      </c>
      <c r="V116" s="7">
        <v>0</v>
      </c>
      <c r="W116" s="8">
        <f>IFERROR(V116/V148, "NA")</f>
        <v>0</v>
      </c>
      <c r="X116" s="7">
        <v>0</v>
      </c>
      <c r="Y116" s="8">
        <f>IFERROR(X116/X148, "NA")</f>
        <v>0</v>
      </c>
      <c r="Z116" s="7">
        <v>0</v>
      </c>
      <c r="AA116" s="8">
        <f>IFERROR(Z116/Z148, "NA")</f>
        <v>0</v>
      </c>
      <c r="AB116" s="9">
        <f t="shared" si="42"/>
        <v>0</v>
      </c>
      <c r="AC116" s="8">
        <f>IFERROR(AB116/AB148, "NA")</f>
        <v>0</v>
      </c>
      <c r="AD116" s="10">
        <f t="shared" si="43"/>
        <v>0</v>
      </c>
      <c r="AE116" s="11">
        <f>IFERROR(AD116/AD148, "NA")</f>
        <v>0</v>
      </c>
      <c r="AF116" s="10" t="str">
        <f t="shared" si="44"/>
        <v>NA</v>
      </c>
      <c r="AG116" s="9">
        <f t="shared" si="45"/>
        <v>0</v>
      </c>
      <c r="AH116" s="8">
        <f>IFERROR(AG116/AG148, "NA")</f>
        <v>0</v>
      </c>
      <c r="AI116" s="10">
        <f t="shared" si="46"/>
        <v>0</v>
      </c>
      <c r="AJ116" s="11">
        <f>IFERROR(AI116/AI148, "NA")</f>
        <v>0</v>
      </c>
      <c r="AK116" s="10" t="str">
        <f t="shared" si="47"/>
        <v>NA</v>
      </c>
      <c r="AL116" s="11" t="str">
        <f>IFERROR(AK116/AK148, "NA")</f>
        <v>NA</v>
      </c>
    </row>
    <row r="117" spans="1:38" ht="16.5" hidden="1" customHeight="1" x14ac:dyDescent="0.3">
      <c r="A117" s="6" t="s">
        <v>122</v>
      </c>
      <c r="B117" s="7">
        <v>0</v>
      </c>
      <c r="C117" s="8">
        <f>IFERROR(B117/B148, "NA")</f>
        <v>0</v>
      </c>
      <c r="D117" s="7">
        <v>0</v>
      </c>
      <c r="E117" s="8">
        <f>IFERROR(D117/D148, "NA")</f>
        <v>0</v>
      </c>
      <c r="F117" s="7">
        <v>0</v>
      </c>
      <c r="G117" s="8">
        <f>IFERROR(F117/F148, "NA")</f>
        <v>0</v>
      </c>
      <c r="H117" s="7">
        <v>0</v>
      </c>
      <c r="I117" s="8">
        <f>IFERROR(H117/H148, "NA")</f>
        <v>0</v>
      </c>
      <c r="J117" s="7">
        <v>0</v>
      </c>
      <c r="K117" s="8">
        <f>IFERROR(J117/J148, "NA")</f>
        <v>0</v>
      </c>
      <c r="L117" s="7">
        <v>0</v>
      </c>
      <c r="M117" s="8">
        <f>IFERROR(L117/L148, "NA")</f>
        <v>0</v>
      </c>
      <c r="N117" s="7">
        <v>0</v>
      </c>
      <c r="O117" s="8">
        <f>IFERROR(N117/N148, "NA")</f>
        <v>0</v>
      </c>
      <c r="P117" s="7">
        <v>0</v>
      </c>
      <c r="Q117" s="8">
        <f>IFERROR(P117/P148, "NA")</f>
        <v>0</v>
      </c>
      <c r="R117" s="7">
        <v>0</v>
      </c>
      <c r="S117" s="8">
        <f>IFERROR(R117/R148, "NA")</f>
        <v>0</v>
      </c>
      <c r="T117" s="7">
        <v>0</v>
      </c>
      <c r="U117" s="8">
        <f>IFERROR(T117/T148, "NA")</f>
        <v>0</v>
      </c>
      <c r="V117" s="7">
        <v>0</v>
      </c>
      <c r="W117" s="8">
        <f>IFERROR(V117/V148, "NA")</f>
        <v>0</v>
      </c>
      <c r="X117" s="7">
        <v>0</v>
      </c>
      <c r="Y117" s="8">
        <f>IFERROR(X117/X148, "NA")</f>
        <v>0</v>
      </c>
      <c r="Z117" s="7">
        <v>0</v>
      </c>
      <c r="AA117" s="8">
        <f>IFERROR(Z117/Z148, "NA")</f>
        <v>0</v>
      </c>
      <c r="AB117" s="9">
        <f t="shared" si="42"/>
        <v>0</v>
      </c>
      <c r="AC117" s="8">
        <f>IFERROR(AB117/AB148, "NA")</f>
        <v>0</v>
      </c>
      <c r="AD117" s="10">
        <f t="shared" si="43"/>
        <v>0</v>
      </c>
      <c r="AE117" s="11">
        <f>IFERROR(AD117/AD148, "NA")</f>
        <v>0</v>
      </c>
      <c r="AF117" s="10" t="str">
        <f t="shared" si="44"/>
        <v>NA</v>
      </c>
      <c r="AG117" s="9">
        <f t="shared" si="45"/>
        <v>0</v>
      </c>
      <c r="AH117" s="8">
        <f>IFERROR(AG117/AG148, "NA")</f>
        <v>0</v>
      </c>
      <c r="AI117" s="10">
        <f t="shared" si="46"/>
        <v>0</v>
      </c>
      <c r="AJ117" s="11">
        <f>IFERROR(AI117/AI148, "NA")</f>
        <v>0</v>
      </c>
      <c r="AK117" s="10" t="str">
        <f t="shared" si="47"/>
        <v>NA</v>
      </c>
      <c r="AL117" s="11" t="str">
        <f>IFERROR(AK117/AK148, "NA")</f>
        <v>NA</v>
      </c>
    </row>
    <row r="118" spans="1:38" ht="16.5" hidden="1" customHeight="1" x14ac:dyDescent="0.3">
      <c r="A118" s="6" t="s">
        <v>123</v>
      </c>
      <c r="B118" s="7">
        <v>0</v>
      </c>
      <c r="C118" s="8">
        <f>IFERROR(B118/B148, "NA")</f>
        <v>0</v>
      </c>
      <c r="D118" s="7">
        <v>0</v>
      </c>
      <c r="E118" s="8">
        <f>IFERROR(D118/D148, "NA")</f>
        <v>0</v>
      </c>
      <c r="F118" s="7">
        <v>0</v>
      </c>
      <c r="G118" s="8">
        <f>IFERROR(F118/F148, "NA")</f>
        <v>0</v>
      </c>
      <c r="H118" s="7">
        <v>0</v>
      </c>
      <c r="I118" s="8">
        <f>IFERROR(H118/H148, "NA")</f>
        <v>0</v>
      </c>
      <c r="J118" s="7">
        <v>0</v>
      </c>
      <c r="K118" s="8">
        <f>IFERROR(J118/J148, "NA")</f>
        <v>0</v>
      </c>
      <c r="L118" s="7">
        <v>0</v>
      </c>
      <c r="M118" s="8">
        <f>IFERROR(L118/L148, "NA")</f>
        <v>0</v>
      </c>
      <c r="N118" s="7">
        <v>0</v>
      </c>
      <c r="O118" s="8">
        <f>IFERROR(N118/N148, "NA")</f>
        <v>0</v>
      </c>
      <c r="P118" s="7">
        <v>0</v>
      </c>
      <c r="Q118" s="8">
        <f>IFERROR(P118/P148, "NA")</f>
        <v>0</v>
      </c>
      <c r="R118" s="7">
        <v>0</v>
      </c>
      <c r="S118" s="8">
        <f>IFERROR(R118/R148, "NA")</f>
        <v>0</v>
      </c>
      <c r="T118" s="7">
        <v>0</v>
      </c>
      <c r="U118" s="8">
        <f>IFERROR(T118/T148, "NA")</f>
        <v>0</v>
      </c>
      <c r="V118" s="7">
        <v>0</v>
      </c>
      <c r="W118" s="8">
        <f>IFERROR(V118/V148, "NA")</f>
        <v>0</v>
      </c>
      <c r="X118" s="7">
        <v>0</v>
      </c>
      <c r="Y118" s="8">
        <f>IFERROR(X118/X148, "NA")</f>
        <v>0</v>
      </c>
      <c r="Z118" s="7">
        <v>0</v>
      </c>
      <c r="AA118" s="8">
        <f>IFERROR(Z118/Z148, "NA")</f>
        <v>0</v>
      </c>
      <c r="AB118" s="9">
        <f t="shared" si="42"/>
        <v>0</v>
      </c>
      <c r="AC118" s="8">
        <f>IFERROR(AB118/AB148, "NA")</f>
        <v>0</v>
      </c>
      <c r="AD118" s="10">
        <f t="shared" si="43"/>
        <v>0</v>
      </c>
      <c r="AE118" s="11">
        <f>IFERROR(AD118/AD148, "NA")</f>
        <v>0</v>
      </c>
      <c r="AF118" s="10" t="str">
        <f t="shared" si="44"/>
        <v>NA</v>
      </c>
      <c r="AG118" s="9">
        <f t="shared" si="45"/>
        <v>0</v>
      </c>
      <c r="AH118" s="8">
        <f>IFERROR(AG118/AG148, "NA")</f>
        <v>0</v>
      </c>
      <c r="AI118" s="10">
        <f t="shared" si="46"/>
        <v>0</v>
      </c>
      <c r="AJ118" s="11">
        <f>IFERROR(AI118/AI148, "NA")</f>
        <v>0</v>
      </c>
      <c r="AK118" s="10" t="str">
        <f t="shared" si="47"/>
        <v>NA</v>
      </c>
      <c r="AL118" s="11" t="str">
        <f>IFERROR(AK118/AK148, "NA")</f>
        <v>NA</v>
      </c>
    </row>
    <row r="119" spans="1:38" ht="16.5" hidden="1" customHeight="1" x14ac:dyDescent="0.3">
      <c r="A119" s="6" t="s">
        <v>124</v>
      </c>
      <c r="B119" s="7">
        <v>0</v>
      </c>
      <c r="C119" s="8">
        <f>IFERROR(B119/B148, "NA")</f>
        <v>0</v>
      </c>
      <c r="D119" s="7">
        <v>0</v>
      </c>
      <c r="E119" s="8">
        <f>IFERROR(D119/D148, "NA")</f>
        <v>0</v>
      </c>
      <c r="F119" s="7">
        <v>0</v>
      </c>
      <c r="G119" s="8">
        <f>IFERROR(F119/F148, "NA")</f>
        <v>0</v>
      </c>
      <c r="H119" s="7">
        <v>0</v>
      </c>
      <c r="I119" s="8">
        <f>IFERROR(H119/H148, "NA")</f>
        <v>0</v>
      </c>
      <c r="J119" s="7">
        <v>0</v>
      </c>
      <c r="K119" s="8">
        <f>IFERROR(J119/J148, "NA")</f>
        <v>0</v>
      </c>
      <c r="L119" s="7">
        <v>0</v>
      </c>
      <c r="M119" s="8">
        <f>IFERROR(L119/L148, "NA")</f>
        <v>0</v>
      </c>
      <c r="N119" s="7">
        <v>0</v>
      </c>
      <c r="O119" s="8">
        <f>IFERROR(N119/N148, "NA")</f>
        <v>0</v>
      </c>
      <c r="P119" s="7">
        <v>0</v>
      </c>
      <c r="Q119" s="8">
        <f>IFERROR(P119/P148, "NA")</f>
        <v>0</v>
      </c>
      <c r="R119" s="7">
        <v>0</v>
      </c>
      <c r="S119" s="8">
        <f>IFERROR(R119/R148, "NA")</f>
        <v>0</v>
      </c>
      <c r="T119" s="7">
        <v>0</v>
      </c>
      <c r="U119" s="8">
        <f>IFERROR(T119/T148, "NA")</f>
        <v>0</v>
      </c>
      <c r="V119" s="7">
        <v>0</v>
      </c>
      <c r="W119" s="8">
        <f>IFERROR(V119/V148, "NA")</f>
        <v>0</v>
      </c>
      <c r="X119" s="7">
        <v>0</v>
      </c>
      <c r="Y119" s="8">
        <f>IFERROR(X119/X148, "NA")</f>
        <v>0</v>
      </c>
      <c r="Z119" s="7">
        <v>0</v>
      </c>
      <c r="AA119" s="8">
        <f>IFERROR(Z119/Z148, "NA")</f>
        <v>0</v>
      </c>
      <c r="AB119" s="9">
        <f t="shared" si="42"/>
        <v>0</v>
      </c>
      <c r="AC119" s="8">
        <f>IFERROR(AB119/AB148, "NA")</f>
        <v>0</v>
      </c>
      <c r="AD119" s="10">
        <f t="shared" si="43"/>
        <v>0</v>
      </c>
      <c r="AE119" s="11">
        <f>IFERROR(AD119/AD148, "NA")</f>
        <v>0</v>
      </c>
      <c r="AF119" s="10" t="str">
        <f t="shared" si="44"/>
        <v>NA</v>
      </c>
      <c r="AG119" s="9">
        <f t="shared" si="45"/>
        <v>0</v>
      </c>
      <c r="AH119" s="8">
        <f>IFERROR(AG119/AG148, "NA")</f>
        <v>0</v>
      </c>
      <c r="AI119" s="10">
        <f t="shared" si="46"/>
        <v>0</v>
      </c>
      <c r="AJ119" s="11">
        <f>IFERROR(AI119/AI148, "NA")</f>
        <v>0</v>
      </c>
      <c r="AK119" s="10" t="str">
        <f t="shared" si="47"/>
        <v>NA</v>
      </c>
      <c r="AL119" s="11" t="str">
        <f>IFERROR(AK119/AK148, "NA")</f>
        <v>NA</v>
      </c>
    </row>
    <row r="120" spans="1:38" ht="16.5" hidden="1" customHeight="1" x14ac:dyDescent="0.3">
      <c r="A120" s="6" t="s">
        <v>125</v>
      </c>
      <c r="B120" s="7">
        <v>0</v>
      </c>
      <c r="C120" s="8">
        <f>IFERROR(B120/B148, "NA")</f>
        <v>0</v>
      </c>
      <c r="D120" s="7">
        <v>0</v>
      </c>
      <c r="E120" s="8">
        <f>IFERROR(D120/D148, "NA")</f>
        <v>0</v>
      </c>
      <c r="F120" s="7">
        <v>0</v>
      </c>
      <c r="G120" s="8">
        <f>IFERROR(F120/F148, "NA")</f>
        <v>0</v>
      </c>
      <c r="H120" s="7">
        <v>0</v>
      </c>
      <c r="I120" s="8">
        <f>IFERROR(H120/H148, "NA")</f>
        <v>0</v>
      </c>
      <c r="J120" s="7">
        <v>0</v>
      </c>
      <c r="K120" s="8">
        <f>IFERROR(J120/J148, "NA")</f>
        <v>0</v>
      </c>
      <c r="L120" s="7">
        <v>0</v>
      </c>
      <c r="M120" s="8">
        <f>IFERROR(L120/L148, "NA")</f>
        <v>0</v>
      </c>
      <c r="N120" s="7">
        <v>0</v>
      </c>
      <c r="O120" s="8">
        <f>IFERROR(N120/N148, "NA")</f>
        <v>0</v>
      </c>
      <c r="P120" s="7">
        <v>0</v>
      </c>
      <c r="Q120" s="8">
        <f>IFERROR(P120/P148, "NA")</f>
        <v>0</v>
      </c>
      <c r="R120" s="7">
        <v>0</v>
      </c>
      <c r="S120" s="8">
        <f>IFERROR(R120/R148, "NA")</f>
        <v>0</v>
      </c>
      <c r="T120" s="7">
        <v>0</v>
      </c>
      <c r="U120" s="8">
        <f>IFERROR(T120/T148, "NA")</f>
        <v>0</v>
      </c>
      <c r="V120" s="7">
        <v>0</v>
      </c>
      <c r="W120" s="8">
        <f>IFERROR(V120/V148, "NA")</f>
        <v>0</v>
      </c>
      <c r="X120" s="7">
        <v>0</v>
      </c>
      <c r="Y120" s="8">
        <f>IFERROR(X120/X148, "NA")</f>
        <v>0</v>
      </c>
      <c r="Z120" s="7">
        <v>0</v>
      </c>
      <c r="AA120" s="8">
        <f>IFERROR(Z120/Z148, "NA")</f>
        <v>0</v>
      </c>
      <c r="AB120" s="9">
        <f t="shared" si="42"/>
        <v>0</v>
      </c>
      <c r="AC120" s="8">
        <f>IFERROR(AB120/AB148, "NA")</f>
        <v>0</v>
      </c>
      <c r="AD120" s="10">
        <f t="shared" si="43"/>
        <v>0</v>
      </c>
      <c r="AE120" s="11">
        <f>IFERROR(AD120/AD148, "NA")</f>
        <v>0</v>
      </c>
      <c r="AF120" s="10" t="str">
        <f t="shared" si="44"/>
        <v>NA</v>
      </c>
      <c r="AG120" s="9">
        <f t="shared" si="45"/>
        <v>0</v>
      </c>
      <c r="AH120" s="8">
        <f>IFERROR(AG120/AG148, "NA")</f>
        <v>0</v>
      </c>
      <c r="AI120" s="10">
        <f t="shared" si="46"/>
        <v>0</v>
      </c>
      <c r="AJ120" s="11">
        <f>IFERROR(AI120/AI148, "NA")</f>
        <v>0</v>
      </c>
      <c r="AK120" s="10" t="str">
        <f t="shared" si="47"/>
        <v>NA</v>
      </c>
      <c r="AL120" s="11" t="str">
        <f>IFERROR(AK120/AK148, "NA")</f>
        <v>NA</v>
      </c>
    </row>
    <row r="121" spans="1:38" ht="16.5" hidden="1" customHeight="1" x14ac:dyDescent="0.3">
      <c r="A121" s="6" t="s">
        <v>126</v>
      </c>
      <c r="B121" s="7">
        <v>0</v>
      </c>
      <c r="C121" s="8">
        <f>IFERROR(B121/B148, "NA")</f>
        <v>0</v>
      </c>
      <c r="D121" s="7">
        <v>0</v>
      </c>
      <c r="E121" s="8">
        <f>IFERROR(D121/D148, "NA")</f>
        <v>0</v>
      </c>
      <c r="F121" s="7">
        <v>0</v>
      </c>
      <c r="G121" s="8">
        <f>IFERROR(F121/F148, "NA")</f>
        <v>0</v>
      </c>
      <c r="H121" s="7">
        <v>0</v>
      </c>
      <c r="I121" s="8">
        <f>IFERROR(H121/H148, "NA")</f>
        <v>0</v>
      </c>
      <c r="J121" s="7">
        <v>0</v>
      </c>
      <c r="K121" s="8">
        <f>IFERROR(J121/J148, "NA")</f>
        <v>0</v>
      </c>
      <c r="L121" s="7">
        <v>0</v>
      </c>
      <c r="M121" s="8">
        <f>IFERROR(L121/L148, "NA")</f>
        <v>0</v>
      </c>
      <c r="N121" s="7">
        <v>0</v>
      </c>
      <c r="O121" s="8">
        <f>IFERROR(N121/N148, "NA")</f>
        <v>0</v>
      </c>
      <c r="P121" s="7">
        <v>0</v>
      </c>
      <c r="Q121" s="8">
        <f>IFERROR(P121/P148, "NA")</f>
        <v>0</v>
      </c>
      <c r="R121" s="7">
        <v>0</v>
      </c>
      <c r="S121" s="8">
        <f>IFERROR(R121/R148, "NA")</f>
        <v>0</v>
      </c>
      <c r="T121" s="7">
        <v>0</v>
      </c>
      <c r="U121" s="8">
        <f>IFERROR(T121/T148, "NA")</f>
        <v>0</v>
      </c>
      <c r="V121" s="7">
        <v>0</v>
      </c>
      <c r="W121" s="8">
        <f>IFERROR(V121/V148, "NA")</f>
        <v>0</v>
      </c>
      <c r="X121" s="7">
        <v>0</v>
      </c>
      <c r="Y121" s="8">
        <f>IFERROR(X121/X148, "NA")</f>
        <v>0</v>
      </c>
      <c r="Z121" s="7">
        <v>0</v>
      </c>
      <c r="AA121" s="8">
        <f>IFERROR(Z121/Z148, "NA")</f>
        <v>0</v>
      </c>
      <c r="AB121" s="9">
        <f t="shared" si="42"/>
        <v>0</v>
      </c>
      <c r="AC121" s="8">
        <f>IFERROR(AB121/AB148, "NA")</f>
        <v>0</v>
      </c>
      <c r="AD121" s="10">
        <f t="shared" si="43"/>
        <v>0</v>
      </c>
      <c r="AE121" s="11">
        <f>IFERROR(AD121/AD148, "NA")</f>
        <v>0</v>
      </c>
      <c r="AF121" s="10" t="str">
        <f t="shared" si="44"/>
        <v>NA</v>
      </c>
      <c r="AG121" s="9">
        <f t="shared" si="45"/>
        <v>0</v>
      </c>
      <c r="AH121" s="8">
        <f>IFERROR(AG121/AG148, "NA")</f>
        <v>0</v>
      </c>
      <c r="AI121" s="10">
        <f t="shared" si="46"/>
        <v>0</v>
      </c>
      <c r="AJ121" s="11">
        <f>IFERROR(AI121/AI148, "NA")</f>
        <v>0</v>
      </c>
      <c r="AK121" s="10" t="str">
        <f t="shared" si="47"/>
        <v>NA</v>
      </c>
      <c r="AL121" s="11" t="str">
        <f>IFERROR(AK121/AK148, "NA")</f>
        <v>NA</v>
      </c>
    </row>
    <row r="122" spans="1:38" ht="16.5" hidden="1" customHeight="1" x14ac:dyDescent="0.3">
      <c r="A122" s="6" t="s">
        <v>127</v>
      </c>
      <c r="B122" s="7">
        <v>0</v>
      </c>
      <c r="C122" s="8">
        <f>IFERROR(B122/B148, "NA")</f>
        <v>0</v>
      </c>
      <c r="D122" s="7">
        <v>0</v>
      </c>
      <c r="E122" s="8">
        <f>IFERROR(D122/D148, "NA")</f>
        <v>0</v>
      </c>
      <c r="F122" s="7">
        <v>0</v>
      </c>
      <c r="G122" s="8">
        <f>IFERROR(F122/F148, "NA")</f>
        <v>0</v>
      </c>
      <c r="H122" s="7">
        <v>0</v>
      </c>
      <c r="I122" s="8">
        <f>IFERROR(H122/H148, "NA")</f>
        <v>0</v>
      </c>
      <c r="J122" s="7">
        <v>0</v>
      </c>
      <c r="K122" s="8">
        <f>IFERROR(J122/J148, "NA")</f>
        <v>0</v>
      </c>
      <c r="L122" s="7">
        <v>0</v>
      </c>
      <c r="M122" s="8">
        <f>IFERROR(L122/L148, "NA")</f>
        <v>0</v>
      </c>
      <c r="N122" s="7">
        <v>0</v>
      </c>
      <c r="O122" s="8">
        <f>IFERROR(N122/N148, "NA")</f>
        <v>0</v>
      </c>
      <c r="P122" s="7">
        <v>0</v>
      </c>
      <c r="Q122" s="8">
        <f>IFERROR(P122/P148, "NA")</f>
        <v>0</v>
      </c>
      <c r="R122" s="7">
        <v>0</v>
      </c>
      <c r="S122" s="8">
        <f>IFERROR(R122/R148, "NA")</f>
        <v>0</v>
      </c>
      <c r="T122" s="7">
        <v>0</v>
      </c>
      <c r="U122" s="8">
        <f>IFERROR(T122/T148, "NA")</f>
        <v>0</v>
      </c>
      <c r="V122" s="7">
        <v>0</v>
      </c>
      <c r="W122" s="8">
        <f>IFERROR(V122/V148, "NA")</f>
        <v>0</v>
      </c>
      <c r="X122" s="7">
        <v>0</v>
      </c>
      <c r="Y122" s="8">
        <f>IFERROR(X122/X148, "NA")</f>
        <v>0</v>
      </c>
      <c r="Z122" s="7">
        <v>0</v>
      </c>
      <c r="AA122" s="8">
        <f>IFERROR(Z122/Z148, "NA")</f>
        <v>0</v>
      </c>
      <c r="AB122" s="9">
        <f t="shared" si="42"/>
        <v>0</v>
      </c>
      <c r="AC122" s="8">
        <f>IFERROR(AB122/AB148, "NA")</f>
        <v>0</v>
      </c>
      <c r="AD122" s="10">
        <f t="shared" si="43"/>
        <v>0</v>
      </c>
      <c r="AE122" s="11">
        <f>IFERROR(AD122/AD148, "NA")</f>
        <v>0</v>
      </c>
      <c r="AF122" s="10" t="str">
        <f t="shared" si="44"/>
        <v>NA</v>
      </c>
      <c r="AG122" s="9">
        <f t="shared" si="45"/>
        <v>0</v>
      </c>
      <c r="AH122" s="8">
        <f>IFERROR(AG122/AG148, "NA")</f>
        <v>0</v>
      </c>
      <c r="AI122" s="10">
        <f t="shared" si="46"/>
        <v>0</v>
      </c>
      <c r="AJ122" s="11">
        <f>IFERROR(AI122/AI148, "NA")</f>
        <v>0</v>
      </c>
      <c r="AK122" s="10" t="str">
        <f t="shared" si="47"/>
        <v>NA</v>
      </c>
      <c r="AL122" s="11" t="str">
        <f>IFERROR(AK122/AK148, "NA")</f>
        <v>NA</v>
      </c>
    </row>
    <row r="123" spans="1:38" ht="16.5" hidden="1" customHeight="1" x14ac:dyDescent="0.3">
      <c r="A123" s="6" t="s">
        <v>128</v>
      </c>
      <c r="B123" s="7">
        <v>0</v>
      </c>
      <c r="C123" s="8">
        <f>IFERROR(B123/B148, "NA")</f>
        <v>0</v>
      </c>
      <c r="D123" s="7">
        <v>0</v>
      </c>
      <c r="E123" s="8">
        <f>IFERROR(D123/D148, "NA")</f>
        <v>0</v>
      </c>
      <c r="F123" s="7">
        <v>0</v>
      </c>
      <c r="G123" s="8">
        <f>IFERROR(F123/F148, "NA")</f>
        <v>0</v>
      </c>
      <c r="H123" s="7">
        <v>0</v>
      </c>
      <c r="I123" s="8">
        <f>IFERROR(H123/H148, "NA")</f>
        <v>0</v>
      </c>
      <c r="J123" s="7">
        <v>0</v>
      </c>
      <c r="K123" s="8">
        <f>IFERROR(J123/J148, "NA")</f>
        <v>0</v>
      </c>
      <c r="L123" s="7">
        <v>0</v>
      </c>
      <c r="M123" s="8">
        <f>IFERROR(L123/L148, "NA")</f>
        <v>0</v>
      </c>
      <c r="N123" s="7">
        <v>0</v>
      </c>
      <c r="O123" s="8">
        <f>IFERROR(N123/N148, "NA")</f>
        <v>0</v>
      </c>
      <c r="P123" s="7">
        <v>0</v>
      </c>
      <c r="Q123" s="8">
        <f>IFERROR(P123/P148, "NA")</f>
        <v>0</v>
      </c>
      <c r="R123" s="7">
        <v>0</v>
      </c>
      <c r="S123" s="8">
        <f>IFERROR(R123/R148, "NA")</f>
        <v>0</v>
      </c>
      <c r="T123" s="7">
        <v>0</v>
      </c>
      <c r="U123" s="8">
        <f>IFERROR(T123/T148, "NA")</f>
        <v>0</v>
      </c>
      <c r="V123" s="7">
        <v>0</v>
      </c>
      <c r="W123" s="8">
        <f>IFERROR(V123/V148, "NA")</f>
        <v>0</v>
      </c>
      <c r="X123" s="7">
        <v>0</v>
      </c>
      <c r="Y123" s="8">
        <f>IFERROR(X123/X148, "NA")</f>
        <v>0</v>
      </c>
      <c r="Z123" s="7">
        <v>0</v>
      </c>
      <c r="AA123" s="8">
        <f>IFERROR(Z123/Z148, "NA")</f>
        <v>0</v>
      </c>
      <c r="AB123" s="9">
        <f t="shared" si="42"/>
        <v>0</v>
      </c>
      <c r="AC123" s="8">
        <f>IFERROR(AB123/AB148, "NA")</f>
        <v>0</v>
      </c>
      <c r="AD123" s="10">
        <f t="shared" si="43"/>
        <v>0</v>
      </c>
      <c r="AE123" s="11">
        <f>IFERROR(AD123/AD148, "NA")</f>
        <v>0</v>
      </c>
      <c r="AF123" s="10" t="str">
        <f t="shared" si="44"/>
        <v>NA</v>
      </c>
      <c r="AG123" s="9">
        <f t="shared" si="45"/>
        <v>0</v>
      </c>
      <c r="AH123" s="8">
        <f>IFERROR(AG123/AG148, "NA")</f>
        <v>0</v>
      </c>
      <c r="AI123" s="10">
        <f t="shared" si="46"/>
        <v>0</v>
      </c>
      <c r="AJ123" s="11">
        <f>IFERROR(AI123/AI148, "NA")</f>
        <v>0</v>
      </c>
      <c r="AK123" s="10" t="str">
        <f t="shared" si="47"/>
        <v>NA</v>
      </c>
      <c r="AL123" s="11" t="str">
        <f>IFERROR(AK123/AK148, "NA")</f>
        <v>NA</v>
      </c>
    </row>
    <row r="124" spans="1:38" ht="16.5" hidden="1" customHeight="1" x14ac:dyDescent="0.3">
      <c r="A124" s="6" t="s">
        <v>129</v>
      </c>
      <c r="B124" s="7">
        <v>0</v>
      </c>
      <c r="C124" s="8">
        <f>IFERROR(B124/B148, "NA")</f>
        <v>0</v>
      </c>
      <c r="D124" s="7">
        <v>0</v>
      </c>
      <c r="E124" s="8">
        <f>IFERROR(D124/D148, "NA")</f>
        <v>0</v>
      </c>
      <c r="F124" s="7">
        <v>0</v>
      </c>
      <c r="G124" s="8">
        <f>IFERROR(F124/F148, "NA")</f>
        <v>0</v>
      </c>
      <c r="H124" s="7">
        <v>0</v>
      </c>
      <c r="I124" s="8">
        <f>IFERROR(H124/H148, "NA")</f>
        <v>0</v>
      </c>
      <c r="J124" s="7">
        <v>0</v>
      </c>
      <c r="K124" s="8">
        <f>IFERROR(J124/J148, "NA")</f>
        <v>0</v>
      </c>
      <c r="L124" s="7">
        <v>0</v>
      </c>
      <c r="M124" s="8">
        <f>IFERROR(L124/L148, "NA")</f>
        <v>0</v>
      </c>
      <c r="N124" s="7">
        <v>0</v>
      </c>
      <c r="O124" s="8">
        <f>IFERROR(N124/N148, "NA")</f>
        <v>0</v>
      </c>
      <c r="P124" s="7">
        <v>0</v>
      </c>
      <c r="Q124" s="8">
        <f>IFERROR(P124/P148, "NA")</f>
        <v>0</v>
      </c>
      <c r="R124" s="7">
        <v>0</v>
      </c>
      <c r="S124" s="8">
        <f>IFERROR(R124/R148, "NA")</f>
        <v>0</v>
      </c>
      <c r="T124" s="7">
        <v>0</v>
      </c>
      <c r="U124" s="8">
        <f>IFERROR(T124/T148, "NA")</f>
        <v>0</v>
      </c>
      <c r="V124" s="7">
        <v>0</v>
      </c>
      <c r="W124" s="8">
        <f>IFERROR(V124/V148, "NA")</f>
        <v>0</v>
      </c>
      <c r="X124" s="7">
        <v>0</v>
      </c>
      <c r="Y124" s="8">
        <f>IFERROR(X124/X148, "NA")</f>
        <v>0</v>
      </c>
      <c r="Z124" s="7">
        <v>0</v>
      </c>
      <c r="AA124" s="8">
        <f>IFERROR(Z124/Z148, "NA")</f>
        <v>0</v>
      </c>
      <c r="AB124" s="9">
        <f t="shared" si="42"/>
        <v>0</v>
      </c>
      <c r="AC124" s="8">
        <f>IFERROR(AB124/AB148, "NA")</f>
        <v>0</v>
      </c>
      <c r="AD124" s="10">
        <f t="shared" si="43"/>
        <v>0</v>
      </c>
      <c r="AE124" s="11">
        <f>IFERROR(AD124/AD148, "NA")</f>
        <v>0</v>
      </c>
      <c r="AF124" s="10" t="str">
        <f t="shared" si="44"/>
        <v>NA</v>
      </c>
      <c r="AG124" s="9">
        <f t="shared" si="45"/>
        <v>0</v>
      </c>
      <c r="AH124" s="8">
        <f>IFERROR(AG124/AG148, "NA")</f>
        <v>0</v>
      </c>
      <c r="AI124" s="10">
        <f t="shared" si="46"/>
        <v>0</v>
      </c>
      <c r="AJ124" s="11">
        <f>IFERROR(AI124/AI148, "NA")</f>
        <v>0</v>
      </c>
      <c r="AK124" s="10" t="str">
        <f t="shared" si="47"/>
        <v>NA</v>
      </c>
      <c r="AL124" s="11" t="str">
        <f>IFERROR(AK124/AK148, "NA")</f>
        <v>NA</v>
      </c>
    </row>
    <row r="125" spans="1:38" ht="16.5" hidden="1" customHeight="1" x14ac:dyDescent="0.3">
      <c r="A125" s="6" t="s">
        <v>130</v>
      </c>
      <c r="B125" s="7">
        <v>0</v>
      </c>
      <c r="C125" s="8">
        <f>IFERROR(B125/B148, "NA")</f>
        <v>0</v>
      </c>
      <c r="D125" s="7">
        <v>0</v>
      </c>
      <c r="E125" s="8">
        <f>IFERROR(D125/D148, "NA")</f>
        <v>0</v>
      </c>
      <c r="F125" s="7">
        <v>0</v>
      </c>
      <c r="G125" s="8">
        <f>IFERROR(F125/F148, "NA")</f>
        <v>0</v>
      </c>
      <c r="H125" s="7">
        <v>0</v>
      </c>
      <c r="I125" s="8">
        <f>IFERROR(H125/H148, "NA")</f>
        <v>0</v>
      </c>
      <c r="J125" s="7">
        <v>0</v>
      </c>
      <c r="K125" s="8">
        <f>IFERROR(J125/J148, "NA")</f>
        <v>0</v>
      </c>
      <c r="L125" s="7">
        <v>0</v>
      </c>
      <c r="M125" s="8">
        <f>IFERROR(L125/L148, "NA")</f>
        <v>0</v>
      </c>
      <c r="N125" s="7">
        <v>0</v>
      </c>
      <c r="O125" s="8">
        <f>IFERROR(N125/N148, "NA")</f>
        <v>0</v>
      </c>
      <c r="P125" s="7">
        <v>0</v>
      </c>
      <c r="Q125" s="8">
        <f>IFERROR(P125/P148, "NA")</f>
        <v>0</v>
      </c>
      <c r="R125" s="7">
        <v>0</v>
      </c>
      <c r="S125" s="8">
        <f>IFERROR(R125/R148, "NA")</f>
        <v>0</v>
      </c>
      <c r="T125" s="7">
        <v>0</v>
      </c>
      <c r="U125" s="8">
        <f>IFERROR(T125/T148, "NA")</f>
        <v>0</v>
      </c>
      <c r="V125" s="7">
        <v>0</v>
      </c>
      <c r="W125" s="8">
        <f>IFERROR(V125/V148, "NA")</f>
        <v>0</v>
      </c>
      <c r="X125" s="7">
        <v>0</v>
      </c>
      <c r="Y125" s="8">
        <f>IFERROR(X125/X148, "NA")</f>
        <v>0</v>
      </c>
      <c r="Z125" s="7">
        <v>0</v>
      </c>
      <c r="AA125" s="8">
        <f>IFERROR(Z125/Z148, "NA")</f>
        <v>0</v>
      </c>
      <c r="AB125" s="9">
        <f t="shared" si="42"/>
        <v>0</v>
      </c>
      <c r="AC125" s="8">
        <f>IFERROR(AB125/AB148, "NA")</f>
        <v>0</v>
      </c>
      <c r="AD125" s="10">
        <f t="shared" si="43"/>
        <v>0</v>
      </c>
      <c r="AE125" s="11">
        <f>IFERROR(AD125/AD148, "NA")</f>
        <v>0</v>
      </c>
      <c r="AF125" s="10" t="str">
        <f t="shared" si="44"/>
        <v>NA</v>
      </c>
      <c r="AG125" s="9">
        <f t="shared" si="45"/>
        <v>0</v>
      </c>
      <c r="AH125" s="8">
        <f>IFERROR(AG125/AG148, "NA")</f>
        <v>0</v>
      </c>
      <c r="AI125" s="10">
        <f t="shared" si="46"/>
        <v>0</v>
      </c>
      <c r="AJ125" s="11">
        <f>IFERROR(AI125/AI148, "NA")</f>
        <v>0</v>
      </c>
      <c r="AK125" s="10" t="str">
        <f t="shared" si="47"/>
        <v>NA</v>
      </c>
      <c r="AL125" s="11" t="str">
        <f>IFERROR(AK125/AK148, "NA")</f>
        <v>NA</v>
      </c>
    </row>
    <row r="126" spans="1:38" ht="16.5" hidden="1" customHeight="1" x14ac:dyDescent="0.3">
      <c r="A126" s="6" t="s">
        <v>131</v>
      </c>
      <c r="B126" s="7">
        <v>0</v>
      </c>
      <c r="C126" s="8">
        <f>IFERROR(B126/B148, "NA")</f>
        <v>0</v>
      </c>
      <c r="D126" s="7">
        <v>0</v>
      </c>
      <c r="E126" s="8">
        <f>IFERROR(D126/D148, "NA")</f>
        <v>0</v>
      </c>
      <c r="F126" s="7">
        <v>0</v>
      </c>
      <c r="G126" s="8">
        <f>IFERROR(F126/F148, "NA")</f>
        <v>0</v>
      </c>
      <c r="H126" s="7">
        <v>0</v>
      </c>
      <c r="I126" s="8">
        <f>IFERROR(H126/H148, "NA")</f>
        <v>0</v>
      </c>
      <c r="J126" s="7">
        <v>0</v>
      </c>
      <c r="K126" s="8">
        <f>IFERROR(J126/J148, "NA")</f>
        <v>0</v>
      </c>
      <c r="L126" s="7">
        <v>0</v>
      </c>
      <c r="M126" s="8">
        <f>IFERROR(L126/L148, "NA")</f>
        <v>0</v>
      </c>
      <c r="N126" s="7">
        <v>0</v>
      </c>
      <c r="O126" s="8">
        <f>IFERROR(N126/N148, "NA")</f>
        <v>0</v>
      </c>
      <c r="P126" s="7">
        <v>0</v>
      </c>
      <c r="Q126" s="8">
        <f>IFERROR(P126/P148, "NA")</f>
        <v>0</v>
      </c>
      <c r="R126" s="7">
        <v>0</v>
      </c>
      <c r="S126" s="8">
        <f>IFERROR(R126/R148, "NA")</f>
        <v>0</v>
      </c>
      <c r="T126" s="7">
        <v>0</v>
      </c>
      <c r="U126" s="8">
        <f>IFERROR(T126/T148, "NA")</f>
        <v>0</v>
      </c>
      <c r="V126" s="7">
        <v>0</v>
      </c>
      <c r="W126" s="8">
        <f>IFERROR(V126/V148, "NA")</f>
        <v>0</v>
      </c>
      <c r="X126" s="7">
        <v>0</v>
      </c>
      <c r="Y126" s="8">
        <f>IFERROR(X126/X148, "NA")</f>
        <v>0</v>
      </c>
      <c r="Z126" s="7">
        <v>0</v>
      </c>
      <c r="AA126" s="8">
        <f>IFERROR(Z126/Z148, "NA")</f>
        <v>0</v>
      </c>
      <c r="AB126" s="9">
        <f t="shared" si="42"/>
        <v>0</v>
      </c>
      <c r="AC126" s="8">
        <f>IFERROR(AB126/AB148, "NA")</f>
        <v>0</v>
      </c>
      <c r="AD126" s="10">
        <f t="shared" si="43"/>
        <v>0</v>
      </c>
      <c r="AE126" s="11">
        <f>IFERROR(AD126/AD148, "NA")</f>
        <v>0</v>
      </c>
      <c r="AF126" s="10" t="str">
        <f t="shared" si="44"/>
        <v>NA</v>
      </c>
      <c r="AG126" s="9">
        <f t="shared" si="45"/>
        <v>0</v>
      </c>
      <c r="AH126" s="8">
        <f>IFERROR(AG126/AG148, "NA")</f>
        <v>0</v>
      </c>
      <c r="AI126" s="10">
        <f t="shared" si="46"/>
        <v>0</v>
      </c>
      <c r="AJ126" s="11">
        <f>IFERROR(AI126/AI148, "NA")</f>
        <v>0</v>
      </c>
      <c r="AK126" s="10" t="str">
        <f t="shared" si="47"/>
        <v>NA</v>
      </c>
      <c r="AL126" s="11" t="str">
        <f>IFERROR(AK126/AK148, "NA")</f>
        <v>NA</v>
      </c>
    </row>
    <row r="127" spans="1:38" ht="16.5" hidden="1" customHeight="1" x14ac:dyDescent="0.3">
      <c r="A127" s="6" t="s">
        <v>132</v>
      </c>
      <c r="B127" s="7">
        <v>0</v>
      </c>
      <c r="C127" s="8">
        <f>IFERROR(B127/B148, "NA")</f>
        <v>0</v>
      </c>
      <c r="D127" s="7">
        <v>0</v>
      </c>
      <c r="E127" s="8">
        <f>IFERROR(D127/D148, "NA")</f>
        <v>0</v>
      </c>
      <c r="F127" s="7">
        <v>0</v>
      </c>
      <c r="G127" s="8">
        <f>IFERROR(F127/F148, "NA")</f>
        <v>0</v>
      </c>
      <c r="H127" s="7">
        <v>0</v>
      </c>
      <c r="I127" s="8">
        <f>IFERROR(H127/H148, "NA")</f>
        <v>0</v>
      </c>
      <c r="J127" s="7">
        <v>0</v>
      </c>
      <c r="K127" s="8">
        <f>IFERROR(J127/J148, "NA")</f>
        <v>0</v>
      </c>
      <c r="L127" s="7">
        <v>0</v>
      </c>
      <c r="M127" s="8">
        <f>IFERROR(L127/L148, "NA")</f>
        <v>0</v>
      </c>
      <c r="N127" s="7">
        <v>0</v>
      </c>
      <c r="O127" s="8">
        <f>IFERROR(N127/N148, "NA")</f>
        <v>0</v>
      </c>
      <c r="P127" s="7">
        <v>0</v>
      </c>
      <c r="Q127" s="8">
        <f>IFERROR(P127/P148, "NA")</f>
        <v>0</v>
      </c>
      <c r="R127" s="7">
        <v>0</v>
      </c>
      <c r="S127" s="8">
        <f>IFERROR(R127/R148, "NA")</f>
        <v>0</v>
      </c>
      <c r="T127" s="7">
        <v>0</v>
      </c>
      <c r="U127" s="8">
        <f>IFERROR(T127/T148, "NA")</f>
        <v>0</v>
      </c>
      <c r="V127" s="7">
        <v>0</v>
      </c>
      <c r="W127" s="8">
        <f>IFERROR(V127/V148, "NA")</f>
        <v>0</v>
      </c>
      <c r="X127" s="7">
        <v>0</v>
      </c>
      <c r="Y127" s="8">
        <f>IFERROR(X127/X148, "NA")</f>
        <v>0</v>
      </c>
      <c r="Z127" s="7">
        <v>0</v>
      </c>
      <c r="AA127" s="8">
        <f>IFERROR(Z127/Z148, "NA")</f>
        <v>0</v>
      </c>
      <c r="AB127" s="9">
        <f t="shared" si="42"/>
        <v>0</v>
      </c>
      <c r="AC127" s="8">
        <f>IFERROR(AB127/AB148, "NA")</f>
        <v>0</v>
      </c>
      <c r="AD127" s="10">
        <f t="shared" si="43"/>
        <v>0</v>
      </c>
      <c r="AE127" s="11">
        <f>IFERROR(AD127/AD148, "NA")</f>
        <v>0</v>
      </c>
      <c r="AF127" s="10" t="str">
        <f t="shared" si="44"/>
        <v>NA</v>
      </c>
      <c r="AG127" s="9">
        <f t="shared" si="45"/>
        <v>0</v>
      </c>
      <c r="AH127" s="8">
        <f>IFERROR(AG127/AG148, "NA")</f>
        <v>0</v>
      </c>
      <c r="AI127" s="10">
        <f t="shared" si="46"/>
        <v>0</v>
      </c>
      <c r="AJ127" s="11">
        <f>IFERROR(AI127/AI148, "NA")</f>
        <v>0</v>
      </c>
      <c r="AK127" s="10" t="str">
        <f t="shared" si="47"/>
        <v>NA</v>
      </c>
      <c r="AL127" s="11" t="str">
        <f>IFERROR(AK127/AK148, "NA")</f>
        <v>NA</v>
      </c>
    </row>
    <row r="128" spans="1:38" ht="16.5" hidden="1" customHeight="1" x14ac:dyDescent="0.3">
      <c r="A128" s="6" t="s">
        <v>133</v>
      </c>
      <c r="B128" s="7">
        <v>364.26</v>
      </c>
      <c r="C128" s="8">
        <f>IFERROR(B128/B148, "NA")</f>
        <v>1.2654278956920006E-2</v>
      </c>
      <c r="D128" s="7">
        <v>351.38</v>
      </c>
      <c r="E128" s="8">
        <f>IFERROR(D128/D148, "NA")</f>
        <v>1.0417979241721251E-2</v>
      </c>
      <c r="F128" s="7">
        <v>430</v>
      </c>
      <c r="G128" s="8">
        <f>IFERROR(F128/F148, "NA")</f>
        <v>1.4653657399534696E-2</v>
      </c>
      <c r="H128" s="7">
        <v>-1145.6399999999999</v>
      </c>
      <c r="I128" s="8">
        <f>IFERROR(H128/H148, "NA")</f>
        <v>-3.8449198219907228E-2</v>
      </c>
      <c r="J128" s="7">
        <v>393.65999999999997</v>
      </c>
      <c r="K128" s="8">
        <f>IFERROR(J128/J148, "NA")</f>
        <v>1.2721148141302142E-2</v>
      </c>
      <c r="L128" s="7">
        <v>366.36</v>
      </c>
      <c r="M128" s="8">
        <f>IFERROR(L128/L148, "NA")</f>
        <v>1.5781148772519883E-2</v>
      </c>
      <c r="N128" s="7">
        <v>301.05</v>
      </c>
      <c r="O128" s="8">
        <f>IFERROR(N128/N148, "NA")</f>
        <v>1.1927902456264359E-2</v>
      </c>
      <c r="P128" s="7">
        <v>285.37</v>
      </c>
      <c r="Q128" s="8">
        <f>IFERROR(P128/P148, "NA")</f>
        <v>8.5828377531774712E-3</v>
      </c>
      <c r="R128" s="7">
        <v>-1346.44</v>
      </c>
      <c r="S128" s="8">
        <f>IFERROR(R128/R148, "NA")</f>
        <v>-4.0342288032502983E-2</v>
      </c>
      <c r="T128" s="7">
        <v>300.64999999999998</v>
      </c>
      <c r="U128" s="8">
        <f>IFERROR(T128/T148, "NA")</f>
        <v>1.1046437289744762E-2</v>
      </c>
      <c r="V128" s="7">
        <v>238.82</v>
      </c>
      <c r="W128" s="8">
        <f>IFERROR(V128/V148, "NA")</f>
        <v>5.8242245991913105E-3</v>
      </c>
      <c r="X128" s="7">
        <v>243.43</v>
      </c>
      <c r="Y128" s="8">
        <f>IFERROR(X128/X148, "NA")</f>
        <v>7.5930596633638535E-3</v>
      </c>
      <c r="Z128" s="7">
        <v>782.90000000000009</v>
      </c>
      <c r="AA128" s="8">
        <f>IFERROR(Z128/Z148, "NA")</f>
        <v>7.8070574842348112E-3</v>
      </c>
      <c r="AB128" s="9">
        <f t="shared" si="42"/>
        <v>-140.88499999999999</v>
      </c>
      <c r="AC128" s="8">
        <f>IFERROR(AB128/AB148, "NA")</f>
        <v>-4.2163319303833123E-3</v>
      </c>
      <c r="AD128" s="10">
        <f t="shared" si="43"/>
        <v>384.315</v>
      </c>
      <c r="AE128" s="11">
        <f>IFERROR(AD128/AD148, "NA")</f>
        <v>-0.28371629477880578</v>
      </c>
      <c r="AF128" s="10">
        <f t="shared" si="44"/>
        <v>-2.7278631507967495</v>
      </c>
      <c r="AG128" s="9">
        <f t="shared" si="45"/>
        <v>97.862500000000011</v>
      </c>
      <c r="AH128" s="8">
        <f>IFERROR(AG128/AG148, "NA")</f>
        <v>3.1785810812429332E-3</v>
      </c>
      <c r="AI128" s="10">
        <f t="shared" si="46"/>
        <v>145.5675</v>
      </c>
      <c r="AJ128" s="11">
        <f>IFERROR(AI128/AI148, "NA")</f>
        <v>0.11449105093177459</v>
      </c>
      <c r="AK128" s="10">
        <f t="shared" si="47"/>
        <v>1.4874696640694851</v>
      </c>
      <c r="AL128" s="11">
        <f>IFERROR(AK128/AK148, "NA")</f>
        <v>36.019547088918273</v>
      </c>
    </row>
    <row r="129" spans="1:38" ht="16.5" hidden="1" customHeight="1" x14ac:dyDescent="0.3">
      <c r="A129" s="6" t="s">
        <v>134</v>
      </c>
      <c r="B129" s="7">
        <v>0</v>
      </c>
      <c r="C129" s="8">
        <f>IFERROR(B129/B148, "NA")</f>
        <v>0</v>
      </c>
      <c r="D129" s="7">
        <v>0</v>
      </c>
      <c r="E129" s="8">
        <f>IFERROR(D129/D148, "NA")</f>
        <v>0</v>
      </c>
      <c r="F129" s="7">
        <v>0</v>
      </c>
      <c r="G129" s="8">
        <f>IFERROR(F129/F148, "NA")</f>
        <v>0</v>
      </c>
      <c r="H129" s="7">
        <v>0</v>
      </c>
      <c r="I129" s="8">
        <f>IFERROR(H129/H148, "NA")</f>
        <v>0</v>
      </c>
      <c r="J129" s="7">
        <v>0</v>
      </c>
      <c r="K129" s="8">
        <f>IFERROR(J129/J148, "NA")</f>
        <v>0</v>
      </c>
      <c r="L129" s="7">
        <v>0</v>
      </c>
      <c r="M129" s="8">
        <f>IFERROR(L129/L148, "NA")</f>
        <v>0</v>
      </c>
      <c r="N129" s="7">
        <v>0</v>
      </c>
      <c r="O129" s="8">
        <f>IFERROR(N129/N148, "NA")</f>
        <v>0</v>
      </c>
      <c r="P129" s="7">
        <v>0</v>
      </c>
      <c r="Q129" s="8">
        <f>IFERROR(P129/P148, "NA")</f>
        <v>0</v>
      </c>
      <c r="R129" s="7">
        <v>0</v>
      </c>
      <c r="S129" s="8">
        <f>IFERROR(R129/R148, "NA")</f>
        <v>0</v>
      </c>
      <c r="T129" s="7">
        <v>0</v>
      </c>
      <c r="U129" s="8">
        <f>IFERROR(T129/T148, "NA")</f>
        <v>0</v>
      </c>
      <c r="V129" s="7">
        <v>0</v>
      </c>
      <c r="W129" s="8">
        <f>IFERROR(V129/V148, "NA")</f>
        <v>0</v>
      </c>
      <c r="X129" s="7">
        <v>0</v>
      </c>
      <c r="Y129" s="8">
        <f>IFERROR(X129/X148, "NA")</f>
        <v>0</v>
      </c>
      <c r="Z129" s="7">
        <v>0</v>
      </c>
      <c r="AA129" s="8">
        <f>IFERROR(Z129/Z148, "NA")</f>
        <v>0</v>
      </c>
      <c r="AB129" s="9">
        <f t="shared" si="42"/>
        <v>0</v>
      </c>
      <c r="AC129" s="8">
        <f>IFERROR(AB129/AB148, "NA")</f>
        <v>0</v>
      </c>
      <c r="AD129" s="10">
        <f t="shared" si="43"/>
        <v>0</v>
      </c>
      <c r="AE129" s="11">
        <f>IFERROR(AD129/AD148, "NA")</f>
        <v>0</v>
      </c>
      <c r="AF129" s="10" t="str">
        <f t="shared" si="44"/>
        <v>NA</v>
      </c>
      <c r="AG129" s="9">
        <f t="shared" si="45"/>
        <v>0</v>
      </c>
      <c r="AH129" s="8">
        <f>IFERROR(AG129/AG148, "NA")</f>
        <v>0</v>
      </c>
      <c r="AI129" s="10">
        <f t="shared" si="46"/>
        <v>0</v>
      </c>
      <c r="AJ129" s="11">
        <f>IFERROR(AI129/AI148, "NA")</f>
        <v>0</v>
      </c>
      <c r="AK129" s="10" t="str">
        <f t="shared" si="47"/>
        <v>NA</v>
      </c>
      <c r="AL129" s="11" t="str">
        <f>IFERROR(AK129/AK148, "NA")</f>
        <v>NA</v>
      </c>
    </row>
    <row r="130" spans="1:38" ht="16.5" hidden="1" customHeight="1" x14ac:dyDescent="0.3">
      <c r="A130" s="6" t="s">
        <v>135</v>
      </c>
      <c r="B130" s="7">
        <v>0</v>
      </c>
      <c r="C130" s="8">
        <f>IFERROR(B130/B148, "NA")</f>
        <v>0</v>
      </c>
      <c r="D130" s="7">
        <v>0</v>
      </c>
      <c r="E130" s="8">
        <f>IFERROR(D130/D148, "NA")</f>
        <v>0</v>
      </c>
      <c r="F130" s="7">
        <v>0</v>
      </c>
      <c r="G130" s="8">
        <f>IFERROR(F130/F148, "NA")</f>
        <v>0</v>
      </c>
      <c r="H130" s="7">
        <v>0</v>
      </c>
      <c r="I130" s="8">
        <f>IFERROR(H130/H148, "NA")</f>
        <v>0</v>
      </c>
      <c r="J130" s="7">
        <v>0</v>
      </c>
      <c r="K130" s="8">
        <f>IFERROR(J130/J148, "NA")</f>
        <v>0</v>
      </c>
      <c r="L130" s="7">
        <v>0</v>
      </c>
      <c r="M130" s="8">
        <f>IFERROR(L130/L148, "NA")</f>
        <v>0</v>
      </c>
      <c r="N130" s="7">
        <v>0</v>
      </c>
      <c r="O130" s="8">
        <f>IFERROR(N130/N148, "NA")</f>
        <v>0</v>
      </c>
      <c r="P130" s="7">
        <v>0</v>
      </c>
      <c r="Q130" s="8">
        <f>IFERROR(P130/P148, "NA")</f>
        <v>0</v>
      </c>
      <c r="R130" s="7">
        <v>0</v>
      </c>
      <c r="S130" s="8">
        <f>IFERROR(R130/R148, "NA")</f>
        <v>0</v>
      </c>
      <c r="T130" s="7">
        <v>0</v>
      </c>
      <c r="U130" s="8">
        <f>IFERROR(T130/T148, "NA")</f>
        <v>0</v>
      </c>
      <c r="V130" s="7">
        <v>0</v>
      </c>
      <c r="W130" s="8">
        <f>IFERROR(V130/V148, "NA")</f>
        <v>0</v>
      </c>
      <c r="X130" s="7">
        <v>0</v>
      </c>
      <c r="Y130" s="8">
        <f>IFERROR(X130/X148, "NA")</f>
        <v>0</v>
      </c>
      <c r="Z130" s="7">
        <v>0</v>
      </c>
      <c r="AA130" s="8">
        <f>IFERROR(Z130/Z148, "NA")</f>
        <v>0</v>
      </c>
      <c r="AB130" s="9">
        <f t="shared" si="42"/>
        <v>0</v>
      </c>
      <c r="AC130" s="8">
        <f>IFERROR(AB130/AB148, "NA")</f>
        <v>0</v>
      </c>
      <c r="AD130" s="10">
        <f t="shared" si="43"/>
        <v>0</v>
      </c>
      <c r="AE130" s="11">
        <f>IFERROR(AD130/AD148, "NA")</f>
        <v>0</v>
      </c>
      <c r="AF130" s="10" t="str">
        <f t="shared" si="44"/>
        <v>NA</v>
      </c>
      <c r="AG130" s="9">
        <f t="shared" si="45"/>
        <v>0</v>
      </c>
      <c r="AH130" s="8">
        <f>IFERROR(AG130/AG148, "NA")</f>
        <v>0</v>
      </c>
      <c r="AI130" s="10">
        <f t="shared" si="46"/>
        <v>0</v>
      </c>
      <c r="AJ130" s="11">
        <f>IFERROR(AI130/AI148, "NA")</f>
        <v>0</v>
      </c>
      <c r="AK130" s="10" t="str">
        <f t="shared" si="47"/>
        <v>NA</v>
      </c>
      <c r="AL130" s="11" t="str">
        <f>IFERROR(AK130/AK148, "NA")</f>
        <v>NA</v>
      </c>
    </row>
    <row r="131" spans="1:38" ht="16.5" hidden="1" customHeight="1" x14ac:dyDescent="0.3">
      <c r="A131" s="6" t="s">
        <v>136</v>
      </c>
      <c r="B131" s="7">
        <v>0</v>
      </c>
      <c r="C131" s="8">
        <f>IFERROR(B131/B148, "NA")</f>
        <v>0</v>
      </c>
      <c r="D131" s="7">
        <v>0</v>
      </c>
      <c r="E131" s="8">
        <f>IFERROR(D131/D148, "NA")</f>
        <v>0</v>
      </c>
      <c r="F131" s="7">
        <v>0</v>
      </c>
      <c r="G131" s="8">
        <f>IFERROR(F131/F148, "NA")</f>
        <v>0</v>
      </c>
      <c r="H131" s="7">
        <v>0</v>
      </c>
      <c r="I131" s="8">
        <f>IFERROR(H131/H148, "NA")</f>
        <v>0</v>
      </c>
      <c r="J131" s="7">
        <v>0</v>
      </c>
      <c r="K131" s="8">
        <f>IFERROR(J131/J148, "NA")</f>
        <v>0</v>
      </c>
      <c r="L131" s="7">
        <v>0</v>
      </c>
      <c r="M131" s="8">
        <f>IFERROR(L131/L148, "NA")</f>
        <v>0</v>
      </c>
      <c r="N131" s="7">
        <v>0</v>
      </c>
      <c r="O131" s="8">
        <f>IFERROR(N131/N148, "NA")</f>
        <v>0</v>
      </c>
      <c r="P131" s="7">
        <v>0</v>
      </c>
      <c r="Q131" s="8">
        <f>IFERROR(P131/P148, "NA")</f>
        <v>0</v>
      </c>
      <c r="R131" s="7">
        <v>0</v>
      </c>
      <c r="S131" s="8">
        <f>IFERROR(R131/R148, "NA")</f>
        <v>0</v>
      </c>
      <c r="T131" s="7">
        <v>0</v>
      </c>
      <c r="U131" s="8">
        <f>IFERROR(T131/T148, "NA")</f>
        <v>0</v>
      </c>
      <c r="V131" s="7">
        <v>0</v>
      </c>
      <c r="W131" s="8">
        <f>IFERROR(V131/V148, "NA")</f>
        <v>0</v>
      </c>
      <c r="X131" s="7">
        <v>0</v>
      </c>
      <c r="Y131" s="8">
        <f>IFERROR(X131/X148, "NA")</f>
        <v>0</v>
      </c>
      <c r="Z131" s="7">
        <v>0</v>
      </c>
      <c r="AA131" s="8">
        <f>IFERROR(Z131/Z148, "NA")</f>
        <v>0</v>
      </c>
      <c r="AB131" s="9">
        <f t="shared" si="42"/>
        <v>0</v>
      </c>
      <c r="AC131" s="8">
        <f>IFERROR(AB131/AB148, "NA")</f>
        <v>0</v>
      </c>
      <c r="AD131" s="10">
        <f t="shared" si="43"/>
        <v>0</v>
      </c>
      <c r="AE131" s="11">
        <f>IFERROR(AD131/AD148, "NA")</f>
        <v>0</v>
      </c>
      <c r="AF131" s="10" t="str">
        <f t="shared" si="44"/>
        <v>NA</v>
      </c>
      <c r="AG131" s="9">
        <f t="shared" si="45"/>
        <v>0</v>
      </c>
      <c r="AH131" s="8">
        <f>IFERROR(AG131/AG148, "NA")</f>
        <v>0</v>
      </c>
      <c r="AI131" s="10">
        <f t="shared" si="46"/>
        <v>0</v>
      </c>
      <c r="AJ131" s="11">
        <f>IFERROR(AI131/AI148, "NA")</f>
        <v>0</v>
      </c>
      <c r="AK131" s="10" t="str">
        <f t="shared" si="47"/>
        <v>NA</v>
      </c>
      <c r="AL131" s="11" t="str">
        <f>IFERROR(AK131/AK148, "NA")</f>
        <v>NA</v>
      </c>
    </row>
    <row r="132" spans="1:38" ht="16.5" hidden="1" customHeight="1" x14ac:dyDescent="0.3">
      <c r="A132" s="6" t="s">
        <v>137</v>
      </c>
      <c r="B132" s="7">
        <v>0</v>
      </c>
      <c r="C132" s="8">
        <f>IFERROR(B132/B148, "NA")</f>
        <v>0</v>
      </c>
      <c r="D132" s="7">
        <v>0</v>
      </c>
      <c r="E132" s="8">
        <f>IFERROR(D132/D148, "NA")</f>
        <v>0</v>
      </c>
      <c r="F132" s="7">
        <v>0</v>
      </c>
      <c r="G132" s="8">
        <f>IFERROR(F132/F148, "NA")</f>
        <v>0</v>
      </c>
      <c r="H132" s="7">
        <v>0</v>
      </c>
      <c r="I132" s="8">
        <f>IFERROR(H132/H148, "NA")</f>
        <v>0</v>
      </c>
      <c r="J132" s="7">
        <v>0</v>
      </c>
      <c r="K132" s="8">
        <f>IFERROR(J132/J148, "NA")</f>
        <v>0</v>
      </c>
      <c r="L132" s="7">
        <v>0</v>
      </c>
      <c r="M132" s="8">
        <f>IFERROR(L132/L148, "NA")</f>
        <v>0</v>
      </c>
      <c r="N132" s="7">
        <v>0</v>
      </c>
      <c r="O132" s="8">
        <f>IFERROR(N132/N148, "NA")</f>
        <v>0</v>
      </c>
      <c r="P132" s="7">
        <v>0</v>
      </c>
      <c r="Q132" s="8">
        <f>IFERROR(P132/P148, "NA")</f>
        <v>0</v>
      </c>
      <c r="R132" s="7">
        <v>0</v>
      </c>
      <c r="S132" s="8">
        <f>IFERROR(R132/R148, "NA")</f>
        <v>0</v>
      </c>
      <c r="T132" s="7">
        <v>0</v>
      </c>
      <c r="U132" s="8">
        <f>IFERROR(T132/T148, "NA")</f>
        <v>0</v>
      </c>
      <c r="V132" s="7">
        <v>0</v>
      </c>
      <c r="W132" s="8">
        <f>IFERROR(V132/V148, "NA")</f>
        <v>0</v>
      </c>
      <c r="X132" s="7">
        <v>0</v>
      </c>
      <c r="Y132" s="8">
        <f>IFERROR(X132/X148, "NA")</f>
        <v>0</v>
      </c>
      <c r="Z132" s="7">
        <v>0</v>
      </c>
      <c r="AA132" s="8">
        <f>IFERROR(Z132/Z148, "NA")</f>
        <v>0</v>
      </c>
      <c r="AB132" s="9">
        <f t="shared" si="42"/>
        <v>0</v>
      </c>
      <c r="AC132" s="8">
        <f>IFERROR(AB132/AB148, "NA")</f>
        <v>0</v>
      </c>
      <c r="AD132" s="10">
        <f t="shared" si="43"/>
        <v>0</v>
      </c>
      <c r="AE132" s="11">
        <f>IFERROR(AD132/AD148, "NA")</f>
        <v>0</v>
      </c>
      <c r="AF132" s="10" t="str">
        <f t="shared" si="44"/>
        <v>NA</v>
      </c>
      <c r="AG132" s="9">
        <f t="shared" si="45"/>
        <v>0</v>
      </c>
      <c r="AH132" s="8">
        <f>IFERROR(AG132/AG148, "NA")</f>
        <v>0</v>
      </c>
      <c r="AI132" s="10">
        <f t="shared" si="46"/>
        <v>0</v>
      </c>
      <c r="AJ132" s="11">
        <f>IFERROR(AI132/AI148, "NA")</f>
        <v>0</v>
      </c>
      <c r="AK132" s="10" t="str">
        <f t="shared" si="47"/>
        <v>NA</v>
      </c>
      <c r="AL132" s="11" t="str">
        <f>IFERROR(AK132/AK148, "NA")</f>
        <v>NA</v>
      </c>
    </row>
    <row r="133" spans="1:38" ht="16.5" hidden="1" customHeight="1" x14ac:dyDescent="0.3">
      <c r="A133" s="6" t="s">
        <v>138</v>
      </c>
      <c r="B133" s="7">
        <v>0</v>
      </c>
      <c r="C133" s="8">
        <f>IFERROR(B133/B148, "NA")</f>
        <v>0</v>
      </c>
      <c r="D133" s="7">
        <v>0</v>
      </c>
      <c r="E133" s="8">
        <f>IFERROR(D133/D148, "NA")</f>
        <v>0</v>
      </c>
      <c r="F133" s="7">
        <v>0</v>
      </c>
      <c r="G133" s="8">
        <f>IFERROR(F133/F148, "NA")</f>
        <v>0</v>
      </c>
      <c r="H133" s="7">
        <v>0</v>
      </c>
      <c r="I133" s="8">
        <f>IFERROR(H133/H148, "NA")</f>
        <v>0</v>
      </c>
      <c r="J133" s="7">
        <v>0</v>
      </c>
      <c r="K133" s="8">
        <f>IFERROR(J133/J148, "NA")</f>
        <v>0</v>
      </c>
      <c r="L133" s="7">
        <v>0</v>
      </c>
      <c r="M133" s="8">
        <f>IFERROR(L133/L148, "NA")</f>
        <v>0</v>
      </c>
      <c r="N133" s="7">
        <v>0</v>
      </c>
      <c r="O133" s="8">
        <f>IFERROR(N133/N148, "NA")</f>
        <v>0</v>
      </c>
      <c r="P133" s="7">
        <v>0</v>
      </c>
      <c r="Q133" s="8">
        <f>IFERROR(P133/P148, "NA")</f>
        <v>0</v>
      </c>
      <c r="R133" s="7">
        <v>0</v>
      </c>
      <c r="S133" s="8">
        <f>IFERROR(R133/R148, "NA")</f>
        <v>0</v>
      </c>
      <c r="T133" s="7">
        <v>0</v>
      </c>
      <c r="U133" s="8">
        <f>IFERROR(T133/T148, "NA")</f>
        <v>0</v>
      </c>
      <c r="V133" s="7">
        <v>0</v>
      </c>
      <c r="W133" s="8">
        <f>IFERROR(V133/V148, "NA")</f>
        <v>0</v>
      </c>
      <c r="X133" s="7">
        <v>0</v>
      </c>
      <c r="Y133" s="8">
        <f>IFERROR(X133/X148, "NA")</f>
        <v>0</v>
      </c>
      <c r="Z133" s="7">
        <v>0</v>
      </c>
      <c r="AA133" s="8">
        <f>IFERROR(Z133/Z148, "NA")</f>
        <v>0</v>
      </c>
      <c r="AB133" s="9">
        <f t="shared" si="42"/>
        <v>0</v>
      </c>
      <c r="AC133" s="8">
        <f>IFERROR(AB133/AB148, "NA")</f>
        <v>0</v>
      </c>
      <c r="AD133" s="10">
        <f t="shared" si="43"/>
        <v>0</v>
      </c>
      <c r="AE133" s="11">
        <f>IFERROR(AD133/AD148, "NA")</f>
        <v>0</v>
      </c>
      <c r="AF133" s="10" t="str">
        <f t="shared" si="44"/>
        <v>NA</v>
      </c>
      <c r="AG133" s="9">
        <f t="shared" si="45"/>
        <v>0</v>
      </c>
      <c r="AH133" s="8">
        <f>IFERROR(AG133/AG148, "NA")</f>
        <v>0</v>
      </c>
      <c r="AI133" s="10">
        <f t="shared" si="46"/>
        <v>0</v>
      </c>
      <c r="AJ133" s="11">
        <f>IFERROR(AI133/AI148, "NA")</f>
        <v>0</v>
      </c>
      <c r="AK133" s="10" t="str">
        <f t="shared" si="47"/>
        <v>NA</v>
      </c>
      <c r="AL133" s="11" t="str">
        <f>IFERROR(AK133/AK148, "NA")</f>
        <v>NA</v>
      </c>
    </row>
    <row r="134" spans="1:38" ht="16.5" hidden="1" customHeight="1" x14ac:dyDescent="0.3">
      <c r="A134" s="6" t="s">
        <v>139</v>
      </c>
      <c r="B134" s="7">
        <v>0</v>
      </c>
      <c r="C134" s="8">
        <f>IFERROR(B134/B148, "NA")</f>
        <v>0</v>
      </c>
      <c r="D134" s="7">
        <v>0</v>
      </c>
      <c r="E134" s="8">
        <f>IFERROR(D134/D148, "NA")</f>
        <v>0</v>
      </c>
      <c r="F134" s="7">
        <v>0</v>
      </c>
      <c r="G134" s="8">
        <f>IFERROR(F134/F148, "NA")</f>
        <v>0</v>
      </c>
      <c r="H134" s="7">
        <v>0</v>
      </c>
      <c r="I134" s="8">
        <f>IFERROR(H134/H148, "NA")</f>
        <v>0</v>
      </c>
      <c r="J134" s="7">
        <v>0</v>
      </c>
      <c r="K134" s="8">
        <f>IFERROR(J134/J148, "NA")</f>
        <v>0</v>
      </c>
      <c r="L134" s="7">
        <v>0</v>
      </c>
      <c r="M134" s="8">
        <f>IFERROR(L134/L148, "NA")</f>
        <v>0</v>
      </c>
      <c r="N134" s="7">
        <v>0</v>
      </c>
      <c r="O134" s="8">
        <f>IFERROR(N134/N148, "NA")</f>
        <v>0</v>
      </c>
      <c r="P134" s="7">
        <v>0</v>
      </c>
      <c r="Q134" s="8">
        <f>IFERROR(P134/P148, "NA")</f>
        <v>0</v>
      </c>
      <c r="R134" s="7">
        <v>0</v>
      </c>
      <c r="S134" s="8">
        <f>IFERROR(R134/R148, "NA")</f>
        <v>0</v>
      </c>
      <c r="T134" s="7">
        <v>0</v>
      </c>
      <c r="U134" s="8">
        <f>IFERROR(T134/T148, "NA")</f>
        <v>0</v>
      </c>
      <c r="V134" s="7">
        <v>0</v>
      </c>
      <c r="W134" s="8">
        <f>IFERROR(V134/V148, "NA")</f>
        <v>0</v>
      </c>
      <c r="X134" s="7">
        <v>0</v>
      </c>
      <c r="Y134" s="8">
        <f>IFERROR(X134/X148, "NA")</f>
        <v>0</v>
      </c>
      <c r="Z134" s="7">
        <v>0</v>
      </c>
      <c r="AA134" s="8">
        <f>IFERROR(Z134/Z148, "NA")</f>
        <v>0</v>
      </c>
      <c r="AB134" s="9">
        <f t="shared" si="42"/>
        <v>0</v>
      </c>
      <c r="AC134" s="8">
        <f>IFERROR(AB134/AB148, "NA")</f>
        <v>0</v>
      </c>
      <c r="AD134" s="10">
        <f t="shared" si="43"/>
        <v>0</v>
      </c>
      <c r="AE134" s="11">
        <f>IFERROR(AD134/AD148, "NA")</f>
        <v>0</v>
      </c>
      <c r="AF134" s="10" t="str">
        <f t="shared" si="44"/>
        <v>NA</v>
      </c>
      <c r="AG134" s="9">
        <f t="shared" si="45"/>
        <v>0</v>
      </c>
      <c r="AH134" s="8">
        <f>IFERROR(AG134/AG148, "NA")</f>
        <v>0</v>
      </c>
      <c r="AI134" s="10">
        <f t="shared" si="46"/>
        <v>0</v>
      </c>
      <c r="AJ134" s="11">
        <f>IFERROR(AI134/AI148, "NA")</f>
        <v>0</v>
      </c>
      <c r="AK134" s="10" t="str">
        <f t="shared" si="47"/>
        <v>NA</v>
      </c>
      <c r="AL134" s="11" t="str">
        <f>IFERROR(AK134/AK148, "NA")</f>
        <v>NA</v>
      </c>
    </row>
    <row r="135" spans="1:38" ht="16.5" hidden="1" customHeight="1" x14ac:dyDescent="0.3">
      <c r="A135" s="12" t="s">
        <v>140</v>
      </c>
      <c r="B135" s="13">
        <f>IFERROR(B110+B111+B112+B113+B114+B115+B116+B117+B118+B119+B120+B121+B122+B123+B124+B125+B126+B127+B128+B129+B130+B131+B132+B133+B134, "NA")</f>
        <v>364.26</v>
      </c>
      <c r="C135" s="14">
        <f>IFERROR(B135/B148, "NA")</f>
        <v>1.2654278956920006E-2</v>
      </c>
      <c r="D135" s="13">
        <f>IFERROR(D110+D111+D112+D113+D114+D115+D116+D117+D118+D119+D120+D121+D122+D123+D124+D125+D126+D127+D128+D129+D130+D131+D132+D133+D134, "NA")</f>
        <v>351.38</v>
      </c>
      <c r="E135" s="14">
        <f>IFERROR(D135/D148, "NA")</f>
        <v>1.0417979241721251E-2</v>
      </c>
      <c r="F135" s="13">
        <f>IFERROR(F110+F111+F112+F113+F114+F115+F116+F117+F118+F119+F120+F121+F122+F123+F124+F125+F126+F127+F128+F129+F130+F131+F132+F133+F134, "NA")</f>
        <v>430</v>
      </c>
      <c r="G135" s="14">
        <f>IFERROR(F135/F148, "NA")</f>
        <v>1.4653657399534696E-2</v>
      </c>
      <c r="H135" s="13">
        <f>IFERROR(H110+H111+H112+H113+H114+H115+H116+H117+H118+H119+H120+H121+H122+H123+H124+H125+H126+H127+H128+H129+H130+H131+H132+H133+H134, "NA")</f>
        <v>-1145.6399999999999</v>
      </c>
      <c r="I135" s="14">
        <f>IFERROR(H135/H148, "NA")</f>
        <v>-3.8449198219907228E-2</v>
      </c>
      <c r="J135" s="13">
        <f>IFERROR(J110+J111+J112+J113+J114+J115+J116+J117+J118+J119+J120+J121+J122+J123+J124+J125+J126+J127+J128+J129+J130+J131+J132+J133+J134, "NA")</f>
        <v>393.65999999999997</v>
      </c>
      <c r="K135" s="14">
        <f>IFERROR(J135/J148, "NA")</f>
        <v>1.2721148141302142E-2</v>
      </c>
      <c r="L135" s="13">
        <f>IFERROR(L110+L111+L112+L113+L114+L115+L116+L117+L118+L119+L120+L121+L122+L123+L124+L125+L126+L127+L128+L129+L130+L131+L132+L133+L134, "NA")</f>
        <v>366.36</v>
      </c>
      <c r="M135" s="14">
        <f>IFERROR(L135/L148, "NA")</f>
        <v>1.5781148772519883E-2</v>
      </c>
      <c r="N135" s="13">
        <f>IFERROR(N110+N111+N112+N113+N114+N115+N116+N117+N118+N119+N120+N121+N122+N123+N124+N125+N126+N127+N128+N129+N130+N131+N132+N133+N134, "NA")</f>
        <v>301.05</v>
      </c>
      <c r="O135" s="14">
        <f>IFERROR(N135/N148, "NA")</f>
        <v>1.1927902456264359E-2</v>
      </c>
      <c r="P135" s="13">
        <f>IFERROR(P110+P111+P112+P113+P114+P115+P116+P117+P118+P119+P120+P121+P122+P123+P124+P125+P126+P127+P128+P129+P130+P131+P132+P133+P134, "NA")</f>
        <v>285.37</v>
      </c>
      <c r="Q135" s="14">
        <f>IFERROR(P135/P148, "NA")</f>
        <v>8.5828377531774712E-3</v>
      </c>
      <c r="R135" s="13">
        <f>IFERROR(R110+R111+R112+R113+R114+R115+R116+R117+R118+R119+R120+R121+R122+R123+R124+R125+R126+R127+R128+R129+R130+R131+R132+R133+R134, "NA")</f>
        <v>-1346.44</v>
      </c>
      <c r="S135" s="14">
        <f>IFERROR(R135/R148, "NA")</f>
        <v>-4.0342288032502983E-2</v>
      </c>
      <c r="T135" s="13">
        <f>IFERROR(T110+T111+T112+T113+T114+T115+T116+T117+T118+T119+T120+T121+T122+T123+T124+T125+T126+T127+T128+T129+T130+T131+T132+T133+T134, "NA")</f>
        <v>300.64999999999998</v>
      </c>
      <c r="U135" s="14">
        <f>IFERROR(T135/T148, "NA")</f>
        <v>1.1046437289744762E-2</v>
      </c>
      <c r="V135" s="13">
        <f>IFERROR(V110+V111+V112+V113+V114+V115+V116+V117+V118+V119+V120+V121+V122+V123+V124+V125+V126+V127+V128+V129+V130+V131+V132+V133+V134, "NA")</f>
        <v>238.82</v>
      </c>
      <c r="W135" s="14">
        <f>IFERROR(V135/V148, "NA")</f>
        <v>5.8242245991913105E-3</v>
      </c>
      <c r="X135" s="13">
        <f>IFERROR(X110+X111+X112+X113+X114+X115+X116+X117+X118+X119+X120+X121+X122+X123+X124+X125+X126+X127+X128+X129+X130+X131+X132+X133+X134, "NA")</f>
        <v>243.43</v>
      </c>
      <c r="Y135" s="14">
        <f>IFERROR(X135/X148, "NA")</f>
        <v>7.5930596633638535E-3</v>
      </c>
      <c r="Z135" s="13">
        <f>IFERROR(Z110+Z111+Z112+Z113+Z114+Z115+Z116+Z117+Z118+Z119+Z120+Z121+Z122+Z123+Z124+Z125+Z126+Z127+Z128+Z129+Z130+Z131+Z132+Z133+Z134, "NA")</f>
        <v>782.90000000000009</v>
      </c>
      <c r="AA135" s="14">
        <f>IFERROR(Z135/Z148, "NA")</f>
        <v>7.8070574842348112E-3</v>
      </c>
      <c r="AB135" s="13">
        <f t="shared" si="42"/>
        <v>-140.88499999999999</v>
      </c>
      <c r="AC135" s="14">
        <f>IFERROR(AB135/AB148, "NA")</f>
        <v>-4.2163319303833123E-3</v>
      </c>
      <c r="AD135" s="15">
        <f t="shared" si="43"/>
        <v>384.315</v>
      </c>
      <c r="AE135" s="16">
        <f>IFERROR(AD135/AD148, "NA")</f>
        <v>-0.28371629477880578</v>
      </c>
      <c r="AF135" s="15">
        <f t="shared" si="44"/>
        <v>-2.7278631507967495</v>
      </c>
      <c r="AG135" s="13">
        <f t="shared" si="45"/>
        <v>97.862500000000011</v>
      </c>
      <c r="AH135" s="14">
        <f>IFERROR(AG135/AG148, "NA")</f>
        <v>3.1785810812429332E-3</v>
      </c>
      <c r="AI135" s="15">
        <f t="shared" si="46"/>
        <v>145.5675</v>
      </c>
      <c r="AJ135" s="16">
        <f>IFERROR(AI135/AI148, "NA")</f>
        <v>0.11449105093177459</v>
      </c>
      <c r="AK135" s="15">
        <f t="shared" si="47"/>
        <v>1.4874696640694851</v>
      </c>
      <c r="AL135" s="16">
        <f>IFERROR(AK135/AK148, "NA")</f>
        <v>36.019547088918273</v>
      </c>
    </row>
    <row r="136" spans="1:38" ht="16.5" hidden="1" customHeight="1" x14ac:dyDescent="0.3">
      <c r="A136" s="35" t="s">
        <v>3</v>
      </c>
      <c r="B136" s="36"/>
      <c r="C136" s="19"/>
      <c r="D136" s="36"/>
      <c r="E136" s="19"/>
      <c r="F136" s="36"/>
      <c r="G136" s="19"/>
      <c r="H136" s="36"/>
      <c r="I136" s="19"/>
      <c r="J136" s="36"/>
      <c r="K136" s="19"/>
      <c r="L136" s="36"/>
      <c r="M136" s="19"/>
      <c r="N136" s="36"/>
      <c r="O136" s="19"/>
      <c r="P136" s="36"/>
      <c r="Q136" s="19"/>
      <c r="R136" s="36"/>
      <c r="S136" s="19"/>
      <c r="T136" s="36"/>
      <c r="U136" s="19"/>
      <c r="V136" s="36"/>
      <c r="W136" s="19"/>
      <c r="X136" s="36"/>
      <c r="Y136" s="19"/>
      <c r="Z136" s="36"/>
      <c r="AA136" s="19"/>
      <c r="AB136" s="36"/>
      <c r="AC136" s="19"/>
      <c r="AD136" s="37"/>
      <c r="AE136" s="21"/>
      <c r="AF136" s="37"/>
      <c r="AG136" s="36"/>
      <c r="AH136" s="19"/>
      <c r="AI136" s="37"/>
      <c r="AJ136" s="21"/>
      <c r="AK136" s="37"/>
      <c r="AL136" s="21"/>
    </row>
    <row r="137" spans="1:38" ht="16.5" hidden="1" customHeight="1" x14ac:dyDescent="0.3">
      <c r="A137" s="32" t="s">
        <v>141</v>
      </c>
      <c r="B137" s="33">
        <f>IFERROR(B107-B135, "NA")</f>
        <v>10380.61999999999</v>
      </c>
      <c r="C137" s="34">
        <f>IFERROR(B137/B148, "NA")</f>
        <v>0.36061950591825298</v>
      </c>
      <c r="D137" s="33">
        <f>IFERROR(D107-D135, "NA")</f>
        <v>10798.869999999986</v>
      </c>
      <c r="E137" s="34">
        <f>IFERROR(D137/D148, "NA")</f>
        <v>0.32017304198886171</v>
      </c>
      <c r="F137" s="33">
        <f>IFERROR(F107-F135, "NA")</f>
        <v>1305.0700000000002</v>
      </c>
      <c r="G137" s="34">
        <f>IFERROR(F137/F148, "NA")</f>
        <v>4.4474531773048248E-2</v>
      </c>
      <c r="H137" s="33">
        <f>IFERROR(H107-H135, "NA")</f>
        <v>-13072.869999999999</v>
      </c>
      <c r="I137" s="34">
        <f>IFERROR(H137/H148, "NA")</f>
        <v>-0.43874285982776323</v>
      </c>
      <c r="J137" s="33">
        <f>IFERROR(J107-J135, "NA")</f>
        <v>14241.960000000001</v>
      </c>
      <c r="K137" s="34">
        <f>IFERROR(J137/J148, "NA")</f>
        <v>0.46022985058806959</v>
      </c>
      <c r="L137" s="33">
        <f>IFERROR(L107-L135, "NA")</f>
        <v>5557.7799999999979</v>
      </c>
      <c r="M137" s="34">
        <f>IFERROR(L137/L148, "NA")</f>
        <v>0.23940428274084377</v>
      </c>
      <c r="N137" s="33">
        <f>IFERROR(N107-N135, "NA")</f>
        <v>7521.149999999996</v>
      </c>
      <c r="O137" s="34">
        <f>IFERROR(N137/N148, "NA")</f>
        <v>0.29799549429972638</v>
      </c>
      <c r="P137" s="33">
        <f>IFERROR(P107-P135, "NA")</f>
        <v>2612.1100000000015</v>
      </c>
      <c r="Q137" s="34">
        <f>IFERROR(P137/P148, "NA")</f>
        <v>7.8562274673064508E-2</v>
      </c>
      <c r="R137" s="33">
        <f>IFERROR(R107-R135, "NA")</f>
        <v>-16685.469999999998</v>
      </c>
      <c r="S137" s="34">
        <f>IFERROR(R137/R148, "NA")</f>
        <v>-0.49993318432138634</v>
      </c>
      <c r="T137" s="33">
        <f>IFERROR(T107-T135, "NA")</f>
        <v>12142.500000000005</v>
      </c>
      <c r="U137" s="34">
        <f>IFERROR(T137/T148, "NA")</f>
        <v>0.44613791714859752</v>
      </c>
      <c r="V137" s="33">
        <f>IFERROR(V107-V135, "NA")</f>
        <v>16018.060000000007</v>
      </c>
      <c r="W137" s="34">
        <f>IFERROR(V137/V148, "NA")</f>
        <v>0.39064056227837868</v>
      </c>
      <c r="X137" s="33">
        <f>IFERROR(X107-X135, "NA")</f>
        <v>6923.0699999999988</v>
      </c>
      <c r="Y137" s="34">
        <f>IFERROR(X137/X148, "NA")</f>
        <v>0.21594414642256249</v>
      </c>
      <c r="Z137" s="33">
        <f>IFERROR(Z107-Z135, "NA")</f>
        <v>35083.629999999997</v>
      </c>
      <c r="AA137" s="34">
        <f>IFERROR(Z137/Z148, "NA")</f>
        <v>0.34985300314934842</v>
      </c>
      <c r="AB137" s="33">
        <f>IFERROR((R137+T137+V137+X137)/4, "NA")</f>
        <v>4599.5400000000036</v>
      </c>
      <c r="AC137" s="34">
        <f>IFERROR(AB137/AB148, "NA")</f>
        <v>0.13765260579249231</v>
      </c>
      <c r="AD137" s="15">
        <f>IFERROR(X137-AB137, "NA")</f>
        <v>2323.5299999999952</v>
      </c>
      <c r="AE137" s="16">
        <f>IFERROR(AD137/AD148, "NA")</f>
        <v>-1.7153203034162008</v>
      </c>
      <c r="AF137" s="15">
        <f>IFERROR((X137-AB137)/AB137, "NA")</f>
        <v>0.50516573396469933</v>
      </c>
      <c r="AG137" s="33">
        <f>IFERROR((J137+L137+N137+P137+R137+T137+V137+X137)/8, "NA")</f>
        <v>6041.3950000000004</v>
      </c>
      <c r="AH137" s="34">
        <f>IFERROR(AG137/AG148, "NA")</f>
        <v>0.19622494674993637</v>
      </c>
      <c r="AI137" s="15">
        <f>IFERROR(X137-AG137, "NA")</f>
        <v>881.67499999999836</v>
      </c>
      <c r="AJ137" s="16">
        <f>IFERROR(AI137/AI148, "NA")</f>
        <v>0.69345078626940881</v>
      </c>
      <c r="AK137" s="15">
        <f>IFERROR((X137-AG137)/AG137, "NA")</f>
        <v>0.14593897601464534</v>
      </c>
      <c r="AL137" s="16">
        <f>IFERROR(AK137/AK148, "NA")</f>
        <v>3.5339583358538156</v>
      </c>
    </row>
    <row r="138" spans="1:38" ht="3.75" hidden="1" customHeight="1" x14ac:dyDescent="0.3">
      <c r="A138" s="35" t="s">
        <v>3</v>
      </c>
      <c r="B138" s="36"/>
      <c r="C138" s="19"/>
      <c r="D138" s="36"/>
      <c r="E138" s="19"/>
      <c r="F138" s="36"/>
      <c r="G138" s="19"/>
      <c r="H138" s="36"/>
      <c r="I138" s="19"/>
      <c r="J138" s="36"/>
      <c r="K138" s="19"/>
      <c r="L138" s="36"/>
      <c r="M138" s="19"/>
      <c r="N138" s="36"/>
      <c r="O138" s="19"/>
      <c r="P138" s="36"/>
      <c r="Q138" s="19"/>
      <c r="R138" s="36"/>
      <c r="S138" s="19"/>
      <c r="T138" s="36"/>
      <c r="U138" s="19"/>
      <c r="V138" s="36"/>
      <c r="W138" s="19"/>
      <c r="X138" s="36"/>
      <c r="Y138" s="19"/>
      <c r="Z138" s="36"/>
      <c r="AA138" s="19"/>
      <c r="AB138" s="36"/>
      <c r="AC138" s="19"/>
      <c r="AD138" s="37"/>
      <c r="AE138" s="21"/>
      <c r="AF138" s="37"/>
      <c r="AG138" s="36"/>
      <c r="AH138" s="19"/>
      <c r="AI138" s="37"/>
      <c r="AJ138" s="21"/>
      <c r="AK138" s="37"/>
      <c r="AL138" s="21"/>
    </row>
    <row r="139" spans="1:38" ht="16.5" hidden="1" customHeight="1" x14ac:dyDescent="0.3">
      <c r="A139" s="1" t="s">
        <v>142</v>
      </c>
      <c r="B139" s="2"/>
      <c r="C139" s="3"/>
      <c r="D139" s="2"/>
      <c r="E139" s="3"/>
      <c r="F139" s="2"/>
      <c r="G139" s="3"/>
      <c r="H139" s="2"/>
      <c r="I139" s="3"/>
      <c r="J139" s="2"/>
      <c r="K139" s="3"/>
      <c r="L139" s="2"/>
      <c r="M139" s="3"/>
      <c r="N139" s="2"/>
      <c r="O139" s="3"/>
      <c r="P139" s="2"/>
      <c r="Q139" s="3"/>
      <c r="R139" s="2"/>
      <c r="S139" s="3"/>
      <c r="T139" s="2"/>
      <c r="U139" s="3"/>
      <c r="V139" s="2"/>
      <c r="W139" s="3"/>
      <c r="X139" s="2"/>
      <c r="Y139" s="3"/>
      <c r="Z139" s="2"/>
      <c r="AA139" s="3"/>
      <c r="AB139" s="2"/>
      <c r="AC139" s="3"/>
      <c r="AD139" s="4"/>
      <c r="AE139" s="5"/>
      <c r="AF139" s="4"/>
      <c r="AG139" s="2"/>
      <c r="AH139" s="3"/>
      <c r="AI139" s="4"/>
      <c r="AJ139" s="5"/>
      <c r="AK139" s="4"/>
      <c r="AL139" s="5"/>
    </row>
    <row r="140" spans="1:38" ht="16.5" hidden="1" customHeight="1" x14ac:dyDescent="0.3">
      <c r="A140" s="6" t="s">
        <v>143</v>
      </c>
      <c r="B140" s="7">
        <v>0</v>
      </c>
      <c r="C140" s="8">
        <f>IFERROR(B140/B148, "NA")</f>
        <v>0</v>
      </c>
      <c r="D140" s="7">
        <v>0</v>
      </c>
      <c r="E140" s="8">
        <f>IFERROR(D140/D148, "NA")</f>
        <v>0</v>
      </c>
      <c r="F140" s="7">
        <v>0</v>
      </c>
      <c r="G140" s="8">
        <f>IFERROR(F140/F148, "NA")</f>
        <v>0</v>
      </c>
      <c r="H140" s="7">
        <v>8237.14</v>
      </c>
      <c r="I140" s="8">
        <f>IFERROR(H140/H148, "NA")</f>
        <v>0.27644934588974429</v>
      </c>
      <c r="J140" s="7">
        <v>0</v>
      </c>
      <c r="K140" s="8">
        <f>IFERROR(J140/J148, "NA")</f>
        <v>0</v>
      </c>
      <c r="L140" s="7">
        <v>0</v>
      </c>
      <c r="M140" s="8">
        <f>IFERROR(L140/L148, "NA")</f>
        <v>0</v>
      </c>
      <c r="N140" s="7">
        <v>0</v>
      </c>
      <c r="O140" s="8">
        <f>IFERROR(N140/N148, "NA")</f>
        <v>0</v>
      </c>
      <c r="P140" s="7">
        <v>-159.82999999999998</v>
      </c>
      <c r="Q140" s="8">
        <f>IFERROR(P140/P148, "NA")</f>
        <v>-4.8070748785448893E-3</v>
      </c>
      <c r="R140" s="7">
        <v>8772.99</v>
      </c>
      <c r="S140" s="8">
        <f>IFERROR(R140/R148, "NA")</f>
        <v>0.26285797323777393</v>
      </c>
      <c r="T140" s="7">
        <v>0</v>
      </c>
      <c r="U140" s="8">
        <f>IFERROR(T140/T148, "NA")</f>
        <v>0</v>
      </c>
      <c r="V140" s="7">
        <v>0</v>
      </c>
      <c r="W140" s="8">
        <f>IFERROR(V140/V148, "NA")</f>
        <v>0</v>
      </c>
      <c r="X140" s="7">
        <v>0</v>
      </c>
      <c r="Y140" s="8">
        <f>IFERROR(X140/X148, "NA")</f>
        <v>0</v>
      </c>
      <c r="Z140" s="7">
        <v>0</v>
      </c>
      <c r="AA140" s="8">
        <f>IFERROR(Z140/Z148, "NA")</f>
        <v>0</v>
      </c>
      <c r="AB140" s="9">
        <f>IFERROR((R140+T140+V140+X140)/4, "NA")</f>
        <v>2193.2474999999999</v>
      </c>
      <c r="AC140" s="8">
        <f>IFERROR(AB140/AB148, "NA")</f>
        <v>6.5638353731649043E-2</v>
      </c>
      <c r="AD140" s="10">
        <f>IFERROR(X140-AB140, "NA")</f>
        <v>-2193.2474999999999</v>
      </c>
      <c r="AE140" s="11">
        <f>IFERROR(AD140/AD148, "NA")</f>
        <v>1.6191406898842844</v>
      </c>
      <c r="AF140" s="10">
        <f>IFERROR((X140-AB140)/AB140, "NA")</f>
        <v>-1</v>
      </c>
      <c r="AG140" s="9">
        <f>IFERROR((J140+L140+N140+P140+R140+T140+V140+X140)/8, "NA")</f>
        <v>1076.645</v>
      </c>
      <c r="AH140" s="8">
        <f>IFERROR(AG140/AG148, "NA")</f>
        <v>3.4969507505068817E-2</v>
      </c>
      <c r="AI140" s="10">
        <f>IFERROR(X140-AG140, "NA")</f>
        <v>-1076.645</v>
      </c>
      <c r="AJ140" s="11">
        <f>IFERROR(AI140/AI148, "NA")</f>
        <v>-0.84679765421842412</v>
      </c>
      <c r="AK140" s="10">
        <f>IFERROR((X140-AG140)/AG140, "NA")</f>
        <v>-1</v>
      </c>
      <c r="AL140" s="11">
        <f>IFERROR(AK140/AK148, "NA")</f>
        <v>-24.215315417172548</v>
      </c>
    </row>
    <row r="141" spans="1:38" ht="16.5" hidden="1" customHeight="1" x14ac:dyDescent="0.3">
      <c r="A141" s="12" t="s">
        <v>144</v>
      </c>
      <c r="B141" s="13">
        <f>IFERROR(B140, "NA")</f>
        <v>0</v>
      </c>
      <c r="C141" s="14">
        <f>IFERROR(B141/B148, "NA")</f>
        <v>0</v>
      </c>
      <c r="D141" s="13">
        <f>IFERROR(D140, "NA")</f>
        <v>0</v>
      </c>
      <c r="E141" s="14">
        <f>IFERROR(D141/D148, "NA")</f>
        <v>0</v>
      </c>
      <c r="F141" s="13">
        <f>IFERROR(F140, "NA")</f>
        <v>0</v>
      </c>
      <c r="G141" s="14">
        <f>IFERROR(F141/F148, "NA")</f>
        <v>0</v>
      </c>
      <c r="H141" s="13">
        <f>IFERROR(H140, "NA")</f>
        <v>8237.14</v>
      </c>
      <c r="I141" s="14">
        <f>IFERROR(H141/H148, "NA")</f>
        <v>0.27644934588974429</v>
      </c>
      <c r="J141" s="13">
        <f>IFERROR(J140, "NA")</f>
        <v>0</v>
      </c>
      <c r="K141" s="14">
        <f>IFERROR(J141/J148, "NA")</f>
        <v>0</v>
      </c>
      <c r="L141" s="13">
        <f>IFERROR(L140, "NA")</f>
        <v>0</v>
      </c>
      <c r="M141" s="14">
        <f>IFERROR(L141/L148, "NA")</f>
        <v>0</v>
      </c>
      <c r="N141" s="13">
        <f>IFERROR(N140, "NA")</f>
        <v>0</v>
      </c>
      <c r="O141" s="14">
        <f>IFERROR(N141/N148, "NA")</f>
        <v>0</v>
      </c>
      <c r="P141" s="13">
        <f>IFERROR(P140, "NA")</f>
        <v>-159.82999999999998</v>
      </c>
      <c r="Q141" s="14">
        <f>IFERROR(P141/P148, "NA")</f>
        <v>-4.8070748785448893E-3</v>
      </c>
      <c r="R141" s="13">
        <f>IFERROR(R140, "NA")</f>
        <v>8772.99</v>
      </c>
      <c r="S141" s="14">
        <f>IFERROR(R141/R148, "NA")</f>
        <v>0.26285797323777393</v>
      </c>
      <c r="T141" s="13">
        <f>IFERROR(T140, "NA")</f>
        <v>0</v>
      </c>
      <c r="U141" s="14">
        <f>IFERROR(T141/T148, "NA")</f>
        <v>0</v>
      </c>
      <c r="V141" s="13">
        <f>IFERROR(V140, "NA")</f>
        <v>0</v>
      </c>
      <c r="W141" s="14">
        <f>IFERROR(V141/V148, "NA")</f>
        <v>0</v>
      </c>
      <c r="X141" s="13">
        <f>IFERROR(X140, "NA")</f>
        <v>0</v>
      </c>
      <c r="Y141" s="14">
        <f>IFERROR(X141/X148, "NA")</f>
        <v>0</v>
      </c>
      <c r="Z141" s="13">
        <f>IFERROR(Z140, "NA")</f>
        <v>0</v>
      </c>
      <c r="AA141" s="14">
        <f>IFERROR(Z141/Z148, "NA")</f>
        <v>0</v>
      </c>
      <c r="AB141" s="13">
        <f>IFERROR((R141+T141+V141+X141)/4, "NA")</f>
        <v>2193.2474999999999</v>
      </c>
      <c r="AC141" s="14">
        <f>IFERROR(AB141/AB148, "NA")</f>
        <v>6.5638353731649043E-2</v>
      </c>
      <c r="AD141" s="15">
        <f>IFERROR(X141-AB141, "NA")</f>
        <v>-2193.2474999999999</v>
      </c>
      <c r="AE141" s="16">
        <f>IFERROR(AD141/AD148, "NA")</f>
        <v>1.6191406898842844</v>
      </c>
      <c r="AF141" s="15">
        <f>IFERROR((X141-AB141)/AB141, "NA")</f>
        <v>-1</v>
      </c>
      <c r="AG141" s="13">
        <f>IFERROR((J141+L141+N141+P141+R141+T141+V141+X141)/8, "NA")</f>
        <v>1076.645</v>
      </c>
      <c r="AH141" s="14">
        <f>IFERROR(AG141/AG148, "NA")</f>
        <v>3.4969507505068817E-2</v>
      </c>
      <c r="AI141" s="15">
        <f>IFERROR(X141-AG141, "NA")</f>
        <v>-1076.645</v>
      </c>
      <c r="AJ141" s="16">
        <f>IFERROR(AI141/AI148, "NA")</f>
        <v>-0.84679765421842412</v>
      </c>
      <c r="AK141" s="15">
        <f>IFERROR((X141-AG141)/AG141, "NA")</f>
        <v>-1</v>
      </c>
      <c r="AL141" s="16">
        <f>IFERROR(AK141/AK148, "NA")</f>
        <v>-24.215315417172548</v>
      </c>
    </row>
    <row r="142" spans="1:38" ht="3.75" hidden="1" customHeight="1" x14ac:dyDescent="0.3">
      <c r="A142" s="35" t="s">
        <v>3</v>
      </c>
      <c r="B142" s="36"/>
      <c r="C142" s="19"/>
      <c r="D142" s="36"/>
      <c r="E142" s="19"/>
      <c r="F142" s="36"/>
      <c r="G142" s="19"/>
      <c r="H142" s="36"/>
      <c r="I142" s="19"/>
      <c r="J142" s="36"/>
      <c r="K142" s="19"/>
      <c r="L142" s="36"/>
      <c r="M142" s="19"/>
      <c r="N142" s="36"/>
      <c r="O142" s="19"/>
      <c r="P142" s="36"/>
      <c r="Q142" s="19"/>
      <c r="R142" s="36"/>
      <c r="S142" s="19"/>
      <c r="T142" s="36"/>
      <c r="U142" s="19"/>
      <c r="V142" s="36"/>
      <c r="W142" s="19"/>
      <c r="X142" s="36"/>
      <c r="Y142" s="19"/>
      <c r="Z142" s="36"/>
      <c r="AA142" s="19"/>
      <c r="AB142" s="36"/>
      <c r="AC142" s="19"/>
      <c r="AD142" s="37"/>
      <c r="AE142" s="21"/>
      <c r="AF142" s="37"/>
      <c r="AG142" s="36"/>
      <c r="AH142" s="19"/>
      <c r="AI142" s="37"/>
      <c r="AJ142" s="21"/>
      <c r="AK142" s="37"/>
      <c r="AL142" s="21"/>
    </row>
    <row r="143" spans="1:38" ht="16.5" hidden="1" customHeight="1" x14ac:dyDescent="0.3">
      <c r="A143" s="1" t="s">
        <v>145</v>
      </c>
      <c r="B143" s="2"/>
      <c r="C143" s="3"/>
      <c r="D143" s="2"/>
      <c r="E143" s="3"/>
      <c r="F143" s="2"/>
      <c r="G143" s="3"/>
      <c r="H143" s="2"/>
      <c r="I143" s="3"/>
      <c r="J143" s="2"/>
      <c r="K143" s="3"/>
      <c r="L143" s="2"/>
      <c r="M143" s="3"/>
      <c r="N143" s="2"/>
      <c r="O143" s="3"/>
      <c r="P143" s="2"/>
      <c r="Q143" s="3"/>
      <c r="R143" s="2"/>
      <c r="S143" s="3"/>
      <c r="T143" s="2"/>
      <c r="U143" s="3"/>
      <c r="V143" s="2"/>
      <c r="W143" s="3"/>
      <c r="X143" s="2"/>
      <c r="Y143" s="3"/>
      <c r="Z143" s="2"/>
      <c r="AA143" s="3"/>
      <c r="AB143" s="2"/>
      <c r="AC143" s="3"/>
      <c r="AD143" s="4"/>
      <c r="AE143" s="5"/>
      <c r="AF143" s="4"/>
      <c r="AG143" s="2"/>
      <c r="AH143" s="3"/>
      <c r="AI143" s="4"/>
      <c r="AJ143" s="5"/>
      <c r="AK143" s="4"/>
      <c r="AL143" s="5"/>
    </row>
    <row r="144" spans="1:38" ht="16.5" hidden="1" customHeight="1" x14ac:dyDescent="0.3">
      <c r="A144" s="6" t="s">
        <v>146</v>
      </c>
      <c r="B144" s="7">
        <v>0</v>
      </c>
      <c r="C144" s="8">
        <f>IFERROR(B144/B148, "NA")</f>
        <v>0</v>
      </c>
      <c r="D144" s="7">
        <v>0</v>
      </c>
      <c r="E144" s="8">
        <f>IFERROR(D144/D148, "NA")</f>
        <v>0</v>
      </c>
      <c r="F144" s="7">
        <v>0</v>
      </c>
      <c r="G144" s="8">
        <f>IFERROR(F144/F148, "NA")</f>
        <v>0</v>
      </c>
      <c r="H144" s="7">
        <v>0</v>
      </c>
      <c r="I144" s="8">
        <f>IFERROR(H144/H148, "NA")</f>
        <v>0</v>
      </c>
      <c r="J144" s="7">
        <v>0</v>
      </c>
      <c r="K144" s="8">
        <f>IFERROR(J144/J148, "NA")</f>
        <v>0</v>
      </c>
      <c r="L144" s="7">
        <v>0</v>
      </c>
      <c r="M144" s="8">
        <f>IFERROR(L144/L148, "NA")</f>
        <v>0</v>
      </c>
      <c r="N144" s="7">
        <v>0</v>
      </c>
      <c r="O144" s="8">
        <f>IFERROR(N144/N148, "NA")</f>
        <v>0</v>
      </c>
      <c r="P144" s="7">
        <v>0</v>
      </c>
      <c r="Q144" s="8">
        <f>IFERROR(P144/P148, "NA")</f>
        <v>0</v>
      </c>
      <c r="R144" s="7">
        <v>0</v>
      </c>
      <c r="S144" s="8">
        <f>IFERROR(R144/R148, "NA")</f>
        <v>0</v>
      </c>
      <c r="T144" s="7">
        <v>0</v>
      </c>
      <c r="U144" s="8">
        <f>IFERROR(T144/T148, "NA")</f>
        <v>0</v>
      </c>
      <c r="V144" s="7">
        <v>0</v>
      </c>
      <c r="W144" s="8">
        <f>IFERROR(V144/V148, "NA")</f>
        <v>0</v>
      </c>
      <c r="X144" s="7">
        <v>0</v>
      </c>
      <c r="Y144" s="8">
        <f>IFERROR(X144/X148, "NA")</f>
        <v>0</v>
      </c>
      <c r="Z144" s="7">
        <v>0</v>
      </c>
      <c r="AA144" s="8">
        <f>IFERROR(Z144/Z148, "NA")</f>
        <v>0</v>
      </c>
      <c r="AB144" s="9">
        <f>IFERROR((R144+T144+V144+X144)/4, "NA")</f>
        <v>0</v>
      </c>
      <c r="AC144" s="8">
        <f>IFERROR(AB144/AB148, "NA")</f>
        <v>0</v>
      </c>
      <c r="AD144" s="10">
        <f>IFERROR(X144-AB144, "NA")</f>
        <v>0</v>
      </c>
      <c r="AE144" s="11">
        <f>IFERROR(AD144/AD148, "NA")</f>
        <v>0</v>
      </c>
      <c r="AF144" s="10" t="str">
        <f>IFERROR((X144-AB144)/AB144, "NA")</f>
        <v>NA</v>
      </c>
      <c r="AG144" s="9">
        <f>IFERROR((J144+L144+N144+P144+R144+T144+V144+X144)/8, "NA")</f>
        <v>0</v>
      </c>
      <c r="AH144" s="8">
        <f>IFERROR(AG144/AG148, "NA")</f>
        <v>0</v>
      </c>
      <c r="AI144" s="10">
        <f>IFERROR(X144-AG144, "NA")</f>
        <v>0</v>
      </c>
      <c r="AJ144" s="11">
        <f>IFERROR(AI144/AI148, "NA")</f>
        <v>0</v>
      </c>
      <c r="AK144" s="10" t="str">
        <f>IFERROR((X144-AG144)/AG144, "NA")</f>
        <v>NA</v>
      </c>
      <c r="AL144" s="11" t="str">
        <f>IFERROR(AK144/AK148, "NA")</f>
        <v>NA</v>
      </c>
    </row>
    <row r="145" spans="1:38" ht="16.5" hidden="1" customHeight="1" x14ac:dyDescent="0.3">
      <c r="A145" s="12" t="s">
        <v>147</v>
      </c>
      <c r="B145" s="13">
        <f>IFERROR(B144, "NA")</f>
        <v>0</v>
      </c>
      <c r="C145" s="14">
        <f>IFERROR(B145/B148, "NA")</f>
        <v>0</v>
      </c>
      <c r="D145" s="13">
        <f>IFERROR(D144, "NA")</f>
        <v>0</v>
      </c>
      <c r="E145" s="14">
        <f>IFERROR(D145/D148, "NA")</f>
        <v>0</v>
      </c>
      <c r="F145" s="13">
        <f>IFERROR(F144, "NA")</f>
        <v>0</v>
      </c>
      <c r="G145" s="14">
        <f>IFERROR(F145/F148, "NA")</f>
        <v>0</v>
      </c>
      <c r="H145" s="13">
        <f>IFERROR(H144, "NA")</f>
        <v>0</v>
      </c>
      <c r="I145" s="14">
        <f>IFERROR(H145/H148, "NA")</f>
        <v>0</v>
      </c>
      <c r="J145" s="13">
        <f>IFERROR(J144, "NA")</f>
        <v>0</v>
      </c>
      <c r="K145" s="14">
        <f>IFERROR(J145/J148, "NA")</f>
        <v>0</v>
      </c>
      <c r="L145" s="13">
        <f>IFERROR(L144, "NA")</f>
        <v>0</v>
      </c>
      <c r="M145" s="14">
        <f>IFERROR(L145/L148, "NA")</f>
        <v>0</v>
      </c>
      <c r="N145" s="13">
        <f>IFERROR(N144, "NA")</f>
        <v>0</v>
      </c>
      <c r="O145" s="14">
        <f>IFERROR(N145/N148, "NA")</f>
        <v>0</v>
      </c>
      <c r="P145" s="13">
        <f>IFERROR(P144, "NA")</f>
        <v>0</v>
      </c>
      <c r="Q145" s="14">
        <f>IFERROR(P145/P148, "NA")</f>
        <v>0</v>
      </c>
      <c r="R145" s="13">
        <f>IFERROR(R144, "NA")</f>
        <v>0</v>
      </c>
      <c r="S145" s="14">
        <f>IFERROR(R145/R148, "NA")</f>
        <v>0</v>
      </c>
      <c r="T145" s="13">
        <f>IFERROR(T144, "NA")</f>
        <v>0</v>
      </c>
      <c r="U145" s="14">
        <f>IFERROR(T145/T148, "NA")</f>
        <v>0</v>
      </c>
      <c r="V145" s="13">
        <f>IFERROR(V144, "NA")</f>
        <v>0</v>
      </c>
      <c r="W145" s="14">
        <f>IFERROR(V145/V148, "NA")</f>
        <v>0</v>
      </c>
      <c r="X145" s="13">
        <f>IFERROR(X144, "NA")</f>
        <v>0</v>
      </c>
      <c r="Y145" s="14">
        <f>IFERROR(X145/X148, "NA")</f>
        <v>0</v>
      </c>
      <c r="Z145" s="13">
        <f>IFERROR(Z144, "NA")</f>
        <v>0</v>
      </c>
      <c r="AA145" s="14">
        <f>IFERROR(Z145/Z148, "NA")</f>
        <v>0</v>
      </c>
      <c r="AB145" s="13">
        <f>IFERROR((R145+T145+V145+X145)/4, "NA")</f>
        <v>0</v>
      </c>
      <c r="AC145" s="14">
        <f>IFERROR(AB145/AB148, "NA")</f>
        <v>0</v>
      </c>
      <c r="AD145" s="15">
        <f>IFERROR(X145-AB145, "NA")</f>
        <v>0</v>
      </c>
      <c r="AE145" s="16">
        <f>IFERROR(AD145/AD148, "NA")</f>
        <v>0</v>
      </c>
      <c r="AF145" s="15" t="str">
        <f>IFERROR((X145-AB145)/AB145, "NA")</f>
        <v>NA</v>
      </c>
      <c r="AG145" s="13">
        <f>IFERROR((J145+L145+N145+P145+R145+T145+V145+X145)/8, "NA")</f>
        <v>0</v>
      </c>
      <c r="AH145" s="14">
        <f>IFERROR(AG145/AG148, "NA")</f>
        <v>0</v>
      </c>
      <c r="AI145" s="15">
        <f>IFERROR(X145-AG145, "NA")</f>
        <v>0</v>
      </c>
      <c r="AJ145" s="16">
        <f>IFERROR(AI145/AI148, "NA")</f>
        <v>0</v>
      </c>
      <c r="AK145" s="15" t="str">
        <f>IFERROR((X145-AG145)/AG145, "NA")</f>
        <v>NA</v>
      </c>
      <c r="AL145" s="16" t="str">
        <f>IFERROR(AK145/AK148, "NA")</f>
        <v>NA</v>
      </c>
    </row>
    <row r="146" spans="1:38" ht="3.75" hidden="1" customHeight="1" x14ac:dyDescent="0.3">
      <c r="A146" s="35" t="s">
        <v>3</v>
      </c>
      <c r="B146" s="36"/>
      <c r="C146" s="19"/>
      <c r="D146" s="36"/>
      <c r="E146" s="19"/>
      <c r="F146" s="36"/>
      <c r="G146" s="19"/>
      <c r="H146" s="36"/>
      <c r="I146" s="19"/>
      <c r="J146" s="36"/>
      <c r="K146" s="19"/>
      <c r="L146" s="36"/>
      <c r="M146" s="19"/>
      <c r="N146" s="36"/>
      <c r="O146" s="19"/>
      <c r="P146" s="36"/>
      <c r="Q146" s="19"/>
      <c r="R146" s="36"/>
      <c r="S146" s="19"/>
      <c r="T146" s="36"/>
      <c r="U146" s="19"/>
      <c r="V146" s="36"/>
      <c r="W146" s="19"/>
      <c r="X146" s="36"/>
      <c r="Y146" s="19"/>
      <c r="Z146" s="36"/>
      <c r="AA146" s="19"/>
      <c r="AB146" s="36"/>
      <c r="AC146" s="19"/>
      <c r="AD146" s="37"/>
      <c r="AE146" s="21"/>
      <c r="AF146" s="37"/>
      <c r="AG146" s="36"/>
      <c r="AH146" s="19"/>
      <c r="AI146" s="37"/>
      <c r="AJ146" s="21"/>
      <c r="AK146" s="37"/>
      <c r="AL146" s="21"/>
    </row>
    <row r="147" spans="1:38" ht="16.5" hidden="1" customHeight="1" x14ac:dyDescent="0.3">
      <c r="A147" s="32" t="s">
        <v>148</v>
      </c>
      <c r="B147" s="33">
        <f>IFERROR(B137-B141-B145, "NA")</f>
        <v>10380.61999999999</v>
      </c>
      <c r="C147" s="34">
        <f>IFERROR(B147/B148, "NA")</f>
        <v>0.36061950591825298</v>
      </c>
      <c r="D147" s="33">
        <f>IFERROR(D137-D141-D145, "NA")</f>
        <v>10798.869999999986</v>
      </c>
      <c r="E147" s="34">
        <f>IFERROR(D147/D148, "NA")</f>
        <v>0.32017304198886171</v>
      </c>
      <c r="F147" s="33">
        <f>IFERROR(F137-F141-F145, "NA")</f>
        <v>1305.0700000000002</v>
      </c>
      <c r="G147" s="34">
        <f>IFERROR(F147/F148, "NA")</f>
        <v>4.4474531773048248E-2</v>
      </c>
      <c r="H147" s="33">
        <f>IFERROR(H137-H141-H145, "NA")</f>
        <v>-21310.01</v>
      </c>
      <c r="I147" s="34">
        <f>IFERROR(H147/H148, "NA")</f>
        <v>-0.71519220571750752</v>
      </c>
      <c r="J147" s="33">
        <f>IFERROR(J137-J141-J145, "NA")</f>
        <v>14241.960000000001</v>
      </c>
      <c r="K147" s="34">
        <f>IFERROR(J147/J148, "NA")</f>
        <v>0.46022985058806959</v>
      </c>
      <c r="L147" s="33">
        <f>IFERROR(L137-L141-L145, "NA")</f>
        <v>5557.7799999999979</v>
      </c>
      <c r="M147" s="34">
        <f>IFERROR(L147/L148, "NA")</f>
        <v>0.23940428274084377</v>
      </c>
      <c r="N147" s="33">
        <f>IFERROR(N137-N141-N145, "NA")</f>
        <v>7521.149999999996</v>
      </c>
      <c r="O147" s="34">
        <f>IFERROR(N147/N148, "NA")</f>
        <v>0.29799549429972638</v>
      </c>
      <c r="P147" s="33">
        <f>IFERROR(P137-P141-P145, "NA")</f>
        <v>2771.9400000000014</v>
      </c>
      <c r="Q147" s="34">
        <f>IFERROR(P147/P148, "NA")</f>
        <v>8.3369349551609392E-2</v>
      </c>
      <c r="R147" s="33">
        <f>IFERROR(R137-R141-R145, "NA")</f>
        <v>-25458.46</v>
      </c>
      <c r="S147" s="34">
        <f>IFERROR(R147/R148, "NA")</f>
        <v>-0.76279115755916027</v>
      </c>
      <c r="T147" s="33">
        <f>IFERROR(T137-T141-T145, "NA")</f>
        <v>12142.500000000005</v>
      </c>
      <c r="U147" s="34">
        <f>IFERROR(T147/T148, "NA")</f>
        <v>0.44613791714859752</v>
      </c>
      <c r="V147" s="33">
        <f>IFERROR(V137-V141-V145, "NA")</f>
        <v>16018.060000000007</v>
      </c>
      <c r="W147" s="34">
        <f>IFERROR(V147/V148, "NA")</f>
        <v>0.39064056227837868</v>
      </c>
      <c r="X147" s="33">
        <f>IFERROR(X137-X141-X145, "NA")</f>
        <v>6923.0699999999988</v>
      </c>
      <c r="Y147" s="34">
        <f>IFERROR(X147/X148, "NA")</f>
        <v>0.21594414642256249</v>
      </c>
      <c r="Z147" s="33">
        <f>IFERROR(Z137-Z141-Z145, "NA")</f>
        <v>35083.629999999997</v>
      </c>
      <c r="AA147" s="34">
        <f>IFERROR(Z147/Z148, "NA")</f>
        <v>0.34985300314934842</v>
      </c>
      <c r="AB147" s="33">
        <f>IFERROR((R147+T147+V147+X147)/4, "NA")</f>
        <v>2406.2925000000032</v>
      </c>
      <c r="AC147" s="34">
        <f>IFERROR(AB147/AB148, "NA")</f>
        <v>7.2014252060843248E-2</v>
      </c>
      <c r="AD147" s="15">
        <f>IFERROR(X147-AB147, "NA")</f>
        <v>4516.7774999999956</v>
      </c>
      <c r="AE147" s="16">
        <f>IFERROR(AD147/AD148, "NA")</f>
        <v>-3.3344609933004854</v>
      </c>
      <c r="AF147" s="15">
        <f>IFERROR((X147-AB147)/AB147, "NA")</f>
        <v>1.877069184232586</v>
      </c>
      <c r="AG147" s="33">
        <f>IFERROR((J147+L147+N147+P147+R147+T147+V147+X147)/8, "NA")</f>
        <v>4964.7500000000009</v>
      </c>
      <c r="AH147" s="34">
        <f>IFERROR(AG147/AG148, "NA")</f>
        <v>0.16125543924486757</v>
      </c>
      <c r="AI147" s="15">
        <f>IFERROR(X147-AG147, "NA")</f>
        <v>1958.3199999999979</v>
      </c>
      <c r="AJ147" s="16">
        <f>IFERROR(AI147/AI148, "NA")</f>
        <v>1.5402484404878327</v>
      </c>
      <c r="AK147" s="15">
        <f>IFERROR((X147-AG147)/AG147, "NA")</f>
        <v>0.39444483609446551</v>
      </c>
      <c r="AL147" s="16">
        <f>IFERROR(AK147/AK148, "NA")</f>
        <v>9.5516061207024094</v>
      </c>
    </row>
    <row r="148" spans="1:38" ht="15.6" hidden="1" x14ac:dyDescent="0.3">
      <c r="A148" s="40" t="s">
        <v>25</v>
      </c>
      <c r="B148" s="7">
        <v>28785.52</v>
      </c>
      <c r="C148" s="41"/>
      <c r="D148" s="7">
        <v>33728.230000000003</v>
      </c>
      <c r="E148" s="41"/>
      <c r="F148" s="7">
        <v>29344.21</v>
      </c>
      <c r="G148" s="41"/>
      <c r="H148" s="7">
        <v>29796.2</v>
      </c>
      <c r="I148" s="41"/>
      <c r="J148" s="7">
        <v>30945.32</v>
      </c>
      <c r="K148" s="41"/>
      <c r="L148" s="7">
        <v>23215.040000000001</v>
      </c>
      <c r="M148" s="41"/>
      <c r="N148" s="7">
        <v>25239.14</v>
      </c>
      <c r="O148" s="41"/>
      <c r="P148" s="7">
        <v>33248.910000000003</v>
      </c>
      <c r="Q148" s="41"/>
      <c r="R148" s="7">
        <v>33375.4</v>
      </c>
      <c r="S148" s="41"/>
      <c r="T148" s="7">
        <v>27216.92</v>
      </c>
      <c r="U148" s="41"/>
      <c r="V148" s="7">
        <v>41004.6</v>
      </c>
      <c r="W148" s="41"/>
      <c r="X148" s="7">
        <v>32059.54</v>
      </c>
      <c r="Y148" s="41"/>
      <c r="Z148" s="7">
        <v>100281.06</v>
      </c>
      <c r="AA148" s="41"/>
      <c r="AB148" s="9">
        <f>IFERROR((R148+T148+V148+X148)/4, "NA")</f>
        <v>33414.114999999998</v>
      </c>
      <c r="AC148" s="41"/>
      <c r="AD148" s="10">
        <f>IFERROR(X148-AB148, "NA")</f>
        <v>-1354.5749999999971</v>
      </c>
      <c r="AE148" s="42"/>
      <c r="AF148" s="10">
        <f>IFERROR((X148-AB148)/AB148, "NA")</f>
        <v>-4.0539005746523506E-2</v>
      </c>
      <c r="AG148" s="9">
        <f>IFERROR((J148+L148+N148+P148+R148+T148+V148+X148)/8, "NA")</f>
        <v>30788.108749999999</v>
      </c>
      <c r="AH148" s="41"/>
      <c r="AI148" s="10">
        <f>IFERROR(X148-AG148, "NA")</f>
        <v>1271.4312500000015</v>
      </c>
      <c r="AJ148" s="42"/>
      <c r="AK148" s="10">
        <f>IFERROR((X148-AG148)/AG148, "NA")</f>
        <v>4.1296178999627627E-2</v>
      </c>
      <c r="AL148" s="42"/>
    </row>
    <row r="151" spans="1:38" ht="15.6" x14ac:dyDescent="0.3">
      <c r="A151" s="43" t="s">
        <v>149</v>
      </c>
    </row>
    <row r="152" spans="1:38" ht="15.6" x14ac:dyDescent="0.3">
      <c r="A152" s="43" t="s">
        <v>150</v>
      </c>
    </row>
    <row r="153" spans="1:38" ht="15.6" x14ac:dyDescent="0.3">
      <c r="A153" s="43" t="s">
        <v>151</v>
      </c>
    </row>
  </sheetData>
  <mergeCells count="23">
    <mergeCell ref="A1:AL1"/>
    <mergeCell ref="A2:AL2"/>
    <mergeCell ref="A3:AL3"/>
    <mergeCell ref="A5"/>
    <mergeCell ref="B5:C5"/>
    <mergeCell ref="D5:E5"/>
    <mergeCell ref="F5:G5"/>
    <mergeCell ref="H5:I5"/>
    <mergeCell ref="J5:K5"/>
    <mergeCell ref="L5:M5"/>
    <mergeCell ref="N5:O5"/>
    <mergeCell ref="P5:Q5"/>
    <mergeCell ref="R5:S5"/>
    <mergeCell ref="T5:U5"/>
    <mergeCell ref="V5:W5"/>
    <mergeCell ref="X5:Y5"/>
    <mergeCell ref="AI5:AJ5"/>
    <mergeCell ref="AK5:AL5"/>
    <mergeCell ref="Z5:AA5"/>
    <mergeCell ref="AB5:AC5"/>
    <mergeCell ref="AD5:AE5"/>
    <mergeCell ref="AF5"/>
    <mergeCell ref="AG5:AH5"/>
  </mergeCells>
  <pageMargins left="0.7" right="0.7" top="0.75" bottom="0.75" header="0.3" footer="0.3"/>
  <ignoredErrors>
    <ignoredError sqref="A1:AL153" numberStoredAsText="1"/>
  </ignoredError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/>
  </sheetPr>
  <dimension ref="A1:AL153"/>
  <sheetViews>
    <sheetView showGridLines="0" workbookViewId="0">
      <pane xSplit="1" ySplit="5" topLeftCell="B6" activePane="bottomRight" state="frozen"/>
      <selection pane="topRight" activeCell="B1" sqref="B1"/>
      <selection pane="bottomLeft" activeCell="A6" sqref="A6"/>
      <selection pane="bottomRight" sqref="A1:AL1"/>
    </sheetView>
  </sheetViews>
  <sheetFormatPr defaultRowHeight="14.4" x14ac:dyDescent="0.3"/>
  <cols>
    <col min="1" max="1" width="42.88671875" customWidth="1"/>
    <col min="2" max="2" width="17.109375" customWidth="1"/>
    <col min="3" max="3" width="9.44140625" customWidth="1"/>
    <col min="4" max="4" width="17.109375" customWidth="1"/>
    <col min="5" max="5" width="9.44140625" customWidth="1"/>
    <col min="6" max="6" width="17.109375" customWidth="1"/>
    <col min="7" max="7" width="9.44140625" customWidth="1"/>
    <col min="8" max="8" width="17.109375" customWidth="1"/>
    <col min="9" max="9" width="9.44140625" customWidth="1"/>
    <col min="10" max="10" width="17.109375" customWidth="1"/>
    <col min="11" max="11" width="9.44140625" customWidth="1"/>
    <col min="12" max="12" width="17.109375" customWidth="1"/>
    <col min="13" max="13" width="9.44140625" customWidth="1"/>
    <col min="14" max="14" width="17.109375" customWidth="1"/>
    <col min="15" max="15" width="9.44140625" customWidth="1"/>
    <col min="16" max="16" width="17.109375" customWidth="1"/>
    <col min="17" max="17" width="9.44140625" customWidth="1"/>
    <col min="18" max="18" width="17.109375" customWidth="1"/>
    <col min="19" max="19" width="9.44140625" customWidth="1"/>
    <col min="20" max="20" width="17.109375" customWidth="1"/>
    <col min="21" max="21" width="9.44140625" customWidth="1"/>
    <col min="22" max="22" width="17.109375" customWidth="1"/>
    <col min="23" max="23" width="9.44140625" customWidth="1"/>
    <col min="24" max="24" width="17.109375" customWidth="1"/>
    <col min="25" max="25" width="9.44140625" customWidth="1"/>
    <col min="26" max="26" width="17.109375" customWidth="1"/>
    <col min="27" max="27" width="9.44140625" customWidth="1"/>
    <col min="28" max="28" width="17.109375" customWidth="1"/>
    <col min="29" max="29" width="9.44140625" customWidth="1"/>
    <col min="30" max="30" width="16.6640625" customWidth="1"/>
    <col min="31" max="31" width="0" hidden="1" customWidth="1"/>
    <col min="32" max="32" width="16.6640625" customWidth="1"/>
    <col min="33" max="33" width="17.109375" customWidth="1"/>
    <col min="34" max="34" width="9.44140625" customWidth="1"/>
    <col min="35" max="35" width="16.6640625" customWidth="1"/>
    <col min="36" max="36" width="0" hidden="1" customWidth="1"/>
    <col min="37" max="37" width="16.6640625" customWidth="1"/>
    <col min="38" max="38" width="0" hidden="1" customWidth="1"/>
  </cols>
  <sheetData>
    <row r="1" spans="1:38" ht="33.6" x14ac:dyDescent="0.3">
      <c r="A1" s="153" t="s">
        <v>0</v>
      </c>
      <c r="B1" s="153" t="s">
        <v>0</v>
      </c>
      <c r="C1" s="153" t="s">
        <v>0</v>
      </c>
      <c r="D1" s="153" t="s">
        <v>0</v>
      </c>
      <c r="E1" s="153" t="s">
        <v>0</v>
      </c>
      <c r="F1" s="153" t="s">
        <v>0</v>
      </c>
      <c r="G1" s="153" t="s">
        <v>0</v>
      </c>
      <c r="H1" s="153" t="s">
        <v>0</v>
      </c>
      <c r="I1" s="153" t="s">
        <v>0</v>
      </c>
      <c r="J1" s="153" t="s">
        <v>0</v>
      </c>
      <c r="K1" s="153" t="s">
        <v>0</v>
      </c>
      <c r="L1" s="153" t="s">
        <v>0</v>
      </c>
      <c r="M1" s="153" t="s">
        <v>0</v>
      </c>
      <c r="N1" s="153" t="s">
        <v>0</v>
      </c>
      <c r="O1" s="153" t="s">
        <v>0</v>
      </c>
      <c r="P1" s="153" t="s">
        <v>0</v>
      </c>
      <c r="Q1" s="153" t="s">
        <v>0</v>
      </c>
      <c r="R1" s="153" t="s">
        <v>0</v>
      </c>
      <c r="S1" s="153" t="s">
        <v>0</v>
      </c>
      <c r="T1" s="153" t="s">
        <v>0</v>
      </c>
      <c r="U1" s="153" t="s">
        <v>0</v>
      </c>
      <c r="V1" s="153" t="s">
        <v>0</v>
      </c>
      <c r="W1" s="153" t="s">
        <v>0</v>
      </c>
      <c r="X1" s="153" t="s">
        <v>0</v>
      </c>
      <c r="Y1" s="153" t="s">
        <v>0</v>
      </c>
      <c r="Z1" s="153" t="s">
        <v>0</v>
      </c>
      <c r="AA1" s="153" t="s">
        <v>0</v>
      </c>
      <c r="AB1" s="153" t="s">
        <v>0</v>
      </c>
      <c r="AC1" s="153" t="s">
        <v>0</v>
      </c>
      <c r="AD1" s="153" t="s">
        <v>0</v>
      </c>
      <c r="AE1" s="153" t="s">
        <v>0</v>
      </c>
      <c r="AF1" s="153" t="s">
        <v>0</v>
      </c>
      <c r="AG1" s="153" t="s">
        <v>0</v>
      </c>
      <c r="AH1" s="153" t="s">
        <v>0</v>
      </c>
      <c r="AI1" s="153" t="s">
        <v>0</v>
      </c>
      <c r="AJ1" s="153" t="s">
        <v>0</v>
      </c>
      <c r="AK1" s="153" t="s">
        <v>0</v>
      </c>
      <c r="AL1" s="153" t="s">
        <v>0</v>
      </c>
    </row>
    <row r="2" spans="1:38" ht="23.4" x14ac:dyDescent="0.3">
      <c r="A2" s="154" t="s">
        <v>1</v>
      </c>
      <c r="B2" s="154" t="s">
        <v>1</v>
      </c>
      <c r="C2" s="154" t="s">
        <v>1</v>
      </c>
      <c r="D2" s="154" t="s">
        <v>1</v>
      </c>
      <c r="E2" s="154" t="s">
        <v>1</v>
      </c>
      <c r="F2" s="154" t="s">
        <v>1</v>
      </c>
      <c r="G2" s="154" t="s">
        <v>1</v>
      </c>
      <c r="H2" s="154" t="s">
        <v>1</v>
      </c>
      <c r="I2" s="154" t="s">
        <v>1</v>
      </c>
      <c r="J2" s="154" t="s">
        <v>1</v>
      </c>
      <c r="K2" s="154" t="s">
        <v>1</v>
      </c>
      <c r="L2" s="154" t="s">
        <v>1</v>
      </c>
      <c r="M2" s="154" t="s">
        <v>1</v>
      </c>
      <c r="N2" s="154" t="s">
        <v>1</v>
      </c>
      <c r="O2" s="154" t="s">
        <v>1</v>
      </c>
      <c r="P2" s="154" t="s">
        <v>1</v>
      </c>
      <c r="Q2" s="154" t="s">
        <v>1</v>
      </c>
      <c r="R2" s="154" t="s">
        <v>1</v>
      </c>
      <c r="S2" s="154" t="s">
        <v>1</v>
      </c>
      <c r="T2" s="154" t="s">
        <v>1</v>
      </c>
      <c r="U2" s="154" t="s">
        <v>1</v>
      </c>
      <c r="V2" s="154" t="s">
        <v>1</v>
      </c>
      <c r="W2" s="154" t="s">
        <v>1</v>
      </c>
      <c r="X2" s="154" t="s">
        <v>1</v>
      </c>
      <c r="Y2" s="154" t="s">
        <v>1</v>
      </c>
      <c r="Z2" s="154" t="s">
        <v>1</v>
      </c>
      <c r="AA2" s="154" t="s">
        <v>1</v>
      </c>
      <c r="AB2" s="154" t="s">
        <v>1</v>
      </c>
      <c r="AC2" s="154" t="s">
        <v>1</v>
      </c>
      <c r="AD2" s="154" t="s">
        <v>1</v>
      </c>
      <c r="AE2" s="154" t="s">
        <v>1</v>
      </c>
      <c r="AF2" s="154" t="s">
        <v>1</v>
      </c>
      <c r="AG2" s="154" t="s">
        <v>1</v>
      </c>
      <c r="AH2" s="154" t="s">
        <v>1</v>
      </c>
      <c r="AI2" s="154" t="s">
        <v>1</v>
      </c>
      <c r="AJ2" s="154" t="s">
        <v>1</v>
      </c>
      <c r="AK2" s="154" t="s">
        <v>1</v>
      </c>
      <c r="AL2" s="154" t="s">
        <v>1</v>
      </c>
    </row>
    <row r="3" spans="1:38" ht="15.6" x14ac:dyDescent="0.3">
      <c r="A3" s="155" t="s">
        <v>155</v>
      </c>
      <c r="B3" s="155" t="s">
        <v>155</v>
      </c>
      <c r="C3" s="155" t="s">
        <v>155</v>
      </c>
      <c r="D3" s="155" t="s">
        <v>155</v>
      </c>
      <c r="E3" s="155" t="s">
        <v>155</v>
      </c>
      <c r="F3" s="155" t="s">
        <v>155</v>
      </c>
      <c r="G3" s="155" t="s">
        <v>155</v>
      </c>
      <c r="H3" s="155" t="s">
        <v>155</v>
      </c>
      <c r="I3" s="155" t="s">
        <v>155</v>
      </c>
      <c r="J3" s="155" t="s">
        <v>155</v>
      </c>
      <c r="K3" s="155" t="s">
        <v>155</v>
      </c>
      <c r="L3" s="155" t="s">
        <v>155</v>
      </c>
      <c r="M3" s="155" t="s">
        <v>155</v>
      </c>
      <c r="N3" s="155" t="s">
        <v>155</v>
      </c>
      <c r="O3" s="155" t="s">
        <v>155</v>
      </c>
      <c r="P3" s="155" t="s">
        <v>155</v>
      </c>
      <c r="Q3" s="155" t="s">
        <v>155</v>
      </c>
      <c r="R3" s="155" t="s">
        <v>155</v>
      </c>
      <c r="S3" s="155" t="s">
        <v>155</v>
      </c>
      <c r="T3" s="155" t="s">
        <v>155</v>
      </c>
      <c r="U3" s="155" t="s">
        <v>155</v>
      </c>
      <c r="V3" s="155" t="s">
        <v>155</v>
      </c>
      <c r="W3" s="155" t="s">
        <v>155</v>
      </c>
      <c r="X3" s="155" t="s">
        <v>155</v>
      </c>
      <c r="Y3" s="155" t="s">
        <v>155</v>
      </c>
      <c r="Z3" s="155" t="s">
        <v>155</v>
      </c>
      <c r="AA3" s="155" t="s">
        <v>155</v>
      </c>
      <c r="AB3" s="155" t="s">
        <v>155</v>
      </c>
      <c r="AC3" s="155" t="s">
        <v>155</v>
      </c>
      <c r="AD3" s="155" t="s">
        <v>155</v>
      </c>
      <c r="AE3" s="155" t="s">
        <v>155</v>
      </c>
      <c r="AF3" s="155" t="s">
        <v>155</v>
      </c>
      <c r="AG3" s="155" t="s">
        <v>155</v>
      </c>
      <c r="AH3" s="155" t="s">
        <v>155</v>
      </c>
      <c r="AI3" s="155" t="s">
        <v>155</v>
      </c>
      <c r="AJ3" s="155" t="s">
        <v>155</v>
      </c>
      <c r="AK3" s="155" t="s">
        <v>155</v>
      </c>
      <c r="AL3" s="155" t="s">
        <v>155</v>
      </c>
    </row>
    <row r="5" spans="1:38" ht="13.5" customHeight="1" x14ac:dyDescent="0.3">
      <c r="A5" s="156" t="s">
        <v>3</v>
      </c>
      <c r="B5" s="151" t="s">
        <v>4</v>
      </c>
      <c r="C5" s="152" t="s">
        <v>3</v>
      </c>
      <c r="D5" s="151" t="s">
        <v>5</v>
      </c>
      <c r="E5" s="152" t="s">
        <v>3</v>
      </c>
      <c r="F5" s="151" t="s">
        <v>6</v>
      </c>
      <c r="G5" s="152" t="s">
        <v>3</v>
      </c>
      <c r="H5" s="151" t="s">
        <v>7</v>
      </c>
      <c r="I5" s="152" t="s">
        <v>3</v>
      </c>
      <c r="J5" s="151" t="s">
        <v>8</v>
      </c>
      <c r="K5" s="152" t="s">
        <v>3</v>
      </c>
      <c r="L5" s="151" t="s">
        <v>9</v>
      </c>
      <c r="M5" s="152" t="s">
        <v>3</v>
      </c>
      <c r="N5" s="151" t="s">
        <v>10</v>
      </c>
      <c r="O5" s="152" t="s">
        <v>3</v>
      </c>
      <c r="P5" s="151" t="s">
        <v>11</v>
      </c>
      <c r="Q5" s="152" t="s">
        <v>3</v>
      </c>
      <c r="R5" s="151" t="s">
        <v>12</v>
      </c>
      <c r="S5" s="152" t="s">
        <v>3</v>
      </c>
      <c r="T5" s="151" t="s">
        <v>13</v>
      </c>
      <c r="U5" s="152" t="s">
        <v>3</v>
      </c>
      <c r="V5" s="151" t="s">
        <v>14</v>
      </c>
      <c r="W5" s="152" t="s">
        <v>3</v>
      </c>
      <c r="X5" s="151" t="s">
        <v>15</v>
      </c>
      <c r="Y5" s="152" t="s">
        <v>3</v>
      </c>
      <c r="Z5" s="151" t="s">
        <v>16</v>
      </c>
      <c r="AA5" s="152" t="s">
        <v>3</v>
      </c>
      <c r="AB5" s="151" t="s">
        <v>17</v>
      </c>
      <c r="AC5" s="152" t="s">
        <v>3</v>
      </c>
      <c r="AD5" s="149" t="s">
        <v>18</v>
      </c>
      <c r="AE5" s="150" t="s">
        <v>3</v>
      </c>
      <c r="AF5" s="149" t="s">
        <v>19</v>
      </c>
      <c r="AG5" s="151" t="s">
        <v>20</v>
      </c>
      <c r="AH5" s="152" t="s">
        <v>3</v>
      </c>
      <c r="AI5" s="149" t="s">
        <v>21</v>
      </c>
      <c r="AJ5" s="150" t="s">
        <v>3</v>
      </c>
      <c r="AK5" s="149" t="s">
        <v>22</v>
      </c>
      <c r="AL5" s="150" t="s">
        <v>3</v>
      </c>
    </row>
    <row r="6" spans="1:38" ht="16.5" customHeight="1" x14ac:dyDescent="0.3">
      <c r="A6" s="1" t="s">
        <v>23</v>
      </c>
      <c r="B6" s="2"/>
      <c r="C6" s="3"/>
      <c r="D6" s="2"/>
      <c r="E6" s="3"/>
      <c r="F6" s="2"/>
      <c r="G6" s="3"/>
      <c r="H6" s="2"/>
      <c r="I6" s="3"/>
      <c r="J6" s="2"/>
      <c r="K6" s="3"/>
      <c r="L6" s="2"/>
      <c r="M6" s="3"/>
      <c r="N6" s="2"/>
      <c r="O6" s="3"/>
      <c r="P6" s="2"/>
      <c r="Q6" s="3"/>
      <c r="R6" s="2"/>
      <c r="S6" s="3"/>
      <c r="T6" s="2"/>
      <c r="U6" s="3"/>
      <c r="V6" s="2"/>
      <c r="W6" s="3"/>
      <c r="X6" s="2"/>
      <c r="Y6" s="3"/>
      <c r="Z6" s="2"/>
      <c r="AA6" s="3"/>
      <c r="AB6" s="2"/>
      <c r="AC6" s="3"/>
      <c r="AD6" s="4"/>
      <c r="AE6" s="5"/>
      <c r="AF6" s="4"/>
      <c r="AG6" s="2"/>
      <c r="AH6" s="3"/>
      <c r="AI6" s="4"/>
      <c r="AJ6" s="5"/>
      <c r="AK6" s="4"/>
      <c r="AL6" s="5"/>
    </row>
    <row r="7" spans="1:38" ht="16.5" customHeight="1" x14ac:dyDescent="0.3">
      <c r="A7" s="6" t="s">
        <v>23</v>
      </c>
      <c r="B7" s="7">
        <v>28624.23</v>
      </c>
      <c r="C7" s="8">
        <f>IFERROR(B7/B148, "NA")</f>
        <v>1</v>
      </c>
      <c r="D7" s="7">
        <v>29103.98</v>
      </c>
      <c r="E7" s="8">
        <f>IFERROR(D7/D148, "NA")</f>
        <v>1</v>
      </c>
      <c r="F7" s="7">
        <v>32074.60999999999</v>
      </c>
      <c r="G7" s="8">
        <f>IFERROR(F7/F148, "NA")</f>
        <v>0.99999999999999967</v>
      </c>
      <c r="H7" s="7">
        <v>26320.46</v>
      </c>
      <c r="I7" s="8">
        <f>IFERROR(H7/H148, "NA")</f>
        <v>1</v>
      </c>
      <c r="J7" s="7">
        <v>24750.340000000004</v>
      </c>
      <c r="K7" s="8">
        <f>IFERROR(J7/J148, "NA")</f>
        <v>1.0000000000000002</v>
      </c>
      <c r="L7" s="7">
        <v>26472.720000000001</v>
      </c>
      <c r="M7" s="8">
        <f>IFERROR(L7/L148, "NA")</f>
        <v>1</v>
      </c>
      <c r="N7" s="7">
        <v>24876.73</v>
      </c>
      <c r="O7" s="8">
        <f>IFERROR(N7/N148, "NA")</f>
        <v>1</v>
      </c>
      <c r="P7" s="7">
        <v>30546.13</v>
      </c>
      <c r="Q7" s="8">
        <f>IFERROR(P7/P148, "NA")</f>
        <v>1</v>
      </c>
      <c r="R7" s="7">
        <v>33828.819999999992</v>
      </c>
      <c r="S7" s="8">
        <f>IFERROR(R7/R148, "NA")</f>
        <v>0.99999999999999978</v>
      </c>
      <c r="T7" s="7">
        <v>24888.17</v>
      </c>
      <c r="U7" s="8">
        <f>IFERROR(T7/T148, "NA")</f>
        <v>1</v>
      </c>
      <c r="V7" s="7">
        <v>31323.550000000014</v>
      </c>
      <c r="W7" s="8">
        <f>IFERROR(V7/V148, "NA")</f>
        <v>1.0000000000000004</v>
      </c>
      <c r="X7" s="7">
        <v>30193.299999999992</v>
      </c>
      <c r="Y7" s="8">
        <f>IFERROR(X7/X148, "NA")</f>
        <v>0.99999999999999978</v>
      </c>
      <c r="Z7" s="7">
        <v>86405.020000000019</v>
      </c>
      <c r="AA7" s="8">
        <f>IFERROR(Z7/Z148, "NA")</f>
        <v>1.0000000000000002</v>
      </c>
      <c r="AB7" s="9">
        <f>IFERROR((R7+T7+V7+X7)/4, "NA")</f>
        <v>30058.46</v>
      </c>
      <c r="AC7" s="8">
        <f>IFERROR(AB7/AB148, "NA")</f>
        <v>1</v>
      </c>
      <c r="AD7" s="10">
        <f>IFERROR(X7-AB7, "NA")</f>
        <v>134.83999999999287</v>
      </c>
      <c r="AE7" s="11">
        <f>IFERROR(AD7/AD148, "NA")</f>
        <v>0.99999999999994604</v>
      </c>
      <c r="AF7" s="10">
        <f>IFERROR((X7-AB7)/AB7, "NA")</f>
        <v>4.485925093966653E-3</v>
      </c>
      <c r="AG7" s="9">
        <f>IFERROR((J7+L7+N7+P7+R7+T7+V7+X7)/8, "NA")</f>
        <v>28359.969999999998</v>
      </c>
      <c r="AH7" s="8">
        <f>IFERROR(AG7/AG148, "NA")</f>
        <v>1.0000000000000002</v>
      </c>
      <c r="AI7" s="10">
        <f>IFERROR(X7-AG7, "NA")</f>
        <v>1833.3299999999945</v>
      </c>
      <c r="AJ7" s="11">
        <f>IFERROR(AI7/AI148, "NA")</f>
        <v>0.999999999999994</v>
      </c>
      <c r="AK7" s="10">
        <f>IFERROR((X7-AG7)/AG7, "NA")</f>
        <v>6.4644990809228448E-2</v>
      </c>
      <c r="AL7" s="11">
        <f>IFERROR(AK7/AK148, "NA")</f>
        <v>0.99999999999999378</v>
      </c>
    </row>
    <row r="8" spans="1:38" ht="30.75" hidden="1" customHeight="1" x14ac:dyDescent="0.3">
      <c r="A8" s="6" t="s">
        <v>24</v>
      </c>
      <c r="B8" s="7">
        <v>0</v>
      </c>
      <c r="C8" s="8">
        <f>IFERROR(B8/B148, "NA")</f>
        <v>0</v>
      </c>
      <c r="D8" s="7">
        <v>0</v>
      </c>
      <c r="E8" s="8">
        <f>IFERROR(D8/D148, "NA")</f>
        <v>0</v>
      </c>
      <c r="F8" s="7">
        <v>0</v>
      </c>
      <c r="G8" s="8">
        <f>IFERROR(F8/F148, "NA")</f>
        <v>0</v>
      </c>
      <c r="H8" s="7">
        <v>0</v>
      </c>
      <c r="I8" s="8">
        <f>IFERROR(H8/H148, "NA")</f>
        <v>0</v>
      </c>
      <c r="J8" s="7">
        <v>0</v>
      </c>
      <c r="K8" s="8">
        <f>IFERROR(J8/J148, "NA")</f>
        <v>0</v>
      </c>
      <c r="L8" s="7">
        <v>0</v>
      </c>
      <c r="M8" s="8">
        <f>IFERROR(L8/L148, "NA")</f>
        <v>0</v>
      </c>
      <c r="N8" s="7">
        <v>0</v>
      </c>
      <c r="O8" s="8">
        <f>IFERROR(N8/N148, "NA")</f>
        <v>0</v>
      </c>
      <c r="P8" s="7">
        <v>0</v>
      </c>
      <c r="Q8" s="8">
        <f>IFERROR(P8/P148, "NA")</f>
        <v>0</v>
      </c>
      <c r="R8" s="7">
        <v>0</v>
      </c>
      <c r="S8" s="8">
        <f>IFERROR(R8/R148, "NA")</f>
        <v>0</v>
      </c>
      <c r="T8" s="7">
        <v>0</v>
      </c>
      <c r="U8" s="8">
        <f>IFERROR(T8/T148, "NA")</f>
        <v>0</v>
      </c>
      <c r="V8" s="7">
        <v>0</v>
      </c>
      <c r="W8" s="8">
        <f>IFERROR(V8/V148, "NA")</f>
        <v>0</v>
      </c>
      <c r="X8" s="7">
        <v>0</v>
      </c>
      <c r="Y8" s="8">
        <f>IFERROR(X8/X148, "NA")</f>
        <v>0</v>
      </c>
      <c r="Z8" s="7">
        <v>0</v>
      </c>
      <c r="AA8" s="8">
        <f>IFERROR(Z8/Z148, "NA")</f>
        <v>0</v>
      </c>
      <c r="AB8" s="9">
        <f>IFERROR((R8+T8+V8+X8)/4, "NA")</f>
        <v>0</v>
      </c>
      <c r="AC8" s="8">
        <f>IFERROR(AB8/AB148, "NA")</f>
        <v>0</v>
      </c>
      <c r="AD8" s="10">
        <f>IFERROR(X8-AB8, "NA")</f>
        <v>0</v>
      </c>
      <c r="AE8" s="11">
        <f>IFERROR(AD8/AD148, "NA")</f>
        <v>0</v>
      </c>
      <c r="AF8" s="10" t="str">
        <f>IFERROR((X8-AB8)/AB8, "NA")</f>
        <v>NA</v>
      </c>
      <c r="AG8" s="9">
        <f>IFERROR((J8+L8+N8+P8+R8+T8+V8+X8)/8, "NA")</f>
        <v>0</v>
      </c>
      <c r="AH8" s="8">
        <f>IFERROR(AG8/AG148, "NA")</f>
        <v>0</v>
      </c>
      <c r="AI8" s="10">
        <f>IFERROR(X8-AG8, "NA")</f>
        <v>0</v>
      </c>
      <c r="AJ8" s="11">
        <f>IFERROR(AI8/AI148, "NA")</f>
        <v>0</v>
      </c>
      <c r="AK8" s="10" t="str">
        <f>IFERROR((X8-AG8)/AG8, "NA")</f>
        <v>NA</v>
      </c>
      <c r="AL8" s="11" t="str">
        <f>IFERROR(AK8/AK148, "NA")</f>
        <v>NA</v>
      </c>
    </row>
    <row r="9" spans="1:38" ht="16.5" customHeight="1" x14ac:dyDescent="0.3">
      <c r="A9" s="12" t="s">
        <v>25</v>
      </c>
      <c r="B9" s="13">
        <f>IFERROR(B7+B8, "NA")</f>
        <v>28624.23</v>
      </c>
      <c r="C9" s="14">
        <f>IFERROR(B9/B148, "NA")</f>
        <v>1</v>
      </c>
      <c r="D9" s="13">
        <f>IFERROR(D7+D8, "NA")</f>
        <v>29103.98</v>
      </c>
      <c r="E9" s="14">
        <f>IFERROR(D9/D148, "NA")</f>
        <v>1</v>
      </c>
      <c r="F9" s="13">
        <f>IFERROR(F7+F8, "NA")</f>
        <v>32074.60999999999</v>
      </c>
      <c r="G9" s="14">
        <f>IFERROR(F9/F148, "NA")</f>
        <v>0.99999999999999967</v>
      </c>
      <c r="H9" s="13">
        <f>IFERROR(H7+H8, "NA")</f>
        <v>26320.46</v>
      </c>
      <c r="I9" s="14">
        <f>IFERROR(H9/H148, "NA")</f>
        <v>1</v>
      </c>
      <c r="J9" s="13">
        <f>IFERROR(J7+J8, "NA")</f>
        <v>24750.340000000004</v>
      </c>
      <c r="K9" s="14">
        <f>IFERROR(J9/J148, "NA")</f>
        <v>1.0000000000000002</v>
      </c>
      <c r="L9" s="13">
        <f>IFERROR(L7+L8, "NA")</f>
        <v>26472.720000000001</v>
      </c>
      <c r="M9" s="14">
        <f>IFERROR(L9/L148, "NA")</f>
        <v>1</v>
      </c>
      <c r="N9" s="13">
        <f>IFERROR(N7+N8, "NA")</f>
        <v>24876.73</v>
      </c>
      <c r="O9" s="14">
        <f>IFERROR(N9/N148, "NA")</f>
        <v>1</v>
      </c>
      <c r="P9" s="13">
        <f>IFERROR(P7+P8, "NA")</f>
        <v>30546.13</v>
      </c>
      <c r="Q9" s="14">
        <f>IFERROR(P9/P148, "NA")</f>
        <v>1</v>
      </c>
      <c r="R9" s="13">
        <f>IFERROR(R7+R8, "NA")</f>
        <v>33828.819999999992</v>
      </c>
      <c r="S9" s="14">
        <f>IFERROR(R9/R148, "NA")</f>
        <v>0.99999999999999978</v>
      </c>
      <c r="T9" s="13">
        <f>IFERROR(T7+T8, "NA")</f>
        <v>24888.17</v>
      </c>
      <c r="U9" s="14">
        <f>IFERROR(T9/T148, "NA")</f>
        <v>1</v>
      </c>
      <c r="V9" s="13">
        <f>IFERROR(V7+V8, "NA")</f>
        <v>31323.550000000014</v>
      </c>
      <c r="W9" s="14">
        <f>IFERROR(V9/V148, "NA")</f>
        <v>1.0000000000000004</v>
      </c>
      <c r="X9" s="13">
        <f>IFERROR(X7+X8, "NA")</f>
        <v>30193.299999999992</v>
      </c>
      <c r="Y9" s="14">
        <f>IFERROR(X9/X148, "NA")</f>
        <v>0.99999999999999978</v>
      </c>
      <c r="Z9" s="13">
        <f>IFERROR(Z7+Z8, "NA")</f>
        <v>86405.020000000019</v>
      </c>
      <c r="AA9" s="14">
        <f>IFERROR(Z9/Z148, "NA")</f>
        <v>1.0000000000000002</v>
      </c>
      <c r="AB9" s="13">
        <f>IFERROR((R9+T9+V9+X9)/4, "NA")</f>
        <v>30058.46</v>
      </c>
      <c r="AC9" s="14">
        <f>IFERROR(AB9/AB148, "NA")</f>
        <v>1</v>
      </c>
      <c r="AD9" s="15">
        <f>IFERROR(X9-AB9, "NA")</f>
        <v>134.83999999999287</v>
      </c>
      <c r="AE9" s="16">
        <f>IFERROR(AD9/AD148, "NA")</f>
        <v>0.99999999999994604</v>
      </c>
      <c r="AF9" s="15">
        <f>IFERROR((X9-AB9)/AB9, "NA")</f>
        <v>4.485925093966653E-3</v>
      </c>
      <c r="AG9" s="13">
        <f>IFERROR((J9+L9+N9+P9+R9+T9+V9+X9)/8, "NA")</f>
        <v>28359.969999999998</v>
      </c>
      <c r="AH9" s="14">
        <f>IFERROR(AG9/AG148, "NA")</f>
        <v>1.0000000000000002</v>
      </c>
      <c r="AI9" s="15">
        <f>IFERROR(X9-AG9, "NA")</f>
        <v>1833.3299999999945</v>
      </c>
      <c r="AJ9" s="16">
        <f>IFERROR(AI9/AI148, "NA")</f>
        <v>0.999999999999994</v>
      </c>
      <c r="AK9" s="15">
        <f>IFERROR((X9-AG9)/AG9, "NA")</f>
        <v>6.4644990809228448E-2</v>
      </c>
      <c r="AL9" s="16">
        <f>IFERROR(AK9/AK148, "NA")</f>
        <v>0.99999999999999378</v>
      </c>
    </row>
    <row r="10" spans="1:38" ht="3.75" customHeight="1" x14ac:dyDescent="0.3">
      <c r="A10" s="17" t="s">
        <v>3</v>
      </c>
      <c r="B10" s="18"/>
      <c r="C10" s="19"/>
      <c r="D10" s="18"/>
      <c r="E10" s="19"/>
      <c r="F10" s="18"/>
      <c r="G10" s="19"/>
      <c r="H10" s="18"/>
      <c r="I10" s="19"/>
      <c r="J10" s="18"/>
      <c r="K10" s="19"/>
      <c r="L10" s="18"/>
      <c r="M10" s="19"/>
      <c r="N10" s="18"/>
      <c r="O10" s="19"/>
      <c r="P10" s="18"/>
      <c r="Q10" s="19"/>
      <c r="R10" s="18"/>
      <c r="S10" s="19"/>
      <c r="T10" s="18"/>
      <c r="U10" s="19"/>
      <c r="V10" s="18"/>
      <c r="W10" s="19"/>
      <c r="X10" s="18"/>
      <c r="Y10" s="19"/>
      <c r="Z10" s="18"/>
      <c r="AA10" s="19"/>
      <c r="AB10" s="18"/>
      <c r="AC10" s="19"/>
      <c r="AD10" s="20"/>
      <c r="AE10" s="21"/>
      <c r="AF10" s="20"/>
      <c r="AG10" s="18"/>
      <c r="AH10" s="19"/>
      <c r="AI10" s="20"/>
      <c r="AJ10" s="21"/>
      <c r="AK10" s="20"/>
      <c r="AL10" s="21"/>
    </row>
    <row r="11" spans="1:38" ht="16.5" customHeight="1" x14ac:dyDescent="0.3">
      <c r="A11" s="1" t="s">
        <v>26</v>
      </c>
      <c r="B11" s="2"/>
      <c r="C11" s="3"/>
      <c r="D11" s="2"/>
      <c r="E11" s="3"/>
      <c r="F11" s="2"/>
      <c r="G11" s="3"/>
      <c r="H11" s="2"/>
      <c r="I11" s="3"/>
      <c r="J11" s="2"/>
      <c r="K11" s="3"/>
      <c r="L11" s="2"/>
      <c r="M11" s="3"/>
      <c r="N11" s="2"/>
      <c r="O11" s="3"/>
      <c r="P11" s="2"/>
      <c r="Q11" s="3"/>
      <c r="R11" s="2"/>
      <c r="S11" s="3"/>
      <c r="T11" s="2"/>
      <c r="U11" s="3"/>
      <c r="V11" s="2"/>
      <c r="W11" s="3"/>
      <c r="X11" s="2"/>
      <c r="Y11" s="3"/>
      <c r="Z11" s="2"/>
      <c r="AA11" s="3"/>
      <c r="AB11" s="2"/>
      <c r="AC11" s="3"/>
      <c r="AD11" s="4"/>
      <c r="AE11" s="5"/>
      <c r="AF11" s="4"/>
      <c r="AG11" s="2"/>
      <c r="AH11" s="3"/>
      <c r="AI11" s="4"/>
      <c r="AJ11" s="5"/>
      <c r="AK11" s="4"/>
      <c r="AL11" s="5"/>
    </row>
    <row r="12" spans="1:38" ht="16.5" customHeight="1" x14ac:dyDescent="0.3">
      <c r="A12" s="22" t="s">
        <v>27</v>
      </c>
      <c r="B12" s="2"/>
      <c r="C12" s="3"/>
      <c r="D12" s="2"/>
      <c r="E12" s="3"/>
      <c r="F12" s="2"/>
      <c r="G12" s="3"/>
      <c r="H12" s="2"/>
      <c r="I12" s="3"/>
      <c r="J12" s="2"/>
      <c r="K12" s="3"/>
      <c r="L12" s="2"/>
      <c r="M12" s="3"/>
      <c r="N12" s="2"/>
      <c r="O12" s="3"/>
      <c r="P12" s="2"/>
      <c r="Q12" s="3"/>
      <c r="R12" s="2"/>
      <c r="S12" s="3"/>
      <c r="T12" s="2"/>
      <c r="U12" s="3"/>
      <c r="V12" s="2"/>
      <c r="W12" s="3"/>
      <c r="X12" s="2"/>
      <c r="Y12" s="3"/>
      <c r="Z12" s="2"/>
      <c r="AA12" s="3"/>
      <c r="AB12" s="2"/>
      <c r="AC12" s="3"/>
      <c r="AD12" s="4"/>
      <c r="AE12" s="5"/>
      <c r="AF12" s="4"/>
      <c r="AG12" s="2"/>
      <c r="AH12" s="3"/>
      <c r="AI12" s="4"/>
      <c r="AJ12" s="5"/>
      <c r="AK12" s="4"/>
      <c r="AL12" s="5"/>
    </row>
    <row r="13" spans="1:38" ht="16.5" hidden="1" customHeight="1" x14ac:dyDescent="0.3">
      <c r="A13" s="23" t="s">
        <v>28</v>
      </c>
      <c r="B13" s="7">
        <v>0</v>
      </c>
      <c r="C13" s="8">
        <f>IFERROR(B13/B148, "NA")</f>
        <v>0</v>
      </c>
      <c r="D13" s="7">
        <v>0</v>
      </c>
      <c r="E13" s="8">
        <f>IFERROR(D13/D148, "NA")</f>
        <v>0</v>
      </c>
      <c r="F13" s="7">
        <v>0</v>
      </c>
      <c r="G13" s="8">
        <f>IFERROR(F13/F148, "NA")</f>
        <v>0</v>
      </c>
      <c r="H13" s="7">
        <v>0</v>
      </c>
      <c r="I13" s="8">
        <f>IFERROR(H13/H148, "NA")</f>
        <v>0</v>
      </c>
      <c r="J13" s="7">
        <v>0</v>
      </c>
      <c r="K13" s="8">
        <f>IFERROR(J13/J148, "NA")</f>
        <v>0</v>
      </c>
      <c r="L13" s="7">
        <v>0</v>
      </c>
      <c r="M13" s="8">
        <f>IFERROR(L13/L148, "NA")</f>
        <v>0</v>
      </c>
      <c r="N13" s="7">
        <v>0</v>
      </c>
      <c r="O13" s="8">
        <f>IFERROR(N13/N148, "NA")</f>
        <v>0</v>
      </c>
      <c r="P13" s="7">
        <v>0</v>
      </c>
      <c r="Q13" s="8">
        <f>IFERROR(P13/P148, "NA")</f>
        <v>0</v>
      </c>
      <c r="R13" s="7">
        <v>0</v>
      </c>
      <c r="S13" s="8">
        <f>IFERROR(R13/R148, "NA")</f>
        <v>0</v>
      </c>
      <c r="T13" s="7">
        <v>0</v>
      </c>
      <c r="U13" s="8">
        <f>IFERROR(T13/T148, "NA")</f>
        <v>0</v>
      </c>
      <c r="V13" s="7">
        <v>0</v>
      </c>
      <c r="W13" s="8">
        <f>IFERROR(V13/V148, "NA")</f>
        <v>0</v>
      </c>
      <c r="X13" s="7">
        <v>0</v>
      </c>
      <c r="Y13" s="8">
        <f>IFERROR(X13/X148, "NA")</f>
        <v>0</v>
      </c>
      <c r="Z13" s="7">
        <v>0</v>
      </c>
      <c r="AA13" s="8">
        <f>IFERROR(Z13/Z148, "NA")</f>
        <v>0</v>
      </c>
      <c r="AB13" s="9">
        <f>IFERROR((R13+T13+V13+X13)/4, "NA")</f>
        <v>0</v>
      </c>
      <c r="AC13" s="8">
        <f>IFERROR(AB13/AB148, "NA")</f>
        <v>0</v>
      </c>
      <c r="AD13" s="10">
        <f>IFERROR(X13-AB13, "NA")</f>
        <v>0</v>
      </c>
      <c r="AE13" s="11">
        <f>IFERROR(AD13/AD148, "NA")</f>
        <v>0</v>
      </c>
      <c r="AF13" s="10" t="str">
        <f>IFERROR((X13-AB13)/AB13, "NA")</f>
        <v>NA</v>
      </c>
      <c r="AG13" s="9">
        <f>IFERROR((J13+L13+N13+P13+R13+T13+V13+X13)/8, "NA")</f>
        <v>0</v>
      </c>
      <c r="AH13" s="8">
        <f>IFERROR(AG13/AG148, "NA")</f>
        <v>0</v>
      </c>
      <c r="AI13" s="10">
        <f>IFERROR(X13-AG13, "NA")</f>
        <v>0</v>
      </c>
      <c r="AJ13" s="11">
        <f>IFERROR(AI13/AI148, "NA")</f>
        <v>0</v>
      </c>
      <c r="AK13" s="10" t="str">
        <f>IFERROR((X13-AG13)/AG13, "NA")</f>
        <v>NA</v>
      </c>
      <c r="AL13" s="11" t="str">
        <f>IFERROR(AK13/AK148, "NA")</f>
        <v>NA</v>
      </c>
    </row>
    <row r="14" spans="1:38" ht="16.5" customHeight="1" x14ac:dyDescent="0.3">
      <c r="A14" s="24" t="s">
        <v>29</v>
      </c>
      <c r="B14" s="2"/>
      <c r="C14" s="3"/>
      <c r="D14" s="2"/>
      <c r="E14" s="3"/>
      <c r="F14" s="2"/>
      <c r="G14" s="3"/>
      <c r="H14" s="2"/>
      <c r="I14" s="3"/>
      <c r="J14" s="2"/>
      <c r="K14" s="3"/>
      <c r="L14" s="2"/>
      <c r="M14" s="3"/>
      <c r="N14" s="2"/>
      <c r="O14" s="3"/>
      <c r="P14" s="2"/>
      <c r="Q14" s="3"/>
      <c r="R14" s="2"/>
      <c r="S14" s="3"/>
      <c r="T14" s="2"/>
      <c r="U14" s="3"/>
      <c r="V14" s="2"/>
      <c r="W14" s="3"/>
      <c r="X14" s="2"/>
      <c r="Y14" s="3"/>
      <c r="Z14" s="2"/>
      <c r="AA14" s="3"/>
      <c r="AB14" s="2"/>
      <c r="AC14" s="3"/>
      <c r="AD14" s="4"/>
      <c r="AE14" s="5"/>
      <c r="AF14" s="4"/>
      <c r="AG14" s="2"/>
      <c r="AH14" s="3"/>
      <c r="AI14" s="4"/>
      <c r="AJ14" s="5"/>
      <c r="AK14" s="4"/>
      <c r="AL14" s="5"/>
    </row>
    <row r="15" spans="1:38" ht="16.5" hidden="1" customHeight="1" x14ac:dyDescent="0.3">
      <c r="A15" s="25" t="s">
        <v>30</v>
      </c>
      <c r="B15" s="7">
        <v>0</v>
      </c>
      <c r="C15" s="8">
        <f>IFERROR(B15/B148, "NA")</f>
        <v>0</v>
      </c>
      <c r="D15" s="7">
        <v>0</v>
      </c>
      <c r="E15" s="8">
        <f>IFERROR(D15/D148, "NA")</f>
        <v>0</v>
      </c>
      <c r="F15" s="7">
        <v>0</v>
      </c>
      <c r="G15" s="8">
        <f>IFERROR(F15/F148, "NA")</f>
        <v>0</v>
      </c>
      <c r="H15" s="7">
        <v>0</v>
      </c>
      <c r="I15" s="8">
        <f>IFERROR(H15/H148, "NA")</f>
        <v>0</v>
      </c>
      <c r="J15" s="7">
        <v>0</v>
      </c>
      <c r="K15" s="8">
        <f>IFERROR(J15/J148, "NA")</f>
        <v>0</v>
      </c>
      <c r="L15" s="7">
        <v>0</v>
      </c>
      <c r="M15" s="8">
        <f>IFERROR(L15/L148, "NA")</f>
        <v>0</v>
      </c>
      <c r="N15" s="7">
        <v>0</v>
      </c>
      <c r="O15" s="8">
        <f>IFERROR(N15/N148, "NA")</f>
        <v>0</v>
      </c>
      <c r="P15" s="7">
        <v>0</v>
      </c>
      <c r="Q15" s="8">
        <f>IFERROR(P15/P148, "NA")</f>
        <v>0</v>
      </c>
      <c r="R15" s="7">
        <v>0</v>
      </c>
      <c r="S15" s="8">
        <f>IFERROR(R15/R148, "NA")</f>
        <v>0</v>
      </c>
      <c r="T15" s="7">
        <v>0</v>
      </c>
      <c r="U15" s="8">
        <f>IFERROR(T15/T148, "NA")</f>
        <v>0</v>
      </c>
      <c r="V15" s="7">
        <v>0</v>
      </c>
      <c r="W15" s="8">
        <f>IFERROR(V15/V148, "NA")</f>
        <v>0</v>
      </c>
      <c r="X15" s="7">
        <v>0</v>
      </c>
      <c r="Y15" s="8">
        <f>IFERROR(X15/X148, "NA")</f>
        <v>0</v>
      </c>
      <c r="Z15" s="7">
        <v>0</v>
      </c>
      <c r="AA15" s="8">
        <f>IFERROR(Z15/Z148, "NA")</f>
        <v>0</v>
      </c>
      <c r="AB15" s="9">
        <f t="shared" ref="AB15:AB27" si="0">IFERROR((R15+T15+V15+X15)/4, "NA")</f>
        <v>0</v>
      </c>
      <c r="AC15" s="8">
        <f>IFERROR(AB15/AB148, "NA")</f>
        <v>0</v>
      </c>
      <c r="AD15" s="10">
        <f t="shared" ref="AD15:AD27" si="1">IFERROR(X15-AB15, "NA")</f>
        <v>0</v>
      </c>
      <c r="AE15" s="11">
        <f>IFERROR(AD15/AD148, "NA")</f>
        <v>0</v>
      </c>
      <c r="AF15" s="10" t="str">
        <f t="shared" ref="AF15:AF27" si="2">IFERROR((X15-AB15)/AB15, "NA")</f>
        <v>NA</v>
      </c>
      <c r="AG15" s="9">
        <f t="shared" ref="AG15:AG27" si="3">IFERROR((J15+L15+N15+P15+R15+T15+V15+X15)/8, "NA")</f>
        <v>0</v>
      </c>
      <c r="AH15" s="8">
        <f>IFERROR(AG15/AG148, "NA")</f>
        <v>0</v>
      </c>
      <c r="AI15" s="10">
        <f t="shared" ref="AI15:AI27" si="4">IFERROR(X15-AG15, "NA")</f>
        <v>0</v>
      </c>
      <c r="AJ15" s="11">
        <f>IFERROR(AI15/AI148, "NA")</f>
        <v>0</v>
      </c>
      <c r="AK15" s="10" t="str">
        <f t="shared" ref="AK15:AK27" si="5">IFERROR((X15-AG15)/AG15, "NA")</f>
        <v>NA</v>
      </c>
      <c r="AL15" s="11" t="str">
        <f>IFERROR(AK15/AK148, "NA")</f>
        <v>NA</v>
      </c>
    </row>
    <row r="16" spans="1:38" ht="16.5" customHeight="1" x14ac:dyDescent="0.3">
      <c r="A16" s="25" t="s">
        <v>31</v>
      </c>
      <c r="B16" s="7">
        <v>1491.5</v>
      </c>
      <c r="C16" s="8">
        <f>IFERROR(B16/B148, "NA")</f>
        <v>5.2106205127613915E-2</v>
      </c>
      <c r="D16" s="7">
        <v>1517.76</v>
      </c>
      <c r="E16" s="8">
        <f>IFERROR(D16/D148, "NA")</f>
        <v>5.2149568546982238E-2</v>
      </c>
      <c r="F16" s="7">
        <v>1624.9</v>
      </c>
      <c r="G16" s="8">
        <f>IFERROR(F16/F148, "NA")</f>
        <v>5.0660008025039123E-2</v>
      </c>
      <c r="H16" s="7">
        <v>1351.1</v>
      </c>
      <c r="I16" s="8">
        <f>IFERROR(H16/H148, "NA")</f>
        <v>5.1332689474272102E-2</v>
      </c>
      <c r="J16" s="7">
        <v>1548.56</v>
      </c>
      <c r="K16" s="8">
        <f>IFERROR(J16/J148, "NA")</f>
        <v>6.256722129877812E-2</v>
      </c>
      <c r="L16" s="7">
        <v>1343.64</v>
      </c>
      <c r="M16" s="8">
        <f>IFERROR(L16/L148, "NA")</f>
        <v>5.0755645811990609E-2</v>
      </c>
      <c r="N16" s="7">
        <v>1340.64</v>
      </c>
      <c r="O16" s="8">
        <f>IFERROR(N16/N148, "NA")</f>
        <v>5.3891327356931563E-2</v>
      </c>
      <c r="P16" s="7">
        <v>1291.1600000000001</v>
      </c>
      <c r="Q16" s="8">
        <f>IFERROR(P16/P148, "NA")</f>
        <v>4.2269184345119989E-2</v>
      </c>
      <c r="R16" s="7">
        <v>1648.44</v>
      </c>
      <c r="S16" s="8">
        <f>IFERROR(R16/R148, "NA")</f>
        <v>4.8728864914590581E-2</v>
      </c>
      <c r="T16" s="7">
        <v>1064.31</v>
      </c>
      <c r="U16" s="8">
        <f>IFERROR(T16/T148, "NA")</f>
        <v>4.2763690540525881E-2</v>
      </c>
      <c r="V16" s="7">
        <v>1557.6</v>
      </c>
      <c r="W16" s="8">
        <f>IFERROR(V16/V148, "NA")</f>
        <v>4.9726164499234601E-2</v>
      </c>
      <c r="X16" s="7">
        <v>1210.77</v>
      </c>
      <c r="Y16" s="8">
        <f>IFERROR(X16/X148, "NA")</f>
        <v>4.0100618349103938E-2</v>
      </c>
      <c r="Z16" s="7">
        <v>3832.68</v>
      </c>
      <c r="AA16" s="8">
        <f>IFERROR(Z16/Z148, "NA")</f>
        <v>4.4357144989955438E-2</v>
      </c>
      <c r="AB16" s="9">
        <f t="shared" si="0"/>
        <v>1370.2800000000002</v>
      </c>
      <c r="AC16" s="8">
        <f>IFERROR(AB16/AB148, "NA")</f>
        <v>4.5587165809559113E-2</v>
      </c>
      <c r="AD16" s="10">
        <f t="shared" si="1"/>
        <v>-159.51000000000022</v>
      </c>
      <c r="AE16" s="11">
        <f>IFERROR(AD16/AD148, "NA")</f>
        <v>-1.182957579353308</v>
      </c>
      <c r="AF16" s="10">
        <f t="shared" si="2"/>
        <v>-0.11640686575006583</v>
      </c>
      <c r="AG16" s="9">
        <f t="shared" si="3"/>
        <v>1375.64</v>
      </c>
      <c r="AH16" s="8">
        <f>IFERROR(AG16/AG148, "NA")</f>
        <v>4.8506398278982676E-2</v>
      </c>
      <c r="AI16" s="10">
        <f t="shared" si="4"/>
        <v>-164.87000000000012</v>
      </c>
      <c r="AJ16" s="11">
        <f>IFERROR(AI16/AI148, "NA")</f>
        <v>-8.9929254416826018E-2</v>
      </c>
      <c r="AK16" s="10">
        <f t="shared" si="5"/>
        <v>-0.11984966997179503</v>
      </c>
      <c r="AL16" s="11">
        <f>IFERROR(AK16/AK148, "NA")</f>
        <v>-1.8539668498906343</v>
      </c>
    </row>
    <row r="17" spans="1:38" ht="16.5" customHeight="1" x14ac:dyDescent="0.3">
      <c r="A17" s="25" t="s">
        <v>32</v>
      </c>
      <c r="B17" s="7">
        <v>725.45</v>
      </c>
      <c r="C17" s="8">
        <f>IFERROR(B17/B148, "NA")</f>
        <v>2.53439131812454E-2</v>
      </c>
      <c r="D17" s="7">
        <v>756.71</v>
      </c>
      <c r="E17" s="8">
        <f>IFERROR(D17/D148, "NA")</f>
        <v>2.6000224024343065E-2</v>
      </c>
      <c r="F17" s="7">
        <v>728.94</v>
      </c>
      <c r="G17" s="8">
        <f>IFERROR(F17/F148, "NA")</f>
        <v>2.2726387008290983E-2</v>
      </c>
      <c r="H17" s="7">
        <v>680.32</v>
      </c>
      <c r="I17" s="8">
        <f>IFERROR(H17/H148, "NA")</f>
        <v>2.584757257281978E-2</v>
      </c>
      <c r="J17" s="7">
        <v>699.69</v>
      </c>
      <c r="K17" s="8">
        <f>IFERROR(J17/J148, "NA")</f>
        <v>2.8269914675919605E-2</v>
      </c>
      <c r="L17" s="7">
        <v>812.87</v>
      </c>
      <c r="M17" s="8">
        <f>IFERROR(L17/L148, "NA")</f>
        <v>3.0705949369766308E-2</v>
      </c>
      <c r="N17" s="7">
        <v>735.9</v>
      </c>
      <c r="O17" s="8">
        <f>IFERROR(N17/N148, "NA")</f>
        <v>2.9581862246364374E-2</v>
      </c>
      <c r="P17" s="7">
        <v>790.03</v>
      </c>
      <c r="Q17" s="8">
        <f>IFERROR(P17/P148, "NA")</f>
        <v>2.5863505458792978E-2</v>
      </c>
      <c r="R17" s="7">
        <v>808.58</v>
      </c>
      <c r="S17" s="8">
        <f>IFERROR(R17/R148, "NA")</f>
        <v>2.3902104773385533E-2</v>
      </c>
      <c r="T17" s="7">
        <v>591.70000000000005</v>
      </c>
      <c r="U17" s="8">
        <f>IFERROR(T17/T148, "NA")</f>
        <v>2.3774347410838163E-2</v>
      </c>
      <c r="V17" s="7">
        <v>1035.24</v>
      </c>
      <c r="W17" s="8">
        <f>IFERROR(V17/V148, "NA")</f>
        <v>3.3049893770022876E-2</v>
      </c>
      <c r="X17" s="7">
        <v>689.43</v>
      </c>
      <c r="Y17" s="8">
        <f>IFERROR(X17/X148, "NA")</f>
        <v>2.2833873740200638E-2</v>
      </c>
      <c r="Z17" s="7">
        <v>2316.37</v>
      </c>
      <c r="AA17" s="8">
        <f>IFERROR(Z17/Z148, "NA")</f>
        <v>2.6808280352229531E-2</v>
      </c>
      <c r="AB17" s="9">
        <f t="shared" si="0"/>
        <v>781.23750000000007</v>
      </c>
      <c r="AC17" s="8">
        <f>IFERROR(AB17/AB148, "NA")</f>
        <v>2.5990602978329565E-2</v>
      </c>
      <c r="AD17" s="10">
        <f t="shared" si="1"/>
        <v>-91.807500000000118</v>
      </c>
      <c r="AE17" s="11">
        <f>IFERROR(AD17/AD148, "NA")</f>
        <v>-0.68086250370809864</v>
      </c>
      <c r="AF17" s="10">
        <f t="shared" si="2"/>
        <v>-0.1175154802476841</v>
      </c>
      <c r="AG17" s="9">
        <f t="shared" si="3"/>
        <v>770.43</v>
      </c>
      <c r="AH17" s="8">
        <f>IFERROR(AG17/AG148, "NA")</f>
        <v>2.7166107721552601E-2</v>
      </c>
      <c r="AI17" s="10">
        <f t="shared" si="4"/>
        <v>-81</v>
      </c>
      <c r="AJ17" s="11">
        <f>IFERROR(AI17/AI148, "NA")</f>
        <v>-4.4181898512542624E-2</v>
      </c>
      <c r="AK17" s="10">
        <f t="shared" si="5"/>
        <v>-0.10513609283127605</v>
      </c>
      <c r="AL17" s="11">
        <f>IFERROR(AK17/AK148, "NA")</f>
        <v>-1.6263610144448595</v>
      </c>
    </row>
    <row r="18" spans="1:38" ht="16.5" customHeight="1" x14ac:dyDescent="0.3">
      <c r="A18" s="25" t="s">
        <v>33</v>
      </c>
      <c r="B18" s="7">
        <v>1245.3900000000001</v>
      </c>
      <c r="C18" s="8">
        <f>IFERROR(B18/B148, "NA")</f>
        <v>4.3508244588588062E-2</v>
      </c>
      <c r="D18" s="7">
        <v>1189.26</v>
      </c>
      <c r="E18" s="8">
        <f>IFERROR(D18/D148, "NA")</f>
        <v>4.0862452489315894E-2</v>
      </c>
      <c r="F18" s="7">
        <v>1477.68</v>
      </c>
      <c r="G18" s="8">
        <f>IFERROR(F18/F148, "NA")</f>
        <v>4.6070084718099459E-2</v>
      </c>
      <c r="H18" s="7">
        <v>1025.48</v>
      </c>
      <c r="I18" s="8">
        <f>IFERROR(H18/H148, "NA")</f>
        <v>3.8961325144013445E-2</v>
      </c>
      <c r="J18" s="7">
        <v>1100.58</v>
      </c>
      <c r="K18" s="8">
        <f>IFERROR(J18/J148, "NA")</f>
        <v>4.4467267924400228E-2</v>
      </c>
      <c r="L18" s="7">
        <v>1361.16</v>
      </c>
      <c r="M18" s="8">
        <f>IFERROR(L18/L148, "NA")</f>
        <v>5.1417459180620656E-2</v>
      </c>
      <c r="N18" s="7">
        <v>1063.78</v>
      </c>
      <c r="O18" s="8">
        <f>IFERROR(N18/N148, "NA")</f>
        <v>4.2762051121670731E-2</v>
      </c>
      <c r="P18" s="7">
        <v>1288.9100000000001</v>
      </c>
      <c r="Q18" s="8">
        <f>IFERROR(P18/P148, "NA")</f>
        <v>4.2195525259664649E-2</v>
      </c>
      <c r="R18" s="7">
        <v>1385.16</v>
      </c>
      <c r="S18" s="8">
        <f>IFERROR(R18/R148, "NA")</f>
        <v>4.09461518314857E-2</v>
      </c>
      <c r="T18" s="7">
        <v>1064.04</v>
      </c>
      <c r="U18" s="8">
        <f>IFERROR(T18/T148, "NA")</f>
        <v>4.2752842012892069E-2</v>
      </c>
      <c r="V18" s="7">
        <v>1439.44</v>
      </c>
      <c r="W18" s="8">
        <f>IFERROR(V18/V148, "NA")</f>
        <v>4.5953922847186864E-2</v>
      </c>
      <c r="X18" s="7">
        <v>543.55999999999995</v>
      </c>
      <c r="Y18" s="8">
        <f>IFERROR(X18/X148, "NA")</f>
        <v>1.8002669466404796E-2</v>
      </c>
      <c r="Z18" s="7">
        <v>3047.04</v>
      </c>
      <c r="AA18" s="8">
        <f>IFERROR(Z18/Z148, "NA")</f>
        <v>3.5264617727071873E-2</v>
      </c>
      <c r="AB18" s="9">
        <f t="shared" si="0"/>
        <v>1108.05</v>
      </c>
      <c r="AC18" s="8">
        <f>IFERROR(AB18/AB148, "NA")</f>
        <v>3.6863165977232368E-2</v>
      </c>
      <c r="AD18" s="10">
        <f t="shared" si="1"/>
        <v>-564.49</v>
      </c>
      <c r="AE18" s="11">
        <f>IFERROR(AD18/AD148, "NA")</f>
        <v>-4.1863690299614316</v>
      </c>
      <c r="AF18" s="10">
        <f t="shared" si="2"/>
        <v>-0.50944451965164028</v>
      </c>
      <c r="AG18" s="9">
        <f t="shared" si="3"/>
        <v>1155.8287499999999</v>
      </c>
      <c r="AH18" s="8">
        <f>IFERROR(AG18/AG148, "NA")</f>
        <v>4.0755640785233561E-2</v>
      </c>
      <c r="AI18" s="10">
        <f t="shared" si="4"/>
        <v>-612.26874999999995</v>
      </c>
      <c r="AJ18" s="11">
        <f>IFERROR(AI18/AI148, "NA")</f>
        <v>-0.33396537993705344</v>
      </c>
      <c r="AK18" s="10">
        <f t="shared" si="5"/>
        <v>-0.52972272060199233</v>
      </c>
      <c r="AL18" s="11">
        <f>IFERROR(AK18/AK148, "NA")</f>
        <v>-8.1943351522043688</v>
      </c>
    </row>
    <row r="19" spans="1:38" ht="16.5" customHeight="1" x14ac:dyDescent="0.3">
      <c r="A19" s="25" t="s">
        <v>34</v>
      </c>
      <c r="B19" s="7">
        <v>604.28</v>
      </c>
      <c r="C19" s="8">
        <f>IFERROR(B19/B148, "NA")</f>
        <v>2.1110786211541759E-2</v>
      </c>
      <c r="D19" s="7">
        <v>702.46</v>
      </c>
      <c r="E19" s="8">
        <f>IFERROR(D19/D148, "NA")</f>
        <v>2.4136217795641696E-2</v>
      </c>
      <c r="F19" s="7">
        <v>584.04999999999995</v>
      </c>
      <c r="G19" s="8">
        <f>IFERROR(F19/F148, "NA")</f>
        <v>1.8209106829358172E-2</v>
      </c>
      <c r="H19" s="7">
        <v>658.7</v>
      </c>
      <c r="I19" s="8">
        <f>IFERROR(H19/H148, "NA")</f>
        <v>2.5026158357414729E-2</v>
      </c>
      <c r="J19" s="7">
        <v>601.57000000000005</v>
      </c>
      <c r="K19" s="8">
        <f>IFERROR(J19/J148, "NA")</f>
        <v>2.4305524691782012E-2</v>
      </c>
      <c r="L19" s="7">
        <v>626.01</v>
      </c>
      <c r="M19" s="8">
        <f>IFERROR(L19/L148, "NA")</f>
        <v>2.3647362265758864E-2</v>
      </c>
      <c r="N19" s="7">
        <v>515.22</v>
      </c>
      <c r="O19" s="8">
        <f>IFERROR(N19/N148, "NA")</f>
        <v>2.0710921411294814E-2</v>
      </c>
      <c r="P19" s="7">
        <v>709.53</v>
      </c>
      <c r="Q19" s="8">
        <f>IFERROR(P19/P148, "NA")</f>
        <v>2.3228147068057391E-2</v>
      </c>
      <c r="R19" s="7">
        <v>517.1</v>
      </c>
      <c r="S19" s="8">
        <f>IFERROR(R19/R148, "NA")</f>
        <v>1.5285782950750278E-2</v>
      </c>
      <c r="T19" s="7">
        <v>448.49</v>
      </c>
      <c r="U19" s="8">
        <f>IFERROR(T19/T148, "NA")</f>
        <v>1.8020207994400555E-2</v>
      </c>
      <c r="V19" s="7">
        <v>675.3</v>
      </c>
      <c r="W19" s="8">
        <f>IFERROR(V19/V148, "NA")</f>
        <v>2.1558859069294507E-2</v>
      </c>
      <c r="X19" s="7">
        <v>756.02</v>
      </c>
      <c r="Y19" s="8">
        <f>IFERROR(X19/X148, "NA")</f>
        <v>2.5039329917564492E-2</v>
      </c>
      <c r="Z19" s="7">
        <v>1879.81</v>
      </c>
      <c r="AA19" s="8">
        <f>IFERROR(Z19/Z148, "NA")</f>
        <v>2.1755796133141336E-2</v>
      </c>
      <c r="AB19" s="9">
        <f t="shared" si="0"/>
        <v>599.22749999999996</v>
      </c>
      <c r="AC19" s="8">
        <f>IFERROR(AB19/AB148, "NA")</f>
        <v>1.9935402545572859E-2</v>
      </c>
      <c r="AD19" s="10">
        <f t="shared" si="1"/>
        <v>156.79250000000002</v>
      </c>
      <c r="AE19" s="11">
        <f>IFERROR(AD19/AD148, "NA")</f>
        <v>1.1628040640759407</v>
      </c>
      <c r="AF19" s="10">
        <f t="shared" si="2"/>
        <v>0.26165771764480106</v>
      </c>
      <c r="AG19" s="9">
        <f t="shared" si="3"/>
        <v>606.15499999999997</v>
      </c>
      <c r="AH19" s="8">
        <f>IFERROR(AG19/AG148, "NA")</f>
        <v>2.1373612172368311E-2</v>
      </c>
      <c r="AI19" s="10">
        <f t="shared" si="4"/>
        <v>149.86500000000001</v>
      </c>
      <c r="AJ19" s="11">
        <f>IFERROR(AI19/AI148, "NA")</f>
        <v>8.1744694081261726E-2</v>
      </c>
      <c r="AK19" s="10">
        <f t="shared" si="5"/>
        <v>0.24723874256584538</v>
      </c>
      <c r="AL19" s="11">
        <f>IFERROR(AK19/AK148, "NA")</f>
        <v>3.8245614930236647</v>
      </c>
    </row>
    <row r="20" spans="1:38" ht="16.5" customHeight="1" x14ac:dyDescent="0.3">
      <c r="A20" s="25" t="s">
        <v>35</v>
      </c>
      <c r="B20" s="7">
        <v>437.46</v>
      </c>
      <c r="C20" s="8">
        <f>IFERROR(B20/B148, "NA")</f>
        <v>1.5282856517013733E-2</v>
      </c>
      <c r="D20" s="7">
        <v>240.58</v>
      </c>
      <c r="E20" s="8">
        <f>IFERROR(D20/D148, "NA")</f>
        <v>8.266223382506448E-3</v>
      </c>
      <c r="F20" s="7">
        <v>470.65</v>
      </c>
      <c r="G20" s="8">
        <f>IFERROR(F20/F148, "NA")</f>
        <v>1.4673600084303441E-2</v>
      </c>
      <c r="H20" s="7">
        <v>416.66</v>
      </c>
      <c r="I20" s="8">
        <f>IFERROR(H20/H148, "NA")</f>
        <v>1.583027044360167E-2</v>
      </c>
      <c r="J20" s="7">
        <v>344.72</v>
      </c>
      <c r="K20" s="8">
        <f>IFERROR(J20/J148, "NA")</f>
        <v>1.3927889475457712E-2</v>
      </c>
      <c r="L20" s="7">
        <v>354.94</v>
      </c>
      <c r="M20" s="8">
        <f>IFERROR(L20/L148, "NA")</f>
        <v>1.3407764672462821E-2</v>
      </c>
      <c r="N20" s="7">
        <v>284.64999999999998</v>
      </c>
      <c r="O20" s="8">
        <f>IFERROR(N20/N148, "NA")</f>
        <v>1.1442420285945942E-2</v>
      </c>
      <c r="P20" s="7">
        <v>445.93</v>
      </c>
      <c r="Q20" s="8">
        <f>IFERROR(P20/P148, "NA")</f>
        <v>1.4598575989822605E-2</v>
      </c>
      <c r="R20" s="7">
        <v>523.4</v>
      </c>
      <c r="S20" s="8">
        <f>IFERROR(R20/R148, "NA")</f>
        <v>1.5472014690432596E-2</v>
      </c>
      <c r="T20" s="7">
        <v>323.89999999999998</v>
      </c>
      <c r="U20" s="8">
        <f>IFERROR(T20/T148, "NA")</f>
        <v>1.3014215187376171E-2</v>
      </c>
      <c r="V20" s="7">
        <v>678.43</v>
      </c>
      <c r="W20" s="8">
        <f>IFERROR(V20/V148, "NA")</f>
        <v>2.1658783886245331E-2</v>
      </c>
      <c r="X20" s="7">
        <v>219.33</v>
      </c>
      <c r="Y20" s="8">
        <f>IFERROR(X20/X148, "NA")</f>
        <v>7.264194374248592E-3</v>
      </c>
      <c r="Z20" s="7">
        <v>1221.6600000000001</v>
      </c>
      <c r="AA20" s="8">
        <f>IFERROR(Z20/Z148, "NA")</f>
        <v>1.4138761845087241E-2</v>
      </c>
      <c r="AB20" s="9">
        <f t="shared" si="0"/>
        <v>436.26499999999999</v>
      </c>
      <c r="AC20" s="8">
        <f>IFERROR(AB20/AB148, "NA")</f>
        <v>1.4513883944819528E-2</v>
      </c>
      <c r="AD20" s="10">
        <f t="shared" si="1"/>
        <v>-216.93499999999997</v>
      </c>
      <c r="AE20" s="11">
        <f>IFERROR(AD20/AD148, "NA")</f>
        <v>-1.6088326905962602</v>
      </c>
      <c r="AF20" s="10">
        <f t="shared" si="2"/>
        <v>-0.4972551087068639</v>
      </c>
      <c r="AG20" s="9">
        <f t="shared" si="3"/>
        <v>396.91249999999997</v>
      </c>
      <c r="AH20" s="8">
        <f>IFERROR(AG20/AG148, "NA")</f>
        <v>1.3995519036162593E-2</v>
      </c>
      <c r="AI20" s="10">
        <f t="shared" si="4"/>
        <v>-177.58249999999995</v>
      </c>
      <c r="AJ20" s="11">
        <f>IFERROR(AI20/AI148, "NA")</f>
        <v>-9.6863357933377747E-2</v>
      </c>
      <c r="AK20" s="10">
        <f t="shared" si="5"/>
        <v>-0.44740969357226079</v>
      </c>
      <c r="AL20" s="11">
        <f>IFERROR(AK20/AK148, "NA")</f>
        <v>-6.9210264859127753</v>
      </c>
    </row>
    <row r="21" spans="1:38" ht="16.5" customHeight="1" x14ac:dyDescent="0.3">
      <c r="A21" s="25" t="s">
        <v>36</v>
      </c>
      <c r="B21" s="7">
        <v>209.29</v>
      </c>
      <c r="C21" s="8">
        <f>IFERROR(B21/B148, "NA")</f>
        <v>7.3116377278969599E-3</v>
      </c>
      <c r="D21" s="7">
        <v>306.02999999999997</v>
      </c>
      <c r="E21" s="8">
        <f>IFERROR(D21/D148, "NA")</f>
        <v>1.0515056703584869E-2</v>
      </c>
      <c r="F21" s="7">
        <v>201.86</v>
      </c>
      <c r="G21" s="8">
        <f>IFERROR(F21/F148, "NA")</f>
        <v>6.2934514246626855E-3</v>
      </c>
      <c r="H21" s="7">
        <v>176.3</v>
      </c>
      <c r="I21" s="8">
        <f>IFERROR(H21/H148, "NA")</f>
        <v>6.6982112014759626E-3</v>
      </c>
      <c r="J21" s="7">
        <v>173.51</v>
      </c>
      <c r="K21" s="8">
        <f>IFERROR(J21/J148, "NA")</f>
        <v>7.0104087459000562E-3</v>
      </c>
      <c r="L21" s="7">
        <v>131.99</v>
      </c>
      <c r="M21" s="8">
        <f>IFERROR(L21/L148, "NA")</f>
        <v>4.9858873587602633E-3</v>
      </c>
      <c r="N21" s="7">
        <v>138.72</v>
      </c>
      <c r="O21" s="8">
        <f>IFERROR(N21/N148, "NA")</f>
        <v>5.5762955983362766E-3</v>
      </c>
      <c r="P21" s="7">
        <v>244.05</v>
      </c>
      <c r="Q21" s="8">
        <f>IFERROR(P21/P148, "NA")</f>
        <v>7.9895554690561452E-3</v>
      </c>
      <c r="R21" s="7">
        <v>228.17</v>
      </c>
      <c r="S21" s="8">
        <f>IFERROR(R21/R148, "NA")</f>
        <v>6.7448406417959595E-3</v>
      </c>
      <c r="T21" s="7">
        <v>191.21</v>
      </c>
      <c r="U21" s="8">
        <f>IFERROR(T21/T148, "NA")</f>
        <v>7.6827665513374433E-3</v>
      </c>
      <c r="V21" s="7">
        <v>172.15</v>
      </c>
      <c r="W21" s="8">
        <f>IFERROR(V21/V148, "NA")</f>
        <v>5.4958649322953499E-3</v>
      </c>
      <c r="X21" s="7">
        <v>227.91</v>
      </c>
      <c r="Y21" s="8">
        <f>IFERROR(X21/X148, "NA")</f>
        <v>7.5483633786303586E-3</v>
      </c>
      <c r="Z21" s="7">
        <v>591.27</v>
      </c>
      <c r="AA21" s="8">
        <f>IFERROR(Z21/Z148, "NA")</f>
        <v>6.8430051865042097E-3</v>
      </c>
      <c r="AB21" s="9">
        <f t="shared" si="0"/>
        <v>204.85999999999999</v>
      </c>
      <c r="AC21" s="8">
        <f>IFERROR(AB21/AB148, "NA")</f>
        <v>6.815385751631986E-3</v>
      </c>
      <c r="AD21" s="10">
        <f t="shared" si="1"/>
        <v>23.050000000000011</v>
      </c>
      <c r="AE21" s="11">
        <f>IFERROR(AD21/AD148, "NA")</f>
        <v>0.17094334025511707</v>
      </c>
      <c r="AF21" s="10">
        <f t="shared" si="2"/>
        <v>0.11251586449282443</v>
      </c>
      <c r="AG21" s="9">
        <f t="shared" si="3"/>
        <v>188.46375</v>
      </c>
      <c r="AH21" s="8">
        <f>IFERROR(AG21/AG148, "NA")</f>
        <v>6.6454142934565886E-3</v>
      </c>
      <c r="AI21" s="10">
        <f t="shared" si="4"/>
        <v>39.446249999999992</v>
      </c>
      <c r="AJ21" s="11">
        <f>IFERROR(AI21/AI148, "NA")</f>
        <v>2.1516175483955357E-2</v>
      </c>
      <c r="AK21" s="10">
        <f t="shared" si="5"/>
        <v>0.20930417653262226</v>
      </c>
      <c r="AL21" s="11">
        <f>IFERROR(AK21/AK148, "NA")</f>
        <v>3.2377477962722763</v>
      </c>
    </row>
    <row r="22" spans="1:38" ht="16.5" hidden="1" customHeight="1" x14ac:dyDescent="0.3">
      <c r="A22" s="25" t="s">
        <v>37</v>
      </c>
      <c r="B22" s="7">
        <v>0</v>
      </c>
      <c r="C22" s="8">
        <f>IFERROR(B22/B148, "NA")</f>
        <v>0</v>
      </c>
      <c r="D22" s="7">
        <v>0</v>
      </c>
      <c r="E22" s="8">
        <f>IFERROR(D22/D148, "NA")</f>
        <v>0</v>
      </c>
      <c r="F22" s="7">
        <v>0</v>
      </c>
      <c r="G22" s="8">
        <f>IFERROR(F22/F148, "NA")</f>
        <v>0</v>
      </c>
      <c r="H22" s="7">
        <v>0</v>
      </c>
      <c r="I22" s="8">
        <f>IFERROR(H22/H148, "NA")</f>
        <v>0</v>
      </c>
      <c r="J22" s="7">
        <v>0</v>
      </c>
      <c r="K22" s="8">
        <f>IFERROR(J22/J148, "NA")</f>
        <v>0</v>
      </c>
      <c r="L22" s="7">
        <v>0</v>
      </c>
      <c r="M22" s="8">
        <f>IFERROR(L22/L148, "NA")</f>
        <v>0</v>
      </c>
      <c r="N22" s="7">
        <v>0</v>
      </c>
      <c r="O22" s="8">
        <f>IFERROR(N22/N148, "NA")</f>
        <v>0</v>
      </c>
      <c r="P22" s="7">
        <v>0</v>
      </c>
      <c r="Q22" s="8">
        <f>IFERROR(P22/P148, "NA")</f>
        <v>0</v>
      </c>
      <c r="R22" s="7">
        <v>0</v>
      </c>
      <c r="S22" s="8">
        <f>IFERROR(R22/R148, "NA")</f>
        <v>0</v>
      </c>
      <c r="T22" s="7">
        <v>0</v>
      </c>
      <c r="U22" s="8">
        <f>IFERROR(T22/T148, "NA")</f>
        <v>0</v>
      </c>
      <c r="V22" s="7">
        <v>0</v>
      </c>
      <c r="W22" s="8">
        <f>IFERROR(V22/V148, "NA")</f>
        <v>0</v>
      </c>
      <c r="X22" s="7">
        <v>0</v>
      </c>
      <c r="Y22" s="8">
        <f>IFERROR(X22/X148, "NA")</f>
        <v>0</v>
      </c>
      <c r="Z22" s="7">
        <v>0</v>
      </c>
      <c r="AA22" s="8">
        <f>IFERROR(Z22/Z148, "NA")</f>
        <v>0</v>
      </c>
      <c r="AB22" s="9">
        <f t="shared" si="0"/>
        <v>0</v>
      </c>
      <c r="AC22" s="8">
        <f>IFERROR(AB22/AB148, "NA")</f>
        <v>0</v>
      </c>
      <c r="AD22" s="10">
        <f t="shared" si="1"/>
        <v>0</v>
      </c>
      <c r="AE22" s="11">
        <f>IFERROR(AD22/AD148, "NA")</f>
        <v>0</v>
      </c>
      <c r="AF22" s="10" t="str">
        <f t="shared" si="2"/>
        <v>NA</v>
      </c>
      <c r="AG22" s="9">
        <f t="shared" si="3"/>
        <v>0</v>
      </c>
      <c r="AH22" s="8">
        <f>IFERROR(AG22/AG148, "NA")</f>
        <v>0</v>
      </c>
      <c r="AI22" s="10">
        <f t="shared" si="4"/>
        <v>0</v>
      </c>
      <c r="AJ22" s="11">
        <f>IFERROR(AI22/AI148, "NA")</f>
        <v>0</v>
      </c>
      <c r="AK22" s="10" t="str">
        <f t="shared" si="5"/>
        <v>NA</v>
      </c>
      <c r="AL22" s="11" t="str">
        <f>IFERROR(AK22/AK148, "NA")</f>
        <v>NA</v>
      </c>
    </row>
    <row r="23" spans="1:38" ht="16.5" customHeight="1" x14ac:dyDescent="0.3">
      <c r="A23" s="25" t="s">
        <v>38</v>
      </c>
      <c r="B23" s="7">
        <v>90.34</v>
      </c>
      <c r="C23" s="8">
        <f>IFERROR(B23/B148, "NA")</f>
        <v>3.1560674295867523E-3</v>
      </c>
      <c r="D23" s="7">
        <v>94.48</v>
      </c>
      <c r="E23" s="8">
        <f>IFERROR(D23/D148, "NA")</f>
        <v>3.2462914006950254E-3</v>
      </c>
      <c r="F23" s="7">
        <v>181.11</v>
      </c>
      <c r="G23" s="8">
        <f>IFERROR(F23/F148, "NA")</f>
        <v>5.6465222803956158E-3</v>
      </c>
      <c r="H23" s="7">
        <v>158.31</v>
      </c>
      <c r="I23" s="8">
        <f>IFERROR(H23/H148, "NA")</f>
        <v>6.0147125088239346E-3</v>
      </c>
      <c r="J23" s="7">
        <v>150.68</v>
      </c>
      <c r="K23" s="8">
        <f>IFERROR(J23/J148, "NA")</f>
        <v>6.0879971749883037E-3</v>
      </c>
      <c r="L23" s="7">
        <v>57.17</v>
      </c>
      <c r="M23" s="8">
        <f>IFERROR(L23/L148, "NA")</f>
        <v>2.1595816372477024E-3</v>
      </c>
      <c r="N23" s="7">
        <v>178.14</v>
      </c>
      <c r="O23" s="8">
        <f>IFERROR(N23/N148, "NA")</f>
        <v>7.1609090101472338E-3</v>
      </c>
      <c r="P23" s="7">
        <v>131.59</v>
      </c>
      <c r="Q23" s="8">
        <f>IFERROR(P23/P148, "NA")</f>
        <v>4.3079106911415622E-3</v>
      </c>
      <c r="R23" s="7">
        <v>183.04</v>
      </c>
      <c r="S23" s="8">
        <f>IFERROR(R23/R148, "NA")</f>
        <v>5.4107710526113528E-3</v>
      </c>
      <c r="T23" s="7">
        <v>233.65</v>
      </c>
      <c r="U23" s="8">
        <f>IFERROR(T23/T148, "NA")</f>
        <v>9.3879943764447141E-3</v>
      </c>
      <c r="V23" s="7">
        <v>183.79</v>
      </c>
      <c r="W23" s="8">
        <f>IFERROR(V23/V148, "NA")</f>
        <v>5.8674703218504929E-3</v>
      </c>
      <c r="X23" s="7">
        <v>88.56</v>
      </c>
      <c r="Y23" s="8">
        <f>IFERROR(X23/X148, "NA")</f>
        <v>2.9331010522201948E-3</v>
      </c>
      <c r="Z23" s="7">
        <v>506</v>
      </c>
      <c r="AA23" s="8">
        <f>IFERROR(Z23/Z148, "NA")</f>
        <v>5.8561412288313805E-3</v>
      </c>
      <c r="AB23" s="9">
        <f t="shared" si="0"/>
        <v>172.26</v>
      </c>
      <c r="AC23" s="8">
        <f>IFERROR(AB23/AB148, "NA")</f>
        <v>5.7308325177005074E-3</v>
      </c>
      <c r="AD23" s="10">
        <f t="shared" si="1"/>
        <v>-83.699999999999989</v>
      </c>
      <c r="AE23" s="11">
        <f>IFERROR(AD23/AD148, "NA")</f>
        <v>-0.62073568673983903</v>
      </c>
      <c r="AF23" s="10">
        <f t="shared" si="2"/>
        <v>-0.48589341692789967</v>
      </c>
      <c r="AG23" s="9">
        <f t="shared" si="3"/>
        <v>150.82749999999999</v>
      </c>
      <c r="AH23" s="8">
        <f>IFERROR(AG23/AG148, "NA")</f>
        <v>5.318323679467927E-3</v>
      </c>
      <c r="AI23" s="10">
        <f t="shared" si="4"/>
        <v>-62.267499999999984</v>
      </c>
      <c r="AJ23" s="11">
        <f>IFERROR(AI23/AI148, "NA")</f>
        <v>-3.396415266209564E-2</v>
      </c>
      <c r="AK23" s="10">
        <f t="shared" si="5"/>
        <v>-0.41283917057565755</v>
      </c>
      <c r="AL23" s="11">
        <f>IFERROR(AK23/AK148, "NA")</f>
        <v>-6.3862515162848439</v>
      </c>
    </row>
    <row r="24" spans="1:38" ht="16.5" customHeight="1" x14ac:dyDescent="0.3">
      <c r="A24" s="25" t="s">
        <v>39</v>
      </c>
      <c r="B24" s="7">
        <v>1646.9</v>
      </c>
      <c r="C24" s="8">
        <f>IFERROR(B24/B148, "NA")</f>
        <v>5.7535172125154112E-2</v>
      </c>
      <c r="D24" s="7">
        <v>1726.67</v>
      </c>
      <c r="E24" s="8">
        <f>IFERROR(D24/D148, "NA")</f>
        <v>5.9327624606668919E-2</v>
      </c>
      <c r="F24" s="7">
        <v>2331.9699999999998</v>
      </c>
      <c r="G24" s="8">
        <f>IFERROR(F24/F148, "NA")</f>
        <v>7.2704547303926684E-2</v>
      </c>
      <c r="H24" s="7">
        <v>1901.52</v>
      </c>
      <c r="I24" s="8">
        <f>IFERROR(H24/H148, "NA")</f>
        <v>7.2244937968409362E-2</v>
      </c>
      <c r="J24" s="7">
        <v>1288.21</v>
      </c>
      <c r="K24" s="8">
        <f>IFERROR(J24/J148, "NA")</f>
        <v>5.2048173883671903E-2</v>
      </c>
      <c r="L24" s="7">
        <v>1697.53</v>
      </c>
      <c r="M24" s="8">
        <f>IFERROR(L24/L148, "NA")</f>
        <v>6.4123747012018409E-2</v>
      </c>
      <c r="N24" s="7">
        <v>1511.09</v>
      </c>
      <c r="O24" s="8">
        <f>IFERROR(N24/N148, "NA")</f>
        <v>6.0743112137326728E-2</v>
      </c>
      <c r="P24" s="7">
        <v>2023.88</v>
      </c>
      <c r="Q24" s="8">
        <f>IFERROR(P24/P148, "NA")</f>
        <v>6.6256511053937109E-2</v>
      </c>
      <c r="R24" s="7">
        <v>1939.95</v>
      </c>
      <c r="S24" s="8">
        <f>IFERROR(R24/R148, "NA")</f>
        <v>5.7346073555033843E-2</v>
      </c>
      <c r="T24" s="7">
        <v>2170.73</v>
      </c>
      <c r="U24" s="8">
        <f>IFERROR(T24/T148, "NA")</f>
        <v>8.7219349594606602E-2</v>
      </c>
      <c r="V24" s="7">
        <v>1835.14</v>
      </c>
      <c r="W24" s="8">
        <f>IFERROR(V24/V148, "NA")</f>
        <v>5.8586590600362989E-2</v>
      </c>
      <c r="X24" s="7">
        <v>1723.82</v>
      </c>
      <c r="Y24" s="8">
        <f>IFERROR(X24/X148, "NA")</f>
        <v>5.7092798733493856E-2</v>
      </c>
      <c r="Z24" s="7">
        <v>5729.69</v>
      </c>
      <c r="AA24" s="8">
        <f>IFERROR(Z24/Z148, "NA")</f>
        <v>6.6312003631270489E-2</v>
      </c>
      <c r="AB24" s="9">
        <f t="shared" si="0"/>
        <v>1917.41</v>
      </c>
      <c r="AC24" s="8">
        <f>IFERROR(AB24/AB148, "NA")</f>
        <v>6.378936246234837E-2</v>
      </c>
      <c r="AD24" s="10">
        <f t="shared" si="1"/>
        <v>-193.59000000000015</v>
      </c>
      <c r="AE24" s="11">
        <f>IFERROR(AD24/AD148, "NA")</f>
        <v>-1.435701572233758</v>
      </c>
      <c r="AF24" s="10">
        <f t="shared" si="2"/>
        <v>-0.10096432166307683</v>
      </c>
      <c r="AG24" s="9">
        <f t="shared" si="3"/>
        <v>1773.7937499999998</v>
      </c>
      <c r="AH24" s="8">
        <f>IFERROR(AG24/AG148, "NA")</f>
        <v>6.2545684991909378E-2</v>
      </c>
      <c r="AI24" s="10">
        <f t="shared" si="4"/>
        <v>-49.973749999999882</v>
      </c>
      <c r="AJ24" s="11">
        <f>IFERROR(AI24/AI148, "NA")</f>
        <v>-2.7258458651742857E-2</v>
      </c>
      <c r="AK24" s="10">
        <f t="shared" si="5"/>
        <v>-2.8173371340382662E-2</v>
      </c>
      <c r="AL24" s="11">
        <f>IFERROR(AK24/AK148, "NA")</f>
        <v>-0.43581677385528494</v>
      </c>
    </row>
    <row r="25" spans="1:38" ht="16.5" hidden="1" customHeight="1" x14ac:dyDescent="0.3">
      <c r="A25" s="25" t="s">
        <v>40</v>
      </c>
      <c r="B25" s="7">
        <v>0</v>
      </c>
      <c r="C25" s="8">
        <f>IFERROR(B25/B148, "NA")</f>
        <v>0</v>
      </c>
      <c r="D25" s="7">
        <v>0</v>
      </c>
      <c r="E25" s="8">
        <f>IFERROR(D25/D148, "NA")</f>
        <v>0</v>
      </c>
      <c r="F25" s="7">
        <v>0</v>
      </c>
      <c r="G25" s="8">
        <f>IFERROR(F25/F148, "NA")</f>
        <v>0</v>
      </c>
      <c r="H25" s="7">
        <v>0</v>
      </c>
      <c r="I25" s="8">
        <f>IFERROR(H25/H148, "NA")</f>
        <v>0</v>
      </c>
      <c r="J25" s="7">
        <v>0</v>
      </c>
      <c r="K25" s="8">
        <f>IFERROR(J25/J148, "NA")</f>
        <v>0</v>
      </c>
      <c r="L25" s="7">
        <v>0</v>
      </c>
      <c r="M25" s="8">
        <f>IFERROR(L25/L148, "NA")</f>
        <v>0</v>
      </c>
      <c r="N25" s="7">
        <v>0</v>
      </c>
      <c r="O25" s="8">
        <f>IFERROR(N25/N148, "NA")</f>
        <v>0</v>
      </c>
      <c r="P25" s="7">
        <v>0</v>
      </c>
      <c r="Q25" s="8">
        <f>IFERROR(P25/P148, "NA")</f>
        <v>0</v>
      </c>
      <c r="R25" s="7">
        <v>0</v>
      </c>
      <c r="S25" s="8">
        <f>IFERROR(R25/R148, "NA")</f>
        <v>0</v>
      </c>
      <c r="T25" s="7">
        <v>0</v>
      </c>
      <c r="U25" s="8">
        <f>IFERROR(T25/T148, "NA")</f>
        <v>0</v>
      </c>
      <c r="V25" s="7">
        <v>0</v>
      </c>
      <c r="W25" s="8">
        <f>IFERROR(V25/V148, "NA")</f>
        <v>0</v>
      </c>
      <c r="X25" s="7">
        <v>0</v>
      </c>
      <c r="Y25" s="8">
        <f>IFERROR(X25/X148, "NA")</f>
        <v>0</v>
      </c>
      <c r="Z25" s="7">
        <v>0</v>
      </c>
      <c r="AA25" s="8">
        <f>IFERROR(Z25/Z148, "NA")</f>
        <v>0</v>
      </c>
      <c r="AB25" s="9">
        <f t="shared" si="0"/>
        <v>0</v>
      </c>
      <c r="AC25" s="8">
        <f>IFERROR(AB25/AB148, "NA")</f>
        <v>0</v>
      </c>
      <c r="AD25" s="10">
        <f t="shared" si="1"/>
        <v>0</v>
      </c>
      <c r="AE25" s="11">
        <f>IFERROR(AD25/AD148, "NA")</f>
        <v>0</v>
      </c>
      <c r="AF25" s="10" t="str">
        <f t="shared" si="2"/>
        <v>NA</v>
      </c>
      <c r="AG25" s="9">
        <f t="shared" si="3"/>
        <v>0</v>
      </c>
      <c r="AH25" s="8">
        <f>IFERROR(AG25/AG148, "NA")</f>
        <v>0</v>
      </c>
      <c r="AI25" s="10">
        <f t="shared" si="4"/>
        <v>0</v>
      </c>
      <c r="AJ25" s="11">
        <f>IFERROR(AI25/AI148, "NA")</f>
        <v>0</v>
      </c>
      <c r="AK25" s="10" t="str">
        <f t="shared" si="5"/>
        <v>NA</v>
      </c>
      <c r="AL25" s="11" t="str">
        <f>IFERROR(AK25/AK148, "NA")</f>
        <v>NA</v>
      </c>
    </row>
    <row r="26" spans="1:38" ht="16.5" hidden="1" customHeight="1" x14ac:dyDescent="0.3">
      <c r="A26" s="25" t="s">
        <v>41</v>
      </c>
      <c r="B26" s="7">
        <v>0</v>
      </c>
      <c r="C26" s="8">
        <f>IFERROR(B26/B148, "NA")</f>
        <v>0</v>
      </c>
      <c r="D26" s="7">
        <v>0</v>
      </c>
      <c r="E26" s="8">
        <f>IFERROR(D26/D148, "NA")</f>
        <v>0</v>
      </c>
      <c r="F26" s="7">
        <v>0</v>
      </c>
      <c r="G26" s="8">
        <f>IFERROR(F26/F148, "NA")</f>
        <v>0</v>
      </c>
      <c r="H26" s="7">
        <v>0</v>
      </c>
      <c r="I26" s="8">
        <f>IFERROR(H26/H148, "NA")</f>
        <v>0</v>
      </c>
      <c r="J26" s="7">
        <v>0</v>
      </c>
      <c r="K26" s="8">
        <f>IFERROR(J26/J148, "NA")</f>
        <v>0</v>
      </c>
      <c r="L26" s="7">
        <v>0</v>
      </c>
      <c r="M26" s="8">
        <f>IFERROR(L26/L148, "NA")</f>
        <v>0</v>
      </c>
      <c r="N26" s="7">
        <v>0</v>
      </c>
      <c r="O26" s="8">
        <f>IFERROR(N26/N148, "NA")</f>
        <v>0</v>
      </c>
      <c r="P26" s="7">
        <v>0</v>
      </c>
      <c r="Q26" s="8">
        <f>IFERROR(P26/P148, "NA")</f>
        <v>0</v>
      </c>
      <c r="R26" s="7">
        <v>0</v>
      </c>
      <c r="S26" s="8">
        <f>IFERROR(R26/R148, "NA")</f>
        <v>0</v>
      </c>
      <c r="T26" s="7">
        <v>0</v>
      </c>
      <c r="U26" s="8">
        <f>IFERROR(T26/T148, "NA")</f>
        <v>0</v>
      </c>
      <c r="V26" s="7">
        <v>0</v>
      </c>
      <c r="W26" s="8">
        <f>IFERROR(V26/V148, "NA")</f>
        <v>0</v>
      </c>
      <c r="X26" s="7">
        <v>0</v>
      </c>
      <c r="Y26" s="8">
        <f>IFERROR(X26/X148, "NA")</f>
        <v>0</v>
      </c>
      <c r="Z26" s="7">
        <v>0</v>
      </c>
      <c r="AA26" s="8">
        <f>IFERROR(Z26/Z148, "NA")</f>
        <v>0</v>
      </c>
      <c r="AB26" s="9">
        <f t="shared" si="0"/>
        <v>0</v>
      </c>
      <c r="AC26" s="8">
        <f>IFERROR(AB26/AB148, "NA")</f>
        <v>0</v>
      </c>
      <c r="AD26" s="10">
        <f t="shared" si="1"/>
        <v>0</v>
      </c>
      <c r="AE26" s="11">
        <f>IFERROR(AD26/AD148, "NA")</f>
        <v>0</v>
      </c>
      <c r="AF26" s="10" t="str">
        <f t="shared" si="2"/>
        <v>NA</v>
      </c>
      <c r="AG26" s="9">
        <f t="shared" si="3"/>
        <v>0</v>
      </c>
      <c r="AH26" s="8">
        <f>IFERROR(AG26/AG148, "NA")</f>
        <v>0</v>
      </c>
      <c r="AI26" s="10">
        <f t="shared" si="4"/>
        <v>0</v>
      </c>
      <c r="AJ26" s="11">
        <f>IFERROR(AI26/AI148, "NA")</f>
        <v>0</v>
      </c>
      <c r="AK26" s="10" t="str">
        <f t="shared" si="5"/>
        <v>NA</v>
      </c>
      <c r="AL26" s="11" t="str">
        <f>IFERROR(AK26/AK148, "NA")</f>
        <v>NA</v>
      </c>
    </row>
    <row r="27" spans="1:38" ht="16.5" customHeight="1" x14ac:dyDescent="0.3">
      <c r="A27" s="26" t="s">
        <v>42</v>
      </c>
      <c r="B27" s="13">
        <f>IFERROR(B15+B16+B17+B18+B19+B20+B21+B22+B23+B24+B25+B26, "NA")</f>
        <v>6450.6100000000006</v>
      </c>
      <c r="C27" s="14">
        <f>IFERROR(B27/B148, "NA")</f>
        <v>0.2253548829086407</v>
      </c>
      <c r="D27" s="13">
        <f>IFERROR(D15+D16+D17+D18+D19+D20+D21+D22+D23+D24+D25+D26, "NA")</f>
        <v>6533.95</v>
      </c>
      <c r="E27" s="14">
        <f>IFERROR(D27/D148, "NA")</f>
        <v>0.22450365894973814</v>
      </c>
      <c r="F27" s="13">
        <f>IFERROR(F15+F16+F17+F18+F19+F20+F21+F22+F23+F24+F25+F26, "NA")</f>
        <v>7601.16</v>
      </c>
      <c r="G27" s="14">
        <f>IFERROR(F27/F148, "NA")</f>
        <v>0.23698370767407614</v>
      </c>
      <c r="H27" s="13">
        <f>IFERROR(H15+H16+H17+H18+H19+H20+H21+H22+H23+H24+H25+H26, "NA")</f>
        <v>6368.3900000000012</v>
      </c>
      <c r="I27" s="14">
        <f>IFERROR(H27/H148, "NA")</f>
        <v>0.24195587767083104</v>
      </c>
      <c r="J27" s="13">
        <f>IFERROR(J15+J16+J17+J18+J19+J20+J21+J22+J23+J24+J25+J26, "NA")</f>
        <v>5907.52</v>
      </c>
      <c r="K27" s="14">
        <f>IFERROR(J27/J148, "NA")</f>
        <v>0.23868439787089796</v>
      </c>
      <c r="L27" s="13">
        <f>IFERROR(L15+L16+L17+L18+L19+L20+L21+L22+L23+L24+L25+L26, "NA")</f>
        <v>6385.3099999999995</v>
      </c>
      <c r="M27" s="14">
        <f>IFERROR(L27/L148, "NA")</f>
        <v>0.24120339730862561</v>
      </c>
      <c r="N27" s="13">
        <f>IFERROR(N15+N16+N17+N18+N19+N20+N21+N22+N23+N24+N25+N26, "NA")</f>
        <v>5768.14</v>
      </c>
      <c r="O27" s="14">
        <f>IFERROR(N27/N148, "NA")</f>
        <v>0.23186889916801767</v>
      </c>
      <c r="P27" s="13">
        <f>IFERROR(P15+P16+P17+P18+P19+P20+P21+P22+P23+P24+P25+P26, "NA")</f>
        <v>6925.0800000000008</v>
      </c>
      <c r="Q27" s="14">
        <f>IFERROR(P27/P148, "NA")</f>
        <v>0.22670891533559245</v>
      </c>
      <c r="R27" s="13">
        <f>IFERROR(R15+R16+R17+R18+R19+R20+R21+R22+R23+R24+R25+R26, "NA")</f>
        <v>7233.84</v>
      </c>
      <c r="S27" s="14">
        <f>IFERROR(R27/R148, "NA")</f>
        <v>0.21383660441008584</v>
      </c>
      <c r="T27" s="13">
        <f>IFERROR(T15+T16+T17+T18+T19+T20+T21+T22+T23+T24+T25+T26, "NA")</f>
        <v>6088.0300000000007</v>
      </c>
      <c r="U27" s="14">
        <f>IFERROR(T27/T148, "NA")</f>
        <v>0.24461541366842163</v>
      </c>
      <c r="V27" s="13">
        <f>IFERROR(V15+V16+V17+V18+V19+V20+V21+V22+V23+V24+V25+V26, "NA")</f>
        <v>7577.09</v>
      </c>
      <c r="W27" s="14">
        <f>IFERROR(V27/V148, "NA")</f>
        <v>0.24189754992649301</v>
      </c>
      <c r="X27" s="13">
        <f>IFERROR(X15+X16+X17+X18+X19+X20+X21+X22+X23+X24+X25+X26, "NA")</f>
        <v>5459.4</v>
      </c>
      <c r="Y27" s="14">
        <f>IFERROR(X27/X148, "NA")</f>
        <v>0.18081494901186687</v>
      </c>
      <c r="Z27" s="13">
        <f>IFERROR(Z15+Z16+Z17+Z18+Z19+Z20+Z21+Z22+Z23+Z24+Z25+Z26, "NA")</f>
        <v>19124.52</v>
      </c>
      <c r="AA27" s="14">
        <f>IFERROR(Z27/Z148, "NA")</f>
        <v>0.22133575109409151</v>
      </c>
      <c r="AB27" s="13">
        <f t="shared" si="0"/>
        <v>6589.59</v>
      </c>
      <c r="AC27" s="14">
        <f>IFERROR(AB27/AB148, "NA")</f>
        <v>0.2192258019871943</v>
      </c>
      <c r="AD27" s="15">
        <f t="shared" si="1"/>
        <v>-1130.1900000000005</v>
      </c>
      <c r="AE27" s="16">
        <f>IFERROR(AD27/AD148, "NA")</f>
        <v>-8.3817116582616382</v>
      </c>
      <c r="AF27" s="15">
        <f t="shared" si="2"/>
        <v>-0.171511429390903</v>
      </c>
      <c r="AG27" s="13">
        <f t="shared" si="3"/>
        <v>6418.0512500000013</v>
      </c>
      <c r="AH27" s="14">
        <f>IFERROR(AG27/AG148, "NA")</f>
        <v>0.22630670095913369</v>
      </c>
      <c r="AI27" s="15">
        <f t="shared" si="4"/>
        <v>-958.65125000000171</v>
      </c>
      <c r="AJ27" s="16">
        <f>IFERROR(AI27/AI148, "NA")</f>
        <v>-0.52290163254842226</v>
      </c>
      <c r="AK27" s="15">
        <f t="shared" si="5"/>
        <v>-0.14936796430224852</v>
      </c>
      <c r="AL27" s="16">
        <f>IFERROR(AK27/AK148, "NA")</f>
        <v>-2.3105883755640422</v>
      </c>
    </row>
    <row r="28" spans="1:38" ht="16.5" customHeight="1" x14ac:dyDescent="0.3">
      <c r="A28" s="24" t="s">
        <v>43</v>
      </c>
      <c r="B28" s="2"/>
      <c r="C28" s="3"/>
      <c r="D28" s="2"/>
      <c r="E28" s="3"/>
      <c r="F28" s="2"/>
      <c r="G28" s="3"/>
      <c r="H28" s="2"/>
      <c r="I28" s="3"/>
      <c r="J28" s="2"/>
      <c r="K28" s="3"/>
      <c r="L28" s="2"/>
      <c r="M28" s="3"/>
      <c r="N28" s="2"/>
      <c r="O28" s="3"/>
      <c r="P28" s="2"/>
      <c r="Q28" s="3"/>
      <c r="R28" s="2"/>
      <c r="S28" s="3"/>
      <c r="T28" s="2"/>
      <c r="U28" s="3"/>
      <c r="V28" s="2"/>
      <c r="W28" s="3"/>
      <c r="X28" s="2"/>
      <c r="Y28" s="3"/>
      <c r="Z28" s="2"/>
      <c r="AA28" s="3"/>
      <c r="AB28" s="2"/>
      <c r="AC28" s="3"/>
      <c r="AD28" s="4"/>
      <c r="AE28" s="5"/>
      <c r="AF28" s="4"/>
      <c r="AG28" s="2"/>
      <c r="AH28" s="3"/>
      <c r="AI28" s="4"/>
      <c r="AJ28" s="5"/>
      <c r="AK28" s="4"/>
      <c r="AL28" s="5"/>
    </row>
    <row r="29" spans="1:38" ht="16.5" hidden="1" customHeight="1" x14ac:dyDescent="0.3">
      <c r="A29" s="25" t="s">
        <v>44</v>
      </c>
      <c r="B29" s="7">
        <v>0</v>
      </c>
      <c r="C29" s="8">
        <f>IFERROR(B29/B148, "NA")</f>
        <v>0</v>
      </c>
      <c r="D29" s="7">
        <v>0</v>
      </c>
      <c r="E29" s="8">
        <f>IFERROR(D29/D148, "NA")</f>
        <v>0</v>
      </c>
      <c r="F29" s="7">
        <v>0</v>
      </c>
      <c r="G29" s="8">
        <f>IFERROR(F29/F148, "NA")</f>
        <v>0</v>
      </c>
      <c r="H29" s="7">
        <v>0</v>
      </c>
      <c r="I29" s="8">
        <f>IFERROR(H29/H148, "NA")</f>
        <v>0</v>
      </c>
      <c r="J29" s="7">
        <v>0</v>
      </c>
      <c r="K29" s="8">
        <f>IFERROR(J29/J148, "NA")</f>
        <v>0</v>
      </c>
      <c r="L29" s="7">
        <v>0</v>
      </c>
      <c r="M29" s="8">
        <f>IFERROR(L29/L148, "NA")</f>
        <v>0</v>
      </c>
      <c r="N29" s="7">
        <v>0</v>
      </c>
      <c r="O29" s="8">
        <f>IFERROR(N29/N148, "NA")</f>
        <v>0</v>
      </c>
      <c r="P29" s="7">
        <v>0</v>
      </c>
      <c r="Q29" s="8">
        <f>IFERROR(P29/P148, "NA")</f>
        <v>0</v>
      </c>
      <c r="R29" s="7">
        <v>0</v>
      </c>
      <c r="S29" s="8">
        <f>IFERROR(R29/R148, "NA")</f>
        <v>0</v>
      </c>
      <c r="T29" s="7">
        <v>0</v>
      </c>
      <c r="U29" s="8">
        <f>IFERROR(T29/T148, "NA")</f>
        <v>0</v>
      </c>
      <c r="V29" s="7">
        <v>0</v>
      </c>
      <c r="W29" s="8">
        <f>IFERROR(V29/V148, "NA")</f>
        <v>0</v>
      </c>
      <c r="X29" s="7">
        <v>0</v>
      </c>
      <c r="Y29" s="8">
        <f>IFERROR(X29/X148, "NA")</f>
        <v>0</v>
      </c>
      <c r="Z29" s="7">
        <v>0</v>
      </c>
      <c r="AA29" s="8">
        <f>IFERROR(Z29/Z148, "NA")</f>
        <v>0</v>
      </c>
      <c r="AB29" s="9">
        <f t="shared" ref="AB29:AB35" si="6">IFERROR((R29+T29+V29+X29)/4, "NA")</f>
        <v>0</v>
      </c>
      <c r="AC29" s="8">
        <f>IFERROR(AB29/AB148, "NA")</f>
        <v>0</v>
      </c>
      <c r="AD29" s="10">
        <f t="shared" ref="AD29:AD35" si="7">IFERROR(X29-AB29, "NA")</f>
        <v>0</v>
      </c>
      <c r="AE29" s="11">
        <f>IFERROR(AD29/AD148, "NA")</f>
        <v>0</v>
      </c>
      <c r="AF29" s="10" t="str">
        <f t="shared" ref="AF29:AF35" si="8">IFERROR((X29-AB29)/AB29, "NA")</f>
        <v>NA</v>
      </c>
      <c r="AG29" s="9">
        <f t="shared" ref="AG29:AG35" si="9">IFERROR((J29+L29+N29+P29+R29+T29+V29+X29)/8, "NA")</f>
        <v>0</v>
      </c>
      <c r="AH29" s="8">
        <f>IFERROR(AG29/AG148, "NA")</f>
        <v>0</v>
      </c>
      <c r="AI29" s="10">
        <f t="shared" ref="AI29:AI35" si="10">IFERROR(X29-AG29, "NA")</f>
        <v>0</v>
      </c>
      <c r="AJ29" s="11">
        <f>IFERROR(AI29/AI148, "NA")</f>
        <v>0</v>
      </c>
      <c r="AK29" s="10" t="str">
        <f t="shared" ref="AK29:AK35" si="11">IFERROR((X29-AG29)/AG29, "NA")</f>
        <v>NA</v>
      </c>
      <c r="AL29" s="11" t="str">
        <f>IFERROR(AK29/AK148, "NA")</f>
        <v>NA</v>
      </c>
    </row>
    <row r="30" spans="1:38" ht="16.5" customHeight="1" x14ac:dyDescent="0.3">
      <c r="A30" s="25" t="s">
        <v>45</v>
      </c>
      <c r="B30" s="7">
        <v>369.87</v>
      </c>
      <c r="C30" s="8">
        <f>IFERROR(B30/B148, "NA")</f>
        <v>1.2921570292021829E-2</v>
      </c>
      <c r="D30" s="7">
        <v>317.55</v>
      </c>
      <c r="E30" s="8">
        <f>IFERROR(D30/D148, "NA")</f>
        <v>1.0910878855744129E-2</v>
      </c>
      <c r="F30" s="7">
        <v>404.11</v>
      </c>
      <c r="G30" s="8">
        <f>IFERROR(F30/F148, "NA")</f>
        <v>1.2599061999506776E-2</v>
      </c>
      <c r="H30" s="7">
        <v>330.59</v>
      </c>
      <c r="I30" s="8">
        <f>IFERROR(H30/H148, "NA")</f>
        <v>1.2560190817333739E-2</v>
      </c>
      <c r="J30" s="7">
        <v>328.89</v>
      </c>
      <c r="K30" s="8">
        <f>IFERROR(J30/J148, "NA")</f>
        <v>1.3288302302109789E-2</v>
      </c>
      <c r="L30" s="7">
        <v>303.02</v>
      </c>
      <c r="M30" s="8">
        <f>IFERROR(L30/L148, "NA")</f>
        <v>1.1446500397390218E-2</v>
      </c>
      <c r="N30" s="7">
        <v>352.35</v>
      </c>
      <c r="O30" s="8">
        <f>IFERROR(N30/N148, "NA")</f>
        <v>1.416383905762534E-2</v>
      </c>
      <c r="P30" s="7">
        <v>395.9</v>
      </c>
      <c r="Q30" s="8">
        <f>IFERROR(P30/P148, "NA")</f>
        <v>1.2960725303008923E-2</v>
      </c>
      <c r="R30" s="7">
        <v>296.76</v>
      </c>
      <c r="S30" s="8">
        <f>IFERROR(R30/R148, "NA")</f>
        <v>8.7724017568451985E-3</v>
      </c>
      <c r="T30" s="7">
        <v>312.8</v>
      </c>
      <c r="U30" s="8">
        <f>IFERROR(T30/T148, "NA")</f>
        <v>1.2568220162430586E-2</v>
      </c>
      <c r="V30" s="7">
        <v>341.14</v>
      </c>
      <c r="W30" s="8">
        <f>IFERROR(V30/V148, "NA")</f>
        <v>1.0890847301790506E-2</v>
      </c>
      <c r="X30" s="7">
        <v>289.75</v>
      </c>
      <c r="Y30" s="8">
        <f>IFERROR(X30/X148, "NA")</f>
        <v>9.5964998857362392E-3</v>
      </c>
      <c r="Z30" s="7">
        <v>943.69</v>
      </c>
      <c r="AA30" s="8">
        <f>IFERROR(Z30/Z148, "NA")</f>
        <v>1.0921703391770525E-2</v>
      </c>
      <c r="AB30" s="9">
        <f t="shared" si="6"/>
        <v>310.11249999999995</v>
      </c>
      <c r="AC30" s="8">
        <f>IFERROR(AB30/AB148, "NA")</f>
        <v>1.0316978980293733E-2</v>
      </c>
      <c r="AD30" s="10">
        <f t="shared" si="7"/>
        <v>-20.362499999999955</v>
      </c>
      <c r="AE30" s="11">
        <f>IFERROR(AD30/AD148, "NA")</f>
        <v>-0.15101231088697667</v>
      </c>
      <c r="AF30" s="10">
        <f t="shared" si="8"/>
        <v>-6.5661655044540149E-2</v>
      </c>
      <c r="AG30" s="9">
        <f t="shared" si="9"/>
        <v>327.57624999999996</v>
      </c>
      <c r="AH30" s="8">
        <f>IFERROR(AG30/AG148, "NA")</f>
        <v>1.1550655730594921E-2</v>
      </c>
      <c r="AI30" s="10">
        <f t="shared" si="10"/>
        <v>-37.826249999999959</v>
      </c>
      <c r="AJ30" s="11">
        <f>IFERROR(AI30/AI148, "NA")</f>
        <v>-2.0632537513704488E-2</v>
      </c>
      <c r="AK30" s="10">
        <f t="shared" si="11"/>
        <v>-0.1154731150381017</v>
      </c>
      <c r="AL30" s="11">
        <f>IFERROR(AK30/AK148, "NA")</f>
        <v>-1.7862654722756419</v>
      </c>
    </row>
    <row r="31" spans="1:38" ht="16.5" customHeight="1" x14ac:dyDescent="0.3">
      <c r="A31" s="25" t="s">
        <v>46</v>
      </c>
      <c r="B31" s="7">
        <v>7.33</v>
      </c>
      <c r="C31" s="8">
        <f>IFERROR(B31/B148, "NA")</f>
        <v>2.5607675734858195E-4</v>
      </c>
      <c r="D31" s="7">
        <v>17.03</v>
      </c>
      <c r="E31" s="8">
        <f>IFERROR(D31/D148, "NA")</f>
        <v>5.8514333778404194E-4</v>
      </c>
      <c r="F31" s="7">
        <v>4.71</v>
      </c>
      <c r="G31" s="8">
        <f>IFERROR(F31/F148, "NA")</f>
        <v>1.4684512142158548E-4</v>
      </c>
      <c r="H31" s="7">
        <v>10.99</v>
      </c>
      <c r="I31" s="8">
        <f>IFERROR(H31/H148, "NA")</f>
        <v>4.1754589395474092E-4</v>
      </c>
      <c r="J31" s="7">
        <v>16.05</v>
      </c>
      <c r="K31" s="8">
        <f>IFERROR(J31/J148, "NA")</f>
        <v>6.4847594012849927E-4</v>
      </c>
      <c r="L31" s="7">
        <v>10.36</v>
      </c>
      <c r="M31" s="8">
        <f>IFERROR(L31/L148, "NA")</f>
        <v>3.9134626135886298E-4</v>
      </c>
      <c r="N31" s="7">
        <v>10.78</v>
      </c>
      <c r="O31" s="8">
        <f>IFERROR(N31/N148, "NA")</f>
        <v>4.3333669658351395E-4</v>
      </c>
      <c r="P31" s="7">
        <v>17.86</v>
      </c>
      <c r="Q31" s="8">
        <f>IFERROR(P31/P148, "NA")</f>
        <v>5.846894516588517E-4</v>
      </c>
      <c r="R31" s="7">
        <v>12.3</v>
      </c>
      <c r="S31" s="8">
        <f>IFERROR(R31/R148, "NA")</f>
        <v>3.6359530128452606E-4</v>
      </c>
      <c r="T31" s="7">
        <v>11.33</v>
      </c>
      <c r="U31" s="8">
        <f>IFERROR(T31/T148, "NA")</f>
        <v>4.5523636330031499E-4</v>
      </c>
      <c r="V31" s="7">
        <v>27.42</v>
      </c>
      <c r="W31" s="8">
        <f>IFERROR(V31/V148, "NA")</f>
        <v>8.7537970632319776E-4</v>
      </c>
      <c r="X31" s="7">
        <v>1.36</v>
      </c>
      <c r="Y31" s="8">
        <f>IFERROR(X31/X148, "NA")</f>
        <v>4.5043105589650686E-5</v>
      </c>
      <c r="Z31" s="7">
        <v>40.11</v>
      </c>
      <c r="AA31" s="8">
        <f>IFERROR(Z31/Z148, "NA")</f>
        <v>4.6420913970044792E-4</v>
      </c>
      <c r="AB31" s="9">
        <f t="shared" si="6"/>
        <v>13.102500000000001</v>
      </c>
      <c r="AC31" s="8">
        <f>IFERROR(AB31/AB148, "NA")</f>
        <v>4.3590057507936208E-4</v>
      </c>
      <c r="AD31" s="10">
        <f t="shared" si="7"/>
        <v>-11.742500000000001</v>
      </c>
      <c r="AE31" s="11">
        <f>IFERROR(AD31/AD148, "NA")</f>
        <v>-8.7084692969445182E-2</v>
      </c>
      <c r="AF31" s="10">
        <f t="shared" si="8"/>
        <v>-0.89620301469185271</v>
      </c>
      <c r="AG31" s="9">
        <f t="shared" si="9"/>
        <v>13.432499999999999</v>
      </c>
      <c r="AH31" s="8">
        <f>IFERROR(AG31/AG148, "NA")</f>
        <v>4.7364295519353519E-4</v>
      </c>
      <c r="AI31" s="10">
        <f t="shared" si="10"/>
        <v>-12.0725</v>
      </c>
      <c r="AJ31" s="11">
        <f>IFERROR(AI31/AI148, "NA")</f>
        <v>-6.5850119727490219E-3</v>
      </c>
      <c r="AK31" s="10">
        <f t="shared" si="11"/>
        <v>-0.89875302438116511</v>
      </c>
      <c r="AL31" s="11">
        <f>IFERROR(AK31/AK148, "NA")</f>
        <v>-13.902902810110033</v>
      </c>
    </row>
    <row r="32" spans="1:38" ht="16.5" hidden="1" customHeight="1" x14ac:dyDescent="0.3">
      <c r="A32" s="25" t="s">
        <v>47</v>
      </c>
      <c r="B32" s="7">
        <v>0</v>
      </c>
      <c r="C32" s="8">
        <f>IFERROR(B32/B148, "NA")</f>
        <v>0</v>
      </c>
      <c r="D32" s="7">
        <v>0</v>
      </c>
      <c r="E32" s="8">
        <f>IFERROR(D32/D148, "NA")</f>
        <v>0</v>
      </c>
      <c r="F32" s="7">
        <v>0</v>
      </c>
      <c r="G32" s="8">
        <f>IFERROR(F32/F148, "NA")</f>
        <v>0</v>
      </c>
      <c r="H32" s="7">
        <v>0</v>
      </c>
      <c r="I32" s="8">
        <f>IFERROR(H32/H148, "NA")</f>
        <v>0</v>
      </c>
      <c r="J32" s="7">
        <v>0</v>
      </c>
      <c r="K32" s="8">
        <f>IFERROR(J32/J148, "NA")</f>
        <v>0</v>
      </c>
      <c r="L32" s="7">
        <v>0</v>
      </c>
      <c r="M32" s="8">
        <f>IFERROR(L32/L148, "NA")</f>
        <v>0</v>
      </c>
      <c r="N32" s="7">
        <v>0</v>
      </c>
      <c r="O32" s="8">
        <f>IFERROR(N32/N148, "NA")</f>
        <v>0</v>
      </c>
      <c r="P32" s="7">
        <v>0</v>
      </c>
      <c r="Q32" s="8">
        <f>IFERROR(P32/P148, "NA")</f>
        <v>0</v>
      </c>
      <c r="R32" s="7">
        <v>0</v>
      </c>
      <c r="S32" s="8">
        <f>IFERROR(R32/R148, "NA")</f>
        <v>0</v>
      </c>
      <c r="T32" s="7">
        <v>0</v>
      </c>
      <c r="U32" s="8">
        <f>IFERROR(T32/T148, "NA")</f>
        <v>0</v>
      </c>
      <c r="V32" s="7">
        <v>0</v>
      </c>
      <c r="W32" s="8">
        <f>IFERROR(V32/V148, "NA")</f>
        <v>0</v>
      </c>
      <c r="X32" s="7">
        <v>0</v>
      </c>
      <c r="Y32" s="8">
        <f>IFERROR(X32/X148, "NA")</f>
        <v>0</v>
      </c>
      <c r="Z32" s="7">
        <v>0</v>
      </c>
      <c r="AA32" s="8">
        <f>IFERROR(Z32/Z148, "NA")</f>
        <v>0</v>
      </c>
      <c r="AB32" s="9">
        <f t="shared" si="6"/>
        <v>0</v>
      </c>
      <c r="AC32" s="8">
        <f>IFERROR(AB32/AB148, "NA")</f>
        <v>0</v>
      </c>
      <c r="AD32" s="10">
        <f t="shared" si="7"/>
        <v>0</v>
      </c>
      <c r="AE32" s="11">
        <f>IFERROR(AD32/AD148, "NA")</f>
        <v>0</v>
      </c>
      <c r="AF32" s="10" t="str">
        <f t="shared" si="8"/>
        <v>NA</v>
      </c>
      <c r="AG32" s="9">
        <f t="shared" si="9"/>
        <v>0</v>
      </c>
      <c r="AH32" s="8">
        <f>IFERROR(AG32/AG148, "NA")</f>
        <v>0</v>
      </c>
      <c r="AI32" s="10">
        <f t="shared" si="10"/>
        <v>0</v>
      </c>
      <c r="AJ32" s="11">
        <f>IFERROR(AI32/AI148, "NA")</f>
        <v>0</v>
      </c>
      <c r="AK32" s="10" t="str">
        <f t="shared" si="11"/>
        <v>NA</v>
      </c>
      <c r="AL32" s="11" t="str">
        <f>IFERROR(AK32/AK148, "NA")</f>
        <v>NA</v>
      </c>
    </row>
    <row r="33" spans="1:38" ht="16.5" hidden="1" customHeight="1" x14ac:dyDescent="0.3">
      <c r="A33" s="25" t="s">
        <v>48</v>
      </c>
      <c r="B33" s="7">
        <v>0</v>
      </c>
      <c r="C33" s="8">
        <f>IFERROR(B33/B148, "NA")</f>
        <v>0</v>
      </c>
      <c r="D33" s="7">
        <v>0</v>
      </c>
      <c r="E33" s="8">
        <f>IFERROR(D33/D148, "NA")</f>
        <v>0</v>
      </c>
      <c r="F33" s="7">
        <v>0</v>
      </c>
      <c r="G33" s="8">
        <f>IFERROR(F33/F148, "NA")</f>
        <v>0</v>
      </c>
      <c r="H33" s="7">
        <v>0</v>
      </c>
      <c r="I33" s="8">
        <f>IFERROR(H33/H148, "NA")</f>
        <v>0</v>
      </c>
      <c r="J33" s="7">
        <v>0</v>
      </c>
      <c r="K33" s="8">
        <f>IFERROR(J33/J148, "NA")</f>
        <v>0</v>
      </c>
      <c r="L33" s="7">
        <v>0</v>
      </c>
      <c r="M33" s="8">
        <f>IFERROR(L33/L148, "NA")</f>
        <v>0</v>
      </c>
      <c r="N33" s="7">
        <v>0</v>
      </c>
      <c r="O33" s="8">
        <f>IFERROR(N33/N148, "NA")</f>
        <v>0</v>
      </c>
      <c r="P33" s="7">
        <v>0</v>
      </c>
      <c r="Q33" s="8">
        <f>IFERROR(P33/P148, "NA")</f>
        <v>0</v>
      </c>
      <c r="R33" s="7">
        <v>0</v>
      </c>
      <c r="S33" s="8">
        <f>IFERROR(R33/R148, "NA")</f>
        <v>0</v>
      </c>
      <c r="T33" s="7">
        <v>0</v>
      </c>
      <c r="U33" s="8">
        <f>IFERROR(T33/T148, "NA")</f>
        <v>0</v>
      </c>
      <c r="V33" s="7">
        <v>0</v>
      </c>
      <c r="W33" s="8">
        <f>IFERROR(V33/V148, "NA")</f>
        <v>0</v>
      </c>
      <c r="X33" s="7">
        <v>0</v>
      </c>
      <c r="Y33" s="8">
        <f>IFERROR(X33/X148, "NA")</f>
        <v>0</v>
      </c>
      <c r="Z33" s="7">
        <v>0</v>
      </c>
      <c r="AA33" s="8">
        <f>IFERROR(Z33/Z148, "NA")</f>
        <v>0</v>
      </c>
      <c r="AB33" s="9">
        <f t="shared" si="6"/>
        <v>0</v>
      </c>
      <c r="AC33" s="8">
        <f>IFERROR(AB33/AB148, "NA")</f>
        <v>0</v>
      </c>
      <c r="AD33" s="10">
        <f t="shared" si="7"/>
        <v>0</v>
      </c>
      <c r="AE33" s="11">
        <f>IFERROR(AD33/AD148, "NA")</f>
        <v>0</v>
      </c>
      <c r="AF33" s="10" t="str">
        <f t="shared" si="8"/>
        <v>NA</v>
      </c>
      <c r="AG33" s="9">
        <f t="shared" si="9"/>
        <v>0</v>
      </c>
      <c r="AH33" s="8">
        <f>IFERROR(AG33/AG148, "NA")</f>
        <v>0</v>
      </c>
      <c r="AI33" s="10">
        <f t="shared" si="10"/>
        <v>0</v>
      </c>
      <c r="AJ33" s="11">
        <f>IFERROR(AI33/AI148, "NA")</f>
        <v>0</v>
      </c>
      <c r="AK33" s="10" t="str">
        <f t="shared" si="11"/>
        <v>NA</v>
      </c>
      <c r="AL33" s="11" t="str">
        <f>IFERROR(AK33/AK148, "NA")</f>
        <v>NA</v>
      </c>
    </row>
    <row r="34" spans="1:38" ht="16.5" customHeight="1" x14ac:dyDescent="0.3">
      <c r="A34" s="26" t="s">
        <v>49</v>
      </c>
      <c r="B34" s="13">
        <f>IFERROR(B29+B30+B31+B32+B33, "NA")</f>
        <v>377.2</v>
      </c>
      <c r="C34" s="14">
        <f>IFERROR(B34/B148, "NA")</f>
        <v>1.3177647049370411E-2</v>
      </c>
      <c r="D34" s="13">
        <f>IFERROR(D29+D30+D31+D32+D33, "NA")</f>
        <v>334.58000000000004</v>
      </c>
      <c r="E34" s="14">
        <f>IFERROR(D34/D148, "NA")</f>
        <v>1.1496022193528172E-2</v>
      </c>
      <c r="F34" s="13">
        <f>IFERROR(F29+F30+F31+F32+F33, "NA")</f>
        <v>408.82</v>
      </c>
      <c r="G34" s="14">
        <f>IFERROR(F34/F148, "NA")</f>
        <v>1.274590712092836E-2</v>
      </c>
      <c r="H34" s="13">
        <f>IFERROR(H29+H30+H31+H32+H33, "NA")</f>
        <v>341.58</v>
      </c>
      <c r="I34" s="14">
        <f>IFERROR(H34/H148, "NA")</f>
        <v>1.297773671128848E-2</v>
      </c>
      <c r="J34" s="13">
        <f>IFERROR(J29+J30+J31+J32+J33, "NA")</f>
        <v>344.94</v>
      </c>
      <c r="K34" s="14">
        <f>IFERROR(J34/J148, "NA")</f>
        <v>1.3936778242238289E-2</v>
      </c>
      <c r="L34" s="13">
        <f>IFERROR(L29+L30+L31+L32+L33, "NA")</f>
        <v>313.38</v>
      </c>
      <c r="M34" s="14">
        <f>IFERROR(L34/L148, "NA")</f>
        <v>1.1837846658749082E-2</v>
      </c>
      <c r="N34" s="13">
        <f>IFERROR(N29+N30+N31+N32+N33, "NA")</f>
        <v>363.13</v>
      </c>
      <c r="O34" s="14">
        <f>IFERROR(N34/N148, "NA")</f>
        <v>1.4597175754208854E-2</v>
      </c>
      <c r="P34" s="13">
        <f>IFERROR(P29+P30+P31+P32+P33, "NA")</f>
        <v>413.76</v>
      </c>
      <c r="Q34" s="14">
        <f>IFERROR(P34/P148, "NA")</f>
        <v>1.3545414754667775E-2</v>
      </c>
      <c r="R34" s="13">
        <f>IFERROR(R29+R30+R31+R32+R33, "NA")</f>
        <v>309.06</v>
      </c>
      <c r="S34" s="14">
        <f>IFERROR(R34/R148, "NA")</f>
        <v>9.1359970581297249E-3</v>
      </c>
      <c r="T34" s="13">
        <f>IFERROR(T29+T30+T31+T32+T33, "NA")</f>
        <v>324.13</v>
      </c>
      <c r="U34" s="14">
        <f>IFERROR(T34/T148, "NA")</f>
        <v>1.3023456525730901E-2</v>
      </c>
      <c r="V34" s="13">
        <f>IFERROR(V29+V30+V31+V32+V33, "NA")</f>
        <v>368.56</v>
      </c>
      <c r="W34" s="14">
        <f>IFERROR(V34/V148, "NA")</f>
        <v>1.1766227008113705E-2</v>
      </c>
      <c r="X34" s="13">
        <f>IFERROR(X29+X30+X31+X32+X33, "NA")</f>
        <v>291.11</v>
      </c>
      <c r="Y34" s="14">
        <f>IFERROR(X34/X148, "NA")</f>
        <v>9.6415429913258906E-3</v>
      </c>
      <c r="Z34" s="13">
        <f>IFERROR(Z29+Z30+Z31+Z32+Z33, "NA")</f>
        <v>983.80000000000007</v>
      </c>
      <c r="AA34" s="14">
        <f>IFERROR(Z34/Z148, "NA")</f>
        <v>1.1385912531470973E-2</v>
      </c>
      <c r="AB34" s="13">
        <f t="shared" si="6"/>
        <v>323.21500000000003</v>
      </c>
      <c r="AC34" s="14">
        <f>IFERROR(AB34/AB148, "NA")</f>
        <v>1.0752879555373098E-2</v>
      </c>
      <c r="AD34" s="15">
        <f t="shared" si="7"/>
        <v>-32.105000000000018</v>
      </c>
      <c r="AE34" s="16">
        <f>IFERROR(AD34/AD148, "NA")</f>
        <v>-0.2380970038564223</v>
      </c>
      <c r="AF34" s="15">
        <f t="shared" si="8"/>
        <v>-9.9330167226149818E-2</v>
      </c>
      <c r="AG34" s="13">
        <f t="shared" si="9"/>
        <v>341.00875000000002</v>
      </c>
      <c r="AH34" s="14">
        <f>IFERROR(AG34/AG148, "NA")</f>
        <v>1.2024298685788458E-2</v>
      </c>
      <c r="AI34" s="15">
        <f t="shared" si="10"/>
        <v>-49.898750000000007</v>
      </c>
      <c r="AJ34" s="16">
        <f>IFERROR(AI34/AI148, "NA")</f>
        <v>-2.7217549486453534E-2</v>
      </c>
      <c r="AK34" s="15">
        <f t="shared" si="11"/>
        <v>-0.14632689043902833</v>
      </c>
      <c r="AL34" s="16">
        <f>IFERROR(AK34/AK148, "NA")</f>
        <v>-2.2635456917435031</v>
      </c>
    </row>
    <row r="35" spans="1:38" ht="16.5" customHeight="1" x14ac:dyDescent="0.3">
      <c r="A35" s="27" t="s">
        <v>50</v>
      </c>
      <c r="B35" s="13">
        <f>IFERROR(B13+B15+B16+B17+B18+B19+B20+B21+B22+B23+B24+B25+B26+B29+B30+B31+B32+B33, "NA")</f>
        <v>6827.81</v>
      </c>
      <c r="C35" s="14">
        <f>IFERROR(B35/B148, "NA")</f>
        <v>0.23853252995801111</v>
      </c>
      <c r="D35" s="13">
        <f>IFERROR(D13+D15+D16+D17+D18+D19+D20+D21+D22+D23+D24+D25+D26+D29+D30+D31+D32+D33, "NA")</f>
        <v>6868.53</v>
      </c>
      <c r="E35" s="14">
        <f>IFERROR(D35/D148, "NA")</f>
        <v>0.2359996811432663</v>
      </c>
      <c r="F35" s="13">
        <f>IFERROR(F13+F15+F16+F17+F18+F19+F20+F21+F22+F23+F24+F25+F26+F29+F30+F31+F32+F33, "NA")</f>
        <v>8009.98</v>
      </c>
      <c r="G35" s="14">
        <f>IFERROR(F35/F148, "NA")</f>
        <v>0.2497296147950045</v>
      </c>
      <c r="H35" s="13">
        <f>IFERROR(H13+H15+H16+H17+H18+H19+H20+H21+H22+H23+H24+H25+H26+H29+H30+H31+H32+H33, "NA")</f>
        <v>6709.9700000000012</v>
      </c>
      <c r="I35" s="14">
        <f>IFERROR(H35/H148, "NA")</f>
        <v>0.25493361438211953</v>
      </c>
      <c r="J35" s="13">
        <f>IFERROR(J13+J15+J16+J17+J18+J19+J20+J21+J22+J23+J24+J25+J26+J29+J30+J31+J32+J33, "NA")</f>
        <v>6252.4600000000009</v>
      </c>
      <c r="K35" s="14">
        <f>IFERROR(J35/J148, "NA")</f>
        <v>0.25262117611313628</v>
      </c>
      <c r="L35" s="13">
        <f>IFERROR(L13+L15+L16+L17+L18+L19+L20+L21+L22+L23+L24+L25+L26+L29+L30+L31+L32+L33, "NA")</f>
        <v>6698.69</v>
      </c>
      <c r="M35" s="14">
        <f>IFERROR(L35/L148, "NA")</f>
        <v>0.25304124396737471</v>
      </c>
      <c r="N35" s="13">
        <f>IFERROR(N13+N15+N16+N17+N18+N19+N20+N21+N22+N23+N24+N25+N26+N29+N30+N31+N32+N33, "NA")</f>
        <v>6131.27</v>
      </c>
      <c r="O35" s="14">
        <f>IFERROR(N35/N148, "NA")</f>
        <v>0.24646607492222652</v>
      </c>
      <c r="P35" s="13">
        <f>IFERROR(P13+P15+P16+P17+P18+P19+P20+P21+P22+P23+P24+P25+P26+P29+P30+P31+P32+P33, "NA")</f>
        <v>7338.84</v>
      </c>
      <c r="Q35" s="14">
        <f>IFERROR(P35/P148, "NA")</f>
        <v>0.2402543300902602</v>
      </c>
      <c r="R35" s="13">
        <f>IFERROR(R13+R15+R16+R17+R18+R19+R20+R21+R22+R23+R24+R25+R26+R29+R30+R31+R32+R33, "NA")</f>
        <v>7542.9000000000005</v>
      </c>
      <c r="S35" s="14">
        <f>IFERROR(R35/R148, "NA")</f>
        <v>0.22297260146821557</v>
      </c>
      <c r="T35" s="13">
        <f>IFERROR(T13+T15+T16+T17+T18+T19+T20+T21+T22+T23+T24+T25+T26+T29+T30+T31+T32+T33, "NA")</f>
        <v>6412.1600000000008</v>
      </c>
      <c r="U35" s="14">
        <f>IFERROR(T35/T148, "NA")</f>
        <v>0.25763887019415255</v>
      </c>
      <c r="V35" s="13">
        <f>IFERROR(V13+V15+V16+V17+V18+V19+V20+V21+V22+V23+V24+V25+V26+V29+V30+V31+V32+V33, "NA")</f>
        <v>7945.6500000000005</v>
      </c>
      <c r="W35" s="14">
        <f>IFERROR(V35/V148, "NA")</f>
        <v>0.25366377693460673</v>
      </c>
      <c r="X35" s="13">
        <f>IFERROR(X13+X15+X16+X17+X18+X19+X20+X21+X22+X23+X24+X25+X26+X29+X30+X31+X32+X33, "NA")</f>
        <v>5750.5099999999993</v>
      </c>
      <c r="Y35" s="14">
        <f>IFERROR(X35/X148, "NA")</f>
        <v>0.19045649200319276</v>
      </c>
      <c r="Z35" s="13">
        <f>IFERROR(Z13+Z15+Z16+Z17+Z18+Z19+Z20+Z21+Z22+Z23+Z24+Z25+Z26+Z29+Z30+Z31+Z32+Z33, "NA")</f>
        <v>20108.32</v>
      </c>
      <c r="AA35" s="14">
        <f>IFERROR(Z35/Z148, "NA")</f>
        <v>0.23272166362556249</v>
      </c>
      <c r="AB35" s="13">
        <f t="shared" si="6"/>
        <v>6912.8050000000003</v>
      </c>
      <c r="AC35" s="14">
        <f>IFERROR(AB35/AB148, "NA")</f>
        <v>0.2299786815425674</v>
      </c>
      <c r="AD35" s="15">
        <f t="shared" si="7"/>
        <v>-1162.295000000001</v>
      </c>
      <c r="AE35" s="16">
        <f>IFERROR(AD35/AD148, "NA")</f>
        <v>-8.6198086621180643</v>
      </c>
      <c r="AF35" s="15">
        <f t="shared" si="8"/>
        <v>-0.16813652345176827</v>
      </c>
      <c r="AG35" s="13">
        <f t="shared" si="9"/>
        <v>6759.0600000000013</v>
      </c>
      <c r="AH35" s="14">
        <f>IFERROR(AG35/AG148, "NA")</f>
        <v>0.23833099964492216</v>
      </c>
      <c r="AI35" s="15">
        <f t="shared" si="10"/>
        <v>-1008.550000000002</v>
      </c>
      <c r="AJ35" s="16">
        <f>IFERROR(AI35/AI148, "NA")</f>
        <v>-0.55011918203487586</v>
      </c>
      <c r="AK35" s="15">
        <f t="shared" si="11"/>
        <v>-0.14921453574905413</v>
      </c>
      <c r="AL35" s="16">
        <f>IFERROR(AK35/AK148, "NA")</f>
        <v>-2.3082149735220003</v>
      </c>
    </row>
    <row r="36" spans="1:38" ht="16.5" customHeight="1" x14ac:dyDescent="0.3">
      <c r="A36" s="22" t="s">
        <v>51</v>
      </c>
      <c r="B36" s="2"/>
      <c r="C36" s="3"/>
      <c r="D36" s="2"/>
      <c r="E36" s="3"/>
      <c r="F36" s="2"/>
      <c r="G36" s="3"/>
      <c r="H36" s="2"/>
      <c r="I36" s="3"/>
      <c r="J36" s="2"/>
      <c r="K36" s="3"/>
      <c r="L36" s="2"/>
      <c r="M36" s="3"/>
      <c r="N36" s="2"/>
      <c r="O36" s="3"/>
      <c r="P36" s="2"/>
      <c r="Q36" s="3"/>
      <c r="R36" s="2"/>
      <c r="S36" s="3"/>
      <c r="T36" s="2"/>
      <c r="U36" s="3"/>
      <c r="V36" s="2"/>
      <c r="W36" s="3"/>
      <c r="X36" s="2"/>
      <c r="Y36" s="3"/>
      <c r="Z36" s="2"/>
      <c r="AA36" s="3"/>
      <c r="AB36" s="2"/>
      <c r="AC36" s="3"/>
      <c r="AD36" s="4"/>
      <c r="AE36" s="5"/>
      <c r="AF36" s="4"/>
      <c r="AG36" s="2"/>
      <c r="AH36" s="3"/>
      <c r="AI36" s="4"/>
      <c r="AJ36" s="5"/>
      <c r="AK36" s="4"/>
      <c r="AL36" s="5"/>
    </row>
    <row r="37" spans="1:38" ht="16.5" hidden="1" customHeight="1" x14ac:dyDescent="0.3">
      <c r="A37" s="23" t="s">
        <v>52</v>
      </c>
      <c r="B37" s="7">
        <v>0</v>
      </c>
      <c r="C37" s="8">
        <f>IFERROR(B37/B148, "NA")</f>
        <v>0</v>
      </c>
      <c r="D37" s="7">
        <v>0</v>
      </c>
      <c r="E37" s="8">
        <f>IFERROR(D37/D148, "NA")</f>
        <v>0</v>
      </c>
      <c r="F37" s="7">
        <v>0</v>
      </c>
      <c r="G37" s="8">
        <f>IFERROR(F37/F148, "NA")</f>
        <v>0</v>
      </c>
      <c r="H37" s="7">
        <v>0</v>
      </c>
      <c r="I37" s="8">
        <f>IFERROR(H37/H148, "NA")</f>
        <v>0</v>
      </c>
      <c r="J37" s="7">
        <v>0</v>
      </c>
      <c r="K37" s="8">
        <f>IFERROR(J37/J148, "NA")</f>
        <v>0</v>
      </c>
      <c r="L37" s="7">
        <v>0</v>
      </c>
      <c r="M37" s="8">
        <f>IFERROR(L37/L148, "NA")</f>
        <v>0</v>
      </c>
      <c r="N37" s="7">
        <v>0</v>
      </c>
      <c r="O37" s="8">
        <f>IFERROR(N37/N148, "NA")</f>
        <v>0</v>
      </c>
      <c r="P37" s="7">
        <v>0</v>
      </c>
      <c r="Q37" s="8">
        <f>IFERROR(P37/P148, "NA")</f>
        <v>0</v>
      </c>
      <c r="R37" s="7">
        <v>0</v>
      </c>
      <c r="S37" s="8">
        <f>IFERROR(R37/R148, "NA")</f>
        <v>0</v>
      </c>
      <c r="T37" s="7">
        <v>0</v>
      </c>
      <c r="U37" s="8">
        <f>IFERROR(T37/T148, "NA")</f>
        <v>0</v>
      </c>
      <c r="V37" s="7">
        <v>0</v>
      </c>
      <c r="W37" s="8">
        <f>IFERROR(V37/V148, "NA")</f>
        <v>0</v>
      </c>
      <c r="X37" s="7">
        <v>0</v>
      </c>
      <c r="Y37" s="8">
        <f>IFERROR(X37/X148, "NA")</f>
        <v>0</v>
      </c>
      <c r="Z37" s="7">
        <v>0</v>
      </c>
      <c r="AA37" s="8">
        <f>IFERROR(Z37/Z148, "NA")</f>
        <v>0</v>
      </c>
      <c r="AB37" s="9">
        <f>IFERROR((R37+T37+V37+X37)/4, "NA")</f>
        <v>0</v>
      </c>
      <c r="AC37" s="8">
        <f>IFERROR(AB37/AB148, "NA")</f>
        <v>0</v>
      </c>
      <c r="AD37" s="10">
        <f>IFERROR(X37-AB37, "NA")</f>
        <v>0</v>
      </c>
      <c r="AE37" s="11">
        <f>IFERROR(AD37/AD148, "NA")</f>
        <v>0</v>
      </c>
      <c r="AF37" s="10" t="str">
        <f>IFERROR((X37-AB37)/AB37, "NA")</f>
        <v>NA</v>
      </c>
      <c r="AG37" s="9">
        <f>IFERROR((J37+L37+N37+P37+R37+T37+V37+X37)/8, "NA")</f>
        <v>0</v>
      </c>
      <c r="AH37" s="8">
        <f>IFERROR(AG37/AG148, "NA")</f>
        <v>0</v>
      </c>
      <c r="AI37" s="10">
        <f>IFERROR(X37-AG37, "NA")</f>
        <v>0</v>
      </c>
      <c r="AJ37" s="11">
        <f>IFERROR(AI37/AI148, "NA")</f>
        <v>0</v>
      </c>
      <c r="AK37" s="10" t="str">
        <f>IFERROR((X37-AG37)/AG37, "NA")</f>
        <v>NA</v>
      </c>
      <c r="AL37" s="11" t="str">
        <f>IFERROR(AK37/AK148, "NA")</f>
        <v>NA</v>
      </c>
    </row>
    <row r="38" spans="1:38" ht="16.5" customHeight="1" x14ac:dyDescent="0.3">
      <c r="A38" s="24" t="s">
        <v>53</v>
      </c>
      <c r="B38" s="2"/>
      <c r="C38" s="3"/>
      <c r="D38" s="2"/>
      <c r="E38" s="3"/>
      <c r="F38" s="2"/>
      <c r="G38" s="3"/>
      <c r="H38" s="2"/>
      <c r="I38" s="3"/>
      <c r="J38" s="2"/>
      <c r="K38" s="3"/>
      <c r="L38" s="2"/>
      <c r="M38" s="3"/>
      <c r="N38" s="2"/>
      <c r="O38" s="3"/>
      <c r="P38" s="2"/>
      <c r="Q38" s="3"/>
      <c r="R38" s="2"/>
      <c r="S38" s="3"/>
      <c r="T38" s="2"/>
      <c r="U38" s="3"/>
      <c r="V38" s="2"/>
      <c r="W38" s="3"/>
      <c r="X38" s="2"/>
      <c r="Y38" s="3"/>
      <c r="Z38" s="2"/>
      <c r="AA38" s="3"/>
      <c r="AB38" s="2"/>
      <c r="AC38" s="3"/>
      <c r="AD38" s="4"/>
      <c r="AE38" s="5"/>
      <c r="AF38" s="4"/>
      <c r="AG38" s="2"/>
      <c r="AH38" s="3"/>
      <c r="AI38" s="4"/>
      <c r="AJ38" s="5"/>
      <c r="AK38" s="4"/>
      <c r="AL38" s="5"/>
    </row>
    <row r="39" spans="1:38" ht="16.5" hidden="1" customHeight="1" x14ac:dyDescent="0.3">
      <c r="A39" s="25" t="s">
        <v>54</v>
      </c>
      <c r="B39" s="7">
        <v>0</v>
      </c>
      <c r="C39" s="8">
        <f>IFERROR(B39/B148, "NA")</f>
        <v>0</v>
      </c>
      <c r="D39" s="7">
        <v>0</v>
      </c>
      <c r="E39" s="8">
        <f>IFERROR(D39/D148, "NA")</f>
        <v>0</v>
      </c>
      <c r="F39" s="7">
        <v>0</v>
      </c>
      <c r="G39" s="8">
        <f>IFERROR(F39/F148, "NA")</f>
        <v>0</v>
      </c>
      <c r="H39" s="7">
        <v>0</v>
      </c>
      <c r="I39" s="8">
        <f>IFERROR(H39/H148, "NA")</f>
        <v>0</v>
      </c>
      <c r="J39" s="7">
        <v>0</v>
      </c>
      <c r="K39" s="8">
        <f>IFERROR(J39/J148, "NA")</f>
        <v>0</v>
      </c>
      <c r="L39" s="7">
        <v>0</v>
      </c>
      <c r="M39" s="8">
        <f>IFERROR(L39/L148, "NA")</f>
        <v>0</v>
      </c>
      <c r="N39" s="7">
        <v>0</v>
      </c>
      <c r="O39" s="8">
        <f>IFERROR(N39/N148, "NA")</f>
        <v>0</v>
      </c>
      <c r="P39" s="7">
        <v>0</v>
      </c>
      <c r="Q39" s="8">
        <f>IFERROR(P39/P148, "NA")</f>
        <v>0</v>
      </c>
      <c r="R39" s="7">
        <v>0</v>
      </c>
      <c r="S39" s="8">
        <f>IFERROR(R39/R148, "NA")</f>
        <v>0</v>
      </c>
      <c r="T39" s="7">
        <v>0</v>
      </c>
      <c r="U39" s="8">
        <f>IFERROR(T39/T148, "NA")</f>
        <v>0</v>
      </c>
      <c r="V39" s="7">
        <v>0</v>
      </c>
      <c r="W39" s="8">
        <f>IFERROR(V39/V148, "NA")</f>
        <v>0</v>
      </c>
      <c r="X39" s="7">
        <v>0</v>
      </c>
      <c r="Y39" s="8">
        <f>IFERROR(X39/X148, "NA")</f>
        <v>0</v>
      </c>
      <c r="Z39" s="7">
        <v>0</v>
      </c>
      <c r="AA39" s="8">
        <f>IFERROR(Z39/Z148, "NA")</f>
        <v>0</v>
      </c>
      <c r="AB39" s="9">
        <f t="shared" ref="AB39:AB44" si="12">IFERROR((R39+T39+V39+X39)/4, "NA")</f>
        <v>0</v>
      </c>
      <c r="AC39" s="8">
        <f>IFERROR(AB39/AB148, "NA")</f>
        <v>0</v>
      </c>
      <c r="AD39" s="10">
        <f t="shared" ref="AD39:AD44" si="13">IFERROR(X39-AB39, "NA")</f>
        <v>0</v>
      </c>
      <c r="AE39" s="11">
        <f>IFERROR(AD39/AD148, "NA")</f>
        <v>0</v>
      </c>
      <c r="AF39" s="10" t="str">
        <f t="shared" ref="AF39:AF44" si="14">IFERROR((X39-AB39)/AB39, "NA")</f>
        <v>NA</v>
      </c>
      <c r="AG39" s="9">
        <f t="shared" ref="AG39:AG44" si="15">IFERROR((J39+L39+N39+P39+R39+T39+V39+X39)/8, "NA")</f>
        <v>0</v>
      </c>
      <c r="AH39" s="8">
        <f>IFERROR(AG39/AG148, "NA")</f>
        <v>0</v>
      </c>
      <c r="AI39" s="10">
        <f t="shared" ref="AI39:AI44" si="16">IFERROR(X39-AG39, "NA")</f>
        <v>0</v>
      </c>
      <c r="AJ39" s="11">
        <f>IFERROR(AI39/AI148, "NA")</f>
        <v>0</v>
      </c>
      <c r="AK39" s="10" t="str">
        <f t="shared" ref="AK39:AK44" si="17">IFERROR((X39-AG39)/AG39, "NA")</f>
        <v>NA</v>
      </c>
      <c r="AL39" s="11" t="str">
        <f>IFERROR(AK39/AK148, "NA")</f>
        <v>NA</v>
      </c>
    </row>
    <row r="40" spans="1:38" ht="16.5" customHeight="1" x14ac:dyDescent="0.3">
      <c r="A40" s="25" t="s">
        <v>55</v>
      </c>
      <c r="B40" s="7">
        <v>912.91</v>
      </c>
      <c r="C40" s="8">
        <f>IFERROR(B40/B148, "NA")</f>
        <v>3.1892910307106948E-2</v>
      </c>
      <c r="D40" s="7">
        <v>1000.21</v>
      </c>
      <c r="E40" s="8">
        <f>IFERROR(D40/D148, "NA")</f>
        <v>3.4366777327362104E-2</v>
      </c>
      <c r="F40" s="7">
        <v>909.94</v>
      </c>
      <c r="G40" s="8">
        <f>IFERROR(F40/F148, "NA")</f>
        <v>2.8369479784789278E-2</v>
      </c>
      <c r="H40" s="7">
        <v>853.66</v>
      </c>
      <c r="I40" s="8">
        <f>IFERROR(H40/H148, "NA")</f>
        <v>3.2433323733703744E-2</v>
      </c>
      <c r="J40" s="7">
        <v>775.49</v>
      </c>
      <c r="K40" s="8">
        <f>IFERROR(J40/J148, "NA")</f>
        <v>3.1332498866682233E-2</v>
      </c>
      <c r="L40" s="7">
        <v>836.31</v>
      </c>
      <c r="M40" s="8">
        <f>IFERROR(L40/L148, "NA")</f>
        <v>3.1591389173458558E-2</v>
      </c>
      <c r="N40" s="7">
        <v>815.47</v>
      </c>
      <c r="O40" s="8">
        <f>IFERROR(N40/N148, "NA")</f>
        <v>3.2780433762797608E-2</v>
      </c>
      <c r="P40" s="7">
        <v>816.43</v>
      </c>
      <c r="Q40" s="8">
        <f>IFERROR(P40/P148, "NA")</f>
        <v>2.6727772061468997E-2</v>
      </c>
      <c r="R40" s="7">
        <v>942.18</v>
      </c>
      <c r="S40" s="8">
        <f>IFERROR(R40/R148, "NA")</f>
        <v>2.7851400078394692E-2</v>
      </c>
      <c r="T40" s="7">
        <v>838.65</v>
      </c>
      <c r="U40" s="8">
        <f>IFERROR(T40/T148, "NA")</f>
        <v>3.3696732222578039E-2</v>
      </c>
      <c r="V40" s="7">
        <v>795.43</v>
      </c>
      <c r="W40" s="8">
        <f>IFERROR(V40/V148, "NA")</f>
        <v>2.5393992698784142E-2</v>
      </c>
      <c r="X40" s="7">
        <v>867.54</v>
      </c>
      <c r="Y40" s="8">
        <f>IFERROR(X40/X148, "NA")</f>
        <v>2.873286457591585E-2</v>
      </c>
      <c r="Z40" s="7">
        <v>2501.62</v>
      </c>
      <c r="AA40" s="8">
        <f>IFERROR(Z40/Z148, "NA")</f>
        <v>2.8952253005670271E-2</v>
      </c>
      <c r="AB40" s="9">
        <f t="shared" si="12"/>
        <v>860.94999999999993</v>
      </c>
      <c r="AC40" s="8">
        <f>IFERROR(AB40/AB148, "NA")</f>
        <v>2.8642518612064623E-2</v>
      </c>
      <c r="AD40" s="10">
        <f t="shared" si="13"/>
        <v>6.5900000000000318</v>
      </c>
      <c r="AE40" s="11">
        <f>IFERROR(AD40/AD148, "NA")</f>
        <v>4.8872738059923052E-2</v>
      </c>
      <c r="AF40" s="10">
        <f t="shared" si="14"/>
        <v>7.6543353272548144E-3</v>
      </c>
      <c r="AG40" s="9">
        <f t="shared" si="15"/>
        <v>835.9375</v>
      </c>
      <c r="AH40" s="8">
        <f>IFERROR(AG40/AG148, "NA")</f>
        <v>2.9475965595168126E-2</v>
      </c>
      <c r="AI40" s="10">
        <f t="shared" si="16"/>
        <v>31.602499999999964</v>
      </c>
      <c r="AJ40" s="11">
        <f>IFERROR(AI40/AI148, "NA")</f>
        <v>1.7237758614106501E-2</v>
      </c>
      <c r="AK40" s="10">
        <f t="shared" si="17"/>
        <v>3.7804859813084069E-2</v>
      </c>
      <c r="AL40" s="11">
        <f>IFERROR(AK40/AK148, "NA")</f>
        <v>0.5848072579149779</v>
      </c>
    </row>
    <row r="41" spans="1:38" ht="16.5" customHeight="1" x14ac:dyDescent="0.3">
      <c r="A41" s="25" t="s">
        <v>56</v>
      </c>
      <c r="B41" s="7">
        <v>354.52</v>
      </c>
      <c r="C41" s="8">
        <f>IFERROR(B41/B148, "NA")</f>
        <v>1.2385311325405084E-2</v>
      </c>
      <c r="D41" s="7">
        <v>293.77</v>
      </c>
      <c r="E41" s="8">
        <f>IFERROR(D41/D148, "NA")</f>
        <v>1.0093808475679271E-2</v>
      </c>
      <c r="F41" s="7">
        <v>225.45</v>
      </c>
      <c r="G41" s="8">
        <f>IFERROR(F41/F148, "NA")</f>
        <v>7.0289241240969096E-3</v>
      </c>
      <c r="H41" s="7">
        <v>108.97</v>
      </c>
      <c r="I41" s="8">
        <f>IFERROR(H41/H148, "NA")</f>
        <v>4.1401252105776271E-3</v>
      </c>
      <c r="J41" s="7">
        <v>73.89</v>
      </c>
      <c r="K41" s="8">
        <f>IFERROR(J41/J148, "NA")</f>
        <v>2.9854135337130721E-3</v>
      </c>
      <c r="L41" s="7">
        <v>119.35</v>
      </c>
      <c r="M41" s="8">
        <f>IFERROR(L41/L148, "NA")</f>
        <v>4.5084147001139283E-3</v>
      </c>
      <c r="N41" s="7">
        <v>106.74</v>
      </c>
      <c r="O41" s="8">
        <f>IFERROR(N41/N148, "NA")</f>
        <v>4.2907568639447384E-3</v>
      </c>
      <c r="P41" s="7">
        <v>485.56</v>
      </c>
      <c r="Q41" s="8">
        <f>IFERROR(P41/P148, "NA")</f>
        <v>1.5895958014976036E-2</v>
      </c>
      <c r="R41" s="7">
        <v>248.46</v>
      </c>
      <c r="S41" s="8">
        <f>IFERROR(R41/R148, "NA")</f>
        <v>7.3446250859474259E-3</v>
      </c>
      <c r="T41" s="7">
        <v>248.12</v>
      </c>
      <c r="U41" s="8">
        <f>IFERROR(T41/T148, "NA")</f>
        <v>9.9693950981530593E-3</v>
      </c>
      <c r="V41" s="7">
        <v>439.62</v>
      </c>
      <c r="W41" s="8">
        <f>IFERROR(V41/V148, "NA")</f>
        <v>1.4034807676652232E-2</v>
      </c>
      <c r="X41" s="7">
        <v>257.66000000000003</v>
      </c>
      <c r="Y41" s="8">
        <f>IFERROR(X41/X148, "NA")</f>
        <v>8.533681313403969E-3</v>
      </c>
      <c r="Z41" s="7">
        <v>945.4</v>
      </c>
      <c r="AA41" s="8">
        <f>IFERROR(Z41/Z148, "NA")</f>
        <v>1.0941493908571515E-2</v>
      </c>
      <c r="AB41" s="9">
        <f t="shared" si="12"/>
        <v>298.46500000000003</v>
      </c>
      <c r="AC41" s="8">
        <f>IFERROR(AB41/AB148, "NA")</f>
        <v>9.929484078691991E-3</v>
      </c>
      <c r="AD41" s="10">
        <f t="shared" si="13"/>
        <v>-40.805000000000007</v>
      </c>
      <c r="AE41" s="11">
        <f>IFERROR(AD41/AD148, "NA")</f>
        <v>-0.30261791753188938</v>
      </c>
      <c r="AF41" s="10">
        <f t="shared" si="14"/>
        <v>-0.13671619787914832</v>
      </c>
      <c r="AG41" s="9">
        <f t="shared" si="15"/>
        <v>247.42499999999998</v>
      </c>
      <c r="AH41" s="8">
        <f>IFERROR(AG41/AG148, "NA")</f>
        <v>8.7244450540674076E-3</v>
      </c>
      <c r="AI41" s="10">
        <f t="shared" si="16"/>
        <v>10.235000000000042</v>
      </c>
      <c r="AJ41" s="11">
        <f>IFERROR(AI41/AI148, "NA")</f>
        <v>5.5827374231589575E-3</v>
      </c>
      <c r="AK41" s="10">
        <f t="shared" si="17"/>
        <v>4.136607052642232E-2</v>
      </c>
      <c r="AL41" s="11">
        <f>IFERROR(AK41/AK148, "NA")</f>
        <v>0.63989599207301329</v>
      </c>
    </row>
    <row r="42" spans="1:38" ht="16.5" hidden="1" customHeight="1" x14ac:dyDescent="0.3">
      <c r="A42" s="25" t="s">
        <v>57</v>
      </c>
      <c r="B42" s="7">
        <v>0</v>
      </c>
      <c r="C42" s="8">
        <f>IFERROR(B42/B148, "NA")</f>
        <v>0</v>
      </c>
      <c r="D42" s="7">
        <v>0</v>
      </c>
      <c r="E42" s="8">
        <f>IFERROR(D42/D148, "NA")</f>
        <v>0</v>
      </c>
      <c r="F42" s="7">
        <v>0</v>
      </c>
      <c r="G42" s="8">
        <f>IFERROR(F42/F148, "NA")</f>
        <v>0</v>
      </c>
      <c r="H42" s="7">
        <v>0</v>
      </c>
      <c r="I42" s="8">
        <f>IFERROR(H42/H148, "NA")</f>
        <v>0</v>
      </c>
      <c r="J42" s="7">
        <v>0</v>
      </c>
      <c r="K42" s="8">
        <f>IFERROR(J42/J148, "NA")</f>
        <v>0</v>
      </c>
      <c r="L42" s="7">
        <v>0</v>
      </c>
      <c r="M42" s="8">
        <f>IFERROR(L42/L148, "NA")</f>
        <v>0</v>
      </c>
      <c r="N42" s="7">
        <v>0</v>
      </c>
      <c r="O42" s="8">
        <f>IFERROR(N42/N148, "NA")</f>
        <v>0</v>
      </c>
      <c r="P42" s="7">
        <v>0</v>
      </c>
      <c r="Q42" s="8">
        <f>IFERROR(P42/P148, "NA")</f>
        <v>0</v>
      </c>
      <c r="R42" s="7">
        <v>0</v>
      </c>
      <c r="S42" s="8">
        <f>IFERROR(R42/R148, "NA")</f>
        <v>0</v>
      </c>
      <c r="T42" s="7">
        <v>0</v>
      </c>
      <c r="U42" s="8">
        <f>IFERROR(T42/T148, "NA")</f>
        <v>0</v>
      </c>
      <c r="V42" s="7">
        <v>0</v>
      </c>
      <c r="W42" s="8">
        <f>IFERROR(V42/V148, "NA")</f>
        <v>0</v>
      </c>
      <c r="X42" s="7">
        <v>0</v>
      </c>
      <c r="Y42" s="8">
        <f>IFERROR(X42/X148, "NA")</f>
        <v>0</v>
      </c>
      <c r="Z42" s="7">
        <v>0</v>
      </c>
      <c r="AA42" s="8">
        <f>IFERROR(Z42/Z148, "NA")</f>
        <v>0</v>
      </c>
      <c r="AB42" s="9">
        <f t="shared" si="12"/>
        <v>0</v>
      </c>
      <c r="AC42" s="8">
        <f>IFERROR(AB42/AB148, "NA")</f>
        <v>0</v>
      </c>
      <c r="AD42" s="10">
        <f t="shared" si="13"/>
        <v>0</v>
      </c>
      <c r="AE42" s="11">
        <f>IFERROR(AD42/AD148, "NA")</f>
        <v>0</v>
      </c>
      <c r="AF42" s="10" t="str">
        <f t="shared" si="14"/>
        <v>NA</v>
      </c>
      <c r="AG42" s="9">
        <f t="shared" si="15"/>
        <v>0</v>
      </c>
      <c r="AH42" s="8">
        <f>IFERROR(AG42/AG148, "NA")</f>
        <v>0</v>
      </c>
      <c r="AI42" s="10">
        <f t="shared" si="16"/>
        <v>0</v>
      </c>
      <c r="AJ42" s="11">
        <f>IFERROR(AI42/AI148, "NA")</f>
        <v>0</v>
      </c>
      <c r="AK42" s="10" t="str">
        <f t="shared" si="17"/>
        <v>NA</v>
      </c>
      <c r="AL42" s="11" t="str">
        <f>IFERROR(AK42/AK148, "NA")</f>
        <v>NA</v>
      </c>
    </row>
    <row r="43" spans="1:38" ht="16.5" hidden="1" customHeight="1" x14ac:dyDescent="0.3">
      <c r="A43" s="25" t="s">
        <v>58</v>
      </c>
      <c r="B43" s="7">
        <v>0</v>
      </c>
      <c r="C43" s="8">
        <f>IFERROR(B43/B148, "NA")</f>
        <v>0</v>
      </c>
      <c r="D43" s="7">
        <v>0</v>
      </c>
      <c r="E43" s="8">
        <f>IFERROR(D43/D148, "NA")</f>
        <v>0</v>
      </c>
      <c r="F43" s="7">
        <v>0</v>
      </c>
      <c r="G43" s="8">
        <f>IFERROR(F43/F148, "NA")</f>
        <v>0</v>
      </c>
      <c r="H43" s="7">
        <v>0</v>
      </c>
      <c r="I43" s="8">
        <f>IFERROR(H43/H148, "NA")</f>
        <v>0</v>
      </c>
      <c r="J43" s="7">
        <v>0</v>
      </c>
      <c r="K43" s="8">
        <f>IFERROR(J43/J148, "NA")</f>
        <v>0</v>
      </c>
      <c r="L43" s="7">
        <v>0</v>
      </c>
      <c r="M43" s="8">
        <f>IFERROR(L43/L148, "NA")</f>
        <v>0</v>
      </c>
      <c r="N43" s="7">
        <v>0</v>
      </c>
      <c r="O43" s="8">
        <f>IFERROR(N43/N148, "NA")</f>
        <v>0</v>
      </c>
      <c r="P43" s="7">
        <v>0</v>
      </c>
      <c r="Q43" s="8">
        <f>IFERROR(P43/P148, "NA")</f>
        <v>0</v>
      </c>
      <c r="R43" s="7">
        <v>0</v>
      </c>
      <c r="S43" s="8">
        <f>IFERROR(R43/R148, "NA")</f>
        <v>0</v>
      </c>
      <c r="T43" s="7">
        <v>0</v>
      </c>
      <c r="U43" s="8">
        <f>IFERROR(T43/T148, "NA")</f>
        <v>0</v>
      </c>
      <c r="V43" s="7">
        <v>0</v>
      </c>
      <c r="W43" s="8">
        <f>IFERROR(V43/V148, "NA")</f>
        <v>0</v>
      </c>
      <c r="X43" s="7">
        <v>0</v>
      </c>
      <c r="Y43" s="8">
        <f>IFERROR(X43/X148, "NA")</f>
        <v>0</v>
      </c>
      <c r="Z43" s="7">
        <v>0</v>
      </c>
      <c r="AA43" s="8">
        <f>IFERROR(Z43/Z148, "NA")</f>
        <v>0</v>
      </c>
      <c r="AB43" s="9">
        <f t="shared" si="12"/>
        <v>0</v>
      </c>
      <c r="AC43" s="8">
        <f>IFERROR(AB43/AB148, "NA")</f>
        <v>0</v>
      </c>
      <c r="AD43" s="10">
        <f t="shared" si="13"/>
        <v>0</v>
      </c>
      <c r="AE43" s="11">
        <f>IFERROR(AD43/AD148, "NA")</f>
        <v>0</v>
      </c>
      <c r="AF43" s="10" t="str">
        <f t="shared" si="14"/>
        <v>NA</v>
      </c>
      <c r="AG43" s="9">
        <f t="shared" si="15"/>
        <v>0</v>
      </c>
      <c r="AH43" s="8">
        <f>IFERROR(AG43/AG148, "NA")</f>
        <v>0</v>
      </c>
      <c r="AI43" s="10">
        <f t="shared" si="16"/>
        <v>0</v>
      </c>
      <c r="AJ43" s="11">
        <f>IFERROR(AI43/AI148, "NA")</f>
        <v>0</v>
      </c>
      <c r="AK43" s="10" t="str">
        <f t="shared" si="17"/>
        <v>NA</v>
      </c>
      <c r="AL43" s="11" t="str">
        <f>IFERROR(AK43/AK148, "NA")</f>
        <v>NA</v>
      </c>
    </row>
    <row r="44" spans="1:38" ht="16.5" customHeight="1" x14ac:dyDescent="0.3">
      <c r="A44" s="26" t="s">
        <v>59</v>
      </c>
      <c r="B44" s="13">
        <f>IFERROR(B39+B40+B41+B42+B43, "NA")</f>
        <v>1267.4299999999998</v>
      </c>
      <c r="C44" s="14">
        <f>IFERROR(B44/B148, "NA")</f>
        <v>4.4278221632512028E-2</v>
      </c>
      <c r="D44" s="13">
        <f>IFERROR(D39+D40+D41+D42+D43, "NA")</f>
        <v>1293.98</v>
      </c>
      <c r="E44" s="14">
        <f>IFERROR(D44/D148, "NA")</f>
        <v>4.4460585803041373E-2</v>
      </c>
      <c r="F44" s="13">
        <f>IFERROR(F39+F40+F41+F42+F43, "NA")</f>
        <v>1135.3900000000001</v>
      </c>
      <c r="G44" s="14">
        <f>IFERROR(F44/F148, "NA")</f>
        <v>3.539840390888619E-2</v>
      </c>
      <c r="H44" s="13">
        <f>IFERROR(H39+H40+H41+H42+H43, "NA")</f>
        <v>962.63</v>
      </c>
      <c r="I44" s="14">
        <f>IFERROR(H44/H148, "NA")</f>
        <v>3.657344894428137E-2</v>
      </c>
      <c r="J44" s="13">
        <f>IFERROR(J39+J40+J41+J42+J43, "NA")</f>
        <v>849.38</v>
      </c>
      <c r="K44" s="14">
        <f>IFERROR(J44/J148, "NA")</f>
        <v>3.4317912400395306E-2</v>
      </c>
      <c r="L44" s="13">
        <f>IFERROR(L39+L40+L41+L42+L43, "NA")</f>
        <v>955.66</v>
      </c>
      <c r="M44" s="14">
        <f>IFERROR(L44/L148, "NA")</f>
        <v>3.6099803873572492E-2</v>
      </c>
      <c r="N44" s="13">
        <f>IFERROR(N39+N40+N41+N42+N43, "NA")</f>
        <v>922.21</v>
      </c>
      <c r="O44" s="14">
        <f>IFERROR(N44/N148, "NA")</f>
        <v>3.7071190626742342E-2</v>
      </c>
      <c r="P44" s="13">
        <f>IFERROR(P39+P40+P41+P42+P43, "NA")</f>
        <v>1301.99</v>
      </c>
      <c r="Q44" s="14">
        <f>IFERROR(P44/P148, "NA")</f>
        <v>4.2623730076445036E-2</v>
      </c>
      <c r="R44" s="13">
        <f>IFERROR(R39+R40+R41+R42+R43, "NA")</f>
        <v>1190.6399999999999</v>
      </c>
      <c r="S44" s="14">
        <f>IFERROR(R44/R148, "NA")</f>
        <v>3.5196025164342115E-2</v>
      </c>
      <c r="T44" s="13">
        <f>IFERROR(T39+T40+T41+T42+T43, "NA")</f>
        <v>1086.77</v>
      </c>
      <c r="U44" s="14">
        <f>IFERROR(T44/T148, "NA")</f>
        <v>4.3666127320731093E-2</v>
      </c>
      <c r="V44" s="13">
        <f>IFERROR(V39+V40+V41+V42+V43, "NA")</f>
        <v>1235.05</v>
      </c>
      <c r="W44" s="14">
        <f>IFERROR(V44/V148, "NA")</f>
        <v>3.9428800375436369E-2</v>
      </c>
      <c r="X44" s="13">
        <f>IFERROR(X39+X40+X41+X42+X43, "NA")</f>
        <v>1125.2</v>
      </c>
      <c r="Y44" s="14">
        <f>IFERROR(X44/X148, "NA")</f>
        <v>3.7266545889319817E-2</v>
      </c>
      <c r="Z44" s="13">
        <f>IFERROR(Z39+Z40+Z41+Z42+Z43, "NA")</f>
        <v>3447.02</v>
      </c>
      <c r="AA44" s="14">
        <f>IFERROR(Z44/Z148, "NA")</f>
        <v>3.9893746914241787E-2</v>
      </c>
      <c r="AB44" s="13">
        <f t="shared" si="12"/>
        <v>1159.415</v>
      </c>
      <c r="AC44" s="14">
        <f>IFERROR(AB44/AB148, "NA")</f>
        <v>3.8572002690756613E-2</v>
      </c>
      <c r="AD44" s="15">
        <f t="shared" si="13"/>
        <v>-34.214999999999918</v>
      </c>
      <c r="AE44" s="16">
        <f>IFERROR(AD44/AD148, "NA")</f>
        <v>-0.2537451794719659</v>
      </c>
      <c r="AF44" s="15">
        <f t="shared" si="14"/>
        <v>-2.9510572141985329E-2</v>
      </c>
      <c r="AG44" s="13">
        <f t="shared" si="15"/>
        <v>1083.3625</v>
      </c>
      <c r="AH44" s="14">
        <f>IFERROR(AG44/AG148, "NA")</f>
        <v>3.8200410649235531E-2</v>
      </c>
      <c r="AI44" s="15">
        <f t="shared" si="16"/>
        <v>41.837500000000091</v>
      </c>
      <c r="AJ44" s="16">
        <f>IFERROR(AI44/AI148, "NA")</f>
        <v>2.2820496037265506E-2</v>
      </c>
      <c r="AK44" s="15">
        <f t="shared" si="17"/>
        <v>3.8618191048702621E-2</v>
      </c>
      <c r="AL44" s="16">
        <f>IFERROR(AK44/AK148, "NA")</f>
        <v>0.59738876230437044</v>
      </c>
    </row>
    <row r="45" spans="1:38" ht="16.5" customHeight="1" x14ac:dyDescent="0.3">
      <c r="A45" s="24" t="s">
        <v>60</v>
      </c>
      <c r="B45" s="2"/>
      <c r="C45" s="3"/>
      <c r="D45" s="2"/>
      <c r="E45" s="3"/>
      <c r="F45" s="2"/>
      <c r="G45" s="3"/>
      <c r="H45" s="2"/>
      <c r="I45" s="3"/>
      <c r="J45" s="2"/>
      <c r="K45" s="3"/>
      <c r="L45" s="2"/>
      <c r="M45" s="3"/>
      <c r="N45" s="2"/>
      <c r="O45" s="3"/>
      <c r="P45" s="2"/>
      <c r="Q45" s="3"/>
      <c r="R45" s="2"/>
      <c r="S45" s="3"/>
      <c r="T45" s="2"/>
      <c r="U45" s="3"/>
      <c r="V45" s="2"/>
      <c r="W45" s="3"/>
      <c r="X45" s="2"/>
      <c r="Y45" s="3"/>
      <c r="Z45" s="2"/>
      <c r="AA45" s="3"/>
      <c r="AB45" s="2"/>
      <c r="AC45" s="3"/>
      <c r="AD45" s="4"/>
      <c r="AE45" s="5"/>
      <c r="AF45" s="4"/>
      <c r="AG45" s="2"/>
      <c r="AH45" s="3"/>
      <c r="AI45" s="4"/>
      <c r="AJ45" s="5"/>
      <c r="AK45" s="4"/>
      <c r="AL45" s="5"/>
    </row>
    <row r="46" spans="1:38" ht="16.5" hidden="1" customHeight="1" x14ac:dyDescent="0.3">
      <c r="A46" s="25" t="s">
        <v>61</v>
      </c>
      <c r="B46" s="7">
        <v>0</v>
      </c>
      <c r="C46" s="8">
        <f>IFERROR(B46/B148, "NA")</f>
        <v>0</v>
      </c>
      <c r="D46" s="7">
        <v>0</v>
      </c>
      <c r="E46" s="8">
        <f>IFERROR(D46/D148, "NA")</f>
        <v>0</v>
      </c>
      <c r="F46" s="7">
        <v>0</v>
      </c>
      <c r="G46" s="8">
        <f>IFERROR(F46/F148, "NA")</f>
        <v>0</v>
      </c>
      <c r="H46" s="7">
        <v>0</v>
      </c>
      <c r="I46" s="8">
        <f>IFERROR(H46/H148, "NA")</f>
        <v>0</v>
      </c>
      <c r="J46" s="7">
        <v>0</v>
      </c>
      <c r="K46" s="8">
        <f>IFERROR(J46/J148, "NA")</f>
        <v>0</v>
      </c>
      <c r="L46" s="7">
        <v>0</v>
      </c>
      <c r="M46" s="8">
        <f>IFERROR(L46/L148, "NA")</f>
        <v>0</v>
      </c>
      <c r="N46" s="7">
        <v>0</v>
      </c>
      <c r="O46" s="8">
        <f>IFERROR(N46/N148, "NA")</f>
        <v>0</v>
      </c>
      <c r="P46" s="7">
        <v>0</v>
      </c>
      <c r="Q46" s="8">
        <f>IFERROR(P46/P148, "NA")</f>
        <v>0</v>
      </c>
      <c r="R46" s="7">
        <v>0</v>
      </c>
      <c r="S46" s="8">
        <f>IFERROR(R46/R148, "NA")</f>
        <v>0</v>
      </c>
      <c r="T46" s="7">
        <v>0</v>
      </c>
      <c r="U46" s="8">
        <f>IFERROR(T46/T148, "NA")</f>
        <v>0</v>
      </c>
      <c r="V46" s="7">
        <v>0</v>
      </c>
      <c r="W46" s="8">
        <f>IFERROR(V46/V148, "NA")</f>
        <v>0</v>
      </c>
      <c r="X46" s="7">
        <v>0</v>
      </c>
      <c r="Y46" s="8">
        <f>IFERROR(X46/X148, "NA")</f>
        <v>0</v>
      </c>
      <c r="Z46" s="7">
        <v>0</v>
      </c>
      <c r="AA46" s="8">
        <f>IFERROR(Z46/Z148, "NA")</f>
        <v>0</v>
      </c>
      <c r="AB46" s="9">
        <f t="shared" ref="AB46:AB57" si="18">IFERROR((R46+T46+V46+X46)/4, "NA")</f>
        <v>0</v>
      </c>
      <c r="AC46" s="8">
        <f>IFERROR(AB46/AB148, "NA")</f>
        <v>0</v>
      </c>
      <c r="AD46" s="10">
        <f t="shared" ref="AD46:AD57" si="19">IFERROR(X46-AB46, "NA")</f>
        <v>0</v>
      </c>
      <c r="AE46" s="11">
        <f>IFERROR(AD46/AD148, "NA")</f>
        <v>0</v>
      </c>
      <c r="AF46" s="10" t="str">
        <f t="shared" ref="AF46:AF57" si="20">IFERROR((X46-AB46)/AB46, "NA")</f>
        <v>NA</v>
      </c>
      <c r="AG46" s="9">
        <f t="shared" ref="AG46:AG57" si="21">IFERROR((J46+L46+N46+P46+R46+T46+V46+X46)/8, "NA")</f>
        <v>0</v>
      </c>
      <c r="AH46" s="8">
        <f>IFERROR(AG46/AG148, "NA")</f>
        <v>0</v>
      </c>
      <c r="AI46" s="10">
        <f t="shared" ref="AI46:AI57" si="22">IFERROR(X46-AG46, "NA")</f>
        <v>0</v>
      </c>
      <c r="AJ46" s="11">
        <f>IFERROR(AI46/AI148, "NA")</f>
        <v>0</v>
      </c>
      <c r="AK46" s="10" t="str">
        <f t="shared" ref="AK46:AK57" si="23">IFERROR((X46-AG46)/AG46, "NA")</f>
        <v>NA</v>
      </c>
      <c r="AL46" s="11" t="str">
        <f>IFERROR(AK46/AK148, "NA")</f>
        <v>NA</v>
      </c>
    </row>
    <row r="47" spans="1:38" ht="16.5" customHeight="1" x14ac:dyDescent="0.3">
      <c r="A47" s="25" t="s">
        <v>62</v>
      </c>
      <c r="B47" s="7">
        <v>173.39</v>
      </c>
      <c r="C47" s="8">
        <f>IFERROR(B47/B148, "NA")</f>
        <v>6.0574555193275061E-3</v>
      </c>
      <c r="D47" s="7">
        <v>69.900000000000006</v>
      </c>
      <c r="E47" s="8">
        <f>IFERROR(D47/D148, "NA")</f>
        <v>2.4017333711746644E-3</v>
      </c>
      <c r="F47" s="7">
        <v>48.16</v>
      </c>
      <c r="G47" s="8">
        <f>IFERROR(F47/F148, "NA")</f>
        <v>1.5014991608627507E-3</v>
      </c>
      <c r="H47" s="7">
        <v>120.09</v>
      </c>
      <c r="I47" s="8">
        <f>IFERROR(H47/H148, "NA")</f>
        <v>4.5626102279367458E-3</v>
      </c>
      <c r="J47" s="7">
        <v>110.79</v>
      </c>
      <c r="K47" s="8">
        <f>IFERROR(J47/J148, "NA")</f>
        <v>4.4763021437281272E-3</v>
      </c>
      <c r="L47" s="7">
        <v>56.05</v>
      </c>
      <c r="M47" s="8">
        <f>IFERROR(L47/L148, "NA")</f>
        <v>2.1172739333170146E-3</v>
      </c>
      <c r="N47" s="7">
        <v>196.03</v>
      </c>
      <c r="O47" s="8">
        <f>IFERROR(N47/N148, "NA")</f>
        <v>7.8800549750710804E-3</v>
      </c>
      <c r="P47" s="7">
        <v>89.6</v>
      </c>
      <c r="Q47" s="8">
        <f>IFERROR(P47/P148, "NA")</f>
        <v>2.933268469688304E-3</v>
      </c>
      <c r="R47" s="7">
        <v>120.7</v>
      </c>
      <c r="S47" s="8">
        <f>IFERROR(R47/R148, "NA")</f>
        <v>3.5679636475644139E-3</v>
      </c>
      <c r="T47" s="7">
        <v>113.62</v>
      </c>
      <c r="U47" s="8">
        <f>IFERROR(T47/T148, "NA")</f>
        <v>4.5652211472358159E-3</v>
      </c>
      <c r="V47" s="7">
        <v>81.19</v>
      </c>
      <c r="W47" s="8">
        <f>IFERROR(V47/V148, "NA")</f>
        <v>2.5919795170087682E-3</v>
      </c>
      <c r="X47" s="7">
        <v>138.65</v>
      </c>
      <c r="Y47" s="8">
        <f>IFERROR(X47/X148, "NA")</f>
        <v>4.5920783750037263E-3</v>
      </c>
      <c r="Z47" s="7">
        <v>333.46</v>
      </c>
      <c r="AA47" s="8">
        <f>IFERROR(Z47/Z148, "NA")</f>
        <v>3.8592665102097075E-3</v>
      </c>
      <c r="AB47" s="9">
        <f t="shared" si="18"/>
        <v>113.53999999999999</v>
      </c>
      <c r="AC47" s="8">
        <f>IFERROR(AB47/AB148, "NA")</f>
        <v>3.7773059564595126E-3</v>
      </c>
      <c r="AD47" s="10">
        <f t="shared" si="19"/>
        <v>25.110000000000014</v>
      </c>
      <c r="AE47" s="11">
        <f>IFERROR(AD47/AD148, "NA")</f>
        <v>0.18622070602195184</v>
      </c>
      <c r="AF47" s="10">
        <f t="shared" si="20"/>
        <v>0.22115553989783349</v>
      </c>
      <c r="AG47" s="9">
        <f t="shared" si="21"/>
        <v>113.32875</v>
      </c>
      <c r="AH47" s="8">
        <f>IFERROR(AG47/AG148, "NA")</f>
        <v>3.9960814486052001E-3</v>
      </c>
      <c r="AI47" s="10">
        <f t="shared" si="22"/>
        <v>25.321250000000006</v>
      </c>
      <c r="AJ47" s="11">
        <f>IFERROR(AI47/AI148, "NA")</f>
        <v>1.3811616021120002E-2</v>
      </c>
      <c r="AK47" s="10">
        <f t="shared" si="23"/>
        <v>0.22343182996371183</v>
      </c>
      <c r="AL47" s="11">
        <f>IFERROR(AK47/AK148, "NA")</f>
        <v>3.4562899176994586</v>
      </c>
    </row>
    <row r="48" spans="1:38" ht="16.5" hidden="1" customHeight="1" x14ac:dyDescent="0.3">
      <c r="A48" s="25" t="s">
        <v>63</v>
      </c>
      <c r="B48" s="7">
        <v>0</v>
      </c>
      <c r="C48" s="8">
        <f>IFERROR(B48/B148, "NA")</f>
        <v>0</v>
      </c>
      <c r="D48" s="7">
        <v>0</v>
      </c>
      <c r="E48" s="8">
        <f>IFERROR(D48/D148, "NA")</f>
        <v>0</v>
      </c>
      <c r="F48" s="7">
        <v>0</v>
      </c>
      <c r="G48" s="8">
        <f>IFERROR(F48/F148, "NA")</f>
        <v>0</v>
      </c>
      <c r="H48" s="7">
        <v>0</v>
      </c>
      <c r="I48" s="8">
        <f>IFERROR(H48/H148, "NA")</f>
        <v>0</v>
      </c>
      <c r="J48" s="7">
        <v>0</v>
      </c>
      <c r="K48" s="8">
        <f>IFERROR(J48/J148, "NA")</f>
        <v>0</v>
      </c>
      <c r="L48" s="7">
        <v>0</v>
      </c>
      <c r="M48" s="8">
        <f>IFERROR(L48/L148, "NA")</f>
        <v>0</v>
      </c>
      <c r="N48" s="7">
        <v>0</v>
      </c>
      <c r="O48" s="8">
        <f>IFERROR(N48/N148, "NA")</f>
        <v>0</v>
      </c>
      <c r="P48" s="7">
        <v>0</v>
      </c>
      <c r="Q48" s="8">
        <f>IFERROR(P48/P148, "NA")</f>
        <v>0</v>
      </c>
      <c r="R48" s="7">
        <v>0</v>
      </c>
      <c r="S48" s="8">
        <f>IFERROR(R48/R148, "NA")</f>
        <v>0</v>
      </c>
      <c r="T48" s="7">
        <v>0</v>
      </c>
      <c r="U48" s="8">
        <f>IFERROR(T48/T148, "NA")</f>
        <v>0</v>
      </c>
      <c r="V48" s="7">
        <v>0</v>
      </c>
      <c r="W48" s="8">
        <f>IFERROR(V48/V148, "NA")</f>
        <v>0</v>
      </c>
      <c r="X48" s="7">
        <v>0</v>
      </c>
      <c r="Y48" s="8">
        <f>IFERROR(X48/X148, "NA")</f>
        <v>0</v>
      </c>
      <c r="Z48" s="7">
        <v>0</v>
      </c>
      <c r="AA48" s="8">
        <f>IFERROR(Z48/Z148, "NA")</f>
        <v>0</v>
      </c>
      <c r="AB48" s="9">
        <f t="shared" si="18"/>
        <v>0</v>
      </c>
      <c r="AC48" s="8">
        <f>IFERROR(AB48/AB148, "NA")</f>
        <v>0</v>
      </c>
      <c r="AD48" s="10">
        <f t="shared" si="19"/>
        <v>0</v>
      </c>
      <c r="AE48" s="11">
        <f>IFERROR(AD48/AD148, "NA")</f>
        <v>0</v>
      </c>
      <c r="AF48" s="10" t="str">
        <f t="shared" si="20"/>
        <v>NA</v>
      </c>
      <c r="AG48" s="9">
        <f t="shared" si="21"/>
        <v>0</v>
      </c>
      <c r="AH48" s="8">
        <f>IFERROR(AG48/AG148, "NA")</f>
        <v>0</v>
      </c>
      <c r="AI48" s="10">
        <f t="shared" si="22"/>
        <v>0</v>
      </c>
      <c r="AJ48" s="11">
        <f>IFERROR(AI48/AI148, "NA")</f>
        <v>0</v>
      </c>
      <c r="AK48" s="10" t="str">
        <f t="shared" si="23"/>
        <v>NA</v>
      </c>
      <c r="AL48" s="11" t="str">
        <f>IFERROR(AK48/AK148, "NA")</f>
        <v>NA</v>
      </c>
    </row>
    <row r="49" spans="1:38" ht="16.5" hidden="1" customHeight="1" x14ac:dyDescent="0.3">
      <c r="A49" s="25" t="s">
        <v>64</v>
      </c>
      <c r="B49" s="7">
        <v>0</v>
      </c>
      <c r="C49" s="8">
        <f>IFERROR(B49/B148, "NA")</f>
        <v>0</v>
      </c>
      <c r="D49" s="7">
        <v>0</v>
      </c>
      <c r="E49" s="8">
        <f>IFERROR(D49/D148, "NA")</f>
        <v>0</v>
      </c>
      <c r="F49" s="7">
        <v>0</v>
      </c>
      <c r="G49" s="8">
        <f>IFERROR(F49/F148, "NA")</f>
        <v>0</v>
      </c>
      <c r="H49" s="7">
        <v>0</v>
      </c>
      <c r="I49" s="8">
        <f>IFERROR(H49/H148, "NA")</f>
        <v>0</v>
      </c>
      <c r="J49" s="7">
        <v>0</v>
      </c>
      <c r="K49" s="8">
        <f>IFERROR(J49/J148, "NA")</f>
        <v>0</v>
      </c>
      <c r="L49" s="7">
        <v>0</v>
      </c>
      <c r="M49" s="8">
        <f>IFERROR(L49/L148, "NA")</f>
        <v>0</v>
      </c>
      <c r="N49" s="7">
        <v>0</v>
      </c>
      <c r="O49" s="8">
        <f>IFERROR(N49/N148, "NA")</f>
        <v>0</v>
      </c>
      <c r="P49" s="7">
        <v>0</v>
      </c>
      <c r="Q49" s="8">
        <f>IFERROR(P49/P148, "NA")</f>
        <v>0</v>
      </c>
      <c r="R49" s="7">
        <v>0</v>
      </c>
      <c r="S49" s="8">
        <f>IFERROR(R49/R148, "NA")</f>
        <v>0</v>
      </c>
      <c r="T49" s="7">
        <v>0</v>
      </c>
      <c r="U49" s="8">
        <f>IFERROR(T49/T148, "NA")</f>
        <v>0</v>
      </c>
      <c r="V49" s="7">
        <v>0</v>
      </c>
      <c r="W49" s="8">
        <f>IFERROR(V49/V148, "NA")</f>
        <v>0</v>
      </c>
      <c r="X49" s="7">
        <v>0</v>
      </c>
      <c r="Y49" s="8">
        <f>IFERROR(X49/X148, "NA")</f>
        <v>0</v>
      </c>
      <c r="Z49" s="7">
        <v>0</v>
      </c>
      <c r="AA49" s="8">
        <f>IFERROR(Z49/Z148, "NA")</f>
        <v>0</v>
      </c>
      <c r="AB49" s="9">
        <f t="shared" si="18"/>
        <v>0</v>
      </c>
      <c r="AC49" s="8">
        <f>IFERROR(AB49/AB148, "NA")</f>
        <v>0</v>
      </c>
      <c r="AD49" s="10">
        <f t="shared" si="19"/>
        <v>0</v>
      </c>
      <c r="AE49" s="11">
        <f>IFERROR(AD49/AD148, "NA")</f>
        <v>0</v>
      </c>
      <c r="AF49" s="10" t="str">
        <f t="shared" si="20"/>
        <v>NA</v>
      </c>
      <c r="AG49" s="9">
        <f t="shared" si="21"/>
        <v>0</v>
      </c>
      <c r="AH49" s="8">
        <f>IFERROR(AG49/AG148, "NA")</f>
        <v>0</v>
      </c>
      <c r="AI49" s="10">
        <f t="shared" si="22"/>
        <v>0</v>
      </c>
      <c r="AJ49" s="11">
        <f>IFERROR(AI49/AI148, "NA")</f>
        <v>0</v>
      </c>
      <c r="AK49" s="10" t="str">
        <f t="shared" si="23"/>
        <v>NA</v>
      </c>
      <c r="AL49" s="11" t="str">
        <f>IFERROR(AK49/AK148, "NA")</f>
        <v>NA</v>
      </c>
    </row>
    <row r="50" spans="1:38" ht="16.5" hidden="1" customHeight="1" x14ac:dyDescent="0.3">
      <c r="A50" s="25" t="s">
        <v>65</v>
      </c>
      <c r="B50" s="7">
        <v>0</v>
      </c>
      <c r="C50" s="8">
        <f>IFERROR(B50/B148, "NA")</f>
        <v>0</v>
      </c>
      <c r="D50" s="7">
        <v>0</v>
      </c>
      <c r="E50" s="8">
        <f>IFERROR(D50/D148, "NA")</f>
        <v>0</v>
      </c>
      <c r="F50" s="7">
        <v>0</v>
      </c>
      <c r="G50" s="8">
        <f>IFERROR(F50/F148, "NA")</f>
        <v>0</v>
      </c>
      <c r="H50" s="7">
        <v>0</v>
      </c>
      <c r="I50" s="8">
        <f>IFERROR(H50/H148, "NA")</f>
        <v>0</v>
      </c>
      <c r="J50" s="7">
        <v>0</v>
      </c>
      <c r="K50" s="8">
        <f>IFERROR(J50/J148, "NA")</f>
        <v>0</v>
      </c>
      <c r="L50" s="7">
        <v>0</v>
      </c>
      <c r="M50" s="8">
        <f>IFERROR(L50/L148, "NA")</f>
        <v>0</v>
      </c>
      <c r="N50" s="7">
        <v>0</v>
      </c>
      <c r="O50" s="8">
        <f>IFERROR(N50/N148, "NA")</f>
        <v>0</v>
      </c>
      <c r="P50" s="7">
        <v>0</v>
      </c>
      <c r="Q50" s="8">
        <f>IFERROR(P50/P148, "NA")</f>
        <v>0</v>
      </c>
      <c r="R50" s="7">
        <v>0</v>
      </c>
      <c r="S50" s="8">
        <f>IFERROR(R50/R148, "NA")</f>
        <v>0</v>
      </c>
      <c r="T50" s="7">
        <v>0</v>
      </c>
      <c r="U50" s="8">
        <f>IFERROR(T50/T148, "NA")</f>
        <v>0</v>
      </c>
      <c r="V50" s="7">
        <v>0</v>
      </c>
      <c r="W50" s="8">
        <f>IFERROR(V50/V148, "NA")</f>
        <v>0</v>
      </c>
      <c r="X50" s="7">
        <v>0</v>
      </c>
      <c r="Y50" s="8">
        <f>IFERROR(X50/X148, "NA")</f>
        <v>0</v>
      </c>
      <c r="Z50" s="7">
        <v>0</v>
      </c>
      <c r="AA50" s="8">
        <f>IFERROR(Z50/Z148, "NA")</f>
        <v>0</v>
      </c>
      <c r="AB50" s="9">
        <f t="shared" si="18"/>
        <v>0</v>
      </c>
      <c r="AC50" s="8">
        <f>IFERROR(AB50/AB148, "NA")</f>
        <v>0</v>
      </c>
      <c r="AD50" s="10">
        <f t="shared" si="19"/>
        <v>0</v>
      </c>
      <c r="AE50" s="11">
        <f>IFERROR(AD50/AD148, "NA")</f>
        <v>0</v>
      </c>
      <c r="AF50" s="10" t="str">
        <f t="shared" si="20"/>
        <v>NA</v>
      </c>
      <c r="AG50" s="9">
        <f t="shared" si="21"/>
        <v>0</v>
      </c>
      <c r="AH50" s="8">
        <f>IFERROR(AG50/AG148, "NA")</f>
        <v>0</v>
      </c>
      <c r="AI50" s="10">
        <f t="shared" si="22"/>
        <v>0</v>
      </c>
      <c r="AJ50" s="11">
        <f>IFERROR(AI50/AI148, "NA")</f>
        <v>0</v>
      </c>
      <c r="AK50" s="10" t="str">
        <f t="shared" si="23"/>
        <v>NA</v>
      </c>
      <c r="AL50" s="11" t="str">
        <f>IFERROR(AK50/AK148, "NA")</f>
        <v>NA</v>
      </c>
    </row>
    <row r="51" spans="1:38" ht="16.5" hidden="1" customHeight="1" x14ac:dyDescent="0.3">
      <c r="A51" s="25" t="s">
        <v>66</v>
      </c>
      <c r="B51" s="7">
        <v>0</v>
      </c>
      <c r="C51" s="8">
        <f>IFERROR(B51/B148, "NA")</f>
        <v>0</v>
      </c>
      <c r="D51" s="7">
        <v>0</v>
      </c>
      <c r="E51" s="8">
        <f>IFERROR(D51/D148, "NA")</f>
        <v>0</v>
      </c>
      <c r="F51" s="7">
        <v>0</v>
      </c>
      <c r="G51" s="8">
        <f>IFERROR(F51/F148, "NA")</f>
        <v>0</v>
      </c>
      <c r="H51" s="7">
        <v>0</v>
      </c>
      <c r="I51" s="8">
        <f>IFERROR(H51/H148, "NA")</f>
        <v>0</v>
      </c>
      <c r="J51" s="7">
        <v>0</v>
      </c>
      <c r="K51" s="8">
        <f>IFERROR(J51/J148, "NA")</f>
        <v>0</v>
      </c>
      <c r="L51" s="7">
        <v>0</v>
      </c>
      <c r="M51" s="8">
        <f>IFERROR(L51/L148, "NA")</f>
        <v>0</v>
      </c>
      <c r="N51" s="7">
        <v>0</v>
      </c>
      <c r="O51" s="8">
        <f>IFERROR(N51/N148, "NA")</f>
        <v>0</v>
      </c>
      <c r="P51" s="7">
        <v>0</v>
      </c>
      <c r="Q51" s="8">
        <f>IFERROR(P51/P148, "NA")</f>
        <v>0</v>
      </c>
      <c r="R51" s="7">
        <v>0</v>
      </c>
      <c r="S51" s="8">
        <f>IFERROR(R51/R148, "NA")</f>
        <v>0</v>
      </c>
      <c r="T51" s="7">
        <v>0</v>
      </c>
      <c r="U51" s="8">
        <f>IFERROR(T51/T148, "NA")</f>
        <v>0</v>
      </c>
      <c r="V51" s="7">
        <v>0</v>
      </c>
      <c r="W51" s="8">
        <f>IFERROR(V51/V148, "NA")</f>
        <v>0</v>
      </c>
      <c r="X51" s="7">
        <v>0</v>
      </c>
      <c r="Y51" s="8">
        <f>IFERROR(X51/X148, "NA")</f>
        <v>0</v>
      </c>
      <c r="Z51" s="7">
        <v>0</v>
      </c>
      <c r="AA51" s="8">
        <f>IFERROR(Z51/Z148, "NA")</f>
        <v>0</v>
      </c>
      <c r="AB51" s="9">
        <f t="shared" si="18"/>
        <v>0</v>
      </c>
      <c r="AC51" s="8">
        <f>IFERROR(AB51/AB148, "NA")</f>
        <v>0</v>
      </c>
      <c r="AD51" s="10">
        <f t="shared" si="19"/>
        <v>0</v>
      </c>
      <c r="AE51" s="11">
        <f>IFERROR(AD51/AD148, "NA")</f>
        <v>0</v>
      </c>
      <c r="AF51" s="10" t="str">
        <f t="shared" si="20"/>
        <v>NA</v>
      </c>
      <c r="AG51" s="9">
        <f t="shared" si="21"/>
        <v>0</v>
      </c>
      <c r="AH51" s="8">
        <f>IFERROR(AG51/AG148, "NA")</f>
        <v>0</v>
      </c>
      <c r="AI51" s="10">
        <f t="shared" si="22"/>
        <v>0</v>
      </c>
      <c r="AJ51" s="11">
        <f>IFERROR(AI51/AI148, "NA")</f>
        <v>0</v>
      </c>
      <c r="AK51" s="10" t="str">
        <f t="shared" si="23"/>
        <v>NA</v>
      </c>
      <c r="AL51" s="11" t="str">
        <f>IFERROR(AK51/AK148, "NA")</f>
        <v>NA</v>
      </c>
    </row>
    <row r="52" spans="1:38" ht="16.5" customHeight="1" x14ac:dyDescent="0.3">
      <c r="A52" s="26" t="s">
        <v>67</v>
      </c>
      <c r="B52" s="13">
        <f>IFERROR(B46+B47+B48+B49+B50+B51, "NA")</f>
        <v>173.39</v>
      </c>
      <c r="C52" s="14">
        <f>IFERROR(B52/B148, "NA")</f>
        <v>6.0574555193275061E-3</v>
      </c>
      <c r="D52" s="13">
        <f>IFERROR(D46+D47+D48+D49+D50+D51, "NA")</f>
        <v>69.900000000000006</v>
      </c>
      <c r="E52" s="14">
        <f>IFERROR(D52/D148, "NA")</f>
        <v>2.4017333711746644E-3</v>
      </c>
      <c r="F52" s="13">
        <f>IFERROR(F46+F47+F48+F49+F50+F51, "NA")</f>
        <v>48.16</v>
      </c>
      <c r="G52" s="14">
        <f>IFERROR(F52/F148, "NA")</f>
        <v>1.5014991608627507E-3</v>
      </c>
      <c r="H52" s="13">
        <f>IFERROR(H46+H47+H48+H49+H50+H51, "NA")</f>
        <v>120.09</v>
      </c>
      <c r="I52" s="14">
        <f>IFERROR(H52/H148, "NA")</f>
        <v>4.5626102279367458E-3</v>
      </c>
      <c r="J52" s="13">
        <f>IFERROR(J46+J47+J48+J49+J50+J51, "NA")</f>
        <v>110.79</v>
      </c>
      <c r="K52" s="14">
        <f>IFERROR(J52/J148, "NA")</f>
        <v>4.4763021437281272E-3</v>
      </c>
      <c r="L52" s="13">
        <f>IFERROR(L46+L47+L48+L49+L50+L51, "NA")</f>
        <v>56.05</v>
      </c>
      <c r="M52" s="14">
        <f>IFERROR(L52/L148, "NA")</f>
        <v>2.1172739333170146E-3</v>
      </c>
      <c r="N52" s="13">
        <f>IFERROR(N46+N47+N48+N49+N50+N51, "NA")</f>
        <v>196.03</v>
      </c>
      <c r="O52" s="14">
        <f>IFERROR(N52/N148, "NA")</f>
        <v>7.8800549750710804E-3</v>
      </c>
      <c r="P52" s="13">
        <f>IFERROR(P46+P47+P48+P49+P50+P51, "NA")</f>
        <v>89.6</v>
      </c>
      <c r="Q52" s="14">
        <f>IFERROR(P52/P148, "NA")</f>
        <v>2.933268469688304E-3</v>
      </c>
      <c r="R52" s="13">
        <f>IFERROR(R46+R47+R48+R49+R50+R51, "NA")</f>
        <v>120.7</v>
      </c>
      <c r="S52" s="14">
        <f>IFERROR(R52/R148, "NA")</f>
        <v>3.5679636475644139E-3</v>
      </c>
      <c r="T52" s="13">
        <f>IFERROR(T46+T47+T48+T49+T50+T51, "NA")</f>
        <v>113.62</v>
      </c>
      <c r="U52" s="14">
        <f>IFERROR(T52/T148, "NA")</f>
        <v>4.5652211472358159E-3</v>
      </c>
      <c r="V52" s="13">
        <f>IFERROR(V46+V47+V48+V49+V50+V51, "NA")</f>
        <v>81.19</v>
      </c>
      <c r="W52" s="14">
        <f>IFERROR(V52/V148, "NA")</f>
        <v>2.5919795170087682E-3</v>
      </c>
      <c r="X52" s="13">
        <f>IFERROR(X46+X47+X48+X49+X50+X51, "NA")</f>
        <v>138.65</v>
      </c>
      <c r="Y52" s="14">
        <f>IFERROR(X52/X148, "NA")</f>
        <v>4.5920783750037263E-3</v>
      </c>
      <c r="Z52" s="13">
        <f>IFERROR(Z46+Z47+Z48+Z49+Z50+Z51, "NA")</f>
        <v>333.46</v>
      </c>
      <c r="AA52" s="14">
        <f>IFERROR(Z52/Z148, "NA")</f>
        <v>3.8592665102097075E-3</v>
      </c>
      <c r="AB52" s="13">
        <f t="shared" si="18"/>
        <v>113.53999999999999</v>
      </c>
      <c r="AC52" s="14">
        <f>IFERROR(AB52/AB148, "NA")</f>
        <v>3.7773059564595126E-3</v>
      </c>
      <c r="AD52" s="15">
        <f t="shared" si="19"/>
        <v>25.110000000000014</v>
      </c>
      <c r="AE52" s="16">
        <f>IFERROR(AD52/AD148, "NA")</f>
        <v>0.18622070602195184</v>
      </c>
      <c r="AF52" s="15">
        <f t="shared" si="20"/>
        <v>0.22115553989783349</v>
      </c>
      <c r="AG52" s="13">
        <f t="shared" si="21"/>
        <v>113.32875</v>
      </c>
      <c r="AH52" s="14">
        <f>IFERROR(AG52/AG148, "NA")</f>
        <v>3.9960814486052001E-3</v>
      </c>
      <c r="AI52" s="15">
        <f t="shared" si="22"/>
        <v>25.321250000000006</v>
      </c>
      <c r="AJ52" s="16">
        <f>IFERROR(AI52/AI148, "NA")</f>
        <v>1.3811616021120002E-2</v>
      </c>
      <c r="AK52" s="15">
        <f t="shared" si="23"/>
        <v>0.22343182996371183</v>
      </c>
      <c r="AL52" s="16">
        <f>IFERROR(AK52/AK148, "NA")</f>
        <v>3.4562899176994586</v>
      </c>
    </row>
    <row r="53" spans="1:38" ht="16.5" customHeight="1" x14ac:dyDescent="0.3">
      <c r="A53" s="23" t="s">
        <v>68</v>
      </c>
      <c r="B53" s="7">
        <v>24.79</v>
      </c>
      <c r="C53" s="8">
        <f>IFERROR(B53/B148, "NA")</f>
        <v>8.6604949722665029E-4</v>
      </c>
      <c r="D53" s="7">
        <v>28.26</v>
      </c>
      <c r="E53" s="8">
        <f>IFERROR(D53/D148, "NA")</f>
        <v>9.7100121701567971E-4</v>
      </c>
      <c r="F53" s="7">
        <v>27.81</v>
      </c>
      <c r="G53" s="8">
        <f>IFERROR(F53/F148, "NA")</f>
        <v>8.6704093985866075E-4</v>
      </c>
      <c r="H53" s="7">
        <v>17.920000000000002</v>
      </c>
      <c r="I53" s="8">
        <f>IFERROR(H53/H148, "NA")</f>
        <v>6.8083916466505539E-4</v>
      </c>
      <c r="J53" s="7">
        <v>19.89</v>
      </c>
      <c r="K53" s="8">
        <f>IFERROR(J53/J148, "NA")</f>
        <v>8.0362532393494395E-4</v>
      </c>
      <c r="L53" s="7">
        <v>53.66</v>
      </c>
      <c r="M53" s="8">
        <f>IFERROR(L53/L148, "NA")</f>
        <v>2.0269923151077784E-3</v>
      </c>
      <c r="N53" s="7">
        <v>25.44</v>
      </c>
      <c r="O53" s="8">
        <f>IFERROR(N53/N148, "NA")</f>
        <v>1.0226424453696286E-3</v>
      </c>
      <c r="P53" s="7">
        <v>26.76</v>
      </c>
      <c r="Q53" s="8">
        <f>IFERROR(P53/P148, "NA")</f>
        <v>8.7605205634887304E-4</v>
      </c>
      <c r="R53" s="7">
        <v>38.28</v>
      </c>
      <c r="S53" s="8">
        <f>IFERROR(R53/R148, "NA")</f>
        <v>1.1315795230220859E-3</v>
      </c>
      <c r="T53" s="7">
        <v>33.17</v>
      </c>
      <c r="U53" s="8">
        <f>IFERROR(T53/T148, "NA")</f>
        <v>1.3327617096797395E-3</v>
      </c>
      <c r="V53" s="7">
        <v>44.24</v>
      </c>
      <c r="W53" s="8">
        <f>IFERROR(V53/V148, "NA")</f>
        <v>1.4123558792027086E-3</v>
      </c>
      <c r="X53" s="7">
        <v>21.3</v>
      </c>
      <c r="Y53" s="8">
        <f>IFERROR(X53/X148, "NA")</f>
        <v>7.0545452136732323E-4</v>
      </c>
      <c r="Z53" s="7">
        <v>98.71</v>
      </c>
      <c r="AA53" s="8">
        <f>IFERROR(Z53/Z148, "NA")</f>
        <v>1.1424104756876394E-3</v>
      </c>
      <c r="AB53" s="9">
        <f t="shared" si="18"/>
        <v>34.247500000000002</v>
      </c>
      <c r="AC53" s="8">
        <f>IFERROR(AB53/AB148, "NA")</f>
        <v>1.1393630944499487E-3</v>
      </c>
      <c r="AD53" s="10">
        <f t="shared" si="19"/>
        <v>-12.947500000000002</v>
      </c>
      <c r="AE53" s="11">
        <f>IFERROR(AD53/AD148, "NA")</f>
        <v>-9.6021210323346096E-2</v>
      </c>
      <c r="AF53" s="10">
        <f t="shared" si="20"/>
        <v>-0.3780567924666034</v>
      </c>
      <c r="AG53" s="9">
        <f t="shared" si="21"/>
        <v>32.842500000000001</v>
      </c>
      <c r="AH53" s="8">
        <f>IFERROR(AG53/AG148, "NA")</f>
        <v>1.1580583477345007E-3</v>
      </c>
      <c r="AI53" s="10">
        <f t="shared" si="22"/>
        <v>-11.5425</v>
      </c>
      <c r="AJ53" s="11">
        <f>IFERROR(AI53/AI148, "NA")</f>
        <v>-6.2959205380373239E-3</v>
      </c>
      <c r="AK53" s="10">
        <f t="shared" si="23"/>
        <v>-0.35145010276318794</v>
      </c>
      <c r="AL53" s="11">
        <f>IFERROR(AK53/AK148, "NA")</f>
        <v>-5.4366177234108948</v>
      </c>
    </row>
    <row r="54" spans="1:38" ht="16.5" customHeight="1" x14ac:dyDescent="0.3">
      <c r="A54" s="23" t="s">
        <v>69</v>
      </c>
      <c r="B54" s="7">
        <v>31</v>
      </c>
      <c r="C54" s="8">
        <f>IFERROR(B54/B148, "NA")</f>
        <v>1.0829985645028704E-3</v>
      </c>
      <c r="D54" s="7">
        <v>40.25</v>
      </c>
      <c r="E54" s="8">
        <f>IFERROR(D54/D148, "NA")</f>
        <v>1.3829723632300462E-3</v>
      </c>
      <c r="F54" s="7">
        <v>31.75</v>
      </c>
      <c r="G54" s="8">
        <f>IFERROR(F54/F148, "NA")</f>
        <v>9.8987953399901031E-4</v>
      </c>
      <c r="H54" s="7">
        <v>38</v>
      </c>
      <c r="I54" s="8">
        <f>IFERROR(H54/H148, "NA")</f>
        <v>1.443743764356702E-3</v>
      </c>
      <c r="J54" s="7">
        <v>28.81</v>
      </c>
      <c r="K54" s="8">
        <f>IFERROR(J54/J148, "NA")</f>
        <v>1.1640244134019976E-3</v>
      </c>
      <c r="L54" s="7">
        <v>28.75</v>
      </c>
      <c r="M54" s="8">
        <f>IFERROR(L54/L148, "NA")</f>
        <v>1.0860236500064972E-3</v>
      </c>
      <c r="N54" s="7">
        <v>24</v>
      </c>
      <c r="O54" s="8">
        <f>IFERROR(N54/N148, "NA")</f>
        <v>9.6475702393361183E-4</v>
      </c>
      <c r="P54" s="7">
        <v>40.31</v>
      </c>
      <c r="Q54" s="8">
        <f>IFERROR(P54/P148, "NA")</f>
        <v>1.319643437646602E-3</v>
      </c>
      <c r="R54" s="7">
        <v>33</v>
      </c>
      <c r="S54" s="8">
        <f>IFERROR(R54/R148, "NA")</f>
        <v>9.7549958881214304E-4</v>
      </c>
      <c r="T54" s="7">
        <v>37</v>
      </c>
      <c r="U54" s="8">
        <f>IFERROR(T54/T148, "NA")</f>
        <v>1.4866500831519553E-3</v>
      </c>
      <c r="V54" s="7">
        <v>23.25</v>
      </c>
      <c r="W54" s="8">
        <f>IFERROR(V54/V148, "NA")</f>
        <v>7.4225303326091714E-4</v>
      </c>
      <c r="X54" s="7">
        <v>39.31</v>
      </c>
      <c r="Y54" s="8">
        <f>IFERROR(X54/X148, "NA")</f>
        <v>1.3019444711243886E-3</v>
      </c>
      <c r="Z54" s="7">
        <v>99.56</v>
      </c>
      <c r="AA54" s="8">
        <f>IFERROR(Z54/Z148, "NA")</f>
        <v>1.1522478670799451E-3</v>
      </c>
      <c r="AB54" s="9">
        <f t="shared" si="18"/>
        <v>33.14</v>
      </c>
      <c r="AC54" s="8">
        <f>IFERROR(AB54/AB148, "NA")</f>
        <v>1.1025182261499757E-3</v>
      </c>
      <c r="AD54" s="10">
        <f t="shared" si="19"/>
        <v>6.1700000000000017</v>
      </c>
      <c r="AE54" s="11">
        <f>IFERROR(AD54/AD148, "NA")</f>
        <v>4.5757935330762348E-2</v>
      </c>
      <c r="AF54" s="10">
        <f t="shared" si="20"/>
        <v>0.18617984308992158</v>
      </c>
      <c r="AG54" s="9">
        <f t="shared" si="21"/>
        <v>31.803750000000001</v>
      </c>
      <c r="AH54" s="8">
        <f>IFERROR(AG54/AG148, "NA")</f>
        <v>1.1214310170285797E-3</v>
      </c>
      <c r="AI54" s="10">
        <f t="shared" si="22"/>
        <v>7.5062500000000014</v>
      </c>
      <c r="AJ54" s="11">
        <f>IFERROR(AI54/AI148, "NA")</f>
        <v>4.094325626046582E-3</v>
      </c>
      <c r="AK54" s="10">
        <f t="shared" si="23"/>
        <v>0.23601776520064463</v>
      </c>
      <c r="AL54" s="11">
        <f>IFERROR(AK54/AK148, "NA")</f>
        <v>3.6509830420913332</v>
      </c>
    </row>
    <row r="55" spans="1:38" ht="16.5" customHeight="1" x14ac:dyDescent="0.3">
      <c r="A55" s="23" t="s">
        <v>70</v>
      </c>
      <c r="B55" s="7">
        <v>-227.58</v>
      </c>
      <c r="C55" s="8">
        <f>IFERROR(B55/B148, "NA")</f>
        <v>-7.9506068809536545E-3</v>
      </c>
      <c r="D55" s="7">
        <v>-438.8</v>
      </c>
      <c r="E55" s="8">
        <f>IFERROR(D55/D148, "NA")</f>
        <v>-1.5076975726343958E-2</v>
      </c>
      <c r="F55" s="7">
        <v>-205.83</v>
      </c>
      <c r="G55" s="8">
        <f>IFERROR(F55/F148, "NA")</f>
        <v>-6.4172253380477585E-3</v>
      </c>
      <c r="H55" s="7">
        <v>-156.44999999999999</v>
      </c>
      <c r="I55" s="8">
        <f>IFERROR(H55/H148, "NA")</f>
        <v>-5.944045050884369E-3</v>
      </c>
      <c r="J55" s="7">
        <v>-164.59</v>
      </c>
      <c r="K55" s="8">
        <f>IFERROR(J55/J148, "NA")</f>
        <v>-6.6500096564330027E-3</v>
      </c>
      <c r="L55" s="7">
        <v>-218.46</v>
      </c>
      <c r="M55" s="8">
        <f>IFERROR(L55/L148, "NA")</f>
        <v>-8.2522687506232824E-3</v>
      </c>
      <c r="N55" s="7">
        <v>-234.94</v>
      </c>
      <c r="O55" s="8">
        <f>IFERROR(N55/N148, "NA")</f>
        <v>-9.4441673001234485E-3</v>
      </c>
      <c r="P55" s="7">
        <v>-252.29</v>
      </c>
      <c r="Q55" s="8">
        <f>IFERROR(P55/P148, "NA")</f>
        <v>-8.2593114086792659E-3</v>
      </c>
      <c r="R55" s="7">
        <v>-116.88</v>
      </c>
      <c r="S55" s="8">
        <f>IFERROR(R55/R148, "NA")</f>
        <v>-3.4550421800110085E-3</v>
      </c>
      <c r="T55" s="7">
        <v>-210.01</v>
      </c>
      <c r="U55" s="8">
        <f>IFERROR(T55/T148, "NA")</f>
        <v>-8.4381455125065452E-3</v>
      </c>
      <c r="V55" s="7">
        <v>-233.82</v>
      </c>
      <c r="W55" s="8">
        <f>IFERROR(V55/V148, "NA")</f>
        <v>-7.464671149981404E-3</v>
      </c>
      <c r="X55" s="7">
        <v>-188.18</v>
      </c>
      <c r="Y55" s="8">
        <f>IFERROR(X55/X148, "NA")</f>
        <v>-6.2325085366621074E-3</v>
      </c>
      <c r="Z55" s="7">
        <v>-632.01</v>
      </c>
      <c r="AA55" s="8">
        <f>IFERROR(Z55/Z148, "NA")</f>
        <v>-7.3145055692366021E-3</v>
      </c>
      <c r="AB55" s="9">
        <f t="shared" si="18"/>
        <v>-187.22250000000003</v>
      </c>
      <c r="AC55" s="8">
        <f>IFERROR(AB55/AB148, "NA")</f>
        <v>-6.2286125104213603E-3</v>
      </c>
      <c r="AD55" s="10">
        <f t="shared" si="19"/>
        <v>-0.95749999999998181</v>
      </c>
      <c r="AE55" s="11">
        <f>IFERROR(AD55/AD148, "NA")</f>
        <v>-7.1010086027883477E-3</v>
      </c>
      <c r="AF55" s="10">
        <f t="shared" si="20"/>
        <v>5.1142357355551905E-3</v>
      </c>
      <c r="AG55" s="9">
        <f t="shared" si="21"/>
        <v>-202.39625000000001</v>
      </c>
      <c r="AH55" s="8">
        <f>IFERROR(AG55/AG148, "NA")</f>
        <v>-7.1366877327444303E-3</v>
      </c>
      <c r="AI55" s="10">
        <f t="shared" si="22"/>
        <v>14.216250000000002</v>
      </c>
      <c r="AJ55" s="11">
        <f>IFERROR(AI55/AI148, "NA")</f>
        <v>7.7543322806041251E-3</v>
      </c>
      <c r="AK55" s="10">
        <f t="shared" si="23"/>
        <v>-7.0239690705731953E-2</v>
      </c>
      <c r="AL55" s="11">
        <f>IFERROR(AK55/AK148, "NA")</f>
        <v>-1.0865449871129751</v>
      </c>
    </row>
    <row r="56" spans="1:38" ht="16.5" customHeight="1" x14ac:dyDescent="0.3">
      <c r="A56" s="27" t="s">
        <v>71</v>
      </c>
      <c r="B56" s="13">
        <f>IFERROR(B37+B39+B40+B41+B42+B43+B46+B47+B48+B49+B50+B51+B53+B54+B55, "NA")</f>
        <v>1269.0299999999997</v>
      </c>
      <c r="C56" s="14">
        <f>IFERROR(B56/B148, "NA")</f>
        <v>4.4334118332615399E-2</v>
      </c>
      <c r="D56" s="13">
        <f>IFERROR(D37+D39+D40+D41+D42+D43+D46+D47+D48+D49+D50+D51+D53+D54+D55, "NA")</f>
        <v>993.59000000000015</v>
      </c>
      <c r="E56" s="14">
        <f>IFERROR(D56/D148, "NA")</f>
        <v>3.4139317028117809E-2</v>
      </c>
      <c r="F56" s="13">
        <f>IFERROR(F37+F39+F40+F41+F42+F43+F46+F47+F48+F49+F50+F51+F53+F54+F55, "NA")</f>
        <v>1037.2800000000002</v>
      </c>
      <c r="G56" s="14">
        <f>IFERROR(F56/F148, "NA")</f>
        <v>3.2339598205558859E-2</v>
      </c>
      <c r="H56" s="13">
        <f>IFERROR(H37+H39+H40+H41+H42+H43+H46+H47+H48+H49+H50+H51+H53+H54+H55, "NA")</f>
        <v>982.19</v>
      </c>
      <c r="I56" s="14">
        <f>IFERROR(H56/H148, "NA")</f>
        <v>3.7316597050355504E-2</v>
      </c>
      <c r="J56" s="13">
        <f>IFERROR(J37+J39+J40+J41+J42+J43+J46+J47+J48+J49+J50+J51+J53+J54+J55, "NA")</f>
        <v>844.27999999999986</v>
      </c>
      <c r="K56" s="14">
        <f>IFERROR(J56/J148, "NA")</f>
        <v>3.4111854625027367E-2</v>
      </c>
      <c r="L56" s="13">
        <f>IFERROR(L37+L39+L40+L41+L42+L43+L46+L47+L48+L49+L50+L51+L53+L54+L55, "NA")</f>
        <v>875.65999999999985</v>
      </c>
      <c r="M56" s="14">
        <f>IFERROR(L56/L148, "NA")</f>
        <v>3.3077825021380493E-2</v>
      </c>
      <c r="N56" s="13">
        <f>IFERROR(N37+N39+N40+N41+N42+N43+N46+N47+N48+N49+N50+N51+N53+N54+N55, "NA")</f>
        <v>932.74</v>
      </c>
      <c r="O56" s="14">
        <f>IFERROR(N56/N148, "NA")</f>
        <v>3.7494477770993212E-2</v>
      </c>
      <c r="P56" s="13">
        <f>IFERROR(P37+P39+P40+P41+P42+P43+P46+P47+P48+P49+P50+P51+P53+P54+P55, "NA")</f>
        <v>1206.3699999999999</v>
      </c>
      <c r="Q56" s="14">
        <f>IFERROR(P56/P148, "NA")</f>
        <v>3.9493382631449546E-2</v>
      </c>
      <c r="R56" s="13">
        <f>IFERROR(R37+R39+R40+R41+R42+R43+R46+R47+R48+R49+R50+R51+R53+R54+R55, "NA")</f>
        <v>1265.7399999999998</v>
      </c>
      <c r="S56" s="14">
        <f>IFERROR(R56/R148, "NA")</f>
        <v>3.741602574372975E-2</v>
      </c>
      <c r="T56" s="13">
        <f>IFERROR(T37+T39+T40+T41+T42+T43+T46+T47+T48+T49+T50+T51+T53+T54+T55, "NA")</f>
        <v>1060.55</v>
      </c>
      <c r="U56" s="14">
        <f>IFERROR(T56/T148, "NA")</f>
        <v>4.261261474829206E-2</v>
      </c>
      <c r="V56" s="13">
        <f>IFERROR(V37+V39+V40+V41+V42+V43+V46+V47+V48+V49+V50+V51+V53+V54+V55, "NA")</f>
        <v>1149.9100000000001</v>
      </c>
      <c r="W56" s="14">
        <f>IFERROR(V56/V148, "NA")</f>
        <v>3.6710717654927366E-2</v>
      </c>
      <c r="X56" s="13">
        <f>IFERROR(X37+X39+X40+X41+X42+X43+X46+X47+X48+X49+X50+X51+X53+X54+X55, "NA")</f>
        <v>1136.28</v>
      </c>
      <c r="Y56" s="14">
        <f>IFERROR(X56/X148, "NA")</f>
        <v>3.7633514720153145E-2</v>
      </c>
      <c r="Z56" s="13">
        <f>IFERROR(Z37+Z39+Z40+Z41+Z42+Z43+Z46+Z47+Z48+Z49+Z50+Z51+Z53+Z54+Z55, "NA")</f>
        <v>3346.74</v>
      </c>
      <c r="AA56" s="14">
        <f>IFERROR(Z56/Z148, "NA")</f>
        <v>3.8733166197982477E-2</v>
      </c>
      <c r="AB56" s="13">
        <f t="shared" si="18"/>
        <v>1153.1199999999999</v>
      </c>
      <c r="AC56" s="14">
        <f>IFERROR(AB56/AB148, "NA")</f>
        <v>3.8362577457394686E-2</v>
      </c>
      <c r="AD56" s="15">
        <f t="shared" si="19"/>
        <v>-16.839999999999918</v>
      </c>
      <c r="AE56" s="16">
        <f>IFERROR(AD56/AD148, "NA")</f>
        <v>-0.12488875704538638</v>
      </c>
      <c r="AF56" s="15">
        <f t="shared" si="20"/>
        <v>-1.4603857360899057E-2</v>
      </c>
      <c r="AG56" s="13">
        <f t="shared" si="21"/>
        <v>1058.9412499999999</v>
      </c>
      <c r="AH56" s="14">
        <f>IFERROR(AG56/AG148, "NA")</f>
        <v>3.7339293729859377E-2</v>
      </c>
      <c r="AI56" s="15">
        <f t="shared" si="22"/>
        <v>77.338750000000118</v>
      </c>
      <c r="AJ56" s="16">
        <f>IFERROR(AI56/AI148, "NA")</f>
        <v>4.2184849426998898E-2</v>
      </c>
      <c r="AK56" s="15">
        <f t="shared" si="23"/>
        <v>7.3034032813435235E-2</v>
      </c>
      <c r="AL56" s="16">
        <f>IFERROR(AK56/AK148, "NA")</f>
        <v>1.1297709520752031</v>
      </c>
    </row>
    <row r="57" spans="1:38" ht="16.5" customHeight="1" x14ac:dyDescent="0.3">
      <c r="A57" s="12" t="s">
        <v>72</v>
      </c>
      <c r="B57" s="28">
        <f>IFERROR(B13+B15+B16+B17+B18+B19+B20+B21+B22+B23+B24+B25+B26+B29+B30+B31+B32+B33+B37+B39+B40+B41+B42+B43+B46+B47+B48+B49+B50+B51+B53+B54+B55, "NA")</f>
        <v>8096.84</v>
      </c>
      <c r="C57" s="29">
        <f>IFERROR(B57/B148, "NA")</f>
        <v>0.28286664829062652</v>
      </c>
      <c r="D57" s="28">
        <f>IFERROR(D13+D15+D16+D17+D18+D19+D20+D21+D22+D23+D24+D25+D26+D29+D30+D31+D32+D33+D37+D39+D40+D41+D42+D43+D46+D47+D48+D49+D50+D51+D53+D54+D55, "NA")</f>
        <v>7862.12</v>
      </c>
      <c r="E57" s="29">
        <f>IFERROR(D57/D148, "NA")</f>
        <v>0.27013899817138409</v>
      </c>
      <c r="F57" s="28">
        <f>IFERROR(F13+F15+F16+F17+F18+F19+F20+F21+F22+F23+F24+F25+F26+F29+F30+F31+F32+F33+F37+F39+F40+F41+F42+F43+F46+F47+F48+F49+F50+F51+F53+F54+F55, "NA")</f>
        <v>9047.26</v>
      </c>
      <c r="G57" s="29">
        <f>IFERROR(F57/F148, "NA")</f>
        <v>0.28206921300056337</v>
      </c>
      <c r="H57" s="28">
        <f>IFERROR(H13+H15+H16+H17+H18+H19+H20+H21+H22+H23+H24+H25+H26+H29+H30+H31+H32+H33+H37+H39+H40+H41+H42+H43+H46+H47+H48+H49+H50+H51+H53+H54+H55, "NA")</f>
        <v>7692.1600000000017</v>
      </c>
      <c r="I57" s="29">
        <f>IFERROR(H57/H148, "NA")</f>
        <v>0.29225021143247504</v>
      </c>
      <c r="J57" s="28">
        <f>IFERROR(J13+J15+J16+J17+J18+J19+J20+J21+J22+J23+J24+J25+J26+J29+J30+J31+J32+J33+J37+J39+J40+J41+J42+J43+J46+J47+J48+J49+J50+J51+J53+J54+J55, "NA")</f>
        <v>7096.7400000000016</v>
      </c>
      <c r="K57" s="29">
        <f>IFERROR(J57/J148, "NA")</f>
        <v>0.28673303073816364</v>
      </c>
      <c r="L57" s="28">
        <f>IFERROR(L13+L15+L16+L17+L18+L19+L20+L21+L22+L23+L24+L25+L26+L29+L30+L31+L32+L33+L37+L39+L40+L41+L42+L43+L46+L47+L48+L49+L50+L51+L53+L54+L55, "NA")</f>
        <v>7574.35</v>
      </c>
      <c r="M57" s="29">
        <f>IFERROR(L57/L148, "NA")</f>
        <v>0.28611906898875522</v>
      </c>
      <c r="N57" s="28">
        <f>IFERROR(N13+N15+N16+N17+N18+N19+N20+N21+N22+N23+N24+N25+N26+N29+N30+N31+N32+N33+N37+N39+N40+N41+N42+N43+N46+N47+N48+N49+N50+N51+N53+N54+N55, "NA")</f>
        <v>7064.01</v>
      </c>
      <c r="O57" s="29">
        <f>IFERROR(N57/N148, "NA")</f>
        <v>0.28396055269321974</v>
      </c>
      <c r="P57" s="28">
        <f>IFERROR(P13+P15+P16+P17+P18+P19+P20+P21+P22+P23+P24+P25+P26+P29+P30+P31+P32+P33+P37+P39+P40+P41+P42+P43+P46+P47+P48+P49+P50+P51+P53+P54+P55, "NA")</f>
        <v>8545.2099999999991</v>
      </c>
      <c r="Q57" s="29">
        <f>IFERROR(P57/P148, "NA")</f>
        <v>0.27974771272170973</v>
      </c>
      <c r="R57" s="28">
        <f>IFERROR(R13+R15+R16+R17+R18+R19+R20+R21+R22+R23+R24+R25+R26+R29+R30+R31+R32+R33+R37+R39+R40+R41+R42+R43+R46+R47+R48+R49+R50+R51+R53+R54+R55, "NA")</f>
        <v>8808.6400000000012</v>
      </c>
      <c r="S57" s="29">
        <f>IFERROR(R57/R148, "NA")</f>
        <v>0.26038862721194533</v>
      </c>
      <c r="T57" s="28">
        <f>IFERROR(T13+T15+T16+T17+T18+T19+T20+T21+T22+T23+T24+T25+T26+T29+T30+T31+T32+T33+T37+T39+T40+T41+T42+T43+T46+T47+T48+T49+T50+T51+T53+T54+T55, "NA")</f>
        <v>7472.71</v>
      </c>
      <c r="U57" s="29">
        <f>IFERROR(T57/T148, "NA")</f>
        <v>0.30025148494244458</v>
      </c>
      <c r="V57" s="28">
        <f>IFERROR(V13+V15+V16+V17+V18+V19+V20+V21+V22+V23+V24+V25+V26+V29+V30+V31+V32+V33+V37+V39+V40+V41+V42+V43+V46+V47+V48+V49+V50+V51+V53+V54+V55, "NA")</f>
        <v>9095.5600000000013</v>
      </c>
      <c r="W57" s="29">
        <f>IFERROR(V57/V148, "NA")</f>
        <v>0.29037449458953413</v>
      </c>
      <c r="X57" s="28">
        <f>IFERROR(X13+X15+X16+X17+X18+X19+X20+X21+X22+X23+X24+X25+X26+X29+X30+X31+X32+X33+X37+X39+X40+X41+X42+X43+X46+X47+X48+X49+X50+X51+X53+X54+X55, "NA")</f>
        <v>6886.7899999999991</v>
      </c>
      <c r="Y57" s="29">
        <f>IFERROR(X57/X148, "NA")</f>
        <v>0.22809000672334589</v>
      </c>
      <c r="Z57" s="28">
        <f>IFERROR(Z13+Z15+Z16+Z17+Z18+Z19+Z20+Z21+Z22+Z23+Z24+Z25+Z26+Z29+Z30+Z31+Z32+Z33+Z37+Z39+Z40+Z41+Z42+Z43+Z46+Z47+Z48+Z49+Z50+Z51+Z53+Z54+Z55, "NA")</f>
        <v>23455.06</v>
      </c>
      <c r="AA57" s="29">
        <f>IFERROR(Z57/Z148, "NA")</f>
        <v>0.27145482982354496</v>
      </c>
      <c r="AB57" s="28">
        <f t="shared" si="18"/>
        <v>8065.9250000000011</v>
      </c>
      <c r="AC57" s="29">
        <f>IFERROR(AB57/AB148, "NA")</f>
        <v>0.26834125899996214</v>
      </c>
      <c r="AD57" s="30">
        <f t="shared" si="19"/>
        <v>-1179.135000000002</v>
      </c>
      <c r="AE57" s="31">
        <f>IFERROR(AD57/AD148, "NA")</f>
        <v>-8.7446974191634581</v>
      </c>
      <c r="AF57" s="30">
        <f t="shared" si="20"/>
        <v>-0.14618720109596878</v>
      </c>
      <c r="AG57" s="28">
        <f t="shared" si="21"/>
        <v>7818.0012500000003</v>
      </c>
      <c r="AH57" s="29">
        <f>IFERROR(AG57/AG148, "NA")</f>
        <v>0.27567029337478149</v>
      </c>
      <c r="AI57" s="30">
        <f t="shared" si="22"/>
        <v>-931.2112500000012</v>
      </c>
      <c r="AJ57" s="31">
        <f>IFERROR(AI57/AI148, "NA")</f>
        <v>-0.50793433260787668</v>
      </c>
      <c r="AK57" s="30">
        <f t="shared" si="23"/>
        <v>-0.11911116668087014</v>
      </c>
      <c r="AL57" s="31">
        <f>IFERROR(AK57/AK148, "NA")</f>
        <v>-1.8425428666603754</v>
      </c>
    </row>
    <row r="58" spans="1:38" ht="3.75" customHeight="1" x14ac:dyDescent="0.3">
      <c r="A58" s="17" t="s">
        <v>3</v>
      </c>
      <c r="B58" s="18"/>
      <c r="C58" s="19"/>
      <c r="D58" s="18"/>
      <c r="E58" s="19"/>
      <c r="F58" s="18"/>
      <c r="G58" s="19"/>
      <c r="H58" s="18"/>
      <c r="I58" s="19"/>
      <c r="J58" s="18"/>
      <c r="K58" s="19"/>
      <c r="L58" s="18"/>
      <c r="M58" s="19"/>
      <c r="N58" s="18"/>
      <c r="O58" s="19"/>
      <c r="P58" s="18"/>
      <c r="Q58" s="19"/>
      <c r="R58" s="18"/>
      <c r="S58" s="19"/>
      <c r="T58" s="18"/>
      <c r="U58" s="19"/>
      <c r="V58" s="18"/>
      <c r="W58" s="19"/>
      <c r="X58" s="18"/>
      <c r="Y58" s="19"/>
      <c r="Z58" s="18"/>
      <c r="AA58" s="19"/>
      <c r="AB58" s="18"/>
      <c r="AC58" s="19"/>
      <c r="AD58" s="20"/>
      <c r="AE58" s="21"/>
      <c r="AF58" s="20"/>
      <c r="AG58" s="18"/>
      <c r="AH58" s="19"/>
      <c r="AI58" s="20"/>
      <c r="AJ58" s="21"/>
      <c r="AK58" s="20"/>
      <c r="AL58" s="21"/>
    </row>
    <row r="59" spans="1:38" ht="16.5" customHeight="1" x14ac:dyDescent="0.3">
      <c r="A59" s="32" t="s">
        <v>73</v>
      </c>
      <c r="B59" s="33">
        <f>IFERROR(B9-B57, "NA")</f>
        <v>20527.39</v>
      </c>
      <c r="C59" s="34">
        <f>IFERROR(B59/B148, "NA")</f>
        <v>0.71713335170937353</v>
      </c>
      <c r="D59" s="33">
        <f>IFERROR(D9-D57, "NA")</f>
        <v>21241.86</v>
      </c>
      <c r="E59" s="34">
        <f>IFERROR(D59/D148, "NA")</f>
        <v>0.72986100182861591</v>
      </c>
      <c r="F59" s="33">
        <f>IFERROR(F9-F57, "NA")</f>
        <v>23027.349999999991</v>
      </c>
      <c r="G59" s="34">
        <f>IFERROR(F59/F148, "NA")</f>
        <v>0.71793078699943635</v>
      </c>
      <c r="H59" s="33">
        <f>IFERROR(H9-H57, "NA")</f>
        <v>18628.299999999996</v>
      </c>
      <c r="I59" s="34">
        <f>IFERROR(H59/H148, "NA")</f>
        <v>0.70774978856752491</v>
      </c>
      <c r="J59" s="33">
        <f>IFERROR(J9-J57, "NA")</f>
        <v>17653.600000000002</v>
      </c>
      <c r="K59" s="34">
        <f>IFERROR(J59/J148, "NA")</f>
        <v>0.71326696926183653</v>
      </c>
      <c r="L59" s="33">
        <f>IFERROR(L9-L57, "NA")</f>
        <v>18898.370000000003</v>
      </c>
      <c r="M59" s="34">
        <f>IFERROR(L59/L148, "NA")</f>
        <v>0.71388093101124483</v>
      </c>
      <c r="N59" s="33">
        <f>IFERROR(N9-N57, "NA")</f>
        <v>17812.72</v>
      </c>
      <c r="O59" s="34">
        <f>IFERROR(N59/N148, "NA")</f>
        <v>0.71603944730678037</v>
      </c>
      <c r="P59" s="33">
        <f>IFERROR(P9-P57, "NA")</f>
        <v>22000.920000000002</v>
      </c>
      <c r="Q59" s="34">
        <f>IFERROR(P59/P148, "NA")</f>
        <v>0.72025228727829027</v>
      </c>
      <c r="R59" s="33">
        <f>IFERROR(R9-R57, "NA")</f>
        <v>25020.179999999993</v>
      </c>
      <c r="S59" s="34">
        <f>IFERROR(R59/R148, "NA")</f>
        <v>0.73961137278805444</v>
      </c>
      <c r="T59" s="33">
        <f>IFERROR(T9-T57, "NA")</f>
        <v>17415.46</v>
      </c>
      <c r="U59" s="34">
        <f>IFERROR(T59/T148, "NA")</f>
        <v>0.69974851505755542</v>
      </c>
      <c r="V59" s="33">
        <f>IFERROR(V9-V57, "NA")</f>
        <v>22227.990000000013</v>
      </c>
      <c r="W59" s="34">
        <f>IFERROR(V59/V148, "NA")</f>
        <v>0.70962550541046632</v>
      </c>
      <c r="X59" s="33">
        <f>IFERROR(X9-X57, "NA")</f>
        <v>23306.509999999995</v>
      </c>
      <c r="Y59" s="34">
        <f>IFERROR(X59/X148, "NA")</f>
        <v>0.77190999327665388</v>
      </c>
      <c r="Z59" s="33">
        <f>IFERROR(Z9-Z57, "NA")</f>
        <v>62949.960000000021</v>
      </c>
      <c r="AA59" s="34">
        <f>IFERROR(Z59/Z148, "NA")</f>
        <v>0.72854517017645526</v>
      </c>
      <c r="AB59" s="33">
        <f>IFERROR((R59+T59+V59+X59)/4, "NA")</f>
        <v>21992.535</v>
      </c>
      <c r="AC59" s="34">
        <f>IFERROR(AB59/AB148, "NA")</f>
        <v>0.73165874100003792</v>
      </c>
      <c r="AD59" s="15">
        <f>IFERROR(X59-AB59, "NA")</f>
        <v>1313.9749999999949</v>
      </c>
      <c r="AE59" s="16">
        <f>IFERROR(AD59/AD148, "NA")</f>
        <v>9.7446974191634048</v>
      </c>
      <c r="AF59" s="15">
        <f>IFERROR((X59-AB59)/AB59, "NA")</f>
        <v>5.9746409406646162E-2</v>
      </c>
      <c r="AG59" s="33">
        <f>IFERROR((J59+L59+N59+P59+R59+T59+V59+X59)/8, "NA")</f>
        <v>20541.96875</v>
      </c>
      <c r="AH59" s="34">
        <f>IFERROR(AG59/AG148, "NA")</f>
        <v>0.72432970662521878</v>
      </c>
      <c r="AI59" s="15">
        <f>IFERROR(X59-AG59, "NA")</f>
        <v>2764.5412499999948</v>
      </c>
      <c r="AJ59" s="16">
        <f>IFERROR(AI59/AI148, "NA")</f>
        <v>1.5079343326078702</v>
      </c>
      <c r="AK59" s="15">
        <f>IFERROR((X59-AG59)/AG59, "NA")</f>
        <v>0.13458015069758075</v>
      </c>
      <c r="AL59" s="16">
        <f>IFERROR(AK59/AK148, "NA")</f>
        <v>2.0818341686324104</v>
      </c>
    </row>
    <row r="60" spans="1:38" ht="3.75" customHeight="1" x14ac:dyDescent="0.3">
      <c r="A60" s="35" t="s">
        <v>3</v>
      </c>
      <c r="B60" s="36"/>
      <c r="C60" s="19"/>
      <c r="D60" s="36"/>
      <c r="E60" s="19"/>
      <c r="F60" s="36"/>
      <c r="G60" s="19"/>
      <c r="H60" s="36"/>
      <c r="I60" s="19"/>
      <c r="J60" s="36"/>
      <c r="K60" s="19"/>
      <c r="L60" s="36"/>
      <c r="M60" s="19"/>
      <c r="N60" s="36"/>
      <c r="O60" s="19"/>
      <c r="P60" s="36"/>
      <c r="Q60" s="19"/>
      <c r="R60" s="36"/>
      <c r="S60" s="19"/>
      <c r="T60" s="36"/>
      <c r="U60" s="19"/>
      <c r="V60" s="36"/>
      <c r="W60" s="19"/>
      <c r="X60" s="36"/>
      <c r="Y60" s="19"/>
      <c r="Z60" s="36"/>
      <c r="AA60" s="19"/>
      <c r="AB60" s="36"/>
      <c r="AC60" s="19"/>
      <c r="AD60" s="37"/>
      <c r="AE60" s="21"/>
      <c r="AF60" s="37"/>
      <c r="AG60" s="36"/>
      <c r="AH60" s="19"/>
      <c r="AI60" s="37"/>
      <c r="AJ60" s="21"/>
      <c r="AK60" s="37"/>
      <c r="AL60" s="21"/>
    </row>
    <row r="61" spans="1:38" ht="16.5" customHeight="1" x14ac:dyDescent="0.3">
      <c r="A61" s="1" t="s">
        <v>74</v>
      </c>
      <c r="B61" s="2"/>
      <c r="C61" s="3"/>
      <c r="D61" s="2"/>
      <c r="E61" s="3"/>
      <c r="F61" s="2"/>
      <c r="G61" s="3"/>
      <c r="H61" s="2"/>
      <c r="I61" s="3"/>
      <c r="J61" s="2"/>
      <c r="K61" s="3"/>
      <c r="L61" s="2"/>
      <c r="M61" s="3"/>
      <c r="N61" s="2"/>
      <c r="O61" s="3"/>
      <c r="P61" s="2"/>
      <c r="Q61" s="3"/>
      <c r="R61" s="2"/>
      <c r="S61" s="3"/>
      <c r="T61" s="2"/>
      <c r="U61" s="3"/>
      <c r="V61" s="2"/>
      <c r="W61" s="3"/>
      <c r="X61" s="2"/>
      <c r="Y61" s="3"/>
      <c r="Z61" s="2"/>
      <c r="AA61" s="3"/>
      <c r="AB61" s="2"/>
      <c r="AC61" s="3"/>
      <c r="AD61" s="4"/>
      <c r="AE61" s="5"/>
      <c r="AF61" s="4"/>
      <c r="AG61" s="2"/>
      <c r="AH61" s="3"/>
      <c r="AI61" s="4"/>
      <c r="AJ61" s="5"/>
      <c r="AK61" s="4"/>
      <c r="AL61" s="5"/>
    </row>
    <row r="62" spans="1:38" ht="16.5" customHeight="1" x14ac:dyDescent="0.3">
      <c r="A62" s="22" t="s">
        <v>74</v>
      </c>
      <c r="B62" s="2"/>
      <c r="C62" s="3"/>
      <c r="D62" s="2"/>
      <c r="E62" s="3"/>
      <c r="F62" s="2"/>
      <c r="G62" s="3"/>
      <c r="H62" s="2"/>
      <c r="I62" s="3"/>
      <c r="J62" s="2"/>
      <c r="K62" s="3"/>
      <c r="L62" s="2"/>
      <c r="M62" s="3"/>
      <c r="N62" s="2"/>
      <c r="O62" s="3"/>
      <c r="P62" s="2"/>
      <c r="Q62" s="3"/>
      <c r="R62" s="2"/>
      <c r="S62" s="3"/>
      <c r="T62" s="2"/>
      <c r="U62" s="3"/>
      <c r="V62" s="2"/>
      <c r="W62" s="3"/>
      <c r="X62" s="2"/>
      <c r="Y62" s="3"/>
      <c r="Z62" s="2"/>
      <c r="AA62" s="3"/>
      <c r="AB62" s="2"/>
      <c r="AC62" s="3"/>
      <c r="AD62" s="4"/>
      <c r="AE62" s="5"/>
      <c r="AF62" s="4"/>
      <c r="AG62" s="2"/>
      <c r="AH62" s="3"/>
      <c r="AI62" s="4"/>
      <c r="AJ62" s="5"/>
      <c r="AK62" s="4"/>
      <c r="AL62" s="5"/>
    </row>
    <row r="63" spans="1:38" ht="16.5" hidden="1" customHeight="1" x14ac:dyDescent="0.3">
      <c r="A63" s="23" t="s">
        <v>75</v>
      </c>
      <c r="B63" s="7">
        <v>0</v>
      </c>
      <c r="C63" s="8">
        <f>IFERROR(B63/B148, "NA")</f>
        <v>0</v>
      </c>
      <c r="D63" s="7">
        <v>0</v>
      </c>
      <c r="E63" s="8">
        <f>IFERROR(D63/D148, "NA")</f>
        <v>0</v>
      </c>
      <c r="F63" s="7">
        <v>0</v>
      </c>
      <c r="G63" s="8">
        <f>IFERROR(F63/F148, "NA")</f>
        <v>0</v>
      </c>
      <c r="H63" s="7">
        <v>0</v>
      </c>
      <c r="I63" s="8">
        <f>IFERROR(H63/H148, "NA")</f>
        <v>0</v>
      </c>
      <c r="J63" s="7">
        <v>0</v>
      </c>
      <c r="K63" s="8">
        <f>IFERROR(J63/J148, "NA")</f>
        <v>0</v>
      </c>
      <c r="L63" s="7">
        <v>0</v>
      </c>
      <c r="M63" s="8">
        <f>IFERROR(L63/L148, "NA")</f>
        <v>0</v>
      </c>
      <c r="N63" s="7">
        <v>0</v>
      </c>
      <c r="O63" s="8">
        <f>IFERROR(N63/N148, "NA")</f>
        <v>0</v>
      </c>
      <c r="P63" s="7">
        <v>0</v>
      </c>
      <c r="Q63" s="8">
        <f>IFERROR(P63/P148, "NA")</f>
        <v>0</v>
      </c>
      <c r="R63" s="7">
        <v>0</v>
      </c>
      <c r="S63" s="8">
        <f>IFERROR(R63/R148, "NA")</f>
        <v>0</v>
      </c>
      <c r="T63" s="7">
        <v>0</v>
      </c>
      <c r="U63" s="8">
        <f>IFERROR(T63/T148, "NA")</f>
        <v>0</v>
      </c>
      <c r="V63" s="7">
        <v>0</v>
      </c>
      <c r="W63" s="8">
        <f>IFERROR(V63/V148, "NA")</f>
        <v>0</v>
      </c>
      <c r="X63" s="7">
        <v>0</v>
      </c>
      <c r="Y63" s="8">
        <f>IFERROR(X63/X148, "NA")</f>
        <v>0</v>
      </c>
      <c r="Z63" s="7">
        <v>0</v>
      </c>
      <c r="AA63" s="8">
        <f>IFERROR(Z63/Z148, "NA")</f>
        <v>0</v>
      </c>
      <c r="AB63" s="9">
        <f>IFERROR((R63+T63+V63+X63)/4, "NA")</f>
        <v>0</v>
      </c>
      <c r="AC63" s="8">
        <f>IFERROR(AB63/AB148, "NA")</f>
        <v>0</v>
      </c>
      <c r="AD63" s="10">
        <f>IFERROR(X63-AB63, "NA")</f>
        <v>0</v>
      </c>
      <c r="AE63" s="11">
        <f>IFERROR(AD63/AD148, "NA")</f>
        <v>0</v>
      </c>
      <c r="AF63" s="10" t="str">
        <f>IFERROR((X63-AB63)/AB63, "NA")</f>
        <v>NA</v>
      </c>
      <c r="AG63" s="9">
        <f>IFERROR((J63+L63+N63+P63+R63+T63+V63+X63)/8, "NA")</f>
        <v>0</v>
      </c>
      <c r="AH63" s="8">
        <f>IFERROR(AG63/AG148, "NA")</f>
        <v>0</v>
      </c>
      <c r="AI63" s="10">
        <f>IFERROR(X63-AG63, "NA")</f>
        <v>0</v>
      </c>
      <c r="AJ63" s="11">
        <f>IFERROR(AI63/AI148, "NA")</f>
        <v>0</v>
      </c>
      <c r="AK63" s="10" t="str">
        <f>IFERROR((X63-AG63)/AG63, "NA")</f>
        <v>NA</v>
      </c>
      <c r="AL63" s="11" t="str">
        <f>IFERROR(AK63/AK148, "NA")</f>
        <v>NA</v>
      </c>
    </row>
    <row r="64" spans="1:38" ht="16.5" customHeight="1" x14ac:dyDescent="0.3">
      <c r="A64" s="24" t="s">
        <v>76</v>
      </c>
      <c r="B64" s="2"/>
      <c r="C64" s="3"/>
      <c r="D64" s="2"/>
      <c r="E64" s="3"/>
      <c r="F64" s="2"/>
      <c r="G64" s="3"/>
      <c r="H64" s="2"/>
      <c r="I64" s="3"/>
      <c r="J64" s="2"/>
      <c r="K64" s="3"/>
      <c r="L64" s="2"/>
      <c r="M64" s="3"/>
      <c r="N64" s="2"/>
      <c r="O64" s="3"/>
      <c r="P64" s="2"/>
      <c r="Q64" s="3"/>
      <c r="R64" s="2"/>
      <c r="S64" s="3"/>
      <c r="T64" s="2"/>
      <c r="U64" s="3"/>
      <c r="V64" s="2"/>
      <c r="W64" s="3"/>
      <c r="X64" s="2"/>
      <c r="Y64" s="3"/>
      <c r="Z64" s="2"/>
      <c r="AA64" s="3"/>
      <c r="AB64" s="2"/>
      <c r="AC64" s="3"/>
      <c r="AD64" s="4"/>
      <c r="AE64" s="5"/>
      <c r="AF64" s="4"/>
      <c r="AG64" s="2"/>
      <c r="AH64" s="3"/>
      <c r="AI64" s="4"/>
      <c r="AJ64" s="5"/>
      <c r="AK64" s="4"/>
      <c r="AL64" s="5"/>
    </row>
    <row r="65" spans="1:38" ht="16.5" hidden="1" customHeight="1" x14ac:dyDescent="0.3">
      <c r="A65" s="25" t="s">
        <v>77</v>
      </c>
      <c r="B65" s="7">
        <v>0</v>
      </c>
      <c r="C65" s="8">
        <f>IFERROR(B65/B148, "NA")</f>
        <v>0</v>
      </c>
      <c r="D65" s="7">
        <v>0</v>
      </c>
      <c r="E65" s="8">
        <f>IFERROR(D65/D148, "NA")</f>
        <v>0</v>
      </c>
      <c r="F65" s="7">
        <v>0</v>
      </c>
      <c r="G65" s="8">
        <f>IFERROR(F65/F148, "NA")</f>
        <v>0</v>
      </c>
      <c r="H65" s="7">
        <v>0</v>
      </c>
      <c r="I65" s="8">
        <f>IFERROR(H65/H148, "NA")</f>
        <v>0</v>
      </c>
      <c r="J65" s="7">
        <v>0</v>
      </c>
      <c r="K65" s="8">
        <f>IFERROR(J65/J148, "NA")</f>
        <v>0</v>
      </c>
      <c r="L65" s="7">
        <v>0</v>
      </c>
      <c r="M65" s="8">
        <f>IFERROR(L65/L148, "NA")</f>
        <v>0</v>
      </c>
      <c r="N65" s="7">
        <v>0</v>
      </c>
      <c r="O65" s="8">
        <f>IFERROR(N65/N148, "NA")</f>
        <v>0</v>
      </c>
      <c r="P65" s="7">
        <v>0</v>
      </c>
      <c r="Q65" s="8">
        <f>IFERROR(P65/P148, "NA")</f>
        <v>0</v>
      </c>
      <c r="R65" s="7">
        <v>0</v>
      </c>
      <c r="S65" s="8">
        <f>IFERROR(R65/R148, "NA")</f>
        <v>0</v>
      </c>
      <c r="T65" s="7">
        <v>0</v>
      </c>
      <c r="U65" s="8">
        <f>IFERROR(T65/T148, "NA")</f>
        <v>0</v>
      </c>
      <c r="V65" s="7">
        <v>0</v>
      </c>
      <c r="W65" s="8">
        <f>IFERROR(V65/V148, "NA")</f>
        <v>0</v>
      </c>
      <c r="X65" s="7">
        <v>0</v>
      </c>
      <c r="Y65" s="8">
        <f>IFERROR(X65/X148, "NA")</f>
        <v>0</v>
      </c>
      <c r="Z65" s="7">
        <v>0</v>
      </c>
      <c r="AA65" s="8">
        <f>IFERROR(Z65/Z148, "NA")</f>
        <v>0</v>
      </c>
      <c r="AB65" s="9">
        <f t="shared" ref="AB65:AB72" si="24">IFERROR((R65+T65+V65+X65)/4, "NA")</f>
        <v>0</v>
      </c>
      <c r="AC65" s="8">
        <f>IFERROR(AB65/AB148, "NA")</f>
        <v>0</v>
      </c>
      <c r="AD65" s="10">
        <f t="shared" ref="AD65:AD72" si="25">IFERROR(X65-AB65, "NA")</f>
        <v>0</v>
      </c>
      <c r="AE65" s="11">
        <f>IFERROR(AD65/AD148, "NA")</f>
        <v>0</v>
      </c>
      <c r="AF65" s="10" t="str">
        <f t="shared" ref="AF65:AF72" si="26">IFERROR((X65-AB65)/AB65, "NA")</f>
        <v>NA</v>
      </c>
      <c r="AG65" s="9">
        <f t="shared" ref="AG65:AG72" si="27">IFERROR((J65+L65+N65+P65+R65+T65+V65+X65)/8, "NA")</f>
        <v>0</v>
      </c>
      <c r="AH65" s="8">
        <f>IFERROR(AG65/AG148, "NA")</f>
        <v>0</v>
      </c>
      <c r="AI65" s="10">
        <f t="shared" ref="AI65:AI72" si="28">IFERROR(X65-AG65, "NA")</f>
        <v>0</v>
      </c>
      <c r="AJ65" s="11">
        <f>IFERROR(AI65/AI148, "NA")</f>
        <v>0</v>
      </c>
      <c r="AK65" s="10" t="str">
        <f t="shared" ref="AK65:AK72" si="29">IFERROR((X65-AG65)/AG65, "NA")</f>
        <v>NA</v>
      </c>
      <c r="AL65" s="11" t="str">
        <f>IFERROR(AK65/AK148, "NA")</f>
        <v>NA</v>
      </c>
    </row>
    <row r="66" spans="1:38" ht="16.5" customHeight="1" x14ac:dyDescent="0.3">
      <c r="A66" s="25" t="s">
        <v>78</v>
      </c>
      <c r="B66" s="7">
        <v>1298.08</v>
      </c>
      <c r="C66" s="8">
        <f>IFERROR(B66/B148, "NA")</f>
        <v>4.5348992793867289E-2</v>
      </c>
      <c r="D66" s="7">
        <v>1298.08</v>
      </c>
      <c r="E66" s="8">
        <f>IFERROR(D66/D148, "NA")</f>
        <v>4.460146000650083E-2</v>
      </c>
      <c r="F66" s="7">
        <v>1298.08</v>
      </c>
      <c r="G66" s="8">
        <f>IFERROR(F66/F148, "NA")</f>
        <v>4.0470640173021585E-2</v>
      </c>
      <c r="H66" s="7">
        <v>1298.08</v>
      </c>
      <c r="I66" s="8">
        <f>IFERROR(H66/H148, "NA")</f>
        <v>4.9318286990424939E-2</v>
      </c>
      <c r="J66" s="7">
        <v>1298.08</v>
      </c>
      <c r="K66" s="8">
        <f>IFERROR(J66/J148, "NA")</f>
        <v>5.2446956284236901E-2</v>
      </c>
      <c r="L66" s="7">
        <v>1298.08</v>
      </c>
      <c r="M66" s="8">
        <f>IFERROR(L66/L148, "NA")</f>
        <v>4.9034628855667263E-2</v>
      </c>
      <c r="N66" s="7">
        <v>1298.08</v>
      </c>
      <c r="O66" s="8">
        <f>IFERROR(N66/N148, "NA")</f>
        <v>5.2180491567822618E-2</v>
      </c>
      <c r="P66" s="7">
        <v>1298.08</v>
      </c>
      <c r="Q66" s="8">
        <f>IFERROR(P66/P148, "NA")</f>
        <v>4.2495726954609306E-2</v>
      </c>
      <c r="R66" s="7">
        <v>1298.08</v>
      </c>
      <c r="S66" s="8">
        <f>IFERROR(R66/R148, "NA")</f>
        <v>3.8372015340765654E-2</v>
      </c>
      <c r="T66" s="7">
        <v>1298.08</v>
      </c>
      <c r="U66" s="8">
        <f>IFERROR(T66/T148, "NA")</f>
        <v>5.2156506484807845E-2</v>
      </c>
      <c r="V66" s="7">
        <v>1298.08</v>
      </c>
      <c r="W66" s="8">
        <f>IFERROR(V66/V148, "NA")</f>
        <v>4.1441024404960482E-2</v>
      </c>
      <c r="X66" s="7">
        <v>1298.08</v>
      </c>
      <c r="Y66" s="8">
        <f>IFERROR(X66/X148, "NA")</f>
        <v>4.2992319488098354E-2</v>
      </c>
      <c r="Z66" s="7">
        <v>3894.24</v>
      </c>
      <c r="AA66" s="8">
        <f>IFERROR(Z66/Z148, "NA")</f>
        <v>4.5069603594791133E-2</v>
      </c>
      <c r="AB66" s="9">
        <f t="shared" si="24"/>
        <v>1298.08</v>
      </c>
      <c r="AC66" s="8">
        <f>IFERROR(AB66/AB148, "NA")</f>
        <v>4.3185179812937853E-2</v>
      </c>
      <c r="AD66" s="10">
        <f t="shared" si="25"/>
        <v>0</v>
      </c>
      <c r="AE66" s="11">
        <f>IFERROR(AD66/AD148, "NA")</f>
        <v>0</v>
      </c>
      <c r="AF66" s="10">
        <f t="shared" si="26"/>
        <v>0</v>
      </c>
      <c r="AG66" s="9">
        <f t="shared" si="27"/>
        <v>1298.08</v>
      </c>
      <c r="AH66" s="8">
        <f>IFERROR(AG66/AG148, "NA")</f>
        <v>4.5771557586273902E-2</v>
      </c>
      <c r="AI66" s="10">
        <f t="shared" si="28"/>
        <v>0</v>
      </c>
      <c r="AJ66" s="11">
        <f>IFERROR(AI66/AI148, "NA")</f>
        <v>0</v>
      </c>
      <c r="AK66" s="10">
        <f t="shared" si="29"/>
        <v>0</v>
      </c>
      <c r="AL66" s="11">
        <f>IFERROR(AK66/AK148, "NA")</f>
        <v>0</v>
      </c>
    </row>
    <row r="67" spans="1:38" ht="16.5" hidden="1" customHeight="1" x14ac:dyDescent="0.3">
      <c r="A67" s="25" t="s">
        <v>79</v>
      </c>
      <c r="B67" s="7">
        <v>0</v>
      </c>
      <c r="C67" s="8">
        <f>IFERROR(B67/B148, "NA")</f>
        <v>0</v>
      </c>
      <c r="D67" s="7">
        <v>0</v>
      </c>
      <c r="E67" s="8">
        <f>IFERROR(D67/D148, "NA")</f>
        <v>0</v>
      </c>
      <c r="F67" s="7">
        <v>0</v>
      </c>
      <c r="G67" s="8">
        <f>IFERROR(F67/F148, "NA")</f>
        <v>0</v>
      </c>
      <c r="H67" s="7">
        <v>0</v>
      </c>
      <c r="I67" s="8">
        <f>IFERROR(H67/H148, "NA")</f>
        <v>0</v>
      </c>
      <c r="J67" s="7">
        <v>0</v>
      </c>
      <c r="K67" s="8">
        <f>IFERROR(J67/J148, "NA")</f>
        <v>0</v>
      </c>
      <c r="L67" s="7">
        <v>0</v>
      </c>
      <c r="M67" s="8">
        <f>IFERROR(L67/L148, "NA")</f>
        <v>0</v>
      </c>
      <c r="N67" s="7">
        <v>0</v>
      </c>
      <c r="O67" s="8">
        <f>IFERROR(N67/N148, "NA")</f>
        <v>0</v>
      </c>
      <c r="P67" s="7">
        <v>0</v>
      </c>
      <c r="Q67" s="8">
        <f>IFERROR(P67/P148, "NA")</f>
        <v>0</v>
      </c>
      <c r="R67" s="7">
        <v>0</v>
      </c>
      <c r="S67" s="8">
        <f>IFERROR(R67/R148, "NA")</f>
        <v>0</v>
      </c>
      <c r="T67" s="7">
        <v>0</v>
      </c>
      <c r="U67" s="8">
        <f>IFERROR(T67/T148, "NA")</f>
        <v>0</v>
      </c>
      <c r="V67" s="7">
        <v>0</v>
      </c>
      <c r="W67" s="8">
        <f>IFERROR(V67/V148, "NA")</f>
        <v>0</v>
      </c>
      <c r="X67" s="7">
        <v>0</v>
      </c>
      <c r="Y67" s="8">
        <f>IFERROR(X67/X148, "NA")</f>
        <v>0</v>
      </c>
      <c r="Z67" s="7">
        <v>0</v>
      </c>
      <c r="AA67" s="8">
        <f>IFERROR(Z67/Z148, "NA")</f>
        <v>0</v>
      </c>
      <c r="AB67" s="9">
        <f t="shared" si="24"/>
        <v>0</v>
      </c>
      <c r="AC67" s="8">
        <f>IFERROR(AB67/AB148, "NA")</f>
        <v>0</v>
      </c>
      <c r="AD67" s="10">
        <f t="shared" si="25"/>
        <v>0</v>
      </c>
      <c r="AE67" s="11">
        <f>IFERROR(AD67/AD148, "NA")</f>
        <v>0</v>
      </c>
      <c r="AF67" s="10" t="str">
        <f t="shared" si="26"/>
        <v>NA</v>
      </c>
      <c r="AG67" s="9">
        <f t="shared" si="27"/>
        <v>0</v>
      </c>
      <c r="AH67" s="8">
        <f>IFERROR(AG67/AG148, "NA")</f>
        <v>0</v>
      </c>
      <c r="AI67" s="10">
        <f t="shared" si="28"/>
        <v>0</v>
      </c>
      <c r="AJ67" s="11">
        <f>IFERROR(AI67/AI148, "NA")</f>
        <v>0</v>
      </c>
      <c r="AK67" s="10" t="str">
        <f t="shared" si="29"/>
        <v>NA</v>
      </c>
      <c r="AL67" s="11" t="str">
        <f>IFERROR(AK67/AK148, "NA")</f>
        <v>NA</v>
      </c>
    </row>
    <row r="68" spans="1:38" ht="16.5" customHeight="1" x14ac:dyDescent="0.3">
      <c r="A68" s="25" t="s">
        <v>80</v>
      </c>
      <c r="B68" s="7">
        <v>5530.3</v>
      </c>
      <c r="C68" s="8">
        <f>IFERROR(B68/B148, "NA")</f>
        <v>0.19320345036355563</v>
      </c>
      <c r="D68" s="7">
        <v>6119.22</v>
      </c>
      <c r="E68" s="8">
        <f>IFERROR(D68/D148, "NA")</f>
        <v>0.21025371787638666</v>
      </c>
      <c r="F68" s="7">
        <v>5469.89</v>
      </c>
      <c r="G68" s="8">
        <f>IFERROR(F68/F148, "NA")</f>
        <v>0.17053644611734953</v>
      </c>
      <c r="H68" s="7">
        <v>5521.27</v>
      </c>
      <c r="I68" s="8">
        <f>IFERROR(H68/H148, "NA")</f>
        <v>0.20977102983762444</v>
      </c>
      <c r="J68" s="7">
        <v>5933.63</v>
      </c>
      <c r="K68" s="8">
        <f>IFERROR(J68/J148, "NA")</f>
        <v>0.23973933287381102</v>
      </c>
      <c r="L68" s="7">
        <v>5918.55</v>
      </c>
      <c r="M68" s="8">
        <f>IFERROR(L68/L148, "NA")</f>
        <v>0.22357166169551146</v>
      </c>
      <c r="N68" s="7">
        <v>5508.42</v>
      </c>
      <c r="O68" s="8">
        <f>IFERROR(N68/N148, "NA")</f>
        <v>0.22142862024068277</v>
      </c>
      <c r="P68" s="7">
        <v>5924.51</v>
      </c>
      <c r="Q68" s="8">
        <f>IFERROR(P68/P148, "NA")</f>
        <v>0.19395288372045821</v>
      </c>
      <c r="R68" s="7">
        <v>6025.8</v>
      </c>
      <c r="S68" s="8">
        <f>IFERROR(R68/R148, "NA")</f>
        <v>0.17812622491709731</v>
      </c>
      <c r="T68" s="7">
        <v>4873.3999999999996</v>
      </c>
      <c r="U68" s="8">
        <f>IFERROR(T68/T148, "NA")</f>
        <v>0.19581190581710106</v>
      </c>
      <c r="V68" s="7">
        <v>7406.74</v>
      </c>
      <c r="W68" s="8">
        <f>IFERROR(V68/V148, "NA")</f>
        <v>0.2364591497451598</v>
      </c>
      <c r="X68" s="7">
        <v>7525.43</v>
      </c>
      <c r="Y68" s="8">
        <f>IFERROR(X68/X148, "NA")</f>
        <v>0.24924171918935659</v>
      </c>
      <c r="Z68" s="7">
        <v>19805.57</v>
      </c>
      <c r="AA68" s="8">
        <f>IFERROR(Z68/Z148, "NA")</f>
        <v>0.22921781627965596</v>
      </c>
      <c r="AB68" s="9">
        <f t="shared" si="24"/>
        <v>6457.8425000000007</v>
      </c>
      <c r="AC68" s="8">
        <f>IFERROR(AB68/AB148, "NA")</f>
        <v>0.21484275974218242</v>
      </c>
      <c r="AD68" s="10">
        <f t="shared" si="25"/>
        <v>1067.5874999999996</v>
      </c>
      <c r="AE68" s="11">
        <f>IFERROR(AD68/AD148, "NA")</f>
        <v>7.9174391871848</v>
      </c>
      <c r="AF68" s="10">
        <f t="shared" si="26"/>
        <v>0.16531643501680313</v>
      </c>
      <c r="AG68" s="9">
        <f t="shared" si="27"/>
        <v>6139.5599999999995</v>
      </c>
      <c r="AH68" s="8">
        <f>IFERROR(AG68/AG148, "NA")</f>
        <v>0.21648682985207673</v>
      </c>
      <c r="AI68" s="10">
        <f t="shared" si="28"/>
        <v>1385.8700000000008</v>
      </c>
      <c r="AJ68" s="11">
        <f>IFERROR(AI68/AI148, "NA")</f>
        <v>0.75593046532811703</v>
      </c>
      <c r="AK68" s="10">
        <f t="shared" si="29"/>
        <v>0.22572790232524823</v>
      </c>
      <c r="AL68" s="11">
        <f>IFERROR(AK68/AK148, "NA")</f>
        <v>3.4918080968003302</v>
      </c>
    </row>
    <row r="69" spans="1:38" ht="16.5" customHeight="1" x14ac:dyDescent="0.3">
      <c r="A69" s="25" t="s">
        <v>81</v>
      </c>
      <c r="B69" s="7">
        <v>216.92</v>
      </c>
      <c r="C69" s="8">
        <f>IFERROR(B69/B148, "NA")</f>
        <v>7.5781951165149247E-3</v>
      </c>
      <c r="D69" s="7">
        <v>77.16</v>
      </c>
      <c r="E69" s="8">
        <f>IFERROR(D69/D148, "NA")</f>
        <v>2.6511837899833631E-3</v>
      </c>
      <c r="F69" s="7">
        <v>59.36</v>
      </c>
      <c r="G69" s="8">
        <f>IFERROR(F69/F148, "NA")</f>
        <v>1.8506850122261814E-3</v>
      </c>
      <c r="H69" s="7">
        <v>0</v>
      </c>
      <c r="I69" s="8">
        <f>IFERROR(H69/H148, "NA")</f>
        <v>0</v>
      </c>
      <c r="J69" s="7">
        <v>0</v>
      </c>
      <c r="K69" s="8">
        <f>IFERROR(J69/J148, "NA")</f>
        <v>0</v>
      </c>
      <c r="L69" s="7">
        <v>0</v>
      </c>
      <c r="M69" s="8">
        <f>IFERROR(L69/L148, "NA")</f>
        <v>0</v>
      </c>
      <c r="N69" s="7">
        <v>0</v>
      </c>
      <c r="O69" s="8">
        <f>IFERROR(N69/N148, "NA")</f>
        <v>0</v>
      </c>
      <c r="P69" s="7">
        <v>0</v>
      </c>
      <c r="Q69" s="8">
        <f>IFERROR(P69/P148, "NA")</f>
        <v>0</v>
      </c>
      <c r="R69" s="7">
        <v>175.69</v>
      </c>
      <c r="S69" s="8">
        <f>IFERROR(R69/R148, "NA")</f>
        <v>5.1935006896486483E-3</v>
      </c>
      <c r="T69" s="7">
        <v>0</v>
      </c>
      <c r="U69" s="8">
        <f>IFERROR(T69/T148, "NA")</f>
        <v>0</v>
      </c>
      <c r="V69" s="7">
        <v>68.260000000000005</v>
      </c>
      <c r="W69" s="8">
        <f>IFERROR(V69/V148, "NA")</f>
        <v>2.1791910559307618E-3</v>
      </c>
      <c r="X69" s="7">
        <v>13.35</v>
      </c>
      <c r="Y69" s="8">
        <f>IFERROR(X69/X148, "NA")</f>
        <v>4.4215107325135046E-4</v>
      </c>
      <c r="Z69" s="7">
        <v>81.61</v>
      </c>
      <c r="AA69" s="8">
        <f>IFERROR(Z69/Z148, "NA")</f>
        <v>9.445053076777252E-4</v>
      </c>
      <c r="AB69" s="9">
        <f t="shared" si="24"/>
        <v>64.325000000000003</v>
      </c>
      <c r="AC69" s="8">
        <f>IFERROR(AB69/AB148, "NA")</f>
        <v>2.1399965267681711E-3</v>
      </c>
      <c r="AD69" s="10">
        <f t="shared" si="25"/>
        <v>-50.975000000000001</v>
      </c>
      <c r="AE69" s="11">
        <f>IFERROR(AD69/AD148, "NA")</f>
        <v>-0.37804064075941818</v>
      </c>
      <c r="AF69" s="10">
        <f t="shared" si="26"/>
        <v>-0.79246016323357948</v>
      </c>
      <c r="AG69" s="9">
        <f t="shared" si="27"/>
        <v>32.162500000000001</v>
      </c>
      <c r="AH69" s="8">
        <f>IFERROR(AG69/AG148, "NA")</f>
        <v>1.1340808893662443E-3</v>
      </c>
      <c r="AI69" s="10">
        <f t="shared" si="28"/>
        <v>-18.8125</v>
      </c>
      <c r="AJ69" s="11">
        <f>IFERROR(AI69/AI148, "NA")</f>
        <v>-1.0261382293422322E-2</v>
      </c>
      <c r="AK69" s="10">
        <f t="shared" si="29"/>
        <v>-0.58492032646715897</v>
      </c>
      <c r="AL69" s="11">
        <f>IFERROR(AK69/AK148, "NA")</f>
        <v>-9.0481925845313071</v>
      </c>
    </row>
    <row r="70" spans="1:38" ht="16.5" customHeight="1" x14ac:dyDescent="0.3">
      <c r="A70" s="26" t="s">
        <v>82</v>
      </c>
      <c r="B70" s="13">
        <f>IFERROR(B65+B66+B67+B68+B69, "NA")</f>
        <v>7045.3</v>
      </c>
      <c r="C70" s="14">
        <f>IFERROR(B70/B148, "NA")</f>
        <v>0.24613063827393786</v>
      </c>
      <c r="D70" s="13">
        <f>IFERROR(D65+D66+D67+D68+D69, "NA")</f>
        <v>7494.46</v>
      </c>
      <c r="E70" s="14">
        <f>IFERROR(D70/D148, "NA")</f>
        <v>0.25750636167287089</v>
      </c>
      <c r="F70" s="13">
        <f>IFERROR(F65+F66+F67+F68+F69, "NA")</f>
        <v>6827.33</v>
      </c>
      <c r="G70" s="14">
        <f>IFERROR(F70/F148, "NA")</f>
        <v>0.21285777130259728</v>
      </c>
      <c r="H70" s="13">
        <f>IFERROR(H65+H66+H67+H68+H69, "NA")</f>
        <v>6819.35</v>
      </c>
      <c r="I70" s="14">
        <f>IFERROR(H70/H148, "NA")</f>
        <v>0.25908931682804937</v>
      </c>
      <c r="J70" s="13">
        <f>IFERROR(J65+J66+J67+J68+J69, "NA")</f>
        <v>7231.71</v>
      </c>
      <c r="K70" s="14">
        <f>IFERROR(J70/J148, "NA")</f>
        <v>0.29218628915804795</v>
      </c>
      <c r="L70" s="13">
        <f>IFERROR(L65+L66+L67+L68+L69, "NA")</f>
        <v>7216.63</v>
      </c>
      <c r="M70" s="14">
        <f>IFERROR(L70/L148, "NA")</f>
        <v>0.27260629055117874</v>
      </c>
      <c r="N70" s="13">
        <f>IFERROR(N65+N66+N67+N68+N69, "NA")</f>
        <v>6806.5</v>
      </c>
      <c r="O70" s="14">
        <f>IFERROR(N70/N148, "NA")</f>
        <v>0.27360911180850539</v>
      </c>
      <c r="P70" s="13">
        <f>IFERROR(P65+P66+P67+P68+P69, "NA")</f>
        <v>7222.59</v>
      </c>
      <c r="Q70" s="14">
        <f>IFERROR(P70/P148, "NA")</f>
        <v>0.23644861067506751</v>
      </c>
      <c r="R70" s="13">
        <f>IFERROR(R65+R66+R67+R68+R69, "NA")</f>
        <v>7499.57</v>
      </c>
      <c r="S70" s="14">
        <f>IFERROR(R70/R148, "NA")</f>
        <v>0.22169174094751162</v>
      </c>
      <c r="T70" s="13">
        <f>IFERROR(T65+T66+T67+T68+T69, "NA")</f>
        <v>6171.48</v>
      </c>
      <c r="U70" s="14">
        <f>IFERROR(T70/T148, "NA")</f>
        <v>0.24796841230190889</v>
      </c>
      <c r="V70" s="13">
        <f>IFERROR(V65+V66+V67+V68+V69, "NA")</f>
        <v>8773.08</v>
      </c>
      <c r="W70" s="14">
        <f>IFERROR(V70/V148, "NA")</f>
        <v>0.28007936520605103</v>
      </c>
      <c r="X70" s="13">
        <f>IFERROR(X65+X66+X67+X68+X69, "NA")</f>
        <v>8836.86</v>
      </c>
      <c r="Y70" s="14">
        <f>IFERROR(X70/X148, "NA")</f>
        <v>0.29267618975070631</v>
      </c>
      <c r="Z70" s="13">
        <f>IFERROR(Z65+Z66+Z67+Z68+Z69, "NA")</f>
        <v>23781.42</v>
      </c>
      <c r="AA70" s="14">
        <f>IFERROR(Z70/Z148, "NA")</f>
        <v>0.2752319251821248</v>
      </c>
      <c r="AB70" s="13">
        <f t="shared" si="24"/>
        <v>7820.2474999999995</v>
      </c>
      <c r="AC70" s="14">
        <f>IFERROR(AB70/AB148, "NA")</f>
        <v>0.26016793608188843</v>
      </c>
      <c r="AD70" s="15">
        <f t="shared" si="25"/>
        <v>1016.6125000000011</v>
      </c>
      <c r="AE70" s="16">
        <f>IFERROR(AD70/AD148, "NA")</f>
        <v>7.5393985464253932</v>
      </c>
      <c r="AF70" s="15">
        <f t="shared" si="26"/>
        <v>0.12999748409497283</v>
      </c>
      <c r="AG70" s="13">
        <f t="shared" si="27"/>
        <v>7469.8024999999998</v>
      </c>
      <c r="AH70" s="14">
        <f>IFERROR(AG70/AG148, "NA")</f>
        <v>0.2633924683277169</v>
      </c>
      <c r="AI70" s="15">
        <f t="shared" si="28"/>
        <v>1367.0575000000008</v>
      </c>
      <c r="AJ70" s="16">
        <f>IFERROR(AI70/AI148, "NA")</f>
        <v>0.7456690830346947</v>
      </c>
      <c r="AK70" s="15">
        <f t="shared" si="29"/>
        <v>0.18301119741787025</v>
      </c>
      <c r="AL70" s="16">
        <f>IFERROR(AK70/AK148, "NA")</f>
        <v>2.831019002817202</v>
      </c>
    </row>
    <row r="71" spans="1:38" ht="16.5" hidden="1" customHeight="1" x14ac:dyDescent="0.3">
      <c r="A71" s="23" t="s">
        <v>83</v>
      </c>
      <c r="B71" s="7">
        <v>0</v>
      </c>
      <c r="C71" s="8">
        <f>IFERROR(B71/B148, "NA")</f>
        <v>0</v>
      </c>
      <c r="D71" s="7">
        <v>0</v>
      </c>
      <c r="E71" s="8">
        <f>IFERROR(D71/D148, "NA")</f>
        <v>0</v>
      </c>
      <c r="F71" s="7">
        <v>0</v>
      </c>
      <c r="G71" s="8">
        <f>IFERROR(F71/F148, "NA")</f>
        <v>0</v>
      </c>
      <c r="H71" s="7">
        <v>0</v>
      </c>
      <c r="I71" s="8">
        <f>IFERROR(H71/H148, "NA")</f>
        <v>0</v>
      </c>
      <c r="J71" s="7">
        <v>0</v>
      </c>
      <c r="K71" s="8">
        <f>IFERROR(J71/J148, "NA")</f>
        <v>0</v>
      </c>
      <c r="L71" s="7">
        <v>0</v>
      </c>
      <c r="M71" s="8">
        <f>IFERROR(L71/L148, "NA")</f>
        <v>0</v>
      </c>
      <c r="N71" s="7">
        <v>0</v>
      </c>
      <c r="O71" s="8">
        <f>IFERROR(N71/N148, "NA")</f>
        <v>0</v>
      </c>
      <c r="P71" s="7">
        <v>0</v>
      </c>
      <c r="Q71" s="8">
        <f>IFERROR(P71/P148, "NA")</f>
        <v>0</v>
      </c>
      <c r="R71" s="7">
        <v>0</v>
      </c>
      <c r="S71" s="8">
        <f>IFERROR(R71/R148, "NA")</f>
        <v>0</v>
      </c>
      <c r="T71" s="7">
        <v>0</v>
      </c>
      <c r="U71" s="8">
        <f>IFERROR(T71/T148, "NA")</f>
        <v>0</v>
      </c>
      <c r="V71" s="7">
        <v>0</v>
      </c>
      <c r="W71" s="8">
        <f>IFERROR(V71/V148, "NA")</f>
        <v>0</v>
      </c>
      <c r="X71" s="7">
        <v>0</v>
      </c>
      <c r="Y71" s="8">
        <f>IFERROR(X71/X148, "NA")</f>
        <v>0</v>
      </c>
      <c r="Z71" s="7">
        <v>0</v>
      </c>
      <c r="AA71" s="8">
        <f>IFERROR(Z71/Z148, "NA")</f>
        <v>0</v>
      </c>
      <c r="AB71" s="9">
        <f t="shared" si="24"/>
        <v>0</v>
      </c>
      <c r="AC71" s="8">
        <f>IFERROR(AB71/AB148, "NA")</f>
        <v>0</v>
      </c>
      <c r="AD71" s="10">
        <f t="shared" si="25"/>
        <v>0</v>
      </c>
      <c r="AE71" s="11">
        <f>IFERROR(AD71/AD148, "NA")</f>
        <v>0</v>
      </c>
      <c r="AF71" s="10" t="str">
        <f t="shared" si="26"/>
        <v>NA</v>
      </c>
      <c r="AG71" s="9">
        <f t="shared" si="27"/>
        <v>0</v>
      </c>
      <c r="AH71" s="8">
        <f>IFERROR(AG71/AG148, "NA")</f>
        <v>0</v>
      </c>
      <c r="AI71" s="10">
        <f t="shared" si="28"/>
        <v>0</v>
      </c>
      <c r="AJ71" s="11">
        <f>IFERROR(AI71/AI148, "NA")</f>
        <v>0</v>
      </c>
      <c r="AK71" s="10" t="str">
        <f t="shared" si="29"/>
        <v>NA</v>
      </c>
      <c r="AL71" s="11" t="str">
        <f>IFERROR(AK71/AK148, "NA")</f>
        <v>NA</v>
      </c>
    </row>
    <row r="72" spans="1:38" ht="16.5" customHeight="1" x14ac:dyDescent="0.3">
      <c r="A72" s="23" t="s">
        <v>84</v>
      </c>
      <c r="B72" s="7">
        <v>0</v>
      </c>
      <c r="C72" s="8">
        <f>IFERROR(B72/B148, "NA")</f>
        <v>0</v>
      </c>
      <c r="D72" s="7">
        <v>0</v>
      </c>
      <c r="E72" s="8">
        <f>IFERROR(D72/D148, "NA")</f>
        <v>0</v>
      </c>
      <c r="F72" s="7">
        <v>0</v>
      </c>
      <c r="G72" s="8">
        <f>IFERROR(F72/F148, "NA")</f>
        <v>0</v>
      </c>
      <c r="H72" s="7">
        <v>-813</v>
      </c>
      <c r="I72" s="8">
        <f>IFERROR(H72/H148, "NA")</f>
        <v>-3.0888517905842072E-2</v>
      </c>
      <c r="J72" s="7">
        <v>0</v>
      </c>
      <c r="K72" s="8">
        <f>IFERROR(J72/J148, "NA")</f>
        <v>0</v>
      </c>
      <c r="L72" s="7">
        <v>0</v>
      </c>
      <c r="M72" s="8">
        <f>IFERROR(L72/L148, "NA")</f>
        <v>0</v>
      </c>
      <c r="N72" s="7">
        <v>0</v>
      </c>
      <c r="O72" s="8">
        <f>IFERROR(N72/N148, "NA")</f>
        <v>0</v>
      </c>
      <c r="P72" s="7">
        <v>0</v>
      </c>
      <c r="Q72" s="8">
        <f>IFERROR(P72/P148, "NA")</f>
        <v>0</v>
      </c>
      <c r="R72" s="7">
        <v>488</v>
      </c>
      <c r="S72" s="8">
        <f>IFERROR(R72/R148, "NA")</f>
        <v>1.4425569676979569E-2</v>
      </c>
      <c r="T72" s="7">
        <v>0</v>
      </c>
      <c r="U72" s="8">
        <f>IFERROR(T72/T148, "NA")</f>
        <v>0</v>
      </c>
      <c r="V72" s="7">
        <v>0</v>
      </c>
      <c r="W72" s="8">
        <f>IFERROR(V72/V148, "NA")</f>
        <v>0</v>
      </c>
      <c r="X72" s="7">
        <v>0</v>
      </c>
      <c r="Y72" s="8">
        <f>IFERROR(X72/X148, "NA")</f>
        <v>0</v>
      </c>
      <c r="Z72" s="7">
        <v>0</v>
      </c>
      <c r="AA72" s="8">
        <f>IFERROR(Z72/Z148, "NA")</f>
        <v>0</v>
      </c>
      <c r="AB72" s="9">
        <f t="shared" si="24"/>
        <v>122</v>
      </c>
      <c r="AC72" s="8">
        <f>IFERROR(AB72/AB148, "NA")</f>
        <v>4.0587575012159642E-3</v>
      </c>
      <c r="AD72" s="10">
        <f t="shared" si="25"/>
        <v>-122</v>
      </c>
      <c r="AE72" s="11">
        <f>IFERROR(AD72/AD148, "NA")</f>
        <v>-0.90477603085137848</v>
      </c>
      <c r="AF72" s="10">
        <f t="shared" si="26"/>
        <v>-1</v>
      </c>
      <c r="AG72" s="9">
        <f t="shared" si="27"/>
        <v>61</v>
      </c>
      <c r="AH72" s="8">
        <f>IFERROR(AG72/AG148, "NA")</f>
        <v>2.1509190595053527E-3</v>
      </c>
      <c r="AI72" s="10">
        <f t="shared" si="28"/>
        <v>-61</v>
      </c>
      <c r="AJ72" s="11">
        <f>IFERROR(AI72/AI148, "NA")</f>
        <v>-3.3272787768704938E-2</v>
      </c>
      <c r="AK72" s="10">
        <f t="shared" si="29"/>
        <v>-1</v>
      </c>
      <c r="AL72" s="11">
        <f>IFERROR(AK72/AK148, "NA")</f>
        <v>-15.469102671095715</v>
      </c>
    </row>
    <row r="73" spans="1:38" ht="16.5" customHeight="1" x14ac:dyDescent="0.3">
      <c r="A73" s="24" t="s">
        <v>85</v>
      </c>
      <c r="B73" s="2"/>
      <c r="C73" s="3"/>
      <c r="D73" s="2"/>
      <c r="E73" s="3"/>
      <c r="F73" s="2"/>
      <c r="G73" s="3"/>
      <c r="H73" s="2"/>
      <c r="I73" s="3"/>
      <c r="J73" s="2"/>
      <c r="K73" s="3"/>
      <c r="L73" s="2"/>
      <c r="M73" s="3"/>
      <c r="N73" s="2"/>
      <c r="O73" s="3"/>
      <c r="P73" s="2"/>
      <c r="Q73" s="3"/>
      <c r="R73" s="2"/>
      <c r="S73" s="3"/>
      <c r="T73" s="2"/>
      <c r="U73" s="3"/>
      <c r="V73" s="2"/>
      <c r="W73" s="3"/>
      <c r="X73" s="2"/>
      <c r="Y73" s="3"/>
      <c r="Z73" s="2"/>
      <c r="AA73" s="3"/>
      <c r="AB73" s="2"/>
      <c r="AC73" s="3"/>
      <c r="AD73" s="4"/>
      <c r="AE73" s="5"/>
      <c r="AF73" s="4"/>
      <c r="AG73" s="2"/>
      <c r="AH73" s="3"/>
      <c r="AI73" s="4"/>
      <c r="AJ73" s="5"/>
      <c r="AK73" s="4"/>
      <c r="AL73" s="5"/>
    </row>
    <row r="74" spans="1:38" ht="16.5" customHeight="1" x14ac:dyDescent="0.3">
      <c r="A74" s="25" t="s">
        <v>86</v>
      </c>
      <c r="B74" s="7">
        <v>632.45000000000005</v>
      </c>
      <c r="C74" s="8">
        <f>IFERROR(B74/B148, "NA")</f>
        <v>2.2094917487736791E-2</v>
      </c>
      <c r="D74" s="7">
        <v>677.23</v>
      </c>
      <c r="E74" s="8">
        <f>IFERROR(D74/D148, "NA")</f>
        <v>2.3269326050938739E-2</v>
      </c>
      <c r="F74" s="7">
        <v>626.61</v>
      </c>
      <c r="G74" s="8">
        <f>IFERROR(F74/F148, "NA")</f>
        <v>1.9536013064539209E-2</v>
      </c>
      <c r="H74" s="7">
        <v>621.45000000000005</v>
      </c>
      <c r="I74" s="8">
        <f>IFERROR(H74/H148, "NA")</f>
        <v>2.3610909535775593E-2</v>
      </c>
      <c r="J74" s="7">
        <v>646.95000000000005</v>
      </c>
      <c r="K74" s="8">
        <f>IFERROR(J74/J148, "NA")</f>
        <v>2.6139034857702966E-2</v>
      </c>
      <c r="L74" s="7">
        <v>641.67999999999995</v>
      </c>
      <c r="M74" s="8">
        <f>IFERROR(L74/L148, "NA")</f>
        <v>2.4239292373431968E-2</v>
      </c>
      <c r="N74" s="7">
        <v>609.27</v>
      </c>
      <c r="O74" s="8">
        <f>IFERROR(N74/N148, "NA")</f>
        <v>2.4491562998834655E-2</v>
      </c>
      <c r="P74" s="7">
        <v>629.49</v>
      </c>
      <c r="Q74" s="8">
        <f>IFERROR(P74/P148, "NA")</f>
        <v>2.0607847868126011E-2</v>
      </c>
      <c r="R74" s="7">
        <v>647.77</v>
      </c>
      <c r="S74" s="8">
        <f>IFERROR(R74/R148, "NA")</f>
        <v>1.9148465716510361E-2</v>
      </c>
      <c r="T74" s="7">
        <v>548.44000000000005</v>
      </c>
      <c r="U74" s="8">
        <f>IFERROR(T74/T148, "NA")</f>
        <v>2.2036172205509689E-2</v>
      </c>
      <c r="V74" s="7">
        <v>753.72</v>
      </c>
      <c r="W74" s="8">
        <f>IFERROR(V74/V148, "NA")</f>
        <v>2.406240671954488E-2</v>
      </c>
      <c r="X74" s="7">
        <v>764.64</v>
      </c>
      <c r="Y74" s="8">
        <f>IFERROR(X74/X148, "NA")</f>
        <v>2.5324823719169484E-2</v>
      </c>
      <c r="Z74" s="7">
        <v>2066.8000000000002</v>
      </c>
      <c r="AA74" s="8">
        <f>IFERROR(Z74/Z148, "NA")</f>
        <v>2.3919906505432208E-2</v>
      </c>
      <c r="AB74" s="9">
        <f t="shared" ref="AB74:AB85" si="30">IFERROR((R74+T74+V74+X74)/4, "NA")</f>
        <v>678.64250000000004</v>
      </c>
      <c r="AC74" s="8">
        <f>IFERROR(AB74/AB148, "NA")</f>
        <v>2.2577420799335696E-2</v>
      </c>
      <c r="AD74" s="10">
        <f t="shared" ref="AD74:AD85" si="31">IFERROR(X74-AB74, "NA")</f>
        <v>85.997499999999945</v>
      </c>
      <c r="AE74" s="11">
        <f>IFERROR(AD74/AD148, "NA")</f>
        <v>0.63777439928804402</v>
      </c>
      <c r="AF74" s="10">
        <f t="shared" ref="AF74:AF85" si="32">IFERROR((X74-AB74)/AB74, "NA")</f>
        <v>0.1267198856540814</v>
      </c>
      <c r="AG74" s="9">
        <f t="shared" ref="AG74:AG85" si="33">IFERROR((J74+L74+N74+P74+R74+T74+V74+X74)/8, "NA")</f>
        <v>655.24500000000012</v>
      </c>
      <c r="AH74" s="8">
        <f>IFERROR(AG74/AG148, "NA")</f>
        <v>2.3104573100747296E-2</v>
      </c>
      <c r="AI74" s="10">
        <f t="shared" ref="AI74:AI85" si="34">IFERROR(X74-AG74, "NA")</f>
        <v>109.39499999999987</v>
      </c>
      <c r="AJ74" s="11">
        <f>IFERROR(AI74/AI148, "NA")</f>
        <v>5.96701084911061E-2</v>
      </c>
      <c r="AK74" s="10">
        <f t="shared" ref="AK74:AK85" si="35">IFERROR((X74-AG74)/AG74, "NA")</f>
        <v>0.16695281917450702</v>
      </c>
      <c r="AL74" s="11">
        <f>IFERROR(AK74/AK148, "NA")</f>
        <v>2.5826103010393267</v>
      </c>
    </row>
    <row r="75" spans="1:38" ht="16.5" hidden="1" customHeight="1" x14ac:dyDescent="0.3">
      <c r="A75" s="25" t="s">
        <v>87</v>
      </c>
      <c r="B75" s="7">
        <v>0</v>
      </c>
      <c r="C75" s="8">
        <f>IFERROR(B75/B148, "NA")</f>
        <v>0</v>
      </c>
      <c r="D75" s="7">
        <v>0</v>
      </c>
      <c r="E75" s="8">
        <f>IFERROR(D75/D148, "NA")</f>
        <v>0</v>
      </c>
      <c r="F75" s="7">
        <v>0</v>
      </c>
      <c r="G75" s="8">
        <f>IFERROR(F75/F148, "NA")</f>
        <v>0</v>
      </c>
      <c r="H75" s="7">
        <v>0</v>
      </c>
      <c r="I75" s="8">
        <f>IFERROR(H75/H148, "NA")</f>
        <v>0</v>
      </c>
      <c r="J75" s="7">
        <v>0</v>
      </c>
      <c r="K75" s="8">
        <f>IFERROR(J75/J148, "NA")</f>
        <v>0</v>
      </c>
      <c r="L75" s="7">
        <v>0</v>
      </c>
      <c r="M75" s="8">
        <f>IFERROR(L75/L148, "NA")</f>
        <v>0</v>
      </c>
      <c r="N75" s="7">
        <v>0</v>
      </c>
      <c r="O75" s="8">
        <f>IFERROR(N75/N148, "NA")</f>
        <v>0</v>
      </c>
      <c r="P75" s="7">
        <v>0</v>
      </c>
      <c r="Q75" s="8">
        <f>IFERROR(P75/P148, "NA")</f>
        <v>0</v>
      </c>
      <c r="R75" s="7">
        <v>0</v>
      </c>
      <c r="S75" s="8">
        <f>IFERROR(R75/R148, "NA")</f>
        <v>0</v>
      </c>
      <c r="T75" s="7">
        <v>0</v>
      </c>
      <c r="U75" s="8">
        <f>IFERROR(T75/T148, "NA")</f>
        <v>0</v>
      </c>
      <c r="V75" s="7">
        <v>0</v>
      </c>
      <c r="W75" s="8">
        <f>IFERROR(V75/V148, "NA")</f>
        <v>0</v>
      </c>
      <c r="X75" s="7">
        <v>0</v>
      </c>
      <c r="Y75" s="8">
        <f>IFERROR(X75/X148, "NA")</f>
        <v>0</v>
      </c>
      <c r="Z75" s="7">
        <v>0</v>
      </c>
      <c r="AA75" s="8">
        <f>IFERROR(Z75/Z148, "NA")</f>
        <v>0</v>
      </c>
      <c r="AB75" s="9">
        <f t="shared" si="30"/>
        <v>0</v>
      </c>
      <c r="AC75" s="8">
        <f>IFERROR(AB75/AB148, "NA")</f>
        <v>0</v>
      </c>
      <c r="AD75" s="10">
        <f t="shared" si="31"/>
        <v>0</v>
      </c>
      <c r="AE75" s="11">
        <f>IFERROR(AD75/AD148, "NA")</f>
        <v>0</v>
      </c>
      <c r="AF75" s="10" t="str">
        <f t="shared" si="32"/>
        <v>NA</v>
      </c>
      <c r="AG75" s="9">
        <f t="shared" si="33"/>
        <v>0</v>
      </c>
      <c r="AH75" s="8">
        <f>IFERROR(AG75/AG148, "NA")</f>
        <v>0</v>
      </c>
      <c r="AI75" s="10">
        <f t="shared" si="34"/>
        <v>0</v>
      </c>
      <c r="AJ75" s="11">
        <f>IFERROR(AI75/AI148, "NA")</f>
        <v>0</v>
      </c>
      <c r="AK75" s="10" t="str">
        <f t="shared" si="35"/>
        <v>NA</v>
      </c>
      <c r="AL75" s="11" t="str">
        <f>IFERROR(AK75/AK148, "NA")</f>
        <v>NA</v>
      </c>
    </row>
    <row r="76" spans="1:38" ht="16.5" hidden="1" customHeight="1" x14ac:dyDescent="0.3">
      <c r="A76" s="25" t="s">
        <v>88</v>
      </c>
      <c r="B76" s="7">
        <v>0</v>
      </c>
      <c r="C76" s="8">
        <f>IFERROR(B76/B148, "NA")</f>
        <v>0</v>
      </c>
      <c r="D76" s="7">
        <v>0</v>
      </c>
      <c r="E76" s="8">
        <f>IFERROR(D76/D148, "NA")</f>
        <v>0</v>
      </c>
      <c r="F76" s="7">
        <v>0</v>
      </c>
      <c r="G76" s="8">
        <f>IFERROR(F76/F148, "NA")</f>
        <v>0</v>
      </c>
      <c r="H76" s="7">
        <v>0</v>
      </c>
      <c r="I76" s="8">
        <f>IFERROR(H76/H148, "NA")</f>
        <v>0</v>
      </c>
      <c r="J76" s="7">
        <v>0</v>
      </c>
      <c r="K76" s="8">
        <f>IFERROR(J76/J148, "NA")</f>
        <v>0</v>
      </c>
      <c r="L76" s="7">
        <v>0</v>
      </c>
      <c r="M76" s="8">
        <f>IFERROR(L76/L148, "NA")</f>
        <v>0</v>
      </c>
      <c r="N76" s="7">
        <v>0</v>
      </c>
      <c r="O76" s="8">
        <f>IFERROR(N76/N148, "NA")</f>
        <v>0</v>
      </c>
      <c r="P76" s="7">
        <v>0</v>
      </c>
      <c r="Q76" s="8">
        <f>IFERROR(P76/P148, "NA")</f>
        <v>0</v>
      </c>
      <c r="R76" s="7">
        <v>0</v>
      </c>
      <c r="S76" s="8">
        <f>IFERROR(R76/R148, "NA")</f>
        <v>0</v>
      </c>
      <c r="T76" s="7">
        <v>0</v>
      </c>
      <c r="U76" s="8">
        <f>IFERROR(T76/T148, "NA")</f>
        <v>0</v>
      </c>
      <c r="V76" s="7">
        <v>0</v>
      </c>
      <c r="W76" s="8">
        <f>IFERROR(V76/V148, "NA")</f>
        <v>0</v>
      </c>
      <c r="X76" s="7">
        <v>0</v>
      </c>
      <c r="Y76" s="8">
        <f>IFERROR(X76/X148, "NA")</f>
        <v>0</v>
      </c>
      <c r="Z76" s="7">
        <v>0</v>
      </c>
      <c r="AA76" s="8">
        <f>IFERROR(Z76/Z148, "NA")</f>
        <v>0</v>
      </c>
      <c r="AB76" s="9">
        <f t="shared" si="30"/>
        <v>0</v>
      </c>
      <c r="AC76" s="8">
        <f>IFERROR(AB76/AB148, "NA")</f>
        <v>0</v>
      </c>
      <c r="AD76" s="10">
        <f t="shared" si="31"/>
        <v>0</v>
      </c>
      <c r="AE76" s="11">
        <f>IFERROR(AD76/AD148, "NA")</f>
        <v>0</v>
      </c>
      <c r="AF76" s="10" t="str">
        <f t="shared" si="32"/>
        <v>NA</v>
      </c>
      <c r="AG76" s="9">
        <f t="shared" si="33"/>
        <v>0</v>
      </c>
      <c r="AH76" s="8">
        <f>IFERROR(AG76/AG148, "NA")</f>
        <v>0</v>
      </c>
      <c r="AI76" s="10">
        <f t="shared" si="34"/>
        <v>0</v>
      </c>
      <c r="AJ76" s="11">
        <f>IFERROR(AI76/AI148, "NA")</f>
        <v>0</v>
      </c>
      <c r="AK76" s="10" t="str">
        <f t="shared" si="35"/>
        <v>NA</v>
      </c>
      <c r="AL76" s="11" t="str">
        <f>IFERROR(AK76/AK148, "NA")</f>
        <v>NA</v>
      </c>
    </row>
    <row r="77" spans="1:38" ht="16.5" hidden="1" customHeight="1" x14ac:dyDescent="0.3">
      <c r="A77" s="25" t="s">
        <v>89</v>
      </c>
      <c r="B77" s="7">
        <v>0</v>
      </c>
      <c r="C77" s="8">
        <f>IFERROR(B77/B148, "NA")</f>
        <v>0</v>
      </c>
      <c r="D77" s="7">
        <v>0</v>
      </c>
      <c r="E77" s="8">
        <f>IFERROR(D77/D148, "NA")</f>
        <v>0</v>
      </c>
      <c r="F77" s="7">
        <v>0</v>
      </c>
      <c r="G77" s="8">
        <f>IFERROR(F77/F148, "NA")</f>
        <v>0</v>
      </c>
      <c r="H77" s="7">
        <v>0</v>
      </c>
      <c r="I77" s="8">
        <f>IFERROR(H77/H148, "NA")</f>
        <v>0</v>
      </c>
      <c r="J77" s="7">
        <v>0</v>
      </c>
      <c r="K77" s="8">
        <f>IFERROR(J77/J148, "NA")</f>
        <v>0</v>
      </c>
      <c r="L77" s="7">
        <v>0</v>
      </c>
      <c r="M77" s="8">
        <f>IFERROR(L77/L148, "NA")</f>
        <v>0</v>
      </c>
      <c r="N77" s="7">
        <v>0</v>
      </c>
      <c r="O77" s="8">
        <f>IFERROR(N77/N148, "NA")</f>
        <v>0</v>
      </c>
      <c r="P77" s="7">
        <v>0</v>
      </c>
      <c r="Q77" s="8">
        <f>IFERROR(P77/P148, "NA")</f>
        <v>0</v>
      </c>
      <c r="R77" s="7">
        <v>0</v>
      </c>
      <c r="S77" s="8">
        <f>IFERROR(R77/R148, "NA")</f>
        <v>0</v>
      </c>
      <c r="T77" s="7">
        <v>0</v>
      </c>
      <c r="U77" s="8">
        <f>IFERROR(T77/T148, "NA")</f>
        <v>0</v>
      </c>
      <c r="V77" s="7">
        <v>0</v>
      </c>
      <c r="W77" s="8">
        <f>IFERROR(V77/V148, "NA")</f>
        <v>0</v>
      </c>
      <c r="X77" s="7">
        <v>0</v>
      </c>
      <c r="Y77" s="8">
        <f>IFERROR(X77/X148, "NA")</f>
        <v>0</v>
      </c>
      <c r="Z77" s="7">
        <v>0</v>
      </c>
      <c r="AA77" s="8">
        <f>IFERROR(Z77/Z148, "NA")</f>
        <v>0</v>
      </c>
      <c r="AB77" s="9">
        <f t="shared" si="30"/>
        <v>0</v>
      </c>
      <c r="AC77" s="8">
        <f>IFERROR(AB77/AB148, "NA")</f>
        <v>0</v>
      </c>
      <c r="AD77" s="10">
        <f t="shared" si="31"/>
        <v>0</v>
      </c>
      <c r="AE77" s="11">
        <f>IFERROR(AD77/AD148, "NA")</f>
        <v>0</v>
      </c>
      <c r="AF77" s="10" t="str">
        <f t="shared" si="32"/>
        <v>NA</v>
      </c>
      <c r="AG77" s="9">
        <f t="shared" si="33"/>
        <v>0</v>
      </c>
      <c r="AH77" s="8">
        <f>IFERROR(AG77/AG148, "NA")</f>
        <v>0</v>
      </c>
      <c r="AI77" s="10">
        <f t="shared" si="34"/>
        <v>0</v>
      </c>
      <c r="AJ77" s="11">
        <f>IFERROR(AI77/AI148, "NA")</f>
        <v>0</v>
      </c>
      <c r="AK77" s="10" t="str">
        <f t="shared" si="35"/>
        <v>NA</v>
      </c>
      <c r="AL77" s="11" t="str">
        <f>IFERROR(AK77/AK148, "NA")</f>
        <v>NA</v>
      </c>
    </row>
    <row r="78" spans="1:38" ht="16.5" hidden="1" customHeight="1" x14ac:dyDescent="0.3">
      <c r="A78" s="25" t="s">
        <v>90</v>
      </c>
      <c r="B78" s="7">
        <v>0</v>
      </c>
      <c r="C78" s="8">
        <f>IFERROR(B78/B148, "NA")</f>
        <v>0</v>
      </c>
      <c r="D78" s="7">
        <v>0</v>
      </c>
      <c r="E78" s="8">
        <f>IFERROR(D78/D148, "NA")</f>
        <v>0</v>
      </c>
      <c r="F78" s="7">
        <v>0</v>
      </c>
      <c r="G78" s="8">
        <f>IFERROR(F78/F148, "NA")</f>
        <v>0</v>
      </c>
      <c r="H78" s="7">
        <v>0</v>
      </c>
      <c r="I78" s="8">
        <f>IFERROR(H78/H148, "NA")</f>
        <v>0</v>
      </c>
      <c r="J78" s="7">
        <v>0</v>
      </c>
      <c r="K78" s="8">
        <f>IFERROR(J78/J148, "NA")</f>
        <v>0</v>
      </c>
      <c r="L78" s="7">
        <v>0</v>
      </c>
      <c r="M78" s="8">
        <f>IFERROR(L78/L148, "NA")</f>
        <v>0</v>
      </c>
      <c r="N78" s="7">
        <v>0</v>
      </c>
      <c r="O78" s="8">
        <f>IFERROR(N78/N148, "NA")</f>
        <v>0</v>
      </c>
      <c r="P78" s="7">
        <v>0</v>
      </c>
      <c r="Q78" s="8">
        <f>IFERROR(P78/P148, "NA")</f>
        <v>0</v>
      </c>
      <c r="R78" s="7">
        <v>0</v>
      </c>
      <c r="S78" s="8">
        <f>IFERROR(R78/R148, "NA")</f>
        <v>0</v>
      </c>
      <c r="T78" s="7">
        <v>0</v>
      </c>
      <c r="U78" s="8">
        <f>IFERROR(T78/T148, "NA")</f>
        <v>0</v>
      </c>
      <c r="V78" s="7">
        <v>0</v>
      </c>
      <c r="W78" s="8">
        <f>IFERROR(V78/V148, "NA")</f>
        <v>0</v>
      </c>
      <c r="X78" s="7">
        <v>0</v>
      </c>
      <c r="Y78" s="8">
        <f>IFERROR(X78/X148, "NA")</f>
        <v>0</v>
      </c>
      <c r="Z78" s="7">
        <v>0</v>
      </c>
      <c r="AA78" s="8">
        <f>IFERROR(Z78/Z148, "NA")</f>
        <v>0</v>
      </c>
      <c r="AB78" s="9">
        <f t="shared" si="30"/>
        <v>0</v>
      </c>
      <c r="AC78" s="8">
        <f>IFERROR(AB78/AB148, "NA")</f>
        <v>0</v>
      </c>
      <c r="AD78" s="10">
        <f t="shared" si="31"/>
        <v>0</v>
      </c>
      <c r="AE78" s="11">
        <f>IFERROR(AD78/AD148, "NA")</f>
        <v>0</v>
      </c>
      <c r="AF78" s="10" t="str">
        <f t="shared" si="32"/>
        <v>NA</v>
      </c>
      <c r="AG78" s="9">
        <f t="shared" si="33"/>
        <v>0</v>
      </c>
      <c r="AH78" s="8">
        <f>IFERROR(AG78/AG148, "NA")</f>
        <v>0</v>
      </c>
      <c r="AI78" s="10">
        <f t="shared" si="34"/>
        <v>0</v>
      </c>
      <c r="AJ78" s="11">
        <f>IFERROR(AI78/AI148, "NA")</f>
        <v>0</v>
      </c>
      <c r="AK78" s="10" t="str">
        <f t="shared" si="35"/>
        <v>NA</v>
      </c>
      <c r="AL78" s="11" t="str">
        <f>IFERROR(AK78/AK148, "NA")</f>
        <v>NA</v>
      </c>
    </row>
    <row r="79" spans="1:38" ht="16.5" hidden="1" customHeight="1" x14ac:dyDescent="0.3">
      <c r="A79" s="25" t="s">
        <v>91</v>
      </c>
      <c r="B79" s="7">
        <v>0</v>
      </c>
      <c r="C79" s="8">
        <f>IFERROR(B79/B148, "NA")</f>
        <v>0</v>
      </c>
      <c r="D79" s="7">
        <v>0</v>
      </c>
      <c r="E79" s="8">
        <f>IFERROR(D79/D148, "NA")</f>
        <v>0</v>
      </c>
      <c r="F79" s="7">
        <v>0</v>
      </c>
      <c r="G79" s="8">
        <f>IFERROR(F79/F148, "NA")</f>
        <v>0</v>
      </c>
      <c r="H79" s="7">
        <v>0</v>
      </c>
      <c r="I79" s="8">
        <f>IFERROR(H79/H148, "NA")</f>
        <v>0</v>
      </c>
      <c r="J79" s="7">
        <v>0</v>
      </c>
      <c r="K79" s="8">
        <f>IFERROR(J79/J148, "NA")</f>
        <v>0</v>
      </c>
      <c r="L79" s="7">
        <v>0</v>
      </c>
      <c r="M79" s="8">
        <f>IFERROR(L79/L148, "NA")</f>
        <v>0</v>
      </c>
      <c r="N79" s="7">
        <v>0</v>
      </c>
      <c r="O79" s="8">
        <f>IFERROR(N79/N148, "NA")</f>
        <v>0</v>
      </c>
      <c r="P79" s="7">
        <v>0</v>
      </c>
      <c r="Q79" s="8">
        <f>IFERROR(P79/P148, "NA")</f>
        <v>0</v>
      </c>
      <c r="R79" s="7">
        <v>0</v>
      </c>
      <c r="S79" s="8">
        <f>IFERROR(R79/R148, "NA")</f>
        <v>0</v>
      </c>
      <c r="T79" s="7">
        <v>0</v>
      </c>
      <c r="U79" s="8">
        <f>IFERROR(T79/T148, "NA")</f>
        <v>0</v>
      </c>
      <c r="V79" s="7">
        <v>0</v>
      </c>
      <c r="W79" s="8">
        <f>IFERROR(V79/V148, "NA")</f>
        <v>0</v>
      </c>
      <c r="X79" s="7">
        <v>0</v>
      </c>
      <c r="Y79" s="8">
        <f>IFERROR(X79/X148, "NA")</f>
        <v>0</v>
      </c>
      <c r="Z79" s="7">
        <v>0</v>
      </c>
      <c r="AA79" s="8">
        <f>IFERROR(Z79/Z148, "NA")</f>
        <v>0</v>
      </c>
      <c r="AB79" s="9">
        <f t="shared" si="30"/>
        <v>0</v>
      </c>
      <c r="AC79" s="8">
        <f>IFERROR(AB79/AB148, "NA")</f>
        <v>0</v>
      </c>
      <c r="AD79" s="10">
        <f t="shared" si="31"/>
        <v>0</v>
      </c>
      <c r="AE79" s="11">
        <f>IFERROR(AD79/AD148, "NA")</f>
        <v>0</v>
      </c>
      <c r="AF79" s="10" t="str">
        <f t="shared" si="32"/>
        <v>NA</v>
      </c>
      <c r="AG79" s="9">
        <f t="shared" si="33"/>
        <v>0</v>
      </c>
      <c r="AH79" s="8">
        <f>IFERROR(AG79/AG148, "NA")</f>
        <v>0</v>
      </c>
      <c r="AI79" s="10">
        <f t="shared" si="34"/>
        <v>0</v>
      </c>
      <c r="AJ79" s="11">
        <f>IFERROR(AI79/AI148, "NA")</f>
        <v>0</v>
      </c>
      <c r="AK79" s="10" t="str">
        <f t="shared" si="35"/>
        <v>NA</v>
      </c>
      <c r="AL79" s="11" t="str">
        <f>IFERROR(AK79/AK148, "NA")</f>
        <v>NA</v>
      </c>
    </row>
    <row r="80" spans="1:38" ht="16.5" hidden="1" customHeight="1" x14ac:dyDescent="0.3">
      <c r="A80" s="25" t="s">
        <v>92</v>
      </c>
      <c r="B80" s="7">
        <v>0</v>
      </c>
      <c r="C80" s="8">
        <f>IFERROR(B80/B148, "NA")</f>
        <v>0</v>
      </c>
      <c r="D80" s="7">
        <v>0</v>
      </c>
      <c r="E80" s="8">
        <f>IFERROR(D80/D148, "NA")</f>
        <v>0</v>
      </c>
      <c r="F80" s="7">
        <v>0</v>
      </c>
      <c r="G80" s="8">
        <f>IFERROR(F80/F148, "NA")</f>
        <v>0</v>
      </c>
      <c r="H80" s="7">
        <v>0</v>
      </c>
      <c r="I80" s="8">
        <f>IFERROR(H80/H148, "NA")</f>
        <v>0</v>
      </c>
      <c r="J80" s="7">
        <v>0</v>
      </c>
      <c r="K80" s="8">
        <f>IFERROR(J80/J148, "NA")</f>
        <v>0</v>
      </c>
      <c r="L80" s="7">
        <v>0</v>
      </c>
      <c r="M80" s="8">
        <f>IFERROR(L80/L148, "NA")</f>
        <v>0</v>
      </c>
      <c r="N80" s="7">
        <v>0</v>
      </c>
      <c r="O80" s="8">
        <f>IFERROR(N80/N148, "NA")</f>
        <v>0</v>
      </c>
      <c r="P80" s="7">
        <v>0</v>
      </c>
      <c r="Q80" s="8">
        <f>IFERROR(P80/P148, "NA")</f>
        <v>0</v>
      </c>
      <c r="R80" s="7">
        <v>0</v>
      </c>
      <c r="S80" s="8">
        <f>IFERROR(R80/R148, "NA")</f>
        <v>0</v>
      </c>
      <c r="T80" s="7">
        <v>0</v>
      </c>
      <c r="U80" s="8">
        <f>IFERROR(T80/T148, "NA")</f>
        <v>0</v>
      </c>
      <c r="V80" s="7">
        <v>0</v>
      </c>
      <c r="W80" s="8">
        <f>IFERROR(V80/V148, "NA")</f>
        <v>0</v>
      </c>
      <c r="X80" s="7">
        <v>0</v>
      </c>
      <c r="Y80" s="8">
        <f>IFERROR(X80/X148, "NA")</f>
        <v>0</v>
      </c>
      <c r="Z80" s="7">
        <v>0</v>
      </c>
      <c r="AA80" s="8">
        <f>IFERROR(Z80/Z148, "NA")</f>
        <v>0</v>
      </c>
      <c r="AB80" s="9">
        <f t="shared" si="30"/>
        <v>0</v>
      </c>
      <c r="AC80" s="8">
        <f>IFERROR(AB80/AB148, "NA")</f>
        <v>0</v>
      </c>
      <c r="AD80" s="10">
        <f t="shared" si="31"/>
        <v>0</v>
      </c>
      <c r="AE80" s="11">
        <f>IFERROR(AD80/AD148, "NA")</f>
        <v>0</v>
      </c>
      <c r="AF80" s="10" t="str">
        <f t="shared" si="32"/>
        <v>NA</v>
      </c>
      <c r="AG80" s="9">
        <f t="shared" si="33"/>
        <v>0</v>
      </c>
      <c r="AH80" s="8">
        <f>IFERROR(AG80/AG148, "NA")</f>
        <v>0</v>
      </c>
      <c r="AI80" s="10">
        <f t="shared" si="34"/>
        <v>0</v>
      </c>
      <c r="AJ80" s="11">
        <f>IFERROR(AI80/AI148, "NA")</f>
        <v>0</v>
      </c>
      <c r="AK80" s="10" t="str">
        <f t="shared" si="35"/>
        <v>NA</v>
      </c>
      <c r="AL80" s="11" t="str">
        <f>IFERROR(AK80/AK148, "NA")</f>
        <v>NA</v>
      </c>
    </row>
    <row r="81" spans="1:38" ht="16.5" customHeight="1" x14ac:dyDescent="0.3">
      <c r="A81" s="26" t="s">
        <v>93</v>
      </c>
      <c r="B81" s="13">
        <f>IFERROR(B74+B75+B76+B77+B78+B79+B80, "NA")</f>
        <v>632.45000000000005</v>
      </c>
      <c r="C81" s="14">
        <f>IFERROR(B81/B148, "NA")</f>
        <v>2.2094917487736791E-2</v>
      </c>
      <c r="D81" s="13">
        <f>IFERROR(D74+D75+D76+D77+D78+D79+D80, "NA")</f>
        <v>677.23</v>
      </c>
      <c r="E81" s="14">
        <f>IFERROR(D81/D148, "NA")</f>
        <v>2.3269326050938739E-2</v>
      </c>
      <c r="F81" s="13">
        <f>IFERROR(F74+F75+F76+F77+F78+F79+F80, "NA")</f>
        <v>626.61</v>
      </c>
      <c r="G81" s="14">
        <f>IFERROR(F81/F148, "NA")</f>
        <v>1.9536013064539209E-2</v>
      </c>
      <c r="H81" s="13">
        <f>IFERROR(H74+H75+H76+H77+H78+H79+H80, "NA")</f>
        <v>621.45000000000005</v>
      </c>
      <c r="I81" s="14">
        <f>IFERROR(H81/H148, "NA")</f>
        <v>2.3610909535775593E-2</v>
      </c>
      <c r="J81" s="13">
        <f>IFERROR(J74+J75+J76+J77+J78+J79+J80, "NA")</f>
        <v>646.95000000000005</v>
      </c>
      <c r="K81" s="14">
        <f>IFERROR(J81/J148, "NA")</f>
        <v>2.6139034857702966E-2</v>
      </c>
      <c r="L81" s="13">
        <f>IFERROR(L74+L75+L76+L77+L78+L79+L80, "NA")</f>
        <v>641.67999999999995</v>
      </c>
      <c r="M81" s="14">
        <f>IFERROR(L81/L148, "NA")</f>
        <v>2.4239292373431968E-2</v>
      </c>
      <c r="N81" s="13">
        <f>IFERROR(N74+N75+N76+N77+N78+N79+N80, "NA")</f>
        <v>609.27</v>
      </c>
      <c r="O81" s="14">
        <f>IFERROR(N81/N148, "NA")</f>
        <v>2.4491562998834655E-2</v>
      </c>
      <c r="P81" s="13">
        <f>IFERROR(P74+P75+P76+P77+P78+P79+P80, "NA")</f>
        <v>629.49</v>
      </c>
      <c r="Q81" s="14">
        <f>IFERROR(P81/P148, "NA")</f>
        <v>2.0607847868126011E-2</v>
      </c>
      <c r="R81" s="13">
        <f>IFERROR(R74+R75+R76+R77+R78+R79+R80, "NA")</f>
        <v>647.77</v>
      </c>
      <c r="S81" s="14">
        <f>IFERROR(R81/R148, "NA")</f>
        <v>1.9148465716510361E-2</v>
      </c>
      <c r="T81" s="13">
        <f>IFERROR(T74+T75+T76+T77+T78+T79+T80, "NA")</f>
        <v>548.44000000000005</v>
      </c>
      <c r="U81" s="14">
        <f>IFERROR(T81/T148, "NA")</f>
        <v>2.2036172205509689E-2</v>
      </c>
      <c r="V81" s="13">
        <f>IFERROR(V74+V75+V76+V77+V78+V79+V80, "NA")</f>
        <v>753.72</v>
      </c>
      <c r="W81" s="14">
        <f>IFERROR(V81/V148, "NA")</f>
        <v>2.406240671954488E-2</v>
      </c>
      <c r="X81" s="13">
        <f>IFERROR(X74+X75+X76+X77+X78+X79+X80, "NA")</f>
        <v>764.64</v>
      </c>
      <c r="Y81" s="14">
        <f>IFERROR(X81/X148, "NA")</f>
        <v>2.5324823719169484E-2</v>
      </c>
      <c r="Z81" s="13">
        <f>IFERROR(Z74+Z75+Z76+Z77+Z78+Z79+Z80, "NA")</f>
        <v>2066.8000000000002</v>
      </c>
      <c r="AA81" s="14">
        <f>IFERROR(Z81/Z148, "NA")</f>
        <v>2.3919906505432208E-2</v>
      </c>
      <c r="AB81" s="13">
        <f t="shared" si="30"/>
        <v>678.64250000000004</v>
      </c>
      <c r="AC81" s="14">
        <f>IFERROR(AB81/AB148, "NA")</f>
        <v>2.2577420799335696E-2</v>
      </c>
      <c r="AD81" s="15">
        <f t="shared" si="31"/>
        <v>85.997499999999945</v>
      </c>
      <c r="AE81" s="16">
        <f>IFERROR(AD81/AD148, "NA")</f>
        <v>0.63777439928804402</v>
      </c>
      <c r="AF81" s="15">
        <f t="shared" si="32"/>
        <v>0.1267198856540814</v>
      </c>
      <c r="AG81" s="13">
        <f t="shared" si="33"/>
        <v>655.24500000000012</v>
      </c>
      <c r="AH81" s="14">
        <f>IFERROR(AG81/AG148, "NA")</f>
        <v>2.3104573100747296E-2</v>
      </c>
      <c r="AI81" s="15">
        <f t="shared" si="34"/>
        <v>109.39499999999987</v>
      </c>
      <c r="AJ81" s="16">
        <f>IFERROR(AI81/AI148, "NA")</f>
        <v>5.96701084911061E-2</v>
      </c>
      <c r="AK81" s="15">
        <f t="shared" si="35"/>
        <v>0.16695281917450702</v>
      </c>
      <c r="AL81" s="16">
        <f>IFERROR(AK81/AK148, "NA")</f>
        <v>2.5826103010393267</v>
      </c>
    </row>
    <row r="82" spans="1:38" ht="16.5" customHeight="1" x14ac:dyDescent="0.3">
      <c r="A82" s="23" t="s">
        <v>94</v>
      </c>
      <c r="B82" s="7">
        <v>276.31</v>
      </c>
      <c r="C82" s="8">
        <f>IFERROR(B82/B148, "NA")</f>
        <v>9.6530107534770378E-3</v>
      </c>
      <c r="D82" s="7">
        <v>0</v>
      </c>
      <c r="E82" s="8">
        <f>IFERROR(D82/D148, "NA")</f>
        <v>0</v>
      </c>
      <c r="F82" s="7">
        <v>0</v>
      </c>
      <c r="G82" s="8">
        <f>IFERROR(F82/F148, "NA")</f>
        <v>0</v>
      </c>
      <c r="H82" s="7">
        <v>0</v>
      </c>
      <c r="I82" s="8">
        <f>IFERROR(H82/H148, "NA")</f>
        <v>0</v>
      </c>
      <c r="J82" s="7">
        <v>313.76</v>
      </c>
      <c r="K82" s="8">
        <f>IFERROR(J82/J148, "NA")</f>
        <v>1.267699756851825E-2</v>
      </c>
      <c r="L82" s="7">
        <v>0</v>
      </c>
      <c r="M82" s="8">
        <f>IFERROR(L82/L148, "NA")</f>
        <v>0</v>
      </c>
      <c r="N82" s="7">
        <v>0</v>
      </c>
      <c r="O82" s="8">
        <f>IFERROR(N82/N148, "NA")</f>
        <v>0</v>
      </c>
      <c r="P82" s="7">
        <v>0</v>
      </c>
      <c r="Q82" s="8">
        <f>IFERROR(P82/P148, "NA")</f>
        <v>0</v>
      </c>
      <c r="R82" s="7">
        <v>0</v>
      </c>
      <c r="S82" s="8">
        <f>IFERROR(R82/R148, "NA")</f>
        <v>0</v>
      </c>
      <c r="T82" s="7">
        <v>288.32</v>
      </c>
      <c r="U82" s="8">
        <f>IFERROR(T82/T148, "NA")</f>
        <v>1.158462032363167E-2</v>
      </c>
      <c r="V82" s="7">
        <v>0</v>
      </c>
      <c r="W82" s="8">
        <f>IFERROR(V82/V148, "NA")</f>
        <v>0</v>
      </c>
      <c r="X82" s="7">
        <v>0</v>
      </c>
      <c r="Y82" s="8">
        <f>IFERROR(X82/X148, "NA")</f>
        <v>0</v>
      </c>
      <c r="Z82" s="7">
        <v>288.32</v>
      </c>
      <c r="AA82" s="8">
        <f>IFERROR(Z82/Z148, "NA")</f>
        <v>3.3368431602700858E-3</v>
      </c>
      <c r="AB82" s="9">
        <f t="shared" si="30"/>
        <v>72.08</v>
      </c>
      <c r="AC82" s="8">
        <f>IFERROR(AB82/AB148, "NA")</f>
        <v>2.3979937761282513E-3</v>
      </c>
      <c r="AD82" s="10">
        <f t="shared" si="31"/>
        <v>-72.08</v>
      </c>
      <c r="AE82" s="11">
        <f>IFERROR(AD82/AD148, "NA")</f>
        <v>-0.53455947789973246</v>
      </c>
      <c r="AF82" s="10">
        <f t="shared" si="32"/>
        <v>-1</v>
      </c>
      <c r="AG82" s="9">
        <f t="shared" si="33"/>
        <v>75.259999999999991</v>
      </c>
      <c r="AH82" s="8">
        <f>IFERROR(AG82/AG148, "NA")</f>
        <v>2.653740465874964E-3</v>
      </c>
      <c r="AI82" s="10">
        <f t="shared" si="34"/>
        <v>-75.259999999999991</v>
      </c>
      <c r="AJ82" s="11">
        <f>IFERROR(AI82/AI148, "NA")</f>
        <v>-4.10509837290612E-2</v>
      </c>
      <c r="AK82" s="10">
        <f t="shared" si="35"/>
        <v>-1</v>
      </c>
      <c r="AL82" s="11">
        <f>IFERROR(AK82/AK148, "NA")</f>
        <v>-15.469102671095715</v>
      </c>
    </row>
    <row r="83" spans="1:38" ht="16.5" hidden="1" customHeight="1" x14ac:dyDescent="0.3">
      <c r="A83" s="23" t="s">
        <v>95</v>
      </c>
      <c r="B83" s="7">
        <v>0</v>
      </c>
      <c r="C83" s="8">
        <f>IFERROR(B83/B148, "NA")</f>
        <v>0</v>
      </c>
      <c r="D83" s="7">
        <v>0</v>
      </c>
      <c r="E83" s="8">
        <f>IFERROR(D83/D148, "NA")</f>
        <v>0</v>
      </c>
      <c r="F83" s="7">
        <v>0</v>
      </c>
      <c r="G83" s="8">
        <f>IFERROR(F83/F148, "NA")</f>
        <v>0</v>
      </c>
      <c r="H83" s="7">
        <v>0</v>
      </c>
      <c r="I83" s="8">
        <f>IFERROR(H83/H148, "NA")</f>
        <v>0</v>
      </c>
      <c r="J83" s="7">
        <v>0</v>
      </c>
      <c r="K83" s="8">
        <f>IFERROR(J83/J148, "NA")</f>
        <v>0</v>
      </c>
      <c r="L83" s="7">
        <v>0</v>
      </c>
      <c r="M83" s="8">
        <f>IFERROR(L83/L148, "NA")</f>
        <v>0</v>
      </c>
      <c r="N83" s="7">
        <v>0</v>
      </c>
      <c r="O83" s="8">
        <f>IFERROR(N83/N148, "NA")</f>
        <v>0</v>
      </c>
      <c r="P83" s="7">
        <v>0</v>
      </c>
      <c r="Q83" s="8">
        <f>IFERROR(P83/P148, "NA")</f>
        <v>0</v>
      </c>
      <c r="R83" s="7">
        <v>0</v>
      </c>
      <c r="S83" s="8">
        <f>IFERROR(R83/R148, "NA")</f>
        <v>0</v>
      </c>
      <c r="T83" s="7">
        <v>0</v>
      </c>
      <c r="U83" s="8">
        <f>IFERROR(T83/T148, "NA")</f>
        <v>0</v>
      </c>
      <c r="V83" s="7">
        <v>0</v>
      </c>
      <c r="W83" s="8">
        <f>IFERROR(V83/V148, "NA")</f>
        <v>0</v>
      </c>
      <c r="X83" s="7">
        <v>0</v>
      </c>
      <c r="Y83" s="8">
        <f>IFERROR(X83/X148, "NA")</f>
        <v>0</v>
      </c>
      <c r="Z83" s="7">
        <v>0</v>
      </c>
      <c r="AA83" s="8">
        <f>IFERROR(Z83/Z148, "NA")</f>
        <v>0</v>
      </c>
      <c r="AB83" s="9">
        <f t="shared" si="30"/>
        <v>0</v>
      </c>
      <c r="AC83" s="8">
        <f>IFERROR(AB83/AB148, "NA")</f>
        <v>0</v>
      </c>
      <c r="AD83" s="10">
        <f t="shared" si="31"/>
        <v>0</v>
      </c>
      <c r="AE83" s="11">
        <f>IFERROR(AD83/AD148, "NA")</f>
        <v>0</v>
      </c>
      <c r="AF83" s="10" t="str">
        <f t="shared" si="32"/>
        <v>NA</v>
      </c>
      <c r="AG83" s="9">
        <f t="shared" si="33"/>
        <v>0</v>
      </c>
      <c r="AH83" s="8">
        <f>IFERROR(AG83/AG148, "NA")</f>
        <v>0</v>
      </c>
      <c r="AI83" s="10">
        <f t="shared" si="34"/>
        <v>0</v>
      </c>
      <c r="AJ83" s="11">
        <f>IFERROR(AI83/AI148, "NA")</f>
        <v>0</v>
      </c>
      <c r="AK83" s="10" t="str">
        <f t="shared" si="35"/>
        <v>NA</v>
      </c>
      <c r="AL83" s="11" t="str">
        <f>IFERROR(AK83/AK148, "NA")</f>
        <v>NA</v>
      </c>
    </row>
    <row r="84" spans="1:38" ht="16.5" customHeight="1" x14ac:dyDescent="0.3">
      <c r="A84" s="27" t="s">
        <v>96</v>
      </c>
      <c r="B84" s="13">
        <f>IFERROR(B63+B65+B66+B67+B68+B69+B71+B72+B74+B75+B76+B77+B78+B79+B80+B82+B83, "NA")</f>
        <v>7954.06</v>
      </c>
      <c r="C84" s="14">
        <f>IFERROR(B84/B148, "NA")</f>
        <v>0.27787856651515169</v>
      </c>
      <c r="D84" s="13">
        <f>IFERROR(D63+D65+D66+D67+D68+D69+D71+D72+D74+D75+D76+D77+D78+D79+D80+D82+D83, "NA")</f>
        <v>8171.6900000000005</v>
      </c>
      <c r="E84" s="14">
        <f>IFERROR(D84/D148, "NA")</f>
        <v>0.28077568772380962</v>
      </c>
      <c r="F84" s="13">
        <f>IFERROR(F63+F65+F66+F67+F68+F69+F71+F72+F74+F75+F76+F77+F78+F79+F80+F82+F83, "NA")</f>
        <v>7453.94</v>
      </c>
      <c r="G84" s="14">
        <f>IFERROR(F84/F148, "NA")</f>
        <v>0.23239378436713648</v>
      </c>
      <c r="H84" s="13">
        <f>IFERROR(H63+H65+H66+H67+H68+H69+H71+H72+H74+H75+H76+H77+H78+H79+H80+H82+H83, "NA")</f>
        <v>6627.8</v>
      </c>
      <c r="I84" s="14">
        <f>IFERROR(H84/H148, "NA")</f>
        <v>0.2518117084579829</v>
      </c>
      <c r="J84" s="13">
        <f>IFERROR(J63+J65+J66+J67+J68+J69+J71+J72+J74+J75+J76+J77+J78+J79+J80+J82+J83, "NA")</f>
        <v>8192.42</v>
      </c>
      <c r="K84" s="14">
        <f>IFERROR(J84/J148, "NA")</f>
        <v>0.33100232158426912</v>
      </c>
      <c r="L84" s="13">
        <f>IFERROR(L63+L65+L66+L67+L68+L69+L71+L72+L74+L75+L76+L77+L78+L79+L80+L82+L83, "NA")</f>
        <v>7858.31</v>
      </c>
      <c r="M84" s="14">
        <f>IFERROR(L84/L148, "NA")</f>
        <v>0.29684558292461072</v>
      </c>
      <c r="N84" s="13">
        <f>IFERROR(N63+N65+N66+N67+N68+N69+N71+N72+N74+N75+N76+N77+N78+N79+N80+N82+N83, "NA")</f>
        <v>7415.77</v>
      </c>
      <c r="O84" s="14">
        <f>IFERROR(N84/N148, "NA")</f>
        <v>0.29810067480734004</v>
      </c>
      <c r="P84" s="13">
        <f>IFERROR(P63+P65+P66+P67+P68+P69+P71+P72+P74+P75+P76+P77+P78+P79+P80+P82+P83, "NA")</f>
        <v>7852.08</v>
      </c>
      <c r="Q84" s="14">
        <f>IFERROR(P84/P148, "NA")</f>
        <v>0.25705645854319353</v>
      </c>
      <c r="R84" s="13">
        <f>IFERROR(R63+R65+R66+R67+R68+R69+R71+R72+R74+R75+R76+R77+R78+R79+R80+R82+R83, "NA")</f>
        <v>8635.34</v>
      </c>
      <c r="S84" s="14">
        <f>IFERROR(R84/R148, "NA")</f>
        <v>0.25526577634100156</v>
      </c>
      <c r="T84" s="13">
        <f>IFERROR(T63+T65+T66+T67+T68+T69+T71+T72+T74+T75+T76+T77+T78+T79+T80+T82+T83, "NA")</f>
        <v>7008.24</v>
      </c>
      <c r="U84" s="14">
        <f>IFERROR(T84/T148, "NA")</f>
        <v>0.28158920483105027</v>
      </c>
      <c r="V84" s="13">
        <f>IFERROR(V63+V65+V66+V67+V68+V69+V71+V72+V74+V75+V76+V77+V78+V79+V80+V82+V83, "NA")</f>
        <v>9526.7999999999993</v>
      </c>
      <c r="W84" s="14">
        <f>IFERROR(V84/V148, "NA")</f>
        <v>0.30414177192559588</v>
      </c>
      <c r="X84" s="13">
        <f>IFERROR(X63+X65+X66+X67+X68+X69+X71+X72+X74+X75+X76+X77+X78+X79+X80+X82+X83, "NA")</f>
        <v>9601.5</v>
      </c>
      <c r="Y84" s="14">
        <f>IFERROR(X84/X148, "NA")</f>
        <v>0.31800101346987575</v>
      </c>
      <c r="Z84" s="13">
        <f>IFERROR(Z63+Z65+Z66+Z67+Z68+Z69+Z71+Z72+Z74+Z75+Z76+Z77+Z78+Z79+Z80+Z82+Z83, "NA")</f>
        <v>26136.539999999997</v>
      </c>
      <c r="AA84" s="14">
        <f>IFERROR(Z84/Z148, "NA")</f>
        <v>0.3024886748478271</v>
      </c>
      <c r="AB84" s="13">
        <f t="shared" si="30"/>
        <v>8692.9699999999993</v>
      </c>
      <c r="AC84" s="14">
        <f>IFERROR(AB84/AB148, "NA")</f>
        <v>0.28920210815856834</v>
      </c>
      <c r="AD84" s="15">
        <f t="shared" si="31"/>
        <v>908.53000000000065</v>
      </c>
      <c r="AE84" s="16">
        <f>IFERROR(AD84/AD148, "NA")</f>
        <v>6.7378374369623231</v>
      </c>
      <c r="AF84" s="15">
        <f t="shared" si="32"/>
        <v>0.10451318709255879</v>
      </c>
      <c r="AG84" s="13">
        <f t="shared" si="33"/>
        <v>8261.307499999999</v>
      </c>
      <c r="AH84" s="14">
        <f>IFERROR(AG84/AG148, "NA")</f>
        <v>0.2913017009538445</v>
      </c>
      <c r="AI84" s="15">
        <f t="shared" si="34"/>
        <v>1340.192500000001</v>
      </c>
      <c r="AJ84" s="16">
        <f>IFERROR(AI84/AI148, "NA")</f>
        <v>0.73101542002803477</v>
      </c>
      <c r="AK84" s="15">
        <f t="shared" si="35"/>
        <v>0.16222522887569565</v>
      </c>
      <c r="AL84" s="16">
        <f>IFERROR(AK84/AK148, "NA")</f>
        <v>2.5094787213201375</v>
      </c>
    </row>
    <row r="85" spans="1:38" ht="16.5" customHeight="1" x14ac:dyDescent="0.3">
      <c r="A85" s="12" t="s">
        <v>96</v>
      </c>
      <c r="B85" s="28">
        <f>IFERROR(B63+B65+B66+B67+B68+B69+B71+B72+B74+B75+B76+B77+B78+B79+B80+B82+B83, "NA")</f>
        <v>7954.06</v>
      </c>
      <c r="C85" s="29">
        <f>IFERROR(B85/B148, "NA")</f>
        <v>0.27787856651515169</v>
      </c>
      <c r="D85" s="28">
        <f>IFERROR(D63+D65+D66+D67+D68+D69+D71+D72+D74+D75+D76+D77+D78+D79+D80+D82+D83, "NA")</f>
        <v>8171.6900000000005</v>
      </c>
      <c r="E85" s="29">
        <f>IFERROR(D85/D148, "NA")</f>
        <v>0.28077568772380962</v>
      </c>
      <c r="F85" s="28">
        <f>IFERROR(F63+F65+F66+F67+F68+F69+F71+F72+F74+F75+F76+F77+F78+F79+F80+F82+F83, "NA")</f>
        <v>7453.94</v>
      </c>
      <c r="G85" s="29">
        <f>IFERROR(F85/F148, "NA")</f>
        <v>0.23239378436713648</v>
      </c>
      <c r="H85" s="28">
        <f>IFERROR(H63+H65+H66+H67+H68+H69+H71+H72+H74+H75+H76+H77+H78+H79+H80+H82+H83, "NA")</f>
        <v>6627.8</v>
      </c>
      <c r="I85" s="29">
        <f>IFERROR(H85/H148, "NA")</f>
        <v>0.2518117084579829</v>
      </c>
      <c r="J85" s="28">
        <f>IFERROR(J63+J65+J66+J67+J68+J69+J71+J72+J74+J75+J76+J77+J78+J79+J80+J82+J83, "NA")</f>
        <v>8192.42</v>
      </c>
      <c r="K85" s="29">
        <f>IFERROR(J85/J148, "NA")</f>
        <v>0.33100232158426912</v>
      </c>
      <c r="L85" s="28">
        <f>IFERROR(L63+L65+L66+L67+L68+L69+L71+L72+L74+L75+L76+L77+L78+L79+L80+L82+L83, "NA")</f>
        <v>7858.31</v>
      </c>
      <c r="M85" s="29">
        <f>IFERROR(L85/L148, "NA")</f>
        <v>0.29684558292461072</v>
      </c>
      <c r="N85" s="28">
        <f>IFERROR(N63+N65+N66+N67+N68+N69+N71+N72+N74+N75+N76+N77+N78+N79+N80+N82+N83, "NA")</f>
        <v>7415.77</v>
      </c>
      <c r="O85" s="29">
        <f>IFERROR(N85/N148, "NA")</f>
        <v>0.29810067480734004</v>
      </c>
      <c r="P85" s="28">
        <f>IFERROR(P63+P65+P66+P67+P68+P69+P71+P72+P74+P75+P76+P77+P78+P79+P80+P82+P83, "NA")</f>
        <v>7852.08</v>
      </c>
      <c r="Q85" s="29">
        <f>IFERROR(P85/P148, "NA")</f>
        <v>0.25705645854319353</v>
      </c>
      <c r="R85" s="28">
        <f>IFERROR(R63+R65+R66+R67+R68+R69+R71+R72+R74+R75+R76+R77+R78+R79+R80+R82+R83, "NA")</f>
        <v>8635.34</v>
      </c>
      <c r="S85" s="29">
        <f>IFERROR(R85/R148, "NA")</f>
        <v>0.25526577634100156</v>
      </c>
      <c r="T85" s="28">
        <f>IFERROR(T63+T65+T66+T67+T68+T69+T71+T72+T74+T75+T76+T77+T78+T79+T80+T82+T83, "NA")</f>
        <v>7008.24</v>
      </c>
      <c r="U85" s="29">
        <f>IFERROR(T85/T148, "NA")</f>
        <v>0.28158920483105027</v>
      </c>
      <c r="V85" s="28">
        <f>IFERROR(V63+V65+V66+V67+V68+V69+V71+V72+V74+V75+V76+V77+V78+V79+V80+V82+V83, "NA")</f>
        <v>9526.7999999999993</v>
      </c>
      <c r="W85" s="29">
        <f>IFERROR(V85/V148, "NA")</f>
        <v>0.30414177192559588</v>
      </c>
      <c r="X85" s="28">
        <f>IFERROR(X63+X65+X66+X67+X68+X69+X71+X72+X74+X75+X76+X77+X78+X79+X80+X82+X83, "NA")</f>
        <v>9601.5</v>
      </c>
      <c r="Y85" s="29">
        <f>IFERROR(X85/X148, "NA")</f>
        <v>0.31800101346987575</v>
      </c>
      <c r="Z85" s="28">
        <f>IFERROR(Z63+Z65+Z66+Z67+Z68+Z69+Z71+Z72+Z74+Z75+Z76+Z77+Z78+Z79+Z80+Z82+Z83, "NA")</f>
        <v>26136.539999999997</v>
      </c>
      <c r="AA85" s="29">
        <f>IFERROR(Z85/Z148, "NA")</f>
        <v>0.3024886748478271</v>
      </c>
      <c r="AB85" s="28">
        <f t="shared" si="30"/>
        <v>8692.9699999999993</v>
      </c>
      <c r="AC85" s="29">
        <f>IFERROR(AB85/AB148, "NA")</f>
        <v>0.28920210815856834</v>
      </c>
      <c r="AD85" s="30">
        <f t="shared" si="31"/>
        <v>908.53000000000065</v>
      </c>
      <c r="AE85" s="31">
        <f>IFERROR(AD85/AD148, "NA")</f>
        <v>6.7378374369623231</v>
      </c>
      <c r="AF85" s="30">
        <f t="shared" si="32"/>
        <v>0.10451318709255879</v>
      </c>
      <c r="AG85" s="28">
        <f t="shared" si="33"/>
        <v>8261.307499999999</v>
      </c>
      <c r="AH85" s="29">
        <f>IFERROR(AG85/AG148, "NA")</f>
        <v>0.2913017009538445</v>
      </c>
      <c r="AI85" s="30">
        <f t="shared" si="34"/>
        <v>1340.192500000001</v>
      </c>
      <c r="AJ85" s="31">
        <f>IFERROR(AI85/AI148, "NA")</f>
        <v>0.73101542002803477</v>
      </c>
      <c r="AK85" s="30">
        <f t="shared" si="35"/>
        <v>0.16222522887569565</v>
      </c>
      <c r="AL85" s="31">
        <f>IFERROR(AK85/AK148, "NA")</f>
        <v>2.5094787213201375</v>
      </c>
    </row>
    <row r="86" spans="1:38" ht="3.75" customHeight="1" x14ac:dyDescent="0.3">
      <c r="A86" s="35" t="s">
        <v>3</v>
      </c>
      <c r="B86" s="36"/>
      <c r="C86" s="19"/>
      <c r="D86" s="36"/>
      <c r="E86" s="19"/>
      <c r="F86" s="36"/>
      <c r="G86" s="19"/>
      <c r="H86" s="36"/>
      <c r="I86" s="19"/>
      <c r="J86" s="36"/>
      <c r="K86" s="19"/>
      <c r="L86" s="36"/>
      <c r="M86" s="19"/>
      <c r="N86" s="36"/>
      <c r="O86" s="19"/>
      <c r="P86" s="36"/>
      <c r="Q86" s="19"/>
      <c r="R86" s="36"/>
      <c r="S86" s="19"/>
      <c r="T86" s="36"/>
      <c r="U86" s="19"/>
      <c r="V86" s="36"/>
      <c r="W86" s="19"/>
      <c r="X86" s="36"/>
      <c r="Y86" s="19"/>
      <c r="Z86" s="36"/>
      <c r="AA86" s="19"/>
      <c r="AB86" s="36"/>
      <c r="AC86" s="19"/>
      <c r="AD86" s="37"/>
      <c r="AE86" s="21"/>
      <c r="AF86" s="37"/>
      <c r="AG86" s="36"/>
      <c r="AH86" s="19"/>
      <c r="AI86" s="37"/>
      <c r="AJ86" s="21"/>
      <c r="AK86" s="37"/>
      <c r="AL86" s="21"/>
    </row>
    <row r="87" spans="1:38" ht="16.5" customHeight="1" x14ac:dyDescent="0.3">
      <c r="A87" s="32" t="s">
        <v>97</v>
      </c>
      <c r="B87" s="33">
        <f>IFERROR(B59-B85, "NA")</f>
        <v>12573.329999999998</v>
      </c>
      <c r="C87" s="34">
        <f>IFERROR(B87/B148, "NA")</f>
        <v>0.43925478519422179</v>
      </c>
      <c r="D87" s="33">
        <f>IFERROR(D59-D85, "NA")</f>
        <v>13070.17</v>
      </c>
      <c r="E87" s="34">
        <f>IFERROR(D87/D148, "NA")</f>
        <v>0.44908531410480629</v>
      </c>
      <c r="F87" s="33">
        <f>IFERROR(F59-F85, "NA")</f>
        <v>15573.409999999993</v>
      </c>
      <c r="G87" s="34">
        <f>IFERROR(F87/F148, "NA")</f>
        <v>0.48553700263229987</v>
      </c>
      <c r="H87" s="33">
        <f>IFERROR(H59-H85, "NA")</f>
        <v>12000.499999999996</v>
      </c>
      <c r="I87" s="34">
        <f>IFERROR(H87/H148, "NA")</f>
        <v>0.45593808010954201</v>
      </c>
      <c r="J87" s="33">
        <f>IFERROR(J59-J85, "NA")</f>
        <v>9461.1800000000021</v>
      </c>
      <c r="K87" s="34">
        <f>IFERROR(J87/J148, "NA")</f>
        <v>0.38226464767756735</v>
      </c>
      <c r="L87" s="33">
        <f>IFERROR(L59-L85, "NA")</f>
        <v>11040.060000000001</v>
      </c>
      <c r="M87" s="34">
        <f>IFERROR(L87/L148, "NA")</f>
        <v>0.41703534808663412</v>
      </c>
      <c r="N87" s="33">
        <f>IFERROR(N59-N85, "NA")</f>
        <v>10396.950000000001</v>
      </c>
      <c r="O87" s="34">
        <f>IFERROR(N87/N148, "NA")</f>
        <v>0.41793877249944028</v>
      </c>
      <c r="P87" s="33">
        <f>IFERROR(P59-P85, "NA")</f>
        <v>14148.840000000002</v>
      </c>
      <c r="Q87" s="34">
        <f>IFERROR(P87/P148, "NA")</f>
        <v>0.46319582873509679</v>
      </c>
      <c r="R87" s="33">
        <f>IFERROR(R59-R85, "NA")</f>
        <v>16384.839999999993</v>
      </c>
      <c r="S87" s="34">
        <f>IFERROR(R87/R148, "NA")</f>
        <v>0.48434559644705294</v>
      </c>
      <c r="T87" s="33">
        <f>IFERROR(T59-T85, "NA")</f>
        <v>10407.219999999999</v>
      </c>
      <c r="U87" s="34">
        <f>IFERROR(T87/T148, "NA")</f>
        <v>0.41815931022650521</v>
      </c>
      <c r="V87" s="33">
        <f>IFERROR(V59-V85, "NA")</f>
        <v>12701.190000000013</v>
      </c>
      <c r="W87" s="34">
        <f>IFERROR(V87/V148, "NA")</f>
        <v>0.40548373348487043</v>
      </c>
      <c r="X87" s="33">
        <f>IFERROR(X59-X85, "NA")</f>
        <v>13705.009999999995</v>
      </c>
      <c r="Y87" s="34">
        <f>IFERROR(X87/X148, "NA")</f>
        <v>0.45390897980677819</v>
      </c>
      <c r="Z87" s="33">
        <f>IFERROR(Z59-Z85, "NA")</f>
        <v>36813.420000000027</v>
      </c>
      <c r="AA87" s="34">
        <f>IFERROR(Z87/Z148, "NA")</f>
        <v>0.42605649532862822</v>
      </c>
      <c r="AB87" s="33">
        <f>IFERROR((R87+T87+V87+X87)/4, "NA")</f>
        <v>13299.564999999999</v>
      </c>
      <c r="AC87" s="34">
        <f>IFERROR(AB87/AB148, "NA")</f>
        <v>0.44245663284146958</v>
      </c>
      <c r="AD87" s="15">
        <f>IFERROR(X87-AB87, "NA")</f>
        <v>405.44499999999607</v>
      </c>
      <c r="AE87" s="16">
        <f>IFERROR(AD87/AD148, "NA")</f>
        <v>3.0068599822010951</v>
      </c>
      <c r="AF87" s="15">
        <f>IFERROR((X87-AB87)/AB87, "NA")</f>
        <v>3.0485583551040661E-2</v>
      </c>
      <c r="AG87" s="33">
        <f>IFERROR((J87+L87+N87+P87+R87+T87+V87+X87)/8, "NA")</f>
        <v>12280.661250000001</v>
      </c>
      <c r="AH87" s="34">
        <f>IFERROR(AG87/AG148, "NA")</f>
        <v>0.43302800567137423</v>
      </c>
      <c r="AI87" s="15">
        <f>IFERROR(X87-AG87, "NA")</f>
        <v>1424.3487499999937</v>
      </c>
      <c r="AJ87" s="16">
        <f>IFERROR(AI87/AI148, "NA")</f>
        <v>0.77691891257983536</v>
      </c>
      <c r="AK87" s="15">
        <f>IFERROR((X87-AG87)/AG87, "NA")</f>
        <v>0.11598306646557763</v>
      </c>
      <c r="AL87" s="16">
        <f>IFERROR(AK87/AK148, "NA")</f>
        <v>1.7941539632645389</v>
      </c>
    </row>
    <row r="88" spans="1:38" ht="3.75" customHeight="1" x14ac:dyDescent="0.3">
      <c r="A88" s="35" t="s">
        <v>3</v>
      </c>
      <c r="B88" s="36"/>
      <c r="C88" s="19"/>
      <c r="D88" s="36"/>
      <c r="E88" s="19"/>
      <c r="F88" s="36"/>
      <c r="G88" s="19"/>
      <c r="H88" s="36"/>
      <c r="I88" s="19"/>
      <c r="J88" s="36"/>
      <c r="K88" s="19"/>
      <c r="L88" s="36"/>
      <c r="M88" s="19"/>
      <c r="N88" s="36"/>
      <c r="O88" s="19"/>
      <c r="P88" s="36"/>
      <c r="Q88" s="19"/>
      <c r="R88" s="36"/>
      <c r="S88" s="19"/>
      <c r="T88" s="36"/>
      <c r="U88" s="19"/>
      <c r="V88" s="36"/>
      <c r="W88" s="19"/>
      <c r="X88" s="36"/>
      <c r="Y88" s="19"/>
      <c r="Z88" s="36"/>
      <c r="AA88" s="19"/>
      <c r="AB88" s="36"/>
      <c r="AC88" s="19"/>
      <c r="AD88" s="37"/>
      <c r="AE88" s="21"/>
      <c r="AF88" s="37"/>
      <c r="AG88" s="36"/>
      <c r="AH88" s="19"/>
      <c r="AI88" s="37"/>
      <c r="AJ88" s="21"/>
      <c r="AK88" s="37"/>
      <c r="AL88" s="21"/>
    </row>
    <row r="89" spans="1:38" ht="16.5" hidden="1" customHeight="1" x14ac:dyDescent="0.3">
      <c r="A89" s="1" t="s">
        <v>98</v>
      </c>
      <c r="B89" s="2"/>
      <c r="C89" s="3"/>
      <c r="D89" s="2"/>
      <c r="E89" s="3"/>
      <c r="F89" s="2"/>
      <c r="G89" s="3"/>
      <c r="H89" s="2"/>
      <c r="I89" s="3"/>
      <c r="J89" s="2"/>
      <c r="K89" s="3"/>
      <c r="L89" s="2"/>
      <c r="M89" s="3"/>
      <c r="N89" s="2"/>
      <c r="O89" s="3"/>
      <c r="P89" s="2"/>
      <c r="Q89" s="3"/>
      <c r="R89" s="2"/>
      <c r="S89" s="3"/>
      <c r="T89" s="2"/>
      <c r="U89" s="3"/>
      <c r="V89" s="2"/>
      <c r="W89" s="3"/>
      <c r="X89" s="2"/>
      <c r="Y89" s="3"/>
      <c r="Z89" s="2"/>
      <c r="AA89" s="3"/>
      <c r="AB89" s="2"/>
      <c r="AC89" s="3"/>
      <c r="AD89" s="4"/>
      <c r="AE89" s="5"/>
      <c r="AF89" s="4"/>
      <c r="AG89" s="2"/>
      <c r="AH89" s="3"/>
      <c r="AI89" s="4"/>
      <c r="AJ89" s="5"/>
      <c r="AK89" s="4"/>
      <c r="AL89" s="5"/>
    </row>
    <row r="90" spans="1:38" ht="16.5" hidden="1" customHeight="1" x14ac:dyDescent="0.3">
      <c r="A90" s="6" t="s">
        <v>99</v>
      </c>
      <c r="B90" s="7">
        <v>783.54</v>
      </c>
      <c r="C90" s="8">
        <f>IFERROR(B90/B148, "NA")</f>
        <v>2.7373312749373518E-2</v>
      </c>
      <c r="D90" s="7">
        <v>431.68000000000006</v>
      </c>
      <c r="E90" s="8">
        <f>IFERROR(D90/D148, "NA")</f>
        <v>1.4832335646189973E-2</v>
      </c>
      <c r="F90" s="7">
        <v>535.16000000000008</v>
      </c>
      <c r="G90" s="8">
        <f>IFERROR(F90/F148, "NA")</f>
        <v>1.6684848233540488E-2</v>
      </c>
      <c r="H90" s="7">
        <v>731.67000000000007</v>
      </c>
      <c r="I90" s="8">
        <f>IFERROR(H90/H148, "NA")</f>
        <v>2.7798526317549165E-2</v>
      </c>
      <c r="J90" s="7">
        <v>436.97999999999996</v>
      </c>
      <c r="K90" s="8">
        <f>IFERROR(J90/J148, "NA")</f>
        <v>1.7655515035349009E-2</v>
      </c>
      <c r="L90" s="7">
        <v>85.36</v>
      </c>
      <c r="M90" s="8">
        <f>IFERROR(L90/L148, "NA")</f>
        <v>3.2244514352888559E-3</v>
      </c>
      <c r="N90" s="7">
        <v>415.53999999999996</v>
      </c>
      <c r="O90" s="8">
        <f>IFERROR(N90/N148, "NA")</f>
        <v>1.6703963905223877E-2</v>
      </c>
      <c r="P90" s="7">
        <v>659.28</v>
      </c>
      <c r="Q90" s="8">
        <f>IFERROR(P90/P148, "NA")</f>
        <v>2.1583094159554745E-2</v>
      </c>
      <c r="R90" s="7">
        <v>579.51999999999987</v>
      </c>
      <c r="S90" s="8">
        <f>IFERROR(R90/R148, "NA")</f>
        <v>1.7130955203285243E-2</v>
      </c>
      <c r="T90" s="7">
        <v>686.5200000000001</v>
      </c>
      <c r="U90" s="8">
        <f>IFERROR(T90/T148, "NA")</f>
        <v>2.7584189596904882E-2</v>
      </c>
      <c r="V90" s="7">
        <v>492.03999999999996</v>
      </c>
      <c r="W90" s="8">
        <f>IFERROR(V90/V148, "NA")</f>
        <v>1.5708308924116201E-2</v>
      </c>
      <c r="X90" s="7">
        <v>388.83</v>
      </c>
      <c r="Y90" s="8">
        <f>IFERROR(X90/X148, "NA")</f>
        <v>1.2878022607664614E-2</v>
      </c>
      <c r="Z90" s="7">
        <v>1567.3900000000003</v>
      </c>
      <c r="AA90" s="8">
        <f>IFERROR(Z90/Z148, "NA")</f>
        <v>1.8140033993395293E-2</v>
      </c>
      <c r="AB90" s="9">
        <f t="shared" ref="AB90:AB99" si="36">IFERROR((R90+T90+V90+X90)/4, "NA")</f>
        <v>536.72749999999996</v>
      </c>
      <c r="AC90" s="8">
        <f>IFERROR(AB90/AB148, "NA")</f>
        <v>1.7856121038802387E-2</v>
      </c>
      <c r="AD90" s="10">
        <f t="shared" ref="AD90:AD99" si="37">IFERROR(X90-AB90, "NA")</f>
        <v>-147.89749999999998</v>
      </c>
      <c r="AE90" s="11">
        <f>IFERROR(AD90/AD148, "NA")</f>
        <v>-1.0968369919905059</v>
      </c>
      <c r="AF90" s="10">
        <f t="shared" ref="AF90:AF99" si="38">IFERROR((X90-AB90)/AB90, "NA")</f>
        <v>-0.27555416854921722</v>
      </c>
      <c r="AG90" s="9">
        <f t="shared" ref="AG90:AG99" si="39">IFERROR((J90+L90+N90+P90+R90+T90+V90+X90)/8, "NA")</f>
        <v>468.00874999999996</v>
      </c>
      <c r="AH90" s="8">
        <f>IFERROR(AG90/AG148, "NA")</f>
        <v>1.6502441645742223E-2</v>
      </c>
      <c r="AI90" s="10">
        <f t="shared" ref="AI90:AI99" si="40">IFERROR(X90-AG90, "NA")</f>
        <v>-79.17874999999998</v>
      </c>
      <c r="AJ90" s="11">
        <f>IFERROR(AI90/AI148, "NA")</f>
        <v>-4.3188487615431891E-2</v>
      </c>
      <c r="AK90" s="10">
        <f t="shared" ref="AK90:AK99" si="41">IFERROR((X90-AG90)/AG90, "NA")</f>
        <v>-0.16918220011912166</v>
      </c>
      <c r="AL90" s="11">
        <f>IFERROR(AK90/AK148, "NA")</f>
        <v>-2.6170968237645549</v>
      </c>
    </row>
    <row r="91" spans="1:38" ht="16.5" hidden="1" customHeight="1" x14ac:dyDescent="0.3">
      <c r="A91" s="6" t="s">
        <v>100</v>
      </c>
      <c r="B91" s="7">
        <v>914.64</v>
      </c>
      <c r="C91" s="8">
        <f>IFERROR(B91/B148, "NA")</f>
        <v>3.1953348614093727E-2</v>
      </c>
      <c r="D91" s="7">
        <v>642.82999999999993</v>
      </c>
      <c r="E91" s="8">
        <f>IFERROR(D91/D148, "NA")</f>
        <v>2.2087357124352062E-2</v>
      </c>
      <c r="F91" s="7">
        <v>588.23</v>
      </c>
      <c r="G91" s="8">
        <f>IFERROR(F91/F148, "NA")</f>
        <v>1.8339427977456312E-2</v>
      </c>
      <c r="H91" s="7">
        <v>700.94</v>
      </c>
      <c r="I91" s="8">
        <f>IFERROR(H91/H148, "NA")</f>
        <v>2.6630993531268073E-2</v>
      </c>
      <c r="J91" s="7">
        <v>357.08</v>
      </c>
      <c r="K91" s="8">
        <f>IFERROR(J91/J148, "NA")</f>
        <v>1.4427276554584704E-2</v>
      </c>
      <c r="L91" s="7">
        <v>234.64</v>
      </c>
      <c r="M91" s="8">
        <f>IFERROR(L91/L148, "NA")</f>
        <v>8.8634639734791135E-3</v>
      </c>
      <c r="N91" s="7">
        <v>224.47</v>
      </c>
      <c r="O91" s="8">
        <f>IFERROR(N91/N148, "NA")</f>
        <v>9.0232920484324113E-3</v>
      </c>
      <c r="P91" s="7">
        <v>1465.79</v>
      </c>
      <c r="Q91" s="8">
        <f>IFERROR(P91/P148, "NA")</f>
        <v>4.7986111497593964E-2</v>
      </c>
      <c r="R91" s="7">
        <v>2319.98</v>
      </c>
      <c r="S91" s="8">
        <f>IFERROR(R91/R148, "NA")</f>
        <v>6.8579985940981691E-2</v>
      </c>
      <c r="T91" s="7">
        <v>1871.9</v>
      </c>
      <c r="U91" s="8">
        <f>IFERROR(T91/T148, "NA")</f>
        <v>7.5212440287895824E-2</v>
      </c>
      <c r="V91" s="7">
        <v>2098.5099999999998</v>
      </c>
      <c r="W91" s="8">
        <f>IFERROR(V91/V148, "NA")</f>
        <v>6.6994641411972769E-2</v>
      </c>
      <c r="X91" s="7">
        <v>2348.48</v>
      </c>
      <c r="Y91" s="8">
        <f>IFERROR(X91/X148, "NA")</f>
        <v>7.7781494569987383E-2</v>
      </c>
      <c r="Z91" s="7">
        <v>6318.8899999999994</v>
      </c>
      <c r="AA91" s="8">
        <f>IFERROR(Z91/Z148, "NA")</f>
        <v>7.3131051876384023E-2</v>
      </c>
      <c r="AB91" s="9">
        <f t="shared" si="36"/>
        <v>2159.7174999999997</v>
      </c>
      <c r="AC91" s="8">
        <f>IFERROR(AB91/AB148, "NA")</f>
        <v>7.1850570521576951E-2</v>
      </c>
      <c r="AD91" s="10">
        <f t="shared" si="37"/>
        <v>188.76250000000027</v>
      </c>
      <c r="AE91" s="11">
        <f>IFERROR(AD91/AD148, "NA")</f>
        <v>1.399899881340849</v>
      </c>
      <c r="AF91" s="10">
        <f t="shared" si="38"/>
        <v>8.7401477276542086E-2</v>
      </c>
      <c r="AG91" s="9">
        <f t="shared" si="39"/>
        <v>1365.10625</v>
      </c>
      <c r="AH91" s="8">
        <f>IFERROR(AG91/AG148, "NA")</f>
        <v>4.8134968055325883E-2</v>
      </c>
      <c r="AI91" s="10">
        <f t="shared" si="40"/>
        <v>983.37374999999997</v>
      </c>
      <c r="AJ91" s="11">
        <f>IFERROR(AI91/AI148, "NA")</f>
        <v>0.53638665706664768</v>
      </c>
      <c r="AK91" s="10">
        <f t="shared" si="41"/>
        <v>0.72036425736091969</v>
      </c>
      <c r="AL91" s="11">
        <f>IFERROR(AK91/AK148, "NA")</f>
        <v>11.143388657703685</v>
      </c>
    </row>
    <row r="92" spans="1:38" ht="16.5" hidden="1" customHeight="1" x14ac:dyDescent="0.3">
      <c r="A92" s="6" t="s">
        <v>101</v>
      </c>
      <c r="B92" s="7">
        <v>288.20000000000005</v>
      </c>
      <c r="C92" s="8">
        <f>IFERROR(B92/B148, "NA")</f>
        <v>1.0068393106120236E-2</v>
      </c>
      <c r="D92" s="7">
        <v>186.49</v>
      </c>
      <c r="E92" s="8">
        <f>IFERROR(D92/D148, "NA")</f>
        <v>6.4077146836961823E-3</v>
      </c>
      <c r="F92" s="7">
        <v>385.47999999999996</v>
      </c>
      <c r="G92" s="8">
        <f>IFERROR(F92/F148, "NA")</f>
        <v>1.2018228748533496E-2</v>
      </c>
      <c r="H92" s="7">
        <v>338.45000000000005</v>
      </c>
      <c r="I92" s="8">
        <f>IFERROR(H92/H148, "NA")</f>
        <v>1.2858817817013838E-2</v>
      </c>
      <c r="J92" s="7">
        <v>195.26000000000002</v>
      </c>
      <c r="K92" s="8">
        <f>IFERROR(J92/J148, "NA")</f>
        <v>7.8891845526162484E-3</v>
      </c>
      <c r="L92" s="7">
        <v>161.82</v>
      </c>
      <c r="M92" s="8">
        <f>IFERROR(L92/L148, "NA")</f>
        <v>6.1127077232713519E-3</v>
      </c>
      <c r="N92" s="7">
        <v>103.74</v>
      </c>
      <c r="O92" s="8">
        <f>IFERROR(N92/N148, "NA")</f>
        <v>4.1701622359530373E-3</v>
      </c>
      <c r="P92" s="7">
        <v>471.99</v>
      </c>
      <c r="Q92" s="8">
        <f>IFERROR(P92/P148, "NA")</f>
        <v>1.5451711886252039E-2</v>
      </c>
      <c r="R92" s="7">
        <v>346.53</v>
      </c>
      <c r="S92" s="8">
        <f>IFERROR(R92/R148, "NA")</f>
        <v>1.0243632500335512E-2</v>
      </c>
      <c r="T92" s="7">
        <v>223.78</v>
      </c>
      <c r="U92" s="8">
        <f>IFERROR(T92/T148, "NA")</f>
        <v>8.9914204218309347E-3</v>
      </c>
      <c r="V92" s="7">
        <v>396.28</v>
      </c>
      <c r="W92" s="8">
        <f>IFERROR(V92/V148, "NA")</f>
        <v>1.2651184172930589E-2</v>
      </c>
      <c r="X92" s="7">
        <v>326.48</v>
      </c>
      <c r="Y92" s="8">
        <f>IFERROR(X92/X148, "NA")</f>
        <v>1.0812994935962616E-2</v>
      </c>
      <c r="Z92" s="7">
        <v>946.54</v>
      </c>
      <c r="AA92" s="8">
        <f>IFERROR(Z92/Z148, "NA")</f>
        <v>1.0954687586438843E-2</v>
      </c>
      <c r="AB92" s="9">
        <f t="shared" si="36"/>
        <v>323.26749999999998</v>
      </c>
      <c r="AC92" s="8">
        <f>IFERROR(AB92/AB148, "NA")</f>
        <v>1.0754626151838783E-2</v>
      </c>
      <c r="AD92" s="10">
        <f t="shared" si="37"/>
        <v>3.2125000000000341</v>
      </c>
      <c r="AE92" s="11">
        <f>IFERROR(AD92/AD148, "NA")</f>
        <v>2.3824532779590853E-2</v>
      </c>
      <c r="AF92" s="10">
        <f t="shared" si="38"/>
        <v>9.9375903856714146E-3</v>
      </c>
      <c r="AG92" s="9">
        <f t="shared" si="39"/>
        <v>278.23500000000001</v>
      </c>
      <c r="AH92" s="8">
        <f>IFERROR(AG92/AG148, "NA")</f>
        <v>9.8108354839585542E-3</v>
      </c>
      <c r="AI92" s="10">
        <f t="shared" si="40"/>
        <v>48.245000000000005</v>
      </c>
      <c r="AJ92" s="11">
        <f>IFERROR(AI92/AI148, "NA")</f>
        <v>2.6315502391822457E-2</v>
      </c>
      <c r="AK92" s="10">
        <f t="shared" si="41"/>
        <v>0.17339658921415352</v>
      </c>
      <c r="AL92" s="11">
        <f>IFERROR(AK92/AK148, "NA")</f>
        <v>2.6822896413715487</v>
      </c>
    </row>
    <row r="93" spans="1:38" ht="16.5" hidden="1" customHeight="1" x14ac:dyDescent="0.3">
      <c r="A93" s="6" t="s">
        <v>102</v>
      </c>
      <c r="B93" s="7">
        <v>2024.14</v>
      </c>
      <c r="C93" s="8">
        <f>IFERROR(B93/B148, "NA")</f>
        <v>7.0714216592027104E-2</v>
      </c>
      <c r="D93" s="7">
        <v>2121.5300000000002</v>
      </c>
      <c r="E93" s="8">
        <f>IFERROR(D93/D148, "NA")</f>
        <v>7.2894841186669321E-2</v>
      </c>
      <c r="F93" s="7">
        <v>2613.8300000000004</v>
      </c>
      <c r="G93" s="8">
        <f>IFERROR(F93/F148, "NA")</f>
        <v>8.1492183381185315E-2</v>
      </c>
      <c r="H93" s="7">
        <v>1936.12</v>
      </c>
      <c r="I93" s="8">
        <f>IFERROR(H93/H148, "NA")</f>
        <v>7.3559504659113095E-2</v>
      </c>
      <c r="J93" s="7">
        <v>1667.3</v>
      </c>
      <c r="K93" s="8">
        <f>IFERROR(J93/J148, "NA")</f>
        <v>6.736473115116802E-2</v>
      </c>
      <c r="L93" s="7">
        <v>2111.3000000000002</v>
      </c>
      <c r="M93" s="8">
        <f>IFERROR(L93/L148, "NA")</f>
        <v>7.9753799382911925E-2</v>
      </c>
      <c r="N93" s="7">
        <v>1796.1100000000001</v>
      </c>
      <c r="O93" s="8">
        <f>IFERROR(N93/N148, "NA")</f>
        <v>7.2200405760724992E-2</v>
      </c>
      <c r="P93" s="7">
        <v>2600.67</v>
      </c>
      <c r="Q93" s="8">
        <f>IFERROR(P93/P148, "NA")</f>
        <v>8.5139099453842432E-2</v>
      </c>
      <c r="R93" s="7">
        <v>3687.86</v>
      </c>
      <c r="S93" s="8">
        <f>IFERROR(R93/R148, "NA")</f>
        <v>0.10901533071505302</v>
      </c>
      <c r="T93" s="7">
        <v>2023.51</v>
      </c>
      <c r="U93" s="8">
        <f>IFERROR(T93/T148, "NA")</f>
        <v>8.1304089452940903E-2</v>
      </c>
      <c r="V93" s="7">
        <v>2209.1200000000003</v>
      </c>
      <c r="W93" s="8">
        <f>IFERROR(V93/V148, "NA")</f>
        <v>7.0525850358596015E-2</v>
      </c>
      <c r="X93" s="7">
        <v>2663.27</v>
      </c>
      <c r="Y93" s="8">
        <f>IFERROR(X93/X148, "NA")</f>
        <v>8.8207317517462483E-2</v>
      </c>
      <c r="Z93" s="7">
        <v>6895.9</v>
      </c>
      <c r="AA93" s="8">
        <f>IFERROR(Z93/Z148, "NA")</f>
        <v>7.9809020355530266E-2</v>
      </c>
      <c r="AB93" s="9">
        <f t="shared" si="36"/>
        <v>2645.94</v>
      </c>
      <c r="AC93" s="8">
        <f>IFERROR(AB93/AB148, "NA")</f>
        <v>8.8026465760388264E-2</v>
      </c>
      <c r="AD93" s="10">
        <f t="shared" si="37"/>
        <v>17.329999999999927</v>
      </c>
      <c r="AE93" s="11">
        <f>IFERROR(AD93/AD148, "NA")</f>
        <v>0.12852269356274035</v>
      </c>
      <c r="AF93" s="10">
        <f t="shared" si="38"/>
        <v>6.5496572106699047E-3</v>
      </c>
      <c r="AG93" s="9">
        <f t="shared" si="39"/>
        <v>2344.8925000000004</v>
      </c>
      <c r="AH93" s="8">
        <f>IFERROR(AG93/AG148, "NA")</f>
        <v>8.2683179848215674E-2</v>
      </c>
      <c r="AI93" s="10">
        <f t="shared" si="40"/>
        <v>318.3774999999996</v>
      </c>
      <c r="AJ93" s="11">
        <f>IFERROR(AI93/AI148, "NA")</f>
        <v>0.17366077029230889</v>
      </c>
      <c r="AK93" s="10">
        <f t="shared" si="41"/>
        <v>0.13577488093803855</v>
      </c>
      <c r="AL93" s="11">
        <f>IFERROR(AK93/AK148, "NA")</f>
        <v>2.100315573386315</v>
      </c>
    </row>
    <row r="94" spans="1:38" ht="16.5" hidden="1" customHeight="1" x14ac:dyDescent="0.3">
      <c r="A94" s="6" t="s">
        <v>103</v>
      </c>
      <c r="B94" s="7">
        <v>699.08</v>
      </c>
      <c r="C94" s="8">
        <f>IFERROR(B94/B148, "NA")</f>
        <v>2.442266569266667E-2</v>
      </c>
      <c r="D94" s="7">
        <v>833.84</v>
      </c>
      <c r="E94" s="8">
        <f>IFERROR(D94/D148, "NA")</f>
        <v>2.8650377027471845E-2</v>
      </c>
      <c r="F94" s="7">
        <v>794.83</v>
      </c>
      <c r="G94" s="8">
        <f>IFERROR(F94/F148, "NA")</f>
        <v>2.4780659842785307E-2</v>
      </c>
      <c r="H94" s="7">
        <v>707.74</v>
      </c>
      <c r="I94" s="8">
        <f>IFERROR(H94/H148, "NA")</f>
        <v>2.6889347678574007E-2</v>
      </c>
      <c r="J94" s="7">
        <v>552.91999999999996</v>
      </c>
      <c r="K94" s="8">
        <f>IFERROR(J94/J148, "NA")</f>
        <v>2.2339895128713382E-2</v>
      </c>
      <c r="L94" s="7">
        <v>663.9</v>
      </c>
      <c r="M94" s="8">
        <f>IFERROR(L94/L148, "NA")</f>
        <v>2.5078646999628293E-2</v>
      </c>
      <c r="N94" s="7">
        <v>559.14</v>
      </c>
      <c r="O94" s="8">
        <f>IFERROR(N94/N148, "NA")</f>
        <v>2.2476426765093323E-2</v>
      </c>
      <c r="P94" s="7">
        <v>831.99</v>
      </c>
      <c r="Q94" s="8">
        <f>IFERROR(P94/P148, "NA")</f>
        <v>2.7237165559106831E-2</v>
      </c>
      <c r="R94" s="7">
        <v>824.22</v>
      </c>
      <c r="S94" s="8">
        <f>IFERROR(R94/R148, "NA")</f>
        <v>2.436443245729529E-2</v>
      </c>
      <c r="T94" s="7">
        <v>668.43</v>
      </c>
      <c r="U94" s="8">
        <f>IFERROR(T94/T148, "NA")</f>
        <v>2.68573382454395E-2</v>
      </c>
      <c r="V94" s="7">
        <v>819.72</v>
      </c>
      <c r="W94" s="8">
        <f>IFERROR(V94/V148, "NA")</f>
        <v>2.6169447588156515E-2</v>
      </c>
      <c r="X94" s="7">
        <v>666.96</v>
      </c>
      <c r="Y94" s="8">
        <f>IFERROR(X94/X148, "NA")</f>
        <v>2.2089668900053986E-2</v>
      </c>
      <c r="Z94" s="7">
        <v>2155.11</v>
      </c>
      <c r="AA94" s="8">
        <f>IFERROR(Z94/Z148, "NA")</f>
        <v>2.4941953604084577E-2</v>
      </c>
      <c r="AB94" s="9">
        <f t="shared" si="36"/>
        <v>744.83249999999998</v>
      </c>
      <c r="AC94" s="8">
        <f>IFERROR(AB94/AB148, "NA")</f>
        <v>2.4779463086265895E-2</v>
      </c>
      <c r="AD94" s="10">
        <f t="shared" si="37"/>
        <v>-77.872499999999945</v>
      </c>
      <c r="AE94" s="11">
        <f>IFERROR(AD94/AD148, "NA")</f>
        <v>-0.57751779887273702</v>
      </c>
      <c r="AF94" s="10">
        <f t="shared" si="38"/>
        <v>-0.10455035192476153</v>
      </c>
      <c r="AG94" s="9">
        <f t="shared" si="39"/>
        <v>698.41000000000008</v>
      </c>
      <c r="AH94" s="8">
        <f>IFERROR(AG94/AG148, "NA")</f>
        <v>2.4626612792608745E-2</v>
      </c>
      <c r="AI94" s="10">
        <f t="shared" si="40"/>
        <v>-31.450000000000045</v>
      </c>
      <c r="AJ94" s="11">
        <f>IFERROR(AI94/AI148, "NA")</f>
        <v>-1.7154576644684782E-2</v>
      </c>
      <c r="AK94" s="10">
        <f t="shared" si="41"/>
        <v>-4.5030855801033838E-2</v>
      </c>
      <c r="AL94" s="11">
        <f>IFERROR(AK94/AK148, "NA")</f>
        <v>-0.69658693175349851</v>
      </c>
    </row>
    <row r="95" spans="1:38" ht="16.5" hidden="1" customHeight="1" x14ac:dyDescent="0.3">
      <c r="A95" s="6" t="s">
        <v>104</v>
      </c>
      <c r="B95" s="7">
        <v>0</v>
      </c>
      <c r="C95" s="8">
        <f>IFERROR(B95/B148, "NA")</f>
        <v>0</v>
      </c>
      <c r="D95" s="7">
        <v>0</v>
      </c>
      <c r="E95" s="8">
        <f>IFERROR(D95/D148, "NA")</f>
        <v>0</v>
      </c>
      <c r="F95" s="7">
        <v>0</v>
      </c>
      <c r="G95" s="8">
        <f>IFERROR(F95/F148, "NA")</f>
        <v>0</v>
      </c>
      <c r="H95" s="7">
        <v>1301.1999999999998</v>
      </c>
      <c r="I95" s="8">
        <f>IFERROR(H95/H148, "NA")</f>
        <v>4.943682595213001E-2</v>
      </c>
      <c r="J95" s="7">
        <v>0</v>
      </c>
      <c r="K95" s="8">
        <f>IFERROR(J95/J148, "NA")</f>
        <v>0</v>
      </c>
      <c r="L95" s="7">
        <v>0</v>
      </c>
      <c r="M95" s="8">
        <f>IFERROR(L95/L148, "NA")</f>
        <v>0</v>
      </c>
      <c r="N95" s="7">
        <v>0</v>
      </c>
      <c r="O95" s="8">
        <f>IFERROR(N95/N148, "NA")</f>
        <v>0</v>
      </c>
      <c r="P95" s="7">
        <v>0</v>
      </c>
      <c r="Q95" s="8">
        <f>IFERROR(P95/P148, "NA")</f>
        <v>0</v>
      </c>
      <c r="R95" s="7">
        <v>-236.67999999999998</v>
      </c>
      <c r="S95" s="8">
        <f>IFERROR(R95/R148, "NA")</f>
        <v>-6.9964012933350908E-3</v>
      </c>
      <c r="T95" s="7">
        <v>0</v>
      </c>
      <c r="U95" s="8">
        <f>IFERROR(T95/T148, "NA")</f>
        <v>0</v>
      </c>
      <c r="V95" s="7">
        <v>0</v>
      </c>
      <c r="W95" s="8">
        <f>IFERROR(V95/V148, "NA")</f>
        <v>0</v>
      </c>
      <c r="X95" s="7">
        <v>0</v>
      </c>
      <c r="Y95" s="8">
        <f>IFERROR(X95/X148, "NA")</f>
        <v>0</v>
      </c>
      <c r="Z95" s="7">
        <v>0</v>
      </c>
      <c r="AA95" s="8">
        <f>IFERROR(Z95/Z148, "NA")</f>
        <v>0</v>
      </c>
      <c r="AB95" s="9">
        <f t="shared" si="36"/>
        <v>-59.169999999999995</v>
      </c>
      <c r="AC95" s="8">
        <f>IFERROR(AB95/AB148, "NA")</f>
        <v>-1.9684973880897422E-3</v>
      </c>
      <c r="AD95" s="10">
        <f t="shared" si="37"/>
        <v>59.169999999999995</v>
      </c>
      <c r="AE95" s="11">
        <f>IFERROR(AD95/AD148, "NA")</f>
        <v>0.43881637496291848</v>
      </c>
      <c r="AF95" s="10">
        <f t="shared" si="38"/>
        <v>-1</v>
      </c>
      <c r="AG95" s="9">
        <f t="shared" si="39"/>
        <v>-29.584999999999997</v>
      </c>
      <c r="AH95" s="8">
        <f>IFERROR(AG95/AG148, "NA")</f>
        <v>-1.0431957438600959E-3</v>
      </c>
      <c r="AI95" s="10">
        <f t="shared" si="40"/>
        <v>29.584999999999997</v>
      </c>
      <c r="AJ95" s="11">
        <f>IFERROR(AI95/AI148, "NA")</f>
        <v>1.6137302067821893E-2</v>
      </c>
      <c r="AK95" s="10">
        <f t="shared" si="41"/>
        <v>-1</v>
      </c>
      <c r="AL95" s="11">
        <f>IFERROR(AK95/AK148, "NA")</f>
        <v>-15.469102671095715</v>
      </c>
    </row>
    <row r="96" spans="1:38" ht="16.5" hidden="1" customHeight="1" x14ac:dyDescent="0.3">
      <c r="A96" s="6" t="s">
        <v>105</v>
      </c>
      <c r="B96" s="7">
        <v>0</v>
      </c>
      <c r="C96" s="8">
        <f>IFERROR(B96/B148, "NA")</f>
        <v>0</v>
      </c>
      <c r="D96" s="7">
        <v>0</v>
      </c>
      <c r="E96" s="8">
        <f>IFERROR(D96/D148, "NA")</f>
        <v>0</v>
      </c>
      <c r="F96" s="7">
        <v>0</v>
      </c>
      <c r="G96" s="8">
        <f>IFERROR(F96/F148, "NA")</f>
        <v>0</v>
      </c>
      <c r="H96" s="7">
        <v>0</v>
      </c>
      <c r="I96" s="8">
        <f>IFERROR(H96/H148, "NA")</f>
        <v>0</v>
      </c>
      <c r="J96" s="7">
        <v>0</v>
      </c>
      <c r="K96" s="8">
        <f>IFERROR(J96/J148, "NA")</f>
        <v>0</v>
      </c>
      <c r="L96" s="7">
        <v>0</v>
      </c>
      <c r="M96" s="8">
        <f>IFERROR(L96/L148, "NA")</f>
        <v>0</v>
      </c>
      <c r="N96" s="7">
        <v>0</v>
      </c>
      <c r="O96" s="8">
        <f>IFERROR(N96/N148, "NA")</f>
        <v>0</v>
      </c>
      <c r="P96" s="7">
        <v>0</v>
      </c>
      <c r="Q96" s="8">
        <f>IFERROR(P96/P148, "NA")</f>
        <v>0</v>
      </c>
      <c r="R96" s="7">
        <v>0</v>
      </c>
      <c r="S96" s="8">
        <f>IFERROR(R96/R148, "NA")</f>
        <v>0</v>
      </c>
      <c r="T96" s="7">
        <v>0</v>
      </c>
      <c r="U96" s="8">
        <f>IFERROR(T96/T148, "NA")</f>
        <v>0</v>
      </c>
      <c r="V96" s="7">
        <v>0</v>
      </c>
      <c r="W96" s="8">
        <f>IFERROR(V96/V148, "NA")</f>
        <v>0</v>
      </c>
      <c r="X96" s="7">
        <v>0</v>
      </c>
      <c r="Y96" s="8">
        <f>IFERROR(X96/X148, "NA")</f>
        <v>0</v>
      </c>
      <c r="Z96" s="7">
        <v>0</v>
      </c>
      <c r="AA96" s="8">
        <f>IFERROR(Z96/Z148, "NA")</f>
        <v>0</v>
      </c>
      <c r="AB96" s="9">
        <f t="shared" si="36"/>
        <v>0</v>
      </c>
      <c r="AC96" s="8">
        <f>IFERROR(AB96/AB148, "NA")</f>
        <v>0</v>
      </c>
      <c r="AD96" s="10">
        <f t="shared" si="37"/>
        <v>0</v>
      </c>
      <c r="AE96" s="11">
        <f>IFERROR(AD96/AD148, "NA")</f>
        <v>0</v>
      </c>
      <c r="AF96" s="10" t="str">
        <f t="shared" si="38"/>
        <v>NA</v>
      </c>
      <c r="AG96" s="9">
        <f t="shared" si="39"/>
        <v>0</v>
      </c>
      <c r="AH96" s="8">
        <f>IFERROR(AG96/AG148, "NA")</f>
        <v>0</v>
      </c>
      <c r="AI96" s="10">
        <f t="shared" si="40"/>
        <v>0</v>
      </c>
      <c r="AJ96" s="11">
        <f>IFERROR(AI96/AI148, "NA")</f>
        <v>0</v>
      </c>
      <c r="AK96" s="10" t="str">
        <f t="shared" si="41"/>
        <v>NA</v>
      </c>
      <c r="AL96" s="11" t="str">
        <f>IFERROR(AK96/AK148, "NA")</f>
        <v>NA</v>
      </c>
    </row>
    <row r="97" spans="1:38" ht="16.5" hidden="1" customHeight="1" x14ac:dyDescent="0.3">
      <c r="A97" s="6" t="s">
        <v>106</v>
      </c>
      <c r="B97" s="7">
        <v>0</v>
      </c>
      <c r="C97" s="8">
        <f>IFERROR(B97/B148, "NA")</f>
        <v>0</v>
      </c>
      <c r="D97" s="7">
        <v>0</v>
      </c>
      <c r="E97" s="8">
        <f>IFERROR(D97/D148, "NA")</f>
        <v>0</v>
      </c>
      <c r="F97" s="7">
        <v>252.3</v>
      </c>
      <c r="G97" s="8">
        <f>IFERROR(F97/F148, "NA")</f>
        <v>7.8660348481244206E-3</v>
      </c>
      <c r="H97" s="7">
        <v>158.34</v>
      </c>
      <c r="I97" s="8">
        <f>IFERROR(H97/H148, "NA")</f>
        <v>6.0158523065326373E-3</v>
      </c>
      <c r="J97" s="7">
        <v>941.06</v>
      </c>
      <c r="K97" s="8">
        <f>IFERROR(J97/J148, "NA")</f>
        <v>3.8022103938774171E-2</v>
      </c>
      <c r="L97" s="7">
        <v>0</v>
      </c>
      <c r="M97" s="8">
        <f>IFERROR(L97/L148, "NA")</f>
        <v>0</v>
      </c>
      <c r="N97" s="7">
        <v>252.3</v>
      </c>
      <c r="O97" s="8">
        <f>IFERROR(N97/N148, "NA")</f>
        <v>1.0142008214102095E-2</v>
      </c>
      <c r="P97" s="7">
        <v>0</v>
      </c>
      <c r="Q97" s="8">
        <f>IFERROR(P97/P148, "NA")</f>
        <v>0</v>
      </c>
      <c r="R97" s="7">
        <v>746.86</v>
      </c>
      <c r="S97" s="8">
        <f>IFERROR(R97/R148, "NA")</f>
        <v>2.2077624936370822E-2</v>
      </c>
      <c r="T97" s="7">
        <v>0</v>
      </c>
      <c r="U97" s="8">
        <f>IFERROR(T97/T148, "NA")</f>
        <v>0</v>
      </c>
      <c r="V97" s="7">
        <v>14.58</v>
      </c>
      <c r="W97" s="8">
        <f>IFERROR(V97/V148, "NA")</f>
        <v>4.6546448279329771E-4</v>
      </c>
      <c r="X97" s="7">
        <v>0</v>
      </c>
      <c r="Y97" s="8">
        <f>IFERROR(X97/X148, "NA")</f>
        <v>0</v>
      </c>
      <c r="Z97" s="7">
        <v>14.58</v>
      </c>
      <c r="AA97" s="8">
        <f>IFERROR(Z97/Z148, "NA")</f>
        <v>1.687401958821374E-4</v>
      </c>
      <c r="AB97" s="9">
        <f t="shared" si="36"/>
        <v>190.36</v>
      </c>
      <c r="AC97" s="8">
        <f>IFERROR(AB97/AB148, "NA")</f>
        <v>6.3329924420612374E-3</v>
      </c>
      <c r="AD97" s="10">
        <f t="shared" si="37"/>
        <v>-190.36</v>
      </c>
      <c r="AE97" s="11">
        <f>IFERROR(AD97/AD148, "NA")</f>
        <v>-1.411747256007118</v>
      </c>
      <c r="AF97" s="10">
        <f t="shared" si="38"/>
        <v>-1</v>
      </c>
      <c r="AG97" s="9">
        <f t="shared" si="39"/>
        <v>244.34999999999997</v>
      </c>
      <c r="AH97" s="8">
        <f>IFERROR(AG97/AG148, "NA")</f>
        <v>8.6160175768874234E-3</v>
      </c>
      <c r="AI97" s="10">
        <f t="shared" si="40"/>
        <v>-244.34999999999997</v>
      </c>
      <c r="AJ97" s="11">
        <f>IFERROR(AI97/AI148, "NA")</f>
        <v>-0.13328206051283689</v>
      </c>
      <c r="AK97" s="10">
        <f t="shared" si="41"/>
        <v>-1</v>
      </c>
      <c r="AL97" s="11">
        <f>IFERROR(AK97/AK148, "NA")</f>
        <v>-15.469102671095715</v>
      </c>
    </row>
    <row r="98" spans="1:38" ht="16.5" hidden="1" customHeight="1" x14ac:dyDescent="0.3">
      <c r="A98" s="6" t="s">
        <v>107</v>
      </c>
      <c r="B98" s="7">
        <v>580.58000000000004</v>
      </c>
      <c r="C98" s="8">
        <f>IFERROR(B98/B148, "NA")</f>
        <v>2.0282816341260536E-2</v>
      </c>
      <c r="D98" s="7">
        <v>737.06999999999994</v>
      </c>
      <c r="E98" s="8">
        <f>IFERROR(D98/D148, "NA")</f>
        <v>2.5325402230210438E-2</v>
      </c>
      <c r="F98" s="7">
        <v>2492.1</v>
      </c>
      <c r="G98" s="8">
        <f>IFERROR(F98/F148, "NA")</f>
        <v>7.7696969659179022E-2</v>
      </c>
      <c r="H98" s="7">
        <v>1378.36</v>
      </c>
      <c r="I98" s="8">
        <f>IFERROR(H98/H148, "NA")</f>
        <v>5.2368385658913254E-2</v>
      </c>
      <c r="J98" s="7">
        <v>460.08000000000004</v>
      </c>
      <c r="K98" s="8">
        <f>IFERROR(J98/J148, "NA")</f>
        <v>1.8588835547309654E-2</v>
      </c>
      <c r="L98" s="7">
        <v>770.79</v>
      </c>
      <c r="M98" s="8">
        <f>IFERROR(L98/L148, "NA")</f>
        <v>2.911638849351332E-2</v>
      </c>
      <c r="N98" s="7">
        <v>577.83999999999992</v>
      </c>
      <c r="O98" s="8">
        <f>IFERROR(N98/N148, "NA")</f>
        <v>2.3228133279574924E-2</v>
      </c>
      <c r="P98" s="7">
        <v>2689.6899999999996</v>
      </c>
      <c r="Q98" s="8">
        <f>IFERROR(P98/P148, "NA")</f>
        <v>8.8053380248168903E-2</v>
      </c>
      <c r="R98" s="7">
        <v>1166.8</v>
      </c>
      <c r="S98" s="8">
        <f>IFERROR(R98/R148, "NA")</f>
        <v>3.4491300612909344E-2</v>
      </c>
      <c r="T98" s="7">
        <v>520.75</v>
      </c>
      <c r="U98" s="8">
        <f>IFERROR(T98/T148, "NA")</f>
        <v>2.0923595427064345E-2</v>
      </c>
      <c r="V98" s="7">
        <v>-22.680000000000007</v>
      </c>
      <c r="W98" s="8">
        <f>IFERROR(V98/V148, "NA")</f>
        <v>-7.2405586212290771E-4</v>
      </c>
      <c r="X98" s="7">
        <v>2275.27</v>
      </c>
      <c r="Y98" s="8">
        <f>IFERROR(X98/X148, "NA")</f>
        <v>7.535678445217979E-2</v>
      </c>
      <c r="Z98" s="7">
        <v>2773.34</v>
      </c>
      <c r="AA98" s="8">
        <f>IFERROR(Z98/Z148, "NA")</f>
        <v>3.2096977698749446E-2</v>
      </c>
      <c r="AB98" s="9">
        <f t="shared" si="36"/>
        <v>985.03499999999997</v>
      </c>
      <c r="AC98" s="8">
        <f>IFERROR(AB98/AB148, "NA")</f>
        <v>3.2770640944346452E-2</v>
      </c>
      <c r="AD98" s="10">
        <f t="shared" si="37"/>
        <v>1290.2350000000001</v>
      </c>
      <c r="AE98" s="11">
        <f>IFERROR(AD98/AD148, "NA")</f>
        <v>9.5686369029961345</v>
      </c>
      <c r="AF98" s="10">
        <f t="shared" si="38"/>
        <v>1.3098367063099283</v>
      </c>
      <c r="AG98" s="9">
        <f t="shared" si="39"/>
        <v>1054.8174999999999</v>
      </c>
      <c r="AH98" s="8">
        <f>IFERROR(AG98/AG148, "NA")</f>
        <v>3.7193886312291591E-2</v>
      </c>
      <c r="AI98" s="10">
        <f t="shared" si="40"/>
        <v>1220.4525000000001</v>
      </c>
      <c r="AJ98" s="11">
        <f>IFERROR(AI98/AI148, "NA")</f>
        <v>0.66570257400467814</v>
      </c>
      <c r="AK98" s="10">
        <f t="shared" si="41"/>
        <v>1.1570271634666662</v>
      </c>
      <c r="AL98" s="11">
        <f>IFERROR(AK98/AK148, "NA")</f>
        <v>17.898171984912505</v>
      </c>
    </row>
    <row r="99" spans="1:38" ht="16.5" hidden="1" customHeight="1" x14ac:dyDescent="0.3">
      <c r="A99" s="12" t="s">
        <v>108</v>
      </c>
      <c r="B99" s="13">
        <f>IFERROR(B90+B91+B92+B93+B94+B95+B96+B97+B98, "NA")</f>
        <v>5290.18</v>
      </c>
      <c r="C99" s="14">
        <f>IFERROR(B99/B148, "NA")</f>
        <v>0.18481475309554179</v>
      </c>
      <c r="D99" s="13">
        <f>IFERROR(D90+D91+D92+D93+D94+D95+D96+D97+D98, "NA")</f>
        <v>4953.4399999999996</v>
      </c>
      <c r="E99" s="14">
        <f>IFERROR(D99/D148, "NA")</f>
        <v>0.17019802789858982</v>
      </c>
      <c r="F99" s="13">
        <f>IFERROR(F90+F91+F92+F93+F94+F95+F96+F97+F98, "NA")</f>
        <v>7661.93</v>
      </c>
      <c r="G99" s="14">
        <f>IFERROR(F99/F148, "NA")</f>
        <v>0.23887835269080435</v>
      </c>
      <c r="H99" s="13">
        <f>IFERROR(H90+H91+H92+H93+H94+H95+H96+H97+H98, "NA")</f>
        <v>7252.82</v>
      </c>
      <c r="I99" s="14">
        <f>IFERROR(H99/H148, "NA")</f>
        <v>0.27555825392109407</v>
      </c>
      <c r="J99" s="13">
        <f>IFERROR(J90+J91+J92+J93+J94+J95+J96+J97+J98, "NA")</f>
        <v>4610.68</v>
      </c>
      <c r="K99" s="14">
        <f>IFERROR(J99/J148, "NA")</f>
        <v>0.18628754190851521</v>
      </c>
      <c r="L99" s="13">
        <f>IFERROR(L90+L91+L92+L93+L94+L95+L96+L97+L98, "NA")</f>
        <v>4027.8100000000004</v>
      </c>
      <c r="M99" s="14">
        <f>IFERROR(L99/L148, "NA")</f>
        <v>0.15214945800809287</v>
      </c>
      <c r="N99" s="13">
        <f>IFERROR(N90+N91+N92+N93+N94+N95+N96+N97+N98, "NA")</f>
        <v>3929.1400000000003</v>
      </c>
      <c r="O99" s="14">
        <f>IFERROR(N99/N148, "NA")</f>
        <v>0.15794439220910467</v>
      </c>
      <c r="P99" s="13">
        <f>IFERROR(P90+P91+P92+P93+P94+P95+P96+P97+P98, "NA")</f>
        <v>8719.41</v>
      </c>
      <c r="Q99" s="14">
        <f>IFERROR(P99/P148, "NA")</f>
        <v>0.28545056280451891</v>
      </c>
      <c r="R99" s="13">
        <f>IFERROR(R90+R91+R92+R93+R94+R95+R96+R97+R98, "NA")</f>
        <v>9435.0899999999983</v>
      </c>
      <c r="S99" s="14">
        <f>IFERROR(R99/R148, "NA")</f>
        <v>0.27890686107289581</v>
      </c>
      <c r="T99" s="13">
        <f>IFERROR(T90+T91+T92+T93+T94+T95+T96+T97+T98, "NA")</f>
        <v>5994.89</v>
      </c>
      <c r="U99" s="14">
        <f>IFERROR(T99/T148, "NA")</f>
        <v>0.2408730734320764</v>
      </c>
      <c r="V99" s="13">
        <f>IFERROR(V90+V91+V92+V93+V94+V95+V96+V97+V98, "NA")</f>
        <v>6007.5700000000006</v>
      </c>
      <c r="W99" s="14">
        <f>IFERROR(V99/V148, "NA")</f>
        <v>0.19179084107644251</v>
      </c>
      <c r="X99" s="13">
        <f>IFERROR(X90+X91+X92+X93+X94+X95+X96+X97+X98, "NA")</f>
        <v>8669.2899999999991</v>
      </c>
      <c r="Y99" s="14">
        <f>IFERROR(X99/X148, "NA")</f>
        <v>0.28712628298331083</v>
      </c>
      <c r="Z99" s="13">
        <f>IFERROR(Z90+Z91+Z92+Z93+Z94+Z95+Z96+Z97+Z98, "NA")</f>
        <v>20671.75</v>
      </c>
      <c r="AA99" s="14">
        <f>IFERROR(Z99/Z148, "NA")</f>
        <v>0.23924246531046459</v>
      </c>
      <c r="AB99" s="13">
        <f t="shared" si="36"/>
        <v>7526.7099999999991</v>
      </c>
      <c r="AC99" s="14">
        <f>IFERROR(AB99/AB148, "NA")</f>
        <v>0.25040238255719022</v>
      </c>
      <c r="AD99" s="15">
        <f t="shared" si="37"/>
        <v>1142.58</v>
      </c>
      <c r="AE99" s="16">
        <f>IFERROR(AD99/AD148, "NA")</f>
        <v>8.4735983387718683</v>
      </c>
      <c r="AF99" s="15">
        <f t="shared" si="38"/>
        <v>0.1518033775713426</v>
      </c>
      <c r="AG99" s="13">
        <f t="shared" si="39"/>
        <v>6424.2349999999997</v>
      </c>
      <c r="AH99" s="14">
        <f>IFERROR(AG99/AG148, "NA")</f>
        <v>0.22652474597116998</v>
      </c>
      <c r="AI99" s="15">
        <f t="shared" si="40"/>
        <v>2245.0549999999994</v>
      </c>
      <c r="AJ99" s="16">
        <f>IFERROR(AI99/AI148, "NA")</f>
        <v>1.2245776810503253</v>
      </c>
      <c r="AK99" s="15">
        <f t="shared" si="41"/>
        <v>0.34946651235516751</v>
      </c>
      <c r="AL99" s="16">
        <f>IFERROR(AK99/AK148, "NA")</f>
        <v>5.4059333597318258</v>
      </c>
    </row>
    <row r="100" spans="1:38" ht="16.5" hidden="1" customHeight="1" x14ac:dyDescent="0.3">
      <c r="A100" s="35" t="s">
        <v>3</v>
      </c>
      <c r="B100" s="36"/>
      <c r="C100" s="19"/>
      <c r="D100" s="36"/>
      <c r="E100" s="19"/>
      <c r="F100" s="36"/>
      <c r="G100" s="19"/>
      <c r="H100" s="36"/>
      <c r="I100" s="19"/>
      <c r="J100" s="36"/>
      <c r="K100" s="19"/>
      <c r="L100" s="36"/>
      <c r="M100" s="19"/>
      <c r="N100" s="36"/>
      <c r="O100" s="19"/>
      <c r="P100" s="36"/>
      <c r="Q100" s="19"/>
      <c r="R100" s="36"/>
      <c r="S100" s="19"/>
      <c r="T100" s="36"/>
      <c r="U100" s="19"/>
      <c r="V100" s="36"/>
      <c r="W100" s="19"/>
      <c r="X100" s="36"/>
      <c r="Y100" s="19"/>
      <c r="Z100" s="36"/>
      <c r="AA100" s="19"/>
      <c r="AB100" s="36"/>
      <c r="AC100" s="19"/>
      <c r="AD100" s="37"/>
      <c r="AE100" s="21"/>
      <c r="AF100" s="37"/>
      <c r="AG100" s="36"/>
      <c r="AH100" s="19"/>
      <c r="AI100" s="37"/>
      <c r="AJ100" s="21"/>
      <c r="AK100" s="37"/>
      <c r="AL100" s="21"/>
    </row>
    <row r="101" spans="1:38" ht="16.5" hidden="1" customHeight="1" x14ac:dyDescent="0.3">
      <c r="A101" s="32" t="s">
        <v>109</v>
      </c>
      <c r="B101" s="33">
        <f>IFERROR(B87-B99, "NA")</f>
        <v>7283.1499999999978</v>
      </c>
      <c r="C101" s="34">
        <f>IFERROR(B101/B148, "NA")</f>
        <v>0.25444003209867994</v>
      </c>
      <c r="D101" s="33">
        <f>IFERROR(D87-D99, "NA")</f>
        <v>8116.7300000000005</v>
      </c>
      <c r="E101" s="34">
        <f>IFERROR(D101/D148, "NA")</f>
        <v>0.2788872862062165</v>
      </c>
      <c r="F101" s="33">
        <f>IFERROR(F87-F99, "NA")</f>
        <v>7911.4799999999923</v>
      </c>
      <c r="G101" s="34">
        <f>IFERROR(F101/F148, "NA")</f>
        <v>0.24665864994149553</v>
      </c>
      <c r="H101" s="33">
        <f>IFERROR(H87-H99, "NA")</f>
        <v>4747.6799999999967</v>
      </c>
      <c r="I101" s="34">
        <f>IFERROR(H101/H148, "NA")</f>
        <v>0.18037982618844794</v>
      </c>
      <c r="J101" s="33">
        <f>IFERROR(J87-J99, "NA")</f>
        <v>4850.5000000000018</v>
      </c>
      <c r="K101" s="34">
        <f>IFERROR(J101/J148, "NA")</f>
        <v>0.19597710576905214</v>
      </c>
      <c r="L101" s="33">
        <f>IFERROR(L87-L99, "NA")</f>
        <v>7012.2500000000009</v>
      </c>
      <c r="M101" s="34">
        <f>IFERROR(L101/L148, "NA")</f>
        <v>0.26488589007854124</v>
      </c>
      <c r="N101" s="33">
        <f>IFERROR(N87-N99, "NA")</f>
        <v>6467.81</v>
      </c>
      <c r="O101" s="34">
        <f>IFERROR(N101/N148, "NA")</f>
        <v>0.25999438029033561</v>
      </c>
      <c r="P101" s="33">
        <f>IFERROR(P87-P99, "NA")</f>
        <v>5429.4300000000021</v>
      </c>
      <c r="Q101" s="34">
        <f>IFERROR(P101/P148, "NA")</f>
        <v>0.17774526593057785</v>
      </c>
      <c r="R101" s="33">
        <f>IFERROR(R87-R99, "NA")</f>
        <v>6949.7499999999945</v>
      </c>
      <c r="S101" s="34">
        <f>IFERROR(R101/R148, "NA")</f>
        <v>0.20543873537415713</v>
      </c>
      <c r="T101" s="33">
        <f>IFERROR(T87-T99, "NA")</f>
        <v>4412.329999999999</v>
      </c>
      <c r="U101" s="34">
        <f>IFERROR(T101/T148, "NA")</f>
        <v>0.17728623679442881</v>
      </c>
      <c r="V101" s="33">
        <f>IFERROR(V87-V99, "NA")</f>
        <v>6693.6200000000126</v>
      </c>
      <c r="W101" s="34">
        <f>IFERROR(V101/V148, "NA")</f>
        <v>0.21369289240842793</v>
      </c>
      <c r="X101" s="33">
        <f>IFERROR(X87-X99, "NA")</f>
        <v>5035.7199999999957</v>
      </c>
      <c r="Y101" s="34">
        <f>IFERROR(X101/X148, "NA")</f>
        <v>0.16678269682346733</v>
      </c>
      <c r="Z101" s="33">
        <f>IFERROR(Z87-Z99, "NA")</f>
        <v>16141.670000000027</v>
      </c>
      <c r="AA101" s="34">
        <f>IFERROR(Z101/Z148, "NA")</f>
        <v>0.1868140300181636</v>
      </c>
      <c r="AB101" s="33">
        <f>IFERROR((R101+T101+V101+X101)/4, "NA")</f>
        <v>5772.8550000000014</v>
      </c>
      <c r="AC101" s="34">
        <f>IFERROR(AB101/AB148, "NA")</f>
        <v>0.19205425028427942</v>
      </c>
      <c r="AD101" s="15">
        <f>IFERROR(X101-AB101, "NA")</f>
        <v>-737.13500000000568</v>
      </c>
      <c r="AE101" s="16">
        <f>IFERROR(AD101/AD148, "NA")</f>
        <v>-5.4667383565707866</v>
      </c>
      <c r="AF101" s="15">
        <f>IFERROR((X101-AB101)/AB101, "NA")</f>
        <v>-0.12768985190170298</v>
      </c>
      <c r="AG101" s="33">
        <f>IFERROR((J101+L101+N101+P101+R101+T101+V101+X101)/8, "NA")</f>
        <v>5856.4262500000004</v>
      </c>
      <c r="AH101" s="34">
        <f>IFERROR(AG101/AG148, "NA")</f>
        <v>0.20650325970020425</v>
      </c>
      <c r="AI101" s="15">
        <f>IFERROR(X101-AG101, "NA")</f>
        <v>-820.70625000000473</v>
      </c>
      <c r="AJ101" s="16">
        <f>IFERROR(AI101/AI148, "NA")</f>
        <v>-0.44765876847048941</v>
      </c>
      <c r="AK101" s="15">
        <f>IFERROR((X101-AG101)/AG101, "NA")</f>
        <v>-0.14013772477712064</v>
      </c>
      <c r="AL101" s="16">
        <f>IFERROR(AK101/AK148, "NA")</f>
        <v>-2.1678048526710332</v>
      </c>
    </row>
    <row r="102" spans="1:38" ht="3.75" hidden="1" customHeight="1" x14ac:dyDescent="0.3">
      <c r="A102" s="35" t="s">
        <v>3</v>
      </c>
      <c r="B102" s="36"/>
      <c r="C102" s="19"/>
      <c r="D102" s="36"/>
      <c r="E102" s="19"/>
      <c r="F102" s="36"/>
      <c r="G102" s="19"/>
      <c r="H102" s="36"/>
      <c r="I102" s="19"/>
      <c r="J102" s="36"/>
      <c r="K102" s="19"/>
      <c r="L102" s="36"/>
      <c r="M102" s="19"/>
      <c r="N102" s="36"/>
      <c r="O102" s="19"/>
      <c r="P102" s="36"/>
      <c r="Q102" s="19"/>
      <c r="R102" s="36"/>
      <c r="S102" s="19"/>
      <c r="T102" s="36"/>
      <c r="U102" s="19"/>
      <c r="V102" s="36"/>
      <c r="W102" s="19"/>
      <c r="X102" s="36"/>
      <c r="Y102" s="19"/>
      <c r="Z102" s="36"/>
      <c r="AA102" s="19"/>
      <c r="AB102" s="36"/>
      <c r="AC102" s="19"/>
      <c r="AD102" s="37"/>
      <c r="AE102" s="21"/>
      <c r="AF102" s="37"/>
      <c r="AG102" s="36"/>
      <c r="AH102" s="19"/>
      <c r="AI102" s="37"/>
      <c r="AJ102" s="21"/>
      <c r="AK102" s="37"/>
      <c r="AL102" s="21"/>
    </row>
    <row r="103" spans="1:38" ht="16.5" hidden="1" customHeight="1" x14ac:dyDescent="0.3">
      <c r="A103" s="1" t="s">
        <v>110</v>
      </c>
      <c r="B103" s="2"/>
      <c r="C103" s="3"/>
      <c r="D103" s="2"/>
      <c r="E103" s="3"/>
      <c r="F103" s="2"/>
      <c r="G103" s="3"/>
      <c r="H103" s="2"/>
      <c r="I103" s="3"/>
      <c r="J103" s="2"/>
      <c r="K103" s="3"/>
      <c r="L103" s="2"/>
      <c r="M103" s="3"/>
      <c r="N103" s="2"/>
      <c r="O103" s="3"/>
      <c r="P103" s="2"/>
      <c r="Q103" s="3"/>
      <c r="R103" s="2"/>
      <c r="S103" s="3"/>
      <c r="T103" s="2"/>
      <c r="U103" s="3"/>
      <c r="V103" s="2"/>
      <c r="W103" s="3"/>
      <c r="X103" s="2"/>
      <c r="Y103" s="3"/>
      <c r="Z103" s="2"/>
      <c r="AA103" s="3"/>
      <c r="AB103" s="2"/>
      <c r="AC103" s="3"/>
      <c r="AD103" s="4"/>
      <c r="AE103" s="5"/>
      <c r="AF103" s="4"/>
      <c r="AG103" s="2"/>
      <c r="AH103" s="3"/>
      <c r="AI103" s="4"/>
      <c r="AJ103" s="5"/>
      <c r="AK103" s="4"/>
      <c r="AL103" s="5"/>
    </row>
    <row r="104" spans="1:38" ht="16.5" hidden="1" customHeight="1" x14ac:dyDescent="0.3">
      <c r="A104" s="38" t="s">
        <v>111</v>
      </c>
      <c r="B104" s="39">
        <v>808.22</v>
      </c>
      <c r="C104" s="34">
        <f>IFERROR(B104/B148, "NA")</f>
        <v>2.8235519348468064E-2</v>
      </c>
      <c r="D104" s="39">
        <v>0</v>
      </c>
      <c r="E104" s="34">
        <f>IFERROR(D104/D148, "NA")</f>
        <v>0</v>
      </c>
      <c r="F104" s="39">
        <v>3936.15</v>
      </c>
      <c r="G104" s="34">
        <f>IFERROR(F104/F148, "NA")</f>
        <v>0.12271856150394346</v>
      </c>
      <c r="H104" s="39">
        <v>20797.72</v>
      </c>
      <c r="I104" s="34">
        <f>IFERROR(H104/H148, "NA")</f>
        <v>0.79017312007464924</v>
      </c>
      <c r="J104" s="39">
        <v>-892.62</v>
      </c>
      <c r="K104" s="34">
        <f>IFERROR(J104/J148, "NA")</f>
        <v>-3.6064959107632459E-2</v>
      </c>
      <c r="L104" s="39">
        <v>0</v>
      </c>
      <c r="M104" s="34">
        <f>IFERROR(L104/L148, "NA")</f>
        <v>0</v>
      </c>
      <c r="N104" s="39">
        <v>0</v>
      </c>
      <c r="O104" s="34">
        <f>IFERROR(N104/N148, "NA")</f>
        <v>0</v>
      </c>
      <c r="P104" s="39">
        <v>3960.19</v>
      </c>
      <c r="Q104" s="34">
        <f>IFERROR(P104/P148, "NA")</f>
        <v>0.1296462105019523</v>
      </c>
      <c r="R104" s="39">
        <v>25431.37</v>
      </c>
      <c r="S104" s="34">
        <f>IFERROR(R104/R148, "NA")</f>
        <v>0.75176639327058992</v>
      </c>
      <c r="T104" s="39">
        <v>1584.69</v>
      </c>
      <c r="U104" s="34">
        <f>IFERROR(T104/T148, "NA")</f>
        <v>6.3672419466758709E-2</v>
      </c>
      <c r="V104" s="39">
        <v>0</v>
      </c>
      <c r="W104" s="34">
        <f>IFERROR(V104/V148, "NA")</f>
        <v>0</v>
      </c>
      <c r="X104" s="39">
        <v>1517.78</v>
      </c>
      <c r="Y104" s="34">
        <f>IFERROR(X104/X148, "NA")</f>
        <v>5.0268768236661779E-2</v>
      </c>
      <c r="Z104" s="39">
        <v>3102.4700000000003</v>
      </c>
      <c r="AA104" s="34">
        <f>IFERROR(Z104/Z148, "NA")</f>
        <v>3.590613137986659E-2</v>
      </c>
      <c r="AB104" s="33">
        <f>IFERROR((R104+T104+V104+X104)/4, "NA")</f>
        <v>7133.4599999999991</v>
      </c>
      <c r="AC104" s="34">
        <f>IFERROR(AB104/AB148, "NA")</f>
        <v>0.23731954331659039</v>
      </c>
      <c r="AD104" s="15">
        <f>IFERROR(X104-AB104, "NA")</f>
        <v>-5615.6799999999994</v>
      </c>
      <c r="AE104" s="16">
        <f>IFERROR(AD104/AD148, "NA")</f>
        <v>-41.646989024028429</v>
      </c>
      <c r="AF104" s="15">
        <f>IFERROR((X104-AB104)/AB104, "NA")</f>
        <v>-0.7872308809469738</v>
      </c>
      <c r="AG104" s="33">
        <f>IFERROR((J104+L104+N104+P104+R104+T104+V104+X104)/8, "NA")</f>
        <v>3950.1762499999995</v>
      </c>
      <c r="AH104" s="34">
        <f>IFERROR(AG104/AG148, "NA")</f>
        <v>0.13928703909066195</v>
      </c>
      <c r="AI104" s="15">
        <f>IFERROR(X104-AG104, "NA")</f>
        <v>-2432.3962499999998</v>
      </c>
      <c r="AJ104" s="16">
        <f>IFERROR(AI104/AI148, "NA")</f>
        <v>-1.3267640032072745</v>
      </c>
      <c r="AK104" s="15">
        <f>IFERROR((X104-AG104)/AG104, "NA")</f>
        <v>-0.61576904321674253</v>
      </c>
      <c r="AL104" s="16">
        <f>IFERROR(AK104/AK148, "NA")</f>
        <v>-9.5253945512021652</v>
      </c>
    </row>
    <row r="105" spans="1:38" ht="16.5" hidden="1" customHeight="1" x14ac:dyDescent="0.3">
      <c r="A105" s="12" t="s">
        <v>112</v>
      </c>
      <c r="B105" s="13">
        <f>IFERROR(B104, "NA")</f>
        <v>808.22</v>
      </c>
      <c r="C105" s="14">
        <f>IFERROR(B105/B148, "NA")</f>
        <v>2.8235519348468064E-2</v>
      </c>
      <c r="D105" s="13">
        <f>IFERROR(D104, "NA")</f>
        <v>0</v>
      </c>
      <c r="E105" s="14">
        <f>IFERROR(D105/D148, "NA")</f>
        <v>0</v>
      </c>
      <c r="F105" s="13">
        <f>IFERROR(F104, "NA")</f>
        <v>3936.15</v>
      </c>
      <c r="G105" s="14">
        <f>IFERROR(F105/F148, "NA")</f>
        <v>0.12271856150394346</v>
      </c>
      <c r="H105" s="13">
        <f>IFERROR(H104, "NA")</f>
        <v>20797.72</v>
      </c>
      <c r="I105" s="14">
        <f>IFERROR(H105/H148, "NA")</f>
        <v>0.79017312007464924</v>
      </c>
      <c r="J105" s="13">
        <f>IFERROR(J104, "NA")</f>
        <v>-892.62</v>
      </c>
      <c r="K105" s="14">
        <f>IFERROR(J105/J148, "NA")</f>
        <v>-3.6064959107632459E-2</v>
      </c>
      <c r="L105" s="13">
        <f>IFERROR(L104, "NA")</f>
        <v>0</v>
      </c>
      <c r="M105" s="14">
        <f>IFERROR(L105/L148, "NA")</f>
        <v>0</v>
      </c>
      <c r="N105" s="13">
        <f>IFERROR(N104, "NA")</f>
        <v>0</v>
      </c>
      <c r="O105" s="14">
        <f>IFERROR(N105/N148, "NA")</f>
        <v>0</v>
      </c>
      <c r="P105" s="13">
        <f>IFERROR(P104, "NA")</f>
        <v>3960.19</v>
      </c>
      <c r="Q105" s="14">
        <f>IFERROR(P105/P148, "NA")</f>
        <v>0.1296462105019523</v>
      </c>
      <c r="R105" s="13">
        <f>IFERROR(R104, "NA")</f>
        <v>25431.37</v>
      </c>
      <c r="S105" s="14">
        <f>IFERROR(R105/R148, "NA")</f>
        <v>0.75176639327058992</v>
      </c>
      <c r="T105" s="13">
        <f>IFERROR(T104, "NA")</f>
        <v>1584.69</v>
      </c>
      <c r="U105" s="14">
        <f>IFERROR(T105/T148, "NA")</f>
        <v>6.3672419466758709E-2</v>
      </c>
      <c r="V105" s="13">
        <f>IFERROR(V104, "NA")</f>
        <v>0</v>
      </c>
      <c r="W105" s="14">
        <f>IFERROR(V105/V148, "NA")</f>
        <v>0</v>
      </c>
      <c r="X105" s="13">
        <f>IFERROR(X104, "NA")</f>
        <v>1517.78</v>
      </c>
      <c r="Y105" s="14">
        <f>IFERROR(X105/X148, "NA")</f>
        <v>5.0268768236661779E-2</v>
      </c>
      <c r="Z105" s="13">
        <f>IFERROR(Z104, "NA")</f>
        <v>3102.4700000000003</v>
      </c>
      <c r="AA105" s="14">
        <f>IFERROR(Z105/Z148, "NA")</f>
        <v>3.590613137986659E-2</v>
      </c>
      <c r="AB105" s="13">
        <f>IFERROR((R105+T105+V105+X105)/4, "NA")</f>
        <v>7133.4599999999991</v>
      </c>
      <c r="AC105" s="14">
        <f>IFERROR(AB105/AB148, "NA")</f>
        <v>0.23731954331659039</v>
      </c>
      <c r="AD105" s="15">
        <f>IFERROR(X105-AB105, "NA")</f>
        <v>-5615.6799999999994</v>
      </c>
      <c r="AE105" s="16">
        <f>IFERROR(AD105/AD148, "NA")</f>
        <v>-41.646989024028429</v>
      </c>
      <c r="AF105" s="15">
        <f>IFERROR((X105-AB105)/AB105, "NA")</f>
        <v>-0.7872308809469738</v>
      </c>
      <c r="AG105" s="13">
        <f>IFERROR((J105+L105+N105+P105+R105+T105+V105+X105)/8, "NA")</f>
        <v>3950.1762499999995</v>
      </c>
      <c r="AH105" s="14">
        <f>IFERROR(AG105/AG148, "NA")</f>
        <v>0.13928703909066195</v>
      </c>
      <c r="AI105" s="15">
        <f>IFERROR(X105-AG105, "NA")</f>
        <v>-2432.3962499999998</v>
      </c>
      <c r="AJ105" s="16">
        <f>IFERROR(AI105/AI148, "NA")</f>
        <v>-1.3267640032072745</v>
      </c>
      <c r="AK105" s="15">
        <f>IFERROR((X105-AG105)/AG105, "NA")</f>
        <v>-0.61576904321674253</v>
      </c>
      <c r="AL105" s="16">
        <f>IFERROR(AK105/AK148, "NA")</f>
        <v>-9.5253945512021652</v>
      </c>
    </row>
    <row r="106" spans="1:38" ht="16.5" hidden="1" customHeight="1" x14ac:dyDescent="0.3">
      <c r="A106" s="35" t="s">
        <v>3</v>
      </c>
      <c r="B106" s="36"/>
      <c r="C106" s="19"/>
      <c r="D106" s="36"/>
      <c r="E106" s="19"/>
      <c r="F106" s="36"/>
      <c r="G106" s="19"/>
      <c r="H106" s="36"/>
      <c r="I106" s="19"/>
      <c r="J106" s="36"/>
      <c r="K106" s="19"/>
      <c r="L106" s="36"/>
      <c r="M106" s="19"/>
      <c r="N106" s="36"/>
      <c r="O106" s="19"/>
      <c r="P106" s="36"/>
      <c r="Q106" s="19"/>
      <c r="R106" s="36"/>
      <c r="S106" s="19"/>
      <c r="T106" s="36"/>
      <c r="U106" s="19"/>
      <c r="V106" s="36"/>
      <c r="W106" s="19"/>
      <c r="X106" s="36"/>
      <c r="Y106" s="19"/>
      <c r="Z106" s="36"/>
      <c r="AA106" s="19"/>
      <c r="AB106" s="36"/>
      <c r="AC106" s="19"/>
      <c r="AD106" s="37"/>
      <c r="AE106" s="21"/>
      <c r="AF106" s="37"/>
      <c r="AG106" s="36"/>
      <c r="AH106" s="19"/>
      <c r="AI106" s="37"/>
      <c r="AJ106" s="21"/>
      <c r="AK106" s="37"/>
      <c r="AL106" s="21"/>
    </row>
    <row r="107" spans="1:38" ht="16.5" hidden="1" customHeight="1" x14ac:dyDescent="0.3">
      <c r="A107" s="32" t="s">
        <v>113</v>
      </c>
      <c r="B107" s="33">
        <f>IFERROR(B87-B99-B105, "NA")</f>
        <v>6474.9299999999976</v>
      </c>
      <c r="C107" s="34">
        <f>IFERROR(B107/B148, "NA")</f>
        <v>0.22620451275021189</v>
      </c>
      <c r="D107" s="33">
        <f>IFERROR(D87-D99-D105, "NA")</f>
        <v>8116.7300000000005</v>
      </c>
      <c r="E107" s="34">
        <f>IFERROR(D107/D148, "NA")</f>
        <v>0.2788872862062165</v>
      </c>
      <c r="F107" s="33">
        <f>IFERROR(F87-F99-F105, "NA")</f>
        <v>3975.3299999999922</v>
      </c>
      <c r="G107" s="34">
        <f>IFERROR(F107/F148, "NA")</f>
        <v>0.12394008843755207</v>
      </c>
      <c r="H107" s="33">
        <f>IFERROR(H87-H99-H105, "NA")</f>
        <v>-16050.040000000005</v>
      </c>
      <c r="I107" s="34">
        <f>IFERROR(H107/H148, "NA")</f>
        <v>-0.60979329388620129</v>
      </c>
      <c r="J107" s="33">
        <f>IFERROR(J87-J99-J105, "NA")</f>
        <v>5743.1200000000017</v>
      </c>
      <c r="K107" s="34">
        <f>IFERROR(J107/J148, "NA")</f>
        <v>0.23204206487668458</v>
      </c>
      <c r="L107" s="33">
        <f>IFERROR(L87-L99-L105, "NA")</f>
        <v>7012.2500000000009</v>
      </c>
      <c r="M107" s="34">
        <f>IFERROR(L107/L148, "NA")</f>
        <v>0.26488589007854124</v>
      </c>
      <c r="N107" s="33">
        <f>IFERROR(N87-N99-N105, "NA")</f>
        <v>6467.81</v>
      </c>
      <c r="O107" s="34">
        <f>IFERROR(N107/N148, "NA")</f>
        <v>0.25999438029033561</v>
      </c>
      <c r="P107" s="33">
        <f>IFERROR(P87-P99-P105, "NA")</f>
        <v>1469.2400000000021</v>
      </c>
      <c r="Q107" s="34">
        <f>IFERROR(P107/P148, "NA")</f>
        <v>4.809905542862556E-2</v>
      </c>
      <c r="R107" s="33">
        <f>IFERROR(R87-R99-R105, "NA")</f>
        <v>-18481.620000000003</v>
      </c>
      <c r="S107" s="34">
        <f>IFERROR(R107/R148, "NA")</f>
        <v>-0.54632765789643278</v>
      </c>
      <c r="T107" s="33">
        <f>IFERROR(T87-T99-T105, "NA")</f>
        <v>2827.639999999999</v>
      </c>
      <c r="U107" s="34">
        <f>IFERROR(T107/T148, "NA")</f>
        <v>0.11361381732767011</v>
      </c>
      <c r="V107" s="33">
        <f>IFERROR(V87-V99-V105, "NA")</f>
        <v>6693.6200000000126</v>
      </c>
      <c r="W107" s="34">
        <f>IFERROR(V107/V148, "NA")</f>
        <v>0.21369289240842793</v>
      </c>
      <c r="X107" s="33">
        <f>IFERROR(X87-X99-X105, "NA")</f>
        <v>3517.939999999996</v>
      </c>
      <c r="Y107" s="34">
        <f>IFERROR(X107/X148, "NA")</f>
        <v>0.11651392858680555</v>
      </c>
      <c r="Z107" s="33">
        <f>IFERROR(Z87-Z99-Z105, "NA")</f>
        <v>13039.200000000026</v>
      </c>
      <c r="AA107" s="34">
        <f>IFERROR(Z107/Z148, "NA")</f>
        <v>0.15090789863829701</v>
      </c>
      <c r="AB107" s="33">
        <f>IFERROR((R107+T107+V107+X107)/4, "NA")</f>
        <v>-1360.6049999999984</v>
      </c>
      <c r="AC107" s="34">
        <f>IFERROR(AB107/AB148, "NA")</f>
        <v>-4.5265293032310985E-2</v>
      </c>
      <c r="AD107" s="15">
        <f>IFERROR(X107-AB107, "NA")</f>
        <v>4878.5449999999946</v>
      </c>
      <c r="AE107" s="16">
        <f>IFERROR(AD107/AD148, "NA")</f>
        <v>36.180250667457649</v>
      </c>
      <c r="AF107" s="15">
        <f>IFERROR((X107-AB107)/AB107, "NA")</f>
        <v>-3.585570389642843</v>
      </c>
      <c r="AG107" s="33">
        <f>IFERROR((J107+L107+N107+P107+R107+T107+V107+X107)/8, "NA")</f>
        <v>1906.2500000000014</v>
      </c>
      <c r="AH107" s="34">
        <f>IFERROR(AG107/AG148, "NA")</f>
        <v>6.7216220609542313E-2</v>
      </c>
      <c r="AI107" s="15">
        <f>IFERROR(X107-AG107, "NA")</f>
        <v>1611.6899999999946</v>
      </c>
      <c r="AJ107" s="16">
        <f>IFERROR(AI107/AI148, "NA")</f>
        <v>0.87910523473678492</v>
      </c>
      <c r="AK107" s="15">
        <f>IFERROR((X107-AG107)/AG107, "NA")</f>
        <v>0.845476721311472</v>
      </c>
      <c r="AL107" s="16">
        <f>IFERROR(AK107/AK148, "NA")</f>
        <v>13.07876620798854</v>
      </c>
    </row>
    <row r="108" spans="1:38" ht="3.75" hidden="1" customHeight="1" x14ac:dyDescent="0.3">
      <c r="A108" s="35" t="s">
        <v>3</v>
      </c>
      <c r="B108" s="36"/>
      <c r="C108" s="19"/>
      <c r="D108" s="36"/>
      <c r="E108" s="19"/>
      <c r="F108" s="36"/>
      <c r="G108" s="19"/>
      <c r="H108" s="36"/>
      <c r="I108" s="19"/>
      <c r="J108" s="36"/>
      <c r="K108" s="19"/>
      <c r="L108" s="36"/>
      <c r="M108" s="19"/>
      <c r="N108" s="36"/>
      <c r="O108" s="19"/>
      <c r="P108" s="36"/>
      <c r="Q108" s="19"/>
      <c r="R108" s="36"/>
      <c r="S108" s="19"/>
      <c r="T108" s="36"/>
      <c r="U108" s="19"/>
      <c r="V108" s="36"/>
      <c r="W108" s="19"/>
      <c r="X108" s="36"/>
      <c r="Y108" s="19"/>
      <c r="Z108" s="36"/>
      <c r="AA108" s="19"/>
      <c r="AB108" s="36"/>
      <c r="AC108" s="19"/>
      <c r="AD108" s="37"/>
      <c r="AE108" s="21"/>
      <c r="AF108" s="37"/>
      <c r="AG108" s="36"/>
      <c r="AH108" s="19"/>
      <c r="AI108" s="37"/>
      <c r="AJ108" s="21"/>
      <c r="AK108" s="37"/>
      <c r="AL108" s="21"/>
    </row>
    <row r="109" spans="1:38" ht="16.5" hidden="1" customHeight="1" x14ac:dyDescent="0.3">
      <c r="A109" s="1" t="s">
        <v>114</v>
      </c>
      <c r="B109" s="2"/>
      <c r="C109" s="3"/>
      <c r="D109" s="2"/>
      <c r="E109" s="3"/>
      <c r="F109" s="2"/>
      <c r="G109" s="3"/>
      <c r="H109" s="2"/>
      <c r="I109" s="3"/>
      <c r="J109" s="2"/>
      <c r="K109" s="3"/>
      <c r="L109" s="2"/>
      <c r="M109" s="3"/>
      <c r="N109" s="2"/>
      <c r="O109" s="3"/>
      <c r="P109" s="2"/>
      <c r="Q109" s="3"/>
      <c r="R109" s="2"/>
      <c r="S109" s="3"/>
      <c r="T109" s="2"/>
      <c r="U109" s="3"/>
      <c r="V109" s="2"/>
      <c r="W109" s="3"/>
      <c r="X109" s="2"/>
      <c r="Y109" s="3"/>
      <c r="Z109" s="2"/>
      <c r="AA109" s="3"/>
      <c r="AB109" s="2"/>
      <c r="AC109" s="3"/>
      <c r="AD109" s="4"/>
      <c r="AE109" s="5"/>
      <c r="AF109" s="4"/>
      <c r="AG109" s="2"/>
      <c r="AH109" s="3"/>
      <c r="AI109" s="4"/>
      <c r="AJ109" s="5"/>
      <c r="AK109" s="4"/>
      <c r="AL109" s="5"/>
    </row>
    <row r="110" spans="1:38" ht="16.5" hidden="1" customHeight="1" x14ac:dyDescent="0.3">
      <c r="A110" s="6" t="s">
        <v>115</v>
      </c>
      <c r="B110" s="7">
        <v>0</v>
      </c>
      <c r="C110" s="8">
        <f>IFERROR(B110/B148, "NA")</f>
        <v>0</v>
      </c>
      <c r="D110" s="7">
        <v>0</v>
      </c>
      <c r="E110" s="8">
        <f>IFERROR(D110/D148, "NA")</f>
        <v>0</v>
      </c>
      <c r="F110" s="7">
        <v>0</v>
      </c>
      <c r="G110" s="8">
        <f>IFERROR(F110/F148, "NA")</f>
        <v>0</v>
      </c>
      <c r="H110" s="7">
        <v>0</v>
      </c>
      <c r="I110" s="8">
        <f>IFERROR(H110/H148, "NA")</f>
        <v>0</v>
      </c>
      <c r="J110" s="7">
        <v>0</v>
      </c>
      <c r="K110" s="8">
        <f>IFERROR(J110/J148, "NA")</f>
        <v>0</v>
      </c>
      <c r="L110" s="7">
        <v>0</v>
      </c>
      <c r="M110" s="8">
        <f>IFERROR(L110/L148, "NA")</f>
        <v>0</v>
      </c>
      <c r="N110" s="7">
        <v>0</v>
      </c>
      <c r="O110" s="8">
        <f>IFERROR(N110/N148, "NA")</f>
        <v>0</v>
      </c>
      <c r="P110" s="7">
        <v>0</v>
      </c>
      <c r="Q110" s="8">
        <f>IFERROR(P110/P148, "NA")</f>
        <v>0</v>
      </c>
      <c r="R110" s="7">
        <v>0</v>
      </c>
      <c r="S110" s="8">
        <f>IFERROR(R110/R148, "NA")</f>
        <v>0</v>
      </c>
      <c r="T110" s="7">
        <v>0</v>
      </c>
      <c r="U110" s="8">
        <f>IFERROR(T110/T148, "NA")</f>
        <v>0</v>
      </c>
      <c r="V110" s="7">
        <v>0</v>
      </c>
      <c r="W110" s="8">
        <f>IFERROR(V110/V148, "NA")</f>
        <v>0</v>
      </c>
      <c r="X110" s="7">
        <v>0</v>
      </c>
      <c r="Y110" s="8">
        <f>IFERROR(X110/X148, "NA")</f>
        <v>0</v>
      </c>
      <c r="Z110" s="7">
        <v>0</v>
      </c>
      <c r="AA110" s="8">
        <f>IFERROR(Z110/Z148, "NA")</f>
        <v>0</v>
      </c>
      <c r="AB110" s="9">
        <f t="shared" ref="AB110:AB135" si="42">IFERROR((R110+T110+V110+X110)/4, "NA")</f>
        <v>0</v>
      </c>
      <c r="AC110" s="8">
        <f>IFERROR(AB110/AB148, "NA")</f>
        <v>0</v>
      </c>
      <c r="AD110" s="10">
        <f t="shared" ref="AD110:AD135" si="43">IFERROR(X110-AB110, "NA")</f>
        <v>0</v>
      </c>
      <c r="AE110" s="11">
        <f>IFERROR(AD110/AD148, "NA")</f>
        <v>0</v>
      </c>
      <c r="AF110" s="10" t="str">
        <f t="shared" ref="AF110:AF135" si="44">IFERROR((X110-AB110)/AB110, "NA")</f>
        <v>NA</v>
      </c>
      <c r="AG110" s="9">
        <f t="shared" ref="AG110:AG135" si="45">IFERROR((J110+L110+N110+P110+R110+T110+V110+X110)/8, "NA")</f>
        <v>0</v>
      </c>
      <c r="AH110" s="8">
        <f>IFERROR(AG110/AG148, "NA")</f>
        <v>0</v>
      </c>
      <c r="AI110" s="10">
        <f t="shared" ref="AI110:AI135" si="46">IFERROR(X110-AG110, "NA")</f>
        <v>0</v>
      </c>
      <c r="AJ110" s="11">
        <f>IFERROR(AI110/AI148, "NA")</f>
        <v>0</v>
      </c>
      <c r="AK110" s="10" t="str">
        <f t="shared" ref="AK110:AK135" si="47">IFERROR((X110-AG110)/AG110, "NA")</f>
        <v>NA</v>
      </c>
      <c r="AL110" s="11" t="str">
        <f>IFERROR(AK110/AK148, "NA")</f>
        <v>NA</v>
      </c>
    </row>
    <row r="111" spans="1:38" ht="16.5" hidden="1" customHeight="1" x14ac:dyDescent="0.3">
      <c r="A111" s="6" t="s">
        <v>116</v>
      </c>
      <c r="B111" s="7">
        <v>0</v>
      </c>
      <c r="C111" s="8">
        <f>IFERROR(B111/B148, "NA")</f>
        <v>0</v>
      </c>
      <c r="D111" s="7">
        <v>0</v>
      </c>
      <c r="E111" s="8">
        <f>IFERROR(D111/D148, "NA")</f>
        <v>0</v>
      </c>
      <c r="F111" s="7">
        <v>0</v>
      </c>
      <c r="G111" s="8">
        <f>IFERROR(F111/F148, "NA")</f>
        <v>0</v>
      </c>
      <c r="H111" s="7">
        <v>0</v>
      </c>
      <c r="I111" s="8">
        <f>IFERROR(H111/H148, "NA")</f>
        <v>0</v>
      </c>
      <c r="J111" s="7">
        <v>0</v>
      </c>
      <c r="K111" s="8">
        <f>IFERROR(J111/J148, "NA")</f>
        <v>0</v>
      </c>
      <c r="L111" s="7">
        <v>0</v>
      </c>
      <c r="M111" s="8">
        <f>IFERROR(L111/L148, "NA")</f>
        <v>0</v>
      </c>
      <c r="N111" s="7">
        <v>0</v>
      </c>
      <c r="O111" s="8">
        <f>IFERROR(N111/N148, "NA")</f>
        <v>0</v>
      </c>
      <c r="P111" s="7">
        <v>0</v>
      </c>
      <c r="Q111" s="8">
        <f>IFERROR(P111/P148, "NA")</f>
        <v>0</v>
      </c>
      <c r="R111" s="7">
        <v>0</v>
      </c>
      <c r="S111" s="8">
        <f>IFERROR(R111/R148, "NA")</f>
        <v>0</v>
      </c>
      <c r="T111" s="7">
        <v>0</v>
      </c>
      <c r="U111" s="8">
        <f>IFERROR(T111/T148, "NA")</f>
        <v>0</v>
      </c>
      <c r="V111" s="7">
        <v>0</v>
      </c>
      <c r="W111" s="8">
        <f>IFERROR(V111/V148, "NA")</f>
        <v>0</v>
      </c>
      <c r="X111" s="7">
        <v>0</v>
      </c>
      <c r="Y111" s="8">
        <f>IFERROR(X111/X148, "NA")</f>
        <v>0</v>
      </c>
      <c r="Z111" s="7">
        <v>0</v>
      </c>
      <c r="AA111" s="8">
        <f>IFERROR(Z111/Z148, "NA")</f>
        <v>0</v>
      </c>
      <c r="AB111" s="9">
        <f t="shared" si="42"/>
        <v>0</v>
      </c>
      <c r="AC111" s="8">
        <f>IFERROR(AB111/AB148, "NA")</f>
        <v>0</v>
      </c>
      <c r="AD111" s="10">
        <f t="shared" si="43"/>
        <v>0</v>
      </c>
      <c r="AE111" s="11">
        <f>IFERROR(AD111/AD148, "NA")</f>
        <v>0</v>
      </c>
      <c r="AF111" s="10" t="str">
        <f t="shared" si="44"/>
        <v>NA</v>
      </c>
      <c r="AG111" s="9">
        <f t="shared" si="45"/>
        <v>0</v>
      </c>
      <c r="AH111" s="8">
        <f>IFERROR(AG111/AG148, "NA")</f>
        <v>0</v>
      </c>
      <c r="AI111" s="10">
        <f t="shared" si="46"/>
        <v>0</v>
      </c>
      <c r="AJ111" s="11">
        <f>IFERROR(AI111/AI148, "NA")</f>
        <v>0</v>
      </c>
      <c r="AK111" s="10" t="str">
        <f t="shared" si="47"/>
        <v>NA</v>
      </c>
      <c r="AL111" s="11" t="str">
        <f>IFERROR(AK111/AK148, "NA")</f>
        <v>NA</v>
      </c>
    </row>
    <row r="112" spans="1:38" ht="16.5" hidden="1" customHeight="1" x14ac:dyDescent="0.3">
      <c r="A112" s="6" t="s">
        <v>117</v>
      </c>
      <c r="B112" s="7">
        <v>0</v>
      </c>
      <c r="C112" s="8">
        <f>IFERROR(B112/B148, "NA")</f>
        <v>0</v>
      </c>
      <c r="D112" s="7">
        <v>0</v>
      </c>
      <c r="E112" s="8">
        <f>IFERROR(D112/D148, "NA")</f>
        <v>0</v>
      </c>
      <c r="F112" s="7">
        <v>0</v>
      </c>
      <c r="G112" s="8">
        <f>IFERROR(F112/F148, "NA")</f>
        <v>0</v>
      </c>
      <c r="H112" s="7">
        <v>0</v>
      </c>
      <c r="I112" s="8">
        <f>IFERROR(H112/H148, "NA")</f>
        <v>0</v>
      </c>
      <c r="J112" s="7">
        <v>0</v>
      </c>
      <c r="K112" s="8">
        <f>IFERROR(J112/J148, "NA")</f>
        <v>0</v>
      </c>
      <c r="L112" s="7">
        <v>0</v>
      </c>
      <c r="M112" s="8">
        <f>IFERROR(L112/L148, "NA")</f>
        <v>0</v>
      </c>
      <c r="N112" s="7">
        <v>0</v>
      </c>
      <c r="O112" s="8">
        <f>IFERROR(N112/N148, "NA")</f>
        <v>0</v>
      </c>
      <c r="P112" s="7">
        <v>0</v>
      </c>
      <c r="Q112" s="8">
        <f>IFERROR(P112/P148, "NA")</f>
        <v>0</v>
      </c>
      <c r="R112" s="7">
        <v>0</v>
      </c>
      <c r="S112" s="8">
        <f>IFERROR(R112/R148, "NA")</f>
        <v>0</v>
      </c>
      <c r="T112" s="7">
        <v>0</v>
      </c>
      <c r="U112" s="8">
        <f>IFERROR(T112/T148, "NA")</f>
        <v>0</v>
      </c>
      <c r="V112" s="7">
        <v>0</v>
      </c>
      <c r="W112" s="8">
        <f>IFERROR(V112/V148, "NA")</f>
        <v>0</v>
      </c>
      <c r="X112" s="7">
        <v>0</v>
      </c>
      <c r="Y112" s="8">
        <f>IFERROR(X112/X148, "NA")</f>
        <v>0</v>
      </c>
      <c r="Z112" s="7">
        <v>0</v>
      </c>
      <c r="AA112" s="8">
        <f>IFERROR(Z112/Z148, "NA")</f>
        <v>0</v>
      </c>
      <c r="AB112" s="9">
        <f t="shared" si="42"/>
        <v>0</v>
      </c>
      <c r="AC112" s="8">
        <f>IFERROR(AB112/AB148, "NA")</f>
        <v>0</v>
      </c>
      <c r="AD112" s="10">
        <f t="shared" si="43"/>
        <v>0</v>
      </c>
      <c r="AE112" s="11">
        <f>IFERROR(AD112/AD148, "NA")</f>
        <v>0</v>
      </c>
      <c r="AF112" s="10" t="str">
        <f t="shared" si="44"/>
        <v>NA</v>
      </c>
      <c r="AG112" s="9">
        <f t="shared" si="45"/>
        <v>0</v>
      </c>
      <c r="AH112" s="8">
        <f>IFERROR(AG112/AG148, "NA")</f>
        <v>0</v>
      </c>
      <c r="AI112" s="10">
        <f t="shared" si="46"/>
        <v>0</v>
      </c>
      <c r="AJ112" s="11">
        <f>IFERROR(AI112/AI148, "NA")</f>
        <v>0</v>
      </c>
      <c r="AK112" s="10" t="str">
        <f t="shared" si="47"/>
        <v>NA</v>
      </c>
      <c r="AL112" s="11" t="str">
        <f>IFERROR(AK112/AK148, "NA")</f>
        <v>NA</v>
      </c>
    </row>
    <row r="113" spans="1:38" ht="16.5" hidden="1" customHeight="1" x14ac:dyDescent="0.3">
      <c r="A113" s="6" t="s">
        <v>118</v>
      </c>
      <c r="B113" s="7">
        <v>0</v>
      </c>
      <c r="C113" s="8">
        <f>IFERROR(B113/B148, "NA")</f>
        <v>0</v>
      </c>
      <c r="D113" s="7">
        <v>0</v>
      </c>
      <c r="E113" s="8">
        <f>IFERROR(D113/D148, "NA")</f>
        <v>0</v>
      </c>
      <c r="F113" s="7">
        <v>0</v>
      </c>
      <c r="G113" s="8">
        <f>IFERROR(F113/F148, "NA")</f>
        <v>0</v>
      </c>
      <c r="H113" s="7">
        <v>0</v>
      </c>
      <c r="I113" s="8">
        <f>IFERROR(H113/H148, "NA")</f>
        <v>0</v>
      </c>
      <c r="J113" s="7">
        <v>0</v>
      </c>
      <c r="K113" s="8">
        <f>IFERROR(J113/J148, "NA")</f>
        <v>0</v>
      </c>
      <c r="L113" s="7">
        <v>0</v>
      </c>
      <c r="M113" s="8">
        <f>IFERROR(L113/L148, "NA")</f>
        <v>0</v>
      </c>
      <c r="N113" s="7">
        <v>0</v>
      </c>
      <c r="O113" s="8">
        <f>IFERROR(N113/N148, "NA")</f>
        <v>0</v>
      </c>
      <c r="P113" s="7">
        <v>0</v>
      </c>
      <c r="Q113" s="8">
        <f>IFERROR(P113/P148, "NA")</f>
        <v>0</v>
      </c>
      <c r="R113" s="7">
        <v>0</v>
      </c>
      <c r="S113" s="8">
        <f>IFERROR(R113/R148, "NA")</f>
        <v>0</v>
      </c>
      <c r="T113" s="7">
        <v>0</v>
      </c>
      <c r="U113" s="8">
        <f>IFERROR(T113/T148, "NA")</f>
        <v>0</v>
      </c>
      <c r="V113" s="7">
        <v>0</v>
      </c>
      <c r="W113" s="8">
        <f>IFERROR(V113/V148, "NA")</f>
        <v>0</v>
      </c>
      <c r="X113" s="7">
        <v>0</v>
      </c>
      <c r="Y113" s="8">
        <f>IFERROR(X113/X148, "NA")</f>
        <v>0</v>
      </c>
      <c r="Z113" s="7">
        <v>0</v>
      </c>
      <c r="AA113" s="8">
        <f>IFERROR(Z113/Z148, "NA")</f>
        <v>0</v>
      </c>
      <c r="AB113" s="9">
        <f t="shared" si="42"/>
        <v>0</v>
      </c>
      <c r="AC113" s="8">
        <f>IFERROR(AB113/AB148, "NA")</f>
        <v>0</v>
      </c>
      <c r="AD113" s="10">
        <f t="shared" si="43"/>
        <v>0</v>
      </c>
      <c r="AE113" s="11">
        <f>IFERROR(AD113/AD148, "NA")</f>
        <v>0</v>
      </c>
      <c r="AF113" s="10" t="str">
        <f t="shared" si="44"/>
        <v>NA</v>
      </c>
      <c r="AG113" s="9">
        <f t="shared" si="45"/>
        <v>0</v>
      </c>
      <c r="AH113" s="8">
        <f>IFERROR(AG113/AG148, "NA")</f>
        <v>0</v>
      </c>
      <c r="AI113" s="10">
        <f t="shared" si="46"/>
        <v>0</v>
      </c>
      <c r="AJ113" s="11">
        <f>IFERROR(AI113/AI148, "NA")</f>
        <v>0</v>
      </c>
      <c r="AK113" s="10" t="str">
        <f t="shared" si="47"/>
        <v>NA</v>
      </c>
      <c r="AL113" s="11" t="str">
        <f>IFERROR(AK113/AK148, "NA")</f>
        <v>NA</v>
      </c>
    </row>
    <row r="114" spans="1:38" ht="16.5" hidden="1" customHeight="1" x14ac:dyDescent="0.3">
      <c r="A114" s="6" t="s">
        <v>119</v>
      </c>
      <c r="B114" s="7">
        <v>0</v>
      </c>
      <c r="C114" s="8">
        <f>IFERROR(B114/B148, "NA")</f>
        <v>0</v>
      </c>
      <c r="D114" s="7">
        <v>0</v>
      </c>
      <c r="E114" s="8">
        <f>IFERROR(D114/D148, "NA")</f>
        <v>0</v>
      </c>
      <c r="F114" s="7">
        <v>0</v>
      </c>
      <c r="G114" s="8">
        <f>IFERROR(F114/F148, "NA")</f>
        <v>0</v>
      </c>
      <c r="H114" s="7">
        <v>0</v>
      </c>
      <c r="I114" s="8">
        <f>IFERROR(H114/H148, "NA")</f>
        <v>0</v>
      </c>
      <c r="J114" s="7">
        <v>0</v>
      </c>
      <c r="K114" s="8">
        <f>IFERROR(J114/J148, "NA")</f>
        <v>0</v>
      </c>
      <c r="L114" s="7">
        <v>0</v>
      </c>
      <c r="M114" s="8">
        <f>IFERROR(L114/L148, "NA")</f>
        <v>0</v>
      </c>
      <c r="N114" s="7">
        <v>0</v>
      </c>
      <c r="O114" s="8">
        <f>IFERROR(N114/N148, "NA")</f>
        <v>0</v>
      </c>
      <c r="P114" s="7">
        <v>0</v>
      </c>
      <c r="Q114" s="8">
        <f>IFERROR(P114/P148, "NA")</f>
        <v>0</v>
      </c>
      <c r="R114" s="7">
        <v>0</v>
      </c>
      <c r="S114" s="8">
        <f>IFERROR(R114/R148, "NA")</f>
        <v>0</v>
      </c>
      <c r="T114" s="7">
        <v>0</v>
      </c>
      <c r="U114" s="8">
        <f>IFERROR(T114/T148, "NA")</f>
        <v>0</v>
      </c>
      <c r="V114" s="7">
        <v>0</v>
      </c>
      <c r="W114" s="8">
        <f>IFERROR(V114/V148, "NA")</f>
        <v>0</v>
      </c>
      <c r="X114" s="7">
        <v>0</v>
      </c>
      <c r="Y114" s="8">
        <f>IFERROR(X114/X148, "NA")</f>
        <v>0</v>
      </c>
      <c r="Z114" s="7">
        <v>0</v>
      </c>
      <c r="AA114" s="8">
        <f>IFERROR(Z114/Z148, "NA")</f>
        <v>0</v>
      </c>
      <c r="AB114" s="9">
        <f t="shared" si="42"/>
        <v>0</v>
      </c>
      <c r="AC114" s="8">
        <f>IFERROR(AB114/AB148, "NA")</f>
        <v>0</v>
      </c>
      <c r="AD114" s="10">
        <f t="shared" si="43"/>
        <v>0</v>
      </c>
      <c r="AE114" s="11">
        <f>IFERROR(AD114/AD148, "NA")</f>
        <v>0</v>
      </c>
      <c r="AF114" s="10" t="str">
        <f t="shared" si="44"/>
        <v>NA</v>
      </c>
      <c r="AG114" s="9">
        <f t="shared" si="45"/>
        <v>0</v>
      </c>
      <c r="AH114" s="8">
        <f>IFERROR(AG114/AG148, "NA")</f>
        <v>0</v>
      </c>
      <c r="AI114" s="10">
        <f t="shared" si="46"/>
        <v>0</v>
      </c>
      <c r="AJ114" s="11">
        <f>IFERROR(AI114/AI148, "NA")</f>
        <v>0</v>
      </c>
      <c r="AK114" s="10" t="str">
        <f t="shared" si="47"/>
        <v>NA</v>
      </c>
      <c r="AL114" s="11" t="str">
        <f>IFERROR(AK114/AK148, "NA")</f>
        <v>NA</v>
      </c>
    </row>
    <row r="115" spans="1:38" ht="16.5" hidden="1" customHeight="1" x14ac:dyDescent="0.3">
      <c r="A115" s="6" t="s">
        <v>120</v>
      </c>
      <c r="B115" s="7">
        <v>0</v>
      </c>
      <c r="C115" s="8">
        <f>IFERROR(B115/B148, "NA")</f>
        <v>0</v>
      </c>
      <c r="D115" s="7">
        <v>0</v>
      </c>
      <c r="E115" s="8">
        <f>IFERROR(D115/D148, "NA")</f>
        <v>0</v>
      </c>
      <c r="F115" s="7">
        <v>0</v>
      </c>
      <c r="G115" s="8">
        <f>IFERROR(F115/F148, "NA")</f>
        <v>0</v>
      </c>
      <c r="H115" s="7">
        <v>0</v>
      </c>
      <c r="I115" s="8">
        <f>IFERROR(H115/H148, "NA")</f>
        <v>0</v>
      </c>
      <c r="J115" s="7">
        <v>0</v>
      </c>
      <c r="K115" s="8">
        <f>IFERROR(J115/J148, "NA")</f>
        <v>0</v>
      </c>
      <c r="L115" s="7">
        <v>0</v>
      </c>
      <c r="M115" s="8">
        <f>IFERROR(L115/L148, "NA")</f>
        <v>0</v>
      </c>
      <c r="N115" s="7">
        <v>0</v>
      </c>
      <c r="O115" s="8">
        <f>IFERROR(N115/N148, "NA")</f>
        <v>0</v>
      </c>
      <c r="P115" s="7">
        <v>0</v>
      </c>
      <c r="Q115" s="8">
        <f>IFERROR(P115/P148, "NA")</f>
        <v>0</v>
      </c>
      <c r="R115" s="7">
        <v>0</v>
      </c>
      <c r="S115" s="8">
        <f>IFERROR(R115/R148, "NA")</f>
        <v>0</v>
      </c>
      <c r="T115" s="7">
        <v>0</v>
      </c>
      <c r="U115" s="8">
        <f>IFERROR(T115/T148, "NA")</f>
        <v>0</v>
      </c>
      <c r="V115" s="7">
        <v>3.71</v>
      </c>
      <c r="W115" s="8">
        <f>IFERROR(V115/V148, "NA")</f>
        <v>1.1844123670529043E-4</v>
      </c>
      <c r="X115" s="7">
        <v>0</v>
      </c>
      <c r="Y115" s="8">
        <f>IFERROR(X115/X148, "NA")</f>
        <v>0</v>
      </c>
      <c r="Z115" s="7">
        <v>3.71</v>
      </c>
      <c r="AA115" s="8">
        <f>IFERROR(Z115/Z148, "NA")</f>
        <v>4.2937320077004783E-5</v>
      </c>
      <c r="AB115" s="9">
        <f t="shared" si="42"/>
        <v>0.92749999999999999</v>
      </c>
      <c r="AC115" s="8">
        <f>IFERROR(AB115/AB148, "NA")</f>
        <v>3.0856537560473827E-5</v>
      </c>
      <c r="AD115" s="10">
        <f t="shared" si="43"/>
        <v>-0.92749999999999999</v>
      </c>
      <c r="AE115" s="11">
        <f>IFERROR(AD115/AD148, "NA")</f>
        <v>-6.8785226935627339E-3</v>
      </c>
      <c r="AF115" s="10">
        <f t="shared" si="44"/>
        <v>-1</v>
      </c>
      <c r="AG115" s="9">
        <f t="shared" si="45"/>
        <v>0.46375</v>
      </c>
      <c r="AH115" s="8">
        <f>IFERROR(AG115/AG148, "NA")</f>
        <v>1.6352273997468972E-5</v>
      </c>
      <c r="AI115" s="10">
        <f t="shared" si="46"/>
        <v>-0.46375</v>
      </c>
      <c r="AJ115" s="11">
        <f>IFERROR(AI115/AI148, "NA")</f>
        <v>-2.5295500537273629E-4</v>
      </c>
      <c r="AK115" s="10">
        <f t="shared" si="47"/>
        <v>-1</v>
      </c>
      <c r="AL115" s="11">
        <f>IFERROR(AK115/AK148, "NA")</f>
        <v>-15.469102671095715</v>
      </c>
    </row>
    <row r="116" spans="1:38" ht="16.5" hidden="1" customHeight="1" x14ac:dyDescent="0.3">
      <c r="A116" s="6" t="s">
        <v>121</v>
      </c>
      <c r="B116" s="7">
        <v>0</v>
      </c>
      <c r="C116" s="8">
        <f>IFERROR(B116/B148, "NA")</f>
        <v>0</v>
      </c>
      <c r="D116" s="7">
        <v>0</v>
      </c>
      <c r="E116" s="8">
        <f>IFERROR(D116/D148, "NA")</f>
        <v>0</v>
      </c>
      <c r="F116" s="7">
        <v>0</v>
      </c>
      <c r="G116" s="8">
        <f>IFERROR(F116/F148, "NA")</f>
        <v>0</v>
      </c>
      <c r="H116" s="7">
        <v>0</v>
      </c>
      <c r="I116" s="8">
        <f>IFERROR(H116/H148, "NA")</f>
        <v>0</v>
      </c>
      <c r="J116" s="7">
        <v>0</v>
      </c>
      <c r="K116" s="8">
        <f>IFERROR(J116/J148, "NA")</f>
        <v>0</v>
      </c>
      <c r="L116" s="7">
        <v>0</v>
      </c>
      <c r="M116" s="8">
        <f>IFERROR(L116/L148, "NA")</f>
        <v>0</v>
      </c>
      <c r="N116" s="7">
        <v>0</v>
      </c>
      <c r="O116" s="8">
        <f>IFERROR(N116/N148, "NA")</f>
        <v>0</v>
      </c>
      <c r="P116" s="7">
        <v>0</v>
      </c>
      <c r="Q116" s="8">
        <f>IFERROR(P116/P148, "NA")</f>
        <v>0</v>
      </c>
      <c r="R116" s="7">
        <v>0</v>
      </c>
      <c r="S116" s="8">
        <f>IFERROR(R116/R148, "NA")</f>
        <v>0</v>
      </c>
      <c r="T116" s="7">
        <v>0</v>
      </c>
      <c r="U116" s="8">
        <f>IFERROR(T116/T148, "NA")</f>
        <v>0</v>
      </c>
      <c r="V116" s="7">
        <v>0</v>
      </c>
      <c r="W116" s="8">
        <f>IFERROR(V116/V148, "NA")</f>
        <v>0</v>
      </c>
      <c r="X116" s="7">
        <v>0</v>
      </c>
      <c r="Y116" s="8">
        <f>IFERROR(X116/X148, "NA")</f>
        <v>0</v>
      </c>
      <c r="Z116" s="7">
        <v>0</v>
      </c>
      <c r="AA116" s="8">
        <f>IFERROR(Z116/Z148, "NA")</f>
        <v>0</v>
      </c>
      <c r="AB116" s="9">
        <f t="shared" si="42"/>
        <v>0</v>
      </c>
      <c r="AC116" s="8">
        <f>IFERROR(AB116/AB148, "NA")</f>
        <v>0</v>
      </c>
      <c r="AD116" s="10">
        <f t="shared" si="43"/>
        <v>0</v>
      </c>
      <c r="AE116" s="11">
        <f>IFERROR(AD116/AD148, "NA")</f>
        <v>0</v>
      </c>
      <c r="AF116" s="10" t="str">
        <f t="shared" si="44"/>
        <v>NA</v>
      </c>
      <c r="AG116" s="9">
        <f t="shared" si="45"/>
        <v>0</v>
      </c>
      <c r="AH116" s="8">
        <f>IFERROR(AG116/AG148, "NA")</f>
        <v>0</v>
      </c>
      <c r="AI116" s="10">
        <f t="shared" si="46"/>
        <v>0</v>
      </c>
      <c r="AJ116" s="11">
        <f>IFERROR(AI116/AI148, "NA")</f>
        <v>0</v>
      </c>
      <c r="AK116" s="10" t="str">
        <f t="shared" si="47"/>
        <v>NA</v>
      </c>
      <c r="AL116" s="11" t="str">
        <f>IFERROR(AK116/AK148, "NA")</f>
        <v>NA</v>
      </c>
    </row>
    <row r="117" spans="1:38" ht="16.5" hidden="1" customHeight="1" x14ac:dyDescent="0.3">
      <c r="A117" s="6" t="s">
        <v>122</v>
      </c>
      <c r="B117" s="7">
        <v>0</v>
      </c>
      <c r="C117" s="8">
        <f>IFERROR(B117/B148, "NA")</f>
        <v>0</v>
      </c>
      <c r="D117" s="7">
        <v>0</v>
      </c>
      <c r="E117" s="8">
        <f>IFERROR(D117/D148, "NA")</f>
        <v>0</v>
      </c>
      <c r="F117" s="7">
        <v>0</v>
      </c>
      <c r="G117" s="8">
        <f>IFERROR(F117/F148, "NA")</f>
        <v>0</v>
      </c>
      <c r="H117" s="7">
        <v>0</v>
      </c>
      <c r="I117" s="8">
        <f>IFERROR(H117/H148, "NA")</f>
        <v>0</v>
      </c>
      <c r="J117" s="7">
        <v>0</v>
      </c>
      <c r="K117" s="8">
        <f>IFERROR(J117/J148, "NA")</f>
        <v>0</v>
      </c>
      <c r="L117" s="7">
        <v>0</v>
      </c>
      <c r="M117" s="8">
        <f>IFERROR(L117/L148, "NA")</f>
        <v>0</v>
      </c>
      <c r="N117" s="7">
        <v>0</v>
      </c>
      <c r="O117" s="8">
        <f>IFERROR(N117/N148, "NA")</f>
        <v>0</v>
      </c>
      <c r="P117" s="7">
        <v>0</v>
      </c>
      <c r="Q117" s="8">
        <f>IFERROR(P117/P148, "NA")</f>
        <v>0</v>
      </c>
      <c r="R117" s="7">
        <v>0</v>
      </c>
      <c r="S117" s="8">
        <f>IFERROR(R117/R148, "NA")</f>
        <v>0</v>
      </c>
      <c r="T117" s="7">
        <v>0</v>
      </c>
      <c r="U117" s="8">
        <f>IFERROR(T117/T148, "NA")</f>
        <v>0</v>
      </c>
      <c r="V117" s="7">
        <v>0</v>
      </c>
      <c r="W117" s="8">
        <f>IFERROR(V117/V148, "NA")</f>
        <v>0</v>
      </c>
      <c r="X117" s="7">
        <v>0</v>
      </c>
      <c r="Y117" s="8">
        <f>IFERROR(X117/X148, "NA")</f>
        <v>0</v>
      </c>
      <c r="Z117" s="7">
        <v>0</v>
      </c>
      <c r="AA117" s="8">
        <f>IFERROR(Z117/Z148, "NA")</f>
        <v>0</v>
      </c>
      <c r="AB117" s="9">
        <f t="shared" si="42"/>
        <v>0</v>
      </c>
      <c r="AC117" s="8">
        <f>IFERROR(AB117/AB148, "NA")</f>
        <v>0</v>
      </c>
      <c r="AD117" s="10">
        <f t="shared" si="43"/>
        <v>0</v>
      </c>
      <c r="AE117" s="11">
        <f>IFERROR(AD117/AD148, "NA")</f>
        <v>0</v>
      </c>
      <c r="AF117" s="10" t="str">
        <f t="shared" si="44"/>
        <v>NA</v>
      </c>
      <c r="AG117" s="9">
        <f t="shared" si="45"/>
        <v>0</v>
      </c>
      <c r="AH117" s="8">
        <f>IFERROR(AG117/AG148, "NA")</f>
        <v>0</v>
      </c>
      <c r="AI117" s="10">
        <f t="shared" si="46"/>
        <v>0</v>
      </c>
      <c r="AJ117" s="11">
        <f>IFERROR(AI117/AI148, "NA")</f>
        <v>0</v>
      </c>
      <c r="AK117" s="10" t="str">
        <f t="shared" si="47"/>
        <v>NA</v>
      </c>
      <c r="AL117" s="11" t="str">
        <f>IFERROR(AK117/AK148, "NA")</f>
        <v>NA</v>
      </c>
    </row>
    <row r="118" spans="1:38" ht="16.5" hidden="1" customHeight="1" x14ac:dyDescent="0.3">
      <c r="A118" s="6" t="s">
        <v>123</v>
      </c>
      <c r="B118" s="7">
        <v>0</v>
      </c>
      <c r="C118" s="8">
        <f>IFERROR(B118/B148, "NA")</f>
        <v>0</v>
      </c>
      <c r="D118" s="7">
        <v>0</v>
      </c>
      <c r="E118" s="8">
        <f>IFERROR(D118/D148, "NA")</f>
        <v>0</v>
      </c>
      <c r="F118" s="7">
        <v>0</v>
      </c>
      <c r="G118" s="8">
        <f>IFERROR(F118/F148, "NA")</f>
        <v>0</v>
      </c>
      <c r="H118" s="7">
        <v>0</v>
      </c>
      <c r="I118" s="8">
        <f>IFERROR(H118/H148, "NA")</f>
        <v>0</v>
      </c>
      <c r="J118" s="7">
        <v>0</v>
      </c>
      <c r="K118" s="8">
        <f>IFERROR(J118/J148, "NA")</f>
        <v>0</v>
      </c>
      <c r="L118" s="7">
        <v>0</v>
      </c>
      <c r="M118" s="8">
        <f>IFERROR(L118/L148, "NA")</f>
        <v>0</v>
      </c>
      <c r="N118" s="7">
        <v>0</v>
      </c>
      <c r="O118" s="8">
        <f>IFERROR(N118/N148, "NA")</f>
        <v>0</v>
      </c>
      <c r="P118" s="7">
        <v>0</v>
      </c>
      <c r="Q118" s="8">
        <f>IFERROR(P118/P148, "NA")</f>
        <v>0</v>
      </c>
      <c r="R118" s="7">
        <v>0</v>
      </c>
      <c r="S118" s="8">
        <f>IFERROR(R118/R148, "NA")</f>
        <v>0</v>
      </c>
      <c r="T118" s="7">
        <v>0</v>
      </c>
      <c r="U118" s="8">
        <f>IFERROR(T118/T148, "NA")</f>
        <v>0</v>
      </c>
      <c r="V118" s="7">
        <v>0</v>
      </c>
      <c r="W118" s="8">
        <f>IFERROR(V118/V148, "NA")</f>
        <v>0</v>
      </c>
      <c r="X118" s="7">
        <v>0</v>
      </c>
      <c r="Y118" s="8">
        <f>IFERROR(X118/X148, "NA")</f>
        <v>0</v>
      </c>
      <c r="Z118" s="7">
        <v>0</v>
      </c>
      <c r="AA118" s="8">
        <f>IFERROR(Z118/Z148, "NA")</f>
        <v>0</v>
      </c>
      <c r="AB118" s="9">
        <f t="shared" si="42"/>
        <v>0</v>
      </c>
      <c r="AC118" s="8">
        <f>IFERROR(AB118/AB148, "NA")</f>
        <v>0</v>
      </c>
      <c r="AD118" s="10">
        <f t="shared" si="43"/>
        <v>0</v>
      </c>
      <c r="AE118" s="11">
        <f>IFERROR(AD118/AD148, "NA")</f>
        <v>0</v>
      </c>
      <c r="AF118" s="10" t="str">
        <f t="shared" si="44"/>
        <v>NA</v>
      </c>
      <c r="AG118" s="9">
        <f t="shared" si="45"/>
        <v>0</v>
      </c>
      <c r="AH118" s="8">
        <f>IFERROR(AG118/AG148, "NA")</f>
        <v>0</v>
      </c>
      <c r="AI118" s="10">
        <f t="shared" si="46"/>
        <v>0</v>
      </c>
      <c r="AJ118" s="11">
        <f>IFERROR(AI118/AI148, "NA")</f>
        <v>0</v>
      </c>
      <c r="AK118" s="10" t="str">
        <f t="shared" si="47"/>
        <v>NA</v>
      </c>
      <c r="AL118" s="11" t="str">
        <f>IFERROR(AK118/AK148, "NA")</f>
        <v>NA</v>
      </c>
    </row>
    <row r="119" spans="1:38" ht="16.5" hidden="1" customHeight="1" x14ac:dyDescent="0.3">
      <c r="A119" s="6" t="s">
        <v>124</v>
      </c>
      <c r="B119" s="7">
        <v>0</v>
      </c>
      <c r="C119" s="8">
        <f>IFERROR(B119/B148, "NA")</f>
        <v>0</v>
      </c>
      <c r="D119" s="7">
        <v>0</v>
      </c>
      <c r="E119" s="8">
        <f>IFERROR(D119/D148, "NA")</f>
        <v>0</v>
      </c>
      <c r="F119" s="7">
        <v>0</v>
      </c>
      <c r="G119" s="8">
        <f>IFERROR(F119/F148, "NA")</f>
        <v>0</v>
      </c>
      <c r="H119" s="7">
        <v>0</v>
      </c>
      <c r="I119" s="8">
        <f>IFERROR(H119/H148, "NA")</f>
        <v>0</v>
      </c>
      <c r="J119" s="7">
        <v>0</v>
      </c>
      <c r="K119" s="8">
        <f>IFERROR(J119/J148, "NA")</f>
        <v>0</v>
      </c>
      <c r="L119" s="7">
        <v>0</v>
      </c>
      <c r="M119" s="8">
        <f>IFERROR(L119/L148, "NA")</f>
        <v>0</v>
      </c>
      <c r="N119" s="7">
        <v>0</v>
      </c>
      <c r="O119" s="8">
        <f>IFERROR(N119/N148, "NA")</f>
        <v>0</v>
      </c>
      <c r="P119" s="7">
        <v>0</v>
      </c>
      <c r="Q119" s="8">
        <f>IFERROR(P119/P148, "NA")</f>
        <v>0</v>
      </c>
      <c r="R119" s="7">
        <v>0</v>
      </c>
      <c r="S119" s="8">
        <f>IFERROR(R119/R148, "NA")</f>
        <v>0</v>
      </c>
      <c r="T119" s="7">
        <v>0</v>
      </c>
      <c r="U119" s="8">
        <f>IFERROR(T119/T148, "NA")</f>
        <v>0</v>
      </c>
      <c r="V119" s="7">
        <v>0</v>
      </c>
      <c r="W119" s="8">
        <f>IFERROR(V119/V148, "NA")</f>
        <v>0</v>
      </c>
      <c r="X119" s="7">
        <v>0</v>
      </c>
      <c r="Y119" s="8">
        <f>IFERROR(X119/X148, "NA")</f>
        <v>0</v>
      </c>
      <c r="Z119" s="7">
        <v>0</v>
      </c>
      <c r="AA119" s="8">
        <f>IFERROR(Z119/Z148, "NA")</f>
        <v>0</v>
      </c>
      <c r="AB119" s="9">
        <f t="shared" si="42"/>
        <v>0</v>
      </c>
      <c r="AC119" s="8">
        <f>IFERROR(AB119/AB148, "NA")</f>
        <v>0</v>
      </c>
      <c r="AD119" s="10">
        <f t="shared" si="43"/>
        <v>0</v>
      </c>
      <c r="AE119" s="11">
        <f>IFERROR(AD119/AD148, "NA")</f>
        <v>0</v>
      </c>
      <c r="AF119" s="10" t="str">
        <f t="shared" si="44"/>
        <v>NA</v>
      </c>
      <c r="AG119" s="9">
        <f t="shared" si="45"/>
        <v>0</v>
      </c>
      <c r="AH119" s="8">
        <f>IFERROR(AG119/AG148, "NA")</f>
        <v>0</v>
      </c>
      <c r="AI119" s="10">
        <f t="shared" si="46"/>
        <v>0</v>
      </c>
      <c r="AJ119" s="11">
        <f>IFERROR(AI119/AI148, "NA")</f>
        <v>0</v>
      </c>
      <c r="AK119" s="10" t="str">
        <f t="shared" si="47"/>
        <v>NA</v>
      </c>
      <c r="AL119" s="11" t="str">
        <f>IFERROR(AK119/AK148, "NA")</f>
        <v>NA</v>
      </c>
    </row>
    <row r="120" spans="1:38" ht="16.5" hidden="1" customHeight="1" x14ac:dyDescent="0.3">
      <c r="A120" s="6" t="s">
        <v>125</v>
      </c>
      <c r="B120" s="7">
        <v>0</v>
      </c>
      <c r="C120" s="8">
        <f>IFERROR(B120/B148, "NA")</f>
        <v>0</v>
      </c>
      <c r="D120" s="7">
        <v>0</v>
      </c>
      <c r="E120" s="8">
        <f>IFERROR(D120/D148, "NA")</f>
        <v>0</v>
      </c>
      <c r="F120" s="7">
        <v>0</v>
      </c>
      <c r="G120" s="8">
        <f>IFERROR(F120/F148, "NA")</f>
        <v>0</v>
      </c>
      <c r="H120" s="7">
        <v>0</v>
      </c>
      <c r="I120" s="8">
        <f>IFERROR(H120/H148, "NA")</f>
        <v>0</v>
      </c>
      <c r="J120" s="7">
        <v>0</v>
      </c>
      <c r="K120" s="8">
        <f>IFERROR(J120/J148, "NA")</f>
        <v>0</v>
      </c>
      <c r="L120" s="7">
        <v>0</v>
      </c>
      <c r="M120" s="8">
        <f>IFERROR(L120/L148, "NA")</f>
        <v>0</v>
      </c>
      <c r="N120" s="7">
        <v>0</v>
      </c>
      <c r="O120" s="8">
        <f>IFERROR(N120/N148, "NA")</f>
        <v>0</v>
      </c>
      <c r="P120" s="7">
        <v>0</v>
      </c>
      <c r="Q120" s="8">
        <f>IFERROR(P120/P148, "NA")</f>
        <v>0</v>
      </c>
      <c r="R120" s="7">
        <v>0</v>
      </c>
      <c r="S120" s="8">
        <f>IFERROR(R120/R148, "NA")</f>
        <v>0</v>
      </c>
      <c r="T120" s="7">
        <v>0</v>
      </c>
      <c r="U120" s="8">
        <f>IFERROR(T120/T148, "NA")</f>
        <v>0</v>
      </c>
      <c r="V120" s="7">
        <v>0</v>
      </c>
      <c r="W120" s="8">
        <f>IFERROR(V120/V148, "NA")</f>
        <v>0</v>
      </c>
      <c r="X120" s="7">
        <v>0</v>
      </c>
      <c r="Y120" s="8">
        <f>IFERROR(X120/X148, "NA")</f>
        <v>0</v>
      </c>
      <c r="Z120" s="7">
        <v>0</v>
      </c>
      <c r="AA120" s="8">
        <f>IFERROR(Z120/Z148, "NA")</f>
        <v>0</v>
      </c>
      <c r="AB120" s="9">
        <f t="shared" si="42"/>
        <v>0</v>
      </c>
      <c r="AC120" s="8">
        <f>IFERROR(AB120/AB148, "NA")</f>
        <v>0</v>
      </c>
      <c r="AD120" s="10">
        <f t="shared" si="43"/>
        <v>0</v>
      </c>
      <c r="AE120" s="11">
        <f>IFERROR(AD120/AD148, "NA")</f>
        <v>0</v>
      </c>
      <c r="AF120" s="10" t="str">
        <f t="shared" si="44"/>
        <v>NA</v>
      </c>
      <c r="AG120" s="9">
        <f t="shared" si="45"/>
        <v>0</v>
      </c>
      <c r="AH120" s="8">
        <f>IFERROR(AG120/AG148, "NA")</f>
        <v>0</v>
      </c>
      <c r="AI120" s="10">
        <f t="shared" si="46"/>
        <v>0</v>
      </c>
      <c r="AJ120" s="11">
        <f>IFERROR(AI120/AI148, "NA")</f>
        <v>0</v>
      </c>
      <c r="AK120" s="10" t="str">
        <f t="shared" si="47"/>
        <v>NA</v>
      </c>
      <c r="AL120" s="11" t="str">
        <f>IFERROR(AK120/AK148, "NA")</f>
        <v>NA</v>
      </c>
    </row>
    <row r="121" spans="1:38" ht="16.5" hidden="1" customHeight="1" x14ac:dyDescent="0.3">
      <c r="A121" s="6" t="s">
        <v>126</v>
      </c>
      <c r="B121" s="7">
        <v>0</v>
      </c>
      <c r="C121" s="8">
        <f>IFERROR(B121/B148, "NA")</f>
        <v>0</v>
      </c>
      <c r="D121" s="7">
        <v>0</v>
      </c>
      <c r="E121" s="8">
        <f>IFERROR(D121/D148, "NA")</f>
        <v>0</v>
      </c>
      <c r="F121" s="7">
        <v>0</v>
      </c>
      <c r="G121" s="8">
        <f>IFERROR(F121/F148, "NA")</f>
        <v>0</v>
      </c>
      <c r="H121" s="7">
        <v>0</v>
      </c>
      <c r="I121" s="8">
        <f>IFERROR(H121/H148, "NA")</f>
        <v>0</v>
      </c>
      <c r="J121" s="7">
        <v>0</v>
      </c>
      <c r="K121" s="8">
        <f>IFERROR(J121/J148, "NA")</f>
        <v>0</v>
      </c>
      <c r="L121" s="7">
        <v>0</v>
      </c>
      <c r="M121" s="8">
        <f>IFERROR(L121/L148, "NA")</f>
        <v>0</v>
      </c>
      <c r="N121" s="7">
        <v>0</v>
      </c>
      <c r="O121" s="8">
        <f>IFERROR(N121/N148, "NA")</f>
        <v>0</v>
      </c>
      <c r="P121" s="7">
        <v>0</v>
      </c>
      <c r="Q121" s="8">
        <f>IFERROR(P121/P148, "NA")</f>
        <v>0</v>
      </c>
      <c r="R121" s="7">
        <v>0</v>
      </c>
      <c r="S121" s="8">
        <f>IFERROR(R121/R148, "NA")</f>
        <v>0</v>
      </c>
      <c r="T121" s="7">
        <v>0</v>
      </c>
      <c r="U121" s="8">
        <f>IFERROR(T121/T148, "NA")</f>
        <v>0</v>
      </c>
      <c r="V121" s="7">
        <v>0</v>
      </c>
      <c r="W121" s="8">
        <f>IFERROR(V121/V148, "NA")</f>
        <v>0</v>
      </c>
      <c r="X121" s="7">
        <v>0</v>
      </c>
      <c r="Y121" s="8">
        <f>IFERROR(X121/X148, "NA")</f>
        <v>0</v>
      </c>
      <c r="Z121" s="7">
        <v>0</v>
      </c>
      <c r="AA121" s="8">
        <f>IFERROR(Z121/Z148, "NA")</f>
        <v>0</v>
      </c>
      <c r="AB121" s="9">
        <f t="shared" si="42"/>
        <v>0</v>
      </c>
      <c r="AC121" s="8">
        <f>IFERROR(AB121/AB148, "NA")</f>
        <v>0</v>
      </c>
      <c r="AD121" s="10">
        <f t="shared" si="43"/>
        <v>0</v>
      </c>
      <c r="AE121" s="11">
        <f>IFERROR(AD121/AD148, "NA")</f>
        <v>0</v>
      </c>
      <c r="AF121" s="10" t="str">
        <f t="shared" si="44"/>
        <v>NA</v>
      </c>
      <c r="AG121" s="9">
        <f t="shared" si="45"/>
        <v>0</v>
      </c>
      <c r="AH121" s="8">
        <f>IFERROR(AG121/AG148, "NA")</f>
        <v>0</v>
      </c>
      <c r="AI121" s="10">
        <f t="shared" si="46"/>
        <v>0</v>
      </c>
      <c r="AJ121" s="11">
        <f>IFERROR(AI121/AI148, "NA")</f>
        <v>0</v>
      </c>
      <c r="AK121" s="10" t="str">
        <f t="shared" si="47"/>
        <v>NA</v>
      </c>
      <c r="AL121" s="11" t="str">
        <f>IFERROR(AK121/AK148, "NA")</f>
        <v>NA</v>
      </c>
    </row>
    <row r="122" spans="1:38" ht="16.5" hidden="1" customHeight="1" x14ac:dyDescent="0.3">
      <c r="A122" s="6" t="s">
        <v>127</v>
      </c>
      <c r="B122" s="7">
        <v>0</v>
      </c>
      <c r="C122" s="8">
        <f>IFERROR(B122/B148, "NA")</f>
        <v>0</v>
      </c>
      <c r="D122" s="7">
        <v>0</v>
      </c>
      <c r="E122" s="8">
        <f>IFERROR(D122/D148, "NA")</f>
        <v>0</v>
      </c>
      <c r="F122" s="7">
        <v>0</v>
      </c>
      <c r="G122" s="8">
        <f>IFERROR(F122/F148, "NA")</f>
        <v>0</v>
      </c>
      <c r="H122" s="7">
        <v>0</v>
      </c>
      <c r="I122" s="8">
        <f>IFERROR(H122/H148, "NA")</f>
        <v>0</v>
      </c>
      <c r="J122" s="7">
        <v>0</v>
      </c>
      <c r="K122" s="8">
        <f>IFERROR(J122/J148, "NA")</f>
        <v>0</v>
      </c>
      <c r="L122" s="7">
        <v>0</v>
      </c>
      <c r="M122" s="8">
        <f>IFERROR(L122/L148, "NA")</f>
        <v>0</v>
      </c>
      <c r="N122" s="7">
        <v>0</v>
      </c>
      <c r="O122" s="8">
        <f>IFERROR(N122/N148, "NA")</f>
        <v>0</v>
      </c>
      <c r="P122" s="7">
        <v>0</v>
      </c>
      <c r="Q122" s="8">
        <f>IFERROR(P122/P148, "NA")</f>
        <v>0</v>
      </c>
      <c r="R122" s="7">
        <v>0</v>
      </c>
      <c r="S122" s="8">
        <f>IFERROR(R122/R148, "NA")</f>
        <v>0</v>
      </c>
      <c r="T122" s="7">
        <v>0</v>
      </c>
      <c r="U122" s="8">
        <f>IFERROR(T122/T148, "NA")</f>
        <v>0</v>
      </c>
      <c r="V122" s="7">
        <v>0</v>
      </c>
      <c r="W122" s="8">
        <f>IFERROR(V122/V148, "NA")</f>
        <v>0</v>
      </c>
      <c r="X122" s="7">
        <v>0</v>
      </c>
      <c r="Y122" s="8">
        <f>IFERROR(X122/X148, "NA")</f>
        <v>0</v>
      </c>
      <c r="Z122" s="7">
        <v>0</v>
      </c>
      <c r="AA122" s="8">
        <f>IFERROR(Z122/Z148, "NA")</f>
        <v>0</v>
      </c>
      <c r="AB122" s="9">
        <f t="shared" si="42"/>
        <v>0</v>
      </c>
      <c r="AC122" s="8">
        <f>IFERROR(AB122/AB148, "NA")</f>
        <v>0</v>
      </c>
      <c r="AD122" s="10">
        <f t="shared" si="43"/>
        <v>0</v>
      </c>
      <c r="AE122" s="11">
        <f>IFERROR(AD122/AD148, "NA")</f>
        <v>0</v>
      </c>
      <c r="AF122" s="10" t="str">
        <f t="shared" si="44"/>
        <v>NA</v>
      </c>
      <c r="AG122" s="9">
        <f t="shared" si="45"/>
        <v>0</v>
      </c>
      <c r="AH122" s="8">
        <f>IFERROR(AG122/AG148, "NA")</f>
        <v>0</v>
      </c>
      <c r="AI122" s="10">
        <f t="shared" si="46"/>
        <v>0</v>
      </c>
      <c r="AJ122" s="11">
        <f>IFERROR(AI122/AI148, "NA")</f>
        <v>0</v>
      </c>
      <c r="AK122" s="10" t="str">
        <f t="shared" si="47"/>
        <v>NA</v>
      </c>
      <c r="AL122" s="11" t="str">
        <f>IFERROR(AK122/AK148, "NA")</f>
        <v>NA</v>
      </c>
    </row>
    <row r="123" spans="1:38" ht="16.5" hidden="1" customHeight="1" x14ac:dyDescent="0.3">
      <c r="A123" s="6" t="s">
        <v>128</v>
      </c>
      <c r="B123" s="7">
        <v>0</v>
      </c>
      <c r="C123" s="8">
        <f>IFERROR(B123/B148, "NA")</f>
        <v>0</v>
      </c>
      <c r="D123" s="7">
        <v>0</v>
      </c>
      <c r="E123" s="8">
        <f>IFERROR(D123/D148, "NA")</f>
        <v>0</v>
      </c>
      <c r="F123" s="7">
        <v>0</v>
      </c>
      <c r="G123" s="8">
        <f>IFERROR(F123/F148, "NA")</f>
        <v>0</v>
      </c>
      <c r="H123" s="7">
        <v>0</v>
      </c>
      <c r="I123" s="8">
        <f>IFERROR(H123/H148, "NA")</f>
        <v>0</v>
      </c>
      <c r="J123" s="7">
        <v>0</v>
      </c>
      <c r="K123" s="8">
        <f>IFERROR(J123/J148, "NA")</f>
        <v>0</v>
      </c>
      <c r="L123" s="7">
        <v>0</v>
      </c>
      <c r="M123" s="8">
        <f>IFERROR(L123/L148, "NA")</f>
        <v>0</v>
      </c>
      <c r="N123" s="7">
        <v>0</v>
      </c>
      <c r="O123" s="8">
        <f>IFERROR(N123/N148, "NA")</f>
        <v>0</v>
      </c>
      <c r="P123" s="7">
        <v>0</v>
      </c>
      <c r="Q123" s="8">
        <f>IFERROR(P123/P148, "NA")</f>
        <v>0</v>
      </c>
      <c r="R123" s="7">
        <v>0</v>
      </c>
      <c r="S123" s="8">
        <f>IFERROR(R123/R148, "NA")</f>
        <v>0</v>
      </c>
      <c r="T123" s="7">
        <v>0</v>
      </c>
      <c r="U123" s="8">
        <f>IFERROR(T123/T148, "NA")</f>
        <v>0</v>
      </c>
      <c r="V123" s="7">
        <v>0</v>
      </c>
      <c r="W123" s="8">
        <f>IFERROR(V123/V148, "NA")</f>
        <v>0</v>
      </c>
      <c r="X123" s="7">
        <v>0</v>
      </c>
      <c r="Y123" s="8">
        <f>IFERROR(X123/X148, "NA")</f>
        <v>0</v>
      </c>
      <c r="Z123" s="7">
        <v>0</v>
      </c>
      <c r="AA123" s="8">
        <f>IFERROR(Z123/Z148, "NA")</f>
        <v>0</v>
      </c>
      <c r="AB123" s="9">
        <f t="shared" si="42"/>
        <v>0</v>
      </c>
      <c r="AC123" s="8">
        <f>IFERROR(AB123/AB148, "NA")</f>
        <v>0</v>
      </c>
      <c r="AD123" s="10">
        <f t="shared" si="43"/>
        <v>0</v>
      </c>
      <c r="AE123" s="11">
        <f>IFERROR(AD123/AD148, "NA")</f>
        <v>0</v>
      </c>
      <c r="AF123" s="10" t="str">
        <f t="shared" si="44"/>
        <v>NA</v>
      </c>
      <c r="AG123" s="9">
        <f t="shared" si="45"/>
        <v>0</v>
      </c>
      <c r="AH123" s="8">
        <f>IFERROR(AG123/AG148, "NA")</f>
        <v>0</v>
      </c>
      <c r="AI123" s="10">
        <f t="shared" si="46"/>
        <v>0</v>
      </c>
      <c r="AJ123" s="11">
        <f>IFERROR(AI123/AI148, "NA")</f>
        <v>0</v>
      </c>
      <c r="AK123" s="10" t="str">
        <f t="shared" si="47"/>
        <v>NA</v>
      </c>
      <c r="AL123" s="11" t="str">
        <f>IFERROR(AK123/AK148, "NA")</f>
        <v>NA</v>
      </c>
    </row>
    <row r="124" spans="1:38" ht="16.5" hidden="1" customHeight="1" x14ac:dyDescent="0.3">
      <c r="A124" s="6" t="s">
        <v>129</v>
      </c>
      <c r="B124" s="7">
        <v>0</v>
      </c>
      <c r="C124" s="8">
        <f>IFERROR(B124/B148, "NA")</f>
        <v>0</v>
      </c>
      <c r="D124" s="7">
        <v>0</v>
      </c>
      <c r="E124" s="8">
        <f>IFERROR(D124/D148, "NA")</f>
        <v>0</v>
      </c>
      <c r="F124" s="7">
        <v>0</v>
      </c>
      <c r="G124" s="8">
        <f>IFERROR(F124/F148, "NA")</f>
        <v>0</v>
      </c>
      <c r="H124" s="7">
        <v>0</v>
      </c>
      <c r="I124" s="8">
        <f>IFERROR(H124/H148, "NA")</f>
        <v>0</v>
      </c>
      <c r="J124" s="7">
        <v>0</v>
      </c>
      <c r="K124" s="8">
        <f>IFERROR(J124/J148, "NA")</f>
        <v>0</v>
      </c>
      <c r="L124" s="7">
        <v>0</v>
      </c>
      <c r="M124" s="8">
        <f>IFERROR(L124/L148, "NA")</f>
        <v>0</v>
      </c>
      <c r="N124" s="7">
        <v>0</v>
      </c>
      <c r="O124" s="8">
        <f>IFERROR(N124/N148, "NA")</f>
        <v>0</v>
      </c>
      <c r="P124" s="7">
        <v>0</v>
      </c>
      <c r="Q124" s="8">
        <f>IFERROR(P124/P148, "NA")</f>
        <v>0</v>
      </c>
      <c r="R124" s="7">
        <v>0</v>
      </c>
      <c r="S124" s="8">
        <f>IFERROR(R124/R148, "NA")</f>
        <v>0</v>
      </c>
      <c r="T124" s="7">
        <v>0</v>
      </c>
      <c r="U124" s="8">
        <f>IFERROR(T124/T148, "NA")</f>
        <v>0</v>
      </c>
      <c r="V124" s="7">
        <v>0</v>
      </c>
      <c r="W124" s="8">
        <f>IFERROR(V124/V148, "NA")</f>
        <v>0</v>
      </c>
      <c r="X124" s="7">
        <v>0</v>
      </c>
      <c r="Y124" s="8">
        <f>IFERROR(X124/X148, "NA")</f>
        <v>0</v>
      </c>
      <c r="Z124" s="7">
        <v>0</v>
      </c>
      <c r="AA124" s="8">
        <f>IFERROR(Z124/Z148, "NA")</f>
        <v>0</v>
      </c>
      <c r="AB124" s="9">
        <f t="shared" si="42"/>
        <v>0</v>
      </c>
      <c r="AC124" s="8">
        <f>IFERROR(AB124/AB148, "NA")</f>
        <v>0</v>
      </c>
      <c r="AD124" s="10">
        <f t="shared" si="43"/>
        <v>0</v>
      </c>
      <c r="AE124" s="11">
        <f>IFERROR(AD124/AD148, "NA")</f>
        <v>0</v>
      </c>
      <c r="AF124" s="10" t="str">
        <f t="shared" si="44"/>
        <v>NA</v>
      </c>
      <c r="AG124" s="9">
        <f t="shared" si="45"/>
        <v>0</v>
      </c>
      <c r="AH124" s="8">
        <f>IFERROR(AG124/AG148, "NA")</f>
        <v>0</v>
      </c>
      <c r="AI124" s="10">
        <f t="shared" si="46"/>
        <v>0</v>
      </c>
      <c r="AJ124" s="11">
        <f>IFERROR(AI124/AI148, "NA")</f>
        <v>0</v>
      </c>
      <c r="AK124" s="10" t="str">
        <f t="shared" si="47"/>
        <v>NA</v>
      </c>
      <c r="AL124" s="11" t="str">
        <f>IFERROR(AK124/AK148, "NA")</f>
        <v>NA</v>
      </c>
    </row>
    <row r="125" spans="1:38" ht="16.5" hidden="1" customHeight="1" x14ac:dyDescent="0.3">
      <c r="A125" s="6" t="s">
        <v>130</v>
      </c>
      <c r="B125" s="7">
        <v>0</v>
      </c>
      <c r="C125" s="8">
        <f>IFERROR(B125/B148, "NA")</f>
        <v>0</v>
      </c>
      <c r="D125" s="7">
        <v>0</v>
      </c>
      <c r="E125" s="8">
        <f>IFERROR(D125/D148, "NA")</f>
        <v>0</v>
      </c>
      <c r="F125" s="7">
        <v>0</v>
      </c>
      <c r="G125" s="8">
        <f>IFERROR(F125/F148, "NA")</f>
        <v>0</v>
      </c>
      <c r="H125" s="7">
        <v>0</v>
      </c>
      <c r="I125" s="8">
        <f>IFERROR(H125/H148, "NA")</f>
        <v>0</v>
      </c>
      <c r="J125" s="7">
        <v>0</v>
      </c>
      <c r="K125" s="8">
        <f>IFERROR(J125/J148, "NA")</f>
        <v>0</v>
      </c>
      <c r="L125" s="7">
        <v>0</v>
      </c>
      <c r="M125" s="8">
        <f>IFERROR(L125/L148, "NA")</f>
        <v>0</v>
      </c>
      <c r="N125" s="7">
        <v>0</v>
      </c>
      <c r="O125" s="8">
        <f>IFERROR(N125/N148, "NA")</f>
        <v>0</v>
      </c>
      <c r="P125" s="7">
        <v>0</v>
      </c>
      <c r="Q125" s="8">
        <f>IFERROR(P125/P148, "NA")</f>
        <v>0</v>
      </c>
      <c r="R125" s="7">
        <v>0</v>
      </c>
      <c r="S125" s="8">
        <f>IFERROR(R125/R148, "NA")</f>
        <v>0</v>
      </c>
      <c r="T125" s="7">
        <v>0</v>
      </c>
      <c r="U125" s="8">
        <f>IFERROR(T125/T148, "NA")</f>
        <v>0</v>
      </c>
      <c r="V125" s="7">
        <v>0</v>
      </c>
      <c r="W125" s="8">
        <f>IFERROR(V125/V148, "NA")</f>
        <v>0</v>
      </c>
      <c r="X125" s="7">
        <v>0</v>
      </c>
      <c r="Y125" s="8">
        <f>IFERROR(X125/X148, "NA")</f>
        <v>0</v>
      </c>
      <c r="Z125" s="7">
        <v>0</v>
      </c>
      <c r="AA125" s="8">
        <f>IFERROR(Z125/Z148, "NA")</f>
        <v>0</v>
      </c>
      <c r="AB125" s="9">
        <f t="shared" si="42"/>
        <v>0</v>
      </c>
      <c r="AC125" s="8">
        <f>IFERROR(AB125/AB148, "NA")</f>
        <v>0</v>
      </c>
      <c r="AD125" s="10">
        <f t="shared" si="43"/>
        <v>0</v>
      </c>
      <c r="AE125" s="11">
        <f>IFERROR(AD125/AD148, "NA")</f>
        <v>0</v>
      </c>
      <c r="AF125" s="10" t="str">
        <f t="shared" si="44"/>
        <v>NA</v>
      </c>
      <c r="AG125" s="9">
        <f t="shared" si="45"/>
        <v>0</v>
      </c>
      <c r="AH125" s="8">
        <f>IFERROR(AG125/AG148, "NA")</f>
        <v>0</v>
      </c>
      <c r="AI125" s="10">
        <f t="shared" si="46"/>
        <v>0</v>
      </c>
      <c r="AJ125" s="11">
        <f>IFERROR(AI125/AI148, "NA")</f>
        <v>0</v>
      </c>
      <c r="AK125" s="10" t="str">
        <f t="shared" si="47"/>
        <v>NA</v>
      </c>
      <c r="AL125" s="11" t="str">
        <f>IFERROR(AK125/AK148, "NA")</f>
        <v>NA</v>
      </c>
    </row>
    <row r="126" spans="1:38" ht="16.5" hidden="1" customHeight="1" x14ac:dyDescent="0.3">
      <c r="A126" s="6" t="s">
        <v>131</v>
      </c>
      <c r="B126" s="7">
        <v>0</v>
      </c>
      <c r="C126" s="8">
        <f>IFERROR(B126/B148, "NA")</f>
        <v>0</v>
      </c>
      <c r="D126" s="7">
        <v>0</v>
      </c>
      <c r="E126" s="8">
        <f>IFERROR(D126/D148, "NA")</f>
        <v>0</v>
      </c>
      <c r="F126" s="7">
        <v>0</v>
      </c>
      <c r="G126" s="8">
        <f>IFERROR(F126/F148, "NA")</f>
        <v>0</v>
      </c>
      <c r="H126" s="7">
        <v>0</v>
      </c>
      <c r="I126" s="8">
        <f>IFERROR(H126/H148, "NA")</f>
        <v>0</v>
      </c>
      <c r="J126" s="7">
        <v>0</v>
      </c>
      <c r="K126" s="8">
        <f>IFERROR(J126/J148, "NA")</f>
        <v>0</v>
      </c>
      <c r="L126" s="7">
        <v>0</v>
      </c>
      <c r="M126" s="8">
        <f>IFERROR(L126/L148, "NA")</f>
        <v>0</v>
      </c>
      <c r="N126" s="7">
        <v>0</v>
      </c>
      <c r="O126" s="8">
        <f>IFERROR(N126/N148, "NA")</f>
        <v>0</v>
      </c>
      <c r="P126" s="7">
        <v>0</v>
      </c>
      <c r="Q126" s="8">
        <f>IFERROR(P126/P148, "NA")</f>
        <v>0</v>
      </c>
      <c r="R126" s="7">
        <v>0</v>
      </c>
      <c r="S126" s="8">
        <f>IFERROR(R126/R148, "NA")</f>
        <v>0</v>
      </c>
      <c r="T126" s="7">
        <v>0</v>
      </c>
      <c r="U126" s="8">
        <f>IFERROR(T126/T148, "NA")</f>
        <v>0</v>
      </c>
      <c r="V126" s="7">
        <v>0</v>
      </c>
      <c r="W126" s="8">
        <f>IFERROR(V126/V148, "NA")</f>
        <v>0</v>
      </c>
      <c r="X126" s="7">
        <v>0</v>
      </c>
      <c r="Y126" s="8">
        <f>IFERROR(X126/X148, "NA")</f>
        <v>0</v>
      </c>
      <c r="Z126" s="7">
        <v>0</v>
      </c>
      <c r="AA126" s="8">
        <f>IFERROR(Z126/Z148, "NA")</f>
        <v>0</v>
      </c>
      <c r="AB126" s="9">
        <f t="shared" si="42"/>
        <v>0</v>
      </c>
      <c r="AC126" s="8">
        <f>IFERROR(AB126/AB148, "NA")</f>
        <v>0</v>
      </c>
      <c r="AD126" s="10">
        <f t="shared" si="43"/>
        <v>0</v>
      </c>
      <c r="AE126" s="11">
        <f>IFERROR(AD126/AD148, "NA")</f>
        <v>0</v>
      </c>
      <c r="AF126" s="10" t="str">
        <f t="shared" si="44"/>
        <v>NA</v>
      </c>
      <c r="AG126" s="9">
        <f t="shared" si="45"/>
        <v>0</v>
      </c>
      <c r="AH126" s="8">
        <f>IFERROR(AG126/AG148, "NA")</f>
        <v>0</v>
      </c>
      <c r="AI126" s="10">
        <f t="shared" si="46"/>
        <v>0</v>
      </c>
      <c r="AJ126" s="11">
        <f>IFERROR(AI126/AI148, "NA")</f>
        <v>0</v>
      </c>
      <c r="AK126" s="10" t="str">
        <f t="shared" si="47"/>
        <v>NA</v>
      </c>
      <c r="AL126" s="11" t="str">
        <f>IFERROR(AK126/AK148, "NA")</f>
        <v>NA</v>
      </c>
    </row>
    <row r="127" spans="1:38" ht="16.5" hidden="1" customHeight="1" x14ac:dyDescent="0.3">
      <c r="A127" s="6" t="s">
        <v>132</v>
      </c>
      <c r="B127" s="7">
        <v>0</v>
      </c>
      <c r="C127" s="8">
        <f>IFERROR(B127/B148, "NA")</f>
        <v>0</v>
      </c>
      <c r="D127" s="7">
        <v>0</v>
      </c>
      <c r="E127" s="8">
        <f>IFERROR(D127/D148, "NA")</f>
        <v>0</v>
      </c>
      <c r="F127" s="7">
        <v>0</v>
      </c>
      <c r="G127" s="8">
        <f>IFERROR(F127/F148, "NA")</f>
        <v>0</v>
      </c>
      <c r="H127" s="7">
        <v>0</v>
      </c>
      <c r="I127" s="8">
        <f>IFERROR(H127/H148, "NA")</f>
        <v>0</v>
      </c>
      <c r="J127" s="7">
        <v>0</v>
      </c>
      <c r="K127" s="8">
        <f>IFERROR(J127/J148, "NA")</f>
        <v>0</v>
      </c>
      <c r="L127" s="7">
        <v>0</v>
      </c>
      <c r="M127" s="8">
        <f>IFERROR(L127/L148, "NA")</f>
        <v>0</v>
      </c>
      <c r="N127" s="7">
        <v>0</v>
      </c>
      <c r="O127" s="8">
        <f>IFERROR(N127/N148, "NA")</f>
        <v>0</v>
      </c>
      <c r="P127" s="7">
        <v>0</v>
      </c>
      <c r="Q127" s="8">
        <f>IFERROR(P127/P148, "NA")</f>
        <v>0</v>
      </c>
      <c r="R127" s="7">
        <v>0</v>
      </c>
      <c r="S127" s="8">
        <f>IFERROR(R127/R148, "NA")</f>
        <v>0</v>
      </c>
      <c r="T127" s="7">
        <v>0</v>
      </c>
      <c r="U127" s="8">
        <f>IFERROR(T127/T148, "NA")</f>
        <v>0</v>
      </c>
      <c r="V127" s="7">
        <v>0</v>
      </c>
      <c r="W127" s="8">
        <f>IFERROR(V127/V148, "NA")</f>
        <v>0</v>
      </c>
      <c r="X127" s="7">
        <v>0</v>
      </c>
      <c r="Y127" s="8">
        <f>IFERROR(X127/X148, "NA")</f>
        <v>0</v>
      </c>
      <c r="Z127" s="7">
        <v>0</v>
      </c>
      <c r="AA127" s="8">
        <f>IFERROR(Z127/Z148, "NA")</f>
        <v>0</v>
      </c>
      <c r="AB127" s="9">
        <f t="shared" si="42"/>
        <v>0</v>
      </c>
      <c r="AC127" s="8">
        <f>IFERROR(AB127/AB148, "NA")</f>
        <v>0</v>
      </c>
      <c r="AD127" s="10">
        <f t="shared" si="43"/>
        <v>0</v>
      </c>
      <c r="AE127" s="11">
        <f>IFERROR(AD127/AD148, "NA")</f>
        <v>0</v>
      </c>
      <c r="AF127" s="10" t="str">
        <f t="shared" si="44"/>
        <v>NA</v>
      </c>
      <c r="AG127" s="9">
        <f t="shared" si="45"/>
        <v>0</v>
      </c>
      <c r="AH127" s="8">
        <f>IFERROR(AG127/AG148, "NA")</f>
        <v>0</v>
      </c>
      <c r="AI127" s="10">
        <f t="shared" si="46"/>
        <v>0</v>
      </c>
      <c r="AJ127" s="11">
        <f>IFERROR(AI127/AI148, "NA")</f>
        <v>0</v>
      </c>
      <c r="AK127" s="10" t="str">
        <f t="shared" si="47"/>
        <v>NA</v>
      </c>
      <c r="AL127" s="11" t="str">
        <f>IFERROR(AK127/AK148, "NA")</f>
        <v>NA</v>
      </c>
    </row>
    <row r="128" spans="1:38" ht="16.5" hidden="1" customHeight="1" x14ac:dyDescent="0.3">
      <c r="A128" s="6" t="s">
        <v>133</v>
      </c>
      <c r="B128" s="7">
        <v>293.28999999999996</v>
      </c>
      <c r="C128" s="8">
        <f>IFERROR(B128/B148, "NA")</f>
        <v>1.0246214483324093E-2</v>
      </c>
      <c r="D128" s="7">
        <v>410.96000000000004</v>
      </c>
      <c r="E128" s="8">
        <f>IFERROR(D128/D148, "NA")</f>
        <v>1.4120405525292418E-2</v>
      </c>
      <c r="F128" s="7">
        <v>451.09000000000003</v>
      </c>
      <c r="G128" s="8">
        <f>IFERROR(F128/F148, "NA")</f>
        <v>1.4063771936743737E-2</v>
      </c>
      <c r="H128" s="7">
        <v>-1155.3399999999999</v>
      </c>
      <c r="I128" s="8">
        <f>IFERROR(H128/H148, "NA")</f>
        <v>-4.3895129492417681E-2</v>
      </c>
      <c r="J128" s="7">
        <v>402.05</v>
      </c>
      <c r="K128" s="8">
        <f>IFERROR(J128/J148, "NA")</f>
        <v>1.624422129150549E-2</v>
      </c>
      <c r="L128" s="7">
        <v>316.95999999999998</v>
      </c>
      <c r="M128" s="8">
        <f>IFERROR(L128/L148, "NA")</f>
        <v>1.1973080212384673E-2</v>
      </c>
      <c r="N128" s="7">
        <v>327.92</v>
      </c>
      <c r="O128" s="8">
        <f>IFERROR(N128/N148, "NA")</f>
        <v>1.3181796803679584E-2</v>
      </c>
      <c r="P128" s="7">
        <v>337.45</v>
      </c>
      <c r="Q128" s="8">
        <f>IFERROR(P128/P148, "NA")</f>
        <v>1.1047225949735694E-2</v>
      </c>
      <c r="R128" s="7">
        <v>-1384.3799999999999</v>
      </c>
      <c r="S128" s="8">
        <f>IFERROR(R128/R148, "NA")</f>
        <v>-4.0923094568477404E-2</v>
      </c>
      <c r="T128" s="7">
        <v>268.79000000000002</v>
      </c>
      <c r="U128" s="8">
        <f>IFERROR(T128/T148, "NA")</f>
        <v>1.07999101581193E-2</v>
      </c>
      <c r="V128" s="7">
        <v>278.99</v>
      </c>
      <c r="W128" s="8">
        <f>IFERROR(V128/V148, "NA")</f>
        <v>8.9067171505145502E-3</v>
      </c>
      <c r="X128" s="7">
        <v>293.58</v>
      </c>
      <c r="Y128" s="8">
        <f>IFERROR(X128/X148, "NA")</f>
        <v>9.7233492198600356E-3</v>
      </c>
      <c r="Z128" s="7">
        <v>841.36000000000013</v>
      </c>
      <c r="AA128" s="8">
        <f>IFERROR(Z128/Z148, "NA")</f>
        <v>9.7373972021533011E-3</v>
      </c>
      <c r="AB128" s="9">
        <f t="shared" si="42"/>
        <v>-135.755</v>
      </c>
      <c r="AC128" s="8">
        <f>IFERROR(AB128/AB148, "NA")</f>
        <v>-4.5163657752260097E-3</v>
      </c>
      <c r="AD128" s="10">
        <f t="shared" si="43"/>
        <v>429.33499999999998</v>
      </c>
      <c r="AE128" s="11">
        <f>IFERROR(AD128/AD148, "NA")</f>
        <v>3.1840329279145618</v>
      </c>
      <c r="AF128" s="10">
        <f t="shared" si="44"/>
        <v>-3.1625722809472947</v>
      </c>
      <c r="AG128" s="9">
        <f t="shared" si="45"/>
        <v>105.17000000000002</v>
      </c>
      <c r="AH128" s="8">
        <f>IFERROR(AG128/AG148, "NA")</f>
        <v>3.70839602439636E-3</v>
      </c>
      <c r="AI128" s="10">
        <f t="shared" si="46"/>
        <v>188.40999999999997</v>
      </c>
      <c r="AJ128" s="11">
        <f>IFERROR(AI128/AI148, "NA")</f>
        <v>0.10276927776232289</v>
      </c>
      <c r="AK128" s="10">
        <f t="shared" si="47"/>
        <v>1.7914804602072829</v>
      </c>
      <c r="AL128" s="11">
        <f>IFERROR(AK128/AK148, "NA")</f>
        <v>27.712595172208264</v>
      </c>
    </row>
    <row r="129" spans="1:38" ht="16.5" hidden="1" customHeight="1" x14ac:dyDescent="0.3">
      <c r="A129" s="6" t="s">
        <v>134</v>
      </c>
      <c r="B129" s="7">
        <v>0</v>
      </c>
      <c r="C129" s="8">
        <f>IFERROR(B129/B148, "NA")</f>
        <v>0</v>
      </c>
      <c r="D129" s="7">
        <v>0</v>
      </c>
      <c r="E129" s="8">
        <f>IFERROR(D129/D148, "NA")</f>
        <v>0</v>
      </c>
      <c r="F129" s="7">
        <v>0</v>
      </c>
      <c r="G129" s="8">
        <f>IFERROR(F129/F148, "NA")</f>
        <v>0</v>
      </c>
      <c r="H129" s="7">
        <v>0</v>
      </c>
      <c r="I129" s="8">
        <f>IFERROR(H129/H148, "NA")</f>
        <v>0</v>
      </c>
      <c r="J129" s="7">
        <v>0</v>
      </c>
      <c r="K129" s="8">
        <f>IFERROR(J129/J148, "NA")</f>
        <v>0</v>
      </c>
      <c r="L129" s="7">
        <v>0</v>
      </c>
      <c r="M129" s="8">
        <f>IFERROR(L129/L148, "NA")</f>
        <v>0</v>
      </c>
      <c r="N129" s="7">
        <v>0</v>
      </c>
      <c r="O129" s="8">
        <f>IFERROR(N129/N148, "NA")</f>
        <v>0</v>
      </c>
      <c r="P129" s="7">
        <v>0</v>
      </c>
      <c r="Q129" s="8">
        <f>IFERROR(P129/P148, "NA")</f>
        <v>0</v>
      </c>
      <c r="R129" s="7">
        <v>0</v>
      </c>
      <c r="S129" s="8">
        <f>IFERROR(R129/R148, "NA")</f>
        <v>0</v>
      </c>
      <c r="T129" s="7">
        <v>0</v>
      </c>
      <c r="U129" s="8">
        <f>IFERROR(T129/T148, "NA")</f>
        <v>0</v>
      </c>
      <c r="V129" s="7">
        <v>0</v>
      </c>
      <c r="W129" s="8">
        <f>IFERROR(V129/V148, "NA")</f>
        <v>0</v>
      </c>
      <c r="X129" s="7">
        <v>0</v>
      </c>
      <c r="Y129" s="8">
        <f>IFERROR(X129/X148, "NA")</f>
        <v>0</v>
      </c>
      <c r="Z129" s="7">
        <v>0</v>
      </c>
      <c r="AA129" s="8">
        <f>IFERROR(Z129/Z148, "NA")</f>
        <v>0</v>
      </c>
      <c r="AB129" s="9">
        <f t="shared" si="42"/>
        <v>0</v>
      </c>
      <c r="AC129" s="8">
        <f>IFERROR(AB129/AB148, "NA")</f>
        <v>0</v>
      </c>
      <c r="AD129" s="10">
        <f t="shared" si="43"/>
        <v>0</v>
      </c>
      <c r="AE129" s="11">
        <f>IFERROR(AD129/AD148, "NA")</f>
        <v>0</v>
      </c>
      <c r="AF129" s="10" t="str">
        <f t="shared" si="44"/>
        <v>NA</v>
      </c>
      <c r="AG129" s="9">
        <f t="shared" si="45"/>
        <v>0</v>
      </c>
      <c r="AH129" s="8">
        <f>IFERROR(AG129/AG148, "NA")</f>
        <v>0</v>
      </c>
      <c r="AI129" s="10">
        <f t="shared" si="46"/>
        <v>0</v>
      </c>
      <c r="AJ129" s="11">
        <f>IFERROR(AI129/AI148, "NA")</f>
        <v>0</v>
      </c>
      <c r="AK129" s="10" t="str">
        <f t="shared" si="47"/>
        <v>NA</v>
      </c>
      <c r="AL129" s="11" t="str">
        <f>IFERROR(AK129/AK148, "NA")</f>
        <v>NA</v>
      </c>
    </row>
    <row r="130" spans="1:38" ht="16.5" hidden="1" customHeight="1" x14ac:dyDescent="0.3">
      <c r="A130" s="6" t="s">
        <v>135</v>
      </c>
      <c r="B130" s="7">
        <v>0</v>
      </c>
      <c r="C130" s="8">
        <f>IFERROR(B130/B148, "NA")</f>
        <v>0</v>
      </c>
      <c r="D130" s="7">
        <v>0</v>
      </c>
      <c r="E130" s="8">
        <f>IFERROR(D130/D148, "NA")</f>
        <v>0</v>
      </c>
      <c r="F130" s="7">
        <v>0</v>
      </c>
      <c r="G130" s="8">
        <f>IFERROR(F130/F148, "NA")</f>
        <v>0</v>
      </c>
      <c r="H130" s="7">
        <v>0</v>
      </c>
      <c r="I130" s="8">
        <f>IFERROR(H130/H148, "NA")</f>
        <v>0</v>
      </c>
      <c r="J130" s="7">
        <v>0</v>
      </c>
      <c r="K130" s="8">
        <f>IFERROR(J130/J148, "NA")</f>
        <v>0</v>
      </c>
      <c r="L130" s="7">
        <v>0</v>
      </c>
      <c r="M130" s="8">
        <f>IFERROR(L130/L148, "NA")</f>
        <v>0</v>
      </c>
      <c r="N130" s="7">
        <v>0</v>
      </c>
      <c r="O130" s="8">
        <f>IFERROR(N130/N148, "NA")</f>
        <v>0</v>
      </c>
      <c r="P130" s="7">
        <v>0</v>
      </c>
      <c r="Q130" s="8">
        <f>IFERROR(P130/P148, "NA")</f>
        <v>0</v>
      </c>
      <c r="R130" s="7">
        <v>0</v>
      </c>
      <c r="S130" s="8">
        <f>IFERROR(R130/R148, "NA")</f>
        <v>0</v>
      </c>
      <c r="T130" s="7">
        <v>0</v>
      </c>
      <c r="U130" s="8">
        <f>IFERROR(T130/T148, "NA")</f>
        <v>0</v>
      </c>
      <c r="V130" s="7">
        <v>0</v>
      </c>
      <c r="W130" s="8">
        <f>IFERROR(V130/V148, "NA")</f>
        <v>0</v>
      </c>
      <c r="X130" s="7">
        <v>0</v>
      </c>
      <c r="Y130" s="8">
        <f>IFERROR(X130/X148, "NA")</f>
        <v>0</v>
      </c>
      <c r="Z130" s="7">
        <v>0</v>
      </c>
      <c r="AA130" s="8">
        <f>IFERROR(Z130/Z148, "NA")</f>
        <v>0</v>
      </c>
      <c r="AB130" s="9">
        <f t="shared" si="42"/>
        <v>0</v>
      </c>
      <c r="AC130" s="8">
        <f>IFERROR(AB130/AB148, "NA")</f>
        <v>0</v>
      </c>
      <c r="AD130" s="10">
        <f t="shared" si="43"/>
        <v>0</v>
      </c>
      <c r="AE130" s="11">
        <f>IFERROR(AD130/AD148, "NA")</f>
        <v>0</v>
      </c>
      <c r="AF130" s="10" t="str">
        <f t="shared" si="44"/>
        <v>NA</v>
      </c>
      <c r="AG130" s="9">
        <f t="shared" si="45"/>
        <v>0</v>
      </c>
      <c r="AH130" s="8">
        <f>IFERROR(AG130/AG148, "NA")</f>
        <v>0</v>
      </c>
      <c r="AI130" s="10">
        <f t="shared" si="46"/>
        <v>0</v>
      </c>
      <c r="AJ130" s="11">
        <f>IFERROR(AI130/AI148, "NA")</f>
        <v>0</v>
      </c>
      <c r="AK130" s="10" t="str">
        <f t="shared" si="47"/>
        <v>NA</v>
      </c>
      <c r="AL130" s="11" t="str">
        <f>IFERROR(AK130/AK148, "NA")</f>
        <v>NA</v>
      </c>
    </row>
    <row r="131" spans="1:38" ht="16.5" hidden="1" customHeight="1" x14ac:dyDescent="0.3">
      <c r="A131" s="6" t="s">
        <v>136</v>
      </c>
      <c r="B131" s="7">
        <v>0</v>
      </c>
      <c r="C131" s="8">
        <f>IFERROR(B131/B148, "NA")</f>
        <v>0</v>
      </c>
      <c r="D131" s="7">
        <v>0</v>
      </c>
      <c r="E131" s="8">
        <f>IFERROR(D131/D148, "NA")</f>
        <v>0</v>
      </c>
      <c r="F131" s="7">
        <v>0</v>
      </c>
      <c r="G131" s="8">
        <f>IFERROR(F131/F148, "NA")</f>
        <v>0</v>
      </c>
      <c r="H131" s="7">
        <v>0</v>
      </c>
      <c r="I131" s="8">
        <f>IFERROR(H131/H148, "NA")</f>
        <v>0</v>
      </c>
      <c r="J131" s="7">
        <v>0</v>
      </c>
      <c r="K131" s="8">
        <f>IFERROR(J131/J148, "NA")</f>
        <v>0</v>
      </c>
      <c r="L131" s="7">
        <v>0</v>
      </c>
      <c r="M131" s="8">
        <f>IFERROR(L131/L148, "NA")</f>
        <v>0</v>
      </c>
      <c r="N131" s="7">
        <v>0</v>
      </c>
      <c r="O131" s="8">
        <f>IFERROR(N131/N148, "NA")</f>
        <v>0</v>
      </c>
      <c r="P131" s="7">
        <v>0</v>
      </c>
      <c r="Q131" s="8">
        <f>IFERROR(P131/P148, "NA")</f>
        <v>0</v>
      </c>
      <c r="R131" s="7">
        <v>0</v>
      </c>
      <c r="S131" s="8">
        <f>IFERROR(R131/R148, "NA")</f>
        <v>0</v>
      </c>
      <c r="T131" s="7">
        <v>0</v>
      </c>
      <c r="U131" s="8">
        <f>IFERROR(T131/T148, "NA")</f>
        <v>0</v>
      </c>
      <c r="V131" s="7">
        <v>0</v>
      </c>
      <c r="W131" s="8">
        <f>IFERROR(V131/V148, "NA")</f>
        <v>0</v>
      </c>
      <c r="X131" s="7">
        <v>0</v>
      </c>
      <c r="Y131" s="8">
        <f>IFERROR(X131/X148, "NA")</f>
        <v>0</v>
      </c>
      <c r="Z131" s="7">
        <v>0</v>
      </c>
      <c r="AA131" s="8">
        <f>IFERROR(Z131/Z148, "NA")</f>
        <v>0</v>
      </c>
      <c r="AB131" s="9">
        <f t="shared" si="42"/>
        <v>0</v>
      </c>
      <c r="AC131" s="8">
        <f>IFERROR(AB131/AB148, "NA")</f>
        <v>0</v>
      </c>
      <c r="AD131" s="10">
        <f t="shared" si="43"/>
        <v>0</v>
      </c>
      <c r="AE131" s="11">
        <f>IFERROR(AD131/AD148, "NA")</f>
        <v>0</v>
      </c>
      <c r="AF131" s="10" t="str">
        <f t="shared" si="44"/>
        <v>NA</v>
      </c>
      <c r="AG131" s="9">
        <f t="shared" si="45"/>
        <v>0</v>
      </c>
      <c r="AH131" s="8">
        <f>IFERROR(AG131/AG148, "NA")</f>
        <v>0</v>
      </c>
      <c r="AI131" s="10">
        <f t="shared" si="46"/>
        <v>0</v>
      </c>
      <c r="AJ131" s="11">
        <f>IFERROR(AI131/AI148, "NA")</f>
        <v>0</v>
      </c>
      <c r="AK131" s="10" t="str">
        <f t="shared" si="47"/>
        <v>NA</v>
      </c>
      <c r="AL131" s="11" t="str">
        <f>IFERROR(AK131/AK148, "NA")</f>
        <v>NA</v>
      </c>
    </row>
    <row r="132" spans="1:38" ht="16.5" hidden="1" customHeight="1" x14ac:dyDescent="0.3">
      <c r="A132" s="6" t="s">
        <v>137</v>
      </c>
      <c r="B132" s="7">
        <v>0</v>
      </c>
      <c r="C132" s="8">
        <f>IFERROR(B132/B148, "NA")</f>
        <v>0</v>
      </c>
      <c r="D132" s="7">
        <v>0</v>
      </c>
      <c r="E132" s="8">
        <f>IFERROR(D132/D148, "NA")</f>
        <v>0</v>
      </c>
      <c r="F132" s="7">
        <v>0</v>
      </c>
      <c r="G132" s="8">
        <f>IFERROR(F132/F148, "NA")</f>
        <v>0</v>
      </c>
      <c r="H132" s="7">
        <v>0</v>
      </c>
      <c r="I132" s="8">
        <f>IFERROR(H132/H148, "NA")</f>
        <v>0</v>
      </c>
      <c r="J132" s="7">
        <v>0</v>
      </c>
      <c r="K132" s="8">
        <f>IFERROR(J132/J148, "NA")</f>
        <v>0</v>
      </c>
      <c r="L132" s="7">
        <v>0</v>
      </c>
      <c r="M132" s="8">
        <f>IFERROR(L132/L148, "NA")</f>
        <v>0</v>
      </c>
      <c r="N132" s="7">
        <v>0</v>
      </c>
      <c r="O132" s="8">
        <f>IFERROR(N132/N148, "NA")</f>
        <v>0</v>
      </c>
      <c r="P132" s="7">
        <v>0</v>
      </c>
      <c r="Q132" s="8">
        <f>IFERROR(P132/P148, "NA")</f>
        <v>0</v>
      </c>
      <c r="R132" s="7">
        <v>0</v>
      </c>
      <c r="S132" s="8">
        <f>IFERROR(R132/R148, "NA")</f>
        <v>0</v>
      </c>
      <c r="T132" s="7">
        <v>0</v>
      </c>
      <c r="U132" s="8">
        <f>IFERROR(T132/T148, "NA")</f>
        <v>0</v>
      </c>
      <c r="V132" s="7">
        <v>0</v>
      </c>
      <c r="W132" s="8">
        <f>IFERROR(V132/V148, "NA")</f>
        <v>0</v>
      </c>
      <c r="X132" s="7">
        <v>0</v>
      </c>
      <c r="Y132" s="8">
        <f>IFERROR(X132/X148, "NA")</f>
        <v>0</v>
      </c>
      <c r="Z132" s="7">
        <v>0</v>
      </c>
      <c r="AA132" s="8">
        <f>IFERROR(Z132/Z148, "NA")</f>
        <v>0</v>
      </c>
      <c r="AB132" s="9">
        <f t="shared" si="42"/>
        <v>0</v>
      </c>
      <c r="AC132" s="8">
        <f>IFERROR(AB132/AB148, "NA")</f>
        <v>0</v>
      </c>
      <c r="AD132" s="10">
        <f t="shared" si="43"/>
        <v>0</v>
      </c>
      <c r="AE132" s="11">
        <f>IFERROR(AD132/AD148, "NA")</f>
        <v>0</v>
      </c>
      <c r="AF132" s="10" t="str">
        <f t="shared" si="44"/>
        <v>NA</v>
      </c>
      <c r="AG132" s="9">
        <f t="shared" si="45"/>
        <v>0</v>
      </c>
      <c r="AH132" s="8">
        <f>IFERROR(AG132/AG148, "NA")</f>
        <v>0</v>
      </c>
      <c r="AI132" s="10">
        <f t="shared" si="46"/>
        <v>0</v>
      </c>
      <c r="AJ132" s="11">
        <f>IFERROR(AI132/AI148, "NA")</f>
        <v>0</v>
      </c>
      <c r="AK132" s="10" t="str">
        <f t="shared" si="47"/>
        <v>NA</v>
      </c>
      <c r="AL132" s="11" t="str">
        <f>IFERROR(AK132/AK148, "NA")</f>
        <v>NA</v>
      </c>
    </row>
    <row r="133" spans="1:38" ht="16.5" hidden="1" customHeight="1" x14ac:dyDescent="0.3">
      <c r="A133" s="6" t="s">
        <v>138</v>
      </c>
      <c r="B133" s="7">
        <v>0</v>
      </c>
      <c r="C133" s="8">
        <f>IFERROR(B133/B148, "NA")</f>
        <v>0</v>
      </c>
      <c r="D133" s="7">
        <v>0</v>
      </c>
      <c r="E133" s="8">
        <f>IFERROR(D133/D148, "NA")</f>
        <v>0</v>
      </c>
      <c r="F133" s="7">
        <v>0</v>
      </c>
      <c r="G133" s="8">
        <f>IFERROR(F133/F148, "NA")</f>
        <v>0</v>
      </c>
      <c r="H133" s="7">
        <v>0</v>
      </c>
      <c r="I133" s="8">
        <f>IFERROR(H133/H148, "NA")</f>
        <v>0</v>
      </c>
      <c r="J133" s="7">
        <v>0</v>
      </c>
      <c r="K133" s="8">
        <f>IFERROR(J133/J148, "NA")</f>
        <v>0</v>
      </c>
      <c r="L133" s="7">
        <v>0</v>
      </c>
      <c r="M133" s="8">
        <f>IFERROR(L133/L148, "NA")</f>
        <v>0</v>
      </c>
      <c r="N133" s="7">
        <v>0</v>
      </c>
      <c r="O133" s="8">
        <f>IFERROR(N133/N148, "NA")</f>
        <v>0</v>
      </c>
      <c r="P133" s="7">
        <v>0</v>
      </c>
      <c r="Q133" s="8">
        <f>IFERROR(P133/P148, "NA")</f>
        <v>0</v>
      </c>
      <c r="R133" s="7">
        <v>0</v>
      </c>
      <c r="S133" s="8">
        <f>IFERROR(R133/R148, "NA")</f>
        <v>0</v>
      </c>
      <c r="T133" s="7">
        <v>0</v>
      </c>
      <c r="U133" s="8">
        <f>IFERROR(T133/T148, "NA")</f>
        <v>0</v>
      </c>
      <c r="V133" s="7">
        <v>0</v>
      </c>
      <c r="W133" s="8">
        <f>IFERROR(V133/V148, "NA")</f>
        <v>0</v>
      </c>
      <c r="X133" s="7">
        <v>0</v>
      </c>
      <c r="Y133" s="8">
        <f>IFERROR(X133/X148, "NA")</f>
        <v>0</v>
      </c>
      <c r="Z133" s="7">
        <v>0</v>
      </c>
      <c r="AA133" s="8">
        <f>IFERROR(Z133/Z148, "NA")</f>
        <v>0</v>
      </c>
      <c r="AB133" s="9">
        <f t="shared" si="42"/>
        <v>0</v>
      </c>
      <c r="AC133" s="8">
        <f>IFERROR(AB133/AB148, "NA")</f>
        <v>0</v>
      </c>
      <c r="AD133" s="10">
        <f t="shared" si="43"/>
        <v>0</v>
      </c>
      <c r="AE133" s="11">
        <f>IFERROR(AD133/AD148, "NA")</f>
        <v>0</v>
      </c>
      <c r="AF133" s="10" t="str">
        <f t="shared" si="44"/>
        <v>NA</v>
      </c>
      <c r="AG133" s="9">
        <f t="shared" si="45"/>
        <v>0</v>
      </c>
      <c r="AH133" s="8">
        <f>IFERROR(AG133/AG148, "NA")</f>
        <v>0</v>
      </c>
      <c r="AI133" s="10">
        <f t="shared" si="46"/>
        <v>0</v>
      </c>
      <c r="AJ133" s="11">
        <f>IFERROR(AI133/AI148, "NA")</f>
        <v>0</v>
      </c>
      <c r="AK133" s="10" t="str">
        <f t="shared" si="47"/>
        <v>NA</v>
      </c>
      <c r="AL133" s="11" t="str">
        <f>IFERROR(AK133/AK148, "NA")</f>
        <v>NA</v>
      </c>
    </row>
    <row r="134" spans="1:38" ht="16.5" hidden="1" customHeight="1" x14ac:dyDescent="0.3">
      <c r="A134" s="6" t="s">
        <v>139</v>
      </c>
      <c r="B134" s="7">
        <v>0</v>
      </c>
      <c r="C134" s="8">
        <f>IFERROR(B134/B148, "NA")</f>
        <v>0</v>
      </c>
      <c r="D134" s="7">
        <v>0</v>
      </c>
      <c r="E134" s="8">
        <f>IFERROR(D134/D148, "NA")</f>
        <v>0</v>
      </c>
      <c r="F134" s="7">
        <v>0</v>
      </c>
      <c r="G134" s="8">
        <f>IFERROR(F134/F148, "NA")</f>
        <v>0</v>
      </c>
      <c r="H134" s="7">
        <v>0</v>
      </c>
      <c r="I134" s="8">
        <f>IFERROR(H134/H148, "NA")</f>
        <v>0</v>
      </c>
      <c r="J134" s="7">
        <v>0</v>
      </c>
      <c r="K134" s="8">
        <f>IFERROR(J134/J148, "NA")</f>
        <v>0</v>
      </c>
      <c r="L134" s="7">
        <v>0</v>
      </c>
      <c r="M134" s="8">
        <f>IFERROR(L134/L148, "NA")</f>
        <v>0</v>
      </c>
      <c r="N134" s="7">
        <v>0</v>
      </c>
      <c r="O134" s="8">
        <f>IFERROR(N134/N148, "NA")</f>
        <v>0</v>
      </c>
      <c r="P134" s="7">
        <v>0</v>
      </c>
      <c r="Q134" s="8">
        <f>IFERROR(P134/P148, "NA")</f>
        <v>0</v>
      </c>
      <c r="R134" s="7">
        <v>0</v>
      </c>
      <c r="S134" s="8">
        <f>IFERROR(R134/R148, "NA")</f>
        <v>0</v>
      </c>
      <c r="T134" s="7">
        <v>0</v>
      </c>
      <c r="U134" s="8">
        <f>IFERROR(T134/T148, "NA")</f>
        <v>0</v>
      </c>
      <c r="V134" s="7">
        <v>0</v>
      </c>
      <c r="W134" s="8">
        <f>IFERROR(V134/V148, "NA")</f>
        <v>0</v>
      </c>
      <c r="X134" s="7">
        <v>0</v>
      </c>
      <c r="Y134" s="8">
        <f>IFERROR(X134/X148, "NA")</f>
        <v>0</v>
      </c>
      <c r="Z134" s="7">
        <v>0</v>
      </c>
      <c r="AA134" s="8">
        <f>IFERROR(Z134/Z148, "NA")</f>
        <v>0</v>
      </c>
      <c r="AB134" s="9">
        <f t="shared" si="42"/>
        <v>0</v>
      </c>
      <c r="AC134" s="8">
        <f>IFERROR(AB134/AB148, "NA")</f>
        <v>0</v>
      </c>
      <c r="AD134" s="10">
        <f t="shared" si="43"/>
        <v>0</v>
      </c>
      <c r="AE134" s="11">
        <f>IFERROR(AD134/AD148, "NA")</f>
        <v>0</v>
      </c>
      <c r="AF134" s="10" t="str">
        <f t="shared" si="44"/>
        <v>NA</v>
      </c>
      <c r="AG134" s="9">
        <f t="shared" si="45"/>
        <v>0</v>
      </c>
      <c r="AH134" s="8">
        <f>IFERROR(AG134/AG148, "NA")</f>
        <v>0</v>
      </c>
      <c r="AI134" s="10">
        <f t="shared" si="46"/>
        <v>0</v>
      </c>
      <c r="AJ134" s="11">
        <f>IFERROR(AI134/AI148, "NA")</f>
        <v>0</v>
      </c>
      <c r="AK134" s="10" t="str">
        <f t="shared" si="47"/>
        <v>NA</v>
      </c>
      <c r="AL134" s="11" t="str">
        <f>IFERROR(AK134/AK148, "NA")</f>
        <v>NA</v>
      </c>
    </row>
    <row r="135" spans="1:38" ht="16.5" hidden="1" customHeight="1" x14ac:dyDescent="0.3">
      <c r="A135" s="12" t="s">
        <v>140</v>
      </c>
      <c r="B135" s="13">
        <f>IFERROR(B110+B111+B112+B113+B114+B115+B116+B117+B118+B119+B120+B121+B122+B123+B124+B125+B126+B127+B128+B129+B130+B131+B132+B133+B134, "NA")</f>
        <v>293.28999999999996</v>
      </c>
      <c r="C135" s="14">
        <f>IFERROR(B135/B148, "NA")</f>
        <v>1.0246214483324093E-2</v>
      </c>
      <c r="D135" s="13">
        <f>IFERROR(D110+D111+D112+D113+D114+D115+D116+D117+D118+D119+D120+D121+D122+D123+D124+D125+D126+D127+D128+D129+D130+D131+D132+D133+D134, "NA")</f>
        <v>410.96000000000004</v>
      </c>
      <c r="E135" s="14">
        <f>IFERROR(D135/D148, "NA")</f>
        <v>1.4120405525292418E-2</v>
      </c>
      <c r="F135" s="13">
        <f>IFERROR(F110+F111+F112+F113+F114+F115+F116+F117+F118+F119+F120+F121+F122+F123+F124+F125+F126+F127+F128+F129+F130+F131+F132+F133+F134, "NA")</f>
        <v>451.09000000000003</v>
      </c>
      <c r="G135" s="14">
        <f>IFERROR(F135/F148, "NA")</f>
        <v>1.4063771936743737E-2</v>
      </c>
      <c r="H135" s="13">
        <f>IFERROR(H110+H111+H112+H113+H114+H115+H116+H117+H118+H119+H120+H121+H122+H123+H124+H125+H126+H127+H128+H129+H130+H131+H132+H133+H134, "NA")</f>
        <v>-1155.3399999999999</v>
      </c>
      <c r="I135" s="14">
        <f>IFERROR(H135/H148, "NA")</f>
        <v>-4.3895129492417681E-2</v>
      </c>
      <c r="J135" s="13">
        <f>IFERROR(J110+J111+J112+J113+J114+J115+J116+J117+J118+J119+J120+J121+J122+J123+J124+J125+J126+J127+J128+J129+J130+J131+J132+J133+J134, "NA")</f>
        <v>402.05</v>
      </c>
      <c r="K135" s="14">
        <f>IFERROR(J135/J148, "NA")</f>
        <v>1.624422129150549E-2</v>
      </c>
      <c r="L135" s="13">
        <f>IFERROR(L110+L111+L112+L113+L114+L115+L116+L117+L118+L119+L120+L121+L122+L123+L124+L125+L126+L127+L128+L129+L130+L131+L132+L133+L134, "NA")</f>
        <v>316.95999999999998</v>
      </c>
      <c r="M135" s="14">
        <f>IFERROR(L135/L148, "NA")</f>
        <v>1.1973080212384673E-2</v>
      </c>
      <c r="N135" s="13">
        <f>IFERROR(N110+N111+N112+N113+N114+N115+N116+N117+N118+N119+N120+N121+N122+N123+N124+N125+N126+N127+N128+N129+N130+N131+N132+N133+N134, "NA")</f>
        <v>327.92</v>
      </c>
      <c r="O135" s="14">
        <f>IFERROR(N135/N148, "NA")</f>
        <v>1.3181796803679584E-2</v>
      </c>
      <c r="P135" s="13">
        <f>IFERROR(P110+P111+P112+P113+P114+P115+P116+P117+P118+P119+P120+P121+P122+P123+P124+P125+P126+P127+P128+P129+P130+P131+P132+P133+P134, "NA")</f>
        <v>337.45</v>
      </c>
      <c r="Q135" s="14">
        <f>IFERROR(P135/P148, "NA")</f>
        <v>1.1047225949735694E-2</v>
      </c>
      <c r="R135" s="13">
        <f>IFERROR(R110+R111+R112+R113+R114+R115+R116+R117+R118+R119+R120+R121+R122+R123+R124+R125+R126+R127+R128+R129+R130+R131+R132+R133+R134, "NA")</f>
        <v>-1384.3799999999999</v>
      </c>
      <c r="S135" s="14">
        <f>IFERROR(R135/R148, "NA")</f>
        <v>-4.0923094568477404E-2</v>
      </c>
      <c r="T135" s="13">
        <f>IFERROR(T110+T111+T112+T113+T114+T115+T116+T117+T118+T119+T120+T121+T122+T123+T124+T125+T126+T127+T128+T129+T130+T131+T132+T133+T134, "NA")</f>
        <v>268.79000000000002</v>
      </c>
      <c r="U135" s="14">
        <f>IFERROR(T135/T148, "NA")</f>
        <v>1.07999101581193E-2</v>
      </c>
      <c r="V135" s="13">
        <f>IFERROR(V110+V111+V112+V113+V114+V115+V116+V117+V118+V119+V120+V121+V122+V123+V124+V125+V126+V127+V128+V129+V130+V131+V132+V133+V134, "NA")</f>
        <v>282.7</v>
      </c>
      <c r="W135" s="14">
        <f>IFERROR(V135/V148, "NA")</f>
        <v>9.0251583872198397E-3</v>
      </c>
      <c r="X135" s="13">
        <f>IFERROR(X110+X111+X112+X113+X114+X115+X116+X117+X118+X119+X120+X121+X122+X123+X124+X125+X126+X127+X128+X129+X130+X131+X132+X133+X134, "NA")</f>
        <v>293.58</v>
      </c>
      <c r="Y135" s="14">
        <f>IFERROR(X135/X148, "NA")</f>
        <v>9.7233492198600356E-3</v>
      </c>
      <c r="Z135" s="13">
        <f>IFERROR(Z110+Z111+Z112+Z113+Z114+Z115+Z116+Z117+Z118+Z119+Z120+Z121+Z122+Z123+Z124+Z125+Z126+Z127+Z128+Z129+Z130+Z131+Z132+Z133+Z134, "NA")</f>
        <v>845.07000000000016</v>
      </c>
      <c r="AA135" s="14">
        <f>IFERROR(Z135/Z148, "NA")</f>
        <v>9.7803345222303075E-3</v>
      </c>
      <c r="AB135" s="13">
        <f t="shared" si="42"/>
        <v>-134.82749999999999</v>
      </c>
      <c r="AC135" s="14">
        <f>IFERROR(AB135/AB148, "NA")</f>
        <v>-4.4855092376655352E-3</v>
      </c>
      <c r="AD135" s="15">
        <f t="shared" si="43"/>
        <v>428.40749999999997</v>
      </c>
      <c r="AE135" s="16">
        <f>IFERROR(AD135/AD148, "NA")</f>
        <v>3.1771544052209992</v>
      </c>
      <c r="AF135" s="15">
        <f t="shared" si="44"/>
        <v>-3.1774489625632754</v>
      </c>
      <c r="AG135" s="13">
        <f t="shared" si="45"/>
        <v>105.63375000000002</v>
      </c>
      <c r="AH135" s="14">
        <f>IFERROR(AG135/AG148, "NA")</f>
        <v>3.7247482983938291E-3</v>
      </c>
      <c r="AI135" s="15">
        <f t="shared" si="46"/>
        <v>187.94624999999996</v>
      </c>
      <c r="AJ135" s="16">
        <f>IFERROR(AI135/AI148, "NA")</f>
        <v>0.10251632275695015</v>
      </c>
      <c r="AK135" s="15">
        <f t="shared" si="47"/>
        <v>1.7792253896126942</v>
      </c>
      <c r="AL135" s="16">
        <f>IFERROR(AK135/AK148, "NA")</f>
        <v>27.523020226939042</v>
      </c>
    </row>
    <row r="136" spans="1:38" ht="16.5" hidden="1" customHeight="1" x14ac:dyDescent="0.3">
      <c r="A136" s="35" t="s">
        <v>3</v>
      </c>
      <c r="B136" s="36"/>
      <c r="C136" s="19"/>
      <c r="D136" s="36"/>
      <c r="E136" s="19"/>
      <c r="F136" s="36"/>
      <c r="G136" s="19"/>
      <c r="H136" s="36"/>
      <c r="I136" s="19"/>
      <c r="J136" s="36"/>
      <c r="K136" s="19"/>
      <c r="L136" s="36"/>
      <c r="M136" s="19"/>
      <c r="N136" s="36"/>
      <c r="O136" s="19"/>
      <c r="P136" s="36"/>
      <c r="Q136" s="19"/>
      <c r="R136" s="36"/>
      <c r="S136" s="19"/>
      <c r="T136" s="36"/>
      <c r="U136" s="19"/>
      <c r="V136" s="36"/>
      <c r="W136" s="19"/>
      <c r="X136" s="36"/>
      <c r="Y136" s="19"/>
      <c r="Z136" s="36"/>
      <c r="AA136" s="19"/>
      <c r="AB136" s="36"/>
      <c r="AC136" s="19"/>
      <c r="AD136" s="37"/>
      <c r="AE136" s="21"/>
      <c r="AF136" s="37"/>
      <c r="AG136" s="36"/>
      <c r="AH136" s="19"/>
      <c r="AI136" s="37"/>
      <c r="AJ136" s="21"/>
      <c r="AK136" s="37"/>
      <c r="AL136" s="21"/>
    </row>
    <row r="137" spans="1:38" ht="16.5" hidden="1" customHeight="1" x14ac:dyDescent="0.3">
      <c r="A137" s="32" t="s">
        <v>141</v>
      </c>
      <c r="B137" s="33">
        <f>IFERROR(B107-B135, "NA")</f>
        <v>6181.6399999999976</v>
      </c>
      <c r="C137" s="34">
        <f>IFERROR(B137/B148, "NA")</f>
        <v>0.21595829826688781</v>
      </c>
      <c r="D137" s="33">
        <f>IFERROR(D107-D135, "NA")</f>
        <v>7705.77</v>
      </c>
      <c r="E137" s="34">
        <f>IFERROR(D137/D148, "NA")</f>
        <v>0.26476688068092408</v>
      </c>
      <c r="F137" s="33">
        <f>IFERROR(F107-F135, "NA")</f>
        <v>3524.2399999999921</v>
      </c>
      <c r="G137" s="34">
        <f>IFERROR(F137/F148, "NA")</f>
        <v>0.10987631650080833</v>
      </c>
      <c r="H137" s="33">
        <f>IFERROR(H107-H135, "NA")</f>
        <v>-14894.700000000004</v>
      </c>
      <c r="I137" s="34">
        <f>IFERROR(H137/H148, "NA")</f>
        <v>-0.5658981643937836</v>
      </c>
      <c r="J137" s="33">
        <f>IFERROR(J107-J135, "NA")</f>
        <v>5341.0700000000015</v>
      </c>
      <c r="K137" s="34">
        <f>IFERROR(J137/J148, "NA")</f>
        <v>0.21579784358517909</v>
      </c>
      <c r="L137" s="33">
        <f>IFERROR(L107-L135, "NA")</f>
        <v>6695.2900000000009</v>
      </c>
      <c r="M137" s="34">
        <f>IFERROR(L137/L148, "NA")</f>
        <v>0.25291280986615655</v>
      </c>
      <c r="N137" s="33">
        <f>IFERROR(N107-N135, "NA")</f>
        <v>6139.89</v>
      </c>
      <c r="O137" s="34">
        <f>IFERROR(N137/N148, "NA")</f>
        <v>0.24681258348665602</v>
      </c>
      <c r="P137" s="33">
        <f>IFERROR(P107-P135, "NA")</f>
        <v>1131.790000000002</v>
      </c>
      <c r="Q137" s="34">
        <f>IFERROR(P137/P148, "NA")</f>
        <v>3.705182947888986E-2</v>
      </c>
      <c r="R137" s="33">
        <f>IFERROR(R107-R135, "NA")</f>
        <v>-17097.240000000002</v>
      </c>
      <c r="S137" s="34">
        <f>IFERROR(R137/R148, "NA")</f>
        <v>-0.50540456332795536</v>
      </c>
      <c r="T137" s="33">
        <f>IFERROR(T107-T135, "NA")</f>
        <v>2558.849999999999</v>
      </c>
      <c r="U137" s="34">
        <f>IFERROR(T137/T148, "NA")</f>
        <v>0.1028139071695508</v>
      </c>
      <c r="V137" s="33">
        <f>IFERROR(V107-V135, "NA")</f>
        <v>6410.9200000000128</v>
      </c>
      <c r="W137" s="34">
        <f>IFERROR(V137/V148, "NA")</f>
        <v>0.20466773402120811</v>
      </c>
      <c r="X137" s="33">
        <f>IFERROR(X107-X135, "NA")</f>
        <v>3224.359999999996</v>
      </c>
      <c r="Y137" s="34">
        <f>IFERROR(X137/X148, "NA")</f>
        <v>0.10679057936694551</v>
      </c>
      <c r="Z137" s="33">
        <f>IFERROR(Z107-Z135, "NA")</f>
        <v>12194.130000000026</v>
      </c>
      <c r="AA137" s="34">
        <f>IFERROR(Z137/Z148, "NA")</f>
        <v>0.14112756411606669</v>
      </c>
      <c r="AB137" s="33">
        <f>IFERROR((R137+T137+V137+X137)/4, "NA")</f>
        <v>-1225.7774999999986</v>
      </c>
      <c r="AC137" s="34">
        <f>IFERROR(AB137/AB148, "NA")</f>
        <v>-4.0779783794645454E-2</v>
      </c>
      <c r="AD137" s="15">
        <f>IFERROR(X137-AB137, "NA")</f>
        <v>4450.1374999999944</v>
      </c>
      <c r="AE137" s="16">
        <f>IFERROR(AD137/AD148, "NA")</f>
        <v>33.003096262236646</v>
      </c>
      <c r="AF137" s="15">
        <f>IFERROR((X137-AB137)/AB137, "NA")</f>
        <v>-3.6304610747056456</v>
      </c>
      <c r="AG137" s="33">
        <f>IFERROR((J137+L137+N137+P137+R137+T137+V137+X137)/8, "NA")</f>
        <v>1800.6162500000014</v>
      </c>
      <c r="AH137" s="34">
        <f>IFERROR(AG137/AG148, "NA")</f>
        <v>6.3491472311148489E-2</v>
      </c>
      <c r="AI137" s="15">
        <f>IFERROR(X137-AG137, "NA")</f>
        <v>1423.7437499999946</v>
      </c>
      <c r="AJ137" s="16">
        <f>IFERROR(AI137/AI148, "NA")</f>
        <v>0.77658891197983471</v>
      </c>
      <c r="AK137" s="15">
        <f>IFERROR((X137-AG137)/AG137, "NA")</f>
        <v>0.790698045738504</v>
      </c>
      <c r="AL137" s="16">
        <f>IFERROR(AK137/AK148, "NA")</f>
        <v>12.231389251363655</v>
      </c>
    </row>
    <row r="138" spans="1:38" ht="3.75" hidden="1" customHeight="1" x14ac:dyDescent="0.3">
      <c r="A138" s="35" t="s">
        <v>3</v>
      </c>
      <c r="B138" s="36"/>
      <c r="C138" s="19"/>
      <c r="D138" s="36"/>
      <c r="E138" s="19"/>
      <c r="F138" s="36"/>
      <c r="G138" s="19"/>
      <c r="H138" s="36"/>
      <c r="I138" s="19"/>
      <c r="J138" s="36"/>
      <c r="K138" s="19"/>
      <c r="L138" s="36"/>
      <c r="M138" s="19"/>
      <c r="N138" s="36"/>
      <c r="O138" s="19"/>
      <c r="P138" s="36"/>
      <c r="Q138" s="19"/>
      <c r="R138" s="36"/>
      <c r="S138" s="19"/>
      <c r="T138" s="36"/>
      <c r="U138" s="19"/>
      <c r="V138" s="36"/>
      <c r="W138" s="19"/>
      <c r="X138" s="36"/>
      <c r="Y138" s="19"/>
      <c r="Z138" s="36"/>
      <c r="AA138" s="19"/>
      <c r="AB138" s="36"/>
      <c r="AC138" s="19"/>
      <c r="AD138" s="37"/>
      <c r="AE138" s="21"/>
      <c r="AF138" s="37"/>
      <c r="AG138" s="36"/>
      <c r="AH138" s="19"/>
      <c r="AI138" s="37"/>
      <c r="AJ138" s="21"/>
      <c r="AK138" s="37"/>
      <c r="AL138" s="21"/>
    </row>
    <row r="139" spans="1:38" ht="16.5" hidden="1" customHeight="1" x14ac:dyDescent="0.3">
      <c r="A139" s="1" t="s">
        <v>142</v>
      </c>
      <c r="B139" s="2"/>
      <c r="C139" s="3"/>
      <c r="D139" s="2"/>
      <c r="E139" s="3"/>
      <c r="F139" s="2"/>
      <c r="G139" s="3"/>
      <c r="H139" s="2"/>
      <c r="I139" s="3"/>
      <c r="J139" s="2"/>
      <c r="K139" s="3"/>
      <c r="L139" s="2"/>
      <c r="M139" s="3"/>
      <c r="N139" s="2"/>
      <c r="O139" s="3"/>
      <c r="P139" s="2"/>
      <c r="Q139" s="3"/>
      <c r="R139" s="2"/>
      <c r="S139" s="3"/>
      <c r="T139" s="2"/>
      <c r="U139" s="3"/>
      <c r="V139" s="2"/>
      <c r="W139" s="3"/>
      <c r="X139" s="2"/>
      <c r="Y139" s="3"/>
      <c r="Z139" s="2"/>
      <c r="AA139" s="3"/>
      <c r="AB139" s="2"/>
      <c r="AC139" s="3"/>
      <c r="AD139" s="4"/>
      <c r="AE139" s="5"/>
      <c r="AF139" s="4"/>
      <c r="AG139" s="2"/>
      <c r="AH139" s="3"/>
      <c r="AI139" s="4"/>
      <c r="AJ139" s="5"/>
      <c r="AK139" s="4"/>
      <c r="AL139" s="5"/>
    </row>
    <row r="140" spans="1:38" ht="16.5" hidden="1" customHeight="1" x14ac:dyDescent="0.3">
      <c r="A140" s="6" t="s">
        <v>143</v>
      </c>
      <c r="B140" s="7">
        <v>0</v>
      </c>
      <c r="C140" s="8">
        <f>IFERROR(B140/B148, "NA")</f>
        <v>0</v>
      </c>
      <c r="D140" s="7">
        <v>0</v>
      </c>
      <c r="E140" s="8">
        <f>IFERROR(D140/D148, "NA")</f>
        <v>0</v>
      </c>
      <c r="F140" s="7">
        <v>0</v>
      </c>
      <c r="G140" s="8">
        <f>IFERROR(F140/F148, "NA")</f>
        <v>0</v>
      </c>
      <c r="H140" s="7">
        <v>10579.2</v>
      </c>
      <c r="I140" s="8">
        <f>IFERROR(H140/H148, "NA")</f>
        <v>0.40193826399690585</v>
      </c>
      <c r="J140" s="7">
        <v>0</v>
      </c>
      <c r="K140" s="8">
        <f>IFERROR(J140/J148, "NA")</f>
        <v>0</v>
      </c>
      <c r="L140" s="7">
        <v>0</v>
      </c>
      <c r="M140" s="8">
        <f>IFERROR(L140/L148, "NA")</f>
        <v>0</v>
      </c>
      <c r="N140" s="7">
        <v>0</v>
      </c>
      <c r="O140" s="8">
        <f>IFERROR(N140/N148, "NA")</f>
        <v>0</v>
      </c>
      <c r="P140" s="7">
        <v>-93.009999999999991</v>
      </c>
      <c r="Q140" s="8">
        <f>IFERROR(P140/P148, "NA")</f>
        <v>-3.0449029058672895E-3</v>
      </c>
      <c r="R140" s="7">
        <v>11213.88</v>
      </c>
      <c r="S140" s="8">
        <f>IFERROR(R140/R148, "NA")</f>
        <v>0.33148894936329437</v>
      </c>
      <c r="T140" s="7">
        <v>0</v>
      </c>
      <c r="U140" s="8">
        <f>IFERROR(T140/T148, "NA")</f>
        <v>0</v>
      </c>
      <c r="V140" s="7">
        <v>0</v>
      </c>
      <c r="W140" s="8">
        <f>IFERROR(V140/V148, "NA")</f>
        <v>0</v>
      </c>
      <c r="X140" s="7">
        <v>0</v>
      </c>
      <c r="Y140" s="8">
        <f>IFERROR(X140/X148, "NA")</f>
        <v>0</v>
      </c>
      <c r="Z140" s="7">
        <v>0</v>
      </c>
      <c r="AA140" s="8">
        <f>IFERROR(Z140/Z148, "NA")</f>
        <v>0</v>
      </c>
      <c r="AB140" s="9">
        <f>IFERROR((R140+T140+V140+X140)/4, "NA")</f>
        <v>2803.47</v>
      </c>
      <c r="AC140" s="8">
        <f>IFERROR(AB140/AB148, "NA")</f>
        <v>9.3267253212573092E-2</v>
      </c>
      <c r="AD140" s="10">
        <f>IFERROR(X140-AB140, "NA")</f>
        <v>-2803.47</v>
      </c>
      <c r="AE140" s="11">
        <f>IFERROR(AD140/AD148, "NA")</f>
        <v>-20.791085731236997</v>
      </c>
      <c r="AF140" s="10">
        <f>IFERROR((X140-AB140)/AB140, "NA")</f>
        <v>-1</v>
      </c>
      <c r="AG140" s="9">
        <f>IFERROR((J140+L140+N140+P140+R140+T140+V140+X140)/8, "NA")</f>
        <v>1390.1087499999999</v>
      </c>
      <c r="AH140" s="8">
        <f>IFERROR(AG140/AG148, "NA")</f>
        <v>4.9016580412461652E-2</v>
      </c>
      <c r="AI140" s="10">
        <f>IFERROR(X140-AG140, "NA")</f>
        <v>-1390.1087499999999</v>
      </c>
      <c r="AJ140" s="11">
        <f>IFERROR(AI140/AI148, "NA")</f>
        <v>-0.75824251498638862</v>
      </c>
      <c r="AK140" s="10">
        <f>IFERROR((X140-AG140)/AG140, "NA")</f>
        <v>-1</v>
      </c>
      <c r="AL140" s="11">
        <f>IFERROR(AK140/AK148, "NA")</f>
        <v>-15.469102671095715</v>
      </c>
    </row>
    <row r="141" spans="1:38" ht="16.5" hidden="1" customHeight="1" x14ac:dyDescent="0.3">
      <c r="A141" s="12" t="s">
        <v>144</v>
      </c>
      <c r="B141" s="13">
        <f>IFERROR(B140, "NA")</f>
        <v>0</v>
      </c>
      <c r="C141" s="14">
        <f>IFERROR(B141/B148, "NA")</f>
        <v>0</v>
      </c>
      <c r="D141" s="13">
        <f>IFERROR(D140, "NA")</f>
        <v>0</v>
      </c>
      <c r="E141" s="14">
        <f>IFERROR(D141/D148, "NA")</f>
        <v>0</v>
      </c>
      <c r="F141" s="13">
        <f>IFERROR(F140, "NA")</f>
        <v>0</v>
      </c>
      <c r="G141" s="14">
        <f>IFERROR(F141/F148, "NA")</f>
        <v>0</v>
      </c>
      <c r="H141" s="13">
        <f>IFERROR(H140, "NA")</f>
        <v>10579.2</v>
      </c>
      <c r="I141" s="14">
        <f>IFERROR(H141/H148, "NA")</f>
        <v>0.40193826399690585</v>
      </c>
      <c r="J141" s="13">
        <f>IFERROR(J140, "NA")</f>
        <v>0</v>
      </c>
      <c r="K141" s="14">
        <f>IFERROR(J141/J148, "NA")</f>
        <v>0</v>
      </c>
      <c r="L141" s="13">
        <f>IFERROR(L140, "NA")</f>
        <v>0</v>
      </c>
      <c r="M141" s="14">
        <f>IFERROR(L141/L148, "NA")</f>
        <v>0</v>
      </c>
      <c r="N141" s="13">
        <f>IFERROR(N140, "NA")</f>
        <v>0</v>
      </c>
      <c r="O141" s="14">
        <f>IFERROR(N141/N148, "NA")</f>
        <v>0</v>
      </c>
      <c r="P141" s="13">
        <f>IFERROR(P140, "NA")</f>
        <v>-93.009999999999991</v>
      </c>
      <c r="Q141" s="14">
        <f>IFERROR(P141/P148, "NA")</f>
        <v>-3.0449029058672895E-3</v>
      </c>
      <c r="R141" s="13">
        <f>IFERROR(R140, "NA")</f>
        <v>11213.88</v>
      </c>
      <c r="S141" s="14">
        <f>IFERROR(R141/R148, "NA")</f>
        <v>0.33148894936329437</v>
      </c>
      <c r="T141" s="13">
        <f>IFERROR(T140, "NA")</f>
        <v>0</v>
      </c>
      <c r="U141" s="14">
        <f>IFERROR(T141/T148, "NA")</f>
        <v>0</v>
      </c>
      <c r="V141" s="13">
        <f>IFERROR(V140, "NA")</f>
        <v>0</v>
      </c>
      <c r="W141" s="14">
        <f>IFERROR(V141/V148, "NA")</f>
        <v>0</v>
      </c>
      <c r="X141" s="13">
        <f>IFERROR(X140, "NA")</f>
        <v>0</v>
      </c>
      <c r="Y141" s="14">
        <f>IFERROR(X141/X148, "NA")</f>
        <v>0</v>
      </c>
      <c r="Z141" s="13">
        <f>IFERROR(Z140, "NA")</f>
        <v>0</v>
      </c>
      <c r="AA141" s="14">
        <f>IFERROR(Z141/Z148, "NA")</f>
        <v>0</v>
      </c>
      <c r="AB141" s="13">
        <f>IFERROR((R141+T141+V141+X141)/4, "NA")</f>
        <v>2803.47</v>
      </c>
      <c r="AC141" s="14">
        <f>IFERROR(AB141/AB148, "NA")</f>
        <v>9.3267253212573092E-2</v>
      </c>
      <c r="AD141" s="15">
        <f>IFERROR(X141-AB141, "NA")</f>
        <v>-2803.47</v>
      </c>
      <c r="AE141" s="16">
        <f>IFERROR(AD141/AD148, "NA")</f>
        <v>-20.791085731236997</v>
      </c>
      <c r="AF141" s="15">
        <f>IFERROR((X141-AB141)/AB141, "NA")</f>
        <v>-1</v>
      </c>
      <c r="AG141" s="13">
        <f>IFERROR((J141+L141+N141+P141+R141+T141+V141+X141)/8, "NA")</f>
        <v>1390.1087499999999</v>
      </c>
      <c r="AH141" s="14">
        <f>IFERROR(AG141/AG148, "NA")</f>
        <v>4.9016580412461652E-2</v>
      </c>
      <c r="AI141" s="15">
        <f>IFERROR(X141-AG141, "NA")</f>
        <v>-1390.1087499999999</v>
      </c>
      <c r="AJ141" s="16">
        <f>IFERROR(AI141/AI148, "NA")</f>
        <v>-0.75824251498638862</v>
      </c>
      <c r="AK141" s="15">
        <f>IFERROR((X141-AG141)/AG141, "NA")</f>
        <v>-1</v>
      </c>
      <c r="AL141" s="16">
        <f>IFERROR(AK141/AK148, "NA")</f>
        <v>-15.469102671095715</v>
      </c>
    </row>
    <row r="142" spans="1:38" ht="3.75" hidden="1" customHeight="1" x14ac:dyDescent="0.3">
      <c r="A142" s="35" t="s">
        <v>3</v>
      </c>
      <c r="B142" s="36"/>
      <c r="C142" s="19"/>
      <c r="D142" s="36"/>
      <c r="E142" s="19"/>
      <c r="F142" s="36"/>
      <c r="G142" s="19"/>
      <c r="H142" s="36"/>
      <c r="I142" s="19"/>
      <c r="J142" s="36"/>
      <c r="K142" s="19"/>
      <c r="L142" s="36"/>
      <c r="M142" s="19"/>
      <c r="N142" s="36"/>
      <c r="O142" s="19"/>
      <c r="P142" s="36"/>
      <c r="Q142" s="19"/>
      <c r="R142" s="36"/>
      <c r="S142" s="19"/>
      <c r="T142" s="36"/>
      <c r="U142" s="19"/>
      <c r="V142" s="36"/>
      <c r="W142" s="19"/>
      <c r="X142" s="36"/>
      <c r="Y142" s="19"/>
      <c r="Z142" s="36"/>
      <c r="AA142" s="19"/>
      <c r="AB142" s="36"/>
      <c r="AC142" s="19"/>
      <c r="AD142" s="37"/>
      <c r="AE142" s="21"/>
      <c r="AF142" s="37"/>
      <c r="AG142" s="36"/>
      <c r="AH142" s="19"/>
      <c r="AI142" s="37"/>
      <c r="AJ142" s="21"/>
      <c r="AK142" s="37"/>
      <c r="AL142" s="21"/>
    </row>
    <row r="143" spans="1:38" ht="16.5" hidden="1" customHeight="1" x14ac:dyDescent="0.3">
      <c r="A143" s="1" t="s">
        <v>145</v>
      </c>
      <c r="B143" s="2"/>
      <c r="C143" s="3"/>
      <c r="D143" s="2"/>
      <c r="E143" s="3"/>
      <c r="F143" s="2"/>
      <c r="G143" s="3"/>
      <c r="H143" s="2"/>
      <c r="I143" s="3"/>
      <c r="J143" s="2"/>
      <c r="K143" s="3"/>
      <c r="L143" s="2"/>
      <c r="M143" s="3"/>
      <c r="N143" s="2"/>
      <c r="O143" s="3"/>
      <c r="P143" s="2"/>
      <c r="Q143" s="3"/>
      <c r="R143" s="2"/>
      <c r="S143" s="3"/>
      <c r="T143" s="2"/>
      <c r="U143" s="3"/>
      <c r="V143" s="2"/>
      <c r="W143" s="3"/>
      <c r="X143" s="2"/>
      <c r="Y143" s="3"/>
      <c r="Z143" s="2"/>
      <c r="AA143" s="3"/>
      <c r="AB143" s="2"/>
      <c r="AC143" s="3"/>
      <c r="AD143" s="4"/>
      <c r="AE143" s="5"/>
      <c r="AF143" s="4"/>
      <c r="AG143" s="2"/>
      <c r="AH143" s="3"/>
      <c r="AI143" s="4"/>
      <c r="AJ143" s="5"/>
      <c r="AK143" s="4"/>
      <c r="AL143" s="5"/>
    </row>
    <row r="144" spans="1:38" ht="16.5" hidden="1" customHeight="1" x14ac:dyDescent="0.3">
      <c r="A144" s="6" t="s">
        <v>146</v>
      </c>
      <c r="B144" s="7">
        <v>0</v>
      </c>
      <c r="C144" s="8">
        <f>IFERROR(B144/B148, "NA")</f>
        <v>0</v>
      </c>
      <c r="D144" s="7">
        <v>0</v>
      </c>
      <c r="E144" s="8">
        <f>IFERROR(D144/D148, "NA")</f>
        <v>0</v>
      </c>
      <c r="F144" s="7">
        <v>0</v>
      </c>
      <c r="G144" s="8">
        <f>IFERROR(F144/F148, "NA")</f>
        <v>0</v>
      </c>
      <c r="H144" s="7">
        <v>0</v>
      </c>
      <c r="I144" s="8">
        <f>IFERROR(H144/H148, "NA")</f>
        <v>0</v>
      </c>
      <c r="J144" s="7">
        <v>0</v>
      </c>
      <c r="K144" s="8">
        <f>IFERROR(J144/J148, "NA")</f>
        <v>0</v>
      </c>
      <c r="L144" s="7">
        <v>0</v>
      </c>
      <c r="M144" s="8">
        <f>IFERROR(L144/L148, "NA")</f>
        <v>0</v>
      </c>
      <c r="N144" s="7">
        <v>0</v>
      </c>
      <c r="O144" s="8">
        <f>IFERROR(N144/N148, "NA")</f>
        <v>0</v>
      </c>
      <c r="P144" s="7">
        <v>0</v>
      </c>
      <c r="Q144" s="8">
        <f>IFERROR(P144/P148, "NA")</f>
        <v>0</v>
      </c>
      <c r="R144" s="7">
        <v>0</v>
      </c>
      <c r="S144" s="8">
        <f>IFERROR(R144/R148, "NA")</f>
        <v>0</v>
      </c>
      <c r="T144" s="7">
        <v>0</v>
      </c>
      <c r="U144" s="8">
        <f>IFERROR(T144/T148, "NA")</f>
        <v>0</v>
      </c>
      <c r="V144" s="7">
        <v>0</v>
      </c>
      <c r="W144" s="8">
        <f>IFERROR(V144/V148, "NA")</f>
        <v>0</v>
      </c>
      <c r="X144" s="7">
        <v>0</v>
      </c>
      <c r="Y144" s="8">
        <f>IFERROR(X144/X148, "NA")</f>
        <v>0</v>
      </c>
      <c r="Z144" s="7">
        <v>0</v>
      </c>
      <c r="AA144" s="8">
        <f>IFERROR(Z144/Z148, "NA")</f>
        <v>0</v>
      </c>
      <c r="AB144" s="9">
        <f>IFERROR((R144+T144+V144+X144)/4, "NA")</f>
        <v>0</v>
      </c>
      <c r="AC144" s="8">
        <f>IFERROR(AB144/AB148, "NA")</f>
        <v>0</v>
      </c>
      <c r="AD144" s="10">
        <f>IFERROR(X144-AB144, "NA")</f>
        <v>0</v>
      </c>
      <c r="AE144" s="11">
        <f>IFERROR(AD144/AD148, "NA")</f>
        <v>0</v>
      </c>
      <c r="AF144" s="10" t="str">
        <f>IFERROR((X144-AB144)/AB144, "NA")</f>
        <v>NA</v>
      </c>
      <c r="AG144" s="9">
        <f>IFERROR((J144+L144+N144+P144+R144+T144+V144+X144)/8, "NA")</f>
        <v>0</v>
      </c>
      <c r="AH144" s="8">
        <f>IFERROR(AG144/AG148, "NA")</f>
        <v>0</v>
      </c>
      <c r="AI144" s="10">
        <f>IFERROR(X144-AG144, "NA")</f>
        <v>0</v>
      </c>
      <c r="AJ144" s="11">
        <f>IFERROR(AI144/AI148, "NA")</f>
        <v>0</v>
      </c>
      <c r="AK144" s="10" t="str">
        <f>IFERROR((X144-AG144)/AG144, "NA")</f>
        <v>NA</v>
      </c>
      <c r="AL144" s="11" t="str">
        <f>IFERROR(AK144/AK148, "NA")</f>
        <v>NA</v>
      </c>
    </row>
    <row r="145" spans="1:38" ht="16.5" hidden="1" customHeight="1" x14ac:dyDescent="0.3">
      <c r="A145" s="12" t="s">
        <v>147</v>
      </c>
      <c r="B145" s="13">
        <f>IFERROR(B144, "NA")</f>
        <v>0</v>
      </c>
      <c r="C145" s="14">
        <f>IFERROR(B145/B148, "NA")</f>
        <v>0</v>
      </c>
      <c r="D145" s="13">
        <f>IFERROR(D144, "NA")</f>
        <v>0</v>
      </c>
      <c r="E145" s="14">
        <f>IFERROR(D145/D148, "NA")</f>
        <v>0</v>
      </c>
      <c r="F145" s="13">
        <f>IFERROR(F144, "NA")</f>
        <v>0</v>
      </c>
      <c r="G145" s="14">
        <f>IFERROR(F145/F148, "NA")</f>
        <v>0</v>
      </c>
      <c r="H145" s="13">
        <f>IFERROR(H144, "NA")</f>
        <v>0</v>
      </c>
      <c r="I145" s="14">
        <f>IFERROR(H145/H148, "NA")</f>
        <v>0</v>
      </c>
      <c r="J145" s="13">
        <f>IFERROR(J144, "NA")</f>
        <v>0</v>
      </c>
      <c r="K145" s="14">
        <f>IFERROR(J145/J148, "NA")</f>
        <v>0</v>
      </c>
      <c r="L145" s="13">
        <f>IFERROR(L144, "NA")</f>
        <v>0</v>
      </c>
      <c r="M145" s="14">
        <f>IFERROR(L145/L148, "NA")</f>
        <v>0</v>
      </c>
      <c r="N145" s="13">
        <f>IFERROR(N144, "NA")</f>
        <v>0</v>
      </c>
      <c r="O145" s="14">
        <f>IFERROR(N145/N148, "NA")</f>
        <v>0</v>
      </c>
      <c r="P145" s="13">
        <f>IFERROR(P144, "NA")</f>
        <v>0</v>
      </c>
      <c r="Q145" s="14">
        <f>IFERROR(P145/P148, "NA")</f>
        <v>0</v>
      </c>
      <c r="R145" s="13">
        <f>IFERROR(R144, "NA")</f>
        <v>0</v>
      </c>
      <c r="S145" s="14">
        <f>IFERROR(R145/R148, "NA")</f>
        <v>0</v>
      </c>
      <c r="T145" s="13">
        <f>IFERROR(T144, "NA")</f>
        <v>0</v>
      </c>
      <c r="U145" s="14">
        <f>IFERROR(T145/T148, "NA")</f>
        <v>0</v>
      </c>
      <c r="V145" s="13">
        <f>IFERROR(V144, "NA")</f>
        <v>0</v>
      </c>
      <c r="W145" s="14">
        <f>IFERROR(V145/V148, "NA")</f>
        <v>0</v>
      </c>
      <c r="X145" s="13">
        <f>IFERROR(X144, "NA")</f>
        <v>0</v>
      </c>
      <c r="Y145" s="14">
        <f>IFERROR(X145/X148, "NA")</f>
        <v>0</v>
      </c>
      <c r="Z145" s="13">
        <f>IFERROR(Z144, "NA")</f>
        <v>0</v>
      </c>
      <c r="AA145" s="14">
        <f>IFERROR(Z145/Z148, "NA")</f>
        <v>0</v>
      </c>
      <c r="AB145" s="13">
        <f>IFERROR((R145+T145+V145+X145)/4, "NA")</f>
        <v>0</v>
      </c>
      <c r="AC145" s="14">
        <f>IFERROR(AB145/AB148, "NA")</f>
        <v>0</v>
      </c>
      <c r="AD145" s="15">
        <f>IFERROR(X145-AB145, "NA")</f>
        <v>0</v>
      </c>
      <c r="AE145" s="16">
        <f>IFERROR(AD145/AD148, "NA")</f>
        <v>0</v>
      </c>
      <c r="AF145" s="15" t="str">
        <f>IFERROR((X145-AB145)/AB145, "NA")</f>
        <v>NA</v>
      </c>
      <c r="AG145" s="13">
        <f>IFERROR((J145+L145+N145+P145+R145+T145+V145+X145)/8, "NA")</f>
        <v>0</v>
      </c>
      <c r="AH145" s="14">
        <f>IFERROR(AG145/AG148, "NA")</f>
        <v>0</v>
      </c>
      <c r="AI145" s="15">
        <f>IFERROR(X145-AG145, "NA")</f>
        <v>0</v>
      </c>
      <c r="AJ145" s="16">
        <f>IFERROR(AI145/AI148, "NA")</f>
        <v>0</v>
      </c>
      <c r="AK145" s="15" t="str">
        <f>IFERROR((X145-AG145)/AG145, "NA")</f>
        <v>NA</v>
      </c>
      <c r="AL145" s="16" t="str">
        <f>IFERROR(AK145/AK148, "NA")</f>
        <v>NA</v>
      </c>
    </row>
    <row r="146" spans="1:38" ht="3.75" hidden="1" customHeight="1" x14ac:dyDescent="0.3">
      <c r="A146" s="35" t="s">
        <v>3</v>
      </c>
      <c r="B146" s="36"/>
      <c r="C146" s="19"/>
      <c r="D146" s="36"/>
      <c r="E146" s="19"/>
      <c r="F146" s="36"/>
      <c r="G146" s="19"/>
      <c r="H146" s="36"/>
      <c r="I146" s="19"/>
      <c r="J146" s="36"/>
      <c r="K146" s="19"/>
      <c r="L146" s="36"/>
      <c r="M146" s="19"/>
      <c r="N146" s="36"/>
      <c r="O146" s="19"/>
      <c r="P146" s="36"/>
      <c r="Q146" s="19"/>
      <c r="R146" s="36"/>
      <c r="S146" s="19"/>
      <c r="T146" s="36"/>
      <c r="U146" s="19"/>
      <c r="V146" s="36"/>
      <c r="W146" s="19"/>
      <c r="X146" s="36"/>
      <c r="Y146" s="19"/>
      <c r="Z146" s="36"/>
      <c r="AA146" s="19"/>
      <c r="AB146" s="36"/>
      <c r="AC146" s="19"/>
      <c r="AD146" s="37"/>
      <c r="AE146" s="21"/>
      <c r="AF146" s="37"/>
      <c r="AG146" s="36"/>
      <c r="AH146" s="19"/>
      <c r="AI146" s="37"/>
      <c r="AJ146" s="21"/>
      <c r="AK146" s="37"/>
      <c r="AL146" s="21"/>
    </row>
    <row r="147" spans="1:38" ht="16.5" hidden="1" customHeight="1" x14ac:dyDescent="0.3">
      <c r="A147" s="32" t="s">
        <v>148</v>
      </c>
      <c r="B147" s="33">
        <f>IFERROR(B137-B141-B145, "NA")</f>
        <v>6181.6399999999976</v>
      </c>
      <c r="C147" s="34">
        <f>IFERROR(B147/B148, "NA")</f>
        <v>0.21595829826688781</v>
      </c>
      <c r="D147" s="33">
        <f>IFERROR(D137-D141-D145, "NA")</f>
        <v>7705.77</v>
      </c>
      <c r="E147" s="34">
        <f>IFERROR(D147/D148, "NA")</f>
        <v>0.26476688068092408</v>
      </c>
      <c r="F147" s="33">
        <f>IFERROR(F137-F141-F145, "NA")</f>
        <v>3524.2399999999921</v>
      </c>
      <c r="G147" s="34">
        <f>IFERROR(F147/F148, "NA")</f>
        <v>0.10987631650080833</v>
      </c>
      <c r="H147" s="33">
        <f>IFERROR(H137-H141-H145, "NA")</f>
        <v>-25473.900000000005</v>
      </c>
      <c r="I147" s="34">
        <f>IFERROR(H147/H148, "NA")</f>
        <v>-0.9678364283906894</v>
      </c>
      <c r="J147" s="33">
        <f>IFERROR(J137-J141-J145, "NA")</f>
        <v>5341.0700000000015</v>
      </c>
      <c r="K147" s="34">
        <f>IFERROR(J147/J148, "NA")</f>
        <v>0.21579784358517909</v>
      </c>
      <c r="L147" s="33">
        <f>IFERROR(L137-L141-L145, "NA")</f>
        <v>6695.2900000000009</v>
      </c>
      <c r="M147" s="34">
        <f>IFERROR(L147/L148, "NA")</f>
        <v>0.25291280986615655</v>
      </c>
      <c r="N147" s="33">
        <f>IFERROR(N137-N141-N145, "NA")</f>
        <v>6139.89</v>
      </c>
      <c r="O147" s="34">
        <f>IFERROR(N147/N148, "NA")</f>
        <v>0.24681258348665602</v>
      </c>
      <c r="P147" s="33">
        <f>IFERROR(P137-P141-P145, "NA")</f>
        <v>1224.800000000002</v>
      </c>
      <c r="Q147" s="34">
        <f>IFERROR(P147/P148, "NA")</f>
        <v>4.0096732384757153E-2</v>
      </c>
      <c r="R147" s="33">
        <f>IFERROR(R137-R141-R145, "NA")</f>
        <v>-28311.120000000003</v>
      </c>
      <c r="S147" s="34">
        <f>IFERROR(R147/R148, "NA")</f>
        <v>-0.83689351269124979</v>
      </c>
      <c r="T147" s="33">
        <f>IFERROR(T137-T141-T145, "NA")</f>
        <v>2558.849999999999</v>
      </c>
      <c r="U147" s="34">
        <f>IFERROR(T147/T148, "NA")</f>
        <v>0.1028139071695508</v>
      </c>
      <c r="V147" s="33">
        <f>IFERROR(V137-V141-V145, "NA")</f>
        <v>6410.9200000000128</v>
      </c>
      <c r="W147" s="34">
        <f>IFERROR(V147/V148, "NA")</f>
        <v>0.20466773402120811</v>
      </c>
      <c r="X147" s="33">
        <f>IFERROR(X137-X141-X145, "NA")</f>
        <v>3224.359999999996</v>
      </c>
      <c r="Y147" s="34">
        <f>IFERROR(X147/X148, "NA")</f>
        <v>0.10679057936694551</v>
      </c>
      <c r="Z147" s="33">
        <f>IFERROR(Z137-Z141-Z145, "NA")</f>
        <v>12194.130000000026</v>
      </c>
      <c r="AA147" s="34">
        <f>IFERROR(Z147/Z148, "NA")</f>
        <v>0.14112756411606669</v>
      </c>
      <c r="AB147" s="33">
        <f>IFERROR((R147+T147+V147+X147)/4, "NA")</f>
        <v>-4029.2474999999986</v>
      </c>
      <c r="AC147" s="34">
        <f>IFERROR(AB147/AB148, "NA")</f>
        <v>-0.13404703700721857</v>
      </c>
      <c r="AD147" s="15">
        <f>IFERROR(X147-AB147, "NA")</f>
        <v>7253.6074999999946</v>
      </c>
      <c r="AE147" s="16">
        <f>IFERROR(AD147/AD148, "NA")</f>
        <v>53.79418199347365</v>
      </c>
      <c r="AF147" s="15">
        <f>IFERROR((X147-AB147)/AB147, "NA")</f>
        <v>-1.8002387542587039</v>
      </c>
      <c r="AG147" s="33">
        <f>IFERROR((J147+L147+N147+P147+R147+T147+V147+X147)/8, "NA")</f>
        <v>410.50750000000141</v>
      </c>
      <c r="AH147" s="34">
        <f>IFERROR(AG147/AG148, "NA")</f>
        <v>1.4474891898686828E-2</v>
      </c>
      <c r="AI147" s="15">
        <f>IFERROR(X147-AG147, "NA")</f>
        <v>2813.8524999999945</v>
      </c>
      <c r="AJ147" s="16">
        <f>IFERROR(AI147/AI148, "NA")</f>
        <v>1.5348314269662233</v>
      </c>
      <c r="AK147" s="15">
        <f>IFERROR((X147-AG147)/AG147, "NA")</f>
        <v>6.8545702575470235</v>
      </c>
      <c r="AL147" s="16">
        <f>IFERROR(AK147/AK148, "NA")</f>
        <v>106.03405108023391</v>
      </c>
    </row>
    <row r="148" spans="1:38" ht="15.6" hidden="1" x14ac:dyDescent="0.3">
      <c r="A148" s="40" t="s">
        <v>25</v>
      </c>
      <c r="B148" s="7">
        <v>28624.23</v>
      </c>
      <c r="C148" s="41"/>
      <c r="D148" s="7">
        <v>29103.98</v>
      </c>
      <c r="E148" s="41"/>
      <c r="F148" s="7">
        <v>32074.61</v>
      </c>
      <c r="G148" s="41"/>
      <c r="H148" s="7">
        <v>26320.46</v>
      </c>
      <c r="I148" s="41"/>
      <c r="J148" s="7">
        <v>24750.34</v>
      </c>
      <c r="K148" s="41"/>
      <c r="L148" s="7">
        <v>26472.720000000001</v>
      </c>
      <c r="M148" s="41"/>
      <c r="N148" s="7">
        <v>24876.73</v>
      </c>
      <c r="O148" s="41"/>
      <c r="P148" s="7">
        <v>30546.13</v>
      </c>
      <c r="Q148" s="41"/>
      <c r="R148" s="7">
        <v>33828.82</v>
      </c>
      <c r="S148" s="41"/>
      <c r="T148" s="7">
        <v>24888.17</v>
      </c>
      <c r="U148" s="41"/>
      <c r="V148" s="7">
        <v>31323.55</v>
      </c>
      <c r="W148" s="41"/>
      <c r="X148" s="7">
        <v>30193.3</v>
      </c>
      <c r="Y148" s="41"/>
      <c r="Z148" s="7">
        <v>86405.02</v>
      </c>
      <c r="AA148" s="41"/>
      <c r="AB148" s="9">
        <f>IFERROR((R148+T148+V148+X148)/4, "NA")</f>
        <v>30058.46</v>
      </c>
      <c r="AC148" s="41"/>
      <c r="AD148" s="10">
        <f>IFERROR(X148-AB148, "NA")</f>
        <v>134.84000000000015</v>
      </c>
      <c r="AE148" s="42"/>
      <c r="AF148" s="10">
        <f>IFERROR((X148-AB148)/AB148, "NA")</f>
        <v>4.485925093966895E-3</v>
      </c>
      <c r="AG148" s="9">
        <f>IFERROR((J148+L148+N148+P148+R148+T148+V148+X148)/8, "NA")</f>
        <v>28359.969999999994</v>
      </c>
      <c r="AH148" s="41"/>
      <c r="AI148" s="10">
        <f>IFERROR(X148-AG148, "NA")</f>
        <v>1833.3300000000054</v>
      </c>
      <c r="AJ148" s="42"/>
      <c r="AK148" s="10">
        <f>IFERROR((X148-AG148)/AG148, "NA")</f>
        <v>6.464499080922885E-2</v>
      </c>
      <c r="AL148" s="42"/>
    </row>
    <row r="151" spans="1:38" ht="15.6" x14ac:dyDescent="0.3">
      <c r="A151" s="43" t="s">
        <v>149</v>
      </c>
    </row>
    <row r="152" spans="1:38" ht="15.6" x14ac:dyDescent="0.3">
      <c r="A152" s="43" t="s">
        <v>150</v>
      </c>
    </row>
    <row r="153" spans="1:38" ht="15.6" x14ac:dyDescent="0.3">
      <c r="A153" s="43" t="s">
        <v>151</v>
      </c>
    </row>
  </sheetData>
  <mergeCells count="23">
    <mergeCell ref="A1:AL1"/>
    <mergeCell ref="A2:AL2"/>
    <mergeCell ref="A3:AL3"/>
    <mergeCell ref="A5"/>
    <mergeCell ref="B5:C5"/>
    <mergeCell ref="D5:E5"/>
    <mergeCell ref="F5:G5"/>
    <mergeCell ref="H5:I5"/>
    <mergeCell ref="J5:K5"/>
    <mergeCell ref="L5:M5"/>
    <mergeCell ref="N5:O5"/>
    <mergeCell ref="P5:Q5"/>
    <mergeCell ref="R5:S5"/>
    <mergeCell ref="T5:U5"/>
    <mergeCell ref="V5:W5"/>
    <mergeCell ref="X5:Y5"/>
    <mergeCell ref="AI5:AJ5"/>
    <mergeCell ref="AK5:AL5"/>
    <mergeCell ref="Z5:AA5"/>
    <mergeCell ref="AB5:AC5"/>
    <mergeCell ref="AD5:AE5"/>
    <mergeCell ref="AF5"/>
    <mergeCell ref="AG5:AH5"/>
  </mergeCells>
  <pageMargins left="0.7" right="0.7" top="0.75" bottom="0.75" header="0.3" footer="0.3"/>
  <ignoredErrors>
    <ignoredError sqref="A1:AL153" numberStoredAsText="1"/>
  </ignoredError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E53D96DC4024A4A95DFF1F4317A3F47" ma:contentTypeVersion="17" ma:contentTypeDescription="Create a new document." ma:contentTypeScope="" ma:versionID="7364cda8c09630c521c1d8ecf260cce0">
  <xsd:schema xmlns:xsd="http://www.w3.org/2001/XMLSchema" xmlns:xs="http://www.w3.org/2001/XMLSchema" xmlns:p="http://schemas.microsoft.com/office/2006/metadata/properties" xmlns:ns2="17935857-c847-47b7-8f90-d10f9a0aecc2" xmlns:ns3="55d49837-3260-4e28-958d-ec2e4c4dc82f" targetNamespace="http://schemas.microsoft.com/office/2006/metadata/properties" ma:root="true" ma:fieldsID="73238ff5507af8cde15032bc34df08d4" ns2:_="" ns3:_="">
    <xsd:import namespace="17935857-c847-47b7-8f90-d10f9a0aecc2"/>
    <xsd:import namespace="55d49837-3260-4e28-958d-ec2e4c4dc82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ServiceSearchPropertie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7935857-c847-47b7-8f90-d10f9a0aecc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5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6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7" nillable="true" ma:displayName="MediaServiceDateTaken" ma:description="" ma:hidden="true" ma:internalName="MediaServiceDateTaken" ma:readOnly="true">
      <xsd:simpleType>
        <xsd:restriction base="dms:Text"/>
      </xsd:simpleType>
    </xsd:element>
    <xsd:element name="MediaServiceGenerationTime" ma:index="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LengthInSeconds" ma:index="11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d85e1212-5208-4a0e-bf80-af51f7f46b3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5d49837-3260-4e28-958d-ec2e4c4dc82f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182fd8d8-9325-4dbb-86fe-91cf3d5280a1}" ma:internalName="TaxCatchAll" ma:showField="CatchAllData" ma:web="55d49837-3260-4e28-958d-ec2e4c4dc82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12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55d49837-3260-4e28-958d-ec2e4c4dc82f" xsi:nil="true"/>
    <lcf76f155ced4ddcb4097134ff3c332f xmlns="17935857-c847-47b7-8f90-d10f9a0aecc2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88F78E58-F6FF-4EC4-B7E9-3916D84678C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7935857-c847-47b7-8f90-d10f9a0aecc2"/>
    <ds:schemaRef ds:uri="55d49837-3260-4e28-958d-ec2e4c4dc82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470708DF-C222-40B2-BDA1-48FF203A611E}">
  <ds:schemaRefs>
    <ds:schemaRef ds:uri="http://schemas.microsoft.com/office/2006/metadata/properties"/>
    <ds:schemaRef ds:uri="http://schemas.microsoft.com/office/infopath/2007/PartnerControls"/>
    <ds:schemaRef ds:uri="55d49837-3260-4e28-958d-ec2e4c4dc82f"/>
    <ds:schemaRef ds:uri="17935857-c847-47b7-8f90-d10f9a0aecc2"/>
  </ds:schemaRefs>
</ds:datastoreItem>
</file>

<file path=customXml/itemProps3.xml><?xml version="1.0" encoding="utf-8"?>
<ds:datastoreItem xmlns:ds="http://schemas.openxmlformats.org/officeDocument/2006/customXml" ds:itemID="{395557AB-A7CB-49C5-9ED4-D22910BB2AC5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7</vt:i4>
      </vt:variant>
      <vt:variant>
        <vt:lpstr>Named Ranges</vt:lpstr>
      </vt:variant>
      <vt:variant>
        <vt:i4>6</vt:i4>
      </vt:variant>
    </vt:vector>
  </HeadingPairs>
  <TitlesOfParts>
    <vt:vector size="13" baseType="lpstr">
      <vt:lpstr>Summary</vt:lpstr>
      <vt:lpstr>Comparison by Store</vt:lpstr>
      <vt:lpstr>Consolidated</vt:lpstr>
      <vt:lpstr>4 - RASA - MVT</vt:lpstr>
      <vt:lpstr>5 - RASA - National Landin</vt:lpstr>
      <vt:lpstr>6 - RASA - Mosaic</vt:lpstr>
      <vt:lpstr>7 - RASA - Rockville</vt:lpstr>
      <vt:lpstr>'4 - RASA - MVT'!Print_Titles</vt:lpstr>
      <vt:lpstr>'5 - RASA - National Landin'!Print_Titles</vt:lpstr>
      <vt:lpstr>'6 - RASA - Mosaic'!Print_Titles</vt:lpstr>
      <vt:lpstr>'7 - RASA - Rockville'!Print_Titles</vt:lpstr>
      <vt:lpstr>'Comparison by Store'!Print_Titles</vt:lpstr>
      <vt:lpstr>Consolidated!Print_Titles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Angelie Bosi</dc:creator>
  <cp:lastModifiedBy>Jeremy Michl</cp:lastModifiedBy>
  <dcterms:created xsi:type="dcterms:W3CDTF">2026-07-24T15:03:41Z</dcterms:created>
  <dcterms:modified xsi:type="dcterms:W3CDTF">2026-07-24T17:09:36Z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0x0101005E53D96DC4024A4A95DFF1F4317A3F47</vt:lpwstr>
  </property>
  <property fmtid="{D5CDD505-2E9C-101B-9397-08002B2CF9AE}" pid="3" name="MediaServiceImageTags">
    <vt:lpwstr/>
  </property>
</Properties>
</file>