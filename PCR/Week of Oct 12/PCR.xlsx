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Team Malbec\RASA\16.Sales Import\Weekly PCR\"/>
    </mc:Choice>
  </mc:AlternateContent>
  <xr:revisionPtr revIDLastSave="0" documentId="13_ncr:1_{3986CB80-D523-46CD-9549-66B779D76D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6" r:id="rId1"/>
    <sheet name="Comparison by Store" sheetId="7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E7" i="4"/>
  <c r="G7" i="4"/>
  <c r="I7" i="4"/>
  <c r="K7" i="4"/>
  <c r="M7" i="4"/>
  <c r="O7" i="4"/>
  <c r="Q7" i="4"/>
  <c r="S7" i="4"/>
  <c r="U7" i="4"/>
  <c r="W7" i="4"/>
  <c r="Y7" i="4"/>
  <c r="AA7" i="4"/>
  <c r="AB7" i="4"/>
  <c r="AD7" i="4"/>
  <c r="AF7" i="4"/>
  <c r="AG7" i="4"/>
  <c r="AI7" i="4"/>
  <c r="AK7" i="4"/>
  <c r="C8" i="4"/>
  <c r="E8" i="4"/>
  <c r="G8" i="4"/>
  <c r="I8" i="4"/>
  <c r="K8" i="4"/>
  <c r="M8" i="4"/>
  <c r="O8" i="4"/>
  <c r="Q8" i="4"/>
  <c r="S8" i="4"/>
  <c r="U8" i="4"/>
  <c r="W8" i="4"/>
  <c r="Y8" i="4"/>
  <c r="AA8" i="4"/>
  <c r="AB8" i="4"/>
  <c r="AD8" i="4"/>
  <c r="AF8" i="4"/>
  <c r="AG8" i="4"/>
  <c r="AI8" i="4"/>
  <c r="AK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D9" i="4"/>
  <c r="AF9" i="4"/>
  <c r="AG9" i="4"/>
  <c r="AI9" i="4"/>
  <c r="AK9" i="4"/>
  <c r="C13" i="4"/>
  <c r="E13" i="4"/>
  <c r="G13" i="4"/>
  <c r="I13" i="4"/>
  <c r="K13" i="4"/>
  <c r="M13" i="4"/>
  <c r="O13" i="4"/>
  <c r="Q13" i="4"/>
  <c r="S13" i="4"/>
  <c r="U13" i="4"/>
  <c r="W13" i="4"/>
  <c r="Y13" i="4"/>
  <c r="AA13" i="4"/>
  <c r="AB13" i="4"/>
  <c r="AD13" i="4"/>
  <c r="AF13" i="4"/>
  <c r="AG13" i="4"/>
  <c r="AI13" i="4"/>
  <c r="AK13" i="4"/>
  <c r="C15" i="4"/>
  <c r="E15" i="4"/>
  <c r="G15" i="4"/>
  <c r="I15" i="4"/>
  <c r="K15" i="4"/>
  <c r="M15" i="4"/>
  <c r="O15" i="4"/>
  <c r="Q15" i="4"/>
  <c r="S15" i="4"/>
  <c r="U15" i="4"/>
  <c r="W15" i="4"/>
  <c r="Y15" i="4"/>
  <c r="AA15" i="4"/>
  <c r="AB15" i="4"/>
  <c r="AD15" i="4"/>
  <c r="AF15" i="4"/>
  <c r="AG15" i="4"/>
  <c r="AI15" i="4"/>
  <c r="AK15" i="4"/>
  <c r="C16" i="4"/>
  <c r="E16" i="4"/>
  <c r="G16" i="4"/>
  <c r="I16" i="4"/>
  <c r="K16" i="4"/>
  <c r="M16" i="4"/>
  <c r="O16" i="4"/>
  <c r="Q16" i="4"/>
  <c r="S16" i="4"/>
  <c r="U16" i="4"/>
  <c r="W16" i="4"/>
  <c r="Y16" i="4"/>
  <c r="AA16" i="4"/>
  <c r="AB16" i="4"/>
  <c r="AD16" i="4"/>
  <c r="AF16" i="4"/>
  <c r="AG16" i="4"/>
  <c r="AI16" i="4"/>
  <c r="AK16" i="4"/>
  <c r="C17" i="4"/>
  <c r="E17" i="4"/>
  <c r="G17" i="4"/>
  <c r="I17" i="4"/>
  <c r="K17" i="4"/>
  <c r="M17" i="4"/>
  <c r="O17" i="4"/>
  <c r="Q17" i="4"/>
  <c r="S17" i="4"/>
  <c r="U17" i="4"/>
  <c r="W17" i="4"/>
  <c r="Y17" i="4"/>
  <c r="AA17" i="4"/>
  <c r="AB17" i="4"/>
  <c r="AD17" i="4"/>
  <c r="AF17" i="4"/>
  <c r="AG17" i="4"/>
  <c r="AI17" i="4"/>
  <c r="AK17" i="4"/>
  <c r="C18" i="4"/>
  <c r="E18" i="4"/>
  <c r="G18" i="4"/>
  <c r="I18" i="4"/>
  <c r="K18" i="4"/>
  <c r="M18" i="4"/>
  <c r="O18" i="4"/>
  <c r="Q18" i="4"/>
  <c r="S18" i="4"/>
  <c r="U18" i="4"/>
  <c r="W18" i="4"/>
  <c r="Y18" i="4"/>
  <c r="AA18" i="4"/>
  <c r="AB18" i="4"/>
  <c r="AD18" i="4"/>
  <c r="AF18" i="4"/>
  <c r="AG18" i="4"/>
  <c r="AI18" i="4"/>
  <c r="AK18" i="4"/>
  <c r="C19" i="4"/>
  <c r="E19" i="4"/>
  <c r="G19" i="4"/>
  <c r="I19" i="4"/>
  <c r="K19" i="4"/>
  <c r="M19" i="4"/>
  <c r="O19" i="4"/>
  <c r="Q19" i="4"/>
  <c r="S19" i="4"/>
  <c r="U19" i="4"/>
  <c r="W19" i="4"/>
  <c r="Y19" i="4"/>
  <c r="AA19" i="4"/>
  <c r="AB19" i="4"/>
  <c r="AD19" i="4"/>
  <c r="AF19" i="4"/>
  <c r="AG19" i="4"/>
  <c r="AI19" i="4"/>
  <c r="AK19" i="4"/>
  <c r="C20" i="4"/>
  <c r="E20" i="4"/>
  <c r="G20" i="4"/>
  <c r="I20" i="4"/>
  <c r="K20" i="4"/>
  <c r="M20" i="4"/>
  <c r="O20" i="4"/>
  <c r="Q20" i="4"/>
  <c r="S20" i="4"/>
  <c r="U20" i="4"/>
  <c r="W20" i="4"/>
  <c r="Y20" i="4"/>
  <c r="AA20" i="4"/>
  <c r="AB20" i="4"/>
  <c r="AD20" i="4"/>
  <c r="AF20" i="4"/>
  <c r="AG20" i="4"/>
  <c r="AI20" i="4"/>
  <c r="AK20" i="4"/>
  <c r="C21" i="4"/>
  <c r="E21" i="4"/>
  <c r="G21" i="4"/>
  <c r="I21" i="4"/>
  <c r="K21" i="4"/>
  <c r="M21" i="4"/>
  <c r="O21" i="4"/>
  <c r="Q21" i="4"/>
  <c r="S21" i="4"/>
  <c r="U21" i="4"/>
  <c r="W21" i="4"/>
  <c r="Y21" i="4"/>
  <c r="AA21" i="4"/>
  <c r="AB21" i="4"/>
  <c r="AD21" i="4"/>
  <c r="AF21" i="4"/>
  <c r="AG21" i="4"/>
  <c r="AI21" i="4"/>
  <c r="AK21" i="4"/>
  <c r="C22" i="4"/>
  <c r="E22" i="4"/>
  <c r="G22" i="4"/>
  <c r="I22" i="4"/>
  <c r="K22" i="4"/>
  <c r="M22" i="4"/>
  <c r="O22" i="4"/>
  <c r="Q22" i="4"/>
  <c r="S22" i="4"/>
  <c r="U22" i="4"/>
  <c r="W22" i="4"/>
  <c r="Y22" i="4"/>
  <c r="AA22" i="4"/>
  <c r="AB22" i="4"/>
  <c r="AD22" i="4"/>
  <c r="AF22" i="4"/>
  <c r="AG22" i="4"/>
  <c r="AI22" i="4"/>
  <c r="AK22" i="4"/>
  <c r="C23" i="4"/>
  <c r="E23" i="4"/>
  <c r="G23" i="4"/>
  <c r="I23" i="4"/>
  <c r="K23" i="4"/>
  <c r="M23" i="4"/>
  <c r="O23" i="4"/>
  <c r="Q23" i="4"/>
  <c r="S23" i="4"/>
  <c r="U23" i="4"/>
  <c r="W23" i="4"/>
  <c r="Y23" i="4"/>
  <c r="AA23" i="4"/>
  <c r="AB23" i="4"/>
  <c r="AD23" i="4"/>
  <c r="AF23" i="4"/>
  <c r="AG23" i="4"/>
  <c r="AI23" i="4"/>
  <c r="AK23" i="4"/>
  <c r="C24" i="4"/>
  <c r="E24" i="4"/>
  <c r="G24" i="4"/>
  <c r="I24" i="4"/>
  <c r="K24" i="4"/>
  <c r="M24" i="4"/>
  <c r="O24" i="4"/>
  <c r="Q24" i="4"/>
  <c r="S24" i="4"/>
  <c r="U24" i="4"/>
  <c r="W24" i="4"/>
  <c r="Y24" i="4"/>
  <c r="AA24" i="4"/>
  <c r="AB24" i="4"/>
  <c r="AD24" i="4"/>
  <c r="AF24" i="4"/>
  <c r="AG24" i="4"/>
  <c r="AI24" i="4"/>
  <c r="AK24" i="4"/>
  <c r="C25" i="4"/>
  <c r="E25" i="4"/>
  <c r="G25" i="4"/>
  <c r="I25" i="4"/>
  <c r="K25" i="4"/>
  <c r="M25" i="4"/>
  <c r="O25" i="4"/>
  <c r="Q25" i="4"/>
  <c r="S25" i="4"/>
  <c r="U25" i="4"/>
  <c r="W25" i="4"/>
  <c r="Y25" i="4"/>
  <c r="AA25" i="4"/>
  <c r="AB25" i="4"/>
  <c r="AD25" i="4"/>
  <c r="AF25" i="4"/>
  <c r="AG25" i="4"/>
  <c r="AI25" i="4"/>
  <c r="AK25" i="4"/>
  <c r="C26" i="4"/>
  <c r="E26" i="4"/>
  <c r="G26" i="4"/>
  <c r="I26" i="4"/>
  <c r="K26" i="4"/>
  <c r="M26" i="4"/>
  <c r="O26" i="4"/>
  <c r="Q26" i="4"/>
  <c r="S26" i="4"/>
  <c r="U26" i="4"/>
  <c r="W26" i="4"/>
  <c r="Y26" i="4"/>
  <c r="AA26" i="4"/>
  <c r="AB26" i="4"/>
  <c r="AD26" i="4"/>
  <c r="AF26" i="4"/>
  <c r="AG26" i="4"/>
  <c r="AI26" i="4"/>
  <c r="AK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D27" i="4"/>
  <c r="AF27" i="4"/>
  <c r="AG27" i="4"/>
  <c r="AI27" i="4"/>
  <c r="AK27" i="4"/>
  <c r="C29" i="4"/>
  <c r="E29" i="4"/>
  <c r="G29" i="4"/>
  <c r="I29" i="4"/>
  <c r="K29" i="4"/>
  <c r="M29" i="4"/>
  <c r="O29" i="4"/>
  <c r="Q29" i="4"/>
  <c r="S29" i="4"/>
  <c r="U29" i="4"/>
  <c r="W29" i="4"/>
  <c r="Y29" i="4"/>
  <c r="AA29" i="4"/>
  <c r="AB29" i="4"/>
  <c r="AD29" i="4"/>
  <c r="AF29" i="4"/>
  <c r="AG29" i="4"/>
  <c r="AI29" i="4"/>
  <c r="AK29" i="4"/>
  <c r="C30" i="4"/>
  <c r="E30" i="4"/>
  <c r="G30" i="4"/>
  <c r="I30" i="4"/>
  <c r="K30" i="4"/>
  <c r="M30" i="4"/>
  <c r="O30" i="4"/>
  <c r="Q30" i="4"/>
  <c r="S30" i="4"/>
  <c r="U30" i="4"/>
  <c r="W30" i="4"/>
  <c r="Y30" i="4"/>
  <c r="AA30" i="4"/>
  <c r="AB30" i="4"/>
  <c r="AD30" i="4"/>
  <c r="AF30" i="4"/>
  <c r="AG30" i="4"/>
  <c r="AI30" i="4"/>
  <c r="AK30" i="4"/>
  <c r="C31" i="4"/>
  <c r="E31" i="4"/>
  <c r="G31" i="4"/>
  <c r="I31" i="4"/>
  <c r="K31" i="4"/>
  <c r="M31" i="4"/>
  <c r="O31" i="4"/>
  <c r="Q31" i="4"/>
  <c r="S31" i="4"/>
  <c r="U31" i="4"/>
  <c r="W31" i="4"/>
  <c r="Y31" i="4"/>
  <c r="AA31" i="4"/>
  <c r="AB31" i="4"/>
  <c r="AD31" i="4"/>
  <c r="AF31" i="4"/>
  <c r="AG31" i="4"/>
  <c r="AI31" i="4"/>
  <c r="AK31" i="4"/>
  <c r="C32" i="4"/>
  <c r="E32" i="4"/>
  <c r="G32" i="4"/>
  <c r="I32" i="4"/>
  <c r="K32" i="4"/>
  <c r="M32" i="4"/>
  <c r="O32" i="4"/>
  <c r="Q32" i="4"/>
  <c r="S32" i="4"/>
  <c r="U32" i="4"/>
  <c r="W32" i="4"/>
  <c r="Y32" i="4"/>
  <c r="AA32" i="4"/>
  <c r="AB32" i="4"/>
  <c r="AD32" i="4"/>
  <c r="AF32" i="4"/>
  <c r="AG32" i="4"/>
  <c r="AI32" i="4"/>
  <c r="AK32" i="4"/>
  <c r="C33" i="4"/>
  <c r="E33" i="4"/>
  <c r="G33" i="4"/>
  <c r="I33" i="4"/>
  <c r="K33" i="4"/>
  <c r="M33" i="4"/>
  <c r="O33" i="4"/>
  <c r="Q33" i="4"/>
  <c r="S33" i="4"/>
  <c r="U33" i="4"/>
  <c r="W33" i="4"/>
  <c r="Y33" i="4"/>
  <c r="AA33" i="4"/>
  <c r="AB33" i="4"/>
  <c r="AD33" i="4"/>
  <c r="AF33" i="4"/>
  <c r="AG33" i="4"/>
  <c r="AI33" i="4"/>
  <c r="AK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D34" i="4"/>
  <c r="AF34" i="4"/>
  <c r="AG34" i="4"/>
  <c r="AI34" i="4"/>
  <c r="AK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D35" i="4"/>
  <c r="AF35" i="4"/>
  <c r="AG35" i="4"/>
  <c r="AI35" i="4"/>
  <c r="AK35" i="4"/>
  <c r="C37" i="4"/>
  <c r="E37" i="4"/>
  <c r="G37" i="4"/>
  <c r="I37" i="4"/>
  <c r="K37" i="4"/>
  <c r="M37" i="4"/>
  <c r="O37" i="4"/>
  <c r="Q37" i="4"/>
  <c r="S37" i="4"/>
  <c r="U37" i="4"/>
  <c r="W37" i="4"/>
  <c r="Y37" i="4"/>
  <c r="AA37" i="4"/>
  <c r="AB37" i="4"/>
  <c r="AD37" i="4"/>
  <c r="AF37" i="4"/>
  <c r="AG37" i="4"/>
  <c r="AI37" i="4"/>
  <c r="AK37" i="4"/>
  <c r="C39" i="4"/>
  <c r="E39" i="4"/>
  <c r="G39" i="4"/>
  <c r="I39" i="4"/>
  <c r="K39" i="4"/>
  <c r="M39" i="4"/>
  <c r="O39" i="4"/>
  <c r="Q39" i="4"/>
  <c r="S39" i="4"/>
  <c r="U39" i="4"/>
  <c r="W39" i="4"/>
  <c r="Y39" i="4"/>
  <c r="AA39" i="4"/>
  <c r="AB39" i="4"/>
  <c r="AD39" i="4"/>
  <c r="AF39" i="4"/>
  <c r="AG39" i="4"/>
  <c r="AI39" i="4"/>
  <c r="AK39" i="4"/>
  <c r="C40" i="4"/>
  <c r="E40" i="4"/>
  <c r="G40" i="4"/>
  <c r="I40" i="4"/>
  <c r="K40" i="4"/>
  <c r="M40" i="4"/>
  <c r="O40" i="4"/>
  <c r="Q40" i="4"/>
  <c r="S40" i="4"/>
  <c r="U40" i="4"/>
  <c r="W40" i="4"/>
  <c r="Y40" i="4"/>
  <c r="AA40" i="4"/>
  <c r="AB40" i="4"/>
  <c r="AD40" i="4"/>
  <c r="AF40" i="4"/>
  <c r="AG40" i="4"/>
  <c r="AI40" i="4"/>
  <c r="AK40" i="4"/>
  <c r="C41" i="4"/>
  <c r="E41" i="4"/>
  <c r="G41" i="4"/>
  <c r="I41" i="4"/>
  <c r="K41" i="4"/>
  <c r="M41" i="4"/>
  <c r="O41" i="4"/>
  <c r="Q41" i="4"/>
  <c r="S41" i="4"/>
  <c r="U41" i="4"/>
  <c r="W41" i="4"/>
  <c r="Y41" i="4"/>
  <c r="AA41" i="4"/>
  <c r="AB41" i="4"/>
  <c r="AD41" i="4"/>
  <c r="AF41" i="4"/>
  <c r="AG41" i="4"/>
  <c r="AI41" i="4"/>
  <c r="AK41" i="4"/>
  <c r="C42" i="4"/>
  <c r="E42" i="4"/>
  <c r="G42" i="4"/>
  <c r="I42" i="4"/>
  <c r="K42" i="4"/>
  <c r="M42" i="4"/>
  <c r="O42" i="4"/>
  <c r="Q42" i="4"/>
  <c r="S42" i="4"/>
  <c r="U42" i="4"/>
  <c r="W42" i="4"/>
  <c r="Y42" i="4"/>
  <c r="AA42" i="4"/>
  <c r="AB42" i="4"/>
  <c r="AD42" i="4"/>
  <c r="AF42" i="4"/>
  <c r="AG42" i="4"/>
  <c r="AI42" i="4"/>
  <c r="AK42" i="4"/>
  <c r="C43" i="4"/>
  <c r="E43" i="4"/>
  <c r="G43" i="4"/>
  <c r="I43" i="4"/>
  <c r="K43" i="4"/>
  <c r="M43" i="4"/>
  <c r="O43" i="4"/>
  <c r="Q43" i="4"/>
  <c r="S43" i="4"/>
  <c r="U43" i="4"/>
  <c r="W43" i="4"/>
  <c r="Y43" i="4"/>
  <c r="AA43" i="4"/>
  <c r="AB43" i="4"/>
  <c r="AD43" i="4"/>
  <c r="AF43" i="4"/>
  <c r="AG43" i="4"/>
  <c r="AI43" i="4"/>
  <c r="AK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D44" i="4"/>
  <c r="AF44" i="4"/>
  <c r="AG44" i="4"/>
  <c r="AI44" i="4"/>
  <c r="AK44" i="4"/>
  <c r="C46" i="4"/>
  <c r="E46" i="4"/>
  <c r="G46" i="4"/>
  <c r="I46" i="4"/>
  <c r="K46" i="4"/>
  <c r="M46" i="4"/>
  <c r="O46" i="4"/>
  <c r="Q46" i="4"/>
  <c r="S46" i="4"/>
  <c r="U46" i="4"/>
  <c r="W46" i="4"/>
  <c r="Y46" i="4"/>
  <c r="AA46" i="4"/>
  <c r="AB46" i="4"/>
  <c r="AD46" i="4"/>
  <c r="AF46" i="4"/>
  <c r="AG46" i="4"/>
  <c r="AI46" i="4"/>
  <c r="AK46" i="4"/>
  <c r="C47" i="4"/>
  <c r="E47" i="4"/>
  <c r="G47" i="4"/>
  <c r="I47" i="4"/>
  <c r="K47" i="4"/>
  <c r="M47" i="4"/>
  <c r="O47" i="4"/>
  <c r="Q47" i="4"/>
  <c r="S47" i="4"/>
  <c r="U47" i="4"/>
  <c r="W47" i="4"/>
  <c r="Y47" i="4"/>
  <c r="AA47" i="4"/>
  <c r="AB47" i="4"/>
  <c r="AD47" i="4"/>
  <c r="AF47" i="4"/>
  <c r="AG47" i="4"/>
  <c r="AI47" i="4"/>
  <c r="AK47" i="4"/>
  <c r="C48" i="4"/>
  <c r="E48" i="4"/>
  <c r="G48" i="4"/>
  <c r="I48" i="4"/>
  <c r="K48" i="4"/>
  <c r="M48" i="4"/>
  <c r="O48" i="4"/>
  <c r="Q48" i="4"/>
  <c r="S48" i="4"/>
  <c r="U48" i="4"/>
  <c r="W48" i="4"/>
  <c r="Y48" i="4"/>
  <c r="AA48" i="4"/>
  <c r="AB48" i="4"/>
  <c r="AD48" i="4"/>
  <c r="AF48" i="4"/>
  <c r="AG48" i="4"/>
  <c r="AI48" i="4"/>
  <c r="AK48" i="4"/>
  <c r="C49" i="4"/>
  <c r="E49" i="4"/>
  <c r="G49" i="4"/>
  <c r="I49" i="4"/>
  <c r="K49" i="4"/>
  <c r="M49" i="4"/>
  <c r="O49" i="4"/>
  <c r="Q49" i="4"/>
  <c r="S49" i="4"/>
  <c r="U49" i="4"/>
  <c r="W49" i="4"/>
  <c r="Y49" i="4"/>
  <c r="AA49" i="4"/>
  <c r="AB49" i="4"/>
  <c r="AD49" i="4"/>
  <c r="AF49" i="4"/>
  <c r="AG49" i="4"/>
  <c r="AI49" i="4"/>
  <c r="AK49" i="4"/>
  <c r="C50" i="4"/>
  <c r="E50" i="4"/>
  <c r="G50" i="4"/>
  <c r="I50" i="4"/>
  <c r="K50" i="4"/>
  <c r="M50" i="4"/>
  <c r="O50" i="4"/>
  <c r="Q50" i="4"/>
  <c r="S50" i="4"/>
  <c r="U50" i="4"/>
  <c r="W50" i="4"/>
  <c r="Y50" i="4"/>
  <c r="AA50" i="4"/>
  <c r="AB50" i="4"/>
  <c r="AD50" i="4"/>
  <c r="AF50" i="4"/>
  <c r="AG50" i="4"/>
  <c r="AI50" i="4"/>
  <c r="AK50" i="4"/>
  <c r="C51" i="4"/>
  <c r="E51" i="4"/>
  <c r="G51" i="4"/>
  <c r="I51" i="4"/>
  <c r="K51" i="4"/>
  <c r="M51" i="4"/>
  <c r="O51" i="4"/>
  <c r="Q51" i="4"/>
  <c r="S51" i="4"/>
  <c r="U51" i="4"/>
  <c r="W51" i="4"/>
  <c r="Y51" i="4"/>
  <c r="AA51" i="4"/>
  <c r="AB51" i="4"/>
  <c r="AD51" i="4"/>
  <c r="AF51" i="4"/>
  <c r="AG51" i="4"/>
  <c r="AI51" i="4"/>
  <c r="AK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D52" i="4"/>
  <c r="AF52" i="4"/>
  <c r="AG52" i="4"/>
  <c r="AI52" i="4"/>
  <c r="AK52" i="4"/>
  <c r="C53" i="4"/>
  <c r="E53" i="4"/>
  <c r="G53" i="4"/>
  <c r="I53" i="4"/>
  <c r="K53" i="4"/>
  <c r="M53" i="4"/>
  <c r="O53" i="4"/>
  <c r="Q53" i="4"/>
  <c r="S53" i="4"/>
  <c r="U53" i="4"/>
  <c r="W53" i="4"/>
  <c r="Y53" i="4"/>
  <c r="AA53" i="4"/>
  <c r="AB53" i="4"/>
  <c r="AD53" i="4"/>
  <c r="AF53" i="4"/>
  <c r="AG53" i="4"/>
  <c r="AI53" i="4"/>
  <c r="AK53" i="4"/>
  <c r="C54" i="4"/>
  <c r="E54" i="4"/>
  <c r="G54" i="4"/>
  <c r="I54" i="4"/>
  <c r="K54" i="4"/>
  <c r="M54" i="4"/>
  <c r="O54" i="4"/>
  <c r="Q54" i="4"/>
  <c r="S54" i="4"/>
  <c r="U54" i="4"/>
  <c r="W54" i="4"/>
  <c r="Y54" i="4"/>
  <c r="AA54" i="4"/>
  <c r="AB54" i="4"/>
  <c r="AD54" i="4"/>
  <c r="AF54" i="4"/>
  <c r="AG54" i="4"/>
  <c r="AI54" i="4"/>
  <c r="AK54" i="4"/>
  <c r="C55" i="4"/>
  <c r="E55" i="4"/>
  <c r="G55" i="4"/>
  <c r="I55" i="4"/>
  <c r="K55" i="4"/>
  <c r="M55" i="4"/>
  <c r="O55" i="4"/>
  <c r="Q55" i="4"/>
  <c r="S55" i="4"/>
  <c r="U55" i="4"/>
  <c r="W55" i="4"/>
  <c r="Y55" i="4"/>
  <c r="AA55" i="4"/>
  <c r="AB55" i="4"/>
  <c r="AD55" i="4"/>
  <c r="AF55" i="4"/>
  <c r="AG55" i="4"/>
  <c r="AI55" i="4"/>
  <c r="AK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D56" i="4"/>
  <c r="AF56" i="4"/>
  <c r="AG56" i="4"/>
  <c r="AI56" i="4"/>
  <c r="AK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D57" i="4"/>
  <c r="AF57" i="4"/>
  <c r="AG57" i="4"/>
  <c r="AI57" i="4"/>
  <c r="AK57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D59" i="4"/>
  <c r="AF59" i="4"/>
  <c r="AG59" i="4"/>
  <c r="AI59" i="4"/>
  <c r="AK59" i="4"/>
  <c r="C63" i="4"/>
  <c r="E63" i="4"/>
  <c r="G63" i="4"/>
  <c r="I63" i="4"/>
  <c r="K63" i="4"/>
  <c r="M63" i="4"/>
  <c r="O63" i="4"/>
  <c r="Q63" i="4"/>
  <c r="S63" i="4"/>
  <c r="U63" i="4"/>
  <c r="W63" i="4"/>
  <c r="Y63" i="4"/>
  <c r="AA63" i="4"/>
  <c r="AB63" i="4"/>
  <c r="AD63" i="4"/>
  <c r="AF63" i="4"/>
  <c r="AG63" i="4"/>
  <c r="AI63" i="4"/>
  <c r="AK63" i="4"/>
  <c r="C65" i="4"/>
  <c r="E65" i="4"/>
  <c r="G65" i="4"/>
  <c r="I65" i="4"/>
  <c r="K65" i="4"/>
  <c r="M65" i="4"/>
  <c r="O65" i="4"/>
  <c r="Q65" i="4"/>
  <c r="S65" i="4"/>
  <c r="U65" i="4"/>
  <c r="W65" i="4"/>
  <c r="Y65" i="4"/>
  <c r="AA65" i="4"/>
  <c r="AB65" i="4"/>
  <c r="AD65" i="4"/>
  <c r="AF65" i="4"/>
  <c r="AG65" i="4"/>
  <c r="AI65" i="4"/>
  <c r="AK65" i="4"/>
  <c r="C66" i="4"/>
  <c r="E66" i="4"/>
  <c r="G66" i="4"/>
  <c r="I66" i="4"/>
  <c r="K66" i="4"/>
  <c r="M66" i="4"/>
  <c r="O66" i="4"/>
  <c r="Q66" i="4"/>
  <c r="S66" i="4"/>
  <c r="U66" i="4"/>
  <c r="W66" i="4"/>
  <c r="Y66" i="4"/>
  <c r="AA66" i="4"/>
  <c r="AB66" i="4"/>
  <c r="AD66" i="4"/>
  <c r="AF66" i="4"/>
  <c r="AG66" i="4"/>
  <c r="AI66" i="4"/>
  <c r="AK66" i="4"/>
  <c r="C67" i="4"/>
  <c r="E67" i="4"/>
  <c r="G67" i="4"/>
  <c r="I67" i="4"/>
  <c r="K67" i="4"/>
  <c r="M67" i="4"/>
  <c r="O67" i="4"/>
  <c r="Q67" i="4"/>
  <c r="S67" i="4"/>
  <c r="U67" i="4"/>
  <c r="W67" i="4"/>
  <c r="Y67" i="4"/>
  <c r="AA67" i="4"/>
  <c r="AB67" i="4"/>
  <c r="AD67" i="4"/>
  <c r="AF67" i="4"/>
  <c r="AG67" i="4"/>
  <c r="AI67" i="4"/>
  <c r="AK67" i="4"/>
  <c r="C68" i="4"/>
  <c r="E68" i="4"/>
  <c r="G68" i="4"/>
  <c r="I68" i="4"/>
  <c r="K68" i="4"/>
  <c r="M68" i="4"/>
  <c r="O68" i="4"/>
  <c r="Q68" i="4"/>
  <c r="S68" i="4"/>
  <c r="U68" i="4"/>
  <c r="W68" i="4"/>
  <c r="Y68" i="4"/>
  <c r="AA68" i="4"/>
  <c r="AB68" i="4"/>
  <c r="AD68" i="4"/>
  <c r="AF68" i="4"/>
  <c r="AG68" i="4"/>
  <c r="AI68" i="4"/>
  <c r="AK68" i="4"/>
  <c r="C69" i="4"/>
  <c r="E69" i="4"/>
  <c r="G69" i="4"/>
  <c r="I69" i="4"/>
  <c r="K69" i="4"/>
  <c r="M69" i="4"/>
  <c r="O69" i="4"/>
  <c r="Q69" i="4"/>
  <c r="S69" i="4"/>
  <c r="U69" i="4"/>
  <c r="W69" i="4"/>
  <c r="Y69" i="4"/>
  <c r="AA69" i="4"/>
  <c r="AB69" i="4"/>
  <c r="AD69" i="4"/>
  <c r="AF69" i="4"/>
  <c r="AG69" i="4"/>
  <c r="AI69" i="4"/>
  <c r="AK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D70" i="4"/>
  <c r="AF70" i="4"/>
  <c r="AG70" i="4"/>
  <c r="AI70" i="4"/>
  <c r="AK70" i="4"/>
  <c r="C71" i="4"/>
  <c r="E71" i="4"/>
  <c r="G71" i="4"/>
  <c r="I71" i="4"/>
  <c r="K71" i="4"/>
  <c r="M71" i="4"/>
  <c r="O71" i="4"/>
  <c r="Q71" i="4"/>
  <c r="S71" i="4"/>
  <c r="U71" i="4"/>
  <c r="W71" i="4"/>
  <c r="Y71" i="4"/>
  <c r="AA71" i="4"/>
  <c r="AB71" i="4"/>
  <c r="AD71" i="4"/>
  <c r="AF71" i="4"/>
  <c r="AG71" i="4"/>
  <c r="AI71" i="4"/>
  <c r="AK71" i="4"/>
  <c r="C72" i="4"/>
  <c r="E72" i="4"/>
  <c r="G72" i="4"/>
  <c r="I72" i="4"/>
  <c r="K72" i="4"/>
  <c r="M72" i="4"/>
  <c r="O72" i="4"/>
  <c r="Q72" i="4"/>
  <c r="S72" i="4"/>
  <c r="U72" i="4"/>
  <c r="W72" i="4"/>
  <c r="Y72" i="4"/>
  <c r="AA72" i="4"/>
  <c r="AB72" i="4"/>
  <c r="AD72" i="4"/>
  <c r="AF72" i="4"/>
  <c r="AG72" i="4"/>
  <c r="AI72" i="4"/>
  <c r="AK72" i="4"/>
  <c r="C74" i="4"/>
  <c r="E74" i="4"/>
  <c r="G74" i="4"/>
  <c r="I74" i="4"/>
  <c r="K74" i="4"/>
  <c r="M74" i="4"/>
  <c r="O74" i="4"/>
  <c r="Q74" i="4"/>
  <c r="S74" i="4"/>
  <c r="U74" i="4"/>
  <c r="W74" i="4"/>
  <c r="Y74" i="4"/>
  <c r="AA74" i="4"/>
  <c r="AB74" i="4"/>
  <c r="AD74" i="4"/>
  <c r="AF74" i="4"/>
  <c r="AG74" i="4"/>
  <c r="AI74" i="4"/>
  <c r="AK74" i="4"/>
  <c r="C75" i="4"/>
  <c r="E75" i="4"/>
  <c r="G75" i="4"/>
  <c r="I75" i="4"/>
  <c r="K75" i="4"/>
  <c r="M75" i="4"/>
  <c r="O75" i="4"/>
  <c r="Q75" i="4"/>
  <c r="S75" i="4"/>
  <c r="U75" i="4"/>
  <c r="W75" i="4"/>
  <c r="Y75" i="4"/>
  <c r="AA75" i="4"/>
  <c r="AB75" i="4"/>
  <c r="AD75" i="4"/>
  <c r="AF75" i="4"/>
  <c r="AG75" i="4"/>
  <c r="AI75" i="4"/>
  <c r="AK75" i="4"/>
  <c r="C76" i="4"/>
  <c r="E76" i="4"/>
  <c r="G76" i="4"/>
  <c r="I76" i="4"/>
  <c r="K76" i="4"/>
  <c r="M76" i="4"/>
  <c r="O76" i="4"/>
  <c r="Q76" i="4"/>
  <c r="S76" i="4"/>
  <c r="U76" i="4"/>
  <c r="W76" i="4"/>
  <c r="Y76" i="4"/>
  <c r="AA76" i="4"/>
  <c r="AB76" i="4"/>
  <c r="AD76" i="4"/>
  <c r="AF76" i="4"/>
  <c r="AG76" i="4"/>
  <c r="AI76" i="4"/>
  <c r="AK76" i="4"/>
  <c r="C77" i="4"/>
  <c r="E77" i="4"/>
  <c r="G77" i="4"/>
  <c r="I77" i="4"/>
  <c r="K77" i="4"/>
  <c r="M77" i="4"/>
  <c r="O77" i="4"/>
  <c r="Q77" i="4"/>
  <c r="S77" i="4"/>
  <c r="U77" i="4"/>
  <c r="W77" i="4"/>
  <c r="Y77" i="4"/>
  <c r="AA77" i="4"/>
  <c r="AB77" i="4"/>
  <c r="AD77" i="4"/>
  <c r="AF77" i="4"/>
  <c r="AG77" i="4"/>
  <c r="AI77" i="4"/>
  <c r="AK77" i="4"/>
  <c r="C78" i="4"/>
  <c r="E78" i="4"/>
  <c r="G78" i="4"/>
  <c r="I78" i="4"/>
  <c r="K78" i="4"/>
  <c r="M78" i="4"/>
  <c r="O78" i="4"/>
  <c r="Q78" i="4"/>
  <c r="S78" i="4"/>
  <c r="U78" i="4"/>
  <c r="W78" i="4"/>
  <c r="Y78" i="4"/>
  <c r="AA78" i="4"/>
  <c r="AB78" i="4"/>
  <c r="AD78" i="4"/>
  <c r="AF78" i="4"/>
  <c r="AG78" i="4"/>
  <c r="AI78" i="4"/>
  <c r="AK78" i="4"/>
  <c r="C79" i="4"/>
  <c r="E79" i="4"/>
  <c r="G79" i="4"/>
  <c r="I79" i="4"/>
  <c r="K79" i="4"/>
  <c r="M79" i="4"/>
  <c r="O79" i="4"/>
  <c r="Q79" i="4"/>
  <c r="S79" i="4"/>
  <c r="U79" i="4"/>
  <c r="W79" i="4"/>
  <c r="Y79" i="4"/>
  <c r="AA79" i="4"/>
  <c r="AB79" i="4"/>
  <c r="AD79" i="4"/>
  <c r="AF79" i="4"/>
  <c r="AG79" i="4"/>
  <c r="AI79" i="4"/>
  <c r="AK79" i="4"/>
  <c r="C80" i="4"/>
  <c r="E80" i="4"/>
  <c r="G80" i="4"/>
  <c r="I80" i="4"/>
  <c r="K80" i="4"/>
  <c r="M80" i="4"/>
  <c r="O80" i="4"/>
  <c r="Q80" i="4"/>
  <c r="S80" i="4"/>
  <c r="U80" i="4"/>
  <c r="W80" i="4"/>
  <c r="Y80" i="4"/>
  <c r="AA80" i="4"/>
  <c r="AB80" i="4"/>
  <c r="AD80" i="4"/>
  <c r="AF80" i="4"/>
  <c r="AG80" i="4"/>
  <c r="AI80" i="4"/>
  <c r="AK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D81" i="4"/>
  <c r="AF81" i="4"/>
  <c r="AG81" i="4"/>
  <c r="AI81" i="4"/>
  <c r="AK81" i="4"/>
  <c r="C82" i="4"/>
  <c r="E82" i="4"/>
  <c r="G82" i="4"/>
  <c r="I82" i="4"/>
  <c r="K82" i="4"/>
  <c r="M82" i="4"/>
  <c r="O82" i="4"/>
  <c r="Q82" i="4"/>
  <c r="S82" i="4"/>
  <c r="U82" i="4"/>
  <c r="W82" i="4"/>
  <c r="Y82" i="4"/>
  <c r="AA82" i="4"/>
  <c r="AB82" i="4"/>
  <c r="AD82" i="4"/>
  <c r="AF82" i="4"/>
  <c r="AG82" i="4"/>
  <c r="AI82" i="4"/>
  <c r="AK82" i="4"/>
  <c r="C83" i="4"/>
  <c r="E83" i="4"/>
  <c r="G83" i="4"/>
  <c r="I83" i="4"/>
  <c r="K83" i="4"/>
  <c r="M83" i="4"/>
  <c r="O83" i="4"/>
  <c r="Q83" i="4"/>
  <c r="S83" i="4"/>
  <c r="U83" i="4"/>
  <c r="W83" i="4"/>
  <c r="Y83" i="4"/>
  <c r="AA83" i="4"/>
  <c r="AB83" i="4"/>
  <c r="AD83" i="4"/>
  <c r="AF83" i="4"/>
  <c r="AG83" i="4"/>
  <c r="AI83" i="4"/>
  <c r="AK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D84" i="4"/>
  <c r="AF84" i="4"/>
  <c r="AG84" i="4"/>
  <c r="AI84" i="4"/>
  <c r="AK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D85" i="4"/>
  <c r="AF85" i="4"/>
  <c r="AG85" i="4"/>
  <c r="AI85" i="4"/>
  <c r="AK85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D87" i="4"/>
  <c r="AF87" i="4"/>
  <c r="AG87" i="4"/>
  <c r="AI87" i="4"/>
  <c r="AK87" i="4"/>
  <c r="C90" i="4"/>
  <c r="E90" i="4"/>
  <c r="G90" i="4"/>
  <c r="I90" i="4"/>
  <c r="K90" i="4"/>
  <c r="M90" i="4"/>
  <c r="O90" i="4"/>
  <c r="Q90" i="4"/>
  <c r="S90" i="4"/>
  <c r="U90" i="4"/>
  <c r="W90" i="4"/>
  <c r="Y90" i="4"/>
  <c r="AA90" i="4"/>
  <c r="AB90" i="4"/>
  <c r="AD90" i="4"/>
  <c r="AF90" i="4"/>
  <c r="AG90" i="4"/>
  <c r="AI90" i="4"/>
  <c r="AK90" i="4"/>
  <c r="C91" i="4"/>
  <c r="E91" i="4"/>
  <c r="G91" i="4"/>
  <c r="I91" i="4"/>
  <c r="K91" i="4"/>
  <c r="M91" i="4"/>
  <c r="O91" i="4"/>
  <c r="Q91" i="4"/>
  <c r="S91" i="4"/>
  <c r="U91" i="4"/>
  <c r="W91" i="4"/>
  <c r="Y91" i="4"/>
  <c r="AA91" i="4"/>
  <c r="AB91" i="4"/>
  <c r="AD91" i="4"/>
  <c r="AF91" i="4"/>
  <c r="AG91" i="4"/>
  <c r="AI91" i="4"/>
  <c r="AK91" i="4"/>
  <c r="C92" i="4"/>
  <c r="E92" i="4"/>
  <c r="G92" i="4"/>
  <c r="I92" i="4"/>
  <c r="K92" i="4"/>
  <c r="M92" i="4"/>
  <c r="O92" i="4"/>
  <c r="Q92" i="4"/>
  <c r="S92" i="4"/>
  <c r="U92" i="4"/>
  <c r="W92" i="4"/>
  <c r="Y92" i="4"/>
  <c r="AA92" i="4"/>
  <c r="AB92" i="4"/>
  <c r="AD92" i="4"/>
  <c r="AF92" i="4"/>
  <c r="AG92" i="4"/>
  <c r="AI92" i="4"/>
  <c r="AK92" i="4"/>
  <c r="C93" i="4"/>
  <c r="E93" i="4"/>
  <c r="G93" i="4"/>
  <c r="I93" i="4"/>
  <c r="K93" i="4"/>
  <c r="M93" i="4"/>
  <c r="O93" i="4"/>
  <c r="Q93" i="4"/>
  <c r="S93" i="4"/>
  <c r="U93" i="4"/>
  <c r="W93" i="4"/>
  <c r="Y93" i="4"/>
  <c r="AA93" i="4"/>
  <c r="AB93" i="4"/>
  <c r="AD93" i="4"/>
  <c r="AF93" i="4"/>
  <c r="AG93" i="4"/>
  <c r="AI93" i="4"/>
  <c r="AK93" i="4"/>
  <c r="C94" i="4"/>
  <c r="E94" i="4"/>
  <c r="G94" i="4"/>
  <c r="I94" i="4"/>
  <c r="K94" i="4"/>
  <c r="M94" i="4"/>
  <c r="O94" i="4"/>
  <c r="Q94" i="4"/>
  <c r="S94" i="4"/>
  <c r="U94" i="4"/>
  <c r="W94" i="4"/>
  <c r="Y94" i="4"/>
  <c r="AA94" i="4"/>
  <c r="AB94" i="4"/>
  <c r="AD94" i="4"/>
  <c r="AF94" i="4"/>
  <c r="AG94" i="4"/>
  <c r="AI94" i="4"/>
  <c r="AK94" i="4"/>
  <c r="C95" i="4"/>
  <c r="E95" i="4"/>
  <c r="G95" i="4"/>
  <c r="I95" i="4"/>
  <c r="K95" i="4"/>
  <c r="M95" i="4"/>
  <c r="O95" i="4"/>
  <c r="Q95" i="4"/>
  <c r="S95" i="4"/>
  <c r="U95" i="4"/>
  <c r="W95" i="4"/>
  <c r="Y95" i="4"/>
  <c r="AA95" i="4"/>
  <c r="AB95" i="4"/>
  <c r="AD95" i="4"/>
  <c r="AF95" i="4"/>
  <c r="AG95" i="4"/>
  <c r="AI95" i="4"/>
  <c r="AK95" i="4"/>
  <c r="C96" i="4"/>
  <c r="E96" i="4"/>
  <c r="G96" i="4"/>
  <c r="I96" i="4"/>
  <c r="K96" i="4"/>
  <c r="M96" i="4"/>
  <c r="O96" i="4"/>
  <c r="Q96" i="4"/>
  <c r="S96" i="4"/>
  <c r="U96" i="4"/>
  <c r="W96" i="4"/>
  <c r="Y96" i="4"/>
  <c r="AA96" i="4"/>
  <c r="AB96" i="4"/>
  <c r="AD96" i="4"/>
  <c r="AF96" i="4"/>
  <c r="AG96" i="4"/>
  <c r="AI96" i="4"/>
  <c r="AK96" i="4"/>
  <c r="C97" i="4"/>
  <c r="E97" i="4"/>
  <c r="G97" i="4"/>
  <c r="I97" i="4"/>
  <c r="K97" i="4"/>
  <c r="M97" i="4"/>
  <c r="O97" i="4"/>
  <c r="Q97" i="4"/>
  <c r="S97" i="4"/>
  <c r="U97" i="4"/>
  <c r="W97" i="4"/>
  <c r="Y97" i="4"/>
  <c r="AA97" i="4"/>
  <c r="AB97" i="4"/>
  <c r="AD97" i="4"/>
  <c r="AF97" i="4"/>
  <c r="AG97" i="4"/>
  <c r="AI97" i="4"/>
  <c r="AK97" i="4"/>
  <c r="C98" i="4"/>
  <c r="E98" i="4"/>
  <c r="G98" i="4"/>
  <c r="I98" i="4"/>
  <c r="K98" i="4"/>
  <c r="M98" i="4"/>
  <c r="O98" i="4"/>
  <c r="Q98" i="4"/>
  <c r="S98" i="4"/>
  <c r="U98" i="4"/>
  <c r="W98" i="4"/>
  <c r="Y98" i="4"/>
  <c r="AA98" i="4"/>
  <c r="AB98" i="4"/>
  <c r="AD98" i="4"/>
  <c r="AF98" i="4"/>
  <c r="AG98" i="4"/>
  <c r="AI98" i="4"/>
  <c r="AK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D99" i="4"/>
  <c r="AF99" i="4"/>
  <c r="AG99" i="4"/>
  <c r="AI99" i="4"/>
  <c r="AK99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D101" i="4"/>
  <c r="AF101" i="4"/>
  <c r="AG101" i="4"/>
  <c r="AI101" i="4"/>
  <c r="AK101" i="4"/>
  <c r="C104" i="4"/>
  <c r="E104" i="4"/>
  <c r="G104" i="4"/>
  <c r="I104" i="4"/>
  <c r="K104" i="4"/>
  <c r="M104" i="4"/>
  <c r="O104" i="4"/>
  <c r="Q104" i="4"/>
  <c r="S104" i="4"/>
  <c r="U104" i="4"/>
  <c r="W104" i="4"/>
  <c r="Y104" i="4"/>
  <c r="AA104" i="4"/>
  <c r="AB104" i="4"/>
  <c r="AD104" i="4"/>
  <c r="AF104" i="4"/>
  <c r="AG104" i="4"/>
  <c r="AI104" i="4"/>
  <c r="AK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D105" i="4"/>
  <c r="AF105" i="4"/>
  <c r="AG105" i="4"/>
  <c r="AI105" i="4"/>
  <c r="AK105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D107" i="4"/>
  <c r="AF107" i="4"/>
  <c r="AG107" i="4"/>
  <c r="AI107" i="4"/>
  <c r="AK107" i="4"/>
  <c r="C110" i="4"/>
  <c r="E110" i="4"/>
  <c r="G110" i="4"/>
  <c r="I110" i="4"/>
  <c r="K110" i="4"/>
  <c r="M110" i="4"/>
  <c r="O110" i="4"/>
  <c r="Q110" i="4"/>
  <c r="S110" i="4"/>
  <c r="U110" i="4"/>
  <c r="W110" i="4"/>
  <c r="Y110" i="4"/>
  <c r="AA110" i="4"/>
  <c r="AB110" i="4"/>
  <c r="AD110" i="4"/>
  <c r="AF110" i="4"/>
  <c r="AG110" i="4"/>
  <c r="AI110" i="4"/>
  <c r="AK110" i="4"/>
  <c r="C111" i="4"/>
  <c r="E111" i="4"/>
  <c r="G111" i="4"/>
  <c r="I111" i="4"/>
  <c r="K111" i="4"/>
  <c r="M111" i="4"/>
  <c r="O111" i="4"/>
  <c r="Q111" i="4"/>
  <c r="S111" i="4"/>
  <c r="U111" i="4"/>
  <c r="W111" i="4"/>
  <c r="Y111" i="4"/>
  <c r="AA111" i="4"/>
  <c r="AB111" i="4"/>
  <c r="AD111" i="4"/>
  <c r="AF111" i="4"/>
  <c r="AG111" i="4"/>
  <c r="AI111" i="4"/>
  <c r="AK111" i="4"/>
  <c r="C112" i="4"/>
  <c r="E112" i="4"/>
  <c r="G112" i="4"/>
  <c r="I112" i="4"/>
  <c r="K112" i="4"/>
  <c r="M112" i="4"/>
  <c r="O112" i="4"/>
  <c r="Q112" i="4"/>
  <c r="S112" i="4"/>
  <c r="U112" i="4"/>
  <c r="W112" i="4"/>
  <c r="Y112" i="4"/>
  <c r="AA112" i="4"/>
  <c r="AB112" i="4"/>
  <c r="AD112" i="4"/>
  <c r="AF112" i="4"/>
  <c r="AG112" i="4"/>
  <c r="AI112" i="4"/>
  <c r="AK112" i="4"/>
  <c r="C113" i="4"/>
  <c r="E113" i="4"/>
  <c r="G113" i="4"/>
  <c r="I113" i="4"/>
  <c r="K113" i="4"/>
  <c r="M113" i="4"/>
  <c r="O113" i="4"/>
  <c r="Q113" i="4"/>
  <c r="S113" i="4"/>
  <c r="U113" i="4"/>
  <c r="W113" i="4"/>
  <c r="Y113" i="4"/>
  <c r="AA113" i="4"/>
  <c r="AB113" i="4"/>
  <c r="AD113" i="4"/>
  <c r="AF113" i="4"/>
  <c r="AG113" i="4"/>
  <c r="AI113" i="4"/>
  <c r="AK113" i="4"/>
  <c r="C114" i="4"/>
  <c r="E114" i="4"/>
  <c r="G114" i="4"/>
  <c r="I114" i="4"/>
  <c r="K114" i="4"/>
  <c r="M114" i="4"/>
  <c r="O114" i="4"/>
  <c r="Q114" i="4"/>
  <c r="S114" i="4"/>
  <c r="U114" i="4"/>
  <c r="W114" i="4"/>
  <c r="Y114" i="4"/>
  <c r="AA114" i="4"/>
  <c r="AB114" i="4"/>
  <c r="AD114" i="4"/>
  <c r="AF114" i="4"/>
  <c r="AG114" i="4"/>
  <c r="AI114" i="4"/>
  <c r="AK114" i="4"/>
  <c r="C115" i="4"/>
  <c r="E115" i="4"/>
  <c r="G115" i="4"/>
  <c r="I115" i="4"/>
  <c r="K115" i="4"/>
  <c r="M115" i="4"/>
  <c r="O115" i="4"/>
  <c r="Q115" i="4"/>
  <c r="S115" i="4"/>
  <c r="U115" i="4"/>
  <c r="W115" i="4"/>
  <c r="Y115" i="4"/>
  <c r="AA115" i="4"/>
  <c r="AB115" i="4"/>
  <c r="AD115" i="4"/>
  <c r="AF115" i="4"/>
  <c r="AG115" i="4"/>
  <c r="AI115" i="4"/>
  <c r="AK115" i="4"/>
  <c r="C116" i="4"/>
  <c r="E116" i="4"/>
  <c r="G116" i="4"/>
  <c r="I116" i="4"/>
  <c r="K116" i="4"/>
  <c r="M116" i="4"/>
  <c r="O116" i="4"/>
  <c r="Q116" i="4"/>
  <c r="S116" i="4"/>
  <c r="U116" i="4"/>
  <c r="W116" i="4"/>
  <c r="Y116" i="4"/>
  <c r="AA116" i="4"/>
  <c r="AB116" i="4"/>
  <c r="AD116" i="4"/>
  <c r="AF116" i="4"/>
  <c r="AG116" i="4"/>
  <c r="AI116" i="4"/>
  <c r="AK116" i="4"/>
  <c r="C117" i="4"/>
  <c r="E117" i="4"/>
  <c r="G117" i="4"/>
  <c r="I117" i="4"/>
  <c r="K117" i="4"/>
  <c r="M117" i="4"/>
  <c r="O117" i="4"/>
  <c r="Q117" i="4"/>
  <c r="S117" i="4"/>
  <c r="U117" i="4"/>
  <c r="W117" i="4"/>
  <c r="Y117" i="4"/>
  <c r="AA117" i="4"/>
  <c r="AB117" i="4"/>
  <c r="AD117" i="4"/>
  <c r="AF117" i="4"/>
  <c r="AG117" i="4"/>
  <c r="AI117" i="4"/>
  <c r="AK117" i="4"/>
  <c r="C118" i="4"/>
  <c r="E118" i="4"/>
  <c r="G118" i="4"/>
  <c r="I118" i="4"/>
  <c r="K118" i="4"/>
  <c r="M118" i="4"/>
  <c r="O118" i="4"/>
  <c r="Q118" i="4"/>
  <c r="S118" i="4"/>
  <c r="U118" i="4"/>
  <c r="W118" i="4"/>
  <c r="Y118" i="4"/>
  <c r="AA118" i="4"/>
  <c r="AB118" i="4"/>
  <c r="AD118" i="4"/>
  <c r="AF118" i="4"/>
  <c r="AG118" i="4"/>
  <c r="AI118" i="4"/>
  <c r="AK118" i="4"/>
  <c r="C119" i="4"/>
  <c r="E119" i="4"/>
  <c r="G119" i="4"/>
  <c r="I119" i="4"/>
  <c r="K119" i="4"/>
  <c r="M119" i="4"/>
  <c r="O119" i="4"/>
  <c r="Q119" i="4"/>
  <c r="S119" i="4"/>
  <c r="U119" i="4"/>
  <c r="W119" i="4"/>
  <c r="Y119" i="4"/>
  <c r="AA119" i="4"/>
  <c r="AB119" i="4"/>
  <c r="AD119" i="4"/>
  <c r="AF119" i="4"/>
  <c r="AG119" i="4"/>
  <c r="AI119" i="4"/>
  <c r="AK119" i="4"/>
  <c r="C120" i="4"/>
  <c r="E120" i="4"/>
  <c r="G120" i="4"/>
  <c r="I120" i="4"/>
  <c r="K120" i="4"/>
  <c r="M120" i="4"/>
  <c r="O120" i="4"/>
  <c r="Q120" i="4"/>
  <c r="S120" i="4"/>
  <c r="U120" i="4"/>
  <c r="W120" i="4"/>
  <c r="Y120" i="4"/>
  <c r="AA120" i="4"/>
  <c r="AB120" i="4"/>
  <c r="AD120" i="4"/>
  <c r="AF120" i="4"/>
  <c r="AG120" i="4"/>
  <c r="AI120" i="4"/>
  <c r="AK120" i="4"/>
  <c r="C121" i="4"/>
  <c r="E121" i="4"/>
  <c r="G121" i="4"/>
  <c r="I121" i="4"/>
  <c r="K121" i="4"/>
  <c r="M121" i="4"/>
  <c r="O121" i="4"/>
  <c r="Q121" i="4"/>
  <c r="S121" i="4"/>
  <c r="U121" i="4"/>
  <c r="W121" i="4"/>
  <c r="Y121" i="4"/>
  <c r="AA121" i="4"/>
  <c r="AB121" i="4"/>
  <c r="AD121" i="4"/>
  <c r="AF121" i="4"/>
  <c r="AG121" i="4"/>
  <c r="AI121" i="4"/>
  <c r="AK121" i="4"/>
  <c r="C122" i="4"/>
  <c r="E122" i="4"/>
  <c r="G122" i="4"/>
  <c r="I122" i="4"/>
  <c r="K122" i="4"/>
  <c r="M122" i="4"/>
  <c r="O122" i="4"/>
  <c r="Q122" i="4"/>
  <c r="S122" i="4"/>
  <c r="U122" i="4"/>
  <c r="W122" i="4"/>
  <c r="Y122" i="4"/>
  <c r="AA122" i="4"/>
  <c r="AB122" i="4"/>
  <c r="AD122" i="4"/>
  <c r="AF122" i="4"/>
  <c r="AG122" i="4"/>
  <c r="AI122" i="4"/>
  <c r="AK122" i="4"/>
  <c r="C123" i="4"/>
  <c r="E123" i="4"/>
  <c r="G123" i="4"/>
  <c r="I123" i="4"/>
  <c r="K123" i="4"/>
  <c r="M123" i="4"/>
  <c r="O123" i="4"/>
  <c r="Q123" i="4"/>
  <c r="S123" i="4"/>
  <c r="U123" i="4"/>
  <c r="W123" i="4"/>
  <c r="Y123" i="4"/>
  <c r="AA123" i="4"/>
  <c r="AB123" i="4"/>
  <c r="AD123" i="4"/>
  <c r="AF123" i="4"/>
  <c r="AG123" i="4"/>
  <c r="AI123" i="4"/>
  <c r="AK123" i="4"/>
  <c r="C124" i="4"/>
  <c r="E124" i="4"/>
  <c r="G124" i="4"/>
  <c r="I124" i="4"/>
  <c r="K124" i="4"/>
  <c r="M124" i="4"/>
  <c r="O124" i="4"/>
  <c r="Q124" i="4"/>
  <c r="S124" i="4"/>
  <c r="U124" i="4"/>
  <c r="W124" i="4"/>
  <c r="Y124" i="4"/>
  <c r="AA124" i="4"/>
  <c r="AB124" i="4"/>
  <c r="AD124" i="4"/>
  <c r="AF124" i="4"/>
  <c r="AG124" i="4"/>
  <c r="AI124" i="4"/>
  <c r="AK124" i="4"/>
  <c r="C125" i="4"/>
  <c r="E125" i="4"/>
  <c r="G125" i="4"/>
  <c r="I125" i="4"/>
  <c r="K125" i="4"/>
  <c r="M125" i="4"/>
  <c r="O125" i="4"/>
  <c r="Q125" i="4"/>
  <c r="S125" i="4"/>
  <c r="U125" i="4"/>
  <c r="W125" i="4"/>
  <c r="Y125" i="4"/>
  <c r="AA125" i="4"/>
  <c r="AB125" i="4"/>
  <c r="AD125" i="4"/>
  <c r="AF125" i="4"/>
  <c r="AG125" i="4"/>
  <c r="AI125" i="4"/>
  <c r="AK125" i="4"/>
  <c r="C126" i="4"/>
  <c r="E126" i="4"/>
  <c r="G126" i="4"/>
  <c r="I126" i="4"/>
  <c r="K126" i="4"/>
  <c r="M126" i="4"/>
  <c r="O126" i="4"/>
  <c r="Q126" i="4"/>
  <c r="S126" i="4"/>
  <c r="U126" i="4"/>
  <c r="W126" i="4"/>
  <c r="Y126" i="4"/>
  <c r="AA126" i="4"/>
  <c r="AB126" i="4"/>
  <c r="AD126" i="4"/>
  <c r="AF126" i="4"/>
  <c r="AG126" i="4"/>
  <c r="AI126" i="4"/>
  <c r="AK126" i="4"/>
  <c r="C127" i="4"/>
  <c r="E127" i="4"/>
  <c r="G127" i="4"/>
  <c r="I127" i="4"/>
  <c r="K127" i="4"/>
  <c r="M127" i="4"/>
  <c r="O127" i="4"/>
  <c r="Q127" i="4"/>
  <c r="S127" i="4"/>
  <c r="U127" i="4"/>
  <c r="W127" i="4"/>
  <c r="Y127" i="4"/>
  <c r="AA127" i="4"/>
  <c r="AB127" i="4"/>
  <c r="AD127" i="4"/>
  <c r="AF127" i="4"/>
  <c r="AG127" i="4"/>
  <c r="AI127" i="4"/>
  <c r="AK127" i="4"/>
  <c r="C128" i="4"/>
  <c r="E128" i="4"/>
  <c r="G128" i="4"/>
  <c r="I128" i="4"/>
  <c r="K128" i="4"/>
  <c r="M128" i="4"/>
  <c r="O128" i="4"/>
  <c r="Q128" i="4"/>
  <c r="S128" i="4"/>
  <c r="U128" i="4"/>
  <c r="W128" i="4"/>
  <c r="Y128" i="4"/>
  <c r="AA128" i="4"/>
  <c r="AB128" i="4"/>
  <c r="AD128" i="4"/>
  <c r="AF128" i="4"/>
  <c r="AG128" i="4"/>
  <c r="AI128" i="4"/>
  <c r="AK128" i="4"/>
  <c r="C129" i="4"/>
  <c r="E129" i="4"/>
  <c r="G129" i="4"/>
  <c r="I129" i="4"/>
  <c r="K129" i="4"/>
  <c r="M129" i="4"/>
  <c r="O129" i="4"/>
  <c r="Q129" i="4"/>
  <c r="S129" i="4"/>
  <c r="U129" i="4"/>
  <c r="W129" i="4"/>
  <c r="Y129" i="4"/>
  <c r="AA129" i="4"/>
  <c r="AB129" i="4"/>
  <c r="AD129" i="4"/>
  <c r="AF129" i="4"/>
  <c r="AG129" i="4"/>
  <c r="AI129" i="4"/>
  <c r="AK129" i="4"/>
  <c r="C130" i="4"/>
  <c r="E130" i="4"/>
  <c r="G130" i="4"/>
  <c r="I130" i="4"/>
  <c r="K130" i="4"/>
  <c r="M130" i="4"/>
  <c r="O130" i="4"/>
  <c r="Q130" i="4"/>
  <c r="S130" i="4"/>
  <c r="U130" i="4"/>
  <c r="W130" i="4"/>
  <c r="Y130" i="4"/>
  <c r="AA130" i="4"/>
  <c r="AB130" i="4"/>
  <c r="AD130" i="4"/>
  <c r="AF130" i="4"/>
  <c r="AG130" i="4"/>
  <c r="AI130" i="4"/>
  <c r="AK130" i="4"/>
  <c r="C131" i="4"/>
  <c r="E131" i="4"/>
  <c r="G131" i="4"/>
  <c r="I131" i="4"/>
  <c r="K131" i="4"/>
  <c r="M131" i="4"/>
  <c r="O131" i="4"/>
  <c r="Q131" i="4"/>
  <c r="S131" i="4"/>
  <c r="U131" i="4"/>
  <c r="W131" i="4"/>
  <c r="Y131" i="4"/>
  <c r="AA131" i="4"/>
  <c r="AB131" i="4"/>
  <c r="AD131" i="4"/>
  <c r="AF131" i="4"/>
  <c r="AG131" i="4"/>
  <c r="AI131" i="4"/>
  <c r="AK131" i="4"/>
  <c r="C132" i="4"/>
  <c r="E132" i="4"/>
  <c r="G132" i="4"/>
  <c r="I132" i="4"/>
  <c r="K132" i="4"/>
  <c r="M132" i="4"/>
  <c r="O132" i="4"/>
  <c r="Q132" i="4"/>
  <c r="S132" i="4"/>
  <c r="U132" i="4"/>
  <c r="W132" i="4"/>
  <c r="Y132" i="4"/>
  <c r="AA132" i="4"/>
  <c r="AB132" i="4"/>
  <c r="AD132" i="4"/>
  <c r="AF132" i="4"/>
  <c r="AG132" i="4"/>
  <c r="AI132" i="4"/>
  <c r="AK132" i="4"/>
  <c r="C133" i="4"/>
  <c r="E133" i="4"/>
  <c r="G133" i="4"/>
  <c r="I133" i="4"/>
  <c r="K133" i="4"/>
  <c r="M133" i="4"/>
  <c r="O133" i="4"/>
  <c r="Q133" i="4"/>
  <c r="S133" i="4"/>
  <c r="U133" i="4"/>
  <c r="W133" i="4"/>
  <c r="Y133" i="4"/>
  <c r="AA133" i="4"/>
  <c r="AB133" i="4"/>
  <c r="AD133" i="4"/>
  <c r="AF133" i="4"/>
  <c r="AG133" i="4"/>
  <c r="AI133" i="4"/>
  <c r="AK133" i="4"/>
  <c r="C134" i="4"/>
  <c r="E134" i="4"/>
  <c r="G134" i="4"/>
  <c r="I134" i="4"/>
  <c r="K134" i="4"/>
  <c r="M134" i="4"/>
  <c r="O134" i="4"/>
  <c r="Q134" i="4"/>
  <c r="S134" i="4"/>
  <c r="U134" i="4"/>
  <c r="W134" i="4"/>
  <c r="Y134" i="4"/>
  <c r="AA134" i="4"/>
  <c r="AB134" i="4"/>
  <c r="AD134" i="4"/>
  <c r="AF134" i="4"/>
  <c r="AG134" i="4"/>
  <c r="AI134" i="4"/>
  <c r="AK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D135" i="4"/>
  <c r="AF135" i="4"/>
  <c r="AG135" i="4"/>
  <c r="AI135" i="4"/>
  <c r="AK135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D137" i="4"/>
  <c r="AF137" i="4"/>
  <c r="AG137" i="4"/>
  <c r="AI137" i="4"/>
  <c r="AK137" i="4"/>
  <c r="C140" i="4"/>
  <c r="E140" i="4"/>
  <c r="G140" i="4"/>
  <c r="I140" i="4"/>
  <c r="K140" i="4"/>
  <c r="M140" i="4"/>
  <c r="O140" i="4"/>
  <c r="Q140" i="4"/>
  <c r="S140" i="4"/>
  <c r="U140" i="4"/>
  <c r="W140" i="4"/>
  <c r="Y140" i="4"/>
  <c r="AA140" i="4"/>
  <c r="AB140" i="4"/>
  <c r="AD140" i="4"/>
  <c r="AF140" i="4"/>
  <c r="AG140" i="4"/>
  <c r="AI140" i="4"/>
  <c r="AK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D141" i="4"/>
  <c r="AF141" i="4"/>
  <c r="AG141" i="4"/>
  <c r="AI141" i="4"/>
  <c r="AK141" i="4"/>
  <c r="C144" i="4"/>
  <c r="E144" i="4"/>
  <c r="G144" i="4"/>
  <c r="I144" i="4"/>
  <c r="K144" i="4"/>
  <c r="M144" i="4"/>
  <c r="O144" i="4"/>
  <c r="Q144" i="4"/>
  <c r="S144" i="4"/>
  <c r="U144" i="4"/>
  <c r="W144" i="4"/>
  <c r="Y144" i="4"/>
  <c r="AA144" i="4"/>
  <c r="AB144" i="4"/>
  <c r="AD144" i="4"/>
  <c r="AF144" i="4"/>
  <c r="AG144" i="4"/>
  <c r="AI144" i="4"/>
  <c r="AK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D145" i="4"/>
  <c r="AF145" i="4"/>
  <c r="AG145" i="4"/>
  <c r="AI145" i="4"/>
  <c r="AK145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D147" i="4"/>
  <c r="AF147" i="4"/>
  <c r="AG147" i="4"/>
  <c r="AI147" i="4"/>
  <c r="AK147" i="4"/>
  <c r="AB148" i="4"/>
  <c r="AD148" i="4"/>
  <c r="AF148" i="4"/>
  <c r="AG148" i="4"/>
  <c r="AI148" i="4"/>
  <c r="AK148" i="4"/>
  <c r="AG148" i="5"/>
  <c r="AB148" i="5"/>
  <c r="Z145" i="5"/>
  <c r="AA145" i="5" s="1"/>
  <c r="X145" i="5"/>
  <c r="V145" i="5"/>
  <c r="W145" i="5" s="1"/>
  <c r="T145" i="5"/>
  <c r="U145" i="5" s="1"/>
  <c r="R145" i="5"/>
  <c r="P145" i="5"/>
  <c r="Q145" i="5" s="1"/>
  <c r="N145" i="5"/>
  <c r="O145" i="5" s="1"/>
  <c r="L145" i="5"/>
  <c r="M145" i="5" s="1"/>
  <c r="J145" i="5"/>
  <c r="H145" i="5"/>
  <c r="I145" i="5" s="1"/>
  <c r="F145" i="5"/>
  <c r="G145" i="5" s="1"/>
  <c r="D145" i="5"/>
  <c r="E145" i="5" s="1"/>
  <c r="B145" i="5"/>
  <c r="C145" i="5" s="1"/>
  <c r="AG144" i="5"/>
  <c r="AB144" i="5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Z141" i="5"/>
  <c r="AA141" i="5" s="1"/>
  <c r="X141" i="5"/>
  <c r="V141" i="5"/>
  <c r="W141" i="5" s="1"/>
  <c r="T141" i="5"/>
  <c r="U141" i="5" s="1"/>
  <c r="R141" i="5"/>
  <c r="P141" i="5"/>
  <c r="Q141" i="5" s="1"/>
  <c r="N141" i="5"/>
  <c r="O141" i="5" s="1"/>
  <c r="L141" i="5"/>
  <c r="M141" i="5" s="1"/>
  <c r="J141" i="5"/>
  <c r="H141" i="5"/>
  <c r="I141" i="5" s="1"/>
  <c r="F141" i="5"/>
  <c r="G141" i="5" s="1"/>
  <c r="D141" i="5"/>
  <c r="E141" i="5" s="1"/>
  <c r="B141" i="5"/>
  <c r="C141" i="5" s="1"/>
  <c r="AG140" i="5"/>
  <c r="AB140" i="5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Z135" i="5"/>
  <c r="AA135" i="5" s="1"/>
  <c r="X135" i="5"/>
  <c r="V135" i="5"/>
  <c r="W135" i="5" s="1"/>
  <c r="T135" i="5"/>
  <c r="U135" i="5" s="1"/>
  <c r="R135" i="5"/>
  <c r="P135" i="5"/>
  <c r="Q135" i="5" s="1"/>
  <c r="N135" i="5"/>
  <c r="O135" i="5" s="1"/>
  <c r="L135" i="5"/>
  <c r="M135" i="5" s="1"/>
  <c r="J135" i="5"/>
  <c r="H135" i="5"/>
  <c r="I135" i="5" s="1"/>
  <c r="F135" i="5"/>
  <c r="G135" i="5" s="1"/>
  <c r="D135" i="5"/>
  <c r="E135" i="5" s="1"/>
  <c r="B135" i="5"/>
  <c r="C135" i="5" s="1"/>
  <c r="AG134" i="5"/>
  <c r="AB134" i="5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G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G132" i="5"/>
  <c r="AB132" i="5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B131" i="5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G130" i="5"/>
  <c r="AB130" i="5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G129" i="5"/>
  <c r="AB129" i="5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G128" i="5"/>
  <c r="AB128" i="5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G127" i="5"/>
  <c r="AB127" i="5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G126" i="5"/>
  <c r="AB126" i="5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G125" i="5"/>
  <c r="AB125" i="5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G124" i="5"/>
  <c r="AB124" i="5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G123" i="5"/>
  <c r="AB123" i="5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G122" i="5"/>
  <c r="AB122" i="5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G121" i="5"/>
  <c r="AB121" i="5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G120" i="5"/>
  <c r="AB120" i="5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G119" i="5"/>
  <c r="AB119" i="5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G118" i="5"/>
  <c r="AB118" i="5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G117" i="5"/>
  <c r="AB117" i="5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G116" i="5"/>
  <c r="AB116" i="5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G115" i="5"/>
  <c r="AB115" i="5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G114" i="5"/>
  <c r="AB114" i="5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G113" i="5"/>
  <c r="AB113" i="5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G112" i="5"/>
  <c r="AB112" i="5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G111" i="5"/>
  <c r="AB111" i="5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G110" i="5"/>
  <c r="AB110" i="5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Z105" i="5"/>
  <c r="AA105" i="5" s="1"/>
  <c r="X105" i="5"/>
  <c r="V105" i="5"/>
  <c r="W105" i="5" s="1"/>
  <c r="T105" i="5"/>
  <c r="U105" i="5" s="1"/>
  <c r="R105" i="5"/>
  <c r="P105" i="5"/>
  <c r="Q105" i="5" s="1"/>
  <c r="N105" i="5"/>
  <c r="O105" i="5" s="1"/>
  <c r="L105" i="5"/>
  <c r="M105" i="5" s="1"/>
  <c r="J105" i="5"/>
  <c r="H105" i="5"/>
  <c r="I105" i="5" s="1"/>
  <c r="F105" i="5"/>
  <c r="G105" i="5" s="1"/>
  <c r="D105" i="5"/>
  <c r="E105" i="5" s="1"/>
  <c r="B105" i="5"/>
  <c r="C105" i="5" s="1"/>
  <c r="AG104" i="5"/>
  <c r="AB104" i="5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Z99" i="5"/>
  <c r="AA99" i="5" s="1"/>
  <c r="X99" i="5"/>
  <c r="V99" i="5"/>
  <c r="W99" i="5" s="1"/>
  <c r="T99" i="5"/>
  <c r="U99" i="5" s="1"/>
  <c r="R99" i="5"/>
  <c r="P99" i="5"/>
  <c r="Q99" i="5" s="1"/>
  <c r="N99" i="5"/>
  <c r="O99" i="5" s="1"/>
  <c r="L99" i="5"/>
  <c r="M99" i="5" s="1"/>
  <c r="J99" i="5"/>
  <c r="H99" i="5"/>
  <c r="I99" i="5" s="1"/>
  <c r="F99" i="5"/>
  <c r="G99" i="5" s="1"/>
  <c r="D99" i="5"/>
  <c r="E99" i="5" s="1"/>
  <c r="B99" i="5"/>
  <c r="C99" i="5" s="1"/>
  <c r="AG98" i="5"/>
  <c r="AB98" i="5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G97" i="5"/>
  <c r="AB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G96" i="5"/>
  <c r="AB96" i="5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G95" i="5"/>
  <c r="AB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G94" i="5"/>
  <c r="AB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G93" i="5"/>
  <c r="AB93" i="5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G92" i="5"/>
  <c r="AB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G91" i="5"/>
  <c r="AB91" i="5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G90" i="5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Z85" i="5"/>
  <c r="AA85" i="5" s="1"/>
  <c r="X85" i="5"/>
  <c r="V85" i="5"/>
  <c r="W85" i="5" s="1"/>
  <c r="T85" i="5"/>
  <c r="U85" i="5" s="1"/>
  <c r="R85" i="5"/>
  <c r="P85" i="5"/>
  <c r="Q85" i="5" s="1"/>
  <c r="N85" i="5"/>
  <c r="O85" i="5" s="1"/>
  <c r="L85" i="5"/>
  <c r="M85" i="5" s="1"/>
  <c r="J85" i="5"/>
  <c r="H85" i="5"/>
  <c r="I85" i="5" s="1"/>
  <c r="F85" i="5"/>
  <c r="G85" i="5" s="1"/>
  <c r="D85" i="5"/>
  <c r="E85" i="5" s="1"/>
  <c r="B85" i="5"/>
  <c r="C85" i="5" s="1"/>
  <c r="Z84" i="5"/>
  <c r="AA84" i="5" s="1"/>
  <c r="X84" i="5"/>
  <c r="V84" i="5"/>
  <c r="W84" i="5" s="1"/>
  <c r="T84" i="5"/>
  <c r="U84" i="5" s="1"/>
  <c r="R84" i="5"/>
  <c r="P84" i="5"/>
  <c r="Q84" i="5" s="1"/>
  <c r="N84" i="5"/>
  <c r="O84" i="5" s="1"/>
  <c r="L84" i="5"/>
  <c r="M84" i="5" s="1"/>
  <c r="J84" i="5"/>
  <c r="H84" i="5"/>
  <c r="I84" i="5" s="1"/>
  <c r="F84" i="5"/>
  <c r="G84" i="5" s="1"/>
  <c r="D84" i="5"/>
  <c r="E84" i="5" s="1"/>
  <c r="B84" i="5"/>
  <c r="C84" i="5" s="1"/>
  <c r="AG83" i="5"/>
  <c r="AB83" i="5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G82" i="5"/>
  <c r="AB82" i="5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Z81" i="5"/>
  <c r="AA81" i="5" s="1"/>
  <c r="X81" i="5"/>
  <c r="V81" i="5"/>
  <c r="W81" i="5" s="1"/>
  <c r="T81" i="5"/>
  <c r="U81" i="5" s="1"/>
  <c r="R81" i="5"/>
  <c r="P81" i="5"/>
  <c r="Q81" i="5" s="1"/>
  <c r="N81" i="5"/>
  <c r="O81" i="5" s="1"/>
  <c r="L81" i="5"/>
  <c r="M81" i="5" s="1"/>
  <c r="J81" i="5"/>
  <c r="H81" i="5"/>
  <c r="I81" i="5" s="1"/>
  <c r="F81" i="5"/>
  <c r="G81" i="5" s="1"/>
  <c r="D81" i="5"/>
  <c r="E81" i="5" s="1"/>
  <c r="B81" i="5"/>
  <c r="C81" i="5" s="1"/>
  <c r="AG80" i="5"/>
  <c r="AB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G79" i="5"/>
  <c r="AB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G78" i="5"/>
  <c r="AB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G77" i="5"/>
  <c r="AB77" i="5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G76" i="5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G75" i="5"/>
  <c r="AB75" i="5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G74" i="5"/>
  <c r="AB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G72" i="5"/>
  <c r="AB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G71" i="5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Z70" i="5"/>
  <c r="AA70" i="5" s="1"/>
  <c r="X70" i="5"/>
  <c r="V70" i="5"/>
  <c r="W70" i="5" s="1"/>
  <c r="T70" i="5"/>
  <c r="U70" i="5" s="1"/>
  <c r="R70" i="5"/>
  <c r="P70" i="5"/>
  <c r="Q70" i="5" s="1"/>
  <c r="N70" i="5"/>
  <c r="O70" i="5" s="1"/>
  <c r="L70" i="5"/>
  <c r="M70" i="5" s="1"/>
  <c r="J70" i="5"/>
  <c r="H70" i="5"/>
  <c r="I70" i="5" s="1"/>
  <c r="F70" i="5"/>
  <c r="G70" i="5" s="1"/>
  <c r="D70" i="5"/>
  <c r="E70" i="5" s="1"/>
  <c r="B70" i="5"/>
  <c r="C70" i="5" s="1"/>
  <c r="AG69" i="5"/>
  <c r="AB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G68" i="5"/>
  <c r="AB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G67" i="5"/>
  <c r="AB67" i="5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G66" i="5"/>
  <c r="AB66" i="5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G65" i="5"/>
  <c r="AB65" i="5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G63" i="5"/>
  <c r="AB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Z57" i="5"/>
  <c r="AA57" i="5" s="1"/>
  <c r="X57" i="5"/>
  <c r="V57" i="5"/>
  <c r="W57" i="5" s="1"/>
  <c r="T57" i="5"/>
  <c r="U57" i="5" s="1"/>
  <c r="R57" i="5"/>
  <c r="P57" i="5"/>
  <c r="Q57" i="5" s="1"/>
  <c r="N57" i="5"/>
  <c r="O57" i="5" s="1"/>
  <c r="L57" i="5"/>
  <c r="M57" i="5" s="1"/>
  <c r="J57" i="5"/>
  <c r="H57" i="5"/>
  <c r="I57" i="5" s="1"/>
  <c r="F57" i="5"/>
  <c r="G57" i="5" s="1"/>
  <c r="D57" i="5"/>
  <c r="E57" i="5" s="1"/>
  <c r="B57" i="5"/>
  <c r="C57" i="5" s="1"/>
  <c r="Z56" i="5"/>
  <c r="AA56" i="5" s="1"/>
  <c r="X56" i="5"/>
  <c r="V56" i="5"/>
  <c r="W56" i="5" s="1"/>
  <c r="T56" i="5"/>
  <c r="U56" i="5" s="1"/>
  <c r="R56" i="5"/>
  <c r="P56" i="5"/>
  <c r="Q56" i="5" s="1"/>
  <c r="N56" i="5"/>
  <c r="O56" i="5" s="1"/>
  <c r="L56" i="5"/>
  <c r="M56" i="5" s="1"/>
  <c r="J56" i="5"/>
  <c r="H56" i="5"/>
  <c r="I56" i="5" s="1"/>
  <c r="F56" i="5"/>
  <c r="G56" i="5" s="1"/>
  <c r="D56" i="5"/>
  <c r="E56" i="5" s="1"/>
  <c r="B56" i="5"/>
  <c r="C56" i="5" s="1"/>
  <c r="AG55" i="5"/>
  <c r="AB55" i="5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G54" i="5"/>
  <c r="AB54" i="5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G53" i="5"/>
  <c r="AB53" i="5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Z52" i="5"/>
  <c r="AA52" i="5" s="1"/>
  <c r="X52" i="5"/>
  <c r="V52" i="5"/>
  <c r="W52" i="5" s="1"/>
  <c r="T52" i="5"/>
  <c r="U52" i="5" s="1"/>
  <c r="R52" i="5"/>
  <c r="P52" i="5"/>
  <c r="Q52" i="5" s="1"/>
  <c r="N52" i="5"/>
  <c r="O52" i="5" s="1"/>
  <c r="L52" i="5"/>
  <c r="M52" i="5" s="1"/>
  <c r="J52" i="5"/>
  <c r="H52" i="5"/>
  <c r="I52" i="5" s="1"/>
  <c r="F52" i="5"/>
  <c r="G52" i="5" s="1"/>
  <c r="D52" i="5"/>
  <c r="E52" i="5" s="1"/>
  <c r="B52" i="5"/>
  <c r="C52" i="5" s="1"/>
  <c r="AG51" i="5"/>
  <c r="AB51" i="5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G50" i="5"/>
  <c r="AB50" i="5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G49" i="5"/>
  <c r="AB49" i="5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G48" i="5"/>
  <c r="AB48" i="5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G47" i="5"/>
  <c r="AB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G46" i="5"/>
  <c r="AB46" i="5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Z44" i="5"/>
  <c r="AA44" i="5" s="1"/>
  <c r="X44" i="5"/>
  <c r="V44" i="5"/>
  <c r="W44" i="5" s="1"/>
  <c r="T44" i="5"/>
  <c r="U44" i="5" s="1"/>
  <c r="R44" i="5"/>
  <c r="P44" i="5"/>
  <c r="Q44" i="5" s="1"/>
  <c r="N44" i="5"/>
  <c r="O44" i="5" s="1"/>
  <c r="L44" i="5"/>
  <c r="M44" i="5" s="1"/>
  <c r="J44" i="5"/>
  <c r="H44" i="5"/>
  <c r="I44" i="5" s="1"/>
  <c r="F44" i="5"/>
  <c r="G44" i="5" s="1"/>
  <c r="D44" i="5"/>
  <c r="E44" i="5" s="1"/>
  <c r="B44" i="5"/>
  <c r="C44" i="5" s="1"/>
  <c r="AG43" i="5"/>
  <c r="AB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G42" i="5"/>
  <c r="AB42" i="5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G41" i="5"/>
  <c r="AB41" i="5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G40" i="5"/>
  <c r="AB40" i="5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G39" i="5"/>
  <c r="AB39" i="5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G37" i="5"/>
  <c r="AB37" i="5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Z35" i="5"/>
  <c r="AA35" i="5" s="1"/>
  <c r="X35" i="5"/>
  <c r="V35" i="5"/>
  <c r="W35" i="5" s="1"/>
  <c r="T35" i="5"/>
  <c r="U35" i="5" s="1"/>
  <c r="R35" i="5"/>
  <c r="P35" i="5"/>
  <c r="Q35" i="5" s="1"/>
  <c r="N35" i="5"/>
  <c r="O35" i="5" s="1"/>
  <c r="L35" i="5"/>
  <c r="M35" i="5" s="1"/>
  <c r="J35" i="5"/>
  <c r="H35" i="5"/>
  <c r="I35" i="5" s="1"/>
  <c r="F35" i="5"/>
  <c r="G35" i="5" s="1"/>
  <c r="D35" i="5"/>
  <c r="E35" i="5" s="1"/>
  <c r="B35" i="5"/>
  <c r="C35" i="5" s="1"/>
  <c r="Z34" i="5"/>
  <c r="AA34" i="5" s="1"/>
  <c r="X34" i="5"/>
  <c r="V34" i="5"/>
  <c r="W34" i="5" s="1"/>
  <c r="T34" i="5"/>
  <c r="U34" i="5" s="1"/>
  <c r="R34" i="5"/>
  <c r="P34" i="5"/>
  <c r="Q34" i="5" s="1"/>
  <c r="N34" i="5"/>
  <c r="O34" i="5" s="1"/>
  <c r="L34" i="5"/>
  <c r="M34" i="5" s="1"/>
  <c r="J34" i="5"/>
  <c r="H34" i="5"/>
  <c r="I34" i="5" s="1"/>
  <c r="F34" i="5"/>
  <c r="G34" i="5" s="1"/>
  <c r="D34" i="5"/>
  <c r="E34" i="5" s="1"/>
  <c r="B34" i="5"/>
  <c r="C34" i="5" s="1"/>
  <c r="AG33" i="5"/>
  <c r="AB33" i="5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G32" i="5"/>
  <c r="AB32" i="5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G31" i="5"/>
  <c r="AB31" i="5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G30" i="5"/>
  <c r="AB30" i="5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G29" i="5"/>
  <c r="AB29" i="5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Z27" i="5"/>
  <c r="AA27" i="5" s="1"/>
  <c r="X27" i="5"/>
  <c r="V27" i="5"/>
  <c r="W27" i="5" s="1"/>
  <c r="T27" i="5"/>
  <c r="U27" i="5" s="1"/>
  <c r="R27" i="5"/>
  <c r="P27" i="5"/>
  <c r="Q27" i="5" s="1"/>
  <c r="N27" i="5"/>
  <c r="O27" i="5" s="1"/>
  <c r="L27" i="5"/>
  <c r="M27" i="5" s="1"/>
  <c r="J27" i="5"/>
  <c r="H27" i="5"/>
  <c r="I27" i="5" s="1"/>
  <c r="F27" i="5"/>
  <c r="G27" i="5" s="1"/>
  <c r="D27" i="5"/>
  <c r="E27" i="5" s="1"/>
  <c r="B27" i="5"/>
  <c r="C27" i="5" s="1"/>
  <c r="AG26" i="5"/>
  <c r="AB26" i="5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G25" i="5"/>
  <c r="AB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G24" i="5"/>
  <c r="AB24" i="5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G23" i="5"/>
  <c r="AB23" i="5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G22" i="5"/>
  <c r="AB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G21" i="5"/>
  <c r="AB21" i="5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G20" i="5"/>
  <c r="AB20" i="5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G19" i="5"/>
  <c r="AB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G18" i="5"/>
  <c r="AB18" i="5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G17" i="5"/>
  <c r="AB17" i="5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G16" i="5"/>
  <c r="AB16" i="5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G15" i="5"/>
  <c r="AB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G13" i="5"/>
  <c r="AB13" i="5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Z9" i="5"/>
  <c r="X9" i="5"/>
  <c r="V9" i="5"/>
  <c r="T9" i="5"/>
  <c r="R9" i="5"/>
  <c r="P9" i="5"/>
  <c r="N9" i="5"/>
  <c r="L9" i="5"/>
  <c r="J9" i="5"/>
  <c r="H9" i="5"/>
  <c r="F9" i="5"/>
  <c r="D9" i="5"/>
  <c r="B9" i="5"/>
  <c r="AG8" i="5"/>
  <c r="AB8" i="5"/>
  <c r="AA8" i="5"/>
  <c r="Y8" i="5"/>
  <c r="W8" i="5"/>
  <c r="U8" i="5"/>
  <c r="S8" i="5"/>
  <c r="Q8" i="5"/>
  <c r="O8" i="5"/>
  <c r="M8" i="5"/>
  <c r="K8" i="5"/>
  <c r="I8" i="5"/>
  <c r="G8" i="5"/>
  <c r="E8" i="5"/>
  <c r="C8" i="5"/>
  <c r="AG7" i="5"/>
  <c r="AB7" i="5"/>
  <c r="AA7" i="5"/>
  <c r="Y7" i="5"/>
  <c r="W7" i="5"/>
  <c r="U7" i="5"/>
  <c r="S7" i="5"/>
  <c r="Q7" i="5"/>
  <c r="O7" i="5"/>
  <c r="M7" i="5"/>
  <c r="K7" i="5"/>
  <c r="I7" i="5"/>
  <c r="G7" i="5"/>
  <c r="E7" i="5"/>
  <c r="C7" i="5"/>
  <c r="AG148" i="3"/>
  <c r="AB148" i="3"/>
  <c r="Z145" i="3"/>
  <c r="AA145" i="3" s="1"/>
  <c r="X145" i="3"/>
  <c r="V145" i="3"/>
  <c r="W145" i="3" s="1"/>
  <c r="T145" i="3"/>
  <c r="U145" i="3" s="1"/>
  <c r="R145" i="3"/>
  <c r="P145" i="3"/>
  <c r="Q145" i="3" s="1"/>
  <c r="N145" i="3"/>
  <c r="O145" i="3" s="1"/>
  <c r="L145" i="3"/>
  <c r="M145" i="3" s="1"/>
  <c r="J145" i="3"/>
  <c r="H145" i="3"/>
  <c r="I145" i="3" s="1"/>
  <c r="F145" i="3"/>
  <c r="G145" i="3" s="1"/>
  <c r="D145" i="3"/>
  <c r="E145" i="3" s="1"/>
  <c r="B145" i="3"/>
  <c r="C145" i="3" s="1"/>
  <c r="AG144" i="3"/>
  <c r="AB144" i="3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Z141" i="3"/>
  <c r="AA141" i="3" s="1"/>
  <c r="X141" i="3"/>
  <c r="V141" i="3"/>
  <c r="W141" i="3" s="1"/>
  <c r="T141" i="3"/>
  <c r="U141" i="3" s="1"/>
  <c r="R141" i="3"/>
  <c r="P141" i="3"/>
  <c r="Q141" i="3" s="1"/>
  <c r="N141" i="3"/>
  <c r="O141" i="3" s="1"/>
  <c r="L141" i="3"/>
  <c r="M141" i="3" s="1"/>
  <c r="J141" i="3"/>
  <c r="H141" i="3"/>
  <c r="I141" i="3" s="1"/>
  <c r="F141" i="3"/>
  <c r="G141" i="3" s="1"/>
  <c r="D141" i="3"/>
  <c r="E141" i="3" s="1"/>
  <c r="B141" i="3"/>
  <c r="C141" i="3" s="1"/>
  <c r="AG140" i="3"/>
  <c r="AB140" i="3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Z135" i="3"/>
  <c r="AA135" i="3" s="1"/>
  <c r="X135" i="3"/>
  <c r="V135" i="3"/>
  <c r="W135" i="3" s="1"/>
  <c r="T135" i="3"/>
  <c r="U135" i="3" s="1"/>
  <c r="R135" i="3"/>
  <c r="P135" i="3"/>
  <c r="Q135" i="3" s="1"/>
  <c r="N135" i="3"/>
  <c r="O135" i="3" s="1"/>
  <c r="L135" i="3"/>
  <c r="M135" i="3" s="1"/>
  <c r="J135" i="3"/>
  <c r="H135" i="3"/>
  <c r="I135" i="3" s="1"/>
  <c r="F135" i="3"/>
  <c r="G135" i="3" s="1"/>
  <c r="D135" i="3"/>
  <c r="E135" i="3" s="1"/>
  <c r="B135" i="3"/>
  <c r="C135" i="3" s="1"/>
  <c r="AG134" i="3"/>
  <c r="AB134" i="3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G133" i="3"/>
  <c r="AB133" i="3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G132" i="3"/>
  <c r="AB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G131" i="3"/>
  <c r="AB131" i="3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G130" i="3"/>
  <c r="AB130" i="3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G129" i="3"/>
  <c r="AB129" i="3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G128" i="3"/>
  <c r="AB128" i="3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G127" i="3"/>
  <c r="AB127" i="3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G126" i="3"/>
  <c r="AB126" i="3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G125" i="3"/>
  <c r="AB125" i="3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G124" i="3"/>
  <c r="AB124" i="3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G123" i="3"/>
  <c r="AB123" i="3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G122" i="3"/>
  <c r="AB122" i="3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G121" i="3"/>
  <c r="AB121" i="3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G120" i="3"/>
  <c r="AB120" i="3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G119" i="3"/>
  <c r="AB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G118" i="3"/>
  <c r="AB118" i="3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G117" i="3"/>
  <c r="AB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G116" i="3"/>
  <c r="AB116" i="3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G115" i="3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G114" i="3"/>
  <c r="AB114" i="3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G113" i="3"/>
  <c r="AB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G112" i="3"/>
  <c r="AB112" i="3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G111" i="3"/>
  <c r="AB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G110" i="3"/>
  <c r="AB110" i="3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Z105" i="3"/>
  <c r="AA105" i="3" s="1"/>
  <c r="X105" i="3"/>
  <c r="V105" i="3"/>
  <c r="W105" i="3" s="1"/>
  <c r="T105" i="3"/>
  <c r="U105" i="3" s="1"/>
  <c r="R105" i="3"/>
  <c r="P105" i="3"/>
  <c r="Q105" i="3" s="1"/>
  <c r="N105" i="3"/>
  <c r="O105" i="3" s="1"/>
  <c r="L105" i="3"/>
  <c r="M105" i="3" s="1"/>
  <c r="J105" i="3"/>
  <c r="H105" i="3"/>
  <c r="I105" i="3" s="1"/>
  <c r="F105" i="3"/>
  <c r="G105" i="3" s="1"/>
  <c r="D105" i="3"/>
  <c r="E105" i="3" s="1"/>
  <c r="B105" i="3"/>
  <c r="C105" i="3" s="1"/>
  <c r="AG104" i="3"/>
  <c r="AB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Z99" i="3"/>
  <c r="AA99" i="3" s="1"/>
  <c r="X99" i="3"/>
  <c r="V99" i="3"/>
  <c r="W99" i="3" s="1"/>
  <c r="T99" i="3"/>
  <c r="U99" i="3" s="1"/>
  <c r="R99" i="3"/>
  <c r="P99" i="3"/>
  <c r="Q99" i="3" s="1"/>
  <c r="N99" i="3"/>
  <c r="O99" i="3" s="1"/>
  <c r="L99" i="3"/>
  <c r="M99" i="3" s="1"/>
  <c r="J99" i="3"/>
  <c r="H99" i="3"/>
  <c r="I99" i="3" s="1"/>
  <c r="F99" i="3"/>
  <c r="G99" i="3" s="1"/>
  <c r="D99" i="3"/>
  <c r="E99" i="3" s="1"/>
  <c r="B99" i="3"/>
  <c r="C99" i="3" s="1"/>
  <c r="AG98" i="3"/>
  <c r="AB98" i="3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G97" i="3"/>
  <c r="AB97" i="3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G96" i="3"/>
  <c r="AB96" i="3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G95" i="3"/>
  <c r="AB95" i="3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G94" i="3"/>
  <c r="AB94" i="3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G93" i="3"/>
  <c r="AB93" i="3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G92" i="3"/>
  <c r="AB92" i="3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G91" i="3"/>
  <c r="AB91" i="3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G90" i="3"/>
  <c r="AB90" i="3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Z85" i="3"/>
  <c r="AA85" i="3" s="1"/>
  <c r="X85" i="3"/>
  <c r="V85" i="3"/>
  <c r="W85" i="3" s="1"/>
  <c r="T85" i="3"/>
  <c r="U85" i="3" s="1"/>
  <c r="R85" i="3"/>
  <c r="P85" i="3"/>
  <c r="Q85" i="3" s="1"/>
  <c r="N85" i="3"/>
  <c r="O85" i="3" s="1"/>
  <c r="L85" i="3"/>
  <c r="M85" i="3" s="1"/>
  <c r="J85" i="3"/>
  <c r="H85" i="3"/>
  <c r="I85" i="3" s="1"/>
  <c r="F85" i="3"/>
  <c r="G85" i="3" s="1"/>
  <c r="D85" i="3"/>
  <c r="E85" i="3" s="1"/>
  <c r="B85" i="3"/>
  <c r="C85" i="3" s="1"/>
  <c r="Z84" i="3"/>
  <c r="AA84" i="3" s="1"/>
  <c r="X84" i="3"/>
  <c r="V84" i="3"/>
  <c r="W84" i="3" s="1"/>
  <c r="T84" i="3"/>
  <c r="U84" i="3" s="1"/>
  <c r="R84" i="3"/>
  <c r="P84" i="3"/>
  <c r="Q84" i="3" s="1"/>
  <c r="N84" i="3"/>
  <c r="O84" i="3" s="1"/>
  <c r="L84" i="3"/>
  <c r="M84" i="3" s="1"/>
  <c r="J84" i="3"/>
  <c r="H84" i="3"/>
  <c r="I84" i="3" s="1"/>
  <c r="F84" i="3"/>
  <c r="G84" i="3" s="1"/>
  <c r="D84" i="3"/>
  <c r="E84" i="3" s="1"/>
  <c r="B84" i="3"/>
  <c r="C84" i="3" s="1"/>
  <c r="AG83" i="3"/>
  <c r="AB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G82" i="3"/>
  <c r="AB82" i="3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Z81" i="3"/>
  <c r="AA81" i="3" s="1"/>
  <c r="X81" i="3"/>
  <c r="V81" i="3"/>
  <c r="W81" i="3" s="1"/>
  <c r="T81" i="3"/>
  <c r="U81" i="3" s="1"/>
  <c r="R81" i="3"/>
  <c r="P81" i="3"/>
  <c r="Q81" i="3" s="1"/>
  <c r="N81" i="3"/>
  <c r="O81" i="3" s="1"/>
  <c r="L81" i="3"/>
  <c r="M81" i="3" s="1"/>
  <c r="J81" i="3"/>
  <c r="H81" i="3"/>
  <c r="I81" i="3" s="1"/>
  <c r="F81" i="3"/>
  <c r="G81" i="3" s="1"/>
  <c r="D81" i="3"/>
  <c r="E81" i="3" s="1"/>
  <c r="B81" i="3"/>
  <c r="C81" i="3" s="1"/>
  <c r="AG80" i="3"/>
  <c r="AB80" i="3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G79" i="3"/>
  <c r="AB79" i="3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G78" i="3"/>
  <c r="AB78" i="3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G77" i="3"/>
  <c r="AB77" i="3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G76" i="3"/>
  <c r="AB76" i="3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G75" i="3"/>
  <c r="AB75" i="3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G74" i="3"/>
  <c r="AB74" i="3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G72" i="3"/>
  <c r="AB72" i="3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G71" i="3"/>
  <c r="AB71" i="3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Z70" i="3"/>
  <c r="AA70" i="3" s="1"/>
  <c r="X70" i="3"/>
  <c r="V70" i="3"/>
  <c r="W70" i="3" s="1"/>
  <c r="T70" i="3"/>
  <c r="U70" i="3" s="1"/>
  <c r="R70" i="3"/>
  <c r="P70" i="3"/>
  <c r="Q70" i="3" s="1"/>
  <c r="N70" i="3"/>
  <c r="O70" i="3" s="1"/>
  <c r="L70" i="3"/>
  <c r="M70" i="3" s="1"/>
  <c r="J70" i="3"/>
  <c r="H70" i="3"/>
  <c r="I70" i="3" s="1"/>
  <c r="F70" i="3"/>
  <c r="G70" i="3" s="1"/>
  <c r="D70" i="3"/>
  <c r="E70" i="3" s="1"/>
  <c r="B70" i="3"/>
  <c r="C70" i="3" s="1"/>
  <c r="AG69" i="3"/>
  <c r="AB69" i="3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G68" i="3"/>
  <c r="AB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G67" i="3"/>
  <c r="AB67" i="3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G66" i="3"/>
  <c r="AB66" i="3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G65" i="3"/>
  <c r="AB65" i="3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G63" i="3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Z57" i="3"/>
  <c r="AA57" i="3" s="1"/>
  <c r="X57" i="3"/>
  <c r="V57" i="3"/>
  <c r="W57" i="3" s="1"/>
  <c r="T57" i="3"/>
  <c r="U57" i="3" s="1"/>
  <c r="R57" i="3"/>
  <c r="P57" i="3"/>
  <c r="Q57" i="3" s="1"/>
  <c r="N57" i="3"/>
  <c r="O57" i="3" s="1"/>
  <c r="L57" i="3"/>
  <c r="M57" i="3" s="1"/>
  <c r="J57" i="3"/>
  <c r="H57" i="3"/>
  <c r="I57" i="3" s="1"/>
  <c r="F57" i="3"/>
  <c r="G57" i="3" s="1"/>
  <c r="D57" i="3"/>
  <c r="E57" i="3" s="1"/>
  <c r="B57" i="3"/>
  <c r="C57" i="3" s="1"/>
  <c r="Z56" i="3"/>
  <c r="AA56" i="3" s="1"/>
  <c r="X56" i="3"/>
  <c r="V56" i="3"/>
  <c r="W56" i="3" s="1"/>
  <c r="T56" i="3"/>
  <c r="U56" i="3" s="1"/>
  <c r="R56" i="3"/>
  <c r="P56" i="3"/>
  <c r="Q56" i="3" s="1"/>
  <c r="N56" i="3"/>
  <c r="O56" i="3" s="1"/>
  <c r="L56" i="3"/>
  <c r="M56" i="3" s="1"/>
  <c r="J56" i="3"/>
  <c r="H56" i="3"/>
  <c r="I56" i="3" s="1"/>
  <c r="F56" i="3"/>
  <c r="G56" i="3" s="1"/>
  <c r="D56" i="3"/>
  <c r="E56" i="3" s="1"/>
  <c r="B56" i="3"/>
  <c r="C56" i="3" s="1"/>
  <c r="AG55" i="3"/>
  <c r="AB55" i="3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G54" i="3"/>
  <c r="AB54" i="3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G53" i="3"/>
  <c r="AB53" i="3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Z52" i="3"/>
  <c r="AA52" i="3" s="1"/>
  <c r="X52" i="3"/>
  <c r="V52" i="3"/>
  <c r="W52" i="3" s="1"/>
  <c r="T52" i="3"/>
  <c r="U52" i="3" s="1"/>
  <c r="R52" i="3"/>
  <c r="P52" i="3"/>
  <c r="Q52" i="3" s="1"/>
  <c r="N52" i="3"/>
  <c r="O52" i="3" s="1"/>
  <c r="L52" i="3"/>
  <c r="M52" i="3" s="1"/>
  <c r="J52" i="3"/>
  <c r="H52" i="3"/>
  <c r="I52" i="3" s="1"/>
  <c r="F52" i="3"/>
  <c r="G52" i="3" s="1"/>
  <c r="D52" i="3"/>
  <c r="E52" i="3" s="1"/>
  <c r="B52" i="3"/>
  <c r="C52" i="3" s="1"/>
  <c r="AG51" i="3"/>
  <c r="AB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G50" i="3"/>
  <c r="AB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G49" i="3"/>
  <c r="AB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G48" i="3"/>
  <c r="AB48" i="3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G47" i="3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G46" i="3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Z44" i="3"/>
  <c r="AA44" i="3" s="1"/>
  <c r="X44" i="3"/>
  <c r="V44" i="3"/>
  <c r="W44" i="3" s="1"/>
  <c r="T44" i="3"/>
  <c r="U44" i="3" s="1"/>
  <c r="R44" i="3"/>
  <c r="P44" i="3"/>
  <c r="Q44" i="3" s="1"/>
  <c r="N44" i="3"/>
  <c r="O44" i="3" s="1"/>
  <c r="L44" i="3"/>
  <c r="M44" i="3" s="1"/>
  <c r="J44" i="3"/>
  <c r="H44" i="3"/>
  <c r="I44" i="3" s="1"/>
  <c r="F44" i="3"/>
  <c r="G44" i="3" s="1"/>
  <c r="D44" i="3"/>
  <c r="E44" i="3" s="1"/>
  <c r="B44" i="3"/>
  <c r="C44" i="3" s="1"/>
  <c r="AG43" i="3"/>
  <c r="AB43" i="3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G42" i="3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G41" i="3"/>
  <c r="AB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G40" i="3"/>
  <c r="AB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G39" i="3"/>
  <c r="AB39" i="3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G37" i="3"/>
  <c r="AB37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Z35" i="3"/>
  <c r="AA35" i="3" s="1"/>
  <c r="X35" i="3"/>
  <c r="V35" i="3"/>
  <c r="W35" i="3" s="1"/>
  <c r="T35" i="3"/>
  <c r="U35" i="3" s="1"/>
  <c r="R35" i="3"/>
  <c r="P35" i="3"/>
  <c r="Q35" i="3" s="1"/>
  <c r="N35" i="3"/>
  <c r="O35" i="3" s="1"/>
  <c r="L35" i="3"/>
  <c r="M35" i="3" s="1"/>
  <c r="J35" i="3"/>
  <c r="H35" i="3"/>
  <c r="I35" i="3" s="1"/>
  <c r="F35" i="3"/>
  <c r="G35" i="3" s="1"/>
  <c r="D35" i="3"/>
  <c r="E35" i="3" s="1"/>
  <c r="B35" i="3"/>
  <c r="C35" i="3" s="1"/>
  <c r="Z34" i="3"/>
  <c r="AA34" i="3" s="1"/>
  <c r="X34" i="3"/>
  <c r="V34" i="3"/>
  <c r="W34" i="3" s="1"/>
  <c r="T34" i="3"/>
  <c r="U34" i="3" s="1"/>
  <c r="R34" i="3"/>
  <c r="P34" i="3"/>
  <c r="Q34" i="3" s="1"/>
  <c r="N34" i="3"/>
  <c r="O34" i="3" s="1"/>
  <c r="L34" i="3"/>
  <c r="M34" i="3" s="1"/>
  <c r="J34" i="3"/>
  <c r="H34" i="3"/>
  <c r="I34" i="3" s="1"/>
  <c r="F34" i="3"/>
  <c r="G34" i="3" s="1"/>
  <c r="D34" i="3"/>
  <c r="E34" i="3" s="1"/>
  <c r="B34" i="3"/>
  <c r="C34" i="3" s="1"/>
  <c r="AG33" i="3"/>
  <c r="AB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G32" i="3"/>
  <c r="AB32" i="3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G31" i="3"/>
  <c r="AB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G30" i="3"/>
  <c r="AB30" i="3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G29" i="3"/>
  <c r="AB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Z27" i="3"/>
  <c r="AA27" i="3" s="1"/>
  <c r="X27" i="3"/>
  <c r="V27" i="3"/>
  <c r="W27" i="3" s="1"/>
  <c r="T27" i="3"/>
  <c r="U27" i="3" s="1"/>
  <c r="R27" i="3"/>
  <c r="P27" i="3"/>
  <c r="Q27" i="3" s="1"/>
  <c r="N27" i="3"/>
  <c r="O27" i="3" s="1"/>
  <c r="L27" i="3"/>
  <c r="M27" i="3" s="1"/>
  <c r="J27" i="3"/>
  <c r="H27" i="3"/>
  <c r="I27" i="3" s="1"/>
  <c r="F27" i="3"/>
  <c r="G27" i="3" s="1"/>
  <c r="D27" i="3"/>
  <c r="E27" i="3" s="1"/>
  <c r="B27" i="3"/>
  <c r="C27" i="3" s="1"/>
  <c r="AG26" i="3"/>
  <c r="AB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G25" i="3"/>
  <c r="AB25" i="3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G24" i="3"/>
  <c r="AB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G23" i="3"/>
  <c r="AB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G22" i="3"/>
  <c r="AB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G21" i="3"/>
  <c r="AB21" i="3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G20" i="3"/>
  <c r="AB20" i="3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G19" i="3"/>
  <c r="AB19" i="3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G18" i="3"/>
  <c r="AB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G17" i="3"/>
  <c r="AB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G16" i="3"/>
  <c r="AB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G15" i="3"/>
  <c r="AB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G13" i="3"/>
  <c r="AB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Z9" i="3"/>
  <c r="X9" i="3"/>
  <c r="V9" i="3"/>
  <c r="T9" i="3"/>
  <c r="R9" i="3"/>
  <c r="P9" i="3"/>
  <c r="N9" i="3"/>
  <c r="L9" i="3"/>
  <c r="J9" i="3"/>
  <c r="H9" i="3"/>
  <c r="F9" i="3"/>
  <c r="D9" i="3"/>
  <c r="B9" i="3"/>
  <c r="AG8" i="3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G7" i="3"/>
  <c r="AB7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G148" i="2"/>
  <c r="AB148" i="2"/>
  <c r="Z145" i="2"/>
  <c r="AA145" i="2" s="1"/>
  <c r="X145" i="2"/>
  <c r="V145" i="2"/>
  <c r="W145" i="2" s="1"/>
  <c r="T145" i="2"/>
  <c r="U145" i="2" s="1"/>
  <c r="R145" i="2"/>
  <c r="P145" i="2"/>
  <c r="Q145" i="2" s="1"/>
  <c r="N145" i="2"/>
  <c r="O145" i="2" s="1"/>
  <c r="L145" i="2"/>
  <c r="M145" i="2" s="1"/>
  <c r="J145" i="2"/>
  <c r="H145" i="2"/>
  <c r="I145" i="2" s="1"/>
  <c r="F145" i="2"/>
  <c r="G145" i="2" s="1"/>
  <c r="D145" i="2"/>
  <c r="E145" i="2" s="1"/>
  <c r="B145" i="2"/>
  <c r="C145" i="2" s="1"/>
  <c r="AG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Z141" i="2"/>
  <c r="AA141" i="2" s="1"/>
  <c r="X141" i="2"/>
  <c r="V141" i="2"/>
  <c r="W141" i="2" s="1"/>
  <c r="T141" i="2"/>
  <c r="U141" i="2" s="1"/>
  <c r="R141" i="2"/>
  <c r="P141" i="2"/>
  <c r="Q141" i="2" s="1"/>
  <c r="N141" i="2"/>
  <c r="O141" i="2" s="1"/>
  <c r="L141" i="2"/>
  <c r="M141" i="2" s="1"/>
  <c r="J141" i="2"/>
  <c r="H141" i="2"/>
  <c r="I141" i="2" s="1"/>
  <c r="F141" i="2"/>
  <c r="G141" i="2" s="1"/>
  <c r="D141" i="2"/>
  <c r="E141" i="2" s="1"/>
  <c r="B141" i="2"/>
  <c r="C141" i="2" s="1"/>
  <c r="AG140" i="2"/>
  <c r="AB140" i="2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Z135" i="2"/>
  <c r="AA135" i="2" s="1"/>
  <c r="X135" i="2"/>
  <c r="V135" i="2"/>
  <c r="W135" i="2" s="1"/>
  <c r="T135" i="2"/>
  <c r="U135" i="2" s="1"/>
  <c r="R135" i="2"/>
  <c r="P135" i="2"/>
  <c r="Q135" i="2" s="1"/>
  <c r="N135" i="2"/>
  <c r="O135" i="2" s="1"/>
  <c r="L135" i="2"/>
  <c r="M135" i="2" s="1"/>
  <c r="J135" i="2"/>
  <c r="H135" i="2"/>
  <c r="I135" i="2" s="1"/>
  <c r="F135" i="2"/>
  <c r="G135" i="2" s="1"/>
  <c r="D135" i="2"/>
  <c r="E135" i="2" s="1"/>
  <c r="B135" i="2"/>
  <c r="C135" i="2" s="1"/>
  <c r="AG134" i="2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G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G132" i="2"/>
  <c r="AB132" i="2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G131" i="2"/>
  <c r="AB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G130" i="2"/>
  <c r="AB130" i="2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G129" i="2"/>
  <c r="AB129" i="2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G128" i="2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G127" i="2"/>
  <c r="AB127" i="2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G126" i="2"/>
  <c r="AB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G125" i="2"/>
  <c r="AB125" i="2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G124" i="2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G123" i="2"/>
  <c r="AB123" i="2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G122" i="2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G121" i="2"/>
  <c r="AB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G120" i="2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G119" i="2"/>
  <c r="AB119" i="2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G118" i="2"/>
  <c r="AB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G117" i="2"/>
  <c r="AB117" i="2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G116" i="2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G115" i="2"/>
  <c r="AB115" i="2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G114" i="2"/>
  <c r="AB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G113" i="2"/>
  <c r="AB113" i="2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G112" i="2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G111" i="2"/>
  <c r="AB111" i="2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G110" i="2"/>
  <c r="AB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Z105" i="2"/>
  <c r="AA105" i="2" s="1"/>
  <c r="X105" i="2"/>
  <c r="V105" i="2"/>
  <c r="W105" i="2" s="1"/>
  <c r="T105" i="2"/>
  <c r="U105" i="2" s="1"/>
  <c r="R105" i="2"/>
  <c r="P105" i="2"/>
  <c r="Q105" i="2" s="1"/>
  <c r="N105" i="2"/>
  <c r="O105" i="2" s="1"/>
  <c r="L105" i="2"/>
  <c r="M105" i="2" s="1"/>
  <c r="J105" i="2"/>
  <c r="H105" i="2"/>
  <c r="I105" i="2" s="1"/>
  <c r="F105" i="2"/>
  <c r="G105" i="2" s="1"/>
  <c r="D105" i="2"/>
  <c r="E105" i="2" s="1"/>
  <c r="B105" i="2"/>
  <c r="C105" i="2" s="1"/>
  <c r="AG104" i="2"/>
  <c r="AB104" i="2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Z99" i="2"/>
  <c r="AA99" i="2" s="1"/>
  <c r="X99" i="2"/>
  <c r="V99" i="2"/>
  <c r="W99" i="2" s="1"/>
  <c r="T99" i="2"/>
  <c r="U99" i="2" s="1"/>
  <c r="R99" i="2"/>
  <c r="P99" i="2"/>
  <c r="Q99" i="2" s="1"/>
  <c r="N99" i="2"/>
  <c r="O99" i="2" s="1"/>
  <c r="L99" i="2"/>
  <c r="M99" i="2" s="1"/>
  <c r="J99" i="2"/>
  <c r="H99" i="2"/>
  <c r="I99" i="2" s="1"/>
  <c r="F99" i="2"/>
  <c r="G99" i="2" s="1"/>
  <c r="D99" i="2"/>
  <c r="E99" i="2" s="1"/>
  <c r="B99" i="2"/>
  <c r="C99" i="2" s="1"/>
  <c r="AG98" i="2"/>
  <c r="AB98" i="2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G97" i="2"/>
  <c r="AB97" i="2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G96" i="2"/>
  <c r="AB96" i="2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G95" i="2"/>
  <c r="AB95" i="2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G94" i="2"/>
  <c r="AB94" i="2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G93" i="2"/>
  <c r="AB93" i="2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G92" i="2"/>
  <c r="AB92" i="2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G91" i="2"/>
  <c r="AB91" i="2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G90" i="2"/>
  <c r="AB90" i="2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Z85" i="2"/>
  <c r="AA85" i="2" s="1"/>
  <c r="X85" i="2"/>
  <c r="V85" i="2"/>
  <c r="W85" i="2" s="1"/>
  <c r="T85" i="2"/>
  <c r="U85" i="2" s="1"/>
  <c r="R85" i="2"/>
  <c r="P85" i="2"/>
  <c r="Q85" i="2" s="1"/>
  <c r="N85" i="2"/>
  <c r="O85" i="2" s="1"/>
  <c r="L85" i="2"/>
  <c r="M85" i="2" s="1"/>
  <c r="J85" i="2"/>
  <c r="H85" i="2"/>
  <c r="I85" i="2" s="1"/>
  <c r="F85" i="2"/>
  <c r="G85" i="2" s="1"/>
  <c r="D85" i="2"/>
  <c r="E85" i="2" s="1"/>
  <c r="B85" i="2"/>
  <c r="C85" i="2" s="1"/>
  <c r="Z84" i="2"/>
  <c r="AA84" i="2" s="1"/>
  <c r="X84" i="2"/>
  <c r="V84" i="2"/>
  <c r="W84" i="2" s="1"/>
  <c r="T84" i="2"/>
  <c r="U84" i="2" s="1"/>
  <c r="R84" i="2"/>
  <c r="P84" i="2"/>
  <c r="Q84" i="2" s="1"/>
  <c r="N84" i="2"/>
  <c r="O84" i="2" s="1"/>
  <c r="L84" i="2"/>
  <c r="M84" i="2" s="1"/>
  <c r="J84" i="2"/>
  <c r="H84" i="2"/>
  <c r="I84" i="2" s="1"/>
  <c r="F84" i="2"/>
  <c r="G84" i="2" s="1"/>
  <c r="D84" i="2"/>
  <c r="E84" i="2" s="1"/>
  <c r="B84" i="2"/>
  <c r="C84" i="2" s="1"/>
  <c r="AG83" i="2"/>
  <c r="AB83" i="2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G82" i="2"/>
  <c r="AB82" i="2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Z81" i="2"/>
  <c r="AA81" i="2" s="1"/>
  <c r="X81" i="2"/>
  <c r="V81" i="2"/>
  <c r="W81" i="2" s="1"/>
  <c r="T81" i="2"/>
  <c r="U81" i="2" s="1"/>
  <c r="R81" i="2"/>
  <c r="P81" i="2"/>
  <c r="Q81" i="2" s="1"/>
  <c r="N81" i="2"/>
  <c r="O81" i="2" s="1"/>
  <c r="L81" i="2"/>
  <c r="M81" i="2" s="1"/>
  <c r="J81" i="2"/>
  <c r="H81" i="2"/>
  <c r="I81" i="2" s="1"/>
  <c r="F81" i="2"/>
  <c r="G81" i="2" s="1"/>
  <c r="D81" i="2"/>
  <c r="E81" i="2" s="1"/>
  <c r="B81" i="2"/>
  <c r="C81" i="2" s="1"/>
  <c r="AG80" i="2"/>
  <c r="AB80" i="2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G79" i="2"/>
  <c r="AB79" i="2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G78" i="2"/>
  <c r="AB78" i="2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G77" i="2"/>
  <c r="AB77" i="2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G76" i="2"/>
  <c r="AB76" i="2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G75" i="2"/>
  <c r="AB75" i="2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G74" i="2"/>
  <c r="AB74" i="2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G72" i="2"/>
  <c r="AB72" i="2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G71" i="2"/>
  <c r="AB71" i="2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Z70" i="2"/>
  <c r="AA70" i="2" s="1"/>
  <c r="X70" i="2"/>
  <c r="V70" i="2"/>
  <c r="W70" i="2" s="1"/>
  <c r="T70" i="2"/>
  <c r="U70" i="2" s="1"/>
  <c r="R70" i="2"/>
  <c r="P70" i="2"/>
  <c r="Q70" i="2" s="1"/>
  <c r="N70" i="2"/>
  <c r="O70" i="2" s="1"/>
  <c r="L70" i="2"/>
  <c r="M70" i="2" s="1"/>
  <c r="J70" i="2"/>
  <c r="H70" i="2"/>
  <c r="I70" i="2" s="1"/>
  <c r="F70" i="2"/>
  <c r="G70" i="2" s="1"/>
  <c r="D70" i="2"/>
  <c r="E70" i="2" s="1"/>
  <c r="B70" i="2"/>
  <c r="C70" i="2" s="1"/>
  <c r="AG69" i="2"/>
  <c r="AB69" i="2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G68" i="2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G67" i="2"/>
  <c r="AB67" i="2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G66" i="2"/>
  <c r="AB66" i="2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G65" i="2"/>
  <c r="AB65" i="2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G63" i="2"/>
  <c r="AB63" i="2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Z57" i="2"/>
  <c r="AA57" i="2" s="1"/>
  <c r="X57" i="2"/>
  <c r="V57" i="2"/>
  <c r="W57" i="2" s="1"/>
  <c r="T57" i="2"/>
  <c r="U57" i="2" s="1"/>
  <c r="R57" i="2"/>
  <c r="P57" i="2"/>
  <c r="Q57" i="2" s="1"/>
  <c r="N57" i="2"/>
  <c r="O57" i="2" s="1"/>
  <c r="L57" i="2"/>
  <c r="M57" i="2" s="1"/>
  <c r="J57" i="2"/>
  <c r="H57" i="2"/>
  <c r="I57" i="2" s="1"/>
  <c r="F57" i="2"/>
  <c r="G57" i="2" s="1"/>
  <c r="D57" i="2"/>
  <c r="E57" i="2" s="1"/>
  <c r="B57" i="2"/>
  <c r="C57" i="2" s="1"/>
  <c r="Z56" i="2"/>
  <c r="AA56" i="2" s="1"/>
  <c r="X56" i="2"/>
  <c r="V56" i="2"/>
  <c r="W56" i="2" s="1"/>
  <c r="T56" i="2"/>
  <c r="U56" i="2" s="1"/>
  <c r="R56" i="2"/>
  <c r="P56" i="2"/>
  <c r="Q56" i="2" s="1"/>
  <c r="N56" i="2"/>
  <c r="O56" i="2" s="1"/>
  <c r="L56" i="2"/>
  <c r="M56" i="2" s="1"/>
  <c r="J56" i="2"/>
  <c r="H56" i="2"/>
  <c r="I56" i="2" s="1"/>
  <c r="F56" i="2"/>
  <c r="G56" i="2" s="1"/>
  <c r="D56" i="2"/>
  <c r="E56" i="2" s="1"/>
  <c r="B56" i="2"/>
  <c r="C56" i="2" s="1"/>
  <c r="AG55" i="2"/>
  <c r="AB55" i="2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G54" i="2"/>
  <c r="AB54" i="2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G53" i="2"/>
  <c r="AB53" i="2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Z52" i="2"/>
  <c r="AA52" i="2" s="1"/>
  <c r="X52" i="2"/>
  <c r="V52" i="2"/>
  <c r="W52" i="2" s="1"/>
  <c r="T52" i="2"/>
  <c r="U52" i="2" s="1"/>
  <c r="R52" i="2"/>
  <c r="P52" i="2"/>
  <c r="Q52" i="2" s="1"/>
  <c r="N52" i="2"/>
  <c r="O52" i="2" s="1"/>
  <c r="L52" i="2"/>
  <c r="M52" i="2" s="1"/>
  <c r="J52" i="2"/>
  <c r="H52" i="2"/>
  <c r="I52" i="2" s="1"/>
  <c r="F52" i="2"/>
  <c r="G52" i="2" s="1"/>
  <c r="D52" i="2"/>
  <c r="E52" i="2" s="1"/>
  <c r="B52" i="2"/>
  <c r="C52" i="2" s="1"/>
  <c r="AG51" i="2"/>
  <c r="AB51" i="2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G50" i="2"/>
  <c r="AB50" i="2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G49" i="2"/>
  <c r="AB49" i="2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G48" i="2"/>
  <c r="AB48" i="2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G47" i="2"/>
  <c r="AB47" i="2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G46" i="2"/>
  <c r="AB46" i="2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Z44" i="2"/>
  <c r="AA44" i="2" s="1"/>
  <c r="X44" i="2"/>
  <c r="V44" i="2"/>
  <c r="W44" i="2" s="1"/>
  <c r="T44" i="2"/>
  <c r="U44" i="2" s="1"/>
  <c r="R44" i="2"/>
  <c r="P44" i="2"/>
  <c r="Q44" i="2" s="1"/>
  <c r="N44" i="2"/>
  <c r="O44" i="2" s="1"/>
  <c r="L44" i="2"/>
  <c r="M44" i="2" s="1"/>
  <c r="J44" i="2"/>
  <c r="H44" i="2"/>
  <c r="I44" i="2" s="1"/>
  <c r="F44" i="2"/>
  <c r="G44" i="2" s="1"/>
  <c r="D44" i="2"/>
  <c r="E44" i="2" s="1"/>
  <c r="B44" i="2"/>
  <c r="C44" i="2" s="1"/>
  <c r="AG43" i="2"/>
  <c r="AB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G42" i="2"/>
  <c r="AB42" i="2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G41" i="2"/>
  <c r="AB41" i="2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G40" i="2"/>
  <c r="AB40" i="2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G39" i="2"/>
  <c r="AB39" i="2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G37" i="2"/>
  <c r="AB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Z35" i="2"/>
  <c r="AA35" i="2" s="1"/>
  <c r="X35" i="2"/>
  <c r="V35" i="2"/>
  <c r="W35" i="2" s="1"/>
  <c r="T35" i="2"/>
  <c r="U35" i="2" s="1"/>
  <c r="R35" i="2"/>
  <c r="P35" i="2"/>
  <c r="Q35" i="2" s="1"/>
  <c r="N35" i="2"/>
  <c r="O35" i="2" s="1"/>
  <c r="L35" i="2"/>
  <c r="M35" i="2" s="1"/>
  <c r="J35" i="2"/>
  <c r="H35" i="2"/>
  <c r="I35" i="2" s="1"/>
  <c r="F35" i="2"/>
  <c r="G35" i="2" s="1"/>
  <c r="D35" i="2"/>
  <c r="E35" i="2" s="1"/>
  <c r="B35" i="2"/>
  <c r="C35" i="2" s="1"/>
  <c r="Z34" i="2"/>
  <c r="AA34" i="2" s="1"/>
  <c r="X34" i="2"/>
  <c r="V34" i="2"/>
  <c r="W34" i="2" s="1"/>
  <c r="T34" i="2"/>
  <c r="U34" i="2" s="1"/>
  <c r="R34" i="2"/>
  <c r="P34" i="2"/>
  <c r="Q34" i="2" s="1"/>
  <c r="N34" i="2"/>
  <c r="O34" i="2" s="1"/>
  <c r="L34" i="2"/>
  <c r="M34" i="2" s="1"/>
  <c r="J34" i="2"/>
  <c r="H34" i="2"/>
  <c r="I34" i="2" s="1"/>
  <c r="F34" i="2"/>
  <c r="G34" i="2" s="1"/>
  <c r="D34" i="2"/>
  <c r="E34" i="2" s="1"/>
  <c r="B34" i="2"/>
  <c r="C34" i="2" s="1"/>
  <c r="AG33" i="2"/>
  <c r="AB33" i="2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G32" i="2"/>
  <c r="AB32" i="2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G31" i="2"/>
  <c r="AB31" i="2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G30" i="2"/>
  <c r="AB30" i="2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G29" i="2"/>
  <c r="AB29" i="2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Z27" i="2"/>
  <c r="AA27" i="2" s="1"/>
  <c r="X27" i="2"/>
  <c r="V27" i="2"/>
  <c r="W27" i="2" s="1"/>
  <c r="T27" i="2"/>
  <c r="U27" i="2" s="1"/>
  <c r="R27" i="2"/>
  <c r="P27" i="2"/>
  <c r="Q27" i="2" s="1"/>
  <c r="N27" i="2"/>
  <c r="O27" i="2" s="1"/>
  <c r="L27" i="2"/>
  <c r="M27" i="2" s="1"/>
  <c r="J27" i="2"/>
  <c r="H27" i="2"/>
  <c r="I27" i="2" s="1"/>
  <c r="F27" i="2"/>
  <c r="G27" i="2" s="1"/>
  <c r="D27" i="2"/>
  <c r="E27" i="2" s="1"/>
  <c r="B27" i="2"/>
  <c r="C27" i="2" s="1"/>
  <c r="AG26" i="2"/>
  <c r="AB26" i="2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G25" i="2"/>
  <c r="AB25" i="2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G24" i="2"/>
  <c r="AB24" i="2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G23" i="2"/>
  <c r="AB23" i="2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G22" i="2"/>
  <c r="AB22" i="2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G21" i="2"/>
  <c r="AB21" i="2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G20" i="2"/>
  <c r="AB20" i="2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G19" i="2"/>
  <c r="AB19" i="2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B18" i="2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G17" i="2"/>
  <c r="AB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G16" i="2"/>
  <c r="AB16" i="2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G15" i="2"/>
  <c r="AB15" i="2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G13" i="2"/>
  <c r="AB13" i="2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Z9" i="2"/>
  <c r="X9" i="2"/>
  <c r="V9" i="2"/>
  <c r="T9" i="2"/>
  <c r="R9" i="2"/>
  <c r="P9" i="2"/>
  <c r="N9" i="2"/>
  <c r="L9" i="2"/>
  <c r="J9" i="2"/>
  <c r="H9" i="2"/>
  <c r="F9" i="2"/>
  <c r="D9" i="2"/>
  <c r="B9" i="2"/>
  <c r="AG8" i="2"/>
  <c r="AB8" i="2"/>
  <c r="AA8" i="2"/>
  <c r="Y8" i="2"/>
  <c r="W8" i="2"/>
  <c r="U8" i="2"/>
  <c r="S8" i="2"/>
  <c r="Q8" i="2"/>
  <c r="O8" i="2"/>
  <c r="M8" i="2"/>
  <c r="K8" i="2"/>
  <c r="I8" i="2"/>
  <c r="G8" i="2"/>
  <c r="E8" i="2"/>
  <c r="C8" i="2"/>
  <c r="AG7" i="2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G148" i="1"/>
  <c r="AB148" i="1"/>
  <c r="Z145" i="1"/>
  <c r="AA145" i="1" s="1"/>
  <c r="X145" i="1"/>
  <c r="V145" i="1"/>
  <c r="W145" i="1" s="1"/>
  <c r="T145" i="1"/>
  <c r="U145" i="1" s="1"/>
  <c r="R145" i="1"/>
  <c r="P145" i="1"/>
  <c r="Q145" i="1" s="1"/>
  <c r="N145" i="1"/>
  <c r="O145" i="1" s="1"/>
  <c r="L145" i="1"/>
  <c r="M145" i="1" s="1"/>
  <c r="J145" i="1"/>
  <c r="H145" i="1"/>
  <c r="I145" i="1" s="1"/>
  <c r="F145" i="1"/>
  <c r="G145" i="1" s="1"/>
  <c r="D145" i="1"/>
  <c r="E145" i="1" s="1"/>
  <c r="B145" i="1"/>
  <c r="C145" i="1" s="1"/>
  <c r="AG144" i="1"/>
  <c r="AB144" i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Z141" i="1"/>
  <c r="AA141" i="1" s="1"/>
  <c r="X141" i="1"/>
  <c r="V141" i="1"/>
  <c r="W141" i="1" s="1"/>
  <c r="T141" i="1"/>
  <c r="U141" i="1" s="1"/>
  <c r="R141" i="1"/>
  <c r="P141" i="1"/>
  <c r="Q141" i="1" s="1"/>
  <c r="N141" i="1"/>
  <c r="O141" i="1" s="1"/>
  <c r="L141" i="1"/>
  <c r="M141" i="1" s="1"/>
  <c r="J141" i="1"/>
  <c r="H141" i="1"/>
  <c r="I141" i="1" s="1"/>
  <c r="F141" i="1"/>
  <c r="G141" i="1" s="1"/>
  <c r="D141" i="1"/>
  <c r="E141" i="1" s="1"/>
  <c r="B141" i="1"/>
  <c r="C141" i="1" s="1"/>
  <c r="AG140" i="1"/>
  <c r="AB140" i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Z135" i="1"/>
  <c r="AA135" i="1" s="1"/>
  <c r="X135" i="1"/>
  <c r="V135" i="1"/>
  <c r="W135" i="1" s="1"/>
  <c r="T135" i="1"/>
  <c r="U135" i="1" s="1"/>
  <c r="R135" i="1"/>
  <c r="P135" i="1"/>
  <c r="Q135" i="1" s="1"/>
  <c r="N135" i="1"/>
  <c r="O135" i="1" s="1"/>
  <c r="L135" i="1"/>
  <c r="M135" i="1" s="1"/>
  <c r="J135" i="1"/>
  <c r="H135" i="1"/>
  <c r="I135" i="1" s="1"/>
  <c r="F135" i="1"/>
  <c r="G135" i="1" s="1"/>
  <c r="D135" i="1"/>
  <c r="E135" i="1" s="1"/>
  <c r="B135" i="1"/>
  <c r="C135" i="1" s="1"/>
  <c r="AG134" i="1"/>
  <c r="AB134" i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G133" i="1"/>
  <c r="AB133" i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G132" i="1"/>
  <c r="AB132" i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G131" i="1"/>
  <c r="AB131" i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G130" i="1"/>
  <c r="AB130" i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G129" i="1"/>
  <c r="AB129" i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G128" i="1"/>
  <c r="AB128" i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G127" i="1"/>
  <c r="AB127" i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G126" i="1"/>
  <c r="AB126" i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G125" i="1"/>
  <c r="AB125" i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G124" i="1"/>
  <c r="AB124" i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G123" i="1"/>
  <c r="AB123" i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G122" i="1"/>
  <c r="AB122" i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G121" i="1"/>
  <c r="AB121" i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G120" i="1"/>
  <c r="AB120" i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G119" i="1"/>
  <c r="AB119" i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G118" i="1"/>
  <c r="AB118" i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G117" i="1"/>
  <c r="AB117" i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G116" i="1"/>
  <c r="AB116" i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G115" i="1"/>
  <c r="AB115" i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G114" i="1"/>
  <c r="AB114" i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G113" i="1"/>
  <c r="AB113" i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G112" i="1"/>
  <c r="AB112" i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G111" i="1"/>
  <c r="AB111" i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G110" i="1"/>
  <c r="AB110" i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Z105" i="1"/>
  <c r="AA105" i="1" s="1"/>
  <c r="X105" i="1"/>
  <c r="V105" i="1"/>
  <c r="W105" i="1" s="1"/>
  <c r="T105" i="1"/>
  <c r="U105" i="1" s="1"/>
  <c r="R105" i="1"/>
  <c r="P105" i="1"/>
  <c r="Q105" i="1" s="1"/>
  <c r="N105" i="1"/>
  <c r="O105" i="1" s="1"/>
  <c r="L105" i="1"/>
  <c r="M105" i="1" s="1"/>
  <c r="J105" i="1"/>
  <c r="H105" i="1"/>
  <c r="I105" i="1" s="1"/>
  <c r="F105" i="1"/>
  <c r="G105" i="1" s="1"/>
  <c r="D105" i="1"/>
  <c r="E105" i="1" s="1"/>
  <c r="B105" i="1"/>
  <c r="C105" i="1" s="1"/>
  <c r="AG104" i="1"/>
  <c r="AB104" i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Z99" i="1"/>
  <c r="AA99" i="1" s="1"/>
  <c r="X99" i="1"/>
  <c r="V99" i="1"/>
  <c r="W99" i="1" s="1"/>
  <c r="T99" i="1"/>
  <c r="U99" i="1" s="1"/>
  <c r="R99" i="1"/>
  <c r="P99" i="1"/>
  <c r="Q99" i="1" s="1"/>
  <c r="N99" i="1"/>
  <c r="O99" i="1" s="1"/>
  <c r="L99" i="1"/>
  <c r="M99" i="1" s="1"/>
  <c r="J99" i="1"/>
  <c r="H99" i="1"/>
  <c r="I99" i="1" s="1"/>
  <c r="F99" i="1"/>
  <c r="G99" i="1" s="1"/>
  <c r="D99" i="1"/>
  <c r="E99" i="1" s="1"/>
  <c r="B99" i="1"/>
  <c r="C99" i="1" s="1"/>
  <c r="AG98" i="1"/>
  <c r="AB98" i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G97" i="1"/>
  <c r="AB97" i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G96" i="1"/>
  <c r="AB96" i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G95" i="1"/>
  <c r="AB95" i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G94" i="1"/>
  <c r="AB94" i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G93" i="1"/>
  <c r="AB93" i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G92" i="1"/>
  <c r="AB92" i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G91" i="1"/>
  <c r="AB91" i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G90" i="1"/>
  <c r="AB90" i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Z85" i="1"/>
  <c r="AA85" i="1" s="1"/>
  <c r="X85" i="1"/>
  <c r="V85" i="1"/>
  <c r="W85" i="1" s="1"/>
  <c r="T85" i="1"/>
  <c r="U85" i="1" s="1"/>
  <c r="R85" i="1"/>
  <c r="P85" i="1"/>
  <c r="Q85" i="1" s="1"/>
  <c r="N85" i="1"/>
  <c r="O85" i="1" s="1"/>
  <c r="L85" i="1"/>
  <c r="M85" i="1" s="1"/>
  <c r="J85" i="1"/>
  <c r="H85" i="1"/>
  <c r="I85" i="1" s="1"/>
  <c r="F85" i="1"/>
  <c r="G85" i="1" s="1"/>
  <c r="D85" i="1"/>
  <c r="E85" i="1" s="1"/>
  <c r="B85" i="1"/>
  <c r="C85" i="1" s="1"/>
  <c r="Z84" i="1"/>
  <c r="AA84" i="1" s="1"/>
  <c r="X84" i="1"/>
  <c r="V84" i="1"/>
  <c r="W84" i="1" s="1"/>
  <c r="T84" i="1"/>
  <c r="U84" i="1" s="1"/>
  <c r="R84" i="1"/>
  <c r="P84" i="1"/>
  <c r="Q84" i="1" s="1"/>
  <c r="N84" i="1"/>
  <c r="O84" i="1" s="1"/>
  <c r="L84" i="1"/>
  <c r="M84" i="1" s="1"/>
  <c r="J84" i="1"/>
  <c r="H84" i="1"/>
  <c r="I84" i="1" s="1"/>
  <c r="F84" i="1"/>
  <c r="G84" i="1" s="1"/>
  <c r="D84" i="1"/>
  <c r="E84" i="1" s="1"/>
  <c r="B84" i="1"/>
  <c r="C84" i="1" s="1"/>
  <c r="AG83" i="1"/>
  <c r="AB83" i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G82" i="1"/>
  <c r="AB82" i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Z81" i="1"/>
  <c r="AA81" i="1" s="1"/>
  <c r="X81" i="1"/>
  <c r="V81" i="1"/>
  <c r="W81" i="1" s="1"/>
  <c r="T81" i="1"/>
  <c r="U81" i="1" s="1"/>
  <c r="R81" i="1"/>
  <c r="P81" i="1"/>
  <c r="Q81" i="1" s="1"/>
  <c r="N81" i="1"/>
  <c r="O81" i="1" s="1"/>
  <c r="L81" i="1"/>
  <c r="M81" i="1" s="1"/>
  <c r="J81" i="1"/>
  <c r="H81" i="1"/>
  <c r="I81" i="1" s="1"/>
  <c r="F81" i="1"/>
  <c r="G81" i="1" s="1"/>
  <c r="D81" i="1"/>
  <c r="E81" i="1" s="1"/>
  <c r="B81" i="1"/>
  <c r="C81" i="1" s="1"/>
  <c r="AG80" i="1"/>
  <c r="AB80" i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G79" i="1"/>
  <c r="AB79" i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G78" i="1"/>
  <c r="AB78" i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G77" i="1"/>
  <c r="AB77" i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G76" i="1"/>
  <c r="AB76" i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G75" i="1"/>
  <c r="AB75" i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G74" i="1"/>
  <c r="AB74" i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G72" i="1"/>
  <c r="AB72" i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G71" i="1"/>
  <c r="AB71" i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Z70" i="1"/>
  <c r="AA70" i="1" s="1"/>
  <c r="X70" i="1"/>
  <c r="V70" i="1"/>
  <c r="W70" i="1" s="1"/>
  <c r="T70" i="1"/>
  <c r="U70" i="1" s="1"/>
  <c r="R70" i="1"/>
  <c r="P70" i="1"/>
  <c r="Q70" i="1" s="1"/>
  <c r="N70" i="1"/>
  <c r="O70" i="1" s="1"/>
  <c r="L70" i="1"/>
  <c r="M70" i="1" s="1"/>
  <c r="J70" i="1"/>
  <c r="H70" i="1"/>
  <c r="I70" i="1" s="1"/>
  <c r="F70" i="1"/>
  <c r="G70" i="1" s="1"/>
  <c r="D70" i="1"/>
  <c r="E70" i="1" s="1"/>
  <c r="B70" i="1"/>
  <c r="C70" i="1" s="1"/>
  <c r="AG69" i="1"/>
  <c r="AB69" i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G68" i="1"/>
  <c r="AB68" i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G67" i="1"/>
  <c r="AB67" i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G66" i="1"/>
  <c r="AB66" i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G65" i="1"/>
  <c r="AB65" i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G63" i="1"/>
  <c r="AB63" i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Z57" i="1"/>
  <c r="AA57" i="1" s="1"/>
  <c r="X57" i="1"/>
  <c r="V57" i="1"/>
  <c r="W57" i="1" s="1"/>
  <c r="T57" i="1"/>
  <c r="U57" i="1" s="1"/>
  <c r="R57" i="1"/>
  <c r="P57" i="1"/>
  <c r="Q57" i="1" s="1"/>
  <c r="N57" i="1"/>
  <c r="O57" i="1" s="1"/>
  <c r="L57" i="1"/>
  <c r="M57" i="1" s="1"/>
  <c r="J57" i="1"/>
  <c r="H57" i="1"/>
  <c r="I57" i="1" s="1"/>
  <c r="F57" i="1"/>
  <c r="G57" i="1" s="1"/>
  <c r="D57" i="1"/>
  <c r="E57" i="1" s="1"/>
  <c r="B57" i="1"/>
  <c r="C57" i="1" s="1"/>
  <c r="Z56" i="1"/>
  <c r="AA56" i="1" s="1"/>
  <c r="X56" i="1"/>
  <c r="V56" i="1"/>
  <c r="W56" i="1" s="1"/>
  <c r="T56" i="1"/>
  <c r="U56" i="1" s="1"/>
  <c r="R56" i="1"/>
  <c r="P56" i="1"/>
  <c r="Q56" i="1" s="1"/>
  <c r="N56" i="1"/>
  <c r="O56" i="1" s="1"/>
  <c r="L56" i="1"/>
  <c r="M56" i="1" s="1"/>
  <c r="J56" i="1"/>
  <c r="H56" i="1"/>
  <c r="I56" i="1" s="1"/>
  <c r="F56" i="1"/>
  <c r="G56" i="1" s="1"/>
  <c r="D56" i="1"/>
  <c r="E56" i="1" s="1"/>
  <c r="B56" i="1"/>
  <c r="C56" i="1" s="1"/>
  <c r="AG55" i="1"/>
  <c r="AB55" i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G54" i="1"/>
  <c r="AB54" i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G53" i="1"/>
  <c r="AB53" i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Z52" i="1"/>
  <c r="AA52" i="1" s="1"/>
  <c r="X52" i="1"/>
  <c r="V52" i="1"/>
  <c r="W52" i="1" s="1"/>
  <c r="T52" i="1"/>
  <c r="U52" i="1" s="1"/>
  <c r="R52" i="1"/>
  <c r="P52" i="1"/>
  <c r="Q52" i="1" s="1"/>
  <c r="N52" i="1"/>
  <c r="O52" i="1" s="1"/>
  <c r="L52" i="1"/>
  <c r="M52" i="1" s="1"/>
  <c r="J52" i="1"/>
  <c r="H52" i="1"/>
  <c r="I52" i="1" s="1"/>
  <c r="F52" i="1"/>
  <c r="G52" i="1" s="1"/>
  <c r="D52" i="1"/>
  <c r="E52" i="1" s="1"/>
  <c r="B52" i="1"/>
  <c r="C52" i="1" s="1"/>
  <c r="AG51" i="1"/>
  <c r="AB51" i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G50" i="1"/>
  <c r="AB50" i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G49" i="1"/>
  <c r="AB49" i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G48" i="1"/>
  <c r="AB48" i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G47" i="1"/>
  <c r="AB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G46" i="1"/>
  <c r="AB46" i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Z44" i="1"/>
  <c r="AA44" i="1" s="1"/>
  <c r="X44" i="1"/>
  <c r="V44" i="1"/>
  <c r="W44" i="1" s="1"/>
  <c r="T44" i="1"/>
  <c r="U44" i="1" s="1"/>
  <c r="R44" i="1"/>
  <c r="P44" i="1"/>
  <c r="Q44" i="1" s="1"/>
  <c r="N44" i="1"/>
  <c r="O44" i="1" s="1"/>
  <c r="L44" i="1"/>
  <c r="M44" i="1" s="1"/>
  <c r="J44" i="1"/>
  <c r="H44" i="1"/>
  <c r="I44" i="1" s="1"/>
  <c r="F44" i="1"/>
  <c r="G44" i="1" s="1"/>
  <c r="D44" i="1"/>
  <c r="E44" i="1" s="1"/>
  <c r="B44" i="1"/>
  <c r="C44" i="1" s="1"/>
  <c r="AG43" i="1"/>
  <c r="AB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G42" i="1"/>
  <c r="AB42" i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G41" i="1"/>
  <c r="AB41" i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G40" i="1"/>
  <c r="AB40" i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G39" i="1"/>
  <c r="AB39" i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G37" i="1"/>
  <c r="AB37" i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Z35" i="1"/>
  <c r="AA35" i="1" s="1"/>
  <c r="X35" i="1"/>
  <c r="V35" i="1"/>
  <c r="W35" i="1" s="1"/>
  <c r="T35" i="1"/>
  <c r="U35" i="1" s="1"/>
  <c r="R35" i="1"/>
  <c r="P35" i="1"/>
  <c r="Q35" i="1" s="1"/>
  <c r="N35" i="1"/>
  <c r="O35" i="1" s="1"/>
  <c r="L35" i="1"/>
  <c r="M35" i="1" s="1"/>
  <c r="J35" i="1"/>
  <c r="H35" i="1"/>
  <c r="I35" i="1" s="1"/>
  <c r="F35" i="1"/>
  <c r="G35" i="1" s="1"/>
  <c r="D35" i="1"/>
  <c r="E35" i="1" s="1"/>
  <c r="B35" i="1"/>
  <c r="C35" i="1" s="1"/>
  <c r="Z34" i="1"/>
  <c r="AA34" i="1" s="1"/>
  <c r="X34" i="1"/>
  <c r="V34" i="1"/>
  <c r="W34" i="1" s="1"/>
  <c r="T34" i="1"/>
  <c r="U34" i="1" s="1"/>
  <c r="R34" i="1"/>
  <c r="P34" i="1"/>
  <c r="Q34" i="1" s="1"/>
  <c r="N34" i="1"/>
  <c r="O34" i="1" s="1"/>
  <c r="L34" i="1"/>
  <c r="M34" i="1" s="1"/>
  <c r="J34" i="1"/>
  <c r="H34" i="1"/>
  <c r="I34" i="1" s="1"/>
  <c r="F34" i="1"/>
  <c r="G34" i="1" s="1"/>
  <c r="D34" i="1"/>
  <c r="E34" i="1" s="1"/>
  <c r="B34" i="1"/>
  <c r="C34" i="1" s="1"/>
  <c r="AG33" i="1"/>
  <c r="AB33" i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G32" i="1"/>
  <c r="AB32" i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G31" i="1"/>
  <c r="AB31" i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G30" i="1"/>
  <c r="AB30" i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G29" i="1"/>
  <c r="AB29" i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Z27" i="1"/>
  <c r="AA27" i="1" s="1"/>
  <c r="X27" i="1"/>
  <c r="V27" i="1"/>
  <c r="W27" i="1" s="1"/>
  <c r="T27" i="1"/>
  <c r="U27" i="1" s="1"/>
  <c r="R27" i="1"/>
  <c r="P27" i="1"/>
  <c r="Q27" i="1" s="1"/>
  <c r="N27" i="1"/>
  <c r="O27" i="1" s="1"/>
  <c r="L27" i="1"/>
  <c r="M27" i="1" s="1"/>
  <c r="J27" i="1"/>
  <c r="H27" i="1"/>
  <c r="I27" i="1" s="1"/>
  <c r="F27" i="1"/>
  <c r="G27" i="1" s="1"/>
  <c r="D27" i="1"/>
  <c r="E27" i="1" s="1"/>
  <c r="B27" i="1"/>
  <c r="C27" i="1" s="1"/>
  <c r="AG26" i="1"/>
  <c r="AB26" i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G25" i="1"/>
  <c r="AB25" i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G24" i="1"/>
  <c r="AB24" i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G23" i="1"/>
  <c r="AB23" i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G22" i="1"/>
  <c r="AB22" i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G21" i="1"/>
  <c r="AB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G20" i="1"/>
  <c r="AB20" i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G19" i="1"/>
  <c r="AB19" i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G18" i="1"/>
  <c r="AB18" i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G17" i="1"/>
  <c r="AB17" i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G16" i="1"/>
  <c r="AB16" i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G15" i="1"/>
  <c r="AB15" i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G13" i="1"/>
  <c r="AB13" i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Z9" i="1"/>
  <c r="X9" i="1"/>
  <c r="V9" i="1"/>
  <c r="T9" i="1"/>
  <c r="R9" i="1"/>
  <c r="P9" i="1"/>
  <c r="N9" i="1"/>
  <c r="L9" i="1"/>
  <c r="J9" i="1"/>
  <c r="H9" i="1"/>
  <c r="F9" i="1"/>
  <c r="D9" i="1"/>
  <c r="B9" i="1"/>
  <c r="AG8" i="1"/>
  <c r="AB8" i="1"/>
  <c r="AA8" i="1"/>
  <c r="Y8" i="1"/>
  <c r="W8" i="1"/>
  <c r="U8" i="1"/>
  <c r="S8" i="1"/>
  <c r="Q8" i="1"/>
  <c r="O8" i="1"/>
  <c r="M8" i="1"/>
  <c r="K8" i="1"/>
  <c r="I8" i="1"/>
  <c r="G8" i="1"/>
  <c r="E8" i="1"/>
  <c r="C8" i="1"/>
  <c r="AG7" i="1"/>
  <c r="AB7" i="1"/>
  <c r="AA7" i="1"/>
  <c r="Y7" i="1"/>
  <c r="W7" i="1"/>
  <c r="U7" i="1"/>
  <c r="S7" i="1"/>
  <c r="Q7" i="1"/>
  <c r="O7" i="1"/>
  <c r="M7" i="1"/>
  <c r="K7" i="1"/>
  <c r="I7" i="1"/>
  <c r="G7" i="1"/>
  <c r="E7" i="1"/>
  <c r="C7" i="1"/>
  <c r="AL7" i="4" l="1"/>
  <c r="AL8" i="4"/>
  <c r="AL9" i="4"/>
  <c r="AL13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9" i="4"/>
  <c r="AL30" i="4"/>
  <c r="AL31" i="4"/>
  <c r="AL32" i="4"/>
  <c r="AL33" i="4"/>
  <c r="AL34" i="4"/>
  <c r="AL35" i="4"/>
  <c r="AL37" i="4"/>
  <c r="AL39" i="4"/>
  <c r="AL40" i="4"/>
  <c r="AL41" i="4"/>
  <c r="AL42" i="4"/>
  <c r="AL43" i="4"/>
  <c r="AL44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9" i="4"/>
  <c r="AL63" i="4"/>
  <c r="AL65" i="4"/>
  <c r="AL66" i="4"/>
  <c r="AL67" i="4"/>
  <c r="AL68" i="4"/>
  <c r="AL69" i="4"/>
  <c r="AL70" i="4"/>
  <c r="AL71" i="4"/>
  <c r="AL72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7" i="4"/>
  <c r="AL90" i="4"/>
  <c r="AL91" i="4"/>
  <c r="AL92" i="4"/>
  <c r="AL93" i="4"/>
  <c r="AL94" i="4"/>
  <c r="AL95" i="4"/>
  <c r="AL96" i="4"/>
  <c r="AL97" i="4"/>
  <c r="AL98" i="4"/>
  <c r="AL99" i="4"/>
  <c r="AL101" i="4"/>
  <c r="AL104" i="4"/>
  <c r="AL105" i="4"/>
  <c r="AL107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7" i="4"/>
  <c r="AL140" i="4"/>
  <c r="AL141" i="4"/>
  <c r="AL144" i="4"/>
  <c r="AL145" i="4"/>
  <c r="AL147" i="4"/>
  <c r="AJ7" i="4"/>
  <c r="AJ8" i="4"/>
  <c r="AJ9" i="4"/>
  <c r="AJ13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9" i="4"/>
  <c r="AJ30" i="4"/>
  <c r="AJ31" i="4"/>
  <c r="AJ32" i="4"/>
  <c r="AJ33" i="4"/>
  <c r="AJ34" i="4"/>
  <c r="AJ35" i="4"/>
  <c r="AJ37" i="4"/>
  <c r="AJ39" i="4"/>
  <c r="AJ40" i="4"/>
  <c r="AJ41" i="4"/>
  <c r="AJ42" i="4"/>
  <c r="AJ43" i="4"/>
  <c r="AJ44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9" i="4"/>
  <c r="AJ63" i="4"/>
  <c r="AJ65" i="4"/>
  <c r="AJ66" i="4"/>
  <c r="AJ67" i="4"/>
  <c r="AJ68" i="4"/>
  <c r="AJ69" i="4"/>
  <c r="AJ70" i="4"/>
  <c r="AJ71" i="4"/>
  <c r="AJ72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7" i="4"/>
  <c r="AJ90" i="4"/>
  <c r="AJ91" i="4"/>
  <c r="AJ92" i="4"/>
  <c r="AJ93" i="4"/>
  <c r="AJ94" i="4"/>
  <c r="AJ95" i="4"/>
  <c r="AJ96" i="4"/>
  <c r="AJ97" i="4"/>
  <c r="AJ98" i="4"/>
  <c r="AJ99" i="4"/>
  <c r="AJ101" i="4"/>
  <c r="AJ104" i="4"/>
  <c r="AJ105" i="4"/>
  <c r="AJ107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7" i="4"/>
  <c r="AJ140" i="4"/>
  <c r="AJ141" i="4"/>
  <c r="AJ144" i="4"/>
  <c r="AJ145" i="4"/>
  <c r="AJ147" i="4"/>
  <c r="AH7" i="4"/>
  <c r="AH8" i="4"/>
  <c r="AH9" i="4"/>
  <c r="AH13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9" i="4"/>
  <c r="AH30" i="4"/>
  <c r="AH31" i="4"/>
  <c r="AH32" i="4"/>
  <c r="AH33" i="4"/>
  <c r="AH34" i="4"/>
  <c r="AH35" i="4"/>
  <c r="AH37" i="4"/>
  <c r="AH39" i="4"/>
  <c r="AH40" i="4"/>
  <c r="AH41" i="4"/>
  <c r="AH42" i="4"/>
  <c r="AH43" i="4"/>
  <c r="AH44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9" i="4"/>
  <c r="AH63" i="4"/>
  <c r="AH65" i="4"/>
  <c r="AH66" i="4"/>
  <c r="AH67" i="4"/>
  <c r="AH68" i="4"/>
  <c r="AH69" i="4"/>
  <c r="AH70" i="4"/>
  <c r="AH71" i="4"/>
  <c r="AH72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7" i="4"/>
  <c r="AH90" i="4"/>
  <c r="AH91" i="4"/>
  <c r="AH92" i="4"/>
  <c r="AH93" i="4"/>
  <c r="AH94" i="4"/>
  <c r="AH95" i="4"/>
  <c r="AH96" i="4"/>
  <c r="AH97" i="4"/>
  <c r="AH98" i="4"/>
  <c r="AH99" i="4"/>
  <c r="AH101" i="4"/>
  <c r="AH104" i="4"/>
  <c r="AH105" i="4"/>
  <c r="AH107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7" i="4"/>
  <c r="AH140" i="4"/>
  <c r="AH141" i="4"/>
  <c r="AH144" i="4"/>
  <c r="AH145" i="4"/>
  <c r="AH147" i="4"/>
  <c r="AE7" i="4"/>
  <c r="AE8" i="4"/>
  <c r="AE9" i="4"/>
  <c r="AE13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9" i="4"/>
  <c r="AE30" i="4"/>
  <c r="AE31" i="4"/>
  <c r="AE32" i="4"/>
  <c r="AE33" i="4"/>
  <c r="AE34" i="4"/>
  <c r="AE35" i="4"/>
  <c r="AE37" i="4"/>
  <c r="AE39" i="4"/>
  <c r="AE40" i="4"/>
  <c r="AE41" i="4"/>
  <c r="AE42" i="4"/>
  <c r="AE43" i="4"/>
  <c r="AE44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9" i="4"/>
  <c r="AE63" i="4"/>
  <c r="AE65" i="4"/>
  <c r="AE66" i="4"/>
  <c r="AE67" i="4"/>
  <c r="AE68" i="4"/>
  <c r="AE69" i="4"/>
  <c r="AE70" i="4"/>
  <c r="AE71" i="4"/>
  <c r="AE72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7" i="4"/>
  <c r="AE90" i="4"/>
  <c r="AE91" i="4"/>
  <c r="AE92" i="4"/>
  <c r="AE93" i="4"/>
  <c r="AE94" i="4"/>
  <c r="AE95" i="4"/>
  <c r="AE96" i="4"/>
  <c r="AE97" i="4"/>
  <c r="AE98" i="4"/>
  <c r="AE99" i="4"/>
  <c r="AE101" i="4"/>
  <c r="AE104" i="4"/>
  <c r="AE105" i="4"/>
  <c r="AE107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7" i="4"/>
  <c r="AE140" i="4"/>
  <c r="AE141" i="4"/>
  <c r="AE144" i="4"/>
  <c r="AE145" i="4"/>
  <c r="AE147" i="4"/>
  <c r="AC7" i="4"/>
  <c r="AC8" i="4"/>
  <c r="AC9" i="4"/>
  <c r="AC13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9" i="4"/>
  <c r="AC30" i="4"/>
  <c r="AC31" i="4"/>
  <c r="AC32" i="4"/>
  <c r="AC33" i="4"/>
  <c r="AC34" i="4"/>
  <c r="AC35" i="4"/>
  <c r="AC37" i="4"/>
  <c r="AC39" i="4"/>
  <c r="AC40" i="4"/>
  <c r="AC41" i="4"/>
  <c r="AC42" i="4"/>
  <c r="AC43" i="4"/>
  <c r="AC44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9" i="4"/>
  <c r="AC63" i="4"/>
  <c r="AC65" i="4"/>
  <c r="AC66" i="4"/>
  <c r="AC67" i="4"/>
  <c r="AC68" i="4"/>
  <c r="AC69" i="4"/>
  <c r="AC70" i="4"/>
  <c r="AC71" i="4"/>
  <c r="AC72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7" i="4"/>
  <c r="AC90" i="4"/>
  <c r="AC91" i="4"/>
  <c r="AC92" i="4"/>
  <c r="AC93" i="4"/>
  <c r="AC94" i="4"/>
  <c r="AC95" i="4"/>
  <c r="AC96" i="4"/>
  <c r="AC97" i="4"/>
  <c r="AC98" i="4"/>
  <c r="AC99" i="4"/>
  <c r="AC101" i="4"/>
  <c r="AC104" i="4"/>
  <c r="AC105" i="4"/>
  <c r="AC107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7" i="4"/>
  <c r="AC140" i="4"/>
  <c r="AC141" i="4"/>
  <c r="AC144" i="4"/>
  <c r="AC145" i="4"/>
  <c r="AC147" i="4"/>
  <c r="AF7" i="5"/>
  <c r="AD7" i="5"/>
  <c r="AC7" i="5"/>
  <c r="AK7" i="5"/>
  <c r="AI7" i="5"/>
  <c r="AH7" i="5"/>
  <c r="AF8" i="5"/>
  <c r="AD8" i="5"/>
  <c r="AC8" i="5"/>
  <c r="AK8" i="5"/>
  <c r="AI8" i="5"/>
  <c r="AH8" i="5"/>
  <c r="B59" i="5"/>
  <c r="C9" i="5"/>
  <c r="D59" i="5"/>
  <c r="E9" i="5"/>
  <c r="F59" i="5"/>
  <c r="G9" i="5"/>
  <c r="H59" i="5"/>
  <c r="I9" i="5"/>
  <c r="J59" i="5"/>
  <c r="AG9" i="5"/>
  <c r="AH9" i="5" s="1"/>
  <c r="K9" i="5"/>
  <c r="L59" i="5"/>
  <c r="M9" i="5"/>
  <c r="N59" i="5"/>
  <c r="O9" i="5"/>
  <c r="P59" i="5"/>
  <c r="Q9" i="5"/>
  <c r="R59" i="5"/>
  <c r="AB9" i="5"/>
  <c r="AC9" i="5" s="1"/>
  <c r="S9" i="5"/>
  <c r="T59" i="5"/>
  <c r="U9" i="5"/>
  <c r="V59" i="5"/>
  <c r="W9" i="5"/>
  <c r="X59" i="5"/>
  <c r="AK9" i="5"/>
  <c r="AI9" i="5"/>
  <c r="AF9" i="5"/>
  <c r="AD9" i="5"/>
  <c r="Y9" i="5"/>
  <c r="Z59" i="5"/>
  <c r="AA9" i="5"/>
  <c r="AF13" i="5"/>
  <c r="AD13" i="5"/>
  <c r="AC13" i="5"/>
  <c r="AK13" i="5"/>
  <c r="AI13" i="5"/>
  <c r="AH13" i="5"/>
  <c r="AF15" i="5"/>
  <c r="AD15" i="5"/>
  <c r="AC15" i="5"/>
  <c r="AK15" i="5"/>
  <c r="AI15" i="5"/>
  <c r="AH15" i="5"/>
  <c r="AF16" i="5"/>
  <c r="AD16" i="5"/>
  <c r="AC16" i="5"/>
  <c r="AK16" i="5"/>
  <c r="AI16" i="5"/>
  <c r="AH16" i="5"/>
  <c r="AF17" i="5"/>
  <c r="AD17" i="5"/>
  <c r="AC17" i="5"/>
  <c r="AK17" i="5"/>
  <c r="AI17" i="5"/>
  <c r="AH17" i="5"/>
  <c r="AF18" i="5"/>
  <c r="AD18" i="5"/>
  <c r="AC18" i="5"/>
  <c r="AK18" i="5"/>
  <c r="AI18" i="5"/>
  <c r="AH18" i="5"/>
  <c r="AF19" i="5"/>
  <c r="AD19" i="5"/>
  <c r="AC19" i="5"/>
  <c r="AK19" i="5"/>
  <c r="AI19" i="5"/>
  <c r="AH19" i="5"/>
  <c r="AF20" i="5"/>
  <c r="AD20" i="5"/>
  <c r="AC20" i="5"/>
  <c r="AK20" i="5"/>
  <c r="AI20" i="5"/>
  <c r="AH20" i="5"/>
  <c r="AF21" i="5"/>
  <c r="AD21" i="5"/>
  <c r="AC21" i="5"/>
  <c r="AK21" i="5"/>
  <c r="AI21" i="5"/>
  <c r="AH21" i="5"/>
  <c r="AF22" i="5"/>
  <c r="AD22" i="5"/>
  <c r="AC22" i="5"/>
  <c r="AK22" i="5"/>
  <c r="AI22" i="5"/>
  <c r="AH22" i="5"/>
  <c r="AF23" i="5"/>
  <c r="AD23" i="5"/>
  <c r="AC23" i="5"/>
  <c r="AK23" i="5"/>
  <c r="AI23" i="5"/>
  <c r="AH23" i="5"/>
  <c r="AF24" i="5"/>
  <c r="AD24" i="5"/>
  <c r="AC24" i="5"/>
  <c r="AK24" i="5"/>
  <c r="AI24" i="5"/>
  <c r="AH24" i="5"/>
  <c r="AF25" i="5"/>
  <c r="AD25" i="5"/>
  <c r="AC25" i="5"/>
  <c r="AK25" i="5"/>
  <c r="AI25" i="5"/>
  <c r="AH25" i="5"/>
  <c r="AF26" i="5"/>
  <c r="AD26" i="5"/>
  <c r="AC26" i="5"/>
  <c r="AK26" i="5"/>
  <c r="AI26" i="5"/>
  <c r="AH26" i="5"/>
  <c r="AG27" i="5"/>
  <c r="AH27" i="5" s="1"/>
  <c r="K27" i="5"/>
  <c r="AB27" i="5"/>
  <c r="AC27" i="5" s="1"/>
  <c r="S27" i="5"/>
  <c r="AK27" i="5"/>
  <c r="AI27" i="5"/>
  <c r="AF27" i="5"/>
  <c r="AD27" i="5"/>
  <c r="Y27" i="5"/>
  <c r="AF29" i="5"/>
  <c r="AD29" i="5"/>
  <c r="AC29" i="5"/>
  <c r="AK29" i="5"/>
  <c r="AI29" i="5"/>
  <c r="AH29" i="5"/>
  <c r="AF30" i="5"/>
  <c r="AD30" i="5"/>
  <c r="AC30" i="5"/>
  <c r="AK30" i="5"/>
  <c r="AI30" i="5"/>
  <c r="AH30" i="5"/>
  <c r="AF31" i="5"/>
  <c r="AD31" i="5"/>
  <c r="AC31" i="5"/>
  <c r="AK31" i="5"/>
  <c r="AI31" i="5"/>
  <c r="AH31" i="5"/>
  <c r="AF32" i="5"/>
  <c r="AD32" i="5"/>
  <c r="AC32" i="5"/>
  <c r="AK32" i="5"/>
  <c r="AI32" i="5"/>
  <c r="AH32" i="5"/>
  <c r="AF33" i="5"/>
  <c r="AD33" i="5"/>
  <c r="AC33" i="5"/>
  <c r="AK33" i="5"/>
  <c r="AI33" i="5"/>
  <c r="AH33" i="5"/>
  <c r="AG34" i="5"/>
  <c r="AH34" i="5" s="1"/>
  <c r="K34" i="5"/>
  <c r="AB34" i="5"/>
  <c r="AC34" i="5" s="1"/>
  <c r="S34" i="5"/>
  <c r="AK34" i="5"/>
  <c r="AI34" i="5"/>
  <c r="AF34" i="5"/>
  <c r="AD34" i="5"/>
  <c r="Y34" i="5"/>
  <c r="AG35" i="5"/>
  <c r="AH35" i="5" s="1"/>
  <c r="K35" i="5"/>
  <c r="AB35" i="5"/>
  <c r="AC35" i="5" s="1"/>
  <c r="S35" i="5"/>
  <c r="AK35" i="5"/>
  <c r="AI35" i="5"/>
  <c r="AF35" i="5"/>
  <c r="AD35" i="5"/>
  <c r="Y35" i="5"/>
  <c r="AF37" i="5"/>
  <c r="AD37" i="5"/>
  <c r="AC37" i="5"/>
  <c r="AK37" i="5"/>
  <c r="AI37" i="5"/>
  <c r="AH37" i="5"/>
  <c r="AF39" i="5"/>
  <c r="AD39" i="5"/>
  <c r="AC39" i="5"/>
  <c r="AK39" i="5"/>
  <c r="AI39" i="5"/>
  <c r="AH39" i="5"/>
  <c r="AF40" i="5"/>
  <c r="AD40" i="5"/>
  <c r="AC40" i="5"/>
  <c r="AK40" i="5"/>
  <c r="AI40" i="5"/>
  <c r="AH40" i="5"/>
  <c r="AF41" i="5"/>
  <c r="AD41" i="5"/>
  <c r="AC41" i="5"/>
  <c r="AK41" i="5"/>
  <c r="AI41" i="5"/>
  <c r="AH41" i="5"/>
  <c r="AF42" i="5"/>
  <c r="AD42" i="5"/>
  <c r="AC42" i="5"/>
  <c r="AK42" i="5"/>
  <c r="AI42" i="5"/>
  <c r="AH42" i="5"/>
  <c r="AF43" i="5"/>
  <c r="AD43" i="5"/>
  <c r="AC43" i="5"/>
  <c r="AK43" i="5"/>
  <c r="AI43" i="5"/>
  <c r="AH43" i="5"/>
  <c r="AG44" i="5"/>
  <c r="AH44" i="5" s="1"/>
  <c r="K44" i="5"/>
  <c r="AB44" i="5"/>
  <c r="AC44" i="5" s="1"/>
  <c r="S44" i="5"/>
  <c r="AK44" i="5"/>
  <c r="AI44" i="5"/>
  <c r="AF44" i="5"/>
  <c r="AD44" i="5"/>
  <c r="Y44" i="5"/>
  <c r="AF46" i="5"/>
  <c r="AD46" i="5"/>
  <c r="AC46" i="5"/>
  <c r="AK46" i="5"/>
  <c r="AI46" i="5"/>
  <c r="AH46" i="5"/>
  <c r="AF47" i="5"/>
  <c r="AD47" i="5"/>
  <c r="AC47" i="5"/>
  <c r="AK47" i="5"/>
  <c r="AI47" i="5"/>
  <c r="AH47" i="5"/>
  <c r="AF48" i="5"/>
  <c r="AD48" i="5"/>
  <c r="AC48" i="5"/>
  <c r="AK48" i="5"/>
  <c r="AI48" i="5"/>
  <c r="AH48" i="5"/>
  <c r="AF49" i="5"/>
  <c r="AD49" i="5"/>
  <c r="AC49" i="5"/>
  <c r="AK49" i="5"/>
  <c r="AI49" i="5"/>
  <c r="AH49" i="5"/>
  <c r="AF50" i="5"/>
  <c r="AD50" i="5"/>
  <c r="AC50" i="5"/>
  <c r="AK50" i="5"/>
  <c r="AI50" i="5"/>
  <c r="AH50" i="5"/>
  <c r="AF51" i="5"/>
  <c r="AD51" i="5"/>
  <c r="AC51" i="5"/>
  <c r="AK51" i="5"/>
  <c r="AI51" i="5"/>
  <c r="AH51" i="5"/>
  <c r="AG52" i="5"/>
  <c r="AH52" i="5" s="1"/>
  <c r="K52" i="5"/>
  <c r="AB52" i="5"/>
  <c r="AC52" i="5" s="1"/>
  <c r="S52" i="5"/>
  <c r="AK52" i="5"/>
  <c r="AI52" i="5"/>
  <c r="AF52" i="5"/>
  <c r="AD52" i="5"/>
  <c r="Y52" i="5"/>
  <c r="AF53" i="5"/>
  <c r="AD53" i="5"/>
  <c r="AC53" i="5"/>
  <c r="AK53" i="5"/>
  <c r="AI53" i="5"/>
  <c r="AH53" i="5"/>
  <c r="AF54" i="5"/>
  <c r="AD54" i="5"/>
  <c r="AC54" i="5"/>
  <c r="AK54" i="5"/>
  <c r="AI54" i="5"/>
  <c r="AH54" i="5"/>
  <c r="AF55" i="5"/>
  <c r="AD55" i="5"/>
  <c r="AC55" i="5"/>
  <c r="AK55" i="5"/>
  <c r="AI55" i="5"/>
  <c r="AH55" i="5"/>
  <c r="AG56" i="5"/>
  <c r="AH56" i="5" s="1"/>
  <c r="K56" i="5"/>
  <c r="AB56" i="5"/>
  <c r="AC56" i="5" s="1"/>
  <c r="S56" i="5"/>
  <c r="AK56" i="5"/>
  <c r="AI56" i="5"/>
  <c r="AF56" i="5"/>
  <c r="AD56" i="5"/>
  <c r="Y56" i="5"/>
  <c r="AG57" i="5"/>
  <c r="AH57" i="5" s="1"/>
  <c r="K57" i="5"/>
  <c r="AB57" i="5"/>
  <c r="AC57" i="5" s="1"/>
  <c r="S57" i="5"/>
  <c r="AK57" i="5"/>
  <c r="AI57" i="5"/>
  <c r="AF57" i="5"/>
  <c r="AD57" i="5"/>
  <c r="Y57" i="5"/>
  <c r="AF63" i="5"/>
  <c r="AD63" i="5"/>
  <c r="AC63" i="5"/>
  <c r="AK63" i="5"/>
  <c r="AI63" i="5"/>
  <c r="AH63" i="5"/>
  <c r="AF65" i="5"/>
  <c r="AD65" i="5"/>
  <c r="AC65" i="5"/>
  <c r="AK65" i="5"/>
  <c r="AI65" i="5"/>
  <c r="AH65" i="5"/>
  <c r="AF66" i="5"/>
  <c r="AD66" i="5"/>
  <c r="AC66" i="5"/>
  <c r="AK66" i="5"/>
  <c r="AI66" i="5"/>
  <c r="AH66" i="5"/>
  <c r="AF67" i="5"/>
  <c r="AD67" i="5"/>
  <c r="AC67" i="5"/>
  <c r="AK67" i="5"/>
  <c r="AI67" i="5"/>
  <c r="AH67" i="5"/>
  <c r="AF68" i="5"/>
  <c r="AD68" i="5"/>
  <c r="AC68" i="5"/>
  <c r="AK68" i="5"/>
  <c r="AI68" i="5"/>
  <c r="AH68" i="5"/>
  <c r="AF69" i="5"/>
  <c r="AD69" i="5"/>
  <c r="AC69" i="5"/>
  <c r="AK69" i="5"/>
  <c r="AI69" i="5"/>
  <c r="AH69" i="5"/>
  <c r="AG70" i="5"/>
  <c r="AH70" i="5" s="1"/>
  <c r="K70" i="5"/>
  <c r="AB70" i="5"/>
  <c r="AC70" i="5" s="1"/>
  <c r="S70" i="5"/>
  <c r="AK70" i="5"/>
  <c r="AI70" i="5"/>
  <c r="AF70" i="5"/>
  <c r="AD70" i="5"/>
  <c r="Y70" i="5"/>
  <c r="AF71" i="5"/>
  <c r="AD71" i="5"/>
  <c r="AC71" i="5"/>
  <c r="AK71" i="5"/>
  <c r="AI71" i="5"/>
  <c r="AH71" i="5"/>
  <c r="AF72" i="5"/>
  <c r="AD72" i="5"/>
  <c r="AC72" i="5"/>
  <c r="AK72" i="5"/>
  <c r="AI72" i="5"/>
  <c r="AH72" i="5"/>
  <c r="AF74" i="5"/>
  <c r="AD74" i="5"/>
  <c r="AC74" i="5"/>
  <c r="AK74" i="5"/>
  <c r="AI74" i="5"/>
  <c r="AH74" i="5"/>
  <c r="AF75" i="5"/>
  <c r="AD75" i="5"/>
  <c r="AC75" i="5"/>
  <c r="AK75" i="5"/>
  <c r="AI75" i="5"/>
  <c r="AH75" i="5"/>
  <c r="AF76" i="5"/>
  <c r="AD76" i="5"/>
  <c r="AC76" i="5"/>
  <c r="AK76" i="5"/>
  <c r="AI76" i="5"/>
  <c r="AH76" i="5"/>
  <c r="AF77" i="5"/>
  <c r="AD77" i="5"/>
  <c r="AC77" i="5"/>
  <c r="AK77" i="5"/>
  <c r="AI77" i="5"/>
  <c r="AH77" i="5"/>
  <c r="AF78" i="5"/>
  <c r="AD78" i="5"/>
  <c r="AC78" i="5"/>
  <c r="AK78" i="5"/>
  <c r="AI78" i="5"/>
  <c r="AH78" i="5"/>
  <c r="AF79" i="5"/>
  <c r="AD79" i="5"/>
  <c r="AC79" i="5"/>
  <c r="AK79" i="5"/>
  <c r="AI79" i="5"/>
  <c r="AH79" i="5"/>
  <c r="AF80" i="5"/>
  <c r="AD80" i="5"/>
  <c r="AC80" i="5"/>
  <c r="AK80" i="5"/>
  <c r="AI80" i="5"/>
  <c r="AH80" i="5"/>
  <c r="AG81" i="5"/>
  <c r="AH81" i="5" s="1"/>
  <c r="K81" i="5"/>
  <c r="AB81" i="5"/>
  <c r="AC81" i="5" s="1"/>
  <c r="S81" i="5"/>
  <c r="AK81" i="5"/>
  <c r="AI81" i="5"/>
  <c r="AF81" i="5"/>
  <c r="AD81" i="5"/>
  <c r="Y81" i="5"/>
  <c r="AF82" i="5"/>
  <c r="AD82" i="5"/>
  <c r="AC82" i="5"/>
  <c r="AK82" i="5"/>
  <c r="AI82" i="5"/>
  <c r="AH82" i="5"/>
  <c r="AF83" i="5"/>
  <c r="AD83" i="5"/>
  <c r="AC83" i="5"/>
  <c r="AK83" i="5"/>
  <c r="AI83" i="5"/>
  <c r="AH83" i="5"/>
  <c r="AG84" i="5"/>
  <c r="AH84" i="5" s="1"/>
  <c r="K84" i="5"/>
  <c r="AB84" i="5"/>
  <c r="AC84" i="5" s="1"/>
  <c r="S84" i="5"/>
  <c r="AK84" i="5"/>
  <c r="AI84" i="5"/>
  <c r="AF84" i="5"/>
  <c r="AD84" i="5"/>
  <c r="Y84" i="5"/>
  <c r="AG85" i="5"/>
  <c r="AH85" i="5" s="1"/>
  <c r="K85" i="5"/>
  <c r="AB85" i="5"/>
  <c r="AC85" i="5" s="1"/>
  <c r="S85" i="5"/>
  <c r="AK85" i="5"/>
  <c r="AI85" i="5"/>
  <c r="AF85" i="5"/>
  <c r="AD85" i="5"/>
  <c r="Y85" i="5"/>
  <c r="AF90" i="5"/>
  <c r="AD90" i="5"/>
  <c r="AC90" i="5"/>
  <c r="AK90" i="5"/>
  <c r="AI90" i="5"/>
  <c r="AH90" i="5"/>
  <c r="AF91" i="5"/>
  <c r="AD91" i="5"/>
  <c r="AC91" i="5"/>
  <c r="AK91" i="5"/>
  <c r="AI91" i="5"/>
  <c r="AH91" i="5"/>
  <c r="AF92" i="5"/>
  <c r="AD92" i="5"/>
  <c r="AC92" i="5"/>
  <c r="AK92" i="5"/>
  <c r="AI92" i="5"/>
  <c r="AH92" i="5"/>
  <c r="AF93" i="5"/>
  <c r="AD93" i="5"/>
  <c r="AC93" i="5"/>
  <c r="AK93" i="5"/>
  <c r="AI93" i="5"/>
  <c r="AH93" i="5"/>
  <c r="AF94" i="5"/>
  <c r="AD94" i="5"/>
  <c r="AC94" i="5"/>
  <c r="AK94" i="5"/>
  <c r="AI94" i="5"/>
  <c r="AH94" i="5"/>
  <c r="AF95" i="5"/>
  <c r="AD95" i="5"/>
  <c r="AC95" i="5"/>
  <c r="AK95" i="5"/>
  <c r="AI95" i="5"/>
  <c r="AH95" i="5"/>
  <c r="AF96" i="5"/>
  <c r="AD96" i="5"/>
  <c r="AC96" i="5"/>
  <c r="AK96" i="5"/>
  <c r="AI96" i="5"/>
  <c r="AH96" i="5"/>
  <c r="AF97" i="5"/>
  <c r="AD97" i="5"/>
  <c r="AC97" i="5"/>
  <c r="AK97" i="5"/>
  <c r="AI97" i="5"/>
  <c r="AH97" i="5"/>
  <c r="AF98" i="5"/>
  <c r="AD98" i="5"/>
  <c r="AC98" i="5"/>
  <c r="AK98" i="5"/>
  <c r="AI98" i="5"/>
  <c r="AH98" i="5"/>
  <c r="AG99" i="5"/>
  <c r="AH99" i="5" s="1"/>
  <c r="K99" i="5"/>
  <c r="AB99" i="5"/>
  <c r="AC99" i="5" s="1"/>
  <c r="S99" i="5"/>
  <c r="AK99" i="5"/>
  <c r="AI99" i="5"/>
  <c r="AF99" i="5"/>
  <c r="AD99" i="5"/>
  <c r="Y99" i="5"/>
  <c r="AF104" i="5"/>
  <c r="AD104" i="5"/>
  <c r="AC104" i="5"/>
  <c r="AK104" i="5"/>
  <c r="AI104" i="5"/>
  <c r="AH104" i="5"/>
  <c r="AG105" i="5"/>
  <c r="AH105" i="5" s="1"/>
  <c r="K105" i="5"/>
  <c r="AB105" i="5"/>
  <c r="AC105" i="5" s="1"/>
  <c r="S105" i="5"/>
  <c r="AK105" i="5"/>
  <c r="AI105" i="5"/>
  <c r="AF105" i="5"/>
  <c r="AD105" i="5"/>
  <c r="Y105" i="5"/>
  <c r="AF110" i="5"/>
  <c r="AD110" i="5"/>
  <c r="AC110" i="5"/>
  <c r="AK110" i="5"/>
  <c r="AI110" i="5"/>
  <c r="AH110" i="5"/>
  <c r="AF111" i="5"/>
  <c r="AD111" i="5"/>
  <c r="AC111" i="5"/>
  <c r="AK111" i="5"/>
  <c r="AI111" i="5"/>
  <c r="AH111" i="5"/>
  <c r="AF112" i="5"/>
  <c r="AD112" i="5"/>
  <c r="AC112" i="5"/>
  <c r="AK112" i="5"/>
  <c r="AI112" i="5"/>
  <c r="AH112" i="5"/>
  <c r="AF113" i="5"/>
  <c r="AD113" i="5"/>
  <c r="AC113" i="5"/>
  <c r="AK113" i="5"/>
  <c r="AI113" i="5"/>
  <c r="AH113" i="5"/>
  <c r="AF114" i="5"/>
  <c r="AD114" i="5"/>
  <c r="AC114" i="5"/>
  <c r="AK114" i="5"/>
  <c r="AI114" i="5"/>
  <c r="AH114" i="5"/>
  <c r="AF115" i="5"/>
  <c r="AD115" i="5"/>
  <c r="AC115" i="5"/>
  <c r="AK115" i="5"/>
  <c r="AI115" i="5"/>
  <c r="AH115" i="5"/>
  <c r="AF116" i="5"/>
  <c r="AD116" i="5"/>
  <c r="AC116" i="5"/>
  <c r="AK116" i="5"/>
  <c r="AI116" i="5"/>
  <c r="AH116" i="5"/>
  <c r="AF117" i="5"/>
  <c r="AD117" i="5"/>
  <c r="AC117" i="5"/>
  <c r="AK117" i="5"/>
  <c r="AI117" i="5"/>
  <c r="AH117" i="5"/>
  <c r="AF118" i="5"/>
  <c r="AD118" i="5"/>
  <c r="AC118" i="5"/>
  <c r="AK118" i="5"/>
  <c r="AI118" i="5"/>
  <c r="AH118" i="5"/>
  <c r="AF119" i="5"/>
  <c r="AD119" i="5"/>
  <c r="AC119" i="5"/>
  <c r="AK119" i="5"/>
  <c r="AI119" i="5"/>
  <c r="AH119" i="5"/>
  <c r="AF120" i="5"/>
  <c r="AD120" i="5"/>
  <c r="AC120" i="5"/>
  <c r="AK120" i="5"/>
  <c r="AI120" i="5"/>
  <c r="AH120" i="5"/>
  <c r="AF121" i="5"/>
  <c r="AD121" i="5"/>
  <c r="AC121" i="5"/>
  <c r="AK121" i="5"/>
  <c r="AI121" i="5"/>
  <c r="AH121" i="5"/>
  <c r="AF122" i="5"/>
  <c r="AD122" i="5"/>
  <c r="AC122" i="5"/>
  <c r="AK122" i="5"/>
  <c r="AI122" i="5"/>
  <c r="AH122" i="5"/>
  <c r="AF123" i="5"/>
  <c r="AD123" i="5"/>
  <c r="AC123" i="5"/>
  <c r="AK123" i="5"/>
  <c r="AI123" i="5"/>
  <c r="AH123" i="5"/>
  <c r="AF124" i="5"/>
  <c r="AD124" i="5"/>
  <c r="AC124" i="5"/>
  <c r="AK124" i="5"/>
  <c r="AI124" i="5"/>
  <c r="AH124" i="5"/>
  <c r="AF125" i="5"/>
  <c r="AD125" i="5"/>
  <c r="AC125" i="5"/>
  <c r="AK125" i="5"/>
  <c r="AI125" i="5"/>
  <c r="AH125" i="5"/>
  <c r="AF126" i="5"/>
  <c r="AD126" i="5"/>
  <c r="AC126" i="5"/>
  <c r="AK126" i="5"/>
  <c r="AI126" i="5"/>
  <c r="AH126" i="5"/>
  <c r="AF127" i="5"/>
  <c r="AD127" i="5"/>
  <c r="AC127" i="5"/>
  <c r="AK127" i="5"/>
  <c r="AI127" i="5"/>
  <c r="AH127" i="5"/>
  <c r="AF128" i="5"/>
  <c r="AD128" i="5"/>
  <c r="AC128" i="5"/>
  <c r="AK128" i="5"/>
  <c r="AI128" i="5"/>
  <c r="AH128" i="5"/>
  <c r="AF129" i="5"/>
  <c r="AD129" i="5"/>
  <c r="AC129" i="5"/>
  <c r="AK129" i="5"/>
  <c r="AI129" i="5"/>
  <c r="AH129" i="5"/>
  <c r="AF130" i="5"/>
  <c r="AD130" i="5"/>
  <c r="AC130" i="5"/>
  <c r="AK130" i="5"/>
  <c r="AI130" i="5"/>
  <c r="AH130" i="5"/>
  <c r="AF131" i="5"/>
  <c r="AD131" i="5"/>
  <c r="AC131" i="5"/>
  <c r="AK131" i="5"/>
  <c r="AI131" i="5"/>
  <c r="AH131" i="5"/>
  <c r="AF132" i="5"/>
  <c r="AD132" i="5"/>
  <c r="AC132" i="5"/>
  <c r="AK132" i="5"/>
  <c r="AI132" i="5"/>
  <c r="AH132" i="5"/>
  <c r="AF133" i="5"/>
  <c r="AD133" i="5"/>
  <c r="AC133" i="5"/>
  <c r="AK133" i="5"/>
  <c r="AI133" i="5"/>
  <c r="AH133" i="5"/>
  <c r="AF134" i="5"/>
  <c r="AD134" i="5"/>
  <c r="AC134" i="5"/>
  <c r="AK134" i="5"/>
  <c r="AI134" i="5"/>
  <c r="AH134" i="5"/>
  <c r="AG135" i="5"/>
  <c r="AH135" i="5" s="1"/>
  <c r="K135" i="5"/>
  <c r="AB135" i="5"/>
  <c r="AC135" i="5" s="1"/>
  <c r="S135" i="5"/>
  <c r="AK135" i="5"/>
  <c r="AI135" i="5"/>
  <c r="AF135" i="5"/>
  <c r="AD135" i="5"/>
  <c r="Y135" i="5"/>
  <c r="AF140" i="5"/>
  <c r="AD140" i="5"/>
  <c r="AC140" i="5"/>
  <c r="AK140" i="5"/>
  <c r="AI140" i="5"/>
  <c r="AH140" i="5"/>
  <c r="AG141" i="5"/>
  <c r="AH141" i="5" s="1"/>
  <c r="K141" i="5"/>
  <c r="AB141" i="5"/>
  <c r="AC141" i="5" s="1"/>
  <c r="S141" i="5"/>
  <c r="AK141" i="5"/>
  <c r="AI141" i="5"/>
  <c r="AF141" i="5"/>
  <c r="AD141" i="5"/>
  <c r="Y141" i="5"/>
  <c r="AF144" i="5"/>
  <c r="AD144" i="5"/>
  <c r="AC144" i="5"/>
  <c r="AK144" i="5"/>
  <c r="AI144" i="5"/>
  <c r="AH144" i="5"/>
  <c r="AG145" i="5"/>
  <c r="AH145" i="5" s="1"/>
  <c r="K145" i="5"/>
  <c r="AB145" i="5"/>
  <c r="AC145" i="5" s="1"/>
  <c r="S145" i="5"/>
  <c r="AK145" i="5"/>
  <c r="AI145" i="5"/>
  <c r="AF145" i="5"/>
  <c r="AD145" i="5"/>
  <c r="Y145" i="5"/>
  <c r="AF148" i="5"/>
  <c r="AD148" i="5"/>
  <c r="AK148" i="5"/>
  <c r="AI148" i="5"/>
  <c r="AF7" i="3"/>
  <c r="AD7" i="3"/>
  <c r="AC7" i="3"/>
  <c r="AK7" i="3"/>
  <c r="AI7" i="3"/>
  <c r="AH7" i="3"/>
  <c r="AF8" i="3"/>
  <c r="AD8" i="3"/>
  <c r="AC8" i="3"/>
  <c r="AK8" i="3"/>
  <c r="AI8" i="3"/>
  <c r="AH8" i="3"/>
  <c r="B59" i="3"/>
  <c r="C9" i="3"/>
  <c r="D59" i="3"/>
  <c r="E9" i="3"/>
  <c r="F59" i="3"/>
  <c r="G9" i="3"/>
  <c r="H59" i="3"/>
  <c r="I9" i="3"/>
  <c r="J59" i="3"/>
  <c r="AG9" i="3"/>
  <c r="AH9" i="3" s="1"/>
  <c r="K9" i="3"/>
  <c r="L59" i="3"/>
  <c r="M9" i="3"/>
  <c r="N59" i="3"/>
  <c r="O9" i="3"/>
  <c r="P59" i="3"/>
  <c r="Q9" i="3"/>
  <c r="R59" i="3"/>
  <c r="AB9" i="3"/>
  <c r="AC9" i="3" s="1"/>
  <c r="S9" i="3"/>
  <c r="T59" i="3"/>
  <c r="U9" i="3"/>
  <c r="V59" i="3"/>
  <c r="W9" i="3"/>
  <c r="X59" i="3"/>
  <c r="AK9" i="3"/>
  <c r="AI9" i="3"/>
  <c r="AF9" i="3"/>
  <c r="AD9" i="3"/>
  <c r="Y9" i="3"/>
  <c r="Z59" i="3"/>
  <c r="AA9" i="3"/>
  <c r="AF13" i="3"/>
  <c r="AD13" i="3"/>
  <c r="AC13" i="3"/>
  <c r="AK13" i="3"/>
  <c r="AI13" i="3"/>
  <c r="AH13" i="3"/>
  <c r="AF15" i="3"/>
  <c r="AD15" i="3"/>
  <c r="AC15" i="3"/>
  <c r="AK15" i="3"/>
  <c r="AI15" i="3"/>
  <c r="AH15" i="3"/>
  <c r="AF16" i="3"/>
  <c r="AD16" i="3"/>
  <c r="AC16" i="3"/>
  <c r="AK16" i="3"/>
  <c r="AI16" i="3"/>
  <c r="AH16" i="3"/>
  <c r="AF17" i="3"/>
  <c r="AD17" i="3"/>
  <c r="AC17" i="3"/>
  <c r="AK17" i="3"/>
  <c r="AI17" i="3"/>
  <c r="AH17" i="3"/>
  <c r="AF18" i="3"/>
  <c r="AD18" i="3"/>
  <c r="AC18" i="3"/>
  <c r="AK18" i="3"/>
  <c r="AI18" i="3"/>
  <c r="AH18" i="3"/>
  <c r="AF19" i="3"/>
  <c r="AD19" i="3"/>
  <c r="AC19" i="3"/>
  <c r="AK19" i="3"/>
  <c r="AI19" i="3"/>
  <c r="AH19" i="3"/>
  <c r="AF20" i="3"/>
  <c r="AD20" i="3"/>
  <c r="AC20" i="3"/>
  <c r="AK20" i="3"/>
  <c r="AI20" i="3"/>
  <c r="AH20" i="3"/>
  <c r="AF21" i="3"/>
  <c r="AD21" i="3"/>
  <c r="AC21" i="3"/>
  <c r="AK21" i="3"/>
  <c r="AI21" i="3"/>
  <c r="AH21" i="3"/>
  <c r="AF22" i="3"/>
  <c r="AD22" i="3"/>
  <c r="AC22" i="3"/>
  <c r="AK22" i="3"/>
  <c r="AI22" i="3"/>
  <c r="AH22" i="3"/>
  <c r="AF23" i="3"/>
  <c r="AD23" i="3"/>
  <c r="AC23" i="3"/>
  <c r="AK23" i="3"/>
  <c r="AI23" i="3"/>
  <c r="AH23" i="3"/>
  <c r="AF24" i="3"/>
  <c r="AD24" i="3"/>
  <c r="AC24" i="3"/>
  <c r="AK24" i="3"/>
  <c r="AI24" i="3"/>
  <c r="AH24" i="3"/>
  <c r="AF25" i="3"/>
  <c r="AD25" i="3"/>
  <c r="AC25" i="3"/>
  <c r="AK25" i="3"/>
  <c r="AI25" i="3"/>
  <c r="AH25" i="3"/>
  <c r="AF26" i="3"/>
  <c r="AD26" i="3"/>
  <c r="AC26" i="3"/>
  <c r="AK26" i="3"/>
  <c r="AI26" i="3"/>
  <c r="AH26" i="3"/>
  <c r="AG27" i="3"/>
  <c r="AH27" i="3" s="1"/>
  <c r="K27" i="3"/>
  <c r="AB27" i="3"/>
  <c r="AC27" i="3" s="1"/>
  <c r="S27" i="3"/>
  <c r="AK27" i="3"/>
  <c r="AI27" i="3"/>
  <c r="AF27" i="3"/>
  <c r="AD27" i="3"/>
  <c r="Y27" i="3"/>
  <c r="AF29" i="3"/>
  <c r="AD29" i="3"/>
  <c r="AC29" i="3"/>
  <c r="AK29" i="3"/>
  <c r="AI29" i="3"/>
  <c r="AH29" i="3"/>
  <c r="AF30" i="3"/>
  <c r="AD30" i="3"/>
  <c r="AC30" i="3"/>
  <c r="AK30" i="3"/>
  <c r="AI30" i="3"/>
  <c r="AH30" i="3"/>
  <c r="AF31" i="3"/>
  <c r="AD31" i="3"/>
  <c r="AC31" i="3"/>
  <c r="AK31" i="3"/>
  <c r="AI31" i="3"/>
  <c r="AH31" i="3"/>
  <c r="AF32" i="3"/>
  <c r="AD32" i="3"/>
  <c r="AC32" i="3"/>
  <c r="AK32" i="3"/>
  <c r="AI32" i="3"/>
  <c r="AH32" i="3"/>
  <c r="AF33" i="3"/>
  <c r="AD33" i="3"/>
  <c r="AC33" i="3"/>
  <c r="AK33" i="3"/>
  <c r="AI33" i="3"/>
  <c r="AH33" i="3"/>
  <c r="AG34" i="3"/>
  <c r="AH34" i="3" s="1"/>
  <c r="K34" i="3"/>
  <c r="AB34" i="3"/>
  <c r="AC34" i="3" s="1"/>
  <c r="S34" i="3"/>
  <c r="AK34" i="3"/>
  <c r="AI34" i="3"/>
  <c r="AF34" i="3"/>
  <c r="AD34" i="3"/>
  <c r="Y34" i="3"/>
  <c r="AG35" i="3"/>
  <c r="AH35" i="3" s="1"/>
  <c r="K35" i="3"/>
  <c r="AB35" i="3"/>
  <c r="AC35" i="3" s="1"/>
  <c r="S35" i="3"/>
  <c r="AK35" i="3"/>
  <c r="AI35" i="3"/>
  <c r="AF35" i="3"/>
  <c r="AD35" i="3"/>
  <c r="Y35" i="3"/>
  <c r="AF37" i="3"/>
  <c r="AD37" i="3"/>
  <c r="AC37" i="3"/>
  <c r="AK37" i="3"/>
  <c r="AI37" i="3"/>
  <c r="AH37" i="3"/>
  <c r="AF39" i="3"/>
  <c r="AD39" i="3"/>
  <c r="AC39" i="3"/>
  <c r="AK39" i="3"/>
  <c r="AI39" i="3"/>
  <c r="AH39" i="3"/>
  <c r="AF40" i="3"/>
  <c r="AD40" i="3"/>
  <c r="AC40" i="3"/>
  <c r="AK40" i="3"/>
  <c r="AI40" i="3"/>
  <c r="AH40" i="3"/>
  <c r="AF41" i="3"/>
  <c r="AD41" i="3"/>
  <c r="AC41" i="3"/>
  <c r="AK41" i="3"/>
  <c r="AI41" i="3"/>
  <c r="AH41" i="3"/>
  <c r="AF42" i="3"/>
  <c r="AD42" i="3"/>
  <c r="AC42" i="3"/>
  <c r="AK42" i="3"/>
  <c r="AI42" i="3"/>
  <c r="AH42" i="3"/>
  <c r="AF43" i="3"/>
  <c r="AD43" i="3"/>
  <c r="AC43" i="3"/>
  <c r="AK43" i="3"/>
  <c r="AI43" i="3"/>
  <c r="AH43" i="3"/>
  <c r="AG44" i="3"/>
  <c r="AH44" i="3" s="1"/>
  <c r="K44" i="3"/>
  <c r="AB44" i="3"/>
  <c r="AC44" i="3" s="1"/>
  <c r="S44" i="3"/>
  <c r="AK44" i="3"/>
  <c r="AI44" i="3"/>
  <c r="AF44" i="3"/>
  <c r="AD44" i="3"/>
  <c r="Y44" i="3"/>
  <c r="AF46" i="3"/>
  <c r="AD46" i="3"/>
  <c r="AC46" i="3"/>
  <c r="AK46" i="3"/>
  <c r="AI46" i="3"/>
  <c r="AH46" i="3"/>
  <c r="AF47" i="3"/>
  <c r="AD47" i="3"/>
  <c r="AC47" i="3"/>
  <c r="AK47" i="3"/>
  <c r="AI47" i="3"/>
  <c r="AH47" i="3"/>
  <c r="AF48" i="3"/>
  <c r="AD48" i="3"/>
  <c r="AC48" i="3"/>
  <c r="AK48" i="3"/>
  <c r="AI48" i="3"/>
  <c r="AH48" i="3"/>
  <c r="AF49" i="3"/>
  <c r="AD49" i="3"/>
  <c r="AC49" i="3"/>
  <c r="AK49" i="3"/>
  <c r="AI49" i="3"/>
  <c r="AH49" i="3"/>
  <c r="AF50" i="3"/>
  <c r="AD50" i="3"/>
  <c r="AC50" i="3"/>
  <c r="AK50" i="3"/>
  <c r="AI50" i="3"/>
  <c r="AH50" i="3"/>
  <c r="AF51" i="3"/>
  <c r="AD51" i="3"/>
  <c r="AC51" i="3"/>
  <c r="AK51" i="3"/>
  <c r="AI51" i="3"/>
  <c r="AH51" i="3"/>
  <c r="AG52" i="3"/>
  <c r="AH52" i="3" s="1"/>
  <c r="K52" i="3"/>
  <c r="AB52" i="3"/>
  <c r="AC52" i="3" s="1"/>
  <c r="S52" i="3"/>
  <c r="AK52" i="3"/>
  <c r="AI52" i="3"/>
  <c r="AF52" i="3"/>
  <c r="AD52" i="3"/>
  <c r="Y52" i="3"/>
  <c r="AF53" i="3"/>
  <c r="AD53" i="3"/>
  <c r="AC53" i="3"/>
  <c r="AK53" i="3"/>
  <c r="AI53" i="3"/>
  <c r="AH53" i="3"/>
  <c r="AF54" i="3"/>
  <c r="AD54" i="3"/>
  <c r="AC54" i="3"/>
  <c r="AK54" i="3"/>
  <c r="AI54" i="3"/>
  <c r="AH54" i="3"/>
  <c r="AF55" i="3"/>
  <c r="AD55" i="3"/>
  <c r="AC55" i="3"/>
  <c r="AK55" i="3"/>
  <c r="AI55" i="3"/>
  <c r="AH55" i="3"/>
  <c r="AG56" i="3"/>
  <c r="AH56" i="3" s="1"/>
  <c r="K56" i="3"/>
  <c r="AB56" i="3"/>
  <c r="AC56" i="3" s="1"/>
  <c r="S56" i="3"/>
  <c r="AK56" i="3"/>
  <c r="AI56" i="3"/>
  <c r="AF56" i="3"/>
  <c r="AD56" i="3"/>
  <c r="Y56" i="3"/>
  <c r="AG57" i="3"/>
  <c r="AH57" i="3" s="1"/>
  <c r="K57" i="3"/>
  <c r="AB57" i="3"/>
  <c r="AC57" i="3" s="1"/>
  <c r="S57" i="3"/>
  <c r="AK57" i="3"/>
  <c r="AI57" i="3"/>
  <c r="AF57" i="3"/>
  <c r="AD57" i="3"/>
  <c r="Y57" i="3"/>
  <c r="AF63" i="3"/>
  <c r="AD63" i="3"/>
  <c r="AC63" i="3"/>
  <c r="AK63" i="3"/>
  <c r="AI63" i="3"/>
  <c r="AH63" i="3"/>
  <c r="AF65" i="3"/>
  <c r="AD65" i="3"/>
  <c r="AC65" i="3"/>
  <c r="AK65" i="3"/>
  <c r="AI65" i="3"/>
  <c r="AH65" i="3"/>
  <c r="AF66" i="3"/>
  <c r="AD66" i="3"/>
  <c r="AC66" i="3"/>
  <c r="AK66" i="3"/>
  <c r="AI66" i="3"/>
  <c r="AH66" i="3"/>
  <c r="AF67" i="3"/>
  <c r="AD67" i="3"/>
  <c r="AC67" i="3"/>
  <c r="AK67" i="3"/>
  <c r="AI67" i="3"/>
  <c r="AH67" i="3"/>
  <c r="AF68" i="3"/>
  <c r="AD68" i="3"/>
  <c r="AC68" i="3"/>
  <c r="AK68" i="3"/>
  <c r="AI68" i="3"/>
  <c r="AH68" i="3"/>
  <c r="AF69" i="3"/>
  <c r="AD69" i="3"/>
  <c r="AC69" i="3"/>
  <c r="AK69" i="3"/>
  <c r="AI69" i="3"/>
  <c r="AH69" i="3"/>
  <c r="AG70" i="3"/>
  <c r="AH70" i="3" s="1"/>
  <c r="K70" i="3"/>
  <c r="AB70" i="3"/>
  <c r="AC70" i="3" s="1"/>
  <c r="S70" i="3"/>
  <c r="AK70" i="3"/>
  <c r="AI70" i="3"/>
  <c r="AF70" i="3"/>
  <c r="AD70" i="3"/>
  <c r="Y70" i="3"/>
  <c r="AF71" i="3"/>
  <c r="AD71" i="3"/>
  <c r="AC71" i="3"/>
  <c r="AK71" i="3"/>
  <c r="AI71" i="3"/>
  <c r="AH71" i="3"/>
  <c r="AF72" i="3"/>
  <c r="AD72" i="3"/>
  <c r="AC72" i="3"/>
  <c r="AK72" i="3"/>
  <c r="AI72" i="3"/>
  <c r="AH72" i="3"/>
  <c r="AF74" i="3"/>
  <c r="AD74" i="3"/>
  <c r="AC74" i="3"/>
  <c r="AK74" i="3"/>
  <c r="AI74" i="3"/>
  <c r="AH74" i="3"/>
  <c r="AF75" i="3"/>
  <c r="AD75" i="3"/>
  <c r="AC75" i="3"/>
  <c r="AK75" i="3"/>
  <c r="AI75" i="3"/>
  <c r="AH75" i="3"/>
  <c r="AF76" i="3"/>
  <c r="AD76" i="3"/>
  <c r="AC76" i="3"/>
  <c r="AK76" i="3"/>
  <c r="AI76" i="3"/>
  <c r="AH76" i="3"/>
  <c r="AF77" i="3"/>
  <c r="AD77" i="3"/>
  <c r="AC77" i="3"/>
  <c r="AK77" i="3"/>
  <c r="AI77" i="3"/>
  <c r="AH77" i="3"/>
  <c r="AF78" i="3"/>
  <c r="AD78" i="3"/>
  <c r="AC78" i="3"/>
  <c r="AK78" i="3"/>
  <c r="AI78" i="3"/>
  <c r="AH78" i="3"/>
  <c r="AF79" i="3"/>
  <c r="AD79" i="3"/>
  <c r="AC79" i="3"/>
  <c r="AK79" i="3"/>
  <c r="AI79" i="3"/>
  <c r="AH79" i="3"/>
  <c r="AF80" i="3"/>
  <c r="AD80" i="3"/>
  <c r="AC80" i="3"/>
  <c r="AK80" i="3"/>
  <c r="AI80" i="3"/>
  <c r="AH80" i="3"/>
  <c r="AG81" i="3"/>
  <c r="AH81" i="3" s="1"/>
  <c r="K81" i="3"/>
  <c r="AB81" i="3"/>
  <c r="AC81" i="3" s="1"/>
  <c r="S81" i="3"/>
  <c r="AK81" i="3"/>
  <c r="AI81" i="3"/>
  <c r="AF81" i="3"/>
  <c r="AD81" i="3"/>
  <c r="Y81" i="3"/>
  <c r="AF82" i="3"/>
  <c r="AD82" i="3"/>
  <c r="AC82" i="3"/>
  <c r="AK82" i="3"/>
  <c r="AI82" i="3"/>
  <c r="AH82" i="3"/>
  <c r="AF83" i="3"/>
  <c r="AD83" i="3"/>
  <c r="AC83" i="3"/>
  <c r="AK83" i="3"/>
  <c r="AI83" i="3"/>
  <c r="AH83" i="3"/>
  <c r="AG84" i="3"/>
  <c r="AH84" i="3" s="1"/>
  <c r="K84" i="3"/>
  <c r="AB84" i="3"/>
  <c r="AC84" i="3" s="1"/>
  <c r="S84" i="3"/>
  <c r="AK84" i="3"/>
  <c r="AI84" i="3"/>
  <c r="AF84" i="3"/>
  <c r="AD84" i="3"/>
  <c r="Y84" i="3"/>
  <c r="AG85" i="3"/>
  <c r="AH85" i="3" s="1"/>
  <c r="K85" i="3"/>
  <c r="AB85" i="3"/>
  <c r="AC85" i="3" s="1"/>
  <c r="S85" i="3"/>
  <c r="AK85" i="3"/>
  <c r="AI85" i="3"/>
  <c r="AF85" i="3"/>
  <c r="AD85" i="3"/>
  <c r="Y85" i="3"/>
  <c r="AF90" i="3"/>
  <c r="AD90" i="3"/>
  <c r="AC90" i="3"/>
  <c r="AK90" i="3"/>
  <c r="AI90" i="3"/>
  <c r="AH90" i="3"/>
  <c r="AF91" i="3"/>
  <c r="AD91" i="3"/>
  <c r="AC91" i="3"/>
  <c r="AK91" i="3"/>
  <c r="AI91" i="3"/>
  <c r="AH91" i="3"/>
  <c r="AF92" i="3"/>
  <c r="AD92" i="3"/>
  <c r="AC92" i="3"/>
  <c r="AK92" i="3"/>
  <c r="AI92" i="3"/>
  <c r="AH92" i="3"/>
  <c r="AF93" i="3"/>
  <c r="AD93" i="3"/>
  <c r="AC93" i="3"/>
  <c r="AK93" i="3"/>
  <c r="AI93" i="3"/>
  <c r="AH93" i="3"/>
  <c r="AF94" i="3"/>
  <c r="AD94" i="3"/>
  <c r="AC94" i="3"/>
  <c r="AK94" i="3"/>
  <c r="AI94" i="3"/>
  <c r="AH94" i="3"/>
  <c r="AF95" i="3"/>
  <c r="AD95" i="3"/>
  <c r="AC95" i="3"/>
  <c r="AK95" i="3"/>
  <c r="AI95" i="3"/>
  <c r="AH95" i="3"/>
  <c r="AF96" i="3"/>
  <c r="AD96" i="3"/>
  <c r="AC96" i="3"/>
  <c r="AK96" i="3"/>
  <c r="AI96" i="3"/>
  <c r="AH96" i="3"/>
  <c r="AF97" i="3"/>
  <c r="AD97" i="3"/>
  <c r="AC97" i="3"/>
  <c r="AK97" i="3"/>
  <c r="AI97" i="3"/>
  <c r="AH97" i="3"/>
  <c r="AF98" i="3"/>
  <c r="AD98" i="3"/>
  <c r="AC98" i="3"/>
  <c r="AK98" i="3"/>
  <c r="AI98" i="3"/>
  <c r="AH98" i="3"/>
  <c r="AG99" i="3"/>
  <c r="AH99" i="3" s="1"/>
  <c r="K99" i="3"/>
  <c r="AB99" i="3"/>
  <c r="AC99" i="3" s="1"/>
  <c r="S99" i="3"/>
  <c r="AK99" i="3"/>
  <c r="AI99" i="3"/>
  <c r="AF99" i="3"/>
  <c r="AD99" i="3"/>
  <c r="Y99" i="3"/>
  <c r="AF104" i="3"/>
  <c r="AD104" i="3"/>
  <c r="AC104" i="3"/>
  <c r="AK104" i="3"/>
  <c r="AI104" i="3"/>
  <c r="AH104" i="3"/>
  <c r="AG105" i="3"/>
  <c r="AH105" i="3" s="1"/>
  <c r="K105" i="3"/>
  <c r="AB105" i="3"/>
  <c r="AC105" i="3" s="1"/>
  <c r="S105" i="3"/>
  <c r="AK105" i="3"/>
  <c r="AI105" i="3"/>
  <c r="AF105" i="3"/>
  <c r="AD105" i="3"/>
  <c r="Y105" i="3"/>
  <c r="AF110" i="3"/>
  <c r="AD110" i="3"/>
  <c r="AC110" i="3"/>
  <c r="AK110" i="3"/>
  <c r="AI110" i="3"/>
  <c r="AH110" i="3"/>
  <c r="AF111" i="3"/>
  <c r="AD111" i="3"/>
  <c r="AC111" i="3"/>
  <c r="AK111" i="3"/>
  <c r="AI111" i="3"/>
  <c r="AH111" i="3"/>
  <c r="AF112" i="3"/>
  <c r="AD112" i="3"/>
  <c r="AC112" i="3"/>
  <c r="AK112" i="3"/>
  <c r="AI112" i="3"/>
  <c r="AH112" i="3"/>
  <c r="AF113" i="3"/>
  <c r="AD113" i="3"/>
  <c r="AC113" i="3"/>
  <c r="AK113" i="3"/>
  <c r="AI113" i="3"/>
  <c r="AH113" i="3"/>
  <c r="AF114" i="3"/>
  <c r="AD114" i="3"/>
  <c r="AC114" i="3"/>
  <c r="AK114" i="3"/>
  <c r="AI114" i="3"/>
  <c r="AH114" i="3"/>
  <c r="AF115" i="3"/>
  <c r="AD115" i="3"/>
  <c r="AC115" i="3"/>
  <c r="AK115" i="3"/>
  <c r="AI115" i="3"/>
  <c r="AH115" i="3"/>
  <c r="AF116" i="3"/>
  <c r="AD116" i="3"/>
  <c r="AC116" i="3"/>
  <c r="AK116" i="3"/>
  <c r="AI116" i="3"/>
  <c r="AH116" i="3"/>
  <c r="AF117" i="3"/>
  <c r="AD117" i="3"/>
  <c r="AC117" i="3"/>
  <c r="AK117" i="3"/>
  <c r="AI117" i="3"/>
  <c r="AH117" i="3"/>
  <c r="AF118" i="3"/>
  <c r="AD118" i="3"/>
  <c r="AC118" i="3"/>
  <c r="AK118" i="3"/>
  <c r="AI118" i="3"/>
  <c r="AH118" i="3"/>
  <c r="AF119" i="3"/>
  <c r="AD119" i="3"/>
  <c r="AC119" i="3"/>
  <c r="AK119" i="3"/>
  <c r="AI119" i="3"/>
  <c r="AH119" i="3"/>
  <c r="AF120" i="3"/>
  <c r="AD120" i="3"/>
  <c r="AC120" i="3"/>
  <c r="AK120" i="3"/>
  <c r="AI120" i="3"/>
  <c r="AH120" i="3"/>
  <c r="AF121" i="3"/>
  <c r="AD121" i="3"/>
  <c r="AC121" i="3"/>
  <c r="AK121" i="3"/>
  <c r="AI121" i="3"/>
  <c r="AH121" i="3"/>
  <c r="AF122" i="3"/>
  <c r="AD122" i="3"/>
  <c r="AC122" i="3"/>
  <c r="AK122" i="3"/>
  <c r="AI122" i="3"/>
  <c r="AH122" i="3"/>
  <c r="AF123" i="3"/>
  <c r="AD123" i="3"/>
  <c r="AC123" i="3"/>
  <c r="AK123" i="3"/>
  <c r="AI123" i="3"/>
  <c r="AH123" i="3"/>
  <c r="AF124" i="3"/>
  <c r="AD124" i="3"/>
  <c r="AC124" i="3"/>
  <c r="AK124" i="3"/>
  <c r="AI124" i="3"/>
  <c r="AH124" i="3"/>
  <c r="AF125" i="3"/>
  <c r="AD125" i="3"/>
  <c r="AC125" i="3"/>
  <c r="AK125" i="3"/>
  <c r="AI125" i="3"/>
  <c r="AH125" i="3"/>
  <c r="AF126" i="3"/>
  <c r="AD126" i="3"/>
  <c r="AC126" i="3"/>
  <c r="AK126" i="3"/>
  <c r="AI126" i="3"/>
  <c r="AH126" i="3"/>
  <c r="AF127" i="3"/>
  <c r="AD127" i="3"/>
  <c r="AC127" i="3"/>
  <c r="AK127" i="3"/>
  <c r="AI127" i="3"/>
  <c r="AH127" i="3"/>
  <c r="AF128" i="3"/>
  <c r="AD128" i="3"/>
  <c r="AC128" i="3"/>
  <c r="AK128" i="3"/>
  <c r="AI128" i="3"/>
  <c r="AH128" i="3"/>
  <c r="AF129" i="3"/>
  <c r="AD129" i="3"/>
  <c r="AC129" i="3"/>
  <c r="AK129" i="3"/>
  <c r="AI129" i="3"/>
  <c r="AH129" i="3"/>
  <c r="AF130" i="3"/>
  <c r="AD130" i="3"/>
  <c r="AC130" i="3"/>
  <c r="AK130" i="3"/>
  <c r="AI130" i="3"/>
  <c r="AH130" i="3"/>
  <c r="AF131" i="3"/>
  <c r="AD131" i="3"/>
  <c r="AC131" i="3"/>
  <c r="AK131" i="3"/>
  <c r="AI131" i="3"/>
  <c r="AH131" i="3"/>
  <c r="AF132" i="3"/>
  <c r="AD132" i="3"/>
  <c r="AC132" i="3"/>
  <c r="AK132" i="3"/>
  <c r="AI132" i="3"/>
  <c r="AH132" i="3"/>
  <c r="AF133" i="3"/>
  <c r="AD133" i="3"/>
  <c r="AC133" i="3"/>
  <c r="AK133" i="3"/>
  <c r="AI133" i="3"/>
  <c r="AH133" i="3"/>
  <c r="AF134" i="3"/>
  <c r="AD134" i="3"/>
  <c r="AC134" i="3"/>
  <c r="AK134" i="3"/>
  <c r="AI134" i="3"/>
  <c r="AH134" i="3"/>
  <c r="AG135" i="3"/>
  <c r="AH135" i="3" s="1"/>
  <c r="K135" i="3"/>
  <c r="AB135" i="3"/>
  <c r="AC135" i="3" s="1"/>
  <c r="S135" i="3"/>
  <c r="AK135" i="3"/>
  <c r="AI135" i="3"/>
  <c r="AF135" i="3"/>
  <c r="AD135" i="3"/>
  <c r="Y135" i="3"/>
  <c r="AF140" i="3"/>
  <c r="AD140" i="3"/>
  <c r="AC140" i="3"/>
  <c r="AK140" i="3"/>
  <c r="AI140" i="3"/>
  <c r="AH140" i="3"/>
  <c r="AG141" i="3"/>
  <c r="AH141" i="3" s="1"/>
  <c r="K141" i="3"/>
  <c r="AB141" i="3"/>
  <c r="AC141" i="3" s="1"/>
  <c r="S141" i="3"/>
  <c r="AK141" i="3"/>
  <c r="AI141" i="3"/>
  <c r="AF141" i="3"/>
  <c r="AD141" i="3"/>
  <c r="Y141" i="3"/>
  <c r="AF144" i="3"/>
  <c r="AD144" i="3"/>
  <c r="AC144" i="3"/>
  <c r="AK144" i="3"/>
  <c r="AI144" i="3"/>
  <c r="AH144" i="3"/>
  <c r="AG145" i="3"/>
  <c r="AH145" i="3" s="1"/>
  <c r="K145" i="3"/>
  <c r="AB145" i="3"/>
  <c r="AC145" i="3" s="1"/>
  <c r="S145" i="3"/>
  <c r="AK145" i="3"/>
  <c r="AI145" i="3"/>
  <c r="AF145" i="3"/>
  <c r="AD145" i="3"/>
  <c r="Y145" i="3"/>
  <c r="AF148" i="3"/>
  <c r="AD148" i="3"/>
  <c r="AK148" i="3"/>
  <c r="AI148" i="3"/>
  <c r="AF7" i="2"/>
  <c r="AD7" i="2"/>
  <c r="AC7" i="2"/>
  <c r="AK7" i="2"/>
  <c r="AI7" i="2"/>
  <c r="AH7" i="2"/>
  <c r="AF8" i="2"/>
  <c r="AD8" i="2"/>
  <c r="AC8" i="2"/>
  <c r="AK8" i="2"/>
  <c r="AI8" i="2"/>
  <c r="AH8" i="2"/>
  <c r="B59" i="2"/>
  <c r="C9" i="2"/>
  <c r="D59" i="2"/>
  <c r="E9" i="2"/>
  <c r="F59" i="2"/>
  <c r="G9" i="2"/>
  <c r="H59" i="2"/>
  <c r="I9" i="2"/>
  <c r="J59" i="2"/>
  <c r="AG9" i="2"/>
  <c r="AH9" i="2" s="1"/>
  <c r="K9" i="2"/>
  <c r="L59" i="2"/>
  <c r="M9" i="2"/>
  <c r="N59" i="2"/>
  <c r="O9" i="2"/>
  <c r="P59" i="2"/>
  <c r="Q9" i="2"/>
  <c r="R59" i="2"/>
  <c r="AB9" i="2"/>
  <c r="AC9" i="2" s="1"/>
  <c r="S9" i="2"/>
  <c r="T59" i="2"/>
  <c r="U9" i="2"/>
  <c r="V59" i="2"/>
  <c r="W9" i="2"/>
  <c r="X59" i="2"/>
  <c r="AK9" i="2"/>
  <c r="AI9" i="2"/>
  <c r="AF9" i="2"/>
  <c r="AD9" i="2"/>
  <c r="Y9" i="2"/>
  <c r="Z59" i="2"/>
  <c r="AA9" i="2"/>
  <c r="AF13" i="2"/>
  <c r="AD13" i="2"/>
  <c r="AC13" i="2"/>
  <c r="AK13" i="2"/>
  <c r="AI13" i="2"/>
  <c r="AH13" i="2"/>
  <c r="AF15" i="2"/>
  <c r="AD15" i="2"/>
  <c r="AC15" i="2"/>
  <c r="AK15" i="2"/>
  <c r="AI15" i="2"/>
  <c r="AH15" i="2"/>
  <c r="AF16" i="2"/>
  <c r="AD16" i="2"/>
  <c r="AC16" i="2"/>
  <c r="AK16" i="2"/>
  <c r="AI16" i="2"/>
  <c r="AH16" i="2"/>
  <c r="AF17" i="2"/>
  <c r="AD17" i="2"/>
  <c r="AC17" i="2"/>
  <c r="AK17" i="2"/>
  <c r="AI17" i="2"/>
  <c r="AH17" i="2"/>
  <c r="AF18" i="2"/>
  <c r="AD18" i="2"/>
  <c r="AC18" i="2"/>
  <c r="AK18" i="2"/>
  <c r="AI18" i="2"/>
  <c r="AH18" i="2"/>
  <c r="AF19" i="2"/>
  <c r="AD19" i="2"/>
  <c r="AC19" i="2"/>
  <c r="AK19" i="2"/>
  <c r="AI19" i="2"/>
  <c r="AH19" i="2"/>
  <c r="AF20" i="2"/>
  <c r="AD20" i="2"/>
  <c r="AC20" i="2"/>
  <c r="AK20" i="2"/>
  <c r="AI20" i="2"/>
  <c r="AH20" i="2"/>
  <c r="AF21" i="2"/>
  <c r="AD21" i="2"/>
  <c r="AC21" i="2"/>
  <c r="AK21" i="2"/>
  <c r="AI21" i="2"/>
  <c r="AH21" i="2"/>
  <c r="AF22" i="2"/>
  <c r="AD22" i="2"/>
  <c r="AC22" i="2"/>
  <c r="AK22" i="2"/>
  <c r="AI22" i="2"/>
  <c r="AH22" i="2"/>
  <c r="AF23" i="2"/>
  <c r="AD23" i="2"/>
  <c r="AC23" i="2"/>
  <c r="AK23" i="2"/>
  <c r="AI23" i="2"/>
  <c r="AH23" i="2"/>
  <c r="AF24" i="2"/>
  <c r="AD24" i="2"/>
  <c r="AC24" i="2"/>
  <c r="AK24" i="2"/>
  <c r="AI24" i="2"/>
  <c r="AH24" i="2"/>
  <c r="AF25" i="2"/>
  <c r="AD25" i="2"/>
  <c r="AC25" i="2"/>
  <c r="AK25" i="2"/>
  <c r="AI25" i="2"/>
  <c r="AH25" i="2"/>
  <c r="AF26" i="2"/>
  <c r="AD26" i="2"/>
  <c r="AC26" i="2"/>
  <c r="AK26" i="2"/>
  <c r="AI26" i="2"/>
  <c r="AH26" i="2"/>
  <c r="AG27" i="2"/>
  <c r="AH27" i="2" s="1"/>
  <c r="K27" i="2"/>
  <c r="AB27" i="2"/>
  <c r="AC27" i="2" s="1"/>
  <c r="S27" i="2"/>
  <c r="AK27" i="2"/>
  <c r="AI27" i="2"/>
  <c r="AF27" i="2"/>
  <c r="AD27" i="2"/>
  <c r="Y27" i="2"/>
  <c r="AF29" i="2"/>
  <c r="AD29" i="2"/>
  <c r="AC29" i="2"/>
  <c r="AK29" i="2"/>
  <c r="AI29" i="2"/>
  <c r="AH29" i="2"/>
  <c r="AF30" i="2"/>
  <c r="AD30" i="2"/>
  <c r="AC30" i="2"/>
  <c r="AK30" i="2"/>
  <c r="AI30" i="2"/>
  <c r="AH30" i="2"/>
  <c r="AF31" i="2"/>
  <c r="AD31" i="2"/>
  <c r="AC31" i="2"/>
  <c r="AK31" i="2"/>
  <c r="AI31" i="2"/>
  <c r="AH31" i="2"/>
  <c r="AF32" i="2"/>
  <c r="AD32" i="2"/>
  <c r="AC32" i="2"/>
  <c r="AK32" i="2"/>
  <c r="AI32" i="2"/>
  <c r="AH32" i="2"/>
  <c r="AF33" i="2"/>
  <c r="AD33" i="2"/>
  <c r="AC33" i="2"/>
  <c r="AK33" i="2"/>
  <c r="AI33" i="2"/>
  <c r="AH33" i="2"/>
  <c r="AG34" i="2"/>
  <c r="AH34" i="2" s="1"/>
  <c r="K34" i="2"/>
  <c r="AB34" i="2"/>
  <c r="AC34" i="2" s="1"/>
  <c r="S34" i="2"/>
  <c r="AK34" i="2"/>
  <c r="AI34" i="2"/>
  <c r="AF34" i="2"/>
  <c r="AD34" i="2"/>
  <c r="Y34" i="2"/>
  <c r="AG35" i="2"/>
  <c r="AH35" i="2" s="1"/>
  <c r="K35" i="2"/>
  <c r="AB35" i="2"/>
  <c r="AC35" i="2" s="1"/>
  <c r="S35" i="2"/>
  <c r="AK35" i="2"/>
  <c r="AI35" i="2"/>
  <c r="AF35" i="2"/>
  <c r="AD35" i="2"/>
  <c r="Y35" i="2"/>
  <c r="AF37" i="2"/>
  <c r="AD37" i="2"/>
  <c r="AC37" i="2"/>
  <c r="AK37" i="2"/>
  <c r="AI37" i="2"/>
  <c r="AH37" i="2"/>
  <c r="AF39" i="2"/>
  <c r="AD39" i="2"/>
  <c r="AC39" i="2"/>
  <c r="AK39" i="2"/>
  <c r="AI39" i="2"/>
  <c r="AH39" i="2"/>
  <c r="AF40" i="2"/>
  <c r="AD40" i="2"/>
  <c r="AC40" i="2"/>
  <c r="AK40" i="2"/>
  <c r="AI40" i="2"/>
  <c r="AH40" i="2"/>
  <c r="AF41" i="2"/>
  <c r="AD41" i="2"/>
  <c r="AC41" i="2"/>
  <c r="AK41" i="2"/>
  <c r="AI41" i="2"/>
  <c r="AH41" i="2"/>
  <c r="AF42" i="2"/>
  <c r="AD42" i="2"/>
  <c r="AC42" i="2"/>
  <c r="AK42" i="2"/>
  <c r="AI42" i="2"/>
  <c r="AH42" i="2"/>
  <c r="AF43" i="2"/>
  <c r="AD43" i="2"/>
  <c r="AC43" i="2"/>
  <c r="AK43" i="2"/>
  <c r="AI43" i="2"/>
  <c r="AH43" i="2"/>
  <c r="AG44" i="2"/>
  <c r="AH44" i="2" s="1"/>
  <c r="K44" i="2"/>
  <c r="AB44" i="2"/>
  <c r="AC44" i="2" s="1"/>
  <c r="S44" i="2"/>
  <c r="AK44" i="2"/>
  <c r="AI44" i="2"/>
  <c r="AF44" i="2"/>
  <c r="AD44" i="2"/>
  <c r="Y44" i="2"/>
  <c r="AF46" i="2"/>
  <c r="AD46" i="2"/>
  <c r="AC46" i="2"/>
  <c r="AK46" i="2"/>
  <c r="AI46" i="2"/>
  <c r="AH46" i="2"/>
  <c r="AF47" i="2"/>
  <c r="AD47" i="2"/>
  <c r="AC47" i="2"/>
  <c r="AK47" i="2"/>
  <c r="AI47" i="2"/>
  <c r="AH47" i="2"/>
  <c r="AF48" i="2"/>
  <c r="AD48" i="2"/>
  <c r="AC48" i="2"/>
  <c r="AK48" i="2"/>
  <c r="AI48" i="2"/>
  <c r="AH48" i="2"/>
  <c r="AF49" i="2"/>
  <c r="AD49" i="2"/>
  <c r="AC49" i="2"/>
  <c r="AK49" i="2"/>
  <c r="AI49" i="2"/>
  <c r="AH49" i="2"/>
  <c r="AF50" i="2"/>
  <c r="AD50" i="2"/>
  <c r="AC50" i="2"/>
  <c r="AK50" i="2"/>
  <c r="AI50" i="2"/>
  <c r="AH50" i="2"/>
  <c r="AF51" i="2"/>
  <c r="AD51" i="2"/>
  <c r="AC51" i="2"/>
  <c r="AK51" i="2"/>
  <c r="AI51" i="2"/>
  <c r="AH51" i="2"/>
  <c r="AG52" i="2"/>
  <c r="AH52" i="2" s="1"/>
  <c r="K52" i="2"/>
  <c r="AB52" i="2"/>
  <c r="AC52" i="2" s="1"/>
  <c r="S52" i="2"/>
  <c r="AK52" i="2"/>
  <c r="AI52" i="2"/>
  <c r="AF52" i="2"/>
  <c r="AD52" i="2"/>
  <c r="Y52" i="2"/>
  <c r="AF53" i="2"/>
  <c r="AD53" i="2"/>
  <c r="AC53" i="2"/>
  <c r="AK53" i="2"/>
  <c r="AI53" i="2"/>
  <c r="AH53" i="2"/>
  <c r="AF54" i="2"/>
  <c r="AD54" i="2"/>
  <c r="AC54" i="2"/>
  <c r="AK54" i="2"/>
  <c r="AI54" i="2"/>
  <c r="AH54" i="2"/>
  <c r="AF55" i="2"/>
  <c r="AD55" i="2"/>
  <c r="AC55" i="2"/>
  <c r="AK55" i="2"/>
  <c r="AI55" i="2"/>
  <c r="AH55" i="2"/>
  <c r="AG56" i="2"/>
  <c r="AH56" i="2" s="1"/>
  <c r="K56" i="2"/>
  <c r="AB56" i="2"/>
  <c r="AC56" i="2" s="1"/>
  <c r="S56" i="2"/>
  <c r="AK56" i="2"/>
  <c r="AI56" i="2"/>
  <c r="AF56" i="2"/>
  <c r="AD56" i="2"/>
  <c r="Y56" i="2"/>
  <c r="AG57" i="2"/>
  <c r="AH57" i="2" s="1"/>
  <c r="K57" i="2"/>
  <c r="AB57" i="2"/>
  <c r="AC57" i="2" s="1"/>
  <c r="S57" i="2"/>
  <c r="AK57" i="2"/>
  <c r="AI57" i="2"/>
  <c r="AF57" i="2"/>
  <c r="AD57" i="2"/>
  <c r="Y57" i="2"/>
  <c r="AF63" i="2"/>
  <c r="AD63" i="2"/>
  <c r="AC63" i="2"/>
  <c r="AK63" i="2"/>
  <c r="AI63" i="2"/>
  <c r="AH63" i="2"/>
  <c r="AF65" i="2"/>
  <c r="AD65" i="2"/>
  <c r="AC65" i="2"/>
  <c r="AK65" i="2"/>
  <c r="AI65" i="2"/>
  <c r="AH65" i="2"/>
  <c r="AF66" i="2"/>
  <c r="AD66" i="2"/>
  <c r="AC66" i="2"/>
  <c r="AK66" i="2"/>
  <c r="AI66" i="2"/>
  <c r="AH66" i="2"/>
  <c r="AF67" i="2"/>
  <c r="AD67" i="2"/>
  <c r="AC67" i="2"/>
  <c r="AK67" i="2"/>
  <c r="AI67" i="2"/>
  <c r="AH67" i="2"/>
  <c r="AF68" i="2"/>
  <c r="AD68" i="2"/>
  <c r="AC68" i="2"/>
  <c r="AK68" i="2"/>
  <c r="AI68" i="2"/>
  <c r="AH68" i="2"/>
  <c r="AF69" i="2"/>
  <c r="AD69" i="2"/>
  <c r="AC69" i="2"/>
  <c r="AK69" i="2"/>
  <c r="AI69" i="2"/>
  <c r="AH69" i="2"/>
  <c r="AG70" i="2"/>
  <c r="AH70" i="2" s="1"/>
  <c r="K70" i="2"/>
  <c r="AB70" i="2"/>
  <c r="AC70" i="2" s="1"/>
  <c r="S70" i="2"/>
  <c r="AK70" i="2"/>
  <c r="AI70" i="2"/>
  <c r="AF70" i="2"/>
  <c r="AD70" i="2"/>
  <c r="Y70" i="2"/>
  <c r="AF71" i="2"/>
  <c r="AD71" i="2"/>
  <c r="AC71" i="2"/>
  <c r="AK71" i="2"/>
  <c r="AI71" i="2"/>
  <c r="AH71" i="2"/>
  <c r="AF72" i="2"/>
  <c r="AD72" i="2"/>
  <c r="AC72" i="2"/>
  <c r="AK72" i="2"/>
  <c r="AI72" i="2"/>
  <c r="AH72" i="2"/>
  <c r="AF74" i="2"/>
  <c r="AD74" i="2"/>
  <c r="AC74" i="2"/>
  <c r="AK74" i="2"/>
  <c r="AI74" i="2"/>
  <c r="AH74" i="2"/>
  <c r="AF75" i="2"/>
  <c r="AD75" i="2"/>
  <c r="AC75" i="2"/>
  <c r="AK75" i="2"/>
  <c r="AI75" i="2"/>
  <c r="AH75" i="2"/>
  <c r="AF76" i="2"/>
  <c r="AD76" i="2"/>
  <c r="AC76" i="2"/>
  <c r="AK76" i="2"/>
  <c r="AI76" i="2"/>
  <c r="AH76" i="2"/>
  <c r="AF77" i="2"/>
  <c r="AD77" i="2"/>
  <c r="AC77" i="2"/>
  <c r="AK77" i="2"/>
  <c r="AI77" i="2"/>
  <c r="AH77" i="2"/>
  <c r="AF78" i="2"/>
  <c r="AD78" i="2"/>
  <c r="AC78" i="2"/>
  <c r="AK78" i="2"/>
  <c r="AI78" i="2"/>
  <c r="AH78" i="2"/>
  <c r="AF79" i="2"/>
  <c r="AD79" i="2"/>
  <c r="AC79" i="2"/>
  <c r="AK79" i="2"/>
  <c r="AI79" i="2"/>
  <c r="AH79" i="2"/>
  <c r="AF80" i="2"/>
  <c r="AD80" i="2"/>
  <c r="AC80" i="2"/>
  <c r="AK80" i="2"/>
  <c r="AI80" i="2"/>
  <c r="AH80" i="2"/>
  <c r="AG81" i="2"/>
  <c r="AH81" i="2" s="1"/>
  <c r="K81" i="2"/>
  <c r="AB81" i="2"/>
  <c r="AC81" i="2" s="1"/>
  <c r="S81" i="2"/>
  <c r="AK81" i="2"/>
  <c r="AI81" i="2"/>
  <c r="AF81" i="2"/>
  <c r="AD81" i="2"/>
  <c r="Y81" i="2"/>
  <c r="AF82" i="2"/>
  <c r="AD82" i="2"/>
  <c r="AC82" i="2"/>
  <c r="AK82" i="2"/>
  <c r="AI82" i="2"/>
  <c r="AH82" i="2"/>
  <c r="AF83" i="2"/>
  <c r="AD83" i="2"/>
  <c r="AC83" i="2"/>
  <c r="AK83" i="2"/>
  <c r="AI83" i="2"/>
  <c r="AH83" i="2"/>
  <c r="AG84" i="2"/>
  <c r="AH84" i="2" s="1"/>
  <c r="K84" i="2"/>
  <c r="AB84" i="2"/>
  <c r="AC84" i="2" s="1"/>
  <c r="S84" i="2"/>
  <c r="AK84" i="2"/>
  <c r="AI84" i="2"/>
  <c r="AF84" i="2"/>
  <c r="AD84" i="2"/>
  <c r="Y84" i="2"/>
  <c r="AG85" i="2"/>
  <c r="AH85" i="2" s="1"/>
  <c r="K85" i="2"/>
  <c r="AB85" i="2"/>
  <c r="AC85" i="2" s="1"/>
  <c r="S85" i="2"/>
  <c r="AK85" i="2"/>
  <c r="AI85" i="2"/>
  <c r="AF85" i="2"/>
  <c r="AD85" i="2"/>
  <c r="Y85" i="2"/>
  <c r="AF90" i="2"/>
  <c r="AD90" i="2"/>
  <c r="AC90" i="2"/>
  <c r="AK90" i="2"/>
  <c r="AI90" i="2"/>
  <c r="AH90" i="2"/>
  <c r="AF91" i="2"/>
  <c r="AD91" i="2"/>
  <c r="AC91" i="2"/>
  <c r="AK91" i="2"/>
  <c r="AI91" i="2"/>
  <c r="AH91" i="2"/>
  <c r="AF92" i="2"/>
  <c r="AD92" i="2"/>
  <c r="AC92" i="2"/>
  <c r="AK92" i="2"/>
  <c r="AI92" i="2"/>
  <c r="AH92" i="2"/>
  <c r="AF93" i="2"/>
  <c r="AD93" i="2"/>
  <c r="AC93" i="2"/>
  <c r="AK93" i="2"/>
  <c r="AI93" i="2"/>
  <c r="AH93" i="2"/>
  <c r="AF94" i="2"/>
  <c r="AD94" i="2"/>
  <c r="AC94" i="2"/>
  <c r="AK94" i="2"/>
  <c r="AI94" i="2"/>
  <c r="AH94" i="2"/>
  <c r="AF95" i="2"/>
  <c r="AD95" i="2"/>
  <c r="AC95" i="2"/>
  <c r="AK95" i="2"/>
  <c r="AI95" i="2"/>
  <c r="AH95" i="2"/>
  <c r="AF96" i="2"/>
  <c r="AD96" i="2"/>
  <c r="AC96" i="2"/>
  <c r="AK96" i="2"/>
  <c r="AI96" i="2"/>
  <c r="AH96" i="2"/>
  <c r="AF97" i="2"/>
  <c r="AD97" i="2"/>
  <c r="AC97" i="2"/>
  <c r="AK97" i="2"/>
  <c r="AI97" i="2"/>
  <c r="AH97" i="2"/>
  <c r="AF98" i="2"/>
  <c r="AD98" i="2"/>
  <c r="AC98" i="2"/>
  <c r="AK98" i="2"/>
  <c r="AI98" i="2"/>
  <c r="AH98" i="2"/>
  <c r="AG99" i="2"/>
  <c r="AH99" i="2" s="1"/>
  <c r="K99" i="2"/>
  <c r="AB99" i="2"/>
  <c r="AC99" i="2" s="1"/>
  <c r="S99" i="2"/>
  <c r="AK99" i="2"/>
  <c r="AI99" i="2"/>
  <c r="AF99" i="2"/>
  <c r="AD99" i="2"/>
  <c r="Y99" i="2"/>
  <c r="AF104" i="2"/>
  <c r="AD104" i="2"/>
  <c r="AC104" i="2"/>
  <c r="AK104" i="2"/>
  <c r="AI104" i="2"/>
  <c r="AH104" i="2"/>
  <c r="AG105" i="2"/>
  <c r="AH105" i="2" s="1"/>
  <c r="K105" i="2"/>
  <c r="AB105" i="2"/>
  <c r="AC105" i="2" s="1"/>
  <c r="S105" i="2"/>
  <c r="AK105" i="2"/>
  <c r="AI105" i="2"/>
  <c r="AF105" i="2"/>
  <c r="AD105" i="2"/>
  <c r="Y105" i="2"/>
  <c r="AF110" i="2"/>
  <c r="AD110" i="2"/>
  <c r="AC110" i="2"/>
  <c r="AK110" i="2"/>
  <c r="AI110" i="2"/>
  <c r="AH110" i="2"/>
  <c r="AF111" i="2"/>
  <c r="AD111" i="2"/>
  <c r="AC111" i="2"/>
  <c r="AK111" i="2"/>
  <c r="AI111" i="2"/>
  <c r="AH111" i="2"/>
  <c r="AF112" i="2"/>
  <c r="AD112" i="2"/>
  <c r="AC112" i="2"/>
  <c r="AK112" i="2"/>
  <c r="AI112" i="2"/>
  <c r="AH112" i="2"/>
  <c r="AF113" i="2"/>
  <c r="AD113" i="2"/>
  <c r="AC113" i="2"/>
  <c r="AK113" i="2"/>
  <c r="AI113" i="2"/>
  <c r="AH113" i="2"/>
  <c r="AF114" i="2"/>
  <c r="AD114" i="2"/>
  <c r="AC114" i="2"/>
  <c r="AK114" i="2"/>
  <c r="AI114" i="2"/>
  <c r="AH114" i="2"/>
  <c r="AF115" i="2"/>
  <c r="AD115" i="2"/>
  <c r="AC115" i="2"/>
  <c r="AK115" i="2"/>
  <c r="AI115" i="2"/>
  <c r="AH115" i="2"/>
  <c r="AF116" i="2"/>
  <c r="AD116" i="2"/>
  <c r="AC116" i="2"/>
  <c r="AK116" i="2"/>
  <c r="AI116" i="2"/>
  <c r="AH116" i="2"/>
  <c r="AF117" i="2"/>
  <c r="AD117" i="2"/>
  <c r="AC117" i="2"/>
  <c r="AK117" i="2"/>
  <c r="AI117" i="2"/>
  <c r="AH117" i="2"/>
  <c r="AF118" i="2"/>
  <c r="AD118" i="2"/>
  <c r="AC118" i="2"/>
  <c r="AK118" i="2"/>
  <c r="AI118" i="2"/>
  <c r="AH118" i="2"/>
  <c r="AF119" i="2"/>
  <c r="AD119" i="2"/>
  <c r="AC119" i="2"/>
  <c r="AK119" i="2"/>
  <c r="AI119" i="2"/>
  <c r="AH119" i="2"/>
  <c r="AF120" i="2"/>
  <c r="AD120" i="2"/>
  <c r="AC120" i="2"/>
  <c r="AK120" i="2"/>
  <c r="AI120" i="2"/>
  <c r="AH120" i="2"/>
  <c r="AF121" i="2"/>
  <c r="AD121" i="2"/>
  <c r="AC121" i="2"/>
  <c r="AK121" i="2"/>
  <c r="AI121" i="2"/>
  <c r="AH121" i="2"/>
  <c r="AF122" i="2"/>
  <c r="AD122" i="2"/>
  <c r="AC122" i="2"/>
  <c r="AK122" i="2"/>
  <c r="AI122" i="2"/>
  <c r="AH122" i="2"/>
  <c r="AF123" i="2"/>
  <c r="AD123" i="2"/>
  <c r="AC123" i="2"/>
  <c r="AK123" i="2"/>
  <c r="AI123" i="2"/>
  <c r="AH123" i="2"/>
  <c r="AF124" i="2"/>
  <c r="AD124" i="2"/>
  <c r="AC124" i="2"/>
  <c r="AK124" i="2"/>
  <c r="AI124" i="2"/>
  <c r="AH124" i="2"/>
  <c r="AF125" i="2"/>
  <c r="AD125" i="2"/>
  <c r="AC125" i="2"/>
  <c r="AK125" i="2"/>
  <c r="AI125" i="2"/>
  <c r="AH125" i="2"/>
  <c r="AF126" i="2"/>
  <c r="AD126" i="2"/>
  <c r="AC126" i="2"/>
  <c r="AK126" i="2"/>
  <c r="AI126" i="2"/>
  <c r="AH126" i="2"/>
  <c r="AF127" i="2"/>
  <c r="AD127" i="2"/>
  <c r="AC127" i="2"/>
  <c r="AK127" i="2"/>
  <c r="AI127" i="2"/>
  <c r="AH127" i="2"/>
  <c r="AF128" i="2"/>
  <c r="AD128" i="2"/>
  <c r="AC128" i="2"/>
  <c r="AK128" i="2"/>
  <c r="AI128" i="2"/>
  <c r="AH128" i="2"/>
  <c r="AF129" i="2"/>
  <c r="AD129" i="2"/>
  <c r="AC129" i="2"/>
  <c r="AK129" i="2"/>
  <c r="AI129" i="2"/>
  <c r="AH129" i="2"/>
  <c r="AF130" i="2"/>
  <c r="AD130" i="2"/>
  <c r="AC130" i="2"/>
  <c r="AK130" i="2"/>
  <c r="AI130" i="2"/>
  <c r="AH130" i="2"/>
  <c r="AF131" i="2"/>
  <c r="AD131" i="2"/>
  <c r="AC131" i="2"/>
  <c r="AK131" i="2"/>
  <c r="AI131" i="2"/>
  <c r="AH131" i="2"/>
  <c r="AF132" i="2"/>
  <c r="AD132" i="2"/>
  <c r="AC132" i="2"/>
  <c r="AK132" i="2"/>
  <c r="AI132" i="2"/>
  <c r="AH132" i="2"/>
  <c r="AF133" i="2"/>
  <c r="AD133" i="2"/>
  <c r="AC133" i="2"/>
  <c r="AK133" i="2"/>
  <c r="AI133" i="2"/>
  <c r="AH133" i="2"/>
  <c r="AF134" i="2"/>
  <c r="AD134" i="2"/>
  <c r="AC134" i="2"/>
  <c r="AK134" i="2"/>
  <c r="AI134" i="2"/>
  <c r="AH134" i="2"/>
  <c r="AG135" i="2"/>
  <c r="AH135" i="2" s="1"/>
  <c r="K135" i="2"/>
  <c r="AB135" i="2"/>
  <c r="AC135" i="2" s="1"/>
  <c r="S135" i="2"/>
  <c r="AK135" i="2"/>
  <c r="AI135" i="2"/>
  <c r="AF135" i="2"/>
  <c r="AD135" i="2"/>
  <c r="Y135" i="2"/>
  <c r="AF140" i="2"/>
  <c r="AD140" i="2"/>
  <c r="AC140" i="2"/>
  <c r="AK140" i="2"/>
  <c r="AI140" i="2"/>
  <c r="AH140" i="2"/>
  <c r="AG141" i="2"/>
  <c r="AH141" i="2" s="1"/>
  <c r="K141" i="2"/>
  <c r="AB141" i="2"/>
  <c r="AC141" i="2" s="1"/>
  <c r="S141" i="2"/>
  <c r="AK141" i="2"/>
  <c r="AI141" i="2"/>
  <c r="AF141" i="2"/>
  <c r="AD141" i="2"/>
  <c r="Y141" i="2"/>
  <c r="AF144" i="2"/>
  <c r="AD144" i="2"/>
  <c r="AC144" i="2"/>
  <c r="AK144" i="2"/>
  <c r="AI144" i="2"/>
  <c r="AH144" i="2"/>
  <c r="AG145" i="2"/>
  <c r="AH145" i="2" s="1"/>
  <c r="K145" i="2"/>
  <c r="AB145" i="2"/>
  <c r="AC145" i="2" s="1"/>
  <c r="S145" i="2"/>
  <c r="AK145" i="2"/>
  <c r="AI145" i="2"/>
  <c r="AF145" i="2"/>
  <c r="AD145" i="2"/>
  <c r="Y145" i="2"/>
  <c r="AF148" i="2"/>
  <c r="AD148" i="2"/>
  <c r="AK148" i="2"/>
  <c r="AI148" i="2"/>
  <c r="AF7" i="1"/>
  <c r="AD7" i="1"/>
  <c r="AC7" i="1"/>
  <c r="AK7" i="1"/>
  <c r="AI7" i="1"/>
  <c r="AH7" i="1"/>
  <c r="AF8" i="1"/>
  <c r="AD8" i="1"/>
  <c r="AC8" i="1"/>
  <c r="AK8" i="1"/>
  <c r="AI8" i="1"/>
  <c r="AH8" i="1"/>
  <c r="B59" i="1"/>
  <c r="C9" i="1"/>
  <c r="D59" i="1"/>
  <c r="E9" i="1"/>
  <c r="F59" i="1"/>
  <c r="G9" i="1"/>
  <c r="H59" i="1"/>
  <c r="I9" i="1"/>
  <c r="J59" i="1"/>
  <c r="AG9" i="1"/>
  <c r="AH9" i="1" s="1"/>
  <c r="K9" i="1"/>
  <c r="L59" i="1"/>
  <c r="M9" i="1"/>
  <c r="N59" i="1"/>
  <c r="O9" i="1"/>
  <c r="P59" i="1"/>
  <c r="Q9" i="1"/>
  <c r="R59" i="1"/>
  <c r="AB9" i="1"/>
  <c r="AC9" i="1" s="1"/>
  <c r="S9" i="1"/>
  <c r="T59" i="1"/>
  <c r="U9" i="1"/>
  <c r="V59" i="1"/>
  <c r="W9" i="1"/>
  <c r="X59" i="1"/>
  <c r="AK9" i="1"/>
  <c r="AI9" i="1"/>
  <c r="AF9" i="1"/>
  <c r="AD9" i="1"/>
  <c r="Y9" i="1"/>
  <c r="Z59" i="1"/>
  <c r="AA9" i="1"/>
  <c r="AF13" i="1"/>
  <c r="AD13" i="1"/>
  <c r="AC13" i="1"/>
  <c r="AK13" i="1"/>
  <c r="AI13" i="1"/>
  <c r="AH13" i="1"/>
  <c r="AF15" i="1"/>
  <c r="AD15" i="1"/>
  <c r="AC15" i="1"/>
  <c r="AK15" i="1"/>
  <c r="AI15" i="1"/>
  <c r="AH15" i="1"/>
  <c r="AF16" i="1"/>
  <c r="AD16" i="1"/>
  <c r="AC16" i="1"/>
  <c r="AK16" i="1"/>
  <c r="AI16" i="1"/>
  <c r="AH16" i="1"/>
  <c r="AF17" i="1"/>
  <c r="AD17" i="1"/>
  <c r="AC17" i="1"/>
  <c r="AK17" i="1"/>
  <c r="AI17" i="1"/>
  <c r="AH17" i="1"/>
  <c r="AF18" i="1"/>
  <c r="AD18" i="1"/>
  <c r="AC18" i="1"/>
  <c r="AK18" i="1"/>
  <c r="AI18" i="1"/>
  <c r="AH18" i="1"/>
  <c r="AF19" i="1"/>
  <c r="AD19" i="1"/>
  <c r="AC19" i="1"/>
  <c r="AK19" i="1"/>
  <c r="AI19" i="1"/>
  <c r="AH19" i="1"/>
  <c r="AF20" i="1"/>
  <c r="AD20" i="1"/>
  <c r="AC20" i="1"/>
  <c r="AK20" i="1"/>
  <c r="AI20" i="1"/>
  <c r="AH20" i="1"/>
  <c r="AF21" i="1"/>
  <c r="AD21" i="1"/>
  <c r="AC21" i="1"/>
  <c r="AK21" i="1"/>
  <c r="AI21" i="1"/>
  <c r="AH21" i="1"/>
  <c r="AF22" i="1"/>
  <c r="AD22" i="1"/>
  <c r="AC22" i="1"/>
  <c r="AK22" i="1"/>
  <c r="AI22" i="1"/>
  <c r="AH22" i="1"/>
  <c r="AF23" i="1"/>
  <c r="AD23" i="1"/>
  <c r="AC23" i="1"/>
  <c r="AK23" i="1"/>
  <c r="AI23" i="1"/>
  <c r="AH23" i="1"/>
  <c r="AF24" i="1"/>
  <c r="AD24" i="1"/>
  <c r="AC24" i="1"/>
  <c r="AK24" i="1"/>
  <c r="AI24" i="1"/>
  <c r="AH24" i="1"/>
  <c r="AF25" i="1"/>
  <c r="AD25" i="1"/>
  <c r="AC25" i="1"/>
  <c r="AK25" i="1"/>
  <c r="AI25" i="1"/>
  <c r="AH25" i="1"/>
  <c r="AF26" i="1"/>
  <c r="AD26" i="1"/>
  <c r="AC26" i="1"/>
  <c r="AK26" i="1"/>
  <c r="AI26" i="1"/>
  <c r="AH26" i="1"/>
  <c r="AG27" i="1"/>
  <c r="AH27" i="1" s="1"/>
  <c r="K27" i="1"/>
  <c r="AB27" i="1"/>
  <c r="AC27" i="1" s="1"/>
  <c r="S27" i="1"/>
  <c r="AK27" i="1"/>
  <c r="AI27" i="1"/>
  <c r="AF27" i="1"/>
  <c r="AD27" i="1"/>
  <c r="Y27" i="1"/>
  <c r="AF29" i="1"/>
  <c r="AD29" i="1"/>
  <c r="AC29" i="1"/>
  <c r="AK29" i="1"/>
  <c r="AI29" i="1"/>
  <c r="AH29" i="1"/>
  <c r="AF30" i="1"/>
  <c r="AD30" i="1"/>
  <c r="AC30" i="1"/>
  <c r="AK30" i="1"/>
  <c r="AI30" i="1"/>
  <c r="AH30" i="1"/>
  <c r="AF31" i="1"/>
  <c r="AD31" i="1"/>
  <c r="AC31" i="1"/>
  <c r="AK31" i="1"/>
  <c r="AI31" i="1"/>
  <c r="AH31" i="1"/>
  <c r="AF32" i="1"/>
  <c r="AD32" i="1"/>
  <c r="AC32" i="1"/>
  <c r="AK32" i="1"/>
  <c r="AI32" i="1"/>
  <c r="AH32" i="1"/>
  <c r="AF33" i="1"/>
  <c r="AD33" i="1"/>
  <c r="AC33" i="1"/>
  <c r="AK33" i="1"/>
  <c r="AI33" i="1"/>
  <c r="AH33" i="1"/>
  <c r="AG34" i="1"/>
  <c r="AH34" i="1" s="1"/>
  <c r="K34" i="1"/>
  <c r="AB34" i="1"/>
  <c r="AC34" i="1" s="1"/>
  <c r="S34" i="1"/>
  <c r="AK34" i="1"/>
  <c r="AI34" i="1"/>
  <c r="AF34" i="1"/>
  <c r="AD34" i="1"/>
  <c r="Y34" i="1"/>
  <c r="AG35" i="1"/>
  <c r="AH35" i="1" s="1"/>
  <c r="K35" i="1"/>
  <c r="AB35" i="1"/>
  <c r="AC35" i="1" s="1"/>
  <c r="S35" i="1"/>
  <c r="AK35" i="1"/>
  <c r="AI35" i="1"/>
  <c r="AF35" i="1"/>
  <c r="AD35" i="1"/>
  <c r="Y35" i="1"/>
  <c r="AF37" i="1"/>
  <c r="AD37" i="1"/>
  <c r="AC37" i="1"/>
  <c r="AK37" i="1"/>
  <c r="AI37" i="1"/>
  <c r="AH37" i="1"/>
  <c r="AF39" i="1"/>
  <c r="AD39" i="1"/>
  <c r="AC39" i="1"/>
  <c r="AK39" i="1"/>
  <c r="AI39" i="1"/>
  <c r="AH39" i="1"/>
  <c r="AF40" i="1"/>
  <c r="AD40" i="1"/>
  <c r="AC40" i="1"/>
  <c r="AK40" i="1"/>
  <c r="AI40" i="1"/>
  <c r="AH40" i="1"/>
  <c r="AF41" i="1"/>
  <c r="AD41" i="1"/>
  <c r="AC41" i="1"/>
  <c r="AK41" i="1"/>
  <c r="AI41" i="1"/>
  <c r="AH41" i="1"/>
  <c r="AF42" i="1"/>
  <c r="AD42" i="1"/>
  <c r="AC42" i="1"/>
  <c r="AK42" i="1"/>
  <c r="AI42" i="1"/>
  <c r="AH42" i="1"/>
  <c r="AF43" i="1"/>
  <c r="AD43" i="1"/>
  <c r="AC43" i="1"/>
  <c r="AK43" i="1"/>
  <c r="AI43" i="1"/>
  <c r="AH43" i="1"/>
  <c r="AG44" i="1"/>
  <c r="AH44" i="1" s="1"/>
  <c r="K44" i="1"/>
  <c r="AB44" i="1"/>
  <c r="AC44" i="1" s="1"/>
  <c r="S44" i="1"/>
  <c r="AK44" i="1"/>
  <c r="AI44" i="1"/>
  <c r="AF44" i="1"/>
  <c r="AD44" i="1"/>
  <c r="Y44" i="1"/>
  <c r="AF46" i="1"/>
  <c r="AD46" i="1"/>
  <c r="AC46" i="1"/>
  <c r="AK46" i="1"/>
  <c r="AI46" i="1"/>
  <c r="AH46" i="1"/>
  <c r="AF47" i="1"/>
  <c r="AD47" i="1"/>
  <c r="AC47" i="1"/>
  <c r="AK47" i="1"/>
  <c r="AI47" i="1"/>
  <c r="AH47" i="1"/>
  <c r="AF48" i="1"/>
  <c r="AD48" i="1"/>
  <c r="AC48" i="1"/>
  <c r="AK48" i="1"/>
  <c r="AI48" i="1"/>
  <c r="AH48" i="1"/>
  <c r="AF49" i="1"/>
  <c r="AD49" i="1"/>
  <c r="AC49" i="1"/>
  <c r="AK49" i="1"/>
  <c r="AI49" i="1"/>
  <c r="AH49" i="1"/>
  <c r="AF50" i="1"/>
  <c r="AD50" i="1"/>
  <c r="AC50" i="1"/>
  <c r="AK50" i="1"/>
  <c r="AI50" i="1"/>
  <c r="AH50" i="1"/>
  <c r="AF51" i="1"/>
  <c r="AD51" i="1"/>
  <c r="AC51" i="1"/>
  <c r="AK51" i="1"/>
  <c r="AI51" i="1"/>
  <c r="AH51" i="1"/>
  <c r="AG52" i="1"/>
  <c r="AH52" i="1" s="1"/>
  <c r="K52" i="1"/>
  <c r="AB52" i="1"/>
  <c r="AC52" i="1" s="1"/>
  <c r="S52" i="1"/>
  <c r="AK52" i="1"/>
  <c r="AI52" i="1"/>
  <c r="AF52" i="1"/>
  <c r="AD52" i="1"/>
  <c r="Y52" i="1"/>
  <c r="AF53" i="1"/>
  <c r="AD53" i="1"/>
  <c r="AC53" i="1"/>
  <c r="AK53" i="1"/>
  <c r="AI53" i="1"/>
  <c r="AH53" i="1"/>
  <c r="AF54" i="1"/>
  <c r="AD54" i="1"/>
  <c r="AC54" i="1"/>
  <c r="AK54" i="1"/>
  <c r="AI54" i="1"/>
  <c r="AH54" i="1"/>
  <c r="AF55" i="1"/>
  <c r="AD55" i="1"/>
  <c r="AC55" i="1"/>
  <c r="AK55" i="1"/>
  <c r="AI55" i="1"/>
  <c r="AH55" i="1"/>
  <c r="AG56" i="1"/>
  <c r="AH56" i="1" s="1"/>
  <c r="K56" i="1"/>
  <c r="AB56" i="1"/>
  <c r="AC56" i="1" s="1"/>
  <c r="S56" i="1"/>
  <c r="AK56" i="1"/>
  <c r="AI56" i="1"/>
  <c r="AF56" i="1"/>
  <c r="AD56" i="1"/>
  <c r="Y56" i="1"/>
  <c r="AG57" i="1"/>
  <c r="AH57" i="1" s="1"/>
  <c r="K57" i="1"/>
  <c r="AB57" i="1"/>
  <c r="AC57" i="1" s="1"/>
  <c r="S57" i="1"/>
  <c r="AK57" i="1"/>
  <c r="AI57" i="1"/>
  <c r="AF57" i="1"/>
  <c r="AD57" i="1"/>
  <c r="Y57" i="1"/>
  <c r="AF63" i="1"/>
  <c r="AD63" i="1"/>
  <c r="AC63" i="1"/>
  <c r="AK63" i="1"/>
  <c r="AI63" i="1"/>
  <c r="AH63" i="1"/>
  <c r="AF65" i="1"/>
  <c r="AD65" i="1"/>
  <c r="AC65" i="1"/>
  <c r="AK65" i="1"/>
  <c r="AI65" i="1"/>
  <c r="AH65" i="1"/>
  <c r="AF66" i="1"/>
  <c r="AD66" i="1"/>
  <c r="AC66" i="1"/>
  <c r="AK66" i="1"/>
  <c r="AI66" i="1"/>
  <c r="AH66" i="1"/>
  <c r="AF67" i="1"/>
  <c r="AD67" i="1"/>
  <c r="AC67" i="1"/>
  <c r="AK67" i="1"/>
  <c r="AI67" i="1"/>
  <c r="AH67" i="1"/>
  <c r="AF68" i="1"/>
  <c r="AD68" i="1"/>
  <c r="AC68" i="1"/>
  <c r="AK68" i="1"/>
  <c r="AI68" i="1"/>
  <c r="AH68" i="1"/>
  <c r="AF69" i="1"/>
  <c r="AD69" i="1"/>
  <c r="AC69" i="1"/>
  <c r="AK69" i="1"/>
  <c r="AI69" i="1"/>
  <c r="AH69" i="1"/>
  <c r="AG70" i="1"/>
  <c r="AH70" i="1" s="1"/>
  <c r="K70" i="1"/>
  <c r="AB70" i="1"/>
  <c r="AC70" i="1" s="1"/>
  <c r="S70" i="1"/>
  <c r="AK70" i="1"/>
  <c r="AI70" i="1"/>
  <c r="AF70" i="1"/>
  <c r="AD70" i="1"/>
  <c r="Y70" i="1"/>
  <c r="AF71" i="1"/>
  <c r="AD71" i="1"/>
  <c r="AC71" i="1"/>
  <c r="AK71" i="1"/>
  <c r="AI71" i="1"/>
  <c r="AH71" i="1"/>
  <c r="AF72" i="1"/>
  <c r="AD72" i="1"/>
  <c r="AC72" i="1"/>
  <c r="AK72" i="1"/>
  <c r="AI72" i="1"/>
  <c r="AH72" i="1"/>
  <c r="AF74" i="1"/>
  <c r="AD74" i="1"/>
  <c r="AC74" i="1"/>
  <c r="AK74" i="1"/>
  <c r="AI74" i="1"/>
  <c r="AH74" i="1"/>
  <c r="AF75" i="1"/>
  <c r="AD75" i="1"/>
  <c r="AC75" i="1"/>
  <c r="AK75" i="1"/>
  <c r="AI75" i="1"/>
  <c r="AH75" i="1"/>
  <c r="AF76" i="1"/>
  <c r="AD76" i="1"/>
  <c r="AC76" i="1"/>
  <c r="AK76" i="1"/>
  <c r="AI76" i="1"/>
  <c r="AH76" i="1"/>
  <c r="AF77" i="1"/>
  <c r="AD77" i="1"/>
  <c r="AC77" i="1"/>
  <c r="AK77" i="1"/>
  <c r="AI77" i="1"/>
  <c r="AH77" i="1"/>
  <c r="AF78" i="1"/>
  <c r="AD78" i="1"/>
  <c r="AC78" i="1"/>
  <c r="AK78" i="1"/>
  <c r="AI78" i="1"/>
  <c r="AH78" i="1"/>
  <c r="AF79" i="1"/>
  <c r="AD79" i="1"/>
  <c r="AC79" i="1"/>
  <c r="AK79" i="1"/>
  <c r="AI79" i="1"/>
  <c r="AH79" i="1"/>
  <c r="AF80" i="1"/>
  <c r="AD80" i="1"/>
  <c r="AC80" i="1"/>
  <c r="AK80" i="1"/>
  <c r="AI80" i="1"/>
  <c r="AH80" i="1"/>
  <c r="AG81" i="1"/>
  <c r="AH81" i="1" s="1"/>
  <c r="K81" i="1"/>
  <c r="AB81" i="1"/>
  <c r="AC81" i="1" s="1"/>
  <c r="S81" i="1"/>
  <c r="AK81" i="1"/>
  <c r="AI81" i="1"/>
  <c r="AF81" i="1"/>
  <c r="AD81" i="1"/>
  <c r="Y81" i="1"/>
  <c r="AF82" i="1"/>
  <c r="AD82" i="1"/>
  <c r="AC82" i="1"/>
  <c r="AK82" i="1"/>
  <c r="AI82" i="1"/>
  <c r="AH82" i="1"/>
  <c r="AF83" i="1"/>
  <c r="AD83" i="1"/>
  <c r="AC83" i="1"/>
  <c r="AK83" i="1"/>
  <c r="AI83" i="1"/>
  <c r="AH83" i="1"/>
  <c r="AG84" i="1"/>
  <c r="AH84" i="1" s="1"/>
  <c r="K84" i="1"/>
  <c r="AB84" i="1"/>
  <c r="AC84" i="1" s="1"/>
  <c r="S84" i="1"/>
  <c r="AK84" i="1"/>
  <c r="AI84" i="1"/>
  <c r="AF84" i="1"/>
  <c r="AD84" i="1"/>
  <c r="Y84" i="1"/>
  <c r="AG85" i="1"/>
  <c r="AH85" i="1" s="1"/>
  <c r="K85" i="1"/>
  <c r="AB85" i="1"/>
  <c r="AC85" i="1" s="1"/>
  <c r="S85" i="1"/>
  <c r="AK85" i="1"/>
  <c r="AI85" i="1"/>
  <c r="AF85" i="1"/>
  <c r="AD85" i="1"/>
  <c r="Y85" i="1"/>
  <c r="AF90" i="1"/>
  <c r="AD90" i="1"/>
  <c r="AC90" i="1"/>
  <c r="AK90" i="1"/>
  <c r="AI90" i="1"/>
  <c r="AH90" i="1"/>
  <c r="AF91" i="1"/>
  <c r="AD91" i="1"/>
  <c r="AC91" i="1"/>
  <c r="AK91" i="1"/>
  <c r="AI91" i="1"/>
  <c r="AH91" i="1"/>
  <c r="AF92" i="1"/>
  <c r="AD92" i="1"/>
  <c r="AC92" i="1"/>
  <c r="AK92" i="1"/>
  <c r="AI92" i="1"/>
  <c r="AH92" i="1"/>
  <c r="AF93" i="1"/>
  <c r="AD93" i="1"/>
  <c r="AC93" i="1"/>
  <c r="AK93" i="1"/>
  <c r="AI93" i="1"/>
  <c r="AH93" i="1"/>
  <c r="AF94" i="1"/>
  <c r="AD94" i="1"/>
  <c r="AC94" i="1"/>
  <c r="AK94" i="1"/>
  <c r="AI94" i="1"/>
  <c r="AH94" i="1"/>
  <c r="AF95" i="1"/>
  <c r="AD95" i="1"/>
  <c r="AC95" i="1"/>
  <c r="AK95" i="1"/>
  <c r="AI95" i="1"/>
  <c r="AH95" i="1"/>
  <c r="AF96" i="1"/>
  <c r="AD96" i="1"/>
  <c r="AC96" i="1"/>
  <c r="AK96" i="1"/>
  <c r="AI96" i="1"/>
  <c r="AH96" i="1"/>
  <c r="AF97" i="1"/>
  <c r="AD97" i="1"/>
  <c r="AC97" i="1"/>
  <c r="AK97" i="1"/>
  <c r="AI97" i="1"/>
  <c r="AH97" i="1"/>
  <c r="AF98" i="1"/>
  <c r="AD98" i="1"/>
  <c r="AC98" i="1"/>
  <c r="AK98" i="1"/>
  <c r="AI98" i="1"/>
  <c r="AH98" i="1"/>
  <c r="AG99" i="1"/>
  <c r="AH99" i="1" s="1"/>
  <c r="K99" i="1"/>
  <c r="AB99" i="1"/>
  <c r="AC99" i="1" s="1"/>
  <c r="S99" i="1"/>
  <c r="AK99" i="1"/>
  <c r="AI99" i="1"/>
  <c r="AF99" i="1"/>
  <c r="AD99" i="1"/>
  <c r="Y99" i="1"/>
  <c r="AF104" i="1"/>
  <c r="AD104" i="1"/>
  <c r="AC104" i="1"/>
  <c r="AK104" i="1"/>
  <c r="AI104" i="1"/>
  <c r="AH104" i="1"/>
  <c r="AG105" i="1"/>
  <c r="AH105" i="1" s="1"/>
  <c r="K105" i="1"/>
  <c r="AB105" i="1"/>
  <c r="AC105" i="1" s="1"/>
  <c r="S105" i="1"/>
  <c r="AK105" i="1"/>
  <c r="AI105" i="1"/>
  <c r="AF105" i="1"/>
  <c r="AD105" i="1"/>
  <c r="Y105" i="1"/>
  <c r="AF110" i="1"/>
  <c r="AD110" i="1"/>
  <c r="AC110" i="1"/>
  <c r="AK110" i="1"/>
  <c r="AI110" i="1"/>
  <c r="AH110" i="1"/>
  <c r="AF111" i="1"/>
  <c r="AD111" i="1"/>
  <c r="AC111" i="1"/>
  <c r="AK111" i="1"/>
  <c r="AI111" i="1"/>
  <c r="AH111" i="1"/>
  <c r="AF112" i="1"/>
  <c r="AD112" i="1"/>
  <c r="AC112" i="1"/>
  <c r="AK112" i="1"/>
  <c r="AI112" i="1"/>
  <c r="AH112" i="1"/>
  <c r="AF113" i="1"/>
  <c r="AD113" i="1"/>
  <c r="AC113" i="1"/>
  <c r="AK113" i="1"/>
  <c r="AI113" i="1"/>
  <c r="AH113" i="1"/>
  <c r="AF114" i="1"/>
  <c r="AD114" i="1"/>
  <c r="AC114" i="1"/>
  <c r="AK114" i="1"/>
  <c r="AI114" i="1"/>
  <c r="AH114" i="1"/>
  <c r="AF115" i="1"/>
  <c r="AD115" i="1"/>
  <c r="AC115" i="1"/>
  <c r="AK115" i="1"/>
  <c r="AI115" i="1"/>
  <c r="AH115" i="1"/>
  <c r="AF116" i="1"/>
  <c r="AD116" i="1"/>
  <c r="AC116" i="1"/>
  <c r="AK116" i="1"/>
  <c r="AI116" i="1"/>
  <c r="AH116" i="1"/>
  <c r="AF117" i="1"/>
  <c r="AD117" i="1"/>
  <c r="AC117" i="1"/>
  <c r="AK117" i="1"/>
  <c r="AI117" i="1"/>
  <c r="AH117" i="1"/>
  <c r="AF118" i="1"/>
  <c r="AD118" i="1"/>
  <c r="AC118" i="1"/>
  <c r="AK118" i="1"/>
  <c r="AI118" i="1"/>
  <c r="AH118" i="1"/>
  <c r="AF119" i="1"/>
  <c r="AD119" i="1"/>
  <c r="AC119" i="1"/>
  <c r="AK119" i="1"/>
  <c r="AI119" i="1"/>
  <c r="AH119" i="1"/>
  <c r="AF120" i="1"/>
  <c r="AD120" i="1"/>
  <c r="AC120" i="1"/>
  <c r="AK120" i="1"/>
  <c r="AI120" i="1"/>
  <c r="AH120" i="1"/>
  <c r="AF121" i="1"/>
  <c r="AD121" i="1"/>
  <c r="AC121" i="1"/>
  <c r="AK121" i="1"/>
  <c r="AI121" i="1"/>
  <c r="AH121" i="1"/>
  <c r="AF122" i="1"/>
  <c r="AD122" i="1"/>
  <c r="AC122" i="1"/>
  <c r="AK122" i="1"/>
  <c r="AI122" i="1"/>
  <c r="AH122" i="1"/>
  <c r="AF123" i="1"/>
  <c r="AD123" i="1"/>
  <c r="AC123" i="1"/>
  <c r="AK123" i="1"/>
  <c r="AI123" i="1"/>
  <c r="AH123" i="1"/>
  <c r="AF124" i="1"/>
  <c r="AD124" i="1"/>
  <c r="AC124" i="1"/>
  <c r="AK124" i="1"/>
  <c r="AI124" i="1"/>
  <c r="AH124" i="1"/>
  <c r="AF125" i="1"/>
  <c r="AD125" i="1"/>
  <c r="AC125" i="1"/>
  <c r="AK125" i="1"/>
  <c r="AI125" i="1"/>
  <c r="AH125" i="1"/>
  <c r="AF126" i="1"/>
  <c r="AD126" i="1"/>
  <c r="AC126" i="1"/>
  <c r="AK126" i="1"/>
  <c r="AI126" i="1"/>
  <c r="AH126" i="1"/>
  <c r="AF127" i="1"/>
  <c r="AD127" i="1"/>
  <c r="AC127" i="1"/>
  <c r="AK127" i="1"/>
  <c r="AI127" i="1"/>
  <c r="AH127" i="1"/>
  <c r="AF128" i="1"/>
  <c r="AD128" i="1"/>
  <c r="AC128" i="1"/>
  <c r="AK128" i="1"/>
  <c r="AI128" i="1"/>
  <c r="AH128" i="1"/>
  <c r="AF129" i="1"/>
  <c r="AD129" i="1"/>
  <c r="AC129" i="1"/>
  <c r="AK129" i="1"/>
  <c r="AI129" i="1"/>
  <c r="AH129" i="1"/>
  <c r="AF130" i="1"/>
  <c r="AD130" i="1"/>
  <c r="AC130" i="1"/>
  <c r="AK130" i="1"/>
  <c r="AI130" i="1"/>
  <c r="AH130" i="1"/>
  <c r="AF131" i="1"/>
  <c r="AD131" i="1"/>
  <c r="AC131" i="1"/>
  <c r="AK131" i="1"/>
  <c r="AI131" i="1"/>
  <c r="AH131" i="1"/>
  <c r="AF132" i="1"/>
  <c r="AD132" i="1"/>
  <c r="AC132" i="1"/>
  <c r="AK132" i="1"/>
  <c r="AI132" i="1"/>
  <c r="AH132" i="1"/>
  <c r="AF133" i="1"/>
  <c r="AD133" i="1"/>
  <c r="AC133" i="1"/>
  <c r="AK133" i="1"/>
  <c r="AI133" i="1"/>
  <c r="AH133" i="1"/>
  <c r="AF134" i="1"/>
  <c r="AD134" i="1"/>
  <c r="AC134" i="1"/>
  <c r="AK134" i="1"/>
  <c r="AI134" i="1"/>
  <c r="AH134" i="1"/>
  <c r="AG135" i="1"/>
  <c r="AH135" i="1" s="1"/>
  <c r="K135" i="1"/>
  <c r="AB135" i="1"/>
  <c r="AC135" i="1" s="1"/>
  <c r="S135" i="1"/>
  <c r="AK135" i="1"/>
  <c r="AI135" i="1"/>
  <c r="AF135" i="1"/>
  <c r="AD135" i="1"/>
  <c r="Y135" i="1"/>
  <c r="AF140" i="1"/>
  <c r="AD140" i="1"/>
  <c r="AC140" i="1"/>
  <c r="AK140" i="1"/>
  <c r="AI140" i="1"/>
  <c r="AH140" i="1"/>
  <c r="AG141" i="1"/>
  <c r="AH141" i="1" s="1"/>
  <c r="K141" i="1"/>
  <c r="AB141" i="1"/>
  <c r="AC141" i="1" s="1"/>
  <c r="S141" i="1"/>
  <c r="AK141" i="1"/>
  <c r="AI141" i="1"/>
  <c r="AF141" i="1"/>
  <c r="AD141" i="1"/>
  <c r="Y141" i="1"/>
  <c r="AF144" i="1"/>
  <c r="AD144" i="1"/>
  <c r="AC144" i="1"/>
  <c r="AK144" i="1"/>
  <c r="AI144" i="1"/>
  <c r="AH144" i="1"/>
  <c r="AG145" i="1"/>
  <c r="AH145" i="1" s="1"/>
  <c r="K145" i="1"/>
  <c r="AB145" i="1"/>
  <c r="AC145" i="1" s="1"/>
  <c r="S145" i="1"/>
  <c r="AK145" i="1"/>
  <c r="AI145" i="1"/>
  <c r="AF145" i="1"/>
  <c r="AD145" i="1"/>
  <c r="Y145" i="1"/>
  <c r="AF148" i="1"/>
  <c r="AD148" i="1"/>
  <c r="AK148" i="1"/>
  <c r="AI148" i="1"/>
  <c r="AE145" i="5" l="1"/>
  <c r="AJ145" i="5"/>
  <c r="AL145" i="5"/>
  <c r="AJ144" i="5"/>
  <c r="AL144" i="5"/>
  <c r="AE144" i="5"/>
  <c r="AE141" i="5"/>
  <c r="AJ141" i="5"/>
  <c r="AL141" i="5"/>
  <c r="AJ140" i="5"/>
  <c r="AL140" i="5"/>
  <c r="AE140" i="5"/>
  <c r="AE135" i="5"/>
  <c r="AJ135" i="5"/>
  <c r="AL135" i="5"/>
  <c r="AJ134" i="5"/>
  <c r="AL134" i="5"/>
  <c r="AE134" i="5"/>
  <c r="AJ133" i="5"/>
  <c r="AL133" i="5"/>
  <c r="AE133" i="5"/>
  <c r="AJ132" i="5"/>
  <c r="AL132" i="5"/>
  <c r="AE132" i="5"/>
  <c r="AJ131" i="5"/>
  <c r="AL131" i="5"/>
  <c r="AE131" i="5"/>
  <c r="AJ130" i="5"/>
  <c r="AL130" i="5"/>
  <c r="AE130" i="5"/>
  <c r="AJ129" i="5"/>
  <c r="AL129" i="5"/>
  <c r="AE129" i="5"/>
  <c r="AJ128" i="5"/>
  <c r="AL128" i="5"/>
  <c r="AE128" i="5"/>
  <c r="AJ127" i="5"/>
  <c r="AL127" i="5"/>
  <c r="AE127" i="5"/>
  <c r="AJ126" i="5"/>
  <c r="AL126" i="5"/>
  <c r="AE126" i="5"/>
  <c r="AJ125" i="5"/>
  <c r="AL125" i="5"/>
  <c r="AE125" i="5"/>
  <c r="AJ124" i="5"/>
  <c r="AL124" i="5"/>
  <c r="AE124" i="5"/>
  <c r="AJ123" i="5"/>
  <c r="AL123" i="5"/>
  <c r="AE123" i="5"/>
  <c r="AJ122" i="5"/>
  <c r="AL122" i="5"/>
  <c r="AE122" i="5"/>
  <c r="AJ121" i="5"/>
  <c r="AL121" i="5"/>
  <c r="AE121" i="5"/>
  <c r="AJ120" i="5"/>
  <c r="AL120" i="5"/>
  <c r="AE120" i="5"/>
  <c r="AJ119" i="5"/>
  <c r="AL119" i="5"/>
  <c r="AE119" i="5"/>
  <c r="AJ118" i="5"/>
  <c r="AL118" i="5"/>
  <c r="AE118" i="5"/>
  <c r="AJ117" i="5"/>
  <c r="AL117" i="5"/>
  <c r="AE117" i="5"/>
  <c r="AJ116" i="5"/>
  <c r="AL116" i="5"/>
  <c r="AE116" i="5"/>
  <c r="AJ115" i="5"/>
  <c r="AL115" i="5"/>
  <c r="AE115" i="5"/>
  <c r="AJ114" i="5"/>
  <c r="AL114" i="5"/>
  <c r="AE114" i="5"/>
  <c r="AJ113" i="5"/>
  <c r="AL113" i="5"/>
  <c r="AE113" i="5"/>
  <c r="AJ112" i="5"/>
  <c r="AL112" i="5"/>
  <c r="AE112" i="5"/>
  <c r="AJ111" i="5"/>
  <c r="AL111" i="5"/>
  <c r="AE111" i="5"/>
  <c r="AJ110" i="5"/>
  <c r="AL110" i="5"/>
  <c r="AE110" i="5"/>
  <c r="AE105" i="5"/>
  <c r="AJ105" i="5"/>
  <c r="AL105" i="5"/>
  <c r="AJ104" i="5"/>
  <c r="AL104" i="5"/>
  <c r="AE104" i="5"/>
  <c r="AE99" i="5"/>
  <c r="AJ99" i="5"/>
  <c r="AL99" i="5"/>
  <c r="AJ98" i="5"/>
  <c r="AL98" i="5"/>
  <c r="AE98" i="5"/>
  <c r="AJ97" i="5"/>
  <c r="AL97" i="5"/>
  <c r="AE97" i="5"/>
  <c r="AJ96" i="5"/>
  <c r="AL96" i="5"/>
  <c r="AE96" i="5"/>
  <c r="AJ95" i="5"/>
  <c r="AL95" i="5"/>
  <c r="AE95" i="5"/>
  <c r="AJ94" i="5"/>
  <c r="AL94" i="5"/>
  <c r="AE94" i="5"/>
  <c r="AJ93" i="5"/>
  <c r="AL93" i="5"/>
  <c r="AE93" i="5"/>
  <c r="AJ92" i="5"/>
  <c r="AL92" i="5"/>
  <c r="AE92" i="5"/>
  <c r="AJ91" i="5"/>
  <c r="AL91" i="5"/>
  <c r="AE91" i="5"/>
  <c r="AJ90" i="5"/>
  <c r="AL90" i="5"/>
  <c r="AE90" i="5"/>
  <c r="AE85" i="5"/>
  <c r="AJ85" i="5"/>
  <c r="AL85" i="5"/>
  <c r="AE84" i="5"/>
  <c r="AJ84" i="5"/>
  <c r="AL84" i="5"/>
  <c r="AJ83" i="5"/>
  <c r="AL83" i="5"/>
  <c r="AE83" i="5"/>
  <c r="AJ82" i="5"/>
  <c r="AL82" i="5"/>
  <c r="AE82" i="5"/>
  <c r="AE81" i="5"/>
  <c r="AJ81" i="5"/>
  <c r="AL81" i="5"/>
  <c r="AJ80" i="5"/>
  <c r="AL80" i="5"/>
  <c r="AE80" i="5"/>
  <c r="AJ79" i="5"/>
  <c r="AL79" i="5"/>
  <c r="AE79" i="5"/>
  <c r="AJ78" i="5"/>
  <c r="AL78" i="5"/>
  <c r="AE78" i="5"/>
  <c r="AJ77" i="5"/>
  <c r="AL77" i="5"/>
  <c r="AE77" i="5"/>
  <c r="AJ76" i="5"/>
  <c r="AL76" i="5"/>
  <c r="AE76" i="5"/>
  <c r="AJ75" i="5"/>
  <c r="AL75" i="5"/>
  <c r="AE75" i="5"/>
  <c r="AJ74" i="5"/>
  <c r="AL74" i="5"/>
  <c r="AE74" i="5"/>
  <c r="AJ72" i="5"/>
  <c r="AL72" i="5"/>
  <c r="AE72" i="5"/>
  <c r="AJ71" i="5"/>
  <c r="AL71" i="5"/>
  <c r="AE71" i="5"/>
  <c r="AE70" i="5"/>
  <c r="AJ70" i="5"/>
  <c r="AL70" i="5"/>
  <c r="AJ69" i="5"/>
  <c r="AL69" i="5"/>
  <c r="AE69" i="5"/>
  <c r="AJ68" i="5"/>
  <c r="AL68" i="5"/>
  <c r="AE68" i="5"/>
  <c r="AJ67" i="5"/>
  <c r="AL67" i="5"/>
  <c r="AE67" i="5"/>
  <c r="AJ66" i="5"/>
  <c r="AL66" i="5"/>
  <c r="AE66" i="5"/>
  <c r="AJ65" i="5"/>
  <c r="AL65" i="5"/>
  <c r="AE65" i="5"/>
  <c r="AJ63" i="5"/>
  <c r="AL63" i="5"/>
  <c r="AE63" i="5"/>
  <c r="AE57" i="5"/>
  <c r="AJ57" i="5"/>
  <c r="AL57" i="5"/>
  <c r="AE56" i="5"/>
  <c r="AJ56" i="5"/>
  <c r="AL56" i="5"/>
  <c r="AJ55" i="5"/>
  <c r="AL55" i="5"/>
  <c r="AE55" i="5"/>
  <c r="AJ54" i="5"/>
  <c r="AL54" i="5"/>
  <c r="AE54" i="5"/>
  <c r="AJ53" i="5"/>
  <c r="AL53" i="5"/>
  <c r="AE53" i="5"/>
  <c r="AE52" i="5"/>
  <c r="AJ52" i="5"/>
  <c r="AL52" i="5"/>
  <c r="AJ51" i="5"/>
  <c r="AL51" i="5"/>
  <c r="AE51" i="5"/>
  <c r="AJ50" i="5"/>
  <c r="AL50" i="5"/>
  <c r="AE50" i="5"/>
  <c r="AJ49" i="5"/>
  <c r="AL49" i="5"/>
  <c r="AE49" i="5"/>
  <c r="AJ48" i="5"/>
  <c r="AL48" i="5"/>
  <c r="AE48" i="5"/>
  <c r="AJ47" i="5"/>
  <c r="AL47" i="5"/>
  <c r="AE47" i="5"/>
  <c r="AJ46" i="5"/>
  <c r="AL46" i="5"/>
  <c r="AE46" i="5"/>
  <c r="AE44" i="5"/>
  <c r="AJ44" i="5"/>
  <c r="AL44" i="5"/>
  <c r="AJ43" i="5"/>
  <c r="AL43" i="5"/>
  <c r="AE43" i="5"/>
  <c r="AJ42" i="5"/>
  <c r="AL42" i="5"/>
  <c r="AE42" i="5"/>
  <c r="AJ41" i="5"/>
  <c r="AL41" i="5"/>
  <c r="AE41" i="5"/>
  <c r="AJ40" i="5"/>
  <c r="AL40" i="5"/>
  <c r="AE40" i="5"/>
  <c r="AJ39" i="5"/>
  <c r="AL39" i="5"/>
  <c r="AE39" i="5"/>
  <c r="AJ37" i="5"/>
  <c r="AL37" i="5"/>
  <c r="AE37" i="5"/>
  <c r="AE35" i="5"/>
  <c r="AJ35" i="5"/>
  <c r="AL35" i="5"/>
  <c r="AE34" i="5"/>
  <c r="AJ34" i="5"/>
  <c r="AL34" i="5"/>
  <c r="AJ33" i="5"/>
  <c r="AL33" i="5"/>
  <c r="AE33" i="5"/>
  <c r="AJ32" i="5"/>
  <c r="AL32" i="5"/>
  <c r="AE32" i="5"/>
  <c r="AJ31" i="5"/>
  <c r="AL31" i="5"/>
  <c r="AE31" i="5"/>
  <c r="AJ30" i="5"/>
  <c r="AL30" i="5"/>
  <c r="AE30" i="5"/>
  <c r="AJ29" i="5"/>
  <c r="AL29" i="5"/>
  <c r="AE29" i="5"/>
  <c r="AE27" i="5"/>
  <c r="AJ27" i="5"/>
  <c r="AL27" i="5"/>
  <c r="AJ26" i="5"/>
  <c r="AL26" i="5"/>
  <c r="AE26" i="5"/>
  <c r="AJ25" i="5"/>
  <c r="AL25" i="5"/>
  <c r="AE25" i="5"/>
  <c r="AJ24" i="5"/>
  <c r="AL24" i="5"/>
  <c r="AE24" i="5"/>
  <c r="AJ23" i="5"/>
  <c r="AL23" i="5"/>
  <c r="AE23" i="5"/>
  <c r="AJ22" i="5"/>
  <c r="AL22" i="5"/>
  <c r="AE22" i="5"/>
  <c r="AJ21" i="5"/>
  <c r="AL21" i="5"/>
  <c r="AE21" i="5"/>
  <c r="AJ20" i="5"/>
  <c r="AL20" i="5"/>
  <c r="AE20" i="5"/>
  <c r="AJ19" i="5"/>
  <c r="AL19" i="5"/>
  <c r="AE19" i="5"/>
  <c r="AJ18" i="5"/>
  <c r="AL18" i="5"/>
  <c r="AE18" i="5"/>
  <c r="AJ17" i="5"/>
  <c r="AL17" i="5"/>
  <c r="AE17" i="5"/>
  <c r="AJ16" i="5"/>
  <c r="AL16" i="5"/>
  <c r="AE16" i="5"/>
  <c r="AJ15" i="5"/>
  <c r="AL15" i="5"/>
  <c r="AE15" i="5"/>
  <c r="AJ13" i="5"/>
  <c r="AL13" i="5"/>
  <c r="AE13" i="5"/>
  <c r="Z87" i="5"/>
  <c r="AA59" i="5"/>
  <c r="AE9" i="5"/>
  <c r="AJ9" i="5"/>
  <c r="AL9" i="5"/>
  <c r="X87" i="5"/>
  <c r="Y59" i="5"/>
  <c r="V87" i="5"/>
  <c r="W59" i="5"/>
  <c r="T87" i="5"/>
  <c r="U59" i="5"/>
  <c r="R87" i="5"/>
  <c r="AB59" i="5"/>
  <c r="S59" i="5"/>
  <c r="P87" i="5"/>
  <c r="Q59" i="5"/>
  <c r="N87" i="5"/>
  <c r="O59" i="5"/>
  <c r="L87" i="5"/>
  <c r="M59" i="5"/>
  <c r="J87" i="5"/>
  <c r="AG59" i="5"/>
  <c r="K59" i="5"/>
  <c r="H87" i="5"/>
  <c r="I59" i="5"/>
  <c r="F87" i="5"/>
  <c r="G59" i="5"/>
  <c r="D87" i="5"/>
  <c r="E59" i="5"/>
  <c r="B87" i="5"/>
  <c r="C59" i="5"/>
  <c r="AJ8" i="5"/>
  <c r="AL8" i="5"/>
  <c r="AE8" i="5"/>
  <c r="AJ7" i="5"/>
  <c r="AL7" i="5"/>
  <c r="AE7" i="5"/>
  <c r="AE145" i="3"/>
  <c r="AJ145" i="3"/>
  <c r="AL145" i="3"/>
  <c r="AJ144" i="3"/>
  <c r="AL144" i="3"/>
  <c r="AE144" i="3"/>
  <c r="AE141" i="3"/>
  <c r="AJ141" i="3"/>
  <c r="AL141" i="3"/>
  <c r="AJ140" i="3"/>
  <c r="AL140" i="3"/>
  <c r="AE140" i="3"/>
  <c r="AE135" i="3"/>
  <c r="AJ135" i="3"/>
  <c r="AL135" i="3"/>
  <c r="AJ134" i="3"/>
  <c r="AL134" i="3"/>
  <c r="AE134" i="3"/>
  <c r="AJ133" i="3"/>
  <c r="AL133" i="3"/>
  <c r="AE133" i="3"/>
  <c r="AJ132" i="3"/>
  <c r="AL132" i="3"/>
  <c r="AE132" i="3"/>
  <c r="AJ131" i="3"/>
  <c r="AL131" i="3"/>
  <c r="AE131" i="3"/>
  <c r="AJ130" i="3"/>
  <c r="AL130" i="3"/>
  <c r="AE130" i="3"/>
  <c r="AJ129" i="3"/>
  <c r="AL129" i="3"/>
  <c r="AE129" i="3"/>
  <c r="AJ128" i="3"/>
  <c r="AL128" i="3"/>
  <c r="AE128" i="3"/>
  <c r="AJ127" i="3"/>
  <c r="AL127" i="3"/>
  <c r="AE127" i="3"/>
  <c r="AJ126" i="3"/>
  <c r="AL126" i="3"/>
  <c r="AE126" i="3"/>
  <c r="AJ125" i="3"/>
  <c r="AL125" i="3"/>
  <c r="AE125" i="3"/>
  <c r="AJ124" i="3"/>
  <c r="AL124" i="3"/>
  <c r="AE124" i="3"/>
  <c r="AJ123" i="3"/>
  <c r="AL123" i="3"/>
  <c r="AE123" i="3"/>
  <c r="AJ122" i="3"/>
  <c r="AL122" i="3"/>
  <c r="AE122" i="3"/>
  <c r="AJ121" i="3"/>
  <c r="AL121" i="3"/>
  <c r="AE121" i="3"/>
  <c r="AJ120" i="3"/>
  <c r="AL120" i="3"/>
  <c r="AE120" i="3"/>
  <c r="AJ119" i="3"/>
  <c r="AL119" i="3"/>
  <c r="AE119" i="3"/>
  <c r="AJ118" i="3"/>
  <c r="AL118" i="3"/>
  <c r="AE118" i="3"/>
  <c r="AJ117" i="3"/>
  <c r="AL117" i="3"/>
  <c r="AE117" i="3"/>
  <c r="AJ116" i="3"/>
  <c r="AL116" i="3"/>
  <c r="AE116" i="3"/>
  <c r="AJ115" i="3"/>
  <c r="AL115" i="3"/>
  <c r="AE115" i="3"/>
  <c r="AJ114" i="3"/>
  <c r="AL114" i="3"/>
  <c r="AE114" i="3"/>
  <c r="AJ113" i="3"/>
  <c r="AL113" i="3"/>
  <c r="AE113" i="3"/>
  <c r="AJ112" i="3"/>
  <c r="AL112" i="3"/>
  <c r="AE112" i="3"/>
  <c r="AJ111" i="3"/>
  <c r="AL111" i="3"/>
  <c r="AE111" i="3"/>
  <c r="AJ110" i="3"/>
  <c r="AL110" i="3"/>
  <c r="AE110" i="3"/>
  <c r="AE105" i="3"/>
  <c r="AJ105" i="3"/>
  <c r="AL105" i="3"/>
  <c r="AJ104" i="3"/>
  <c r="AL104" i="3"/>
  <c r="AE104" i="3"/>
  <c r="AE99" i="3"/>
  <c r="AJ99" i="3"/>
  <c r="AL99" i="3"/>
  <c r="AJ98" i="3"/>
  <c r="AL98" i="3"/>
  <c r="AE98" i="3"/>
  <c r="AJ97" i="3"/>
  <c r="AL97" i="3"/>
  <c r="AE97" i="3"/>
  <c r="AJ96" i="3"/>
  <c r="AL96" i="3"/>
  <c r="AE96" i="3"/>
  <c r="AJ95" i="3"/>
  <c r="AL95" i="3"/>
  <c r="AE95" i="3"/>
  <c r="AJ94" i="3"/>
  <c r="AL94" i="3"/>
  <c r="AE94" i="3"/>
  <c r="AJ93" i="3"/>
  <c r="AL93" i="3"/>
  <c r="AE93" i="3"/>
  <c r="AJ92" i="3"/>
  <c r="AL92" i="3"/>
  <c r="AE92" i="3"/>
  <c r="AJ91" i="3"/>
  <c r="AL91" i="3"/>
  <c r="AE91" i="3"/>
  <c r="AJ90" i="3"/>
  <c r="AL90" i="3"/>
  <c r="AE90" i="3"/>
  <c r="AE85" i="3"/>
  <c r="AJ85" i="3"/>
  <c r="AL85" i="3"/>
  <c r="AE84" i="3"/>
  <c r="AJ84" i="3"/>
  <c r="AL84" i="3"/>
  <c r="AJ83" i="3"/>
  <c r="AL83" i="3"/>
  <c r="AE83" i="3"/>
  <c r="AJ82" i="3"/>
  <c r="AL82" i="3"/>
  <c r="AE82" i="3"/>
  <c r="AE81" i="3"/>
  <c r="AJ81" i="3"/>
  <c r="AL81" i="3"/>
  <c r="AJ80" i="3"/>
  <c r="AL80" i="3"/>
  <c r="AE80" i="3"/>
  <c r="AJ79" i="3"/>
  <c r="AL79" i="3"/>
  <c r="AE79" i="3"/>
  <c r="AJ78" i="3"/>
  <c r="AL78" i="3"/>
  <c r="AE78" i="3"/>
  <c r="AJ77" i="3"/>
  <c r="AL77" i="3"/>
  <c r="AE77" i="3"/>
  <c r="AJ76" i="3"/>
  <c r="AL76" i="3"/>
  <c r="AE76" i="3"/>
  <c r="AJ75" i="3"/>
  <c r="AL75" i="3"/>
  <c r="AE75" i="3"/>
  <c r="AJ74" i="3"/>
  <c r="AL74" i="3"/>
  <c r="AE74" i="3"/>
  <c r="AJ72" i="3"/>
  <c r="AL72" i="3"/>
  <c r="AE72" i="3"/>
  <c r="AJ71" i="3"/>
  <c r="AL71" i="3"/>
  <c r="AE71" i="3"/>
  <c r="AE70" i="3"/>
  <c r="AJ70" i="3"/>
  <c r="AL70" i="3"/>
  <c r="AJ69" i="3"/>
  <c r="AL69" i="3"/>
  <c r="AE69" i="3"/>
  <c r="AJ68" i="3"/>
  <c r="AL68" i="3"/>
  <c r="AE68" i="3"/>
  <c r="AJ67" i="3"/>
  <c r="AL67" i="3"/>
  <c r="AE67" i="3"/>
  <c r="AJ66" i="3"/>
  <c r="AL66" i="3"/>
  <c r="AE66" i="3"/>
  <c r="AJ65" i="3"/>
  <c r="AL65" i="3"/>
  <c r="AE65" i="3"/>
  <c r="AJ63" i="3"/>
  <c r="AL63" i="3"/>
  <c r="AE63" i="3"/>
  <c r="AE57" i="3"/>
  <c r="AJ57" i="3"/>
  <c r="AL57" i="3"/>
  <c r="AE56" i="3"/>
  <c r="AJ56" i="3"/>
  <c r="AL56" i="3"/>
  <c r="AJ55" i="3"/>
  <c r="AL55" i="3"/>
  <c r="AE55" i="3"/>
  <c r="AJ54" i="3"/>
  <c r="AL54" i="3"/>
  <c r="AE54" i="3"/>
  <c r="AJ53" i="3"/>
  <c r="AL53" i="3"/>
  <c r="AE53" i="3"/>
  <c r="AE52" i="3"/>
  <c r="AJ52" i="3"/>
  <c r="AL52" i="3"/>
  <c r="AJ51" i="3"/>
  <c r="AL51" i="3"/>
  <c r="AE51" i="3"/>
  <c r="AJ50" i="3"/>
  <c r="AL50" i="3"/>
  <c r="AE50" i="3"/>
  <c r="AJ49" i="3"/>
  <c r="AL49" i="3"/>
  <c r="AE49" i="3"/>
  <c r="AJ48" i="3"/>
  <c r="AL48" i="3"/>
  <c r="AE48" i="3"/>
  <c r="AJ47" i="3"/>
  <c r="AL47" i="3"/>
  <c r="AE47" i="3"/>
  <c r="AJ46" i="3"/>
  <c r="AL46" i="3"/>
  <c r="AE46" i="3"/>
  <c r="AE44" i="3"/>
  <c r="AJ44" i="3"/>
  <c r="AL44" i="3"/>
  <c r="AJ43" i="3"/>
  <c r="AL43" i="3"/>
  <c r="AE43" i="3"/>
  <c r="AJ42" i="3"/>
  <c r="AL42" i="3"/>
  <c r="AE42" i="3"/>
  <c r="AJ41" i="3"/>
  <c r="AL41" i="3"/>
  <c r="AE41" i="3"/>
  <c r="AJ40" i="3"/>
  <c r="AL40" i="3"/>
  <c r="AE40" i="3"/>
  <c r="AJ39" i="3"/>
  <c r="AL39" i="3"/>
  <c r="AE39" i="3"/>
  <c r="AJ37" i="3"/>
  <c r="AL37" i="3"/>
  <c r="AE37" i="3"/>
  <c r="AE35" i="3"/>
  <c r="AJ35" i="3"/>
  <c r="AL35" i="3"/>
  <c r="AE34" i="3"/>
  <c r="AJ34" i="3"/>
  <c r="AL34" i="3"/>
  <c r="AJ33" i="3"/>
  <c r="AL33" i="3"/>
  <c r="AE33" i="3"/>
  <c r="AJ32" i="3"/>
  <c r="AL32" i="3"/>
  <c r="AE32" i="3"/>
  <c r="AJ31" i="3"/>
  <c r="AL31" i="3"/>
  <c r="AE31" i="3"/>
  <c r="AJ30" i="3"/>
  <c r="AL30" i="3"/>
  <c r="AE30" i="3"/>
  <c r="AJ29" i="3"/>
  <c r="AL29" i="3"/>
  <c r="AE29" i="3"/>
  <c r="AE27" i="3"/>
  <c r="AJ27" i="3"/>
  <c r="AL27" i="3"/>
  <c r="AJ26" i="3"/>
  <c r="AL26" i="3"/>
  <c r="AE26" i="3"/>
  <c r="AJ25" i="3"/>
  <c r="AL25" i="3"/>
  <c r="AE25" i="3"/>
  <c r="AJ24" i="3"/>
  <c r="AL24" i="3"/>
  <c r="AE24" i="3"/>
  <c r="AJ23" i="3"/>
  <c r="AL23" i="3"/>
  <c r="AE23" i="3"/>
  <c r="AJ22" i="3"/>
  <c r="AL22" i="3"/>
  <c r="AE22" i="3"/>
  <c r="AJ21" i="3"/>
  <c r="AL21" i="3"/>
  <c r="AE21" i="3"/>
  <c r="AJ20" i="3"/>
  <c r="AL20" i="3"/>
  <c r="AE20" i="3"/>
  <c r="AJ19" i="3"/>
  <c r="AL19" i="3"/>
  <c r="AE19" i="3"/>
  <c r="AJ18" i="3"/>
  <c r="AL18" i="3"/>
  <c r="AE18" i="3"/>
  <c r="AJ17" i="3"/>
  <c r="AL17" i="3"/>
  <c r="AE17" i="3"/>
  <c r="AJ16" i="3"/>
  <c r="AL16" i="3"/>
  <c r="AE16" i="3"/>
  <c r="AJ15" i="3"/>
  <c r="AL15" i="3"/>
  <c r="AE15" i="3"/>
  <c r="AJ13" i="3"/>
  <c r="AL13" i="3"/>
  <c r="AE13" i="3"/>
  <c r="Z87" i="3"/>
  <c r="AA59" i="3"/>
  <c r="AE9" i="3"/>
  <c r="AJ9" i="3"/>
  <c r="AL9" i="3"/>
  <c r="X87" i="3"/>
  <c r="Y59" i="3"/>
  <c r="V87" i="3"/>
  <c r="W59" i="3"/>
  <c r="T87" i="3"/>
  <c r="U59" i="3"/>
  <c r="R87" i="3"/>
  <c r="AB59" i="3"/>
  <c r="S59" i="3"/>
  <c r="P87" i="3"/>
  <c r="Q59" i="3"/>
  <c r="N87" i="3"/>
  <c r="O59" i="3"/>
  <c r="L87" i="3"/>
  <c r="M59" i="3"/>
  <c r="J87" i="3"/>
  <c r="AG59" i="3"/>
  <c r="K59" i="3"/>
  <c r="H87" i="3"/>
  <c r="I59" i="3"/>
  <c r="F87" i="3"/>
  <c r="G59" i="3"/>
  <c r="D87" i="3"/>
  <c r="E59" i="3"/>
  <c r="B87" i="3"/>
  <c r="C59" i="3"/>
  <c r="AJ8" i="3"/>
  <c r="AL8" i="3"/>
  <c r="AE8" i="3"/>
  <c r="AJ7" i="3"/>
  <c r="AL7" i="3"/>
  <c r="AE7" i="3"/>
  <c r="AE145" i="2"/>
  <c r="AJ145" i="2"/>
  <c r="AL145" i="2"/>
  <c r="AJ144" i="2"/>
  <c r="AL144" i="2"/>
  <c r="AE144" i="2"/>
  <c r="AE141" i="2"/>
  <c r="AJ141" i="2"/>
  <c r="AL141" i="2"/>
  <c r="AJ140" i="2"/>
  <c r="AL140" i="2"/>
  <c r="AE140" i="2"/>
  <c r="AE135" i="2"/>
  <c r="AJ135" i="2"/>
  <c r="AL135" i="2"/>
  <c r="AJ134" i="2"/>
  <c r="AL134" i="2"/>
  <c r="AE134" i="2"/>
  <c r="AJ133" i="2"/>
  <c r="AL133" i="2"/>
  <c r="AE133" i="2"/>
  <c r="AJ132" i="2"/>
  <c r="AL132" i="2"/>
  <c r="AE132" i="2"/>
  <c r="AJ131" i="2"/>
  <c r="AL131" i="2"/>
  <c r="AE131" i="2"/>
  <c r="AJ130" i="2"/>
  <c r="AL130" i="2"/>
  <c r="AE130" i="2"/>
  <c r="AJ129" i="2"/>
  <c r="AL129" i="2"/>
  <c r="AE129" i="2"/>
  <c r="AJ128" i="2"/>
  <c r="AL128" i="2"/>
  <c r="AE128" i="2"/>
  <c r="AJ127" i="2"/>
  <c r="AL127" i="2"/>
  <c r="AE127" i="2"/>
  <c r="AJ126" i="2"/>
  <c r="AL126" i="2"/>
  <c r="AE126" i="2"/>
  <c r="AJ125" i="2"/>
  <c r="AL125" i="2"/>
  <c r="AE125" i="2"/>
  <c r="AJ124" i="2"/>
  <c r="AL124" i="2"/>
  <c r="AE124" i="2"/>
  <c r="AJ123" i="2"/>
  <c r="AL123" i="2"/>
  <c r="AE123" i="2"/>
  <c r="AJ122" i="2"/>
  <c r="AL122" i="2"/>
  <c r="AE122" i="2"/>
  <c r="AJ121" i="2"/>
  <c r="AL121" i="2"/>
  <c r="AE121" i="2"/>
  <c r="AJ120" i="2"/>
  <c r="AL120" i="2"/>
  <c r="AE120" i="2"/>
  <c r="AJ119" i="2"/>
  <c r="AL119" i="2"/>
  <c r="AE119" i="2"/>
  <c r="AJ118" i="2"/>
  <c r="AL118" i="2"/>
  <c r="AE118" i="2"/>
  <c r="AJ117" i="2"/>
  <c r="AL117" i="2"/>
  <c r="AE117" i="2"/>
  <c r="AJ116" i="2"/>
  <c r="AL116" i="2"/>
  <c r="AE116" i="2"/>
  <c r="AJ115" i="2"/>
  <c r="AL115" i="2"/>
  <c r="AE115" i="2"/>
  <c r="AJ114" i="2"/>
  <c r="AL114" i="2"/>
  <c r="AE114" i="2"/>
  <c r="AJ113" i="2"/>
  <c r="AL113" i="2"/>
  <c r="AE113" i="2"/>
  <c r="AJ112" i="2"/>
  <c r="AL112" i="2"/>
  <c r="AE112" i="2"/>
  <c r="AJ111" i="2"/>
  <c r="AL111" i="2"/>
  <c r="AE111" i="2"/>
  <c r="AJ110" i="2"/>
  <c r="AL110" i="2"/>
  <c r="AE110" i="2"/>
  <c r="AE105" i="2"/>
  <c r="AJ105" i="2"/>
  <c r="AL105" i="2"/>
  <c r="AJ104" i="2"/>
  <c r="AL104" i="2"/>
  <c r="AE104" i="2"/>
  <c r="AE99" i="2"/>
  <c r="AJ99" i="2"/>
  <c r="AL99" i="2"/>
  <c r="AJ98" i="2"/>
  <c r="AL98" i="2"/>
  <c r="AE98" i="2"/>
  <c r="AJ97" i="2"/>
  <c r="AL97" i="2"/>
  <c r="AE97" i="2"/>
  <c r="AJ96" i="2"/>
  <c r="AL96" i="2"/>
  <c r="AE96" i="2"/>
  <c r="AJ95" i="2"/>
  <c r="AL95" i="2"/>
  <c r="AE95" i="2"/>
  <c r="AJ94" i="2"/>
  <c r="AL94" i="2"/>
  <c r="AE94" i="2"/>
  <c r="AJ93" i="2"/>
  <c r="AL93" i="2"/>
  <c r="AE93" i="2"/>
  <c r="AJ92" i="2"/>
  <c r="AL92" i="2"/>
  <c r="AE92" i="2"/>
  <c r="AJ91" i="2"/>
  <c r="AL91" i="2"/>
  <c r="AE91" i="2"/>
  <c r="AJ90" i="2"/>
  <c r="AL90" i="2"/>
  <c r="AE90" i="2"/>
  <c r="AE85" i="2"/>
  <c r="AJ85" i="2"/>
  <c r="AL85" i="2"/>
  <c r="AE84" i="2"/>
  <c r="AJ84" i="2"/>
  <c r="AL84" i="2"/>
  <c r="AJ83" i="2"/>
  <c r="AL83" i="2"/>
  <c r="AE83" i="2"/>
  <c r="AJ82" i="2"/>
  <c r="AL82" i="2"/>
  <c r="AE82" i="2"/>
  <c r="AE81" i="2"/>
  <c r="AJ81" i="2"/>
  <c r="AL81" i="2"/>
  <c r="AJ80" i="2"/>
  <c r="AL80" i="2"/>
  <c r="AE80" i="2"/>
  <c r="AJ79" i="2"/>
  <c r="AL79" i="2"/>
  <c r="AE79" i="2"/>
  <c r="AJ78" i="2"/>
  <c r="AL78" i="2"/>
  <c r="AE78" i="2"/>
  <c r="AJ77" i="2"/>
  <c r="AL77" i="2"/>
  <c r="AE77" i="2"/>
  <c r="AJ76" i="2"/>
  <c r="AL76" i="2"/>
  <c r="AE76" i="2"/>
  <c r="AJ75" i="2"/>
  <c r="AL75" i="2"/>
  <c r="AE75" i="2"/>
  <c r="AJ74" i="2"/>
  <c r="AL74" i="2"/>
  <c r="AE74" i="2"/>
  <c r="AJ72" i="2"/>
  <c r="AL72" i="2"/>
  <c r="AE72" i="2"/>
  <c r="AJ71" i="2"/>
  <c r="AL71" i="2"/>
  <c r="AE71" i="2"/>
  <c r="AE70" i="2"/>
  <c r="AJ70" i="2"/>
  <c r="AL70" i="2"/>
  <c r="AJ69" i="2"/>
  <c r="AL69" i="2"/>
  <c r="AE69" i="2"/>
  <c r="AJ68" i="2"/>
  <c r="AL68" i="2"/>
  <c r="AE68" i="2"/>
  <c r="AJ67" i="2"/>
  <c r="AL67" i="2"/>
  <c r="AE67" i="2"/>
  <c r="AJ66" i="2"/>
  <c r="AL66" i="2"/>
  <c r="AE66" i="2"/>
  <c r="AJ65" i="2"/>
  <c r="AL65" i="2"/>
  <c r="AE65" i="2"/>
  <c r="AJ63" i="2"/>
  <c r="AL63" i="2"/>
  <c r="AE63" i="2"/>
  <c r="AE57" i="2"/>
  <c r="AJ57" i="2"/>
  <c r="AL57" i="2"/>
  <c r="AE56" i="2"/>
  <c r="AJ56" i="2"/>
  <c r="AL56" i="2"/>
  <c r="AJ55" i="2"/>
  <c r="AL55" i="2"/>
  <c r="AE55" i="2"/>
  <c r="AJ54" i="2"/>
  <c r="AL54" i="2"/>
  <c r="AE54" i="2"/>
  <c r="AJ53" i="2"/>
  <c r="AL53" i="2"/>
  <c r="AE53" i="2"/>
  <c r="AE52" i="2"/>
  <c r="AJ52" i="2"/>
  <c r="AL52" i="2"/>
  <c r="AJ51" i="2"/>
  <c r="AL51" i="2"/>
  <c r="AE51" i="2"/>
  <c r="AJ50" i="2"/>
  <c r="AL50" i="2"/>
  <c r="AE50" i="2"/>
  <c r="AJ49" i="2"/>
  <c r="AL49" i="2"/>
  <c r="AE49" i="2"/>
  <c r="AJ48" i="2"/>
  <c r="AL48" i="2"/>
  <c r="AE48" i="2"/>
  <c r="AJ47" i="2"/>
  <c r="AL47" i="2"/>
  <c r="AE47" i="2"/>
  <c r="AJ46" i="2"/>
  <c r="AL46" i="2"/>
  <c r="AE46" i="2"/>
  <c r="AE44" i="2"/>
  <c r="AJ44" i="2"/>
  <c r="AL44" i="2"/>
  <c r="AJ43" i="2"/>
  <c r="AL43" i="2"/>
  <c r="AE43" i="2"/>
  <c r="AJ42" i="2"/>
  <c r="AL42" i="2"/>
  <c r="AE42" i="2"/>
  <c r="AJ41" i="2"/>
  <c r="AL41" i="2"/>
  <c r="AE41" i="2"/>
  <c r="AJ40" i="2"/>
  <c r="AL40" i="2"/>
  <c r="AE40" i="2"/>
  <c r="AJ39" i="2"/>
  <c r="AL39" i="2"/>
  <c r="AE39" i="2"/>
  <c r="AJ37" i="2"/>
  <c r="AL37" i="2"/>
  <c r="AE37" i="2"/>
  <c r="AE35" i="2"/>
  <c r="AJ35" i="2"/>
  <c r="AL35" i="2"/>
  <c r="AE34" i="2"/>
  <c r="AJ34" i="2"/>
  <c r="AL34" i="2"/>
  <c r="AJ33" i="2"/>
  <c r="AL33" i="2"/>
  <c r="AE33" i="2"/>
  <c r="AJ32" i="2"/>
  <c r="AL32" i="2"/>
  <c r="AE32" i="2"/>
  <c r="AJ31" i="2"/>
  <c r="AL31" i="2"/>
  <c r="AE31" i="2"/>
  <c r="AJ30" i="2"/>
  <c r="AL30" i="2"/>
  <c r="AE30" i="2"/>
  <c r="AJ29" i="2"/>
  <c r="AL29" i="2"/>
  <c r="AE29" i="2"/>
  <c r="AE27" i="2"/>
  <c r="AJ27" i="2"/>
  <c r="AL27" i="2"/>
  <c r="AJ26" i="2"/>
  <c r="AL26" i="2"/>
  <c r="AE26" i="2"/>
  <c r="AJ25" i="2"/>
  <c r="AL25" i="2"/>
  <c r="AE25" i="2"/>
  <c r="AJ24" i="2"/>
  <c r="AL24" i="2"/>
  <c r="AE24" i="2"/>
  <c r="AJ23" i="2"/>
  <c r="AL23" i="2"/>
  <c r="AE23" i="2"/>
  <c r="AJ22" i="2"/>
  <c r="AL22" i="2"/>
  <c r="AE22" i="2"/>
  <c r="AJ21" i="2"/>
  <c r="AL21" i="2"/>
  <c r="AE21" i="2"/>
  <c r="AJ20" i="2"/>
  <c r="AL20" i="2"/>
  <c r="AE20" i="2"/>
  <c r="AJ19" i="2"/>
  <c r="AL19" i="2"/>
  <c r="AE19" i="2"/>
  <c r="AJ18" i="2"/>
  <c r="AL18" i="2"/>
  <c r="AE18" i="2"/>
  <c r="AJ17" i="2"/>
  <c r="AL17" i="2"/>
  <c r="AE17" i="2"/>
  <c r="AJ16" i="2"/>
  <c r="AL16" i="2"/>
  <c r="AE16" i="2"/>
  <c r="AJ15" i="2"/>
  <c r="AL15" i="2"/>
  <c r="AE15" i="2"/>
  <c r="AJ13" i="2"/>
  <c r="AL13" i="2"/>
  <c r="AE13" i="2"/>
  <c r="Z87" i="2"/>
  <c r="AA59" i="2"/>
  <c r="AE9" i="2"/>
  <c r="AJ9" i="2"/>
  <c r="AL9" i="2"/>
  <c r="X87" i="2"/>
  <c r="Y59" i="2"/>
  <c r="V87" i="2"/>
  <c r="W59" i="2"/>
  <c r="T87" i="2"/>
  <c r="U59" i="2"/>
  <c r="R87" i="2"/>
  <c r="AB59" i="2"/>
  <c r="S59" i="2"/>
  <c r="P87" i="2"/>
  <c r="Q59" i="2"/>
  <c r="N87" i="2"/>
  <c r="O59" i="2"/>
  <c r="L87" i="2"/>
  <c r="M59" i="2"/>
  <c r="J87" i="2"/>
  <c r="AG59" i="2"/>
  <c r="K59" i="2"/>
  <c r="H87" i="2"/>
  <c r="I59" i="2"/>
  <c r="F87" i="2"/>
  <c r="G59" i="2"/>
  <c r="D87" i="2"/>
  <c r="E59" i="2"/>
  <c r="B87" i="2"/>
  <c r="C59" i="2"/>
  <c r="AJ8" i="2"/>
  <c r="AL8" i="2"/>
  <c r="AE8" i="2"/>
  <c r="AJ7" i="2"/>
  <c r="AL7" i="2"/>
  <c r="AE7" i="2"/>
  <c r="AE145" i="1"/>
  <c r="AJ145" i="1"/>
  <c r="AL145" i="1"/>
  <c r="AJ144" i="1"/>
  <c r="AL144" i="1"/>
  <c r="AE144" i="1"/>
  <c r="AE141" i="1"/>
  <c r="AJ141" i="1"/>
  <c r="AL141" i="1"/>
  <c r="AJ140" i="1"/>
  <c r="AL140" i="1"/>
  <c r="AE140" i="1"/>
  <c r="AE135" i="1"/>
  <c r="AJ135" i="1"/>
  <c r="AL135" i="1"/>
  <c r="AJ134" i="1"/>
  <c r="AL134" i="1"/>
  <c r="AE134" i="1"/>
  <c r="AJ133" i="1"/>
  <c r="AL133" i="1"/>
  <c r="AE133" i="1"/>
  <c r="AJ132" i="1"/>
  <c r="AL132" i="1"/>
  <c r="AE132" i="1"/>
  <c r="AJ131" i="1"/>
  <c r="AL131" i="1"/>
  <c r="AE131" i="1"/>
  <c r="AJ130" i="1"/>
  <c r="AL130" i="1"/>
  <c r="AE130" i="1"/>
  <c r="AJ129" i="1"/>
  <c r="AL129" i="1"/>
  <c r="AE129" i="1"/>
  <c r="AJ128" i="1"/>
  <c r="AL128" i="1"/>
  <c r="AE128" i="1"/>
  <c r="AJ127" i="1"/>
  <c r="AL127" i="1"/>
  <c r="AE127" i="1"/>
  <c r="AJ126" i="1"/>
  <c r="AL126" i="1"/>
  <c r="AE126" i="1"/>
  <c r="AJ125" i="1"/>
  <c r="AL125" i="1"/>
  <c r="AE125" i="1"/>
  <c r="AJ124" i="1"/>
  <c r="AL124" i="1"/>
  <c r="AE124" i="1"/>
  <c r="AJ123" i="1"/>
  <c r="AL123" i="1"/>
  <c r="AE123" i="1"/>
  <c r="AJ122" i="1"/>
  <c r="AL122" i="1"/>
  <c r="AE122" i="1"/>
  <c r="AJ121" i="1"/>
  <c r="AL121" i="1"/>
  <c r="AE121" i="1"/>
  <c r="AJ120" i="1"/>
  <c r="AL120" i="1"/>
  <c r="AE120" i="1"/>
  <c r="AJ119" i="1"/>
  <c r="AL119" i="1"/>
  <c r="AE119" i="1"/>
  <c r="AJ118" i="1"/>
  <c r="AL118" i="1"/>
  <c r="AE118" i="1"/>
  <c r="AJ117" i="1"/>
  <c r="AL117" i="1"/>
  <c r="AE117" i="1"/>
  <c r="AJ116" i="1"/>
  <c r="AL116" i="1"/>
  <c r="AE116" i="1"/>
  <c r="AJ115" i="1"/>
  <c r="AL115" i="1"/>
  <c r="AE115" i="1"/>
  <c r="AJ114" i="1"/>
  <c r="AL114" i="1"/>
  <c r="AE114" i="1"/>
  <c r="AJ113" i="1"/>
  <c r="AL113" i="1"/>
  <c r="AE113" i="1"/>
  <c r="AJ112" i="1"/>
  <c r="AL112" i="1"/>
  <c r="AE112" i="1"/>
  <c r="AJ111" i="1"/>
  <c r="AL111" i="1"/>
  <c r="AE111" i="1"/>
  <c r="AJ110" i="1"/>
  <c r="AL110" i="1"/>
  <c r="AE110" i="1"/>
  <c r="AE105" i="1"/>
  <c r="AJ105" i="1"/>
  <c r="AL105" i="1"/>
  <c r="AJ104" i="1"/>
  <c r="AL104" i="1"/>
  <c r="AE104" i="1"/>
  <c r="AE99" i="1"/>
  <c r="AJ99" i="1"/>
  <c r="AL99" i="1"/>
  <c r="AJ98" i="1"/>
  <c r="AL98" i="1"/>
  <c r="AE98" i="1"/>
  <c r="AJ97" i="1"/>
  <c r="AL97" i="1"/>
  <c r="AE97" i="1"/>
  <c r="AJ96" i="1"/>
  <c r="AL96" i="1"/>
  <c r="AE96" i="1"/>
  <c r="AJ95" i="1"/>
  <c r="AL95" i="1"/>
  <c r="AE95" i="1"/>
  <c r="AJ94" i="1"/>
  <c r="AL94" i="1"/>
  <c r="AE94" i="1"/>
  <c r="AJ93" i="1"/>
  <c r="AL93" i="1"/>
  <c r="AE93" i="1"/>
  <c r="AJ92" i="1"/>
  <c r="AL92" i="1"/>
  <c r="AE92" i="1"/>
  <c r="AJ91" i="1"/>
  <c r="AL91" i="1"/>
  <c r="AE91" i="1"/>
  <c r="AJ90" i="1"/>
  <c r="AL90" i="1"/>
  <c r="AE90" i="1"/>
  <c r="AE85" i="1"/>
  <c r="AJ85" i="1"/>
  <c r="AL85" i="1"/>
  <c r="AE84" i="1"/>
  <c r="AJ84" i="1"/>
  <c r="AL84" i="1"/>
  <c r="AJ83" i="1"/>
  <c r="AL83" i="1"/>
  <c r="AE83" i="1"/>
  <c r="AJ82" i="1"/>
  <c r="AL82" i="1"/>
  <c r="AE82" i="1"/>
  <c r="AE81" i="1"/>
  <c r="AJ81" i="1"/>
  <c r="AL81" i="1"/>
  <c r="AJ80" i="1"/>
  <c r="AL80" i="1"/>
  <c r="AE80" i="1"/>
  <c r="AJ79" i="1"/>
  <c r="AL79" i="1"/>
  <c r="AE79" i="1"/>
  <c r="AJ78" i="1"/>
  <c r="AL78" i="1"/>
  <c r="AE78" i="1"/>
  <c r="AJ77" i="1"/>
  <c r="AL77" i="1"/>
  <c r="AE77" i="1"/>
  <c r="AJ76" i="1"/>
  <c r="AL76" i="1"/>
  <c r="AE76" i="1"/>
  <c r="AJ75" i="1"/>
  <c r="AL75" i="1"/>
  <c r="AE75" i="1"/>
  <c r="AJ74" i="1"/>
  <c r="AL74" i="1"/>
  <c r="AE74" i="1"/>
  <c r="AJ72" i="1"/>
  <c r="AL72" i="1"/>
  <c r="AE72" i="1"/>
  <c r="AJ71" i="1"/>
  <c r="AL71" i="1"/>
  <c r="AE71" i="1"/>
  <c r="AE70" i="1"/>
  <c r="AJ70" i="1"/>
  <c r="AL70" i="1"/>
  <c r="AJ69" i="1"/>
  <c r="AL69" i="1"/>
  <c r="AE69" i="1"/>
  <c r="AJ68" i="1"/>
  <c r="AL68" i="1"/>
  <c r="AE68" i="1"/>
  <c r="AJ67" i="1"/>
  <c r="AL67" i="1"/>
  <c r="AE67" i="1"/>
  <c r="AJ66" i="1"/>
  <c r="AL66" i="1"/>
  <c r="AE66" i="1"/>
  <c r="AJ65" i="1"/>
  <c r="AL65" i="1"/>
  <c r="AE65" i="1"/>
  <c r="AJ63" i="1"/>
  <c r="AL63" i="1"/>
  <c r="AE63" i="1"/>
  <c r="AE57" i="1"/>
  <c r="AJ57" i="1"/>
  <c r="AL57" i="1"/>
  <c r="AE56" i="1"/>
  <c r="AJ56" i="1"/>
  <c r="AL56" i="1"/>
  <c r="AJ55" i="1"/>
  <c r="AL55" i="1"/>
  <c r="AE55" i="1"/>
  <c r="AJ54" i="1"/>
  <c r="AL54" i="1"/>
  <c r="AE54" i="1"/>
  <c r="AJ53" i="1"/>
  <c r="AL53" i="1"/>
  <c r="AE53" i="1"/>
  <c r="AE52" i="1"/>
  <c r="AJ52" i="1"/>
  <c r="AL52" i="1"/>
  <c r="AJ51" i="1"/>
  <c r="AL51" i="1"/>
  <c r="AE51" i="1"/>
  <c r="AJ50" i="1"/>
  <c r="AL50" i="1"/>
  <c r="AE50" i="1"/>
  <c r="AJ49" i="1"/>
  <c r="AL49" i="1"/>
  <c r="AE49" i="1"/>
  <c r="AJ48" i="1"/>
  <c r="AL48" i="1"/>
  <c r="AE48" i="1"/>
  <c r="AJ47" i="1"/>
  <c r="AL47" i="1"/>
  <c r="AE47" i="1"/>
  <c r="AJ46" i="1"/>
  <c r="AL46" i="1"/>
  <c r="AE46" i="1"/>
  <c r="AE44" i="1"/>
  <c r="AJ44" i="1"/>
  <c r="AL44" i="1"/>
  <c r="AJ43" i="1"/>
  <c r="AL43" i="1"/>
  <c r="AE43" i="1"/>
  <c r="AJ42" i="1"/>
  <c r="AL42" i="1"/>
  <c r="AE42" i="1"/>
  <c r="AJ41" i="1"/>
  <c r="AL41" i="1"/>
  <c r="AE41" i="1"/>
  <c r="AJ40" i="1"/>
  <c r="AL40" i="1"/>
  <c r="AE40" i="1"/>
  <c r="AJ39" i="1"/>
  <c r="AL39" i="1"/>
  <c r="AE39" i="1"/>
  <c r="AJ37" i="1"/>
  <c r="AL37" i="1"/>
  <c r="AE37" i="1"/>
  <c r="AE35" i="1"/>
  <c r="AJ35" i="1"/>
  <c r="AL35" i="1"/>
  <c r="AE34" i="1"/>
  <c r="AJ34" i="1"/>
  <c r="AL34" i="1"/>
  <c r="AJ33" i="1"/>
  <c r="AL33" i="1"/>
  <c r="AE33" i="1"/>
  <c r="AJ32" i="1"/>
  <c r="AL32" i="1"/>
  <c r="AE32" i="1"/>
  <c r="AJ31" i="1"/>
  <c r="AL31" i="1"/>
  <c r="AE31" i="1"/>
  <c r="AJ30" i="1"/>
  <c r="AL30" i="1"/>
  <c r="AE30" i="1"/>
  <c r="AJ29" i="1"/>
  <c r="AL29" i="1"/>
  <c r="AE29" i="1"/>
  <c r="AE27" i="1"/>
  <c r="AJ27" i="1"/>
  <c r="AL27" i="1"/>
  <c r="AJ26" i="1"/>
  <c r="AL26" i="1"/>
  <c r="AE26" i="1"/>
  <c r="AJ25" i="1"/>
  <c r="AL25" i="1"/>
  <c r="AE25" i="1"/>
  <c r="AJ24" i="1"/>
  <c r="AL24" i="1"/>
  <c r="AE24" i="1"/>
  <c r="AJ23" i="1"/>
  <c r="AL23" i="1"/>
  <c r="AE23" i="1"/>
  <c r="AJ22" i="1"/>
  <c r="AL22" i="1"/>
  <c r="AE22" i="1"/>
  <c r="AJ21" i="1"/>
  <c r="AL21" i="1"/>
  <c r="AE21" i="1"/>
  <c r="AJ20" i="1"/>
  <c r="AL20" i="1"/>
  <c r="AE20" i="1"/>
  <c r="AJ19" i="1"/>
  <c r="AL19" i="1"/>
  <c r="AE19" i="1"/>
  <c r="AJ18" i="1"/>
  <c r="AL18" i="1"/>
  <c r="AE18" i="1"/>
  <c r="AJ17" i="1"/>
  <c r="AL17" i="1"/>
  <c r="AE17" i="1"/>
  <c r="AJ16" i="1"/>
  <c r="AL16" i="1"/>
  <c r="AE16" i="1"/>
  <c r="AJ15" i="1"/>
  <c r="AL15" i="1"/>
  <c r="AE15" i="1"/>
  <c r="AJ13" i="1"/>
  <c r="AL13" i="1"/>
  <c r="AE13" i="1"/>
  <c r="Z87" i="1"/>
  <c r="AA59" i="1"/>
  <c r="AE9" i="1"/>
  <c r="AJ9" i="1"/>
  <c r="AL9" i="1"/>
  <c r="X87" i="1"/>
  <c r="Y59" i="1"/>
  <c r="V87" i="1"/>
  <c r="W59" i="1"/>
  <c r="T87" i="1"/>
  <c r="U59" i="1"/>
  <c r="R87" i="1"/>
  <c r="AB59" i="1"/>
  <c r="S59" i="1"/>
  <c r="P87" i="1"/>
  <c r="Q59" i="1"/>
  <c r="N87" i="1"/>
  <c r="O59" i="1"/>
  <c r="L87" i="1"/>
  <c r="M59" i="1"/>
  <c r="J87" i="1"/>
  <c r="AG59" i="1"/>
  <c r="K59" i="1"/>
  <c r="H87" i="1"/>
  <c r="I59" i="1"/>
  <c r="F87" i="1"/>
  <c r="G59" i="1"/>
  <c r="D87" i="1"/>
  <c r="E59" i="1"/>
  <c r="B87" i="1"/>
  <c r="C59" i="1"/>
  <c r="AJ8" i="1"/>
  <c r="AL8" i="1"/>
  <c r="AE8" i="1"/>
  <c r="AJ7" i="1"/>
  <c r="AL7" i="1"/>
  <c r="AE7" i="1"/>
  <c r="B107" i="5" l="1"/>
  <c r="B101" i="5"/>
  <c r="C101" i="5" s="1"/>
  <c r="C87" i="5"/>
  <c r="D107" i="5"/>
  <c r="D101" i="5"/>
  <c r="E101" i="5" s="1"/>
  <c r="E87" i="5"/>
  <c r="F107" i="5"/>
  <c r="F101" i="5"/>
  <c r="G101" i="5" s="1"/>
  <c r="G87" i="5"/>
  <c r="H107" i="5"/>
  <c r="H101" i="5"/>
  <c r="I101" i="5" s="1"/>
  <c r="I87" i="5"/>
  <c r="AH59" i="5"/>
  <c r="AK59" i="5"/>
  <c r="AL59" i="5" s="1"/>
  <c r="AI59" i="5"/>
  <c r="AJ59" i="5" s="1"/>
  <c r="J107" i="5"/>
  <c r="J101" i="5"/>
  <c r="AG87" i="5"/>
  <c r="AH87" i="5" s="1"/>
  <c r="K87" i="5"/>
  <c r="L107" i="5"/>
  <c r="L101" i="5"/>
  <c r="M101" i="5" s="1"/>
  <c r="M87" i="5"/>
  <c r="N107" i="5"/>
  <c r="N101" i="5"/>
  <c r="O101" i="5" s="1"/>
  <c r="O87" i="5"/>
  <c r="P107" i="5"/>
  <c r="P101" i="5"/>
  <c r="Q101" i="5" s="1"/>
  <c r="Q87" i="5"/>
  <c r="AC59" i="5"/>
  <c r="AF59" i="5"/>
  <c r="AD59" i="5"/>
  <c r="AE59" i="5" s="1"/>
  <c r="R107" i="5"/>
  <c r="R101" i="5"/>
  <c r="AB87" i="5"/>
  <c r="AC87" i="5" s="1"/>
  <c r="S87" i="5"/>
  <c r="T107" i="5"/>
  <c r="T101" i="5"/>
  <c r="U101" i="5" s="1"/>
  <c r="U87" i="5"/>
  <c r="V107" i="5"/>
  <c r="V101" i="5"/>
  <c r="W101" i="5" s="1"/>
  <c r="W87" i="5"/>
  <c r="X107" i="5"/>
  <c r="X101" i="5"/>
  <c r="AK87" i="5"/>
  <c r="AL87" i="5" s="1"/>
  <c r="AI87" i="5"/>
  <c r="AJ87" i="5" s="1"/>
  <c r="AF87" i="5"/>
  <c r="AD87" i="5"/>
  <c r="AE87" i="5" s="1"/>
  <c r="Y87" i="5"/>
  <c r="Z107" i="5"/>
  <c r="Z101" i="5"/>
  <c r="AA101" i="5" s="1"/>
  <c r="AA87" i="5"/>
  <c r="B107" i="3"/>
  <c r="B101" i="3"/>
  <c r="C101" i="3" s="1"/>
  <c r="C87" i="3"/>
  <c r="D107" i="3"/>
  <c r="D101" i="3"/>
  <c r="E101" i="3" s="1"/>
  <c r="E87" i="3"/>
  <c r="F107" i="3"/>
  <c r="F101" i="3"/>
  <c r="G101" i="3" s="1"/>
  <c r="G87" i="3"/>
  <c r="H107" i="3"/>
  <c r="H101" i="3"/>
  <c r="I101" i="3" s="1"/>
  <c r="I87" i="3"/>
  <c r="AH59" i="3"/>
  <c r="AK59" i="3"/>
  <c r="AL59" i="3" s="1"/>
  <c r="AI59" i="3"/>
  <c r="AJ59" i="3" s="1"/>
  <c r="J107" i="3"/>
  <c r="J101" i="3"/>
  <c r="AG87" i="3"/>
  <c r="AH87" i="3" s="1"/>
  <c r="K87" i="3"/>
  <c r="L107" i="3"/>
  <c r="L101" i="3"/>
  <c r="M101" i="3" s="1"/>
  <c r="M87" i="3"/>
  <c r="N107" i="3"/>
  <c r="N101" i="3"/>
  <c r="O101" i="3" s="1"/>
  <c r="O87" i="3"/>
  <c r="P107" i="3"/>
  <c r="P101" i="3"/>
  <c r="Q101" i="3" s="1"/>
  <c r="Q87" i="3"/>
  <c r="AC59" i="3"/>
  <c r="AF59" i="3"/>
  <c r="AD59" i="3"/>
  <c r="AE59" i="3" s="1"/>
  <c r="R107" i="3"/>
  <c r="R101" i="3"/>
  <c r="AB87" i="3"/>
  <c r="AC87" i="3" s="1"/>
  <c r="S87" i="3"/>
  <c r="T107" i="3"/>
  <c r="T101" i="3"/>
  <c r="U101" i="3" s="1"/>
  <c r="U87" i="3"/>
  <c r="V107" i="3"/>
  <c r="V101" i="3"/>
  <c r="W101" i="3" s="1"/>
  <c r="W87" i="3"/>
  <c r="X107" i="3"/>
  <c r="X101" i="3"/>
  <c r="AK87" i="3"/>
  <c r="AL87" i="3" s="1"/>
  <c r="AI87" i="3"/>
  <c r="AJ87" i="3" s="1"/>
  <c r="AF87" i="3"/>
  <c r="AD87" i="3"/>
  <c r="AE87" i="3" s="1"/>
  <c r="Y87" i="3"/>
  <c r="Z107" i="3"/>
  <c r="Z101" i="3"/>
  <c r="AA101" i="3" s="1"/>
  <c r="AA87" i="3"/>
  <c r="B107" i="2"/>
  <c r="B101" i="2"/>
  <c r="C101" i="2" s="1"/>
  <c r="C87" i="2"/>
  <c r="D107" i="2"/>
  <c r="D101" i="2"/>
  <c r="E101" i="2" s="1"/>
  <c r="E87" i="2"/>
  <c r="F107" i="2"/>
  <c r="F101" i="2"/>
  <c r="G101" i="2" s="1"/>
  <c r="G87" i="2"/>
  <c r="H107" i="2"/>
  <c r="H101" i="2"/>
  <c r="I101" i="2" s="1"/>
  <c r="I87" i="2"/>
  <c r="AH59" i="2"/>
  <c r="AK59" i="2"/>
  <c r="AL59" i="2" s="1"/>
  <c r="AI59" i="2"/>
  <c r="AJ59" i="2" s="1"/>
  <c r="J107" i="2"/>
  <c r="J101" i="2"/>
  <c r="AG87" i="2"/>
  <c r="AH87" i="2" s="1"/>
  <c r="K87" i="2"/>
  <c r="L107" i="2"/>
  <c r="L101" i="2"/>
  <c r="M101" i="2" s="1"/>
  <c r="M87" i="2"/>
  <c r="N107" i="2"/>
  <c r="N101" i="2"/>
  <c r="O101" i="2" s="1"/>
  <c r="O87" i="2"/>
  <c r="P107" i="2"/>
  <c r="P101" i="2"/>
  <c r="Q101" i="2" s="1"/>
  <c r="Q87" i="2"/>
  <c r="AC59" i="2"/>
  <c r="AF59" i="2"/>
  <c r="AD59" i="2"/>
  <c r="AE59" i="2" s="1"/>
  <c r="R107" i="2"/>
  <c r="R101" i="2"/>
  <c r="AB87" i="2"/>
  <c r="AC87" i="2" s="1"/>
  <c r="S87" i="2"/>
  <c r="T107" i="2"/>
  <c r="T101" i="2"/>
  <c r="U101" i="2" s="1"/>
  <c r="U87" i="2"/>
  <c r="V107" i="2"/>
  <c r="V101" i="2"/>
  <c r="W101" i="2" s="1"/>
  <c r="W87" i="2"/>
  <c r="X107" i="2"/>
  <c r="X101" i="2"/>
  <c r="AK87" i="2"/>
  <c r="AL87" i="2" s="1"/>
  <c r="AI87" i="2"/>
  <c r="AJ87" i="2" s="1"/>
  <c r="AF87" i="2"/>
  <c r="AD87" i="2"/>
  <c r="AE87" i="2" s="1"/>
  <c r="Y87" i="2"/>
  <c r="Z107" i="2"/>
  <c r="Z101" i="2"/>
  <c r="AA101" i="2" s="1"/>
  <c r="AA87" i="2"/>
  <c r="B107" i="1"/>
  <c r="B101" i="1"/>
  <c r="C101" i="1" s="1"/>
  <c r="C87" i="1"/>
  <c r="D107" i="1"/>
  <c r="D101" i="1"/>
  <c r="E101" i="1" s="1"/>
  <c r="E87" i="1"/>
  <c r="F107" i="1"/>
  <c r="F101" i="1"/>
  <c r="G101" i="1" s="1"/>
  <c r="G87" i="1"/>
  <c r="H107" i="1"/>
  <c r="H101" i="1"/>
  <c r="I101" i="1" s="1"/>
  <c r="I87" i="1"/>
  <c r="AH59" i="1"/>
  <c r="AK59" i="1"/>
  <c r="AL59" i="1" s="1"/>
  <c r="AI59" i="1"/>
  <c r="AJ59" i="1" s="1"/>
  <c r="J107" i="1"/>
  <c r="J101" i="1"/>
  <c r="AG87" i="1"/>
  <c r="AH87" i="1" s="1"/>
  <c r="K87" i="1"/>
  <c r="L107" i="1"/>
  <c r="L101" i="1"/>
  <c r="M101" i="1" s="1"/>
  <c r="M87" i="1"/>
  <c r="N107" i="1"/>
  <c r="N101" i="1"/>
  <c r="O101" i="1" s="1"/>
  <c r="O87" i="1"/>
  <c r="P107" i="1"/>
  <c r="P101" i="1"/>
  <c r="Q101" i="1" s="1"/>
  <c r="Q87" i="1"/>
  <c r="AC59" i="1"/>
  <c r="AF59" i="1"/>
  <c r="AD59" i="1"/>
  <c r="AE59" i="1" s="1"/>
  <c r="R107" i="1"/>
  <c r="R101" i="1"/>
  <c r="AB87" i="1"/>
  <c r="AC87" i="1" s="1"/>
  <c r="S87" i="1"/>
  <c r="T107" i="1"/>
  <c r="T101" i="1"/>
  <c r="U101" i="1" s="1"/>
  <c r="U87" i="1"/>
  <c r="V107" i="1"/>
  <c r="V101" i="1"/>
  <c r="W101" i="1" s="1"/>
  <c r="W87" i="1"/>
  <c r="X107" i="1"/>
  <c r="X101" i="1"/>
  <c r="AK87" i="1"/>
  <c r="AL87" i="1" s="1"/>
  <c r="AI87" i="1"/>
  <c r="AJ87" i="1" s="1"/>
  <c r="AF87" i="1"/>
  <c r="AD87" i="1"/>
  <c r="AE87" i="1" s="1"/>
  <c r="Y87" i="1"/>
  <c r="Z107" i="1"/>
  <c r="Z101" i="1"/>
  <c r="AA101" i="1" s="1"/>
  <c r="AA87" i="1"/>
  <c r="Z137" i="5" l="1"/>
  <c r="AA107" i="5"/>
  <c r="Y101" i="5"/>
  <c r="X137" i="5"/>
  <c r="Y107" i="5"/>
  <c r="V137" i="5"/>
  <c r="W107" i="5"/>
  <c r="T137" i="5"/>
  <c r="U107" i="5"/>
  <c r="AB101" i="5"/>
  <c r="S101" i="5"/>
  <c r="R137" i="5"/>
  <c r="AB107" i="5"/>
  <c r="S107" i="5"/>
  <c r="P137" i="5"/>
  <c r="Q107" i="5"/>
  <c r="N137" i="5"/>
  <c r="O107" i="5"/>
  <c r="L137" i="5"/>
  <c r="M107" i="5"/>
  <c r="AG101" i="5"/>
  <c r="K101" i="5"/>
  <c r="J137" i="5"/>
  <c r="AG107" i="5"/>
  <c r="K107" i="5"/>
  <c r="H137" i="5"/>
  <c r="I107" i="5"/>
  <c r="F137" i="5"/>
  <c r="G107" i="5"/>
  <c r="D137" i="5"/>
  <c r="E107" i="5"/>
  <c r="B137" i="5"/>
  <c r="C107" i="5"/>
  <c r="Z137" i="3"/>
  <c r="AA107" i="3"/>
  <c r="Y101" i="3"/>
  <c r="X137" i="3"/>
  <c r="Y107" i="3"/>
  <c r="V137" i="3"/>
  <c r="W107" i="3"/>
  <c r="T137" i="3"/>
  <c r="U107" i="3"/>
  <c r="AB101" i="3"/>
  <c r="S101" i="3"/>
  <c r="R137" i="3"/>
  <c r="AB107" i="3"/>
  <c r="S107" i="3"/>
  <c r="P137" i="3"/>
  <c r="Q107" i="3"/>
  <c r="N137" i="3"/>
  <c r="O107" i="3"/>
  <c r="L137" i="3"/>
  <c r="M107" i="3"/>
  <c r="AG101" i="3"/>
  <c r="K101" i="3"/>
  <c r="J137" i="3"/>
  <c r="AG107" i="3"/>
  <c r="K107" i="3"/>
  <c r="H137" i="3"/>
  <c r="I107" i="3"/>
  <c r="F137" i="3"/>
  <c r="G107" i="3"/>
  <c r="D137" i="3"/>
  <c r="E107" i="3"/>
  <c r="B137" i="3"/>
  <c r="C107" i="3"/>
  <c r="Z137" i="2"/>
  <c r="AA107" i="2"/>
  <c r="Y101" i="2"/>
  <c r="X137" i="2"/>
  <c r="Y107" i="2"/>
  <c r="V137" i="2"/>
  <c r="W107" i="2"/>
  <c r="T137" i="2"/>
  <c r="U107" i="2"/>
  <c r="AB101" i="2"/>
  <c r="S101" i="2"/>
  <c r="R137" i="2"/>
  <c r="AB107" i="2"/>
  <c r="S107" i="2"/>
  <c r="P137" i="2"/>
  <c r="Q107" i="2"/>
  <c r="N137" i="2"/>
  <c r="O107" i="2"/>
  <c r="L137" i="2"/>
  <c r="M107" i="2"/>
  <c r="AG101" i="2"/>
  <c r="K101" i="2"/>
  <c r="J137" i="2"/>
  <c r="AG107" i="2"/>
  <c r="K107" i="2"/>
  <c r="H137" i="2"/>
  <c r="I107" i="2"/>
  <c r="F137" i="2"/>
  <c r="G107" i="2"/>
  <c r="D137" i="2"/>
  <c r="E107" i="2"/>
  <c r="B137" i="2"/>
  <c r="C107" i="2"/>
  <c r="Z137" i="1"/>
  <c r="AA107" i="1"/>
  <c r="Y101" i="1"/>
  <c r="X137" i="1"/>
  <c r="Y107" i="1"/>
  <c r="V137" i="1"/>
  <c r="W107" i="1"/>
  <c r="T137" i="1"/>
  <c r="U107" i="1"/>
  <c r="AB101" i="1"/>
  <c r="S101" i="1"/>
  <c r="R137" i="1"/>
  <c r="AB107" i="1"/>
  <c r="S107" i="1"/>
  <c r="P137" i="1"/>
  <c r="Q107" i="1"/>
  <c r="N137" i="1"/>
  <c r="O107" i="1"/>
  <c r="L137" i="1"/>
  <c r="M107" i="1"/>
  <c r="AG101" i="1"/>
  <c r="K101" i="1"/>
  <c r="J137" i="1"/>
  <c r="AG107" i="1"/>
  <c r="K107" i="1"/>
  <c r="H137" i="1"/>
  <c r="I107" i="1"/>
  <c r="F137" i="1"/>
  <c r="G107" i="1"/>
  <c r="D137" i="1"/>
  <c r="E107" i="1"/>
  <c r="B137" i="1"/>
  <c r="C107" i="1"/>
  <c r="B147" i="5" l="1"/>
  <c r="C147" i="5" s="1"/>
  <c r="C137" i="5"/>
  <c r="D147" i="5"/>
  <c r="E147" i="5" s="1"/>
  <c r="E137" i="5"/>
  <c r="F147" i="5"/>
  <c r="G147" i="5" s="1"/>
  <c r="G137" i="5"/>
  <c r="H147" i="5"/>
  <c r="I147" i="5" s="1"/>
  <c r="I137" i="5"/>
  <c r="AH107" i="5"/>
  <c r="AK107" i="5"/>
  <c r="AL107" i="5" s="1"/>
  <c r="AI107" i="5"/>
  <c r="AJ107" i="5" s="1"/>
  <c r="J147" i="5"/>
  <c r="AG137" i="5"/>
  <c r="AH137" i="5" s="1"/>
  <c r="K137" i="5"/>
  <c r="AH101" i="5"/>
  <c r="AK101" i="5"/>
  <c r="AL101" i="5" s="1"/>
  <c r="AI101" i="5"/>
  <c r="AJ101" i="5" s="1"/>
  <c r="L147" i="5"/>
  <c r="M147" i="5" s="1"/>
  <c r="M137" i="5"/>
  <c r="N147" i="5"/>
  <c r="O147" i="5" s="1"/>
  <c r="O137" i="5"/>
  <c r="P147" i="5"/>
  <c r="Q147" i="5" s="1"/>
  <c r="Q137" i="5"/>
  <c r="AC107" i="5"/>
  <c r="AF107" i="5"/>
  <c r="AD107" i="5"/>
  <c r="AE107" i="5" s="1"/>
  <c r="R147" i="5"/>
  <c r="AB137" i="5"/>
  <c r="AC137" i="5" s="1"/>
  <c r="S137" i="5"/>
  <c r="AC101" i="5"/>
  <c r="AF101" i="5"/>
  <c r="AD101" i="5"/>
  <c r="AE101" i="5" s="1"/>
  <c r="T147" i="5"/>
  <c r="U147" i="5" s="1"/>
  <c r="U137" i="5"/>
  <c r="V147" i="5"/>
  <c r="W147" i="5" s="1"/>
  <c r="W137" i="5"/>
  <c r="X147" i="5"/>
  <c r="AK137" i="5"/>
  <c r="AL137" i="5" s="1"/>
  <c r="AI137" i="5"/>
  <c r="AJ137" i="5" s="1"/>
  <c r="AF137" i="5"/>
  <c r="AD137" i="5"/>
  <c r="AE137" i="5" s="1"/>
  <c r="Y137" i="5"/>
  <c r="Z147" i="5"/>
  <c r="AA147" i="5" s="1"/>
  <c r="AA137" i="5"/>
  <c r="B147" i="3"/>
  <c r="C147" i="3" s="1"/>
  <c r="C137" i="3"/>
  <c r="D147" i="3"/>
  <c r="E147" i="3" s="1"/>
  <c r="E137" i="3"/>
  <c r="F147" i="3"/>
  <c r="G147" i="3" s="1"/>
  <c r="G137" i="3"/>
  <c r="H147" i="3"/>
  <c r="I147" i="3" s="1"/>
  <c r="I137" i="3"/>
  <c r="AH107" i="3"/>
  <c r="AK107" i="3"/>
  <c r="AL107" i="3" s="1"/>
  <c r="AI107" i="3"/>
  <c r="AJ107" i="3" s="1"/>
  <c r="J147" i="3"/>
  <c r="AG137" i="3"/>
  <c r="AH137" i="3" s="1"/>
  <c r="K137" i="3"/>
  <c r="AH101" i="3"/>
  <c r="AK101" i="3"/>
  <c r="AL101" i="3" s="1"/>
  <c r="AI101" i="3"/>
  <c r="AJ101" i="3" s="1"/>
  <c r="L147" i="3"/>
  <c r="M147" i="3" s="1"/>
  <c r="M137" i="3"/>
  <c r="N147" i="3"/>
  <c r="O147" i="3" s="1"/>
  <c r="O137" i="3"/>
  <c r="P147" i="3"/>
  <c r="Q147" i="3" s="1"/>
  <c r="Q137" i="3"/>
  <c r="AC107" i="3"/>
  <c r="AF107" i="3"/>
  <c r="AD107" i="3"/>
  <c r="AE107" i="3" s="1"/>
  <c r="R147" i="3"/>
  <c r="AB137" i="3"/>
  <c r="AC137" i="3" s="1"/>
  <c r="S137" i="3"/>
  <c r="AC101" i="3"/>
  <c r="AF101" i="3"/>
  <c r="AD101" i="3"/>
  <c r="AE101" i="3" s="1"/>
  <c r="T147" i="3"/>
  <c r="U147" i="3" s="1"/>
  <c r="U137" i="3"/>
  <c r="V147" i="3"/>
  <c r="W147" i="3" s="1"/>
  <c r="W137" i="3"/>
  <c r="X147" i="3"/>
  <c r="AK137" i="3"/>
  <c r="AL137" i="3" s="1"/>
  <c r="AI137" i="3"/>
  <c r="AJ137" i="3" s="1"/>
  <c r="AF137" i="3"/>
  <c r="AD137" i="3"/>
  <c r="AE137" i="3" s="1"/>
  <c r="Y137" i="3"/>
  <c r="Z147" i="3"/>
  <c r="AA147" i="3" s="1"/>
  <c r="AA137" i="3"/>
  <c r="B147" i="2"/>
  <c r="C147" i="2" s="1"/>
  <c r="C137" i="2"/>
  <c r="D147" i="2"/>
  <c r="E147" i="2" s="1"/>
  <c r="E137" i="2"/>
  <c r="F147" i="2"/>
  <c r="G147" i="2" s="1"/>
  <c r="G137" i="2"/>
  <c r="H147" i="2"/>
  <c r="I147" i="2" s="1"/>
  <c r="I137" i="2"/>
  <c r="AH107" i="2"/>
  <c r="AK107" i="2"/>
  <c r="AL107" i="2" s="1"/>
  <c r="AI107" i="2"/>
  <c r="AJ107" i="2" s="1"/>
  <c r="J147" i="2"/>
  <c r="AG137" i="2"/>
  <c r="AH137" i="2" s="1"/>
  <c r="K137" i="2"/>
  <c r="AH101" i="2"/>
  <c r="AK101" i="2"/>
  <c r="AL101" i="2" s="1"/>
  <c r="AI101" i="2"/>
  <c r="AJ101" i="2" s="1"/>
  <c r="L147" i="2"/>
  <c r="M147" i="2" s="1"/>
  <c r="M137" i="2"/>
  <c r="N147" i="2"/>
  <c r="O147" i="2" s="1"/>
  <c r="O137" i="2"/>
  <c r="P147" i="2"/>
  <c r="Q147" i="2" s="1"/>
  <c r="Q137" i="2"/>
  <c r="AC107" i="2"/>
  <c r="AF107" i="2"/>
  <c r="AD107" i="2"/>
  <c r="AE107" i="2" s="1"/>
  <c r="R147" i="2"/>
  <c r="AB137" i="2"/>
  <c r="AC137" i="2" s="1"/>
  <c r="S137" i="2"/>
  <c r="AC101" i="2"/>
  <c r="AF101" i="2"/>
  <c r="AD101" i="2"/>
  <c r="AE101" i="2" s="1"/>
  <c r="T147" i="2"/>
  <c r="U147" i="2" s="1"/>
  <c r="U137" i="2"/>
  <c r="V147" i="2"/>
  <c r="W147" i="2" s="1"/>
  <c r="W137" i="2"/>
  <c r="X147" i="2"/>
  <c r="AK137" i="2"/>
  <c r="AL137" i="2" s="1"/>
  <c r="AI137" i="2"/>
  <c r="AJ137" i="2" s="1"/>
  <c r="AF137" i="2"/>
  <c r="AD137" i="2"/>
  <c r="AE137" i="2" s="1"/>
  <c r="Y137" i="2"/>
  <c r="Z147" i="2"/>
  <c r="AA147" i="2" s="1"/>
  <c r="AA137" i="2"/>
  <c r="B147" i="1"/>
  <c r="C147" i="1" s="1"/>
  <c r="C137" i="1"/>
  <c r="D147" i="1"/>
  <c r="E147" i="1" s="1"/>
  <c r="E137" i="1"/>
  <c r="F147" i="1"/>
  <c r="G147" i="1" s="1"/>
  <c r="G137" i="1"/>
  <c r="H147" i="1"/>
  <c r="I147" i="1" s="1"/>
  <c r="I137" i="1"/>
  <c r="AH107" i="1"/>
  <c r="AK107" i="1"/>
  <c r="AL107" i="1" s="1"/>
  <c r="AI107" i="1"/>
  <c r="AJ107" i="1" s="1"/>
  <c r="J147" i="1"/>
  <c r="AG137" i="1"/>
  <c r="AH137" i="1" s="1"/>
  <c r="K137" i="1"/>
  <c r="AH101" i="1"/>
  <c r="AK101" i="1"/>
  <c r="AL101" i="1" s="1"/>
  <c r="AI101" i="1"/>
  <c r="AJ101" i="1" s="1"/>
  <c r="L147" i="1"/>
  <c r="M147" i="1" s="1"/>
  <c r="M137" i="1"/>
  <c r="N147" i="1"/>
  <c r="O147" i="1" s="1"/>
  <c r="O137" i="1"/>
  <c r="P147" i="1"/>
  <c r="Q147" i="1" s="1"/>
  <c r="Q137" i="1"/>
  <c r="AC107" i="1"/>
  <c r="AF107" i="1"/>
  <c r="AD107" i="1"/>
  <c r="AE107" i="1" s="1"/>
  <c r="R147" i="1"/>
  <c r="AB137" i="1"/>
  <c r="AC137" i="1" s="1"/>
  <c r="S137" i="1"/>
  <c r="AC101" i="1"/>
  <c r="AF101" i="1"/>
  <c r="AD101" i="1"/>
  <c r="AE101" i="1" s="1"/>
  <c r="T147" i="1"/>
  <c r="U147" i="1" s="1"/>
  <c r="U137" i="1"/>
  <c r="V147" i="1"/>
  <c r="W147" i="1" s="1"/>
  <c r="W137" i="1"/>
  <c r="X147" i="1"/>
  <c r="AK137" i="1"/>
  <c r="AL137" i="1" s="1"/>
  <c r="AI137" i="1"/>
  <c r="AJ137" i="1" s="1"/>
  <c r="AF137" i="1"/>
  <c r="AD137" i="1"/>
  <c r="AE137" i="1" s="1"/>
  <c r="Y137" i="1"/>
  <c r="Z147" i="1"/>
  <c r="AA147" i="1" s="1"/>
  <c r="AA137" i="1"/>
  <c r="Y147" i="5" l="1"/>
  <c r="AB147" i="5"/>
  <c r="S147" i="5"/>
  <c r="AG147" i="5"/>
  <c r="K147" i="5"/>
  <c r="Y147" i="3"/>
  <c r="AB147" i="3"/>
  <c r="S147" i="3"/>
  <c r="AG147" i="3"/>
  <c r="K147" i="3"/>
  <c r="Y147" i="2"/>
  <c r="AB147" i="2"/>
  <c r="S147" i="2"/>
  <c r="AG147" i="2"/>
  <c r="K147" i="2"/>
  <c r="Y147" i="1"/>
  <c r="AB147" i="1"/>
  <c r="S147" i="1"/>
  <c r="AG147" i="1"/>
  <c r="K147" i="1"/>
  <c r="AH147" i="5" l="1"/>
  <c r="AK147" i="5"/>
  <c r="AL147" i="5" s="1"/>
  <c r="AI147" i="5"/>
  <c r="AJ147" i="5" s="1"/>
  <c r="AC147" i="5"/>
  <c r="AF147" i="5"/>
  <c r="AD147" i="5"/>
  <c r="AE147" i="5" s="1"/>
  <c r="AH147" i="3"/>
  <c r="AK147" i="3"/>
  <c r="AL147" i="3" s="1"/>
  <c r="AI147" i="3"/>
  <c r="AJ147" i="3" s="1"/>
  <c r="AC147" i="3"/>
  <c r="AF147" i="3"/>
  <c r="AD147" i="3"/>
  <c r="AE147" i="3" s="1"/>
  <c r="AH147" i="2"/>
  <c r="AK147" i="2"/>
  <c r="AL147" i="2" s="1"/>
  <c r="AI147" i="2"/>
  <c r="AJ147" i="2" s="1"/>
  <c r="AC147" i="2"/>
  <c r="AF147" i="2"/>
  <c r="AD147" i="2"/>
  <c r="AE147" i="2" s="1"/>
  <c r="AH147" i="1"/>
  <c r="AK147" i="1"/>
  <c r="AL147" i="1" s="1"/>
  <c r="AI147" i="1"/>
  <c r="AJ147" i="1" s="1"/>
  <c r="AC147" i="1"/>
  <c r="AF147" i="1"/>
  <c r="AD147" i="1"/>
  <c r="AE147" i="1" s="1"/>
  <c r="A2" i="7" l="1"/>
  <c r="H11" i="7"/>
  <c r="D24" i="7"/>
  <c r="H16" i="7"/>
  <c r="B34" i="7"/>
  <c r="H34" i="7"/>
  <c r="H36" i="7"/>
  <c r="H38" i="7"/>
  <c r="H22" i="7"/>
  <c r="B64" i="7"/>
  <c r="B38" i="7"/>
  <c r="F39" i="7"/>
  <c r="F31" i="7"/>
  <c r="F8" i="7"/>
  <c r="F15" i="7"/>
  <c r="D66" i="7"/>
  <c r="D25" i="7"/>
  <c r="H64" i="7"/>
  <c r="D39" i="7"/>
  <c r="B15" i="7"/>
  <c r="H63" i="7"/>
  <c r="B42" i="7"/>
  <c r="F14" i="7"/>
  <c r="D57" i="7"/>
  <c r="B54" i="7"/>
  <c r="F49" i="7"/>
  <c r="H12" i="7"/>
  <c r="D32" i="7"/>
  <c r="F24" i="7"/>
  <c r="F54" i="7"/>
  <c r="D49" i="7"/>
  <c r="D27" i="7"/>
  <c r="D7" i="7"/>
  <c r="D30" i="7"/>
  <c r="D6" i="7"/>
  <c r="H41" i="7"/>
  <c r="B47" i="7"/>
  <c r="B29" i="7"/>
  <c r="D26" i="7"/>
  <c r="H30" i="7"/>
  <c r="H46" i="7"/>
  <c r="F57" i="7"/>
  <c r="H50" i="7"/>
  <c r="H14" i="7"/>
  <c r="D41" i="7"/>
  <c r="F53" i="7"/>
  <c r="D60" i="7"/>
  <c r="D56" i="7"/>
  <c r="F23" i="7"/>
  <c r="H59" i="7"/>
  <c r="H57" i="7"/>
  <c r="D36" i="7"/>
  <c r="H54" i="7"/>
  <c r="B30" i="7"/>
  <c r="F28" i="7"/>
  <c r="H7" i="7"/>
  <c r="B14" i="7"/>
  <c r="D9" i="7"/>
  <c r="B66" i="7"/>
  <c r="B32" i="7"/>
  <c r="B26" i="7"/>
  <c r="B49" i="7"/>
  <c r="F37" i="7"/>
  <c r="D13" i="7"/>
  <c r="B6" i="7"/>
  <c r="H9" i="7"/>
  <c r="D31" i="7"/>
  <c r="H56" i="7"/>
  <c r="H29" i="7"/>
  <c r="B50" i="7"/>
  <c r="D8" i="7"/>
  <c r="B55" i="7"/>
  <c r="B8" i="7"/>
  <c r="D28" i="7"/>
  <c r="H55" i="7"/>
  <c r="B53" i="7"/>
  <c r="D29" i="7"/>
  <c r="F33" i="7"/>
  <c r="B22" i="7"/>
  <c r="H32" i="7"/>
  <c r="F63" i="7"/>
  <c r="D64" i="7"/>
  <c r="B39" i="7"/>
  <c r="F16" i="7"/>
  <c r="H27" i="7"/>
  <c r="B25" i="7"/>
  <c r="H26" i="7"/>
  <c r="D63" i="7"/>
  <c r="D48" i="7"/>
  <c r="B48" i="7"/>
  <c r="F50" i="7"/>
  <c r="D14" i="7"/>
  <c r="H58" i="7"/>
  <c r="F26" i="7"/>
  <c r="D47" i="7"/>
  <c r="D62" i="7"/>
  <c r="F11" i="7"/>
  <c r="B41" i="7"/>
  <c r="B11" i="7"/>
  <c r="D22" i="7"/>
  <c r="B16" i="7"/>
  <c r="F58" i="7"/>
  <c r="D10" i="7"/>
  <c r="H51" i="7"/>
  <c r="F36" i="7"/>
  <c r="B7" i="7"/>
  <c r="H60" i="7"/>
  <c r="F22" i="7"/>
  <c r="F12" i="7"/>
  <c r="H53" i="7"/>
  <c r="D42" i="7"/>
  <c r="B63" i="7"/>
  <c r="F32" i="7"/>
  <c r="F6" i="7"/>
  <c r="F61" i="7"/>
  <c r="B37" i="7"/>
  <c r="D46" i="7"/>
  <c r="H37" i="7"/>
  <c r="H48" i="7"/>
  <c r="H62" i="7"/>
  <c r="F40" i="7"/>
  <c r="F7" i="7"/>
  <c r="B46" i="7"/>
  <c r="D37" i="7"/>
  <c r="D34" i="7"/>
  <c r="H49" i="7"/>
  <c r="H33" i="7"/>
  <c r="F25" i="7"/>
  <c r="B28" i="7"/>
  <c r="F59" i="7"/>
  <c r="H40" i="7"/>
  <c r="B27" i="7"/>
  <c r="H31" i="7"/>
  <c r="B56" i="7"/>
  <c r="D61" i="7"/>
  <c r="D11" i="7"/>
  <c r="B33" i="7"/>
  <c r="H24" i="7"/>
  <c r="B36" i="7"/>
  <c r="B12" i="7"/>
  <c r="F55" i="7"/>
  <c r="B60" i="7"/>
  <c r="D33" i="7"/>
  <c r="B23" i="7"/>
  <c r="F41" i="7"/>
  <c r="B57" i="7"/>
  <c r="H39" i="7"/>
  <c r="D15" i="7"/>
  <c r="H15" i="7"/>
  <c r="B9" i="7"/>
  <c r="F62" i="7"/>
  <c r="D16" i="7"/>
  <c r="B51" i="7"/>
  <c r="F27" i="7"/>
  <c r="F42" i="7"/>
  <c r="H8" i="7"/>
  <c r="F56" i="7"/>
  <c r="D51" i="7"/>
  <c r="H23" i="7"/>
  <c r="H61" i="7"/>
  <c r="D54" i="7"/>
  <c r="D50" i="7"/>
  <c r="B13" i="7"/>
  <c r="F47" i="7"/>
  <c r="F10" i="7"/>
  <c r="D12" i="7"/>
  <c r="B62" i="7"/>
  <c r="B40" i="7"/>
  <c r="F38" i="7"/>
  <c r="F60" i="7"/>
  <c r="F9" i="7"/>
  <c r="H25" i="7"/>
  <c r="B59" i="7"/>
  <c r="D23" i="7"/>
  <c r="F48" i="7"/>
  <c r="B58" i="7"/>
  <c r="F64" i="7"/>
  <c r="D58" i="7"/>
  <c r="F51" i="7"/>
  <c r="B24" i="7"/>
  <c r="H13" i="7"/>
  <c r="D53" i="7"/>
  <c r="H28" i="7"/>
  <c r="D59" i="7"/>
  <c r="H10" i="7"/>
  <c r="H42" i="7"/>
  <c r="F46" i="7"/>
  <c r="F13" i="7"/>
  <c r="D38" i="7"/>
  <c r="F29" i="7"/>
  <c r="D40" i="7"/>
  <c r="B10" i="7"/>
  <c r="H47" i="7"/>
  <c r="B31" i="7"/>
  <c r="F34" i="7"/>
  <c r="F30" i="7"/>
  <c r="H6" i="7"/>
  <c r="B61" i="7"/>
  <c r="D55" i="7"/>
  <c r="C33" i="7" l="1"/>
  <c r="E11" i="7"/>
  <c r="C11" i="7"/>
  <c r="E8" i="7"/>
  <c r="G53" i="7"/>
  <c r="G31" i="7"/>
  <c r="C59" i="7"/>
  <c r="E49" i="7"/>
  <c r="C31" i="7"/>
  <c r="I12" i="7"/>
  <c r="J12" i="7"/>
  <c r="E64" i="7"/>
  <c r="C23" i="7"/>
  <c r="J57" i="7"/>
  <c r="I57" i="7"/>
  <c r="E39" i="7"/>
  <c r="E54" i="7"/>
  <c r="I55" i="7"/>
  <c r="J55" i="7"/>
  <c r="E22" i="7"/>
  <c r="E61" i="7"/>
  <c r="C41" i="7"/>
  <c r="C50" i="7"/>
  <c r="E41" i="7"/>
  <c r="G39" i="7"/>
  <c r="E40" i="7"/>
  <c r="E38" i="7"/>
  <c r="G24" i="7"/>
  <c r="G28" i="7"/>
  <c r="C40" i="7"/>
  <c r="E12" i="7"/>
  <c r="G51" i="7"/>
  <c r="G64" i="7"/>
  <c r="J60" i="7"/>
  <c r="I60" i="7"/>
  <c r="I51" i="7"/>
  <c r="J51" i="7"/>
  <c r="G8" i="7"/>
  <c r="C56" i="7"/>
  <c r="G11" i="7"/>
  <c r="I29" i="7"/>
  <c r="J29" i="7"/>
  <c r="I14" i="7"/>
  <c r="J14" i="7"/>
  <c r="C38" i="7"/>
  <c r="E7" i="7"/>
  <c r="G40" i="7"/>
  <c r="G46" i="7"/>
  <c r="I10" i="7"/>
  <c r="J10" i="7"/>
  <c r="C54" i="7"/>
  <c r="G14" i="7"/>
  <c r="I63" i="7"/>
  <c r="J63" i="7"/>
  <c r="G33" i="7"/>
  <c r="G48" i="7"/>
  <c r="I23" i="7"/>
  <c r="J23" i="7"/>
  <c r="C55" i="7"/>
  <c r="I31" i="7"/>
  <c r="J31" i="7"/>
  <c r="E62" i="7"/>
  <c r="I56" i="7"/>
  <c r="J56" i="7"/>
  <c r="I50" i="7"/>
  <c r="J50" i="7"/>
  <c r="C64" i="7"/>
  <c r="C46" i="7"/>
  <c r="J27" i="7"/>
  <c r="I27" i="7"/>
  <c r="J48" i="7"/>
  <c r="I48" i="7"/>
  <c r="E46" i="7"/>
  <c r="I28" i="7"/>
  <c r="J28" i="7"/>
  <c r="I13" i="7"/>
  <c r="J13" i="7"/>
  <c r="G47" i="7"/>
  <c r="E50" i="7"/>
  <c r="C12" i="7"/>
  <c r="E28" i="7"/>
  <c r="E51" i="7"/>
  <c r="C27" i="7"/>
  <c r="E47" i="7"/>
  <c r="E31" i="7"/>
  <c r="G57" i="7"/>
  <c r="I22" i="7"/>
  <c r="E27" i="7"/>
  <c r="C61" i="7"/>
  <c r="E55" i="7"/>
  <c r="C39" i="7"/>
  <c r="G61" i="7"/>
  <c r="G32" i="7"/>
  <c r="E42" i="7"/>
  <c r="G12" i="7"/>
  <c r="E25" i="7"/>
  <c r="E10" i="7"/>
  <c r="G56" i="7"/>
  <c r="I40" i="7"/>
  <c r="J40" i="7"/>
  <c r="G26" i="7"/>
  <c r="I9" i="7"/>
  <c r="J9" i="7"/>
  <c r="I46" i="7"/>
  <c r="I38" i="7"/>
  <c r="J38" i="7"/>
  <c r="G29" i="7"/>
  <c r="G34" i="7"/>
  <c r="J7" i="7"/>
  <c r="I7" i="7"/>
  <c r="E59" i="7"/>
  <c r="C62" i="7"/>
  <c r="E36" i="7"/>
  <c r="C22" i="7"/>
  <c r="G55" i="7"/>
  <c r="C7" i="7"/>
  <c r="G58" i="7"/>
  <c r="J8" i="7"/>
  <c r="I8" i="7"/>
  <c r="G59" i="7"/>
  <c r="I58" i="7"/>
  <c r="J58" i="7"/>
  <c r="C6" i="7"/>
  <c r="I30" i="7"/>
  <c r="J30" i="7"/>
  <c r="I36" i="7"/>
  <c r="I25" i="7"/>
  <c r="J25" i="7"/>
  <c r="G13" i="7"/>
  <c r="E32" i="7"/>
  <c r="G49" i="7"/>
  <c r="G63" i="7"/>
  <c r="E33" i="7"/>
  <c r="C15" i="7"/>
  <c r="G23" i="7"/>
  <c r="E56" i="7"/>
  <c r="C8" i="7"/>
  <c r="G42" i="7"/>
  <c r="C28" i="7"/>
  <c r="E14" i="7"/>
  <c r="E13" i="7"/>
  <c r="E26" i="7"/>
  <c r="I34" i="7"/>
  <c r="J34" i="7"/>
  <c r="J15" i="7"/>
  <c r="I15" i="7"/>
  <c r="G54" i="7"/>
  <c r="I39" i="7"/>
  <c r="J39" i="7"/>
  <c r="G38" i="7"/>
  <c r="G41" i="7"/>
  <c r="G10" i="7"/>
  <c r="E58" i="7"/>
  <c r="E29" i="7"/>
  <c r="C36" i="7"/>
  <c r="G15" i="7"/>
  <c r="G27" i="7"/>
  <c r="G25" i="7"/>
  <c r="G50" i="7"/>
  <c r="G37" i="7"/>
  <c r="C29" i="7"/>
  <c r="C34" i="7"/>
  <c r="E9" i="7"/>
  <c r="C14" i="7"/>
  <c r="J42" i="7"/>
  <c r="I42" i="7"/>
  <c r="C30" i="7"/>
  <c r="E53" i="7"/>
  <c r="C24" i="7"/>
  <c r="J59" i="7"/>
  <c r="I59" i="7"/>
  <c r="C58" i="7"/>
  <c r="G36" i="7"/>
  <c r="I24" i="7"/>
  <c r="J24" i="7"/>
  <c r="C51" i="7"/>
  <c r="I33" i="7"/>
  <c r="J33" i="7"/>
  <c r="C48" i="7"/>
  <c r="C49" i="7"/>
  <c r="C47" i="7"/>
  <c r="J16" i="7"/>
  <c r="I16" i="7"/>
  <c r="C25" i="7"/>
  <c r="J62" i="7"/>
  <c r="I62" i="7"/>
  <c r="G60" i="7"/>
  <c r="C37" i="7"/>
  <c r="E57" i="7"/>
  <c r="C42" i="7"/>
  <c r="C13" i="7"/>
  <c r="G22" i="7"/>
  <c r="C53" i="7"/>
  <c r="C16" i="7"/>
  <c r="C66" i="7"/>
  <c r="E16" i="7"/>
  <c r="E30" i="7"/>
  <c r="I49" i="7"/>
  <c r="J49" i="7"/>
  <c r="E48" i="7"/>
  <c r="C26" i="7"/>
  <c r="J41" i="7"/>
  <c r="I41" i="7"/>
  <c r="E24" i="7"/>
  <c r="G7" i="7"/>
  <c r="E15" i="7"/>
  <c r="I37" i="7"/>
  <c r="J37" i="7"/>
  <c r="C57" i="7"/>
  <c r="I54" i="7"/>
  <c r="J54" i="7"/>
  <c r="C63" i="7"/>
  <c r="C60" i="7"/>
  <c r="I64" i="7"/>
  <c r="J64" i="7"/>
  <c r="I61" i="7"/>
  <c r="J61" i="7"/>
  <c r="E60" i="7"/>
  <c r="G62" i="7"/>
  <c r="E34" i="7"/>
  <c r="E63" i="7"/>
  <c r="C32" i="7"/>
  <c r="E6" i="7"/>
  <c r="I11" i="7"/>
  <c r="J11" i="7"/>
  <c r="G30" i="7"/>
  <c r="G9" i="7"/>
  <c r="G16" i="7"/>
  <c r="I47" i="7"/>
  <c r="J47" i="7"/>
  <c r="K47" i="7" s="1"/>
  <c r="G6" i="7"/>
  <c r="I32" i="7"/>
  <c r="J32" i="7"/>
  <c r="I53" i="7"/>
  <c r="J6" i="7"/>
  <c r="I6" i="7"/>
  <c r="C10" i="7"/>
  <c r="E23" i="7"/>
  <c r="C9" i="7"/>
  <c r="E37" i="7"/>
  <c r="J26" i="7"/>
  <c r="I26" i="7"/>
  <c r="E66" i="7"/>
  <c r="F66" i="7"/>
  <c r="K57" i="7" l="1"/>
  <c r="K30" i="7"/>
  <c r="K7" i="7"/>
  <c r="K13" i="7"/>
  <c r="K31" i="7"/>
  <c r="K14" i="7"/>
  <c r="K6" i="7"/>
  <c r="K12" i="7"/>
  <c r="K41" i="7"/>
  <c r="K59" i="7"/>
  <c r="K32" i="7"/>
  <c r="K37" i="7"/>
  <c r="K34" i="7"/>
  <c r="K25" i="7"/>
  <c r="K56" i="7"/>
  <c r="K24" i="7"/>
  <c r="K28" i="7"/>
  <c r="K61" i="7"/>
  <c r="K62" i="7"/>
  <c r="K54" i="7"/>
  <c r="K55" i="7"/>
  <c r="K33" i="7"/>
  <c r="K58" i="7"/>
  <c r="K38" i="7"/>
  <c r="K23" i="7"/>
  <c r="K29" i="7"/>
  <c r="K40" i="7"/>
  <c r="K64" i="7"/>
  <c r="K49" i="7"/>
  <c r="K9" i="7"/>
  <c r="K48" i="7"/>
  <c r="K53" i="7"/>
  <c r="K16" i="7"/>
  <c r="K22" i="7"/>
  <c r="K36" i="7"/>
  <c r="K46" i="7"/>
  <c r="K8" i="7"/>
  <c r="K63" i="7"/>
  <c r="K42" i="7"/>
  <c r="K39" i="7"/>
  <c r="K27" i="7"/>
  <c r="K51" i="7"/>
  <c r="K50" i="7"/>
  <c r="K10" i="7"/>
  <c r="K60" i="7"/>
  <c r="K26" i="7"/>
  <c r="K11" i="7"/>
  <c r="K15" i="7"/>
  <c r="G66" i="7"/>
  <c r="K72" i="7"/>
  <c r="K78" i="7"/>
  <c r="H82" i="7"/>
  <c r="D90" i="7"/>
  <c r="F81" i="7"/>
  <c r="B84" i="7"/>
  <c r="H91" i="7"/>
  <c r="B75" i="7"/>
  <c r="B79" i="7"/>
  <c r="H78" i="7"/>
  <c r="H89" i="7"/>
  <c r="D74" i="7"/>
  <c r="B90" i="7"/>
  <c r="D85" i="7"/>
  <c r="B81" i="7"/>
  <c r="D84" i="7"/>
  <c r="H85" i="7"/>
  <c r="B83" i="7"/>
  <c r="B92" i="7"/>
  <c r="H88" i="7"/>
  <c r="F84" i="7"/>
  <c r="B86" i="7"/>
  <c r="D83" i="7"/>
  <c r="H86" i="7"/>
  <c r="F83" i="7"/>
  <c r="D88" i="7"/>
  <c r="H66" i="7"/>
  <c r="F87" i="7"/>
  <c r="F90" i="7"/>
  <c r="H84" i="7"/>
  <c r="B74" i="7"/>
  <c r="D87" i="7"/>
  <c r="B91" i="7"/>
  <c r="H76" i="7"/>
  <c r="F92" i="7"/>
  <c r="B88" i="7"/>
  <c r="H73" i="7"/>
  <c r="B76" i="7"/>
  <c r="F88" i="7"/>
  <c r="H79" i="7"/>
  <c r="F85" i="7"/>
  <c r="B89" i="7"/>
  <c r="F78" i="7"/>
  <c r="D86" i="7"/>
  <c r="H75" i="7"/>
  <c r="D82" i="7"/>
  <c r="F72" i="7"/>
  <c r="H87" i="7"/>
  <c r="D78" i="7"/>
  <c r="D92" i="7"/>
  <c r="F91" i="7"/>
  <c r="H77" i="7"/>
  <c r="F79" i="7"/>
  <c r="F75" i="7"/>
  <c r="D79" i="7"/>
  <c r="B82" i="7"/>
  <c r="B73" i="7"/>
  <c r="F73" i="7"/>
  <c r="H90" i="7"/>
  <c r="D81" i="7"/>
  <c r="F89" i="7"/>
  <c r="D77" i="7"/>
  <c r="B94" i="7"/>
  <c r="D75" i="7"/>
  <c r="H92" i="7"/>
  <c r="B77" i="7"/>
  <c r="F86" i="7"/>
  <c r="B72" i="7"/>
  <c r="F77" i="7"/>
  <c r="D89" i="7"/>
  <c r="H72" i="7"/>
  <c r="D76" i="7"/>
  <c r="B85" i="7"/>
  <c r="F76" i="7"/>
  <c r="F82" i="7"/>
  <c r="D73" i="7"/>
  <c r="B78" i="7"/>
  <c r="H81" i="7"/>
  <c r="D91" i="7"/>
  <c r="H74" i="7"/>
  <c r="H83" i="7"/>
  <c r="B87" i="7"/>
  <c r="D72" i="7"/>
  <c r="F74" i="7"/>
  <c r="I66" i="7" l="1"/>
  <c r="J66" i="7"/>
  <c r="K66" i="7" s="1"/>
  <c r="E82" i="7"/>
  <c r="E87" i="7"/>
  <c r="I88" i="7"/>
  <c r="J88" i="7"/>
  <c r="K88" i="7" s="1"/>
  <c r="J91" i="7"/>
  <c r="K91" i="7" s="1"/>
  <c r="I91" i="7"/>
  <c r="E73" i="7"/>
  <c r="C73" i="7"/>
  <c r="I83" i="7"/>
  <c r="J83" i="7"/>
  <c r="K83" i="7" s="1"/>
  <c r="C85" i="7"/>
  <c r="I72" i="7"/>
  <c r="G77" i="7"/>
  <c r="E91" i="7"/>
  <c r="C88" i="7"/>
  <c r="I81" i="7"/>
  <c r="J81" i="7"/>
  <c r="K81" i="7" s="1"/>
  <c r="C79" i="7"/>
  <c r="G72" i="7"/>
  <c r="E77" i="7"/>
  <c r="J75" i="7"/>
  <c r="K75" i="7" s="1"/>
  <c r="I75" i="7"/>
  <c r="C74" i="7"/>
  <c r="C92" i="7"/>
  <c r="C84" i="7"/>
  <c r="C78" i="7"/>
  <c r="C87" i="7"/>
  <c r="C82" i="7"/>
  <c r="G74" i="7"/>
  <c r="E88" i="7"/>
  <c r="E74" i="7"/>
  <c r="J89" i="7"/>
  <c r="K89" i="7" s="1"/>
  <c r="I89" i="7"/>
  <c r="G86" i="7"/>
  <c r="E83" i="7"/>
  <c r="I92" i="7"/>
  <c r="J92" i="7"/>
  <c r="K92" i="7" s="1"/>
  <c r="C91" i="7"/>
  <c r="G89" i="7"/>
  <c r="E86" i="7"/>
  <c r="I84" i="7"/>
  <c r="J84" i="7"/>
  <c r="K84" i="7" s="1"/>
  <c r="C83" i="7"/>
  <c r="G81" i="7"/>
  <c r="E72" i="7"/>
  <c r="G82" i="7"/>
  <c r="G76" i="7"/>
  <c r="E76" i="7"/>
  <c r="C90" i="7"/>
  <c r="C76" i="7"/>
  <c r="G83" i="7"/>
  <c r="I78" i="7"/>
  <c r="G92" i="7"/>
  <c r="I87" i="7"/>
  <c r="J87" i="7"/>
  <c r="K87" i="7" s="1"/>
  <c r="G84" i="7"/>
  <c r="E81" i="7"/>
  <c r="G78" i="7"/>
  <c r="G90" i="7"/>
  <c r="I85" i="7"/>
  <c r="J85" i="7"/>
  <c r="K85" i="7" s="1"/>
  <c r="E90" i="7"/>
  <c r="G85" i="7"/>
  <c r="J79" i="7"/>
  <c r="K79" i="7" s="1"/>
  <c r="I79" i="7"/>
  <c r="J74" i="7"/>
  <c r="K74" i="7" s="1"/>
  <c r="I74" i="7"/>
  <c r="G88" i="7"/>
  <c r="G79" i="7"/>
  <c r="I77" i="7"/>
  <c r="J77" i="7"/>
  <c r="K77" i="7" s="1"/>
  <c r="G91" i="7"/>
  <c r="J86" i="7"/>
  <c r="K86" i="7" s="1"/>
  <c r="I86" i="7"/>
  <c r="C77" i="7"/>
  <c r="C86" i="7"/>
  <c r="E75" i="7"/>
  <c r="I90" i="7"/>
  <c r="J90" i="7"/>
  <c r="K90" i="7" s="1"/>
  <c r="C89" i="7"/>
  <c r="G87" i="7"/>
  <c r="E84" i="7"/>
  <c r="I82" i="7"/>
  <c r="J82" i="7"/>
  <c r="K82" i="7" s="1"/>
  <c r="C81" i="7"/>
  <c r="E85" i="7"/>
  <c r="E79" i="7"/>
  <c r="G75" i="7"/>
  <c r="E89" i="7"/>
  <c r="C72" i="7"/>
  <c r="I73" i="7"/>
  <c r="J73" i="7"/>
  <c r="K73" i="7" s="1"/>
  <c r="E92" i="7"/>
  <c r="E78" i="7"/>
  <c r="I76" i="7"/>
  <c r="J76" i="7"/>
  <c r="K76" i="7" s="1"/>
  <c r="C75" i="7"/>
  <c r="G73" i="7"/>
  <c r="C94" i="7"/>
  <c r="C1" i="6"/>
  <c r="D1" i="6" s="1"/>
  <c r="E1" i="6" s="1"/>
  <c r="F1" i="6" s="1"/>
  <c r="B5" i="6"/>
  <c r="AM5" i="6"/>
  <c r="AN5" i="6" s="1"/>
  <c r="AO5" i="6"/>
  <c r="B6" i="6"/>
  <c r="AM6" i="6"/>
  <c r="AN6" i="6" s="1"/>
  <c r="AO6" i="6"/>
  <c r="B7" i="6"/>
  <c r="AM7" i="6"/>
  <c r="AN7" i="6"/>
  <c r="AO7" i="6"/>
  <c r="B8" i="6"/>
  <c r="AM8" i="6"/>
  <c r="AN8" i="6" s="1"/>
  <c r="AO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 s="1"/>
  <c r="AO18" i="6"/>
  <c r="AM19" i="6"/>
  <c r="AN19" i="6" s="1"/>
  <c r="AO19" i="6"/>
  <c r="AM20" i="6"/>
  <c r="AN20" i="6"/>
  <c r="AO20" i="6"/>
  <c r="AM21" i="6"/>
  <c r="AN21" i="6" s="1"/>
  <c r="AO21" i="6"/>
  <c r="AM22" i="6"/>
  <c r="AN22" i="6"/>
  <c r="AO22" i="6"/>
  <c r="AM23" i="6"/>
  <c r="AN23" i="6"/>
  <c r="AO23" i="6"/>
  <c r="AM24" i="6"/>
  <c r="AN24" i="6"/>
  <c r="AO24" i="6"/>
  <c r="AM25" i="6"/>
  <c r="AN25" i="6" s="1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 s="1"/>
  <c r="AO34" i="6"/>
  <c r="AM35" i="6"/>
  <c r="AN35" i="6" s="1"/>
  <c r="AO35" i="6"/>
  <c r="AM36" i="6"/>
  <c r="AN36" i="6"/>
  <c r="AO36" i="6"/>
  <c r="AM37" i="6"/>
  <c r="AN37" i="6" s="1"/>
  <c r="AO37" i="6"/>
  <c r="AM38" i="6"/>
  <c r="AN38" i="6"/>
  <c r="AO38" i="6"/>
  <c r="AM39" i="6"/>
  <c r="AN39" i="6"/>
  <c r="AO39" i="6"/>
  <c r="AM40" i="6"/>
  <c r="AN40" i="6"/>
  <c r="AO40" i="6"/>
  <c r="AM41" i="6"/>
  <c r="AN41" i="6" s="1"/>
  <c r="AO41" i="6"/>
  <c r="AM42" i="6"/>
  <c r="AN42" i="6"/>
  <c r="AO42" i="6"/>
  <c r="AM43" i="6"/>
  <c r="AN43" i="6"/>
  <c r="AO43" i="6"/>
  <c r="AM44" i="6"/>
  <c r="AN44" i="6"/>
  <c r="AO44" i="6"/>
  <c r="AM45" i="6"/>
  <c r="AN45" i="6" s="1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 s="1"/>
  <c r="AO50" i="6"/>
  <c r="AM51" i="6"/>
  <c r="AN51" i="6" s="1"/>
  <c r="AO51" i="6"/>
  <c r="D5" i="6" a="1"/>
  <c r="M5" i="6" a="1"/>
  <c r="J6" i="6" a="1"/>
  <c r="G7" i="6"/>
  <c r="D8" i="6" a="1"/>
  <c r="M8" i="6" a="1"/>
  <c r="U9" i="6" a="1"/>
  <c r="U6" i="6" a="1"/>
  <c r="H7" i="6" a="1"/>
  <c r="R7" i="6"/>
  <c r="K9" i="6"/>
  <c r="E5" i="6" a="1"/>
  <c r="N5" i="6" a="1"/>
  <c r="K6" i="6"/>
  <c r="S7" i="6" a="1"/>
  <c r="E8" i="6" a="1"/>
  <c r="N8" i="6" a="1"/>
  <c r="L9" i="6" a="1"/>
  <c r="L6" i="6" a="1"/>
  <c r="I7" i="6" a="1"/>
  <c r="C9" i="6"/>
  <c r="F5" i="6" a="1"/>
  <c r="C6" i="6"/>
  <c r="T7" i="6" a="1"/>
  <c r="F8" i="6" a="1"/>
  <c r="D9" i="6" a="1"/>
  <c r="M9" i="6" a="1"/>
  <c r="D94" i="7"/>
  <c r="D6" i="6" a="1"/>
  <c r="M6" i="6" a="1"/>
  <c r="J7" i="6" a="1"/>
  <c r="G5" i="6"/>
  <c r="U7" i="6" a="1"/>
  <c r="G8" i="6"/>
  <c r="E9" i="6" a="1"/>
  <c r="N9" i="6" a="1"/>
  <c r="F94" i="7"/>
  <c r="H5" i="6" a="1"/>
  <c r="R5" i="6"/>
  <c r="E6" i="6" a="1"/>
  <c r="N6" i="6" a="1"/>
  <c r="K7" i="6"/>
  <c r="H8" i="6" a="1"/>
  <c r="R8" i="6"/>
  <c r="S5" i="6" a="1"/>
  <c r="L7" i="6" a="1"/>
  <c r="S8" i="6" a="1"/>
  <c r="F9" i="6" a="1"/>
  <c r="H94" i="7"/>
  <c r="I5" i="6" a="1"/>
  <c r="F6" i="6" a="1"/>
  <c r="C7" i="6"/>
  <c r="I8" i="6" a="1"/>
  <c r="T5" i="6" a="1"/>
  <c r="D7" i="6" a="1"/>
  <c r="M7" i="6" a="1"/>
  <c r="T8" i="6" a="1"/>
  <c r="G9" i="6"/>
  <c r="J5" i="6" a="1"/>
  <c r="G6" i="6"/>
  <c r="J8" i="6" a="1"/>
  <c r="H9" i="6" a="1"/>
  <c r="R9" i="6"/>
  <c r="U5" i="6" a="1"/>
  <c r="H6" i="6" a="1"/>
  <c r="R6" i="6"/>
  <c r="E7" i="6" a="1"/>
  <c r="N7" i="6" a="1"/>
  <c r="U8" i="6" a="1"/>
  <c r="S9" i="6" a="1"/>
  <c r="K5" i="6"/>
  <c r="S6" i="6" a="1"/>
  <c r="K8" i="6"/>
  <c r="I9" i="6" a="1"/>
  <c r="L5" i="6" a="1"/>
  <c r="I6" i="6" a="1"/>
  <c r="F7" i="6" a="1"/>
  <c r="L8" i="6" a="1"/>
  <c r="T9" i="6" a="1"/>
  <c r="C5" i="6"/>
  <c r="T6" i="6" a="1"/>
  <c r="C8" i="6"/>
  <c r="J9" i="6" a="1"/>
  <c r="J9" i="6" l="1"/>
  <c r="O8" i="6"/>
  <c r="V8" i="6"/>
  <c r="T6" i="6"/>
  <c r="O5" i="6"/>
  <c r="V5" i="6"/>
  <c r="T9" i="6"/>
  <c r="L8" i="6"/>
  <c r="F7" i="6"/>
  <c r="I6" i="6"/>
  <c r="L5" i="6"/>
  <c r="I9" i="6"/>
  <c r="S6" i="6"/>
  <c r="S9" i="6"/>
  <c r="U8" i="6"/>
  <c r="N7" i="6"/>
  <c r="E7" i="6"/>
  <c r="H6" i="6"/>
  <c r="U5" i="6"/>
  <c r="H9" i="6"/>
  <c r="J8" i="6"/>
  <c r="J5" i="6"/>
  <c r="T8" i="6"/>
  <c r="M7" i="6"/>
  <c r="D7" i="6"/>
  <c r="T5" i="6"/>
  <c r="I8" i="6"/>
  <c r="V7" i="6"/>
  <c r="O7" i="6"/>
  <c r="F6" i="6"/>
  <c r="I5" i="6"/>
  <c r="I94" i="7"/>
  <c r="J94" i="7"/>
  <c r="K94" i="7" s="1"/>
  <c r="F9" i="6"/>
  <c r="S8" i="6"/>
  <c r="L7" i="6"/>
  <c r="S5" i="6"/>
  <c r="H8" i="6"/>
  <c r="N6" i="6"/>
  <c r="E6" i="6"/>
  <c r="H5" i="6"/>
  <c r="G94" i="7"/>
  <c r="N9" i="6"/>
  <c r="E9" i="6"/>
  <c r="U7" i="6"/>
  <c r="J7" i="6"/>
  <c r="M6" i="6"/>
  <c r="D6" i="6"/>
  <c r="E94" i="7"/>
  <c r="M9" i="6"/>
  <c r="D9" i="6"/>
  <c r="F8" i="6"/>
  <c r="T7" i="6"/>
  <c r="V6" i="6"/>
  <c r="O6" i="6"/>
  <c r="F5" i="6"/>
  <c r="V9" i="6"/>
  <c r="O9" i="6"/>
  <c r="I7" i="6"/>
  <c r="L6" i="6"/>
  <c r="L9" i="6"/>
  <c r="N8" i="6"/>
  <c r="E8" i="6"/>
  <c r="S7" i="6"/>
  <c r="N5" i="6"/>
  <c r="E5" i="6"/>
  <c r="H7" i="6"/>
  <c r="U6" i="6"/>
  <c r="U9" i="6"/>
  <c r="M8" i="6"/>
  <c r="D8" i="6"/>
  <c r="J6" i="6"/>
  <c r="M5" i="6"/>
  <c r="D5" i="6"/>
  <c r="W6" i="6" l="1"/>
  <c r="P6" i="6"/>
  <c r="X8" i="6"/>
  <c r="Q8" i="6"/>
  <c r="X9" i="6"/>
  <c r="Q9" i="6"/>
  <c r="P5" i="6"/>
  <c r="W5" i="6"/>
  <c r="W7" i="6"/>
  <c r="P7" i="6"/>
  <c r="X6" i="6"/>
  <c r="Q6" i="6"/>
  <c r="P8" i="6"/>
  <c r="W8" i="6"/>
  <c r="W9" i="6"/>
  <c r="P9" i="6"/>
  <c r="X5" i="6"/>
  <c r="Q5" i="6"/>
  <c r="Q7" i="6"/>
  <c r="X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<sst xmlns="http://schemas.openxmlformats.org/spreadsheetml/2006/main" count="1743" uniqueCount="251">
  <si>
    <t>Prime Margin - Trailing 12 Week</t>
  </si>
  <si>
    <t>Consolidated</t>
  </si>
  <si>
    <t/>
  </si>
  <si>
    <t>Week Ending 08/02/2026</t>
  </si>
  <si>
    <t>Week Ending 08/09/2026</t>
  </si>
  <si>
    <t>Week Ending 08/16/2026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</si>
  <si>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</si>
  <si>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</si>
  <si>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</si>
  <si>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</si>
  <si>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</si>
  <si>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</si>
  <si>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</si>
  <si>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</si>
  <si>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</si>
  <si>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</si>
  <si>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</si>
  <si>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</si>
  <si>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</si>
  <si>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</si>
  <si>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</si>
  <si>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</si>
  <si>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</si>
  <si>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</si>
  <si>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</si>
  <si>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</si>
  <si>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</si>
  <si>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</si>
  <si>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</si>
  <si>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</si>
  <si>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</si>
  <si>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</si>
  <si>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</si>
  <si>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</si>
  <si>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</si>
  <si>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</si>
  <si>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</si>
  <si>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</si>
  <si>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</si>
  <si>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</si>
  <si>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</si>
  <si>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</si>
  <si>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</si>
  <si>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</si>
  <si>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</si>
  <si>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</si>
  <si>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</si>
  <si>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</si>
  <si>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</si>
  <si>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</si>
  <si>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</si>
  <si>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</si>
  <si>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</si>
  <si>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</si>
  <si>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</si>
  <si>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</si>
  <si>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</si>
  <si>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</si>
  <si>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</si>
  <si>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</si>
  <si>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</si>
  <si>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</si>
  <si>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</si>
  <si>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</si>
  <si>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</si>
  <si>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</si>
  <si>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</si>
  <si>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</si>
  <si>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</si>
  <si>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</si>
  <si>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</si>
  <si>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</si>
  <si>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</si>
  <si>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</si>
  <si>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</si>
  <si>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</si>
  <si>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</si>
  <si>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</si>
  <si>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</si>
  <si>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</si>
  <si>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</si>
  <si>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</si>
  <si>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</si>
  <si>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</si>
  <si>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</si>
  <si>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</si>
  <si>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</si>
  <si>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</si>
  <si>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</si>
  <si>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</si>
  <si>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</si>
  <si>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</si>
  <si>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</si>
  <si>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</si>
  <si>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</si>
  <si>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</si>
  <si>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</si>
  <si>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</si>
  <si>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</si>
  <si>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</si>
  <si>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</si>
  <si>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</si>
  <si>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</si>
  <si>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</si>
  <si>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</si>
  <si>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</si>
  <si>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</si>
  <si>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</si>
  <si>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</si>
  <si>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</si>
  <si>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</si>
  <si>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</si>
  <si>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</si>
  <si>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</si>
  <si>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</si>
  <si>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</si>
  <si>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</si>
  <si>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</si>
  <si>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</si>
  <si>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</si>
  <si>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</si>
  <si>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</si>
  <si>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</si>
  <si>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</si>
  <si>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</si>
  <si>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</si>
  <si>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</si>
  <si>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</si>
  <si>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</si>
  <si>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</si>
  <si>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</si>
  <si>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</si>
  <si>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</si>
  <si>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</si>
  <si>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</si>
  <si>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</si>
  <si>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</si>
  <si>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</si>
  <si>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</si>
  <si>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</si>
  <si>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</si>
  <si>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4 - RASA - MVT</t>
  </si>
  <si>
    <t>5 - RASA - National Landing</t>
  </si>
  <si>
    <t>6 - RASA - Mosaic</t>
  </si>
  <si>
    <t>7 - RASA - Rockville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</si>
  <si>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</si>
  <si>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</si>
  <si>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</si>
  <si>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</si>
  <si>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</si>
  <si>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</si>
  <si>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</si>
  <si>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</si>
  <si>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</si>
  <si>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</si>
  <si>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</si>
  <si>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</si>
  <si>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</si>
  <si>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</si>
  <si>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</si>
  <si>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</si>
  <si>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</si>
  <si>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</si>
  <si>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</si>
  <si>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</si>
  <si>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</si>
  <si>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</si>
  <si>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</si>
  <si>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</si>
  <si>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Labor -</t>
  </si>
  <si>
    <t>Week 28</t>
  </si>
  <si>
    <t>COGS -</t>
  </si>
  <si>
    <t>Week 27</t>
  </si>
  <si>
    <t>RASA - Rockville</t>
  </si>
  <si>
    <t>Week 26</t>
  </si>
  <si>
    <t>Week 25</t>
  </si>
  <si>
    <t>Week 24</t>
  </si>
  <si>
    <t>Week 23</t>
  </si>
  <si>
    <t xml:space="preserve"> RASA - Mosaic</t>
  </si>
  <si>
    <t>Week 22</t>
  </si>
  <si>
    <t>Week 21</t>
  </si>
  <si>
    <t>Week 20</t>
  </si>
  <si>
    <t>Week 19</t>
  </si>
  <si>
    <t>RASA - National Landing</t>
  </si>
  <si>
    <t>Week 18</t>
  </si>
  <si>
    <t>Week 17</t>
  </si>
  <si>
    <t>Week 16</t>
  </si>
  <si>
    <t>Week 15</t>
  </si>
  <si>
    <t xml:space="preserve"> RASA - MVT</t>
  </si>
  <si>
    <t>Week 10</t>
  </si>
  <si>
    <t>Week 9</t>
  </si>
  <si>
    <t>Notes:</t>
  </si>
  <si>
    <t>Week 8</t>
  </si>
  <si>
    <t>Week 7</t>
  </si>
  <si>
    <t>Week 6</t>
  </si>
  <si>
    <t>All</t>
  </si>
  <si>
    <t>Week 5</t>
  </si>
  <si>
    <t>Week 4</t>
  </si>
  <si>
    <t>Week 3</t>
  </si>
  <si>
    <t>5 - RASA - National Landin</t>
  </si>
  <si>
    <t>Week 2</t>
  </si>
  <si>
    <t>Location</t>
  </si>
  <si>
    <t>Labor
 Current Week vs 8-week</t>
  </si>
  <si>
    <t>COGS
 Current Week vs 8-week</t>
  </si>
  <si>
    <t>Sales
 Current Week vs 8-week</t>
  </si>
  <si>
    <t>Prime Margin</t>
  </si>
  <si>
    <t>Total Labor Cost</t>
  </si>
  <si>
    <t>COGS</t>
  </si>
  <si>
    <t>Labor
 Current Week vs 4-week</t>
  </si>
  <si>
    <t>COGS
 Current Week vs 4-week</t>
  </si>
  <si>
    <t>Sales
 Current Week vs 4-week</t>
  </si>
  <si>
    <t>Labor</t>
  </si>
  <si>
    <t>8-Week Average Comparison</t>
  </si>
  <si>
    <t>8-Week Average</t>
  </si>
  <si>
    <t>4-Week Average Comparison</t>
  </si>
  <si>
    <t>4-Week Average</t>
  </si>
  <si>
    <t>Current Period</t>
  </si>
  <si>
    <t>Trailing 8 week</t>
  </si>
  <si>
    <t>Trailing 4 week</t>
  </si>
  <si>
    <t>Period To Date</t>
  </si>
  <si>
    <t>82605 - Other Income_To Good To Go</t>
  </si>
  <si>
    <t>82604 - Other Income_OTP</t>
  </si>
  <si>
    <t>82602 - Other Income_WCK</t>
  </si>
  <si>
    <t>Discounts / Refunds</t>
  </si>
  <si>
    <t>45000 - Sales Adjustments</t>
  </si>
  <si>
    <t>Delivery Fee Income</t>
  </si>
  <si>
    <t>43000 - Delivery Sales - Rasa Website</t>
  </si>
  <si>
    <t>Catering Sales</t>
  </si>
  <si>
    <t>Digital Sales</t>
  </si>
  <si>
    <t>Single Plate In-House Sales</t>
  </si>
  <si>
    <t>Total</t>
  </si>
  <si>
    <t>6 - Rasa - Mosaic</t>
  </si>
  <si>
    <t>5 - Rasa - National Landin</t>
  </si>
  <si>
    <t>4 - Rasa - MVT</t>
  </si>
  <si>
    <t>06/04/2023</t>
  </si>
  <si>
    <t>No notes</t>
  </si>
  <si>
    <t>Week Ending 08/23/2026</t>
  </si>
  <si>
    <t>Week Ending 08/30/2026</t>
  </si>
  <si>
    <t>Week Ending 09/06/2026</t>
  </si>
  <si>
    <t>Week Ending 09/13/2026</t>
  </si>
  <si>
    <t>Week Ending 09/20/2026</t>
  </si>
  <si>
    <t>Week Ending 09/27/2026</t>
  </si>
  <si>
    <t>Pchase - Weekly report 1</t>
  </si>
  <si>
    <t>Week Ending 10/04/2026</t>
  </si>
  <si>
    <t>Week Ending 10/11/2026</t>
  </si>
  <si>
    <t>Week Ending 10/18/2026</t>
  </si>
  <si>
    <t>10/18/2026</t>
  </si>
  <si>
    <t>10/23/2026 02:01 PM PDT</t>
  </si>
  <si>
    <t>Health Insurance paid in this week</t>
  </si>
  <si>
    <t>Health Insurance paid in this week. $1291 Amount</t>
  </si>
  <si>
    <t>Is high as sales is $13K less compared to last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</si>
</sst>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0.0%"/>
    <numFmt numFmtId="167" formatCode="_(&quot;$&quot;* #,##0_);_(&quot;$&quot;* \(#,##0\);_(&quot;$&quot;* &quot;-&quot;??_);_(@_)"/>
    <numFmt numFmtId="168" formatCode="#,##0.0"/>
    <numFmt numFmtId="169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8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65">
    <xf numFmtId="0" fontId="0" fillId="0" borderId="0" xfId="0"/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2" fillId="0" borderId="0" xfId="0" applyFont="1"/>
    <xf numFmtId="0" fontId="23" fillId="2" borderId="0" xfId="0" applyFont="1" applyFill="1"/>
    <xf numFmtId="10" fontId="21" fillId="0" borderId="0" xfId="0" applyNumberFormat="1" applyFont="1"/>
    <xf numFmtId="10" fontId="21" fillId="0" borderId="0" xfId="1" applyNumberFormat="1" applyFont="1"/>
    <xf numFmtId="0" fontId="21" fillId="0" borderId="0" xfId="0" applyFont="1" applyAlignment="1">
      <alignment horizontal="right"/>
    </xf>
    <xf numFmtId="166" fontId="21" fillId="0" borderId="0" xfId="0" applyNumberFormat="1" applyFont="1" applyAlignment="1">
      <alignment horizontal="center"/>
    </xf>
    <xf numFmtId="166" fontId="21" fillId="0" borderId="0" xfId="0" applyNumberFormat="1" applyFont="1"/>
    <xf numFmtId="0" fontId="24" fillId="0" borderId="0" xfId="0" applyFont="1"/>
    <xf numFmtId="167" fontId="2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6" fontId="0" fillId="3" borderId="2" xfId="1" applyNumberFormat="1" applyFont="1" applyFill="1" applyBorder="1" applyAlignment="1">
      <alignment horizontal="center" vertical="center"/>
    </xf>
    <xf numFmtId="166" fontId="0" fillId="3" borderId="3" xfId="1" applyNumberFormat="1" applyFont="1" applyFill="1" applyBorder="1" applyAlignment="1">
      <alignment horizontal="center" vertical="center"/>
    </xf>
    <xf numFmtId="9" fontId="0" fillId="3" borderId="4" xfId="1" applyFont="1" applyFill="1" applyBorder="1" applyAlignment="1">
      <alignment horizontal="center" vertical="center"/>
    </xf>
    <xf numFmtId="167" fontId="0" fillId="3" borderId="4" xfId="2" applyNumberFormat="1" applyFont="1" applyFill="1" applyBorder="1" applyAlignment="1">
      <alignment horizontal="center" vertical="center"/>
    </xf>
    <xf numFmtId="166" fontId="0" fillId="3" borderId="5" xfId="1" applyNumberFormat="1" applyFont="1" applyFill="1" applyBorder="1" applyAlignment="1">
      <alignment horizontal="center" vertical="center"/>
    </xf>
    <xf numFmtId="43" fontId="20" fillId="3" borderId="6" xfId="3" applyFont="1" applyFill="1" applyBorder="1" applyAlignment="1">
      <alignment horizontal="left" vertical="center"/>
    </xf>
    <xf numFmtId="166" fontId="0" fillId="4" borderId="7" xfId="1" applyNumberFormat="1" applyFont="1" applyFill="1" applyBorder="1" applyAlignment="1">
      <alignment horizontal="center" vertical="center"/>
    </xf>
    <xf numFmtId="166" fontId="0" fillId="4" borderId="8" xfId="1" applyNumberFormat="1" applyFont="1" applyFill="1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167" fontId="0" fillId="4" borderId="9" xfId="2" applyNumberFormat="1" applyFont="1" applyFill="1" applyBorder="1" applyAlignment="1">
      <alignment horizontal="center" vertical="center"/>
    </xf>
    <xf numFmtId="166" fontId="0" fillId="4" borderId="10" xfId="1" applyNumberFormat="1" applyFont="1" applyFill="1" applyBorder="1" applyAlignment="1">
      <alignment horizontal="center" vertical="center"/>
    </xf>
    <xf numFmtId="166" fontId="19" fillId="4" borderId="7" xfId="1" applyNumberFormat="1" applyFont="1" applyFill="1" applyBorder="1" applyAlignment="1">
      <alignment horizontal="center" vertical="center"/>
    </xf>
    <xf numFmtId="166" fontId="19" fillId="4" borderId="8" xfId="1" applyNumberFormat="1" applyFont="1" applyFill="1" applyBorder="1" applyAlignment="1">
      <alignment horizontal="center" vertical="center"/>
    </xf>
    <xf numFmtId="167" fontId="19" fillId="4" borderId="9" xfId="2" applyNumberFormat="1" applyFont="1" applyFill="1" applyBorder="1" applyAlignment="1">
      <alignment horizontal="center" vertical="center"/>
    </xf>
    <xf numFmtId="43" fontId="20" fillId="5" borderId="11" xfId="3" applyFont="1" applyFill="1" applyBorder="1" applyAlignment="1">
      <alignment horizontal="left" vertical="center"/>
    </xf>
    <xf numFmtId="166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25" fillId="0" borderId="12" xfId="0" applyNumberFormat="1" applyFont="1" applyBorder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39" fontId="25" fillId="0" borderId="0" xfId="0" applyNumberFormat="1" applyFont="1" applyAlignment="1">
      <alignment vertical="center" wrapText="1"/>
    </xf>
    <xf numFmtId="0" fontId="0" fillId="0" borderId="13" xfId="0" applyBorder="1"/>
    <xf numFmtId="4" fontId="25" fillId="0" borderId="0" xfId="0" applyNumberFormat="1" applyFont="1" applyAlignment="1">
      <alignment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7" fillId="7" borderId="15" xfId="0" applyFont="1" applyFill="1" applyBorder="1" applyAlignment="1">
      <alignment horizontal="center" wrapText="1"/>
    </xf>
    <xf numFmtId="0" fontId="27" fillId="7" borderId="16" xfId="0" applyFont="1" applyFill="1" applyBorder="1" applyAlignment="1">
      <alignment horizontal="center" wrapText="1"/>
    </xf>
    <xf numFmtId="0" fontId="27" fillId="7" borderId="17" xfId="0" applyFont="1" applyFill="1" applyBorder="1" applyAlignment="1">
      <alignment horizontal="center" wrapText="1"/>
    </xf>
    <xf numFmtId="39" fontId="28" fillId="7" borderId="18" xfId="0" applyNumberFormat="1" applyFont="1" applyFill="1" applyBorder="1" applyAlignment="1">
      <alignment horizontal="center" vertical="center" wrapText="1"/>
    </xf>
    <xf numFmtId="39" fontId="28" fillId="7" borderId="16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5" borderId="15" xfId="0" applyFont="1" applyFill="1" applyBorder="1" applyAlignment="1">
      <alignment horizontal="center" wrapText="1"/>
    </xf>
    <xf numFmtId="0" fontId="27" fillId="5" borderId="16" xfId="0" applyFont="1" applyFill="1" applyBorder="1" applyAlignment="1">
      <alignment horizontal="center" wrapText="1"/>
    </xf>
    <xf numFmtId="0" fontId="27" fillId="5" borderId="17" xfId="0" applyFont="1" applyFill="1" applyBorder="1" applyAlignment="1">
      <alignment horizontal="center" wrapText="1"/>
    </xf>
    <xf numFmtId="39" fontId="28" fillId="8" borderId="19" xfId="0" applyNumberFormat="1" applyFont="1" applyFill="1" applyBorder="1" applyAlignment="1">
      <alignment horizontal="center" vertical="center" wrapText="1"/>
    </xf>
    <xf numFmtId="39" fontId="28" fillId="8" borderId="16" xfId="0" applyNumberFormat="1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 wrapText="1"/>
    </xf>
    <xf numFmtId="39" fontId="28" fillId="9" borderId="18" xfId="0" applyNumberFormat="1" applyFont="1" applyFill="1" applyBorder="1" applyAlignment="1">
      <alignment horizontal="center" vertical="center" wrapText="1"/>
    </xf>
    <xf numFmtId="39" fontId="28" fillId="9" borderId="16" xfId="0" applyNumberFormat="1" applyFont="1" applyFill="1" applyBorder="1" applyAlignment="1">
      <alignment horizontal="center" vertical="center" wrapText="1"/>
    </xf>
    <xf numFmtId="0" fontId="27" fillId="9" borderId="16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39" fontId="28" fillId="6" borderId="19" xfId="0" applyNumberFormat="1" applyFont="1" applyFill="1" applyBorder="1" applyAlignment="1">
      <alignment horizontal="center" vertical="center" wrapText="1"/>
    </xf>
    <xf numFmtId="39" fontId="28" fillId="6" borderId="16" xfId="0" applyNumberFormat="1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0" fillId="10" borderId="0" xfId="0" applyFill="1"/>
    <xf numFmtId="0" fontId="29" fillId="10" borderId="0" xfId="0" applyFont="1" applyFill="1"/>
    <xf numFmtId="4" fontId="30" fillId="0" borderId="0" xfId="0" applyNumberFormat="1" applyFont="1" applyAlignment="1">
      <alignment horizontal="center" vertical="center" wrapText="1"/>
    </xf>
    <xf numFmtId="4" fontId="0" fillId="0" borderId="0" xfId="0" applyNumberFormat="1"/>
    <xf numFmtId="169" fontId="0" fillId="0" borderId="0" xfId="3" applyNumberFormat="1" applyFont="1"/>
    <xf numFmtId="165" fontId="32" fillId="0" borderId="0" xfId="0" applyNumberFormat="1" applyFont="1" applyAlignment="1">
      <alignment vertical="center"/>
    </xf>
    <xf numFmtId="169" fontId="26" fillId="0" borderId="0" xfId="3" applyNumberFormat="1" applyFont="1" applyAlignment="1">
      <alignment vertical="center"/>
    </xf>
    <xf numFmtId="0" fontId="26" fillId="0" borderId="0" xfId="0" applyFont="1" applyAlignment="1">
      <alignment vertical="center" wrapText="1"/>
    </xf>
    <xf numFmtId="165" fontId="33" fillId="11" borderId="0" xfId="0" applyNumberFormat="1" applyFont="1" applyFill="1" applyAlignment="1">
      <alignment horizontal="right" vertical="center"/>
    </xf>
    <xf numFmtId="169" fontId="25" fillId="0" borderId="0" xfId="3" applyNumberFormat="1" applyFont="1" applyAlignment="1">
      <alignment horizontal="right" vertical="center"/>
    </xf>
    <xf numFmtId="165" fontId="33" fillId="0" borderId="0" xfId="0" applyNumberFormat="1" applyFont="1" applyAlignment="1">
      <alignment horizontal="right" vertical="center"/>
    </xf>
    <xf numFmtId="165" fontId="34" fillId="11" borderId="1" xfId="0" applyNumberFormat="1" applyFont="1" applyFill="1" applyBorder="1" applyAlignment="1">
      <alignment horizontal="right" vertical="center"/>
    </xf>
    <xf numFmtId="169" fontId="35" fillId="0" borderId="1" xfId="3" applyNumberFormat="1" applyFont="1" applyBorder="1" applyAlignment="1">
      <alignment horizontal="right" vertical="center"/>
    </xf>
    <xf numFmtId="165" fontId="34" fillId="0" borderId="1" xfId="0" applyNumberFormat="1" applyFont="1" applyBorder="1" applyAlignment="1">
      <alignment horizontal="right" vertical="center"/>
    </xf>
    <xf numFmtId="39" fontId="35" fillId="0" borderId="0" xfId="0" applyNumberFormat="1" applyFont="1" applyAlignment="1">
      <alignment vertical="center" wrapText="1"/>
    </xf>
    <xf numFmtId="165" fontId="34" fillId="0" borderId="0" xfId="0" applyNumberFormat="1" applyFont="1" applyAlignment="1">
      <alignment horizontal="right" vertical="center"/>
    </xf>
    <xf numFmtId="169" fontId="35" fillId="0" borderId="0" xfId="3" applyNumberFormat="1" applyFont="1" applyAlignment="1">
      <alignment horizontal="right" vertical="center"/>
    </xf>
    <xf numFmtId="39" fontId="35" fillId="0" borderId="0" xfId="0" applyNumberFormat="1" applyFont="1" applyAlignment="1">
      <alignment vertical="center" wrapText="1" indent="1"/>
    </xf>
    <xf numFmtId="165" fontId="36" fillId="0" borderId="0" xfId="0" applyNumberFormat="1" applyFont="1" applyAlignment="1">
      <alignment horizontal="right" vertical="center"/>
    </xf>
    <xf numFmtId="169" fontId="31" fillId="0" borderId="0" xfId="3" applyNumberFormat="1" applyFont="1" applyAlignment="1">
      <alignment vertical="center"/>
    </xf>
    <xf numFmtId="0" fontId="31" fillId="0" borderId="0" xfId="0" applyFont="1" applyAlignment="1">
      <alignment vertical="center" wrapText="1" indent="2"/>
    </xf>
    <xf numFmtId="39" fontId="35" fillId="0" borderId="0" xfId="0" applyNumberFormat="1" applyFont="1" applyAlignment="1">
      <alignment vertical="center" wrapText="1" indent="2"/>
    </xf>
    <xf numFmtId="0" fontId="31" fillId="0" borderId="0" xfId="0" applyFont="1" applyAlignment="1">
      <alignment vertical="center" wrapText="1" indent="3"/>
    </xf>
    <xf numFmtId="165" fontId="34" fillId="0" borderId="0" xfId="0" applyNumberFormat="1" applyFont="1" applyAlignment="1">
      <alignment vertical="center"/>
    </xf>
    <xf numFmtId="169" fontId="35" fillId="0" borderId="0" xfId="3" applyNumberFormat="1" applyFont="1" applyAlignment="1">
      <alignment vertical="center"/>
    </xf>
    <xf numFmtId="0" fontId="35" fillId="0" borderId="0" xfId="0" applyFont="1" applyAlignment="1">
      <alignment vertical="center" wrapText="1" indent="2"/>
    </xf>
    <xf numFmtId="0" fontId="35" fillId="0" borderId="0" xfId="0" applyFont="1" applyAlignment="1">
      <alignment vertical="center" wrapText="1" indent="1"/>
    </xf>
    <xf numFmtId="0" fontId="35" fillId="0" borderId="0" xfId="0" applyFont="1" applyAlignment="1">
      <alignment vertical="center" wrapText="1"/>
    </xf>
    <xf numFmtId="169" fontId="37" fillId="0" borderId="0" xfId="3" applyNumberFormat="1" applyFont="1" applyAlignment="1">
      <alignment vertical="center"/>
    </xf>
    <xf numFmtId="0" fontId="37" fillId="0" borderId="0" xfId="0" applyFont="1" applyAlignment="1">
      <alignment vertical="center" wrapText="1"/>
    </xf>
    <xf numFmtId="169" fontId="31" fillId="0" borderId="0" xfId="3" applyNumberFormat="1" applyFont="1" applyAlignment="1">
      <alignment horizontal="right" vertical="center"/>
    </xf>
    <xf numFmtId="0" fontId="31" fillId="0" borderId="0" xfId="0" applyFont="1" applyAlignment="1">
      <alignment horizontal="left" vertical="center" wrapText="1" indent="2"/>
    </xf>
    <xf numFmtId="10" fontId="0" fillId="0" borderId="0" xfId="1" applyNumberFormat="1" applyFont="1"/>
    <xf numFmtId="9" fontId="0" fillId="0" borderId="0" xfId="1" applyFont="1"/>
    <xf numFmtId="0" fontId="31" fillId="0" borderId="0" xfId="0" applyFont="1" applyAlignment="1">
      <alignment vertical="center" wrapText="1" indent="1"/>
    </xf>
    <xf numFmtId="0" fontId="0" fillId="0" borderId="0" xfId="0" quotePrefix="1"/>
    <xf numFmtId="0" fontId="4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4" fontId="7" fillId="0" borderId="0" xfId="0" applyNumberFormat="1" applyFont="1" applyAlignment="1">
      <alignment horizontal="left" vertical="center" wrapText="1" indent="2"/>
    </xf>
    <xf numFmtId="4" fontId="7" fillId="0" borderId="0" xfId="0" applyNumberFormat="1" applyFont="1" applyAlignment="1">
      <alignment horizontal="left" vertical="center" wrapText="1" indent="1"/>
    </xf>
    <xf numFmtId="4" fontId="7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horizontal="left" vertical="center" wrapText="1"/>
    </xf>
    <xf numFmtId="4" fontId="17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8" fontId="11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center" vertical="center" wrapText="1"/>
    </xf>
    <xf numFmtId="0" fontId="29" fillId="10" borderId="20" xfId="0" applyFont="1" applyFill="1" applyBorder="1" applyAlignment="1">
      <alignment horizontal="center"/>
    </xf>
    <xf numFmtId="4" fontId="30" fillId="0" borderId="0" xfId="0" applyNumberFormat="1" applyFont="1" applyAlignment="1">
      <alignment horizontal="center" vertical="center" wrapText="1"/>
    </xf>
    <xf numFmtId="168" fontId="31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vertical="top"/>
    </xf>
    <xf numFmtId="164" fontId="11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4" fontId="12" fillId="0" borderId="0" xfId="0" applyNumberFormat="1" applyFont="1" applyAlignment="1">
      <alignment horizontal="right" vertical="top"/>
    </xf>
    <xf numFmtId="164" fontId="13" fillId="0" borderId="0" xfId="0" applyNumberFormat="1" applyFont="1" applyAlignment="1">
      <alignment horizontal="right" vertical="top"/>
    </xf>
    <xf numFmtId="0" fontId="0" fillId="0" borderId="0" xfId="0" applyAlignment="1">
      <alignment vertical="top"/>
    </xf>
  </cellXfs>
  <cellStyles count="4">
    <cellStyle name="Comma 2" xfId="3" xr:uid="{6F054222-23CF-435B-B3BB-DF14FCE3F9EE}"/>
    <cellStyle name="Currency 2" xfId="2" xr:uid="{BBFEA35C-E50F-4EAD-891B-25D364B81C57}"/>
    <cellStyle name="Normal" xfId="0" builtinId="0"/>
    <cellStyle name="Percent 2" xfId="1" xr:uid="{9DF2DE1D-2323-4BED-B1DE-B6589FC43F81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9330-1287-4E1A-BBAD-D7AA4DD50A5D}">
  <sheetPr>
    <tabColor theme="4" tint="0.39997558519241921"/>
  </sheetPr>
  <dimension ref="A1:AP65"/>
  <sheetViews>
    <sheetView tabSelected="1" topLeftCell="B2" zoomScaleNormal="100" workbookViewId="0">
      <selection activeCell="I10" sqref="I10"/>
    </sheetView>
  </sheetViews>
  <sheetFormatPr defaultRowHeight="43.5" customHeight="1" x14ac:dyDescent="0.25"/>
  <cols>
    <col min="1" max="1" width="23.42578125" hidden="1" customWidth="1"/>
    <col min="2" max="2" width="26.85546875" customWidth="1"/>
    <col min="3" max="3" width="11.140625" customWidth="1"/>
    <col min="4" max="4" width="6.85546875" customWidth="1"/>
    <col min="5" max="5" width="9.140625" bestFit="1" customWidth="1"/>
    <col min="6" max="6" width="9.85546875" bestFit="1" customWidth="1"/>
    <col min="7" max="7" width="10.140625" customWidth="1"/>
    <col min="8" max="8" width="8.140625" customWidth="1"/>
    <col min="9" max="9" width="9.140625" bestFit="1" customWidth="1"/>
    <col min="10" max="10" width="9.85546875" bestFit="1" customWidth="1"/>
    <col min="11" max="11" width="10.140625" customWidth="1"/>
    <col min="12" max="12" width="8.140625" customWidth="1"/>
    <col min="13" max="13" width="7.5703125" customWidth="1"/>
    <col min="14" max="14" width="7.140625" bestFit="1" customWidth="1"/>
    <col min="15" max="15" width="9.7109375" style="12" customWidth="1"/>
    <col min="16" max="16" width="9.7109375" style="12" bestFit="1" customWidth="1"/>
    <col min="17" max="17" width="11.140625" style="12" customWidth="1"/>
    <col min="18" max="18" width="10.140625" bestFit="1" customWidth="1"/>
    <col min="19" max="19" width="8.140625" bestFit="1" customWidth="1"/>
    <col min="20" max="21" width="7.140625" bestFit="1" customWidth="1"/>
    <col min="22" max="23" width="9.7109375" style="12" bestFit="1" customWidth="1"/>
    <col min="24" max="24" width="11.7109375" style="12" customWidth="1"/>
    <col min="34" max="36" width="0" hidden="1" customWidth="1"/>
    <col min="37" max="37" width="8.85546875" hidden="1" customWidth="1"/>
    <col min="38" max="38" width="10.85546875" hidden="1" customWidth="1"/>
    <col min="39" max="39" width="8.85546875" hidden="1" customWidth="1"/>
    <col min="40" max="40" width="12.5703125" hidden="1" customWidth="1"/>
    <col min="41" max="41" width="18.85546875" hidden="1" customWidth="1"/>
    <col min="42" max="42" width="8.85546875" hidden="1" customWidth="1"/>
  </cols>
  <sheetData>
    <row r="1" spans="1:41" ht="51" hidden="1" x14ac:dyDescent="0.25">
      <c r="A1" s="145"/>
      <c r="B1" s="146"/>
      <c r="C1" s="77" t="str">
        <f>B2</f>
        <v>Week Ending 10/18/2026</v>
      </c>
      <c r="D1" s="76" t="str">
        <f>C1</f>
        <v>Week Ending 10/18/2026</v>
      </c>
      <c r="E1" s="76" t="str">
        <f>+D1</f>
        <v>Week Ending 10/18/2026</v>
      </c>
      <c r="F1" s="76" t="str">
        <f>+E1</f>
        <v>Week Ending 10/18/2026</v>
      </c>
      <c r="G1" s="76" t="s">
        <v>219</v>
      </c>
      <c r="H1" s="76" t="s">
        <v>219</v>
      </c>
      <c r="I1" s="76" t="s">
        <v>219</v>
      </c>
      <c r="J1" s="76" t="s">
        <v>219</v>
      </c>
      <c r="K1" s="76" t="s">
        <v>218</v>
      </c>
      <c r="L1" s="76" t="s">
        <v>218</v>
      </c>
      <c r="M1" s="76" t="s">
        <v>218</v>
      </c>
      <c r="N1" s="76" t="s">
        <v>218</v>
      </c>
      <c r="R1" s="76" t="s">
        <v>217</v>
      </c>
      <c r="S1" s="76" t="s">
        <v>217</v>
      </c>
      <c r="T1" s="76" t="s">
        <v>217</v>
      </c>
      <c r="U1" s="76" t="s">
        <v>217</v>
      </c>
    </row>
    <row r="2" spans="1:41" s="74" customFormat="1" ht="15.75" thickBot="1" x14ac:dyDescent="0.3">
      <c r="B2" s="75" t="s">
        <v>245</v>
      </c>
      <c r="G2" s="144" t="s">
        <v>216</v>
      </c>
      <c r="H2" s="144"/>
      <c r="I2" s="144"/>
      <c r="J2" s="144"/>
      <c r="K2" s="144" t="s">
        <v>215</v>
      </c>
      <c r="L2" s="144"/>
      <c r="M2" s="144"/>
      <c r="N2" s="144"/>
      <c r="O2" s="144" t="s">
        <v>214</v>
      </c>
      <c r="P2" s="144"/>
      <c r="Q2" s="144"/>
      <c r="R2" s="144" t="s">
        <v>213</v>
      </c>
      <c r="S2" s="144"/>
      <c r="T2" s="144"/>
      <c r="U2" s="144"/>
      <c r="V2" s="144" t="s">
        <v>212</v>
      </c>
      <c r="W2" s="144"/>
      <c r="X2" s="144"/>
    </row>
    <row r="3" spans="1:41" s="52" customFormat="1" ht="51.75" thickBot="1" x14ac:dyDescent="0.25">
      <c r="B3" s="51" t="s">
        <v>201</v>
      </c>
      <c r="C3" s="51" t="s">
        <v>13</v>
      </c>
      <c r="D3" s="73" t="s">
        <v>207</v>
      </c>
      <c r="E3" s="72" t="s">
        <v>211</v>
      </c>
      <c r="F3" s="71" t="s">
        <v>205</v>
      </c>
      <c r="G3" s="70" t="s">
        <v>13</v>
      </c>
      <c r="H3" s="69" t="s">
        <v>207</v>
      </c>
      <c r="I3" s="68" t="s">
        <v>206</v>
      </c>
      <c r="J3" s="67" t="s">
        <v>205</v>
      </c>
      <c r="K3" s="66" t="s">
        <v>13</v>
      </c>
      <c r="L3" s="65" t="s">
        <v>207</v>
      </c>
      <c r="M3" s="64" t="s">
        <v>206</v>
      </c>
      <c r="N3" s="63" t="s">
        <v>205</v>
      </c>
      <c r="O3" s="62" t="s">
        <v>210</v>
      </c>
      <c r="P3" s="61" t="s">
        <v>209</v>
      </c>
      <c r="Q3" s="60" t="s">
        <v>208</v>
      </c>
      <c r="R3" s="59" t="s">
        <v>13</v>
      </c>
      <c r="S3" s="58" t="s">
        <v>207</v>
      </c>
      <c r="T3" s="57" t="s">
        <v>206</v>
      </c>
      <c r="U3" s="56" t="s">
        <v>205</v>
      </c>
      <c r="V3" s="55" t="s">
        <v>204</v>
      </c>
      <c r="W3" s="54" t="s">
        <v>203</v>
      </c>
      <c r="X3" s="53" t="s">
        <v>202</v>
      </c>
    </row>
    <row r="4" spans="1:41" ht="79.5" hidden="1" thickBot="1" x14ac:dyDescent="0.3">
      <c r="B4" s="51" t="s">
        <v>201</v>
      </c>
      <c r="C4" t="s">
        <v>15</v>
      </c>
      <c r="D4" s="48" t="s">
        <v>62</v>
      </c>
      <c r="E4" s="47" t="s">
        <v>86</v>
      </c>
      <c r="F4" s="50" t="s">
        <v>87</v>
      </c>
      <c r="G4" t="s">
        <v>15</v>
      </c>
      <c r="H4" s="48" t="s">
        <v>62</v>
      </c>
      <c r="I4" s="47" t="s">
        <v>86</v>
      </c>
      <c r="J4" s="50" t="s">
        <v>87</v>
      </c>
      <c r="K4" t="s">
        <v>15</v>
      </c>
      <c r="L4" s="48" t="s">
        <v>62</v>
      </c>
      <c r="M4" s="47" t="s">
        <v>86</v>
      </c>
      <c r="N4" s="50" t="s">
        <v>87</v>
      </c>
      <c r="O4" s="45"/>
      <c r="P4" s="45"/>
      <c r="Q4" s="44"/>
      <c r="R4" s="49" t="s">
        <v>15</v>
      </c>
      <c r="S4" s="48" t="s">
        <v>62</v>
      </c>
      <c r="T4" s="47" t="s">
        <v>86</v>
      </c>
      <c r="U4" s="46" t="s">
        <v>87</v>
      </c>
      <c r="V4" s="45"/>
      <c r="W4" s="45"/>
      <c r="X4" s="44"/>
    </row>
    <row r="5" spans="1:41" ht="15" customHeight="1" x14ac:dyDescent="0.25">
      <c r="A5" t="s">
        <v>141</v>
      </c>
      <c r="B5" s="42" t="str">
        <f>A5</f>
        <v>4 - RASA - MVT</v>
      </c>
      <c r="C5" s="41">
        <f ca="1">INDEX(INDIRECT("'"&amp;$A5&amp;"'!$1:$1048576"),MATCH(C$4,INDIRECT("'"&amp;$A5&amp;"'!A:A"),0),MATCH(C$1,INDIRECT("'"&amp;$A5&amp;"'!$5:$5"),0))</f>
        <v>43554.64</v>
      </c>
      <c r="D5" s="40" cm="1">
        <f t="array" aca="1" ref="D5" ca="1">INDEX(INDIRECT("'"&amp;$A5&amp;"'!$1:$1048576"),MATCH(D$4,INDIRECT("'"&amp;$A5&amp;"'!A:A"),0),MATCH(D$1,INDIRECT("'"&amp;$A5&amp;"'!$5:$5"),0)+1)</f>
        <v>0.24392923463493213</v>
      </c>
      <c r="E5" s="40" cm="1">
        <f t="array" aca="1" ref="E5" ca="1">INDEX(INDIRECT("'"&amp;$A5&amp;"'!$1:$1048576"),MATCH(E$4,INDIRECT("'"&amp;$A5&amp;"'!A:A"),0),MATCH(E$1,INDIRECT("'"&amp;$A5&amp;"'!$5:$5"),0)+1)</f>
        <v>0.24786635821120326</v>
      </c>
      <c r="F5" s="34" cm="1">
        <f t="array" aca="1" ref="F5" ca="1">INDEX(INDIRECT("'"&amp;$A5&amp;"'!$1:$1048576"),MATCH(F$4,INDIRECT("'"&amp;$A5&amp;"'!A:A"),0),MATCH(F$1,INDIRECT("'"&amp;$A5&amp;"'!$5:$5"),0)+1)</f>
        <v>0.50820440715386461</v>
      </c>
      <c r="G5" s="37">
        <f ca="1">INDEX(INDIRECT("'"&amp;$A5&amp;"'!$1:$1048576"),MATCH(G$4,INDIRECT("'"&amp;$A5&amp;"'!A:A"),0),MATCH(G$1,INDIRECT("'"&amp;$A5&amp;"'!$5:$5"),0))</f>
        <v>146567.80000000002</v>
      </c>
      <c r="H5" s="35" cm="1">
        <f t="array" aca="1" ref="H5" ca="1">INDEX(INDIRECT("'"&amp;$A5&amp;"'!$1:$1048576"),MATCH(H$4,INDIRECT("'"&amp;$A5&amp;"'!A:A"),0),MATCH(H$1,INDIRECT("'"&amp;$A5&amp;"'!$5:$5"),0)+1)</f>
        <v>0.24128205513079951</v>
      </c>
      <c r="I5" s="35" cm="1">
        <f t="array" aca="1" ref="I5" ca="1">INDEX(INDIRECT("'"&amp;$A5&amp;"'!$1:$1048576"),MATCH(I$4,INDIRECT("'"&amp;$A5&amp;"'!A:A"),0),MATCH(I$1,INDIRECT("'"&amp;$A5&amp;"'!$5:$5"),0)+1)</f>
        <v>0.21480461602070855</v>
      </c>
      <c r="J5" s="34" cm="1">
        <f t="array" aca="1" ref="J5" ca="1">INDEX(INDIRECT("'"&amp;$A5&amp;"'!$1:$1048576"),MATCH(J$4,INDIRECT("'"&amp;$A5&amp;"'!A:A"),0),MATCH(J$1,INDIRECT("'"&amp;$A5&amp;"'!$5:$5"),0)+1)</f>
        <v>0.54391332884849219</v>
      </c>
      <c r="K5" s="37">
        <f ca="1">INDEX(INDIRECT("'"&amp;$A5&amp;"'!$1:$1048576"),MATCH(K$4,INDIRECT("'"&amp;$A5&amp;"'!A:A"),0),MATCH(K$1,INDIRECT("'"&amp;$A5&amp;"'!$5:$5"),0))</f>
        <v>47551.527500000011</v>
      </c>
      <c r="L5" s="35" cm="1">
        <f t="array" aca="1" ref="L5" ca="1">INDEX(INDIRECT("'"&amp;$A5&amp;"'!$1:$1048576"),MATCH(L$4,INDIRECT("'"&amp;$A5&amp;"'!A:A"),0),MATCH(L$1,INDIRECT("'"&amp;$A5&amp;"'!$5:$5"),0)+1)</f>
        <v>0.2410631814088412</v>
      </c>
      <c r="M5" s="35" cm="1">
        <f t="array" aca="1" ref="M5" ca="1">INDEX(INDIRECT("'"&amp;$A5&amp;"'!$1:$1048576"),MATCH(M$4,INDIRECT("'"&amp;$A5&amp;"'!A:A"),0),MATCH(M$1,INDIRECT("'"&amp;$A5&amp;"'!$5:$5"),0)+1)</f>
        <v>0.22274310746379289</v>
      </c>
      <c r="N5" s="38" cm="1">
        <f t="array" aca="1" ref="N5" ca="1">INDEX(INDIRECT("'"&amp;$A5&amp;"'!$1:$1048576"),MATCH(N$4,INDIRECT("'"&amp;$A5&amp;"'!A:A"),0),MATCH(N$1,INDIRECT("'"&amp;$A5&amp;"'!$5:$5"),0)+1)</f>
        <v>0.53619371112736602</v>
      </c>
      <c r="O5" s="36">
        <f ca="1">+(C5-K5)/K5</f>
        <v>-8.40538193015989E-2</v>
      </c>
      <c r="P5" s="35">
        <f t="shared" ref="P5:Q9" ca="1" si="0">+D5-L5</f>
        <v>2.866053226090931E-3</v>
      </c>
      <c r="Q5" s="34">
        <f t="shared" ca="1" si="0"/>
        <v>2.5123250747410369E-2</v>
      </c>
      <c r="R5" s="37">
        <f ca="1">INDEX(INDIRECT("'"&amp;$A5&amp;"'!$1:$1048576"),MATCH(R$4,INDIRECT("'"&amp;$A5&amp;"'!A:A"),0),MATCH(R$1,INDIRECT("'"&amp;$A5&amp;"'!$5:$5"),0))</f>
        <v>45563.646250000005</v>
      </c>
      <c r="S5" s="35" cm="1">
        <f t="array" aca="1" ref="S5" ca="1">INDEX(INDIRECT("'"&amp;$A5&amp;"'!$1:$1048576"),MATCH(S$4,INDIRECT("'"&amp;$A5&amp;"'!A:A"),0),MATCH(S$1,INDIRECT("'"&amp;$A5&amp;"'!$5:$5"),0)+1)</f>
        <v>0.23970645237813912</v>
      </c>
      <c r="T5" s="35" cm="1">
        <f t="array" aca="1" ref="T5" ca="1">INDEX(INDIRECT("'"&amp;$A5&amp;"'!$1:$1048576"),MATCH(T$4,INDIRECT("'"&amp;$A5&amp;"'!A:A"),0),MATCH(T$1,INDIRECT("'"&amp;$A5&amp;"'!$5:$5"),0)+1)</f>
        <v>0.23697140458770896</v>
      </c>
      <c r="U5" s="34" cm="1">
        <f t="array" aca="1" ref="U5" ca="1">INDEX(INDIRECT("'"&amp;$A5&amp;"'!$1:$1048576"),MATCH(U$4,INDIRECT("'"&amp;$A5&amp;"'!A:A"),0),MATCH(U$1,INDIRECT("'"&amp;$A5&amp;"'!$5:$5"),0)+1)</f>
        <v>0.52332214303415214</v>
      </c>
      <c r="V5" s="36">
        <f ca="1">+(C5-R5)/R5</f>
        <v>-4.4092306374624385E-2</v>
      </c>
      <c r="W5" s="35">
        <f t="shared" ref="W5:X9" ca="1" si="1">+D5-S5</f>
        <v>4.2227822567930118E-3</v>
      </c>
      <c r="X5" s="34">
        <f t="shared" ca="1" si="1"/>
        <v>1.0894953623494297E-2</v>
      </c>
      <c r="Z5" s="43"/>
      <c r="AK5" t="s">
        <v>200</v>
      </c>
      <c r="AL5" s="13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 x14ac:dyDescent="0.25">
      <c r="A6" t="s">
        <v>199</v>
      </c>
      <c r="B6" s="42" t="str">
        <f>A6</f>
        <v>5 - RASA - National Landin</v>
      </c>
      <c r="C6" s="41">
        <f ca="1">INDEX(INDIRECT("'"&amp;$A6&amp;"'!$1:$1048576"),MATCH(C$4,INDIRECT("'"&amp;$A6&amp;"'!A:A"),0),MATCH(C$1,INDIRECT("'"&amp;$A6&amp;"'!$5:$5"),0))</f>
        <v>24496.26</v>
      </c>
      <c r="D6" s="40" cm="1">
        <f t="array" aca="1" ref="D6" ca="1">INDEX(INDIRECT("'"&amp;$A6&amp;"'!$1:$1048576"),MATCH(D$4,INDIRECT("'"&amp;$A6&amp;"'!A:A"),0),MATCH(D$1,INDIRECT("'"&amp;$A6&amp;"'!$5:$5"),0)+1)</f>
        <v>0.25181435860004753</v>
      </c>
      <c r="E6" s="40" cm="1">
        <f t="array" aca="1" ref="E6" ca="1">INDEX(INDIRECT("'"&amp;$A6&amp;"'!$1:$1048576"),MATCH(E$4,INDIRECT("'"&amp;$A6&amp;"'!A:A"),0),MATCH(E$1,INDIRECT("'"&amp;$A6&amp;"'!$5:$5"),0)+1)</f>
        <v>0.30711667821945066</v>
      </c>
      <c r="F6" s="34" cm="1">
        <f t="array" aca="1" ref="F6" ca="1">INDEX(INDIRECT("'"&amp;$A6&amp;"'!$1:$1048576"),MATCH(F$4,INDIRECT("'"&amp;$A6&amp;"'!A:A"),0),MATCH(F$1,INDIRECT("'"&amp;$A6&amp;"'!$5:$5"),0)+1)</f>
        <v>0.44106896318050193</v>
      </c>
      <c r="G6" s="37">
        <f ca="1">INDEX(INDIRECT("'"&amp;$A6&amp;"'!$1:$1048576"),MATCH(G$4,INDIRECT("'"&amp;$A6&amp;"'!A:A"),0),MATCH(G$1,INDIRECT("'"&amp;$A6&amp;"'!$5:$5"),0))</f>
        <v>82116.129999999976</v>
      </c>
      <c r="H6" s="35" cm="1">
        <f t="array" aca="1" ref="H6" ca="1">INDEX(INDIRECT("'"&amp;$A6&amp;"'!$1:$1048576"),MATCH(H$4,INDIRECT("'"&amp;$A6&amp;"'!A:A"),0),MATCH(H$1,INDIRECT("'"&amp;$A6&amp;"'!$5:$5"),0)+1)</f>
        <v>0.25205912650778839</v>
      </c>
      <c r="I6" s="35" cm="1">
        <f t="array" aca="1" ref="I6" ca="1">INDEX(INDIRECT("'"&amp;$A6&amp;"'!$1:$1048576"),MATCH(I$4,INDIRECT("'"&amp;$A6&amp;"'!A:A"),0),MATCH(I$1,INDIRECT("'"&amp;$A6&amp;"'!$5:$5"),0)+1)</f>
        <v>0.29307116640786651</v>
      </c>
      <c r="J6" s="34" cm="1">
        <f t="array" aca="1" ref="J6" ca="1">INDEX(INDIRECT("'"&amp;$A6&amp;"'!$1:$1048576"),MATCH(J$4,INDIRECT("'"&amp;$A6&amp;"'!A:A"),0),MATCH(J$1,INDIRECT("'"&amp;$A6&amp;"'!$5:$5"),0)+1)</f>
        <v>0.45486970708434488</v>
      </c>
      <c r="K6" s="37">
        <f ca="1">INDEX(INDIRECT("'"&amp;$A6&amp;"'!$1:$1048576"),MATCH(K$4,INDIRECT("'"&amp;$A6&amp;"'!A:A"),0),MATCH(K$1,INDIRECT("'"&amp;$A6&amp;"'!$5:$5"),0))</f>
        <v>27344.632499999996</v>
      </c>
      <c r="L6" s="35" cm="1">
        <f t="array" aca="1" ref="L6" ca="1">INDEX(INDIRECT("'"&amp;$A6&amp;"'!$1:$1048576"),MATCH(L$4,INDIRECT("'"&amp;$A6&amp;"'!A:A"),0),MATCH(L$1,INDIRECT("'"&amp;$A6&amp;"'!$5:$5"),0)+1)</f>
        <v>0.24729067029882371</v>
      </c>
      <c r="M6" s="35" cm="1">
        <f t="array" aca="1" ref="M6" ca="1">INDEX(INDIRECT("'"&amp;$A6&amp;"'!$1:$1048576"),MATCH(M$4,INDIRECT("'"&amp;$A6&amp;"'!A:A"),0),MATCH(M$1,INDIRECT("'"&amp;$A6&amp;"'!$5:$5"),0)+1)</f>
        <v>0.29591355817270543</v>
      </c>
      <c r="N6" s="38" cm="1">
        <f t="array" aca="1" ref="N6" ca="1">INDEX(INDIRECT("'"&amp;$A6&amp;"'!$1:$1048576"),MATCH(N$4,INDIRECT("'"&amp;$A6&amp;"'!A:A"),0),MATCH(N$1,INDIRECT("'"&amp;$A6&amp;"'!$5:$5"),0)+1)</f>
        <v>0.4567957715284709</v>
      </c>
      <c r="O6" s="36">
        <f ca="1">+(C6-K6)/K6</f>
        <v>-0.10416568955534503</v>
      </c>
      <c r="P6" s="35">
        <f t="shared" ca="1" si="0"/>
        <v>4.5236883012238216E-3</v>
      </c>
      <c r="Q6" s="34">
        <f t="shared" ca="1" si="0"/>
        <v>1.120312004674523E-2</v>
      </c>
      <c r="R6" s="37">
        <f ca="1">INDEX(INDIRECT("'"&amp;$A6&amp;"'!$1:$1048576"),MATCH(R$4,INDIRECT("'"&amp;$A6&amp;"'!A:A"),0),MATCH(R$1,INDIRECT("'"&amp;$A6&amp;"'!$5:$5"),0))</f>
        <v>28986.28</v>
      </c>
      <c r="S6" s="35" cm="1">
        <f t="array" aca="1" ref="S6" ca="1">INDEX(INDIRECT("'"&amp;$A6&amp;"'!$1:$1048576"),MATCH(S$4,INDIRECT("'"&amp;$A6&amp;"'!A:A"),0),MATCH(S$1,INDIRECT("'"&amp;$A6&amp;"'!$5:$5"),0)+1)</f>
        <v>0.23791648152160266</v>
      </c>
      <c r="T6" s="35" cm="1">
        <f t="array" aca="1" ref="T6" ca="1">INDEX(INDIRECT("'"&amp;$A6&amp;"'!$1:$1048576"),MATCH(T$4,INDIRECT("'"&amp;$A6&amp;"'!A:A"),0),MATCH(T$1,INDIRECT("'"&amp;$A6&amp;"'!$5:$5"),0)+1)</f>
        <v>0.27083636637747238</v>
      </c>
      <c r="U6" s="34" cm="1">
        <f t="array" aca="1" ref="U6" ca="1">INDEX(INDIRECT("'"&amp;$A6&amp;"'!$1:$1048576"),MATCH(U$4,INDIRECT("'"&amp;$A6&amp;"'!A:A"),0),MATCH(U$1,INDIRECT("'"&amp;$A6&amp;"'!$5:$5"),0)+1)</f>
        <v>0.49124715210092507</v>
      </c>
      <c r="V6" s="36">
        <f ca="1">+(C6-R6)/R6</f>
        <v>-0.15490156032440178</v>
      </c>
      <c r="W6" s="35">
        <f t="shared" ca="1" si="1"/>
        <v>1.3897877078444865E-2</v>
      </c>
      <c r="X6" s="34">
        <f t="shared" ca="1" si="1"/>
        <v>3.6280311841978274E-2</v>
      </c>
      <c r="Z6" s="43"/>
      <c r="AK6" t="s">
        <v>198</v>
      </c>
      <c r="AL6" s="13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5" x14ac:dyDescent="0.25">
      <c r="A7" t="s">
        <v>143</v>
      </c>
      <c r="B7" s="42" t="str">
        <f>A7</f>
        <v>6 - RASA - Mosaic</v>
      </c>
      <c r="C7" s="41">
        <f ca="1">INDEX(INDIRECT("'"&amp;$A7&amp;"'!$1:$1048576"),MATCH(C$4,INDIRECT("'"&amp;$A7&amp;"'!A:A"),0),MATCH(C$1,INDIRECT("'"&amp;$A7&amp;"'!$5:$5"),0))</f>
        <v>21804.35</v>
      </c>
      <c r="D7" s="40" cm="1">
        <f t="array" aca="1" ref="D7" ca="1">INDEX(INDIRECT("'"&amp;$A7&amp;"'!$1:$1048576"),MATCH(D$4,INDIRECT("'"&amp;$A7&amp;"'!A:A"),0),MATCH(D$1,INDIRECT("'"&amp;$A7&amp;"'!$5:$5"),0)+1)</f>
        <v>0.28145576456074139</v>
      </c>
      <c r="E7" s="40" cm="1">
        <f t="array" aca="1" ref="E7" ca="1">INDEX(INDIRECT("'"&amp;$A7&amp;"'!$1:$1048576"),MATCH(E$4,INDIRECT("'"&amp;$A7&amp;"'!A:A"),0),MATCH(E$1,INDIRECT("'"&amp;$A7&amp;"'!$5:$5"),0)+1)</f>
        <v>0.33204154216933779</v>
      </c>
      <c r="F7" s="34" cm="1">
        <f t="array" aca="1" ref="F7" ca="1">INDEX(INDIRECT("'"&amp;$A7&amp;"'!$1:$1048576"),MATCH(F$4,INDIRECT("'"&amp;$A7&amp;"'!A:A"),0),MATCH(F$1,INDIRECT("'"&amp;$A7&amp;"'!$5:$5"),0)+1)</f>
        <v>0.38650269326992087</v>
      </c>
      <c r="G7" s="37">
        <f ca="1">INDEX(INDIRECT("'"&amp;$A7&amp;"'!$1:$1048576"),MATCH(G$4,INDIRECT("'"&amp;$A7&amp;"'!A:A"),0),MATCH(G$1,INDIRECT("'"&amp;$A7&amp;"'!$5:$5"),0))</f>
        <v>80415.920000000013</v>
      </c>
      <c r="H7" s="35" cm="1">
        <f t="array" aca="1" ref="H7" ca="1">INDEX(INDIRECT("'"&amp;$A7&amp;"'!$1:$1048576"),MATCH(H$4,INDIRECT("'"&amp;$A7&amp;"'!A:A"),0),MATCH(H$1,INDIRECT("'"&amp;$A7&amp;"'!$5:$5"),0)+1)</f>
        <v>0.25162430523707252</v>
      </c>
      <c r="I7" s="35" cm="1">
        <f t="array" aca="1" ref="I7" ca="1">INDEX(INDIRECT("'"&amp;$A7&amp;"'!$1:$1048576"),MATCH(I$4,INDIRECT("'"&amp;$A7&amp;"'!A:A"),0),MATCH(I$1,INDIRECT("'"&amp;$A7&amp;"'!$5:$5"),0)+1)</f>
        <v>0.2480803552331429</v>
      </c>
      <c r="J7" s="34" cm="1">
        <f t="array" aca="1" ref="J7" ca="1">INDEX(INDIRECT("'"&amp;$A7&amp;"'!$1:$1048576"),MATCH(J$4,INDIRECT("'"&amp;$A7&amp;"'!A:A"),0),MATCH(J$1,INDIRECT("'"&amp;$A7&amp;"'!$5:$5"),0)+1)</f>
        <v>0.50029533952978478</v>
      </c>
      <c r="K7" s="37">
        <f ca="1">INDEX(INDIRECT("'"&amp;$A7&amp;"'!$1:$1048576"),MATCH(K$4,INDIRECT("'"&amp;$A7&amp;"'!A:A"),0),MATCH(K$1,INDIRECT("'"&amp;$A7&amp;"'!$5:$5"),0))</f>
        <v>26769.815000000002</v>
      </c>
      <c r="L7" s="35" cm="1">
        <f t="array" aca="1" ref="L7" ca="1">INDEX(INDIRECT("'"&amp;$A7&amp;"'!$1:$1048576"),MATCH(L$4,INDIRECT("'"&amp;$A7&amp;"'!A:A"),0),MATCH(L$1,INDIRECT("'"&amp;$A7&amp;"'!$5:$5"),0)+1)</f>
        <v>0.25425680005633206</v>
      </c>
      <c r="M7" s="35" cm="1">
        <f t="array" aca="1" ref="M7" ca="1">INDEX(INDIRECT("'"&amp;$A7&amp;"'!$1:$1048576"),MATCH(M$4,INDIRECT("'"&amp;$A7&amp;"'!A:A"),0),MATCH(M$1,INDIRECT("'"&amp;$A7&amp;"'!$5:$5"),0)+1)</f>
        <v>0.24870212961875154</v>
      </c>
      <c r="N7" s="38" cm="1">
        <f t="array" aca="1" ref="N7" ca="1">INDEX(INDIRECT("'"&amp;$A7&amp;"'!$1:$1048576"),MATCH(N$4,INDIRECT("'"&amp;$A7&amp;"'!A:A"),0),MATCH(N$1,INDIRECT("'"&amp;$A7&amp;"'!$5:$5"),0)+1)</f>
        <v>0.49704107032491623</v>
      </c>
      <c r="O7" s="36">
        <f ca="1">+(C7-K7)/K7</f>
        <v>-0.18548746041016731</v>
      </c>
      <c r="P7" s="35">
        <f t="shared" ca="1" si="0"/>
        <v>2.719896450440934E-2</v>
      </c>
      <c r="Q7" s="34">
        <f t="shared" ca="1" si="0"/>
        <v>8.3339412550586245E-2</v>
      </c>
      <c r="R7" s="37">
        <f ca="1">INDEX(INDIRECT("'"&amp;$A7&amp;"'!$1:$1048576"),MATCH(R$4,INDIRECT("'"&amp;$A7&amp;"'!A:A"),0),MATCH(R$1,INDIRECT("'"&amp;$A7&amp;"'!$5:$5"),0))</f>
        <v>25841.142500000002</v>
      </c>
      <c r="S7" s="35" cm="1">
        <f t="array" aca="1" ref="S7" ca="1">INDEX(INDIRECT("'"&amp;$A7&amp;"'!$1:$1048576"),MATCH(S$4,INDIRECT("'"&amp;$A7&amp;"'!A:A"),0),MATCH(S$1,INDIRECT("'"&amp;$A7&amp;"'!$5:$5"),0)+1)</f>
        <v>0.25338459783657014</v>
      </c>
      <c r="T7" s="35" cm="1">
        <f t="array" aca="1" ref="T7" ca="1">INDEX(INDIRECT("'"&amp;$A7&amp;"'!$1:$1048576"),MATCH(T$4,INDIRECT("'"&amp;$A7&amp;"'!A:A"),0),MATCH(T$1,INDIRECT("'"&amp;$A7&amp;"'!$5:$5"),0)+1)</f>
        <v>0.26937179731894595</v>
      </c>
      <c r="U7" s="34" cm="1">
        <f t="array" aca="1" ref="U7" ca="1">INDEX(INDIRECT("'"&amp;$A7&amp;"'!$1:$1048576"),MATCH(U$4,INDIRECT("'"&amp;$A7&amp;"'!A:A"),0),MATCH(U$1,INDIRECT("'"&amp;$A7&amp;"'!$5:$5"),0)+1)</f>
        <v>0.47724360484448392</v>
      </c>
      <c r="V7" s="36">
        <f ca="1">+(C7-R7)/R7</f>
        <v>-0.1562157129856005</v>
      </c>
      <c r="W7" s="35">
        <f t="shared" ca="1" si="1"/>
        <v>2.8071166724171259E-2</v>
      </c>
      <c r="X7" s="34">
        <f t="shared" ca="1" si="1"/>
        <v>6.266974485039184E-2</v>
      </c>
      <c r="AK7" t="s">
        <v>197</v>
      </c>
      <c r="AL7" s="13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5" x14ac:dyDescent="0.25">
      <c r="A8" t="s">
        <v>144</v>
      </c>
      <c r="B8" s="42" t="str">
        <f>A8</f>
        <v>7 - RASA - Rockville</v>
      </c>
      <c r="C8" s="41">
        <f ca="1">INDEX(INDIRECT("'"&amp;$A8&amp;"'!$1:$1048576"),MATCH(C$4,INDIRECT("'"&amp;$A8&amp;"'!A:A"),0),MATCH(C$1,INDIRECT("'"&amp;$A8&amp;"'!$5:$5"),0))</f>
        <v>29074.81</v>
      </c>
      <c r="D8" s="40" cm="1">
        <f t="array" aca="1" ref="D8" ca="1">INDEX(INDIRECT("'"&amp;$A8&amp;"'!$1:$1048576"),MATCH(D$4,INDIRECT("'"&amp;$A8&amp;"'!A:A"),0),MATCH(D$1,INDIRECT("'"&amp;$A8&amp;"'!$5:$5"),0)+1)</f>
        <v>0.26674224182376427</v>
      </c>
      <c r="E8" s="40" cm="1">
        <f t="array" aca="1" ref="E8" ca="1">INDEX(INDIRECT("'"&amp;$A8&amp;"'!$1:$1048576"),MATCH(E$4,INDIRECT("'"&amp;$A8&amp;"'!A:A"),0),MATCH(E$1,INDIRECT("'"&amp;$A8&amp;"'!$5:$5"),0)+1)</f>
        <v>0.29788947889943218</v>
      </c>
      <c r="F8" s="39" cm="1">
        <f t="array" aca="1" ref="F8" ca="1">INDEX(INDIRECT("'"&amp;$A8&amp;"'!$1:$1048576"),MATCH(F$4,INDIRECT("'"&amp;$A8&amp;"'!A:A"),0),MATCH(F$1,INDIRECT("'"&amp;$A8&amp;"'!$5:$5"),0)+1)</f>
        <v>0.43536827927680355</v>
      </c>
      <c r="G8" s="37">
        <f ca="1">INDEX(INDIRECT("'"&amp;$A8&amp;"'!$1:$1048576"),MATCH(G$4,INDIRECT("'"&amp;$A8&amp;"'!A:A"),0),MATCH(G$1,INDIRECT("'"&amp;$A8&amp;"'!$5:$5"),0))</f>
        <v>96670.16</v>
      </c>
      <c r="H8" s="35" cm="1">
        <f t="array" aca="1" ref="H8" ca="1">INDEX(INDIRECT("'"&amp;$A8&amp;"'!$1:$1048576"),MATCH(H$4,INDIRECT("'"&amp;$A8&amp;"'!A:A"),0),MATCH(H$1,INDIRECT("'"&amp;$A8&amp;"'!$5:$5"),0)+1)</f>
        <v>0.26414945418524177</v>
      </c>
      <c r="I8" s="35" cm="1">
        <f t="array" aca="1" ref="I8" ca="1">INDEX(INDIRECT("'"&amp;$A8&amp;"'!$1:$1048576"),MATCH(I$4,INDIRECT("'"&amp;$A8&amp;"'!A:A"),0),MATCH(I$1,INDIRECT("'"&amp;$A8&amp;"'!$5:$5"),0)+1)</f>
        <v>0.29363104395399775</v>
      </c>
      <c r="J8" s="34" cm="1">
        <f t="array" aca="1" ref="J8" ca="1">INDEX(INDIRECT("'"&amp;$A8&amp;"'!$1:$1048576"),MATCH(J$4,INDIRECT("'"&amp;$A8&amp;"'!A:A"),0),MATCH(J$1,INDIRECT("'"&amp;$A8&amp;"'!$5:$5"),0)+1)</f>
        <v>0.44221950186076042</v>
      </c>
      <c r="K8" s="37">
        <f ca="1">INDEX(INDIRECT("'"&amp;$A8&amp;"'!$1:$1048576"),MATCH(K$4,INDIRECT("'"&amp;$A8&amp;"'!A:A"),0),MATCH(K$1,INDIRECT("'"&amp;$A8&amp;"'!$5:$5"),0))</f>
        <v>32037.6675</v>
      </c>
      <c r="L8" s="35" cm="1">
        <f t="array" aca="1" ref="L8" ca="1">INDEX(INDIRECT("'"&amp;$A8&amp;"'!$1:$1048576"),MATCH(L$4,INDIRECT("'"&amp;$A8&amp;"'!A:A"),0),MATCH(L$1,INDIRECT("'"&amp;$A8&amp;"'!$5:$5"),0)+1)</f>
        <v>0.26560649273234382</v>
      </c>
      <c r="M8" s="35" cm="1">
        <f t="array" aca="1" ref="M8" ca="1">INDEX(INDIRECT("'"&amp;$A8&amp;"'!$1:$1048576"),MATCH(M$4,INDIRECT("'"&amp;$A8&amp;"'!A:A"),0),MATCH(M$1,INDIRECT("'"&amp;$A8&amp;"'!$5:$5"),0)+1)</f>
        <v>0.2923713157332693</v>
      </c>
      <c r="N8" s="38" cm="1">
        <f t="array" aca="1" ref="N8" ca="1">INDEX(INDIRECT("'"&amp;$A8&amp;"'!$1:$1048576"),MATCH(N$4,INDIRECT("'"&amp;$A8&amp;"'!A:A"),0),MATCH(N$1,INDIRECT("'"&amp;$A8&amp;"'!$5:$5"),0)+1)</f>
        <v>0.44202219153438682</v>
      </c>
      <c r="O8" s="36">
        <f ca="1">+(C8-K8)/K8</f>
        <v>-9.2480437285267364E-2</v>
      </c>
      <c r="P8" s="35">
        <f t="shared" ca="1" si="0"/>
        <v>1.135749091420446E-3</v>
      </c>
      <c r="Q8" s="34">
        <f t="shared" ca="1" si="0"/>
        <v>5.5181631661628816E-3</v>
      </c>
      <c r="R8" s="37">
        <f ca="1">INDEX(INDIRECT("'"&amp;$A8&amp;"'!$1:$1048576"),MATCH(R$4,INDIRECT("'"&amp;$A8&amp;"'!A:A"),0),MATCH(R$1,INDIRECT("'"&amp;$A8&amp;"'!$5:$5"),0))</f>
        <v>28720.421249999999</v>
      </c>
      <c r="S8" s="35" cm="1">
        <f t="array" aca="1" ref="S8" ca="1">INDEX(INDIRECT("'"&amp;$A8&amp;"'!$1:$1048576"),MATCH(S$4,INDIRECT("'"&amp;$A8&amp;"'!A:A"),0),MATCH(S$1,INDIRECT("'"&amp;$A8&amp;"'!$5:$5"),0)+1)</f>
        <v>0.25917677826539542</v>
      </c>
      <c r="T8" s="35" cm="1">
        <f t="array" aca="1" ref="T8" ca="1">INDEX(INDIRECT("'"&amp;$A8&amp;"'!$1:$1048576"),MATCH(T$4,INDIRECT("'"&amp;$A8&amp;"'!A:A"),0),MATCH(T$1,INDIRECT("'"&amp;$A8&amp;"'!$5:$5"),0)+1)</f>
        <v>0.29200289846027239</v>
      </c>
      <c r="U8" s="34" cm="1">
        <f t="array" aca="1" ref="U8" ca="1">INDEX(INDIRECT("'"&amp;$A8&amp;"'!$1:$1048576"),MATCH(U$4,INDIRECT("'"&amp;$A8&amp;"'!A:A"),0),MATCH(U$1,INDIRECT("'"&amp;$A8&amp;"'!$5:$5"),0)+1)</f>
        <v>0.44882032327433213</v>
      </c>
      <c r="V8" s="36">
        <f ca="1">+(C8-R8)/R8</f>
        <v>1.2339260170148162E-2</v>
      </c>
      <c r="W8" s="35">
        <f t="shared" ca="1" si="1"/>
        <v>7.5654635583688457E-3</v>
      </c>
      <c r="X8" s="34">
        <f t="shared" ca="1" si="1"/>
        <v>5.8865804391597942E-3</v>
      </c>
      <c r="AK8" t="s">
        <v>196</v>
      </c>
      <c r="AL8" s="13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 x14ac:dyDescent="0.3">
      <c r="A9" t="s">
        <v>1</v>
      </c>
      <c r="B9" s="33" t="s">
        <v>195</v>
      </c>
      <c r="C9" s="31">
        <f ca="1">INDEX(INDIRECT("'"&amp;$A9&amp;"'!$1:$1048576"),MATCH(C$4,INDIRECT("'"&amp;$A9&amp;"'!A:A"),0),MATCH(C$1,INDIRECT("'"&amp;$A9&amp;"'!$5:$5"),0))</f>
        <v>118930.06000000001</v>
      </c>
      <c r="D9" s="29" cm="1">
        <f t="array" aca="1" ref="D9" ca="1">INDEX(INDIRECT("'"&amp;$A9&amp;"'!$1:$1048576"),MATCH(D$4,INDIRECT("'"&amp;$A9&amp;"'!A:A"),0),MATCH(D$1,INDIRECT("'"&amp;$A9&amp;"'!$5:$5"),0)+1)</f>
        <v>0.25801046430145586</v>
      </c>
      <c r="E9" s="29" cm="1">
        <f t="array" aca="1" ref="E9" ca="1">INDEX(INDIRECT("'"&amp;$A9&amp;"'!$1:$1048576"),MATCH(E$4,INDIRECT("'"&amp;$A9&amp;"'!A:A"),0),MATCH(E$1,INDIRECT("'"&amp;$A9&amp;"'!$5:$5"),0)+1)</f>
        <v>0.28773188208262901</v>
      </c>
      <c r="F9" s="28" cm="1">
        <f t="array" aca="1" ref="F9" ca="1">INDEX(INDIRECT("'"&amp;$A9&amp;"'!$1:$1048576"),MATCH(F$4,INDIRECT("'"&amp;$A9&amp;"'!A:A"),0),MATCH(F$1,INDIRECT("'"&amp;$A9&amp;"'!$5:$5"),0)+1)</f>
        <v>0.4542576536159153</v>
      </c>
      <c r="G9" s="31">
        <f ca="1">INDEX(INDIRECT("'"&amp;$A9&amp;"'!$1:$1048576"),MATCH(G$4,INDIRECT("'"&amp;$A9&amp;"'!A:A"),0),MATCH(G$1,INDIRECT("'"&amp;$A9&amp;"'!$5:$5"),0))</f>
        <v>405658.27999999997</v>
      </c>
      <c r="H9" s="29" cm="1">
        <f t="array" aca="1" ref="H9" ca="1">INDEX(INDIRECT("'"&amp;$A9&amp;"'!$1:$1048576"),MATCH(H$4,INDIRECT("'"&amp;$A9&amp;"'!A:A"),0),MATCH(H$1,INDIRECT("'"&amp;$A9&amp;"'!$5:$5"),0)+1)</f>
        <v>0.25102968439347523</v>
      </c>
      <c r="I9" s="29" cm="1">
        <f t="array" aca="1" ref="I9" ca="1">INDEX(INDIRECT("'"&amp;$A9&amp;"'!$1:$1048576"),MATCH(I$4,INDIRECT("'"&amp;$A9&amp;"'!A:A"),0),MATCH(I$1,INDIRECT("'"&amp;$A9&amp;"'!$5:$5"),0)+1)</f>
        <v>0.25765597586224542</v>
      </c>
      <c r="J9" s="28" cm="1">
        <f t="array" aca="1" ref="J9" ca="1">INDEX(INDIRECT("'"&amp;$A9&amp;"'!$1:$1048576"),MATCH(J$4,INDIRECT("'"&amp;$A9&amp;"'!A:A"),0),MATCH(J$1,INDIRECT("'"&amp;$A9&amp;"'!$5:$5"),0)+1)</f>
        <v>0.49131433974427918</v>
      </c>
      <c r="K9" s="31">
        <f ca="1">INDEX(INDIRECT("'"&amp;$A9&amp;"'!$1:$1048576"),MATCH(K$4,INDIRECT("'"&amp;$A9&amp;"'!A:A"),0),MATCH(K$1,INDIRECT("'"&amp;$A9&amp;"'!$5:$5"),0))</f>
        <v>133675.71000000002</v>
      </c>
      <c r="L9" s="29" cm="1">
        <f t="array" aca="1" ref="L9" ca="1">INDEX(INDIRECT("'"&amp;$A9&amp;"'!$1:$1048576"),MATCH(L$4,INDIRECT("'"&amp;$A9&amp;"'!A:A"),0),MATCH(L$1,INDIRECT("'"&amp;$A9&amp;"'!$5:$5"),0)+1)</f>
        <v>0.25091181486898412</v>
      </c>
      <c r="M9" s="29" cm="1">
        <f t="array" aca="1" ref="M9" ca="1">INDEX(INDIRECT("'"&amp;$A9&amp;"'!$1:$1048576"),MATCH(M$4,INDIRECT("'"&amp;$A9&amp;"'!A:A"),0),MATCH(M$1,INDIRECT("'"&amp;$A9&amp;"'!$5:$5"),0)+1)</f>
        <v>0.26083293292401444</v>
      </c>
      <c r="N9" s="32" cm="1">
        <f t="array" aca="1" ref="N9" ca="1">INDEX(INDIRECT("'"&amp;$A9&amp;"'!$1:$1048576"),MATCH(N$4,INDIRECT("'"&amp;$A9&amp;"'!A:A"),0),MATCH(N$1,INDIRECT("'"&amp;$A9&amp;"'!$5:$5"),0)+1)</f>
        <v>0.48825525220700167</v>
      </c>
      <c r="O9" s="30">
        <f ca="1">+(C9-K9)/K9</f>
        <v>-0.11030912048269657</v>
      </c>
      <c r="P9" s="29">
        <f t="shared" ca="1" si="0"/>
        <v>7.0986494324717375E-3</v>
      </c>
      <c r="Q9" s="28">
        <f t="shared" ca="1" si="0"/>
        <v>2.6898949158614571E-2</v>
      </c>
      <c r="R9" s="31">
        <f ca="1">INDEX(INDIRECT("'"&amp;$A9&amp;"'!$1:$1048576"),MATCH(R$4,INDIRECT("'"&amp;$A9&amp;"'!A:A"),0),MATCH(R$1,INDIRECT("'"&amp;$A9&amp;"'!$5:$5"),0))</f>
        <v>129097.52375000001</v>
      </c>
      <c r="S9" s="29" cm="1">
        <f t="array" aca="1" ref="S9" ca="1">INDEX(INDIRECT("'"&amp;$A9&amp;"'!$1:$1048576"),MATCH(S$4,INDIRECT("'"&amp;$A9&amp;"'!A:A"),0),MATCH(S$1,INDIRECT("'"&amp;$A9&amp;"'!$5:$5"),0)+1)</f>
        <v>0.24639998178121525</v>
      </c>
      <c r="T9" s="29" cm="1">
        <f t="array" aca="1" ref="T9" ca="1">INDEX(INDIRECT("'"&amp;$A9&amp;"'!$1:$1048576"),MATCH(T$4,INDIRECT("'"&amp;$A9&amp;"'!A:A"),0),MATCH(T$1,INDIRECT("'"&amp;$A9&amp;"'!$5:$5"),0)+1)</f>
        <v>0.26394496393274164</v>
      </c>
      <c r="U9" s="28" cm="1">
        <f t="array" aca="1" ref="U9" ca="1">INDEX(INDIRECT("'"&amp;$A9&amp;"'!$1:$1048576"),MATCH(U$4,INDIRECT("'"&amp;$A9&amp;"'!A:A"),0),MATCH(U$1,INDIRECT("'"&amp;$A9&amp;"'!$5:$5"),0)+1)</f>
        <v>0.48965505428604328</v>
      </c>
      <c r="V9" s="30">
        <f ca="1">+(C9-R9)/R9</f>
        <v>-7.875800754853747E-2</v>
      </c>
      <c r="W9" s="29">
        <f t="shared" ca="1" si="1"/>
        <v>1.1610482520240606E-2</v>
      </c>
      <c r="X9" s="28">
        <f t="shared" ca="1" si="1"/>
        <v>2.3786918149887371E-2</v>
      </c>
      <c r="AK9" t="s">
        <v>194</v>
      </c>
      <c r="AL9" s="13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5" x14ac:dyDescent="0.25">
      <c r="E10" s="27"/>
      <c r="AK10" t="s">
        <v>193</v>
      </c>
      <c r="AL10" s="13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14" customFormat="1" ht="15" x14ac:dyDescent="0.25">
      <c r="C11" s="26"/>
      <c r="E11" s="21"/>
      <c r="F11" s="20"/>
      <c r="K11" s="24"/>
      <c r="M11" s="24"/>
      <c r="O11" s="15"/>
      <c r="P11" s="15"/>
      <c r="Q11" s="15"/>
      <c r="V11" s="15"/>
      <c r="W11" s="15"/>
      <c r="X11" s="15"/>
      <c r="AK11" t="s">
        <v>192</v>
      </c>
      <c r="AL11" s="13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14" customFormat="1" ht="15.75" x14ac:dyDescent="0.25">
      <c r="A12"/>
      <c r="B12" s="25" t="s">
        <v>191</v>
      </c>
      <c r="C12" s="22"/>
      <c r="E12" s="21"/>
      <c r="F12" s="20"/>
      <c r="H12" s="24"/>
      <c r="K12" s="24"/>
      <c r="L12" s="24"/>
      <c r="O12" s="15"/>
      <c r="P12" s="15"/>
      <c r="Q12" s="23"/>
      <c r="V12" s="15"/>
      <c r="W12" s="15"/>
      <c r="X12" s="15"/>
      <c r="AK12" t="s">
        <v>190</v>
      </c>
      <c r="AL12" s="13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14" customFormat="1" ht="15" x14ac:dyDescent="0.25">
      <c r="A13"/>
      <c r="C13" s="22"/>
      <c r="E13" s="21"/>
      <c r="F13" s="20"/>
      <c r="O13" s="15"/>
      <c r="P13" s="15"/>
      <c r="Q13" s="15"/>
      <c r="V13" s="15"/>
      <c r="W13" s="15"/>
      <c r="X13" s="15"/>
      <c r="AK13" t="s">
        <v>189</v>
      </c>
      <c r="AL13" s="13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14" customFormat="1" ht="15" x14ac:dyDescent="0.25">
      <c r="B14" s="19" t="s">
        <v>188</v>
      </c>
      <c r="C14" s="16"/>
      <c r="O14" s="15"/>
      <c r="P14" s="15"/>
      <c r="Q14" s="15"/>
      <c r="V14" s="15"/>
      <c r="W14" s="15"/>
      <c r="X14" s="15"/>
      <c r="AK14" t="s">
        <v>187</v>
      </c>
      <c r="AL14" s="13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14" customFormat="1" ht="15" x14ac:dyDescent="0.25">
      <c r="B15" s="17" t="s">
        <v>171</v>
      </c>
      <c r="C15" s="16" t="s">
        <v>235</v>
      </c>
      <c r="O15" s="15"/>
      <c r="P15" s="15"/>
      <c r="Q15" s="15"/>
      <c r="V15" s="15"/>
      <c r="W15" s="15"/>
      <c r="X15" s="15"/>
      <c r="AK15" t="s">
        <v>186</v>
      </c>
      <c r="AL15" s="13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14" customFormat="1" ht="15" x14ac:dyDescent="0.25">
      <c r="B16" s="17" t="s">
        <v>169</v>
      </c>
      <c r="C16" s="16" t="s">
        <v>248</v>
      </c>
      <c r="O16" s="15"/>
      <c r="P16" s="15"/>
      <c r="Q16" s="15"/>
      <c r="V16" s="15"/>
      <c r="W16" s="15"/>
      <c r="X16" s="15"/>
      <c r="AK16" t="s">
        <v>185</v>
      </c>
      <c r="AL16" s="13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14" customFormat="1" ht="15" x14ac:dyDescent="0.25">
      <c r="B17" s="17"/>
      <c r="C17" s="16"/>
      <c r="O17" s="15"/>
      <c r="P17" s="15"/>
      <c r="Q17" s="15"/>
      <c r="V17" s="15"/>
      <c r="W17" s="15"/>
      <c r="X17" s="15"/>
      <c r="AK17" t="s">
        <v>184</v>
      </c>
      <c r="AL17" s="13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14" customFormat="1" ht="15" x14ac:dyDescent="0.25">
      <c r="B18" s="19" t="s">
        <v>183</v>
      </c>
      <c r="C18" s="16"/>
      <c r="O18" s="15"/>
      <c r="P18" s="15"/>
      <c r="Q18" s="15"/>
      <c r="V18" s="15"/>
      <c r="W18" s="15"/>
      <c r="X18" s="15"/>
      <c r="AK18" t="s">
        <v>182</v>
      </c>
      <c r="AL18" s="13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14" customFormat="1" ht="15" x14ac:dyDescent="0.25">
      <c r="B19" s="17" t="s">
        <v>171</v>
      </c>
      <c r="C19" s="16" t="s">
        <v>235</v>
      </c>
      <c r="O19" s="15"/>
      <c r="P19" s="15"/>
      <c r="Q19" s="15"/>
      <c r="V19" s="15"/>
      <c r="W19" s="15"/>
      <c r="X19" s="15"/>
      <c r="AK19" t="s">
        <v>181</v>
      </c>
      <c r="AL19" s="13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14" customFormat="1" ht="15" x14ac:dyDescent="0.25">
      <c r="B20" s="17" t="s">
        <v>169</v>
      </c>
      <c r="C20" s="16" t="s">
        <v>235</v>
      </c>
      <c r="O20" s="15"/>
      <c r="P20" s="15"/>
      <c r="Q20" s="15"/>
      <c r="V20" s="15"/>
      <c r="W20" s="15"/>
      <c r="X20" s="15"/>
      <c r="AK20" t="s">
        <v>180</v>
      </c>
      <c r="AL20" s="13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14" customFormat="1" ht="15" x14ac:dyDescent="0.25">
      <c r="B21" s="17"/>
      <c r="C21" s="16"/>
      <c r="O21" s="15"/>
      <c r="P21" s="15"/>
      <c r="Q21" s="15"/>
      <c r="V21" s="15"/>
      <c r="W21" s="15"/>
      <c r="X21" s="15"/>
      <c r="AK21" t="s">
        <v>179</v>
      </c>
      <c r="AL21" s="13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14" customFormat="1" ht="15" x14ac:dyDescent="0.25">
      <c r="B22" s="19" t="s">
        <v>178</v>
      </c>
      <c r="C22" s="16"/>
      <c r="O22" s="15"/>
      <c r="P22" s="15"/>
      <c r="Q22" s="15"/>
      <c r="V22" s="15"/>
      <c r="W22" s="15"/>
      <c r="X22" s="15"/>
      <c r="AK22" t="s">
        <v>177</v>
      </c>
      <c r="AL22" s="13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14" customFormat="1" ht="15" x14ac:dyDescent="0.25">
      <c r="B23" s="17" t="s">
        <v>171</v>
      </c>
      <c r="C23" s="16" t="s">
        <v>250</v>
      </c>
      <c r="O23" s="15"/>
      <c r="P23" s="15"/>
      <c r="Q23" s="15"/>
      <c r="V23" s="15"/>
      <c r="W23" s="15"/>
      <c r="X23" s="15"/>
      <c r="AK23" t="s">
        <v>176</v>
      </c>
      <c r="AL23" s="13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14" customFormat="1" ht="15" x14ac:dyDescent="0.25">
      <c r="B24" s="17" t="s">
        <v>169</v>
      </c>
      <c r="C24" s="16" t="s">
        <v>249</v>
      </c>
      <c r="O24" s="15"/>
      <c r="P24" s="15"/>
      <c r="Q24" s="15"/>
      <c r="V24" s="15"/>
      <c r="W24" s="15"/>
      <c r="X24" s="15"/>
      <c r="AK24" t="s">
        <v>175</v>
      </c>
      <c r="AL24" s="13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14" customFormat="1" ht="15" x14ac:dyDescent="0.25">
      <c r="B25" s="17"/>
      <c r="C25" s="16"/>
      <c r="O25" s="15"/>
      <c r="P25" s="15"/>
      <c r="Q25" s="15"/>
      <c r="V25" s="15"/>
      <c r="W25" s="15"/>
      <c r="X25" s="15"/>
      <c r="AK25" t="s">
        <v>174</v>
      </c>
      <c r="AL25" s="13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14" customFormat="1" ht="15" x14ac:dyDescent="0.25">
      <c r="B26" s="19" t="s">
        <v>173</v>
      </c>
      <c r="C26" s="18"/>
      <c r="O26" s="15"/>
      <c r="P26" s="15"/>
      <c r="Q26" s="15"/>
      <c r="V26" s="15"/>
      <c r="W26" s="15"/>
      <c r="X26" s="15"/>
      <c r="AK26" t="s">
        <v>172</v>
      </c>
      <c r="AL26" s="13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14" customFormat="1" ht="15" x14ac:dyDescent="0.25">
      <c r="B27" s="17" t="s">
        <v>171</v>
      </c>
      <c r="C27" s="16" t="s">
        <v>235</v>
      </c>
      <c r="O27" s="15"/>
      <c r="P27" s="15"/>
      <c r="Q27" s="15"/>
      <c r="V27" s="15"/>
      <c r="W27" s="15"/>
      <c r="X27" s="15"/>
      <c r="AK27" t="s">
        <v>170</v>
      </c>
      <c r="AL27" s="13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14" customFormat="1" ht="15" x14ac:dyDescent="0.25">
      <c r="B28" s="17" t="s">
        <v>169</v>
      </c>
      <c r="C28" s="16" t="s">
        <v>235</v>
      </c>
      <c r="O28" s="15"/>
      <c r="P28" s="15"/>
      <c r="Q28" s="15"/>
      <c r="V28" s="15"/>
      <c r="W28" s="15"/>
      <c r="X28" s="15"/>
      <c r="AK28" t="s">
        <v>168</v>
      </c>
      <c r="AL28" s="13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14" customFormat="1" ht="15" x14ac:dyDescent="0.25">
      <c r="B29" s="17"/>
      <c r="C29" s="16"/>
      <c r="L29"/>
      <c r="O29" s="15"/>
      <c r="P29" s="15"/>
      <c r="Q29" s="15"/>
      <c r="V29" s="15"/>
      <c r="W29" s="15"/>
      <c r="X29" s="15"/>
      <c r="AK29" t="s">
        <v>167</v>
      </c>
      <c r="AL29" s="13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5" x14ac:dyDescent="0.25">
      <c r="AK30" t="s">
        <v>166</v>
      </c>
      <c r="AL30" s="13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5" x14ac:dyDescent="0.25">
      <c r="AK31" t="s">
        <v>165</v>
      </c>
      <c r="AL31" s="13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5" x14ac:dyDescent="0.25">
      <c r="AK32" t="s">
        <v>164</v>
      </c>
      <c r="AL32" s="13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5" x14ac:dyDescent="0.25">
      <c r="AK33" t="s">
        <v>163</v>
      </c>
      <c r="AL33" s="13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5" x14ac:dyDescent="0.25">
      <c r="AK34" t="s">
        <v>162</v>
      </c>
      <c r="AL34" s="13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5" x14ac:dyDescent="0.25">
      <c r="AK35" t="s">
        <v>161</v>
      </c>
      <c r="AL35" s="13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5" x14ac:dyDescent="0.25">
      <c r="AK36" t="s">
        <v>160</v>
      </c>
      <c r="AL36" s="13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5" x14ac:dyDescent="0.25">
      <c r="AK37" t="s">
        <v>159</v>
      </c>
      <c r="AL37" s="13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5" x14ac:dyDescent="0.25">
      <c r="AK38" t="s">
        <v>158</v>
      </c>
      <c r="AL38" s="13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5" x14ac:dyDescent="0.25">
      <c r="AK39" t="s">
        <v>157</v>
      </c>
      <c r="AL39" s="13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5" x14ac:dyDescent="0.25">
      <c r="AK40" t="s">
        <v>156</v>
      </c>
      <c r="AL40" s="13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5" x14ac:dyDescent="0.25">
      <c r="AK41" t="s">
        <v>155</v>
      </c>
      <c r="AL41" s="13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5" x14ac:dyDescent="0.25">
      <c r="AK42" t="s">
        <v>154</v>
      </c>
      <c r="AL42" s="13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5" x14ac:dyDescent="0.25">
      <c r="AK43" t="s">
        <v>153</v>
      </c>
      <c r="AL43" s="13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5" x14ac:dyDescent="0.25">
      <c r="AK44" t="s">
        <v>152</v>
      </c>
      <c r="AL44" s="13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5" x14ac:dyDescent="0.25">
      <c r="AK45" t="s">
        <v>151</v>
      </c>
      <c r="AL45" s="13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5" x14ac:dyDescent="0.25">
      <c r="AK46" t="s">
        <v>150</v>
      </c>
      <c r="AL46" s="13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5" x14ac:dyDescent="0.25">
      <c r="AK47" t="s">
        <v>149</v>
      </c>
      <c r="AL47" s="13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5" x14ac:dyDescent="0.25">
      <c r="AK48" t="s">
        <v>148</v>
      </c>
      <c r="AL48" s="13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5" x14ac:dyDescent="0.25">
      <c r="AK49" t="s">
        <v>147</v>
      </c>
      <c r="AL49" s="13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5" x14ac:dyDescent="0.25">
      <c r="AK50" t="s">
        <v>146</v>
      </c>
      <c r="AL50" s="13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5" x14ac:dyDescent="0.25">
      <c r="AK51" t="s">
        <v>145</v>
      </c>
      <c r="AL51" s="13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 x14ac:dyDescent="0.25">
      <c r="AL52" s="13"/>
    </row>
    <row r="53" spans="37:41" ht="43.5" customHeight="1" x14ac:dyDescent="0.25">
      <c r="AL53" s="13"/>
    </row>
    <row r="54" spans="37:41" ht="43.5" customHeight="1" x14ac:dyDescent="0.25">
      <c r="AL54" s="13"/>
    </row>
    <row r="55" spans="37:41" ht="43.5" customHeight="1" x14ac:dyDescent="0.25">
      <c r="AL55" s="13"/>
    </row>
    <row r="56" spans="37:41" ht="43.5" customHeight="1" x14ac:dyDescent="0.25">
      <c r="AL56" s="13"/>
    </row>
    <row r="57" spans="37:41" ht="43.5" customHeight="1" x14ac:dyDescent="0.25">
      <c r="AL57" s="13"/>
    </row>
    <row r="58" spans="37:41" ht="43.5" customHeight="1" x14ac:dyDescent="0.25">
      <c r="AL58" s="13"/>
    </row>
    <row r="59" spans="37:41" ht="43.5" customHeight="1" x14ac:dyDescent="0.25">
      <c r="AL59" s="13"/>
    </row>
    <row r="60" spans="37:41" ht="43.5" customHeight="1" x14ac:dyDescent="0.25">
      <c r="AL60" s="13"/>
    </row>
    <row r="61" spans="37:41" ht="43.5" customHeight="1" x14ac:dyDescent="0.25">
      <c r="AL61" s="13"/>
    </row>
    <row r="62" spans="37:41" ht="43.5" customHeight="1" x14ac:dyDescent="0.25">
      <c r="AL62" s="13"/>
    </row>
    <row r="63" spans="37:41" ht="43.5" customHeight="1" x14ac:dyDescent="0.25">
      <c r="AL63" s="13"/>
    </row>
    <row r="64" spans="37:41" ht="43.5" customHeight="1" x14ac:dyDescent="0.25">
      <c r="AL64" s="13"/>
    </row>
    <row r="65" spans="38:38" ht="43.5" customHeight="1" x14ac:dyDescent="0.25">
      <c r="AL65" s="13"/>
    </row>
  </sheetData>
  <mergeCells count="6">
    <mergeCell ref="V2:X2"/>
    <mergeCell ref="A1:B1"/>
    <mergeCell ref="G2:J2"/>
    <mergeCell ref="K2:N2"/>
    <mergeCell ref="O2:Q2"/>
    <mergeCell ref="R2:U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B2" xr:uid="{91DAC01A-2B00-459B-AF62-A1BAE58D6368}">
      <formula1>$AO$5:$AO$65</formula1>
    </dataValidation>
    <dataValidation type="list" allowBlank="1" showInputMessage="1" showErrorMessage="1" sqref="AO5:AO65" xr:uid="{FCF4CCE6-1817-459D-A566-B629C63297AB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5FFB-6797-4A0C-9F2E-5E63A30511E7}">
  <sheetPr>
    <outlinePr summaryBelow="0"/>
  </sheetPr>
  <dimension ref="A1:M96"/>
  <sheetViews>
    <sheetView showGridLines="0" zoomScaleNormal="100" workbookViewId="0">
      <pane xSplit="1" ySplit="4" topLeftCell="B5" activePane="bottomRight" state="frozen"/>
      <selection sqref="A1:AL1"/>
      <selection pane="topRight" sqref="A1:AL1"/>
      <selection pane="bottomLeft" sqref="A1:AL1"/>
      <selection pane="bottomRight" activeCell="H23" sqref="H23"/>
    </sheetView>
  </sheetViews>
  <sheetFormatPr defaultRowHeight="15" x14ac:dyDescent="0.25"/>
  <cols>
    <col min="1" max="1" width="42.85546875" customWidth="1"/>
    <col min="2" max="2" width="17.140625" style="78" customWidth="1"/>
    <col min="3" max="3" width="9.42578125" customWidth="1"/>
    <col min="4" max="4" width="17.140625" style="78" customWidth="1"/>
    <col min="5" max="5" width="9.42578125" customWidth="1"/>
    <col min="6" max="6" width="17.140625" style="78" customWidth="1"/>
    <col min="7" max="7" width="9.42578125" customWidth="1"/>
    <col min="8" max="8" width="17.140625" style="78" customWidth="1"/>
    <col min="9" max="9" width="9.42578125" customWidth="1"/>
    <col min="10" max="10" width="13.28515625" style="78" customWidth="1"/>
    <col min="11" max="11" width="8.7109375" customWidth="1"/>
    <col min="12" max="12" width="22" customWidth="1"/>
    <col min="13" max="13" width="21.28515625" bestFit="1" customWidth="1"/>
  </cols>
  <sheetData>
    <row r="1" spans="1:13" ht="33.75" x14ac:dyDescent="0.25">
      <c r="A1" s="148" t="s">
        <v>0</v>
      </c>
      <c r="B1" s="148" t="s">
        <v>0</v>
      </c>
      <c r="C1" s="148" t="s">
        <v>0</v>
      </c>
      <c r="D1" s="148" t="s">
        <v>0</v>
      </c>
      <c r="E1" s="148" t="s">
        <v>0</v>
      </c>
      <c r="F1" s="148" t="s">
        <v>0</v>
      </c>
      <c r="G1" s="148" t="s">
        <v>0</v>
      </c>
      <c r="H1" s="148" t="s">
        <v>0</v>
      </c>
      <c r="I1" s="148" t="s">
        <v>0</v>
      </c>
    </row>
    <row r="2" spans="1:13" ht="23.25" x14ac:dyDescent="0.25">
      <c r="A2" s="149" t="str">
        <f>+Summary!B2</f>
        <v>Week Ending 10/18/2026</v>
      </c>
      <c r="B2" s="149" t="s">
        <v>234</v>
      </c>
      <c r="C2" s="149" t="s">
        <v>234</v>
      </c>
      <c r="D2" s="149" t="s">
        <v>234</v>
      </c>
      <c r="E2" s="149" t="s">
        <v>234</v>
      </c>
      <c r="F2" s="149" t="s">
        <v>234</v>
      </c>
      <c r="G2" s="149" t="s">
        <v>234</v>
      </c>
      <c r="H2" s="149" t="s">
        <v>234</v>
      </c>
      <c r="I2" s="149" t="s">
        <v>234</v>
      </c>
    </row>
    <row r="3" spans="1:13" ht="15.75" x14ac:dyDescent="0.25">
      <c r="A3" s="150"/>
      <c r="B3" s="150" t="s">
        <v>144</v>
      </c>
      <c r="C3" s="150" t="s">
        <v>144</v>
      </c>
      <c r="D3" s="150" t="s">
        <v>144</v>
      </c>
      <c r="E3" s="150" t="s">
        <v>144</v>
      </c>
      <c r="F3" s="150" t="s">
        <v>144</v>
      </c>
      <c r="G3" s="150" t="s">
        <v>144</v>
      </c>
      <c r="H3" s="150" t="s">
        <v>144</v>
      </c>
      <c r="I3" s="150" t="s">
        <v>144</v>
      </c>
    </row>
    <row r="4" spans="1:13" x14ac:dyDescent="0.25">
      <c r="B4" s="147" t="s">
        <v>233</v>
      </c>
      <c r="C4" s="147"/>
      <c r="D4" s="147" t="s">
        <v>232</v>
      </c>
      <c r="E4" s="147"/>
      <c r="F4" s="147" t="s">
        <v>231</v>
      </c>
      <c r="G4" s="147"/>
      <c r="H4" s="147" t="s">
        <v>144</v>
      </c>
      <c r="I4" s="147"/>
      <c r="J4" s="147" t="s">
        <v>230</v>
      </c>
      <c r="K4" s="147"/>
    </row>
    <row r="5" spans="1:13" ht="18" customHeight="1" x14ac:dyDescent="0.25">
      <c r="A5" s="101" t="s">
        <v>13</v>
      </c>
      <c r="B5" s="98"/>
      <c r="C5" s="97"/>
      <c r="D5" s="98"/>
      <c r="E5" s="97"/>
      <c r="F5" s="98"/>
      <c r="G5" s="97"/>
      <c r="H5" s="98"/>
      <c r="I5" s="97"/>
    </row>
    <row r="6" spans="1:13" ht="16.5" hidden="1" customHeight="1" x14ac:dyDescent="0.25">
      <c r="A6" s="108" t="s">
        <v>229</v>
      </c>
      <c r="B6" s="93" t="e">
        <f t="shared" ref="B6:B16" ca="1" si="0">INDEX(INDIRECT("'"&amp;B$4&amp;"'!$1:$1048576"),MATCH($A6,INDIRECT("'"&amp;B$4&amp;"'!$A:$A"),0),MATCH($A$2,INDIRECT("'"&amp;B$4&amp;"'!$5:$5"),0))</f>
        <v>#N/A</v>
      </c>
      <c r="C6" s="92" t="str">
        <f ca="1">IFERROR(B6/B16, "NA")</f>
        <v>NA</v>
      </c>
      <c r="D6" s="93" t="e">
        <f t="shared" ref="D6:D16" ca="1" si="1">INDEX(INDIRECT("'"&amp;D$4&amp;"'!$1:$1048576"),MATCH($A6,INDIRECT("'"&amp;D$4&amp;"'!$A:$A"),0),MATCH($A$2,INDIRECT("'"&amp;D$4&amp;"'!$5:$5"),0))</f>
        <v>#N/A</v>
      </c>
      <c r="E6" s="92" t="str">
        <f ca="1">IFERROR(D6/D16, "NA")</f>
        <v>NA</v>
      </c>
      <c r="F6" s="93" t="e">
        <f t="shared" ref="F6:F16" ca="1" si="2">INDEX(INDIRECT("'"&amp;F$4&amp;"'!$1:$1048576"),MATCH($A6,INDIRECT("'"&amp;F$4&amp;"'!$A:$A"),0),MATCH($A$2,INDIRECT("'"&amp;F$4&amp;"'!$5:$5"),0))</f>
        <v>#N/A</v>
      </c>
      <c r="G6" s="92" t="str">
        <f ca="1">IFERROR(F6/F16, "NA")</f>
        <v>NA</v>
      </c>
      <c r="H6" s="93" t="e">
        <f t="shared" ref="H6:H16" ca="1" si="3">INDEX(INDIRECT("'"&amp;H$4&amp;"'!$1:$1048576"),MATCH($A6,INDIRECT("'"&amp;H$4&amp;"'!$A:$A"),0),MATCH($A$2,INDIRECT("'"&amp;H$4&amp;"'!$5:$5"),0))</f>
        <v>#N/A</v>
      </c>
      <c r="I6" s="92" t="str">
        <f ca="1">IFERROR(H6/H16, "NA")</f>
        <v>NA</v>
      </c>
      <c r="J6" s="93" t="e">
        <f ca="1">+H6+F6+D6+B6+#REF!</f>
        <v>#N/A</v>
      </c>
      <c r="K6" s="92" t="str">
        <f ca="1">IFERROR(J6/J16, "NA")</f>
        <v>NA</v>
      </c>
      <c r="M6" s="109"/>
    </row>
    <row r="7" spans="1:13" ht="16.5" hidden="1" customHeight="1" x14ac:dyDescent="0.25">
      <c r="A7" s="108" t="s">
        <v>228</v>
      </c>
      <c r="B7" s="93" t="e">
        <f t="shared" ca="1" si="0"/>
        <v>#N/A</v>
      </c>
      <c r="C7" s="92" t="str">
        <f ca="1">IFERROR(B7/B16, "NA")</f>
        <v>NA</v>
      </c>
      <c r="D7" s="93" t="e">
        <f t="shared" ca="1" si="1"/>
        <v>#N/A</v>
      </c>
      <c r="E7" s="92" t="str">
        <f ca="1">IFERROR(D7/D16, "NA")</f>
        <v>NA</v>
      </c>
      <c r="F7" s="93" t="e">
        <f t="shared" ca="1" si="2"/>
        <v>#N/A</v>
      </c>
      <c r="G7" s="92" t="str">
        <f ca="1">IFERROR(F7/F16, "NA")</f>
        <v>NA</v>
      </c>
      <c r="H7" s="93" t="e">
        <f t="shared" ca="1" si="3"/>
        <v>#N/A</v>
      </c>
      <c r="I7" s="92" t="str">
        <f ca="1">IFERROR(H7/H16, "NA")</f>
        <v>NA</v>
      </c>
      <c r="J7" s="93" t="e">
        <f ca="1">+H7+F7+D7+B7+#REF!</f>
        <v>#N/A</v>
      </c>
      <c r="K7" s="92" t="str">
        <f ca="1">IFERROR(J7/J16, "NA")</f>
        <v>NA</v>
      </c>
    </row>
    <row r="8" spans="1:13" ht="16.5" hidden="1" customHeight="1" x14ac:dyDescent="0.25">
      <c r="A8" s="108" t="s">
        <v>227</v>
      </c>
      <c r="B8" s="93" t="e">
        <f t="shared" ca="1" si="0"/>
        <v>#N/A</v>
      </c>
      <c r="C8" s="92" t="str">
        <f ca="1">IFERROR(B8/B16, "NA")</f>
        <v>NA</v>
      </c>
      <c r="D8" s="93" t="e">
        <f t="shared" ca="1" si="1"/>
        <v>#N/A</v>
      </c>
      <c r="E8" s="92" t="str">
        <f ca="1">IFERROR(D8/D16, "NA")</f>
        <v>NA</v>
      </c>
      <c r="F8" s="93" t="e">
        <f t="shared" ca="1" si="2"/>
        <v>#N/A</v>
      </c>
      <c r="G8" s="92" t="str">
        <f ca="1">IFERROR(F8/F16, "NA")</f>
        <v>NA</v>
      </c>
      <c r="H8" s="93" t="e">
        <f t="shared" ca="1" si="3"/>
        <v>#N/A</v>
      </c>
      <c r="I8" s="92" t="str">
        <f ca="1">IFERROR(H8/H16, "NA")</f>
        <v>NA</v>
      </c>
      <c r="J8" s="93" t="e">
        <f ca="1">+H8+F8+D8+B8+#REF!</f>
        <v>#N/A</v>
      </c>
      <c r="K8" s="92" t="str">
        <f ca="1">IFERROR(J8/J16, "NA")</f>
        <v>NA</v>
      </c>
    </row>
    <row r="9" spans="1:13" ht="16.5" hidden="1" customHeight="1" x14ac:dyDescent="0.25">
      <c r="A9" s="108" t="s">
        <v>226</v>
      </c>
      <c r="B9" s="93" t="e">
        <f t="shared" ca="1" si="0"/>
        <v>#N/A</v>
      </c>
      <c r="C9" s="92" t="str">
        <f ca="1">IFERROR(B9/B16, "NA")</f>
        <v>NA</v>
      </c>
      <c r="D9" s="93" t="e">
        <f t="shared" ca="1" si="1"/>
        <v>#N/A</v>
      </c>
      <c r="E9" s="92" t="str">
        <f ca="1">IFERROR(D9/D16, "NA")</f>
        <v>NA</v>
      </c>
      <c r="F9" s="93" t="e">
        <f t="shared" ca="1" si="2"/>
        <v>#N/A</v>
      </c>
      <c r="G9" s="92" t="str">
        <f ca="1">IFERROR(F9/F16, "NA")</f>
        <v>NA</v>
      </c>
      <c r="H9" s="93" t="e">
        <f t="shared" ca="1" si="3"/>
        <v>#N/A</v>
      </c>
      <c r="I9" s="92" t="str">
        <f ca="1">IFERROR(H9/H16, "NA")</f>
        <v>NA</v>
      </c>
      <c r="J9" s="93" t="e">
        <f ca="1">+H9+F9+D9+B9+#REF!</f>
        <v>#N/A</v>
      </c>
      <c r="K9" s="92" t="str">
        <f ca="1">IFERROR(J9/J16, "NA")</f>
        <v>NA</v>
      </c>
    </row>
    <row r="10" spans="1:13" ht="16.5" hidden="1" customHeight="1" x14ac:dyDescent="0.25">
      <c r="A10" s="108" t="s">
        <v>225</v>
      </c>
      <c r="B10" s="93" t="e">
        <f t="shared" ca="1" si="0"/>
        <v>#N/A</v>
      </c>
      <c r="C10" s="92" t="str">
        <f ca="1">IFERROR(B10/B16, "NA")</f>
        <v>NA</v>
      </c>
      <c r="D10" s="93" t="e">
        <f t="shared" ca="1" si="1"/>
        <v>#N/A</v>
      </c>
      <c r="E10" s="92" t="str">
        <f ca="1">IFERROR(D10/D16, "NA")</f>
        <v>NA</v>
      </c>
      <c r="F10" s="93" t="e">
        <f t="shared" ca="1" si="2"/>
        <v>#N/A</v>
      </c>
      <c r="G10" s="92" t="str">
        <f ca="1">IFERROR(F10/F16, "NA")</f>
        <v>NA</v>
      </c>
      <c r="H10" s="93" t="e">
        <f t="shared" ca="1" si="3"/>
        <v>#N/A</v>
      </c>
      <c r="I10" s="92" t="str">
        <f ca="1">IFERROR(H10/H16, "NA")</f>
        <v>NA</v>
      </c>
      <c r="J10" s="93" t="e">
        <f ca="1">+H10+F10+D10+B10+#REF!</f>
        <v>#N/A</v>
      </c>
      <c r="K10" s="92" t="str">
        <f ca="1">IFERROR(J10/J16, "NA")</f>
        <v>NA</v>
      </c>
    </row>
    <row r="11" spans="1:13" ht="16.5" hidden="1" customHeight="1" x14ac:dyDescent="0.25">
      <c r="A11" s="108" t="s">
        <v>224</v>
      </c>
      <c r="B11" s="93" t="e">
        <f t="shared" ca="1" si="0"/>
        <v>#N/A</v>
      </c>
      <c r="C11" s="92" t="str">
        <f ca="1">IFERROR(B11/B16, "NA")</f>
        <v>NA</v>
      </c>
      <c r="D11" s="93" t="e">
        <f t="shared" ca="1" si="1"/>
        <v>#N/A</v>
      </c>
      <c r="E11" s="92" t="str">
        <f ca="1">IFERROR(D11/D16, "NA")</f>
        <v>NA</v>
      </c>
      <c r="F11" s="93" t="e">
        <f t="shared" ca="1" si="2"/>
        <v>#N/A</v>
      </c>
      <c r="G11" s="92" t="str">
        <f ca="1">IFERROR(F11/F16, "NA")</f>
        <v>NA</v>
      </c>
      <c r="H11" s="93" t="e">
        <f t="shared" ca="1" si="3"/>
        <v>#N/A</v>
      </c>
      <c r="I11" s="92" t="str">
        <f ca="1">IFERROR(H11/H16, "NA")</f>
        <v>NA</v>
      </c>
      <c r="J11" s="93" t="e">
        <f ca="1">+H11+F11+D11+B11+#REF!</f>
        <v>#N/A</v>
      </c>
      <c r="K11" s="92" t="str">
        <f ca="1">IFERROR(J11/J16, "NA")</f>
        <v>NA</v>
      </c>
    </row>
    <row r="12" spans="1:13" ht="16.5" hidden="1" customHeight="1" x14ac:dyDescent="0.25">
      <c r="A12" s="108" t="s">
        <v>223</v>
      </c>
      <c r="B12" s="93" t="e">
        <f t="shared" ca="1" si="0"/>
        <v>#N/A</v>
      </c>
      <c r="C12" s="92" t="str">
        <f ca="1">IFERROR(B12/B16, "NA")</f>
        <v>NA</v>
      </c>
      <c r="D12" s="93" t="e">
        <f t="shared" ca="1" si="1"/>
        <v>#N/A</v>
      </c>
      <c r="E12" s="92" t="str">
        <f ca="1">IFERROR(D12/D16, "NA")</f>
        <v>NA</v>
      </c>
      <c r="F12" s="93" t="e">
        <f t="shared" ca="1" si="2"/>
        <v>#N/A</v>
      </c>
      <c r="G12" s="92" t="str">
        <f ca="1">IFERROR(F12/F16, "NA")</f>
        <v>NA</v>
      </c>
      <c r="H12" s="93" t="e">
        <f t="shared" ca="1" si="3"/>
        <v>#N/A</v>
      </c>
      <c r="I12" s="92" t="str">
        <f ca="1">IFERROR(H12/H16, "NA")</f>
        <v>NA</v>
      </c>
      <c r="J12" s="93" t="e">
        <f ca="1">+H12+F12+D12+B12+#REF!</f>
        <v>#N/A</v>
      </c>
      <c r="K12" s="92" t="str">
        <f ca="1">IFERROR(J12/J16, "NA")</f>
        <v>NA</v>
      </c>
    </row>
    <row r="13" spans="1:13" ht="16.5" hidden="1" customHeight="1" x14ac:dyDescent="0.25">
      <c r="A13" s="108" t="s">
        <v>222</v>
      </c>
      <c r="B13" s="93" t="e">
        <f t="shared" ca="1" si="0"/>
        <v>#N/A</v>
      </c>
      <c r="C13" s="92" t="str">
        <f ca="1">IFERROR(B13/B16, "NA")</f>
        <v>NA</v>
      </c>
      <c r="D13" s="93" t="e">
        <f t="shared" ca="1" si="1"/>
        <v>#N/A</v>
      </c>
      <c r="E13" s="92" t="str">
        <f ca="1">IFERROR(D13/D16, "NA")</f>
        <v>NA</v>
      </c>
      <c r="F13" s="93" t="e">
        <f t="shared" ca="1" si="2"/>
        <v>#N/A</v>
      </c>
      <c r="G13" s="92" t="str">
        <f ca="1">IFERROR(F13/F16, "NA")</f>
        <v>NA</v>
      </c>
      <c r="H13" s="93" t="e">
        <f t="shared" ca="1" si="3"/>
        <v>#N/A</v>
      </c>
      <c r="I13" s="92" t="str">
        <f ca="1">IFERROR(H13/H16, "NA")</f>
        <v>NA</v>
      </c>
      <c r="J13" s="93" t="e">
        <f ca="1">+H13+F13+D13+B13+#REF!</f>
        <v>#N/A</v>
      </c>
      <c r="K13" s="92" t="str">
        <f ca="1">IFERROR(J13/J16, "NA")</f>
        <v>NA</v>
      </c>
    </row>
    <row r="14" spans="1:13" ht="16.5" hidden="1" customHeight="1" x14ac:dyDescent="0.25">
      <c r="A14" s="108" t="s">
        <v>221</v>
      </c>
      <c r="B14" s="93" t="e">
        <f t="shared" ca="1" si="0"/>
        <v>#N/A</v>
      </c>
      <c r="C14" s="92" t="str">
        <f ca="1">IFERROR(B14/B16, "NA")</f>
        <v>NA</v>
      </c>
      <c r="D14" s="93" t="e">
        <f t="shared" ca="1" si="1"/>
        <v>#N/A</v>
      </c>
      <c r="E14" s="92" t="str">
        <f ca="1">IFERROR(D14/D16, "NA")</f>
        <v>NA</v>
      </c>
      <c r="F14" s="93" t="e">
        <f t="shared" ca="1" si="2"/>
        <v>#N/A</v>
      </c>
      <c r="G14" s="92" t="str">
        <f ca="1">IFERROR(F14/F16, "NA")</f>
        <v>NA</v>
      </c>
      <c r="H14" s="93" t="e">
        <f t="shared" ca="1" si="3"/>
        <v>#N/A</v>
      </c>
      <c r="I14" s="92" t="str">
        <f ca="1">IFERROR(H14/H16, "NA")</f>
        <v>NA</v>
      </c>
      <c r="J14" s="93" t="e">
        <f ca="1">+H14+F14+D14+B14+#REF!</f>
        <v>#N/A</v>
      </c>
      <c r="K14" s="92" t="str">
        <f ca="1">IFERROR(J14/J16, "NA")</f>
        <v>NA</v>
      </c>
    </row>
    <row r="15" spans="1:13" ht="16.5" hidden="1" customHeight="1" x14ac:dyDescent="0.25">
      <c r="A15" s="108" t="s">
        <v>220</v>
      </c>
      <c r="B15" s="93" t="e">
        <f t="shared" ca="1" si="0"/>
        <v>#N/A</v>
      </c>
      <c r="C15" s="92" t="str">
        <f ca="1">IFERROR(B15/B16, "NA")</f>
        <v>NA</v>
      </c>
      <c r="D15" s="93" t="e">
        <f t="shared" ca="1" si="1"/>
        <v>#N/A</v>
      </c>
      <c r="E15" s="92" t="str">
        <f ca="1">IFERROR(D15/D16, "NA")</f>
        <v>NA</v>
      </c>
      <c r="F15" s="93" t="e">
        <f t="shared" ca="1" si="2"/>
        <v>#N/A</v>
      </c>
      <c r="G15" s="92" t="str">
        <f ca="1">IFERROR(F15/F16, "NA")</f>
        <v>NA</v>
      </c>
      <c r="H15" s="93" t="e">
        <f t="shared" ca="1" si="3"/>
        <v>#N/A</v>
      </c>
      <c r="I15" s="92" t="str">
        <f ca="1">IFERROR(H15/H16, "NA")</f>
        <v>NA</v>
      </c>
      <c r="J15" s="93" t="e">
        <f ca="1">+H15+F15+D15+B15+#REF!</f>
        <v>#N/A</v>
      </c>
      <c r="K15" s="92" t="str">
        <f ca="1">IFERROR(J15/J16, "NA")</f>
        <v>NA</v>
      </c>
    </row>
    <row r="16" spans="1:13" ht="16.5" customHeight="1" x14ac:dyDescent="0.25">
      <c r="A16" s="88" t="s">
        <v>15</v>
      </c>
      <c r="B16" s="90">
        <f t="shared" ca="1" si="0"/>
        <v>43554.64</v>
      </c>
      <c r="C16" s="89">
        <f ca="1">IFERROR(B16/B16, "NA")</f>
        <v>1</v>
      </c>
      <c r="D16" s="90">
        <f t="shared" ca="1" si="1"/>
        <v>24496.26</v>
      </c>
      <c r="E16" s="89">
        <f ca="1">IFERROR(D16/D16, "NA")</f>
        <v>1</v>
      </c>
      <c r="F16" s="90">
        <f t="shared" ca="1" si="2"/>
        <v>21804.35</v>
      </c>
      <c r="G16" s="89">
        <f ca="1">IFERROR(F16/F16, "NA")</f>
        <v>1</v>
      </c>
      <c r="H16" s="90">
        <f t="shared" ca="1" si="3"/>
        <v>29074.81</v>
      </c>
      <c r="I16" s="89">
        <f ca="1">IFERROR(H16/H16, "NA")</f>
        <v>1</v>
      </c>
      <c r="J16" s="90">
        <f ca="1">+H16+F16+D16+B16</f>
        <v>118930.06</v>
      </c>
      <c r="K16" s="89">
        <f ca="1">IFERROR(J16/J16, "NA")</f>
        <v>1</v>
      </c>
    </row>
    <row r="17" spans="1:13" ht="3.75" customHeight="1" x14ac:dyDescent="0.25">
      <c r="A17" s="103" t="s">
        <v>2</v>
      </c>
      <c r="B17" s="102"/>
      <c r="C17" s="79"/>
      <c r="D17" s="102"/>
      <c r="E17" s="79"/>
      <c r="F17" s="102"/>
      <c r="G17" s="79"/>
      <c r="H17" s="102"/>
      <c r="I17" s="79"/>
      <c r="J17" s="102"/>
      <c r="K17" s="79"/>
    </row>
    <row r="18" spans="1:13" ht="16.5" customHeight="1" x14ac:dyDescent="0.25">
      <c r="A18" s="101" t="s">
        <v>16</v>
      </c>
      <c r="B18" s="98"/>
      <c r="C18" s="97"/>
      <c r="D18" s="98"/>
      <c r="E18" s="97"/>
      <c r="F18" s="98"/>
      <c r="G18" s="97"/>
      <c r="H18" s="98"/>
      <c r="I18" s="97"/>
      <c r="J18" s="98"/>
      <c r="K18" s="97"/>
    </row>
    <row r="19" spans="1:13" ht="16.5" customHeight="1" x14ac:dyDescent="0.25">
      <c r="A19" s="100" t="s">
        <v>17</v>
      </c>
      <c r="B19" s="98"/>
      <c r="C19" s="97"/>
      <c r="D19" s="98"/>
      <c r="E19" s="97"/>
      <c r="F19" s="98"/>
      <c r="G19" s="97"/>
      <c r="H19" s="98"/>
      <c r="I19" s="97"/>
      <c r="J19" s="98"/>
      <c r="K19" s="97"/>
    </row>
    <row r="20" spans="1:13" ht="16.5" hidden="1" customHeight="1" x14ac:dyDescent="0.25">
      <c r="A20" s="94" t="s">
        <v>18</v>
      </c>
      <c r="B20" s="93"/>
      <c r="C20" s="92"/>
      <c r="D20" s="93"/>
      <c r="E20" s="92"/>
      <c r="F20" s="93"/>
      <c r="G20" s="92"/>
      <c r="H20" s="93"/>
      <c r="I20" s="92"/>
      <c r="J20" s="93"/>
      <c r="K20" s="92"/>
    </row>
    <row r="21" spans="1:13" ht="16.5" customHeight="1" x14ac:dyDescent="0.25">
      <c r="A21" s="99" t="s">
        <v>19</v>
      </c>
      <c r="B21" s="98"/>
      <c r="C21" s="97"/>
      <c r="D21" s="98"/>
      <c r="E21" s="97"/>
      <c r="F21" s="98"/>
      <c r="G21" s="97"/>
      <c r="H21" s="98"/>
      <c r="I21" s="97"/>
      <c r="J21" s="98"/>
      <c r="K21" s="97"/>
    </row>
    <row r="22" spans="1:13" ht="16.5" hidden="1" customHeight="1" x14ac:dyDescent="0.25">
      <c r="A22" s="96" t="s">
        <v>20</v>
      </c>
      <c r="B22" s="93">
        <f t="shared" ref="B22:B34" ca="1" si="4">INDEX(INDIRECT("'"&amp;B$4&amp;"'!$1:$1048576"),MATCH($A22,INDIRECT("'"&amp;B$4&amp;"'!$A:$A"),0),MATCH($A$2,INDIRECT("'"&amp;B$4&amp;"'!$5:$5"),0))</f>
        <v>0</v>
      </c>
      <c r="C22" s="92">
        <f ca="1">IFERROR(B22/B16, "NA")</f>
        <v>0</v>
      </c>
      <c r="D22" s="93">
        <f t="shared" ref="D22:D34" ca="1" si="5">INDEX(INDIRECT("'"&amp;D$4&amp;"'!$1:$1048576"),MATCH($A22,INDIRECT("'"&amp;D$4&amp;"'!$A:$A"),0),MATCH($A$2,INDIRECT("'"&amp;D$4&amp;"'!$5:$5"),0))</f>
        <v>0</v>
      </c>
      <c r="E22" s="92">
        <f ca="1">IFERROR(D22/D16, "NA")</f>
        <v>0</v>
      </c>
      <c r="F22" s="93">
        <f t="shared" ref="F22:F34" ca="1" si="6">INDEX(INDIRECT("'"&amp;F$4&amp;"'!$1:$1048576"),MATCH($A22,INDIRECT("'"&amp;F$4&amp;"'!$A:$A"),0),MATCH($A$2,INDIRECT("'"&amp;F$4&amp;"'!$5:$5"),0))</f>
        <v>0</v>
      </c>
      <c r="G22" s="92">
        <f ca="1">IFERROR(F22/F16, "NA")</f>
        <v>0</v>
      </c>
      <c r="H22" s="93">
        <f t="shared" ref="H22:H34" ca="1" si="7">INDEX(INDIRECT("'"&amp;H$4&amp;"'!$1:$1048576"),MATCH($A22,INDIRECT("'"&amp;H$4&amp;"'!$A:$A"),0),MATCH($A$2,INDIRECT("'"&amp;H$4&amp;"'!$5:$5"),0))</f>
        <v>0</v>
      </c>
      <c r="I22" s="92">
        <f ca="1">IFERROR(H22/H16, "NA")</f>
        <v>0</v>
      </c>
      <c r="J22" s="93"/>
      <c r="K22" s="92">
        <f ca="1">IFERROR(J22/J16, "NA")</f>
        <v>0</v>
      </c>
    </row>
    <row r="23" spans="1:13" ht="16.5" customHeight="1" x14ac:dyDescent="0.25">
      <c r="A23" s="96" t="s">
        <v>21</v>
      </c>
      <c r="B23" s="93">
        <f t="shared" ca="1" si="4"/>
        <v>1375.84</v>
      </c>
      <c r="C23" s="92">
        <f ca="1">IFERROR(B23/B16, "NA")</f>
        <v>3.1588827275348848E-2</v>
      </c>
      <c r="D23" s="93">
        <f t="shared" ca="1" si="5"/>
        <v>1107.32</v>
      </c>
      <c r="E23" s="92">
        <f ca="1">IFERROR(D23/D16, "NA")</f>
        <v>4.5203635167164295E-2</v>
      </c>
      <c r="F23" s="93">
        <f t="shared" ca="1" si="6"/>
        <v>872.09</v>
      </c>
      <c r="G23" s="92">
        <f ca="1">IFERROR(F23/F16, "NA")</f>
        <v>3.9996147557712115E-2</v>
      </c>
      <c r="H23" s="93">
        <f t="shared" ca="1" si="7"/>
        <v>1551.57</v>
      </c>
      <c r="I23" s="92">
        <f ca="1">IFERROR(H23/H16, "NA")</f>
        <v>5.3364751136808802E-2</v>
      </c>
      <c r="J23" s="104">
        <f t="shared" ref="J23:J34" ca="1" si="8">+H23+F23+D23+B23</f>
        <v>4906.82</v>
      </c>
      <c r="K23" s="92">
        <f ca="1">IFERROR(J23/J16, "NA")</f>
        <v>4.125803013973086E-2</v>
      </c>
      <c r="L23" s="107"/>
      <c r="M23" s="106"/>
    </row>
    <row r="24" spans="1:13" ht="16.5" customHeight="1" x14ac:dyDescent="0.25">
      <c r="A24" s="96" t="s">
        <v>22</v>
      </c>
      <c r="B24" s="93">
        <f t="shared" ca="1" si="4"/>
        <v>1149.68</v>
      </c>
      <c r="C24" s="92">
        <f ca="1">IFERROR(B24/B16, "NA")</f>
        <v>2.6396269146065725E-2</v>
      </c>
      <c r="D24" s="93">
        <f t="shared" ca="1" si="5"/>
        <v>744.89</v>
      </c>
      <c r="E24" s="92">
        <f ca="1">IFERROR(D24/D16, "NA")</f>
        <v>3.0408315391818999E-2</v>
      </c>
      <c r="F24" s="93">
        <f t="shared" ca="1" si="6"/>
        <v>669.04</v>
      </c>
      <c r="G24" s="92">
        <f ca="1">IFERROR(F24/F16, "NA")</f>
        <v>3.0683785574896753E-2</v>
      </c>
      <c r="H24" s="93">
        <f t="shared" ca="1" si="7"/>
        <v>942.13</v>
      </c>
      <c r="I24" s="92">
        <f ca="1">IFERROR(H24/H16, "NA")</f>
        <v>3.2403651133059853E-2</v>
      </c>
      <c r="J24" s="104">
        <f t="shared" ca="1" si="8"/>
        <v>3505.74</v>
      </c>
      <c r="K24" s="92">
        <f ca="1">IFERROR(J24/J16, "NA")</f>
        <v>2.9477324740271718E-2</v>
      </c>
      <c r="L24" s="107"/>
      <c r="M24" s="106"/>
    </row>
    <row r="25" spans="1:13" ht="16.5" customHeight="1" x14ac:dyDescent="0.25">
      <c r="A25" s="96" t="s">
        <v>23</v>
      </c>
      <c r="B25" s="93">
        <f t="shared" ca="1" si="4"/>
        <v>1492.72</v>
      </c>
      <c r="C25" s="92">
        <f ca="1">IFERROR(B25/B16, "NA")</f>
        <v>3.427235307191151E-2</v>
      </c>
      <c r="D25" s="93">
        <f t="shared" ca="1" si="5"/>
        <v>845.62</v>
      </c>
      <c r="E25" s="92">
        <f ca="1">IFERROR(D25/D16, "NA")</f>
        <v>3.4520371681228075E-2</v>
      </c>
      <c r="F25" s="93">
        <f t="shared" ca="1" si="6"/>
        <v>822.94</v>
      </c>
      <c r="G25" s="92">
        <f ca="1">IFERROR(F25/F16, "NA")</f>
        <v>3.7742010195213345E-2</v>
      </c>
      <c r="H25" s="93">
        <f t="shared" ca="1" si="7"/>
        <v>1007.84</v>
      </c>
      <c r="I25" s="92">
        <f ca="1">IFERROR(H25/H16, "NA")</f>
        <v>3.4663683098874937E-2</v>
      </c>
      <c r="J25" s="104">
        <f t="shared" ca="1" si="8"/>
        <v>4169.12</v>
      </c>
      <c r="K25" s="92">
        <f ca="1">IFERROR(J25/J16, "NA")</f>
        <v>3.5055224894362282E-2</v>
      </c>
      <c r="L25" s="107"/>
      <c r="M25" s="106"/>
    </row>
    <row r="26" spans="1:13" ht="16.5" customHeight="1" x14ac:dyDescent="0.25">
      <c r="A26" s="96" t="s">
        <v>24</v>
      </c>
      <c r="B26" s="93">
        <f t="shared" ca="1" si="4"/>
        <v>714.66</v>
      </c>
      <c r="C26" s="92">
        <f ca="1">IFERROR(B26/B16, "NA")</f>
        <v>1.6408355114403424E-2</v>
      </c>
      <c r="D26" s="93">
        <f t="shared" ca="1" si="5"/>
        <v>344.35</v>
      </c>
      <c r="E26" s="92">
        <f ca="1">IFERROR(D26/D16, "NA")</f>
        <v>1.4057247922744126E-2</v>
      </c>
      <c r="F26" s="93">
        <f t="shared" ca="1" si="6"/>
        <v>570.96</v>
      </c>
      <c r="G26" s="92">
        <f ca="1">IFERROR(F26/F16, "NA")</f>
        <v>2.6185600579700843E-2</v>
      </c>
      <c r="H26" s="93">
        <f t="shared" ca="1" si="7"/>
        <v>845.77</v>
      </c>
      <c r="I26" s="92">
        <f ca="1">IFERROR(H26/H16, "NA")</f>
        <v>2.9089442029027874E-2</v>
      </c>
      <c r="J26" s="104">
        <f t="shared" ca="1" si="8"/>
        <v>2475.7399999999998</v>
      </c>
      <c r="K26" s="92">
        <f ca="1">IFERROR(J26/J16, "NA")</f>
        <v>2.0816772479556472E-2</v>
      </c>
      <c r="L26" s="107"/>
      <c r="M26" s="106"/>
    </row>
    <row r="27" spans="1:13" ht="16.5" customHeight="1" x14ac:dyDescent="0.25">
      <c r="A27" s="96" t="s">
        <v>25</v>
      </c>
      <c r="B27" s="93">
        <f t="shared" ca="1" si="4"/>
        <v>876.98</v>
      </c>
      <c r="C27" s="92">
        <f ca="1">IFERROR(B27/B16, "NA")</f>
        <v>2.0135168147412077E-2</v>
      </c>
      <c r="D27" s="93">
        <f t="shared" ca="1" si="5"/>
        <v>295.04000000000002</v>
      </c>
      <c r="E27" s="92">
        <f ca="1">IFERROR(D27/D16, "NA")</f>
        <v>1.204428757696073E-2</v>
      </c>
      <c r="F27" s="93">
        <f t="shared" ca="1" si="6"/>
        <v>334.35</v>
      </c>
      <c r="G27" s="92">
        <f ca="1">IFERROR(F27/F16, "NA")</f>
        <v>1.5334096178056216E-2</v>
      </c>
      <c r="H27" s="93">
        <f t="shared" ca="1" si="7"/>
        <v>319.86</v>
      </c>
      <c r="I27" s="92">
        <f ca="1">IFERROR(H27/H16, "NA")</f>
        <v>1.1001275674716361E-2</v>
      </c>
      <c r="J27" s="104">
        <f t="shared" ca="1" si="8"/>
        <v>1826.23</v>
      </c>
      <c r="K27" s="92">
        <f ca="1">IFERROR(J27/J16, "NA")</f>
        <v>1.5355495490374764E-2</v>
      </c>
      <c r="L27" s="107"/>
      <c r="M27" s="106"/>
    </row>
    <row r="28" spans="1:13" ht="16.5" customHeight="1" x14ac:dyDescent="0.25">
      <c r="A28" s="96" t="s">
        <v>26</v>
      </c>
      <c r="B28" s="93">
        <f t="shared" ca="1" si="4"/>
        <v>418.86</v>
      </c>
      <c r="C28" s="92">
        <f ca="1">IFERROR(B28/B16, "NA")</f>
        <v>9.6168858243346755E-3</v>
      </c>
      <c r="D28" s="93">
        <f t="shared" ca="1" si="5"/>
        <v>188.2</v>
      </c>
      <c r="E28" s="92">
        <f ca="1">IFERROR(D28/D16, "NA")</f>
        <v>7.682805456833002E-3</v>
      </c>
      <c r="F28" s="93">
        <f t="shared" ca="1" si="6"/>
        <v>189.48</v>
      </c>
      <c r="G28" s="92">
        <f ca="1">IFERROR(F28/F16, "NA")</f>
        <v>8.6900091036880255E-3</v>
      </c>
      <c r="H28" s="93">
        <f t="shared" ca="1" si="7"/>
        <v>121.92</v>
      </c>
      <c r="I28" s="92">
        <f ca="1">IFERROR(H28/H16, "NA")</f>
        <v>4.193320609833736E-3</v>
      </c>
      <c r="J28" s="104">
        <f t="shared" ca="1" si="8"/>
        <v>918.46</v>
      </c>
      <c r="K28" s="92">
        <f ca="1">IFERROR(J28/J16, "NA")</f>
        <v>7.7226901256082781E-3</v>
      </c>
      <c r="L28" s="107"/>
      <c r="M28" s="106"/>
    </row>
    <row r="29" spans="1:13" ht="16.5" customHeight="1" x14ac:dyDescent="0.25">
      <c r="A29" s="96" t="s">
        <v>27</v>
      </c>
      <c r="B29" s="93">
        <f t="shared" ca="1" si="4"/>
        <v>0</v>
      </c>
      <c r="C29" s="92">
        <f ca="1">IFERROR(B29/B16, "NA")</f>
        <v>0</v>
      </c>
      <c r="D29" s="93">
        <f t="shared" ca="1" si="5"/>
        <v>0</v>
      </c>
      <c r="E29" s="92">
        <f ca="1">IFERROR(D29/D16, "NA")</f>
        <v>0</v>
      </c>
      <c r="F29" s="93">
        <f t="shared" ca="1" si="6"/>
        <v>0</v>
      </c>
      <c r="G29" s="92">
        <f ca="1">IFERROR(F29/F16, "NA")</f>
        <v>0</v>
      </c>
      <c r="H29" s="93">
        <f t="shared" ca="1" si="7"/>
        <v>0</v>
      </c>
      <c r="I29" s="92">
        <f ca="1">IFERROR(H29/H16, "NA")</f>
        <v>0</v>
      </c>
      <c r="J29" s="104">
        <f t="shared" ca="1" si="8"/>
        <v>0</v>
      </c>
      <c r="K29" s="92">
        <f ca="1">IFERROR(J29/J16, "NA")</f>
        <v>0</v>
      </c>
      <c r="L29" s="107"/>
      <c r="M29" s="106"/>
    </row>
    <row r="30" spans="1:13" ht="16.5" customHeight="1" x14ac:dyDescent="0.25">
      <c r="A30" s="96" t="s">
        <v>28</v>
      </c>
      <c r="B30" s="93">
        <f t="shared" ca="1" si="4"/>
        <v>303.16000000000003</v>
      </c>
      <c r="C30" s="92">
        <f ca="1">IFERROR(B30/B16, "NA")</f>
        <v>6.9604524340001438E-3</v>
      </c>
      <c r="D30" s="93">
        <f t="shared" ca="1" si="5"/>
        <v>302.10000000000002</v>
      </c>
      <c r="E30" s="92">
        <f ca="1">IFERROR(D30/D16, "NA")</f>
        <v>1.2332494837987516E-2</v>
      </c>
      <c r="F30" s="93">
        <f t="shared" ca="1" si="6"/>
        <v>217.84</v>
      </c>
      <c r="G30" s="92">
        <f ca="1">IFERROR(F30/F16, "NA")</f>
        <v>9.9906669999335011E-3</v>
      </c>
      <c r="H30" s="93">
        <f t="shared" ca="1" si="7"/>
        <v>74.599999999999994</v>
      </c>
      <c r="I30" s="92">
        <f ca="1">IFERROR(H30/H16, "NA")</f>
        <v>2.5657949269487913E-3</v>
      </c>
      <c r="J30" s="104">
        <f t="shared" ca="1" si="8"/>
        <v>897.7</v>
      </c>
      <c r="K30" s="92">
        <f ca="1">IFERROR(J30/J16, "NA")</f>
        <v>7.5481337518874545E-3</v>
      </c>
      <c r="L30" s="107"/>
      <c r="M30" s="106"/>
    </row>
    <row r="31" spans="1:13" ht="16.5" customHeight="1" x14ac:dyDescent="0.25">
      <c r="A31" s="96" t="s">
        <v>29</v>
      </c>
      <c r="B31" s="93">
        <f t="shared" ca="1" si="4"/>
        <v>2086.0300000000002</v>
      </c>
      <c r="C31" s="92">
        <f ca="1">IFERROR(B31/B16, "NA")</f>
        <v>4.7894552681413516E-2</v>
      </c>
      <c r="D31" s="93">
        <f t="shared" ca="1" si="5"/>
        <v>975.77</v>
      </c>
      <c r="E31" s="92">
        <f ca="1">IFERROR(D31/D16, "NA")</f>
        <v>3.9833427633442824E-2</v>
      </c>
      <c r="F31" s="93">
        <f t="shared" ca="1" si="6"/>
        <v>1234.3399999999999</v>
      </c>
      <c r="G31" s="92">
        <f ca="1">IFERROR(F31/F16, "NA")</f>
        <v>5.6609804924246769E-2</v>
      </c>
      <c r="H31" s="93">
        <f t="shared" ca="1" si="7"/>
        <v>1649.83</v>
      </c>
      <c r="I31" s="92">
        <f ca="1">IFERROR(H31/H16, "NA")</f>
        <v>5.6744308905200061E-2</v>
      </c>
      <c r="J31" s="104">
        <f t="shared" ca="1" si="8"/>
        <v>5945.97</v>
      </c>
      <c r="K31" s="92">
        <f ca="1">IFERROR(J31/J16, "NA")</f>
        <v>4.9995518374412663E-2</v>
      </c>
      <c r="L31" s="107"/>
      <c r="M31" s="106"/>
    </row>
    <row r="32" spans="1:13" ht="16.5" hidden="1" customHeight="1" x14ac:dyDescent="0.25">
      <c r="A32" s="96" t="s">
        <v>30</v>
      </c>
      <c r="B32" s="93">
        <f t="shared" ca="1" si="4"/>
        <v>0</v>
      </c>
      <c r="C32" s="92">
        <f ca="1">IFERROR(B32/B16, "NA")</f>
        <v>0</v>
      </c>
      <c r="D32" s="93">
        <f t="shared" ca="1" si="5"/>
        <v>0</v>
      </c>
      <c r="E32" s="92">
        <f ca="1">IFERROR(D32/D16, "NA")</f>
        <v>0</v>
      </c>
      <c r="F32" s="93">
        <f t="shared" ca="1" si="6"/>
        <v>0</v>
      </c>
      <c r="G32" s="92">
        <f ca="1">IFERROR(F32/F16, "NA")</f>
        <v>0</v>
      </c>
      <c r="H32" s="93">
        <f t="shared" ca="1" si="7"/>
        <v>0</v>
      </c>
      <c r="I32" s="92">
        <f ca="1">IFERROR(H32/H16, "NA")</f>
        <v>0</v>
      </c>
      <c r="J32" s="104">
        <f t="shared" ca="1" si="8"/>
        <v>0</v>
      </c>
      <c r="K32" s="92">
        <f ca="1">IFERROR(J32/J16, "NA")</f>
        <v>0</v>
      </c>
      <c r="L32" s="107"/>
      <c r="M32" s="106"/>
    </row>
    <row r="33" spans="1:13" ht="16.5" customHeight="1" x14ac:dyDescent="0.25">
      <c r="A33" s="96" t="s">
        <v>31</v>
      </c>
      <c r="B33" s="93">
        <f t="shared" ca="1" si="4"/>
        <v>0</v>
      </c>
      <c r="C33" s="92">
        <f ca="1">IFERROR(B33/B16, "NA")</f>
        <v>0</v>
      </c>
      <c r="D33" s="93">
        <f t="shared" ca="1" si="5"/>
        <v>0</v>
      </c>
      <c r="E33" s="92">
        <f ca="1">IFERROR(D33/D16, "NA")</f>
        <v>0</v>
      </c>
      <c r="F33" s="93">
        <f t="shared" ca="1" si="6"/>
        <v>0</v>
      </c>
      <c r="G33" s="92">
        <f ca="1">IFERROR(F33/F16, "NA")</f>
        <v>0</v>
      </c>
      <c r="H33" s="93">
        <f t="shared" ca="1" si="7"/>
        <v>0</v>
      </c>
      <c r="I33" s="92">
        <f ca="1">IFERROR(H33/H16, "NA")</f>
        <v>0</v>
      </c>
      <c r="J33" s="104">
        <f t="shared" ca="1" si="8"/>
        <v>0</v>
      </c>
      <c r="K33" s="92">
        <f ca="1">IFERROR(J33/J16, "NA")</f>
        <v>0</v>
      </c>
      <c r="L33" s="107"/>
      <c r="M33" s="106"/>
    </row>
    <row r="34" spans="1:13" ht="16.5" customHeight="1" x14ac:dyDescent="0.25">
      <c r="A34" s="95" t="s">
        <v>32</v>
      </c>
      <c r="B34" s="90">
        <f t="shared" ca="1" si="4"/>
        <v>8417.9299999999985</v>
      </c>
      <c r="C34" s="89">
        <f ca="1">IFERROR(B34/B16, "NA")</f>
        <v>0.19327286369488988</v>
      </c>
      <c r="D34" s="90">
        <f t="shared" ca="1" si="5"/>
        <v>4803.2899999999991</v>
      </c>
      <c r="E34" s="89">
        <f ca="1">IFERROR(D34/D16, "NA")</f>
        <v>0.19608258566817952</v>
      </c>
      <c r="F34" s="90">
        <f t="shared" ca="1" si="6"/>
        <v>4911.04</v>
      </c>
      <c r="G34" s="89">
        <f ca="1">IFERROR(F34/F16, "NA")</f>
        <v>0.22523212111344756</v>
      </c>
      <c r="H34" s="90">
        <f t="shared" ca="1" si="7"/>
        <v>6513.5199999999995</v>
      </c>
      <c r="I34" s="89">
        <f ca="1">IFERROR(H34/H16, "NA")</f>
        <v>0.22402622751447041</v>
      </c>
      <c r="J34" s="90">
        <f t="shared" ca="1" si="8"/>
        <v>24645.78</v>
      </c>
      <c r="K34" s="89">
        <f ca="1">IFERROR(J34/J16, "NA")</f>
        <v>0.20722918999620449</v>
      </c>
      <c r="L34" s="107"/>
      <c r="M34" s="106"/>
    </row>
    <row r="35" spans="1:13" ht="16.5" customHeight="1" x14ac:dyDescent="0.25">
      <c r="A35" s="99" t="s">
        <v>33</v>
      </c>
      <c r="B35" s="98"/>
      <c r="C35" s="97"/>
      <c r="D35" s="98"/>
      <c r="E35" s="97"/>
      <c r="F35" s="98"/>
      <c r="G35" s="97"/>
      <c r="H35" s="98"/>
      <c r="I35" s="97"/>
      <c r="J35" s="98"/>
      <c r="K35" s="97"/>
    </row>
    <row r="36" spans="1:13" ht="16.5" hidden="1" customHeight="1" x14ac:dyDescent="0.25">
      <c r="A36" s="96" t="s">
        <v>34</v>
      </c>
      <c r="B36" s="93">
        <f t="shared" ref="B36:B42" ca="1" si="9">INDEX(INDIRECT("'"&amp;B$4&amp;"'!$1:$1048576"),MATCH($A36,INDIRECT("'"&amp;B$4&amp;"'!$A:$A"),0),MATCH($A$2,INDIRECT("'"&amp;B$4&amp;"'!$5:$5"),0))</f>
        <v>0</v>
      </c>
      <c r="C36" s="92">
        <f ca="1">IFERROR(B36/B16, "NA")</f>
        <v>0</v>
      </c>
      <c r="D36" s="93">
        <f t="shared" ref="D36:D42" ca="1" si="10">INDEX(INDIRECT("'"&amp;D$4&amp;"'!$1:$1048576"),MATCH($A36,INDIRECT("'"&amp;D$4&amp;"'!$A:$A"),0),MATCH($A$2,INDIRECT("'"&amp;D$4&amp;"'!$5:$5"),0))</f>
        <v>0</v>
      </c>
      <c r="E36" s="92">
        <f ca="1">IFERROR(D36/D16, "NA")</f>
        <v>0</v>
      </c>
      <c r="F36" s="93">
        <f t="shared" ref="F36:F42" ca="1" si="11">INDEX(INDIRECT("'"&amp;F$4&amp;"'!$1:$1048576"),MATCH($A36,INDIRECT("'"&amp;F$4&amp;"'!$A:$A"),0),MATCH($A$2,INDIRECT("'"&amp;F$4&amp;"'!$5:$5"),0))</f>
        <v>0</v>
      </c>
      <c r="G36" s="92">
        <f ca="1">IFERROR(F36/F16, "NA")</f>
        <v>0</v>
      </c>
      <c r="H36" s="93">
        <f t="shared" ref="H36:H42" ca="1" si="12">INDEX(INDIRECT("'"&amp;H$4&amp;"'!$1:$1048576"),MATCH($A36,INDIRECT("'"&amp;H$4&amp;"'!$A:$A"),0),MATCH($A$2,INDIRECT("'"&amp;H$4&amp;"'!$5:$5"),0))</f>
        <v>0</v>
      </c>
      <c r="I36" s="92">
        <f ca="1">IFERROR(H36/H16, "NA")</f>
        <v>0</v>
      </c>
      <c r="J36" s="93"/>
      <c r="K36" s="92">
        <f ca="1">IFERROR(J36/J16, "NA")</f>
        <v>0</v>
      </c>
    </row>
    <row r="37" spans="1:13" ht="16.5" customHeight="1" x14ac:dyDescent="0.25">
      <c r="A37" s="96" t="s">
        <v>35</v>
      </c>
      <c r="B37" s="93">
        <f t="shared" ca="1" si="9"/>
        <v>463.27</v>
      </c>
      <c r="C37" s="92">
        <f ca="1">IFERROR(B37/B16, "NA")</f>
        <v>1.0636524604496787E-2</v>
      </c>
      <c r="D37" s="93">
        <f t="shared" ca="1" si="10"/>
        <v>296.17</v>
      </c>
      <c r="E37" s="92">
        <f ca="1">IFERROR(D37/D16, "NA")</f>
        <v>1.2090417067748303E-2</v>
      </c>
      <c r="F37" s="93">
        <f t="shared" ca="1" si="11"/>
        <v>217.84</v>
      </c>
      <c r="G37" s="92">
        <f ca="1">IFERROR(F37/F16, "NA")</f>
        <v>9.9906669999335011E-3</v>
      </c>
      <c r="H37" s="93">
        <f t="shared" ca="1" si="12"/>
        <v>-65.680000000000007</v>
      </c>
      <c r="I37" s="92">
        <f ca="1">IFERROR(H37/H16, "NA")</f>
        <v>-2.2590001447988827E-3</v>
      </c>
      <c r="J37" s="104">
        <f t="shared" ref="J37:J42" ca="1" si="13">+H37+F37+D37+B37</f>
        <v>911.6</v>
      </c>
      <c r="K37" s="92">
        <f ca="1">IFERROR(J37/J16, "NA")</f>
        <v>7.6650091658912812E-3</v>
      </c>
    </row>
    <row r="38" spans="1:13" ht="16.5" customHeight="1" x14ac:dyDescent="0.25">
      <c r="A38" s="96" t="s">
        <v>36</v>
      </c>
      <c r="B38" s="93">
        <f t="shared" ca="1" si="9"/>
        <v>14.55</v>
      </c>
      <c r="C38" s="92">
        <f ca="1">IFERROR(B38/B16, "NA")</f>
        <v>3.3406314459263127E-4</v>
      </c>
      <c r="D38" s="93">
        <f t="shared" ca="1" si="10"/>
        <v>14.05</v>
      </c>
      <c r="E38" s="92">
        <f ca="1">IFERROR(D38/D16, "NA")</f>
        <v>5.7355694297823426E-4</v>
      </c>
      <c r="F38" s="93">
        <f t="shared" ca="1" si="11"/>
        <v>2.4300000000000002</v>
      </c>
      <c r="G38" s="92">
        <f ca="1">IFERROR(F38/F16, "NA")</f>
        <v>1.1144565189973562E-4</v>
      </c>
      <c r="H38" s="93">
        <f t="shared" ca="1" si="12"/>
        <v>7.16</v>
      </c>
      <c r="I38" s="92">
        <f ca="1">IFERROR(H38/H16, "NA")</f>
        <v>2.4626128253288669E-4</v>
      </c>
      <c r="J38" s="104">
        <f t="shared" ca="1" si="13"/>
        <v>38.19</v>
      </c>
      <c r="K38" s="92">
        <f ca="1">IFERROR(J38/J16, "NA")</f>
        <v>3.2111309789972358E-4</v>
      </c>
    </row>
    <row r="39" spans="1:13" ht="16.5" customHeight="1" x14ac:dyDescent="0.25">
      <c r="A39" s="96" t="s">
        <v>37</v>
      </c>
      <c r="B39" s="93">
        <f t="shared" ca="1" si="9"/>
        <v>-14.39</v>
      </c>
      <c r="C39" s="92">
        <f ca="1">IFERROR(B39/B16, "NA")</f>
        <v>-3.3038959798542707E-4</v>
      </c>
      <c r="D39" s="93">
        <f t="shared" ca="1" si="10"/>
        <v>0</v>
      </c>
      <c r="E39" s="92">
        <f ca="1">IFERROR(D39/D16, "NA")</f>
        <v>0</v>
      </c>
      <c r="F39" s="93">
        <f t="shared" ca="1" si="11"/>
        <v>0</v>
      </c>
      <c r="G39" s="92">
        <f ca="1">IFERROR(F39/F16, "NA")</f>
        <v>0</v>
      </c>
      <c r="H39" s="93">
        <f t="shared" ca="1" si="12"/>
        <v>0</v>
      </c>
      <c r="I39" s="92">
        <f ca="1">IFERROR(H39/H16, "NA")</f>
        <v>0</v>
      </c>
      <c r="J39" s="104">
        <f t="shared" ca="1" si="13"/>
        <v>-14.39</v>
      </c>
      <c r="K39" s="92">
        <f ca="1">IFERROR(J39/J16, "NA")</f>
        <v>-1.2099548255504118E-4</v>
      </c>
    </row>
    <row r="40" spans="1:13" ht="16.5" customHeight="1" x14ac:dyDescent="0.25">
      <c r="A40" s="96" t="s">
        <v>38</v>
      </c>
      <c r="B40" s="93">
        <f t="shared" ca="1" si="9"/>
        <v>-4.55</v>
      </c>
      <c r="C40" s="92">
        <f ca="1">IFERROR(B40/B16, "NA")</f>
        <v>-1.0446648164236922E-4</v>
      </c>
      <c r="D40" s="93">
        <f t="shared" ca="1" si="10"/>
        <v>0</v>
      </c>
      <c r="E40" s="92">
        <f ca="1">IFERROR(D40/D16, "NA")</f>
        <v>0</v>
      </c>
      <c r="F40" s="93">
        <f t="shared" ca="1" si="11"/>
        <v>0</v>
      </c>
      <c r="G40" s="92">
        <f ca="1">IFERROR(F40/F16, "NA")</f>
        <v>0</v>
      </c>
      <c r="H40" s="93">
        <f t="shared" ca="1" si="12"/>
        <v>7.6</v>
      </c>
      <c r="I40" s="92">
        <f ca="1">IFERROR(H40/H16, "NA")</f>
        <v>2.6139465743714229E-4</v>
      </c>
      <c r="J40" s="104">
        <f t="shared" ca="1" si="13"/>
        <v>3.05</v>
      </c>
      <c r="K40" s="92">
        <f ca="1">IFERROR(J40/J16, "NA")</f>
        <v>2.5645324655516022E-5</v>
      </c>
    </row>
    <row r="41" spans="1:13" ht="16.5" customHeight="1" x14ac:dyDescent="0.25">
      <c r="A41" s="95" t="s">
        <v>39</v>
      </c>
      <c r="B41" s="90">
        <f t="shared" ca="1" si="9"/>
        <v>458.88</v>
      </c>
      <c r="C41" s="89">
        <f ca="1">IFERROR(B41/B16, "NA")</f>
        <v>1.0535731669461623E-2</v>
      </c>
      <c r="D41" s="90">
        <f t="shared" ca="1" si="10"/>
        <v>310.22000000000003</v>
      </c>
      <c r="E41" s="89">
        <f ca="1">IFERROR(D41/D16, "NA")</f>
        <v>1.2663974010726537E-2</v>
      </c>
      <c r="F41" s="90">
        <f t="shared" ca="1" si="11"/>
        <v>220.27</v>
      </c>
      <c r="G41" s="89">
        <f ca="1">IFERROR(F41/F16, "NA")</f>
        <v>1.0102112651833237E-2</v>
      </c>
      <c r="H41" s="90">
        <f t="shared" ca="1" si="12"/>
        <v>-50.920000000000009</v>
      </c>
      <c r="I41" s="89">
        <f ca="1">IFERROR(H41/H16, "NA")</f>
        <v>-1.7513442048288537E-3</v>
      </c>
      <c r="J41" s="104">
        <f t="shared" ca="1" si="13"/>
        <v>938.45</v>
      </c>
      <c r="K41" s="89">
        <f ca="1">IFERROR(J41/J16, "NA")</f>
        <v>7.8907721058914804E-3</v>
      </c>
    </row>
    <row r="42" spans="1:13" ht="16.5" customHeight="1" x14ac:dyDescent="0.25">
      <c r="A42" s="91" t="s">
        <v>40</v>
      </c>
      <c r="B42" s="90">
        <f t="shared" ca="1" si="9"/>
        <v>8876.81</v>
      </c>
      <c r="C42" s="89">
        <f ca="1">IFERROR(B42/B16, "NA")</f>
        <v>0.20380859536435153</v>
      </c>
      <c r="D42" s="90">
        <f t="shared" ca="1" si="10"/>
        <v>5113.5099999999993</v>
      </c>
      <c r="E42" s="89">
        <f ca="1">IFERROR(D42/D16, "NA")</f>
        <v>0.20874655967890607</v>
      </c>
      <c r="F42" s="90">
        <f t="shared" ca="1" si="11"/>
        <v>5131.3100000000004</v>
      </c>
      <c r="G42" s="89">
        <f ca="1">IFERROR(F42/F16, "NA")</f>
        <v>0.23533423376528081</v>
      </c>
      <c r="H42" s="90">
        <f t="shared" ca="1" si="12"/>
        <v>6462.5999999999995</v>
      </c>
      <c r="I42" s="89">
        <f ca="1">IFERROR(H42/H16, "NA")</f>
        <v>0.22227488330964154</v>
      </c>
      <c r="J42" s="90">
        <f t="shared" ca="1" si="13"/>
        <v>25584.229999999996</v>
      </c>
      <c r="K42" s="89">
        <f ca="1">IFERROR(J42/J16, "NA")</f>
        <v>0.21511996210209594</v>
      </c>
    </row>
    <row r="43" spans="1:13" ht="16.5" customHeight="1" x14ac:dyDescent="0.25">
      <c r="A43" s="100" t="s">
        <v>41</v>
      </c>
      <c r="B43" s="98"/>
      <c r="C43" s="97"/>
      <c r="D43" s="98"/>
      <c r="E43" s="97"/>
      <c r="F43" s="98"/>
      <c r="G43" s="97"/>
      <c r="H43" s="98"/>
      <c r="I43" s="97"/>
      <c r="J43" s="98"/>
      <c r="K43" s="97"/>
    </row>
    <row r="44" spans="1:13" ht="16.5" hidden="1" customHeight="1" x14ac:dyDescent="0.25">
      <c r="A44" s="94" t="s">
        <v>42</v>
      </c>
      <c r="B44" s="93"/>
      <c r="C44" s="92"/>
      <c r="D44" s="93"/>
      <c r="E44" s="92"/>
      <c r="F44" s="93"/>
      <c r="G44" s="92"/>
      <c r="H44" s="93"/>
      <c r="I44" s="92"/>
      <c r="J44" s="93"/>
      <c r="K44" s="92"/>
    </row>
    <row r="45" spans="1:13" ht="16.5" customHeight="1" x14ac:dyDescent="0.25">
      <c r="A45" s="99" t="s">
        <v>43</v>
      </c>
      <c r="B45" s="98"/>
      <c r="C45" s="97"/>
      <c r="D45" s="98"/>
      <c r="E45" s="97"/>
      <c r="F45" s="98"/>
      <c r="G45" s="97"/>
      <c r="H45" s="98"/>
      <c r="I45" s="97"/>
      <c r="J45" s="98"/>
      <c r="K45" s="97"/>
    </row>
    <row r="46" spans="1:13" ht="16.5" hidden="1" customHeight="1" x14ac:dyDescent="0.25">
      <c r="A46" s="96" t="s">
        <v>44</v>
      </c>
      <c r="B46" s="93">
        <f t="shared" ref="B46:B51" ca="1" si="14">INDEX(INDIRECT("'"&amp;B$4&amp;"'!$1:$1048576"),MATCH($A46,INDIRECT("'"&amp;B$4&amp;"'!$A:$A"),0),MATCH($A$2,INDIRECT("'"&amp;B$4&amp;"'!$5:$5"),0))</f>
        <v>0</v>
      </c>
      <c r="C46" s="92">
        <f ca="1">IFERROR(B46/B16, "NA")</f>
        <v>0</v>
      </c>
      <c r="D46" s="93">
        <f t="shared" ref="D46:D51" ca="1" si="15">INDEX(INDIRECT("'"&amp;D$4&amp;"'!$1:$1048576"),MATCH($A46,INDIRECT("'"&amp;D$4&amp;"'!$A:$A"),0),MATCH($A$2,INDIRECT("'"&amp;D$4&amp;"'!$5:$5"),0))</f>
        <v>0</v>
      </c>
      <c r="E46" s="92">
        <f ca="1">IFERROR(D46/D16, "NA")</f>
        <v>0</v>
      </c>
      <c r="F46" s="93">
        <f t="shared" ref="F46:F51" ca="1" si="16">INDEX(INDIRECT("'"&amp;F$4&amp;"'!$1:$1048576"),MATCH($A46,INDIRECT("'"&amp;F$4&amp;"'!$A:$A"),0),MATCH($A$2,INDIRECT("'"&amp;F$4&amp;"'!$5:$5"),0))</f>
        <v>0</v>
      </c>
      <c r="G46" s="92">
        <f ca="1">IFERROR(F46/F16, "NA")</f>
        <v>0</v>
      </c>
      <c r="H46" s="93">
        <f t="shared" ref="H46:H51" ca="1" si="17">INDEX(INDIRECT("'"&amp;H$4&amp;"'!$1:$1048576"),MATCH($A46,INDIRECT("'"&amp;H$4&amp;"'!$A:$A"),0),MATCH($A$2,INDIRECT("'"&amp;H$4&amp;"'!$5:$5"),0))</f>
        <v>0</v>
      </c>
      <c r="I46" s="92">
        <f ca="1">IFERROR(H46/H16, "NA")</f>
        <v>0</v>
      </c>
      <c r="J46" s="93"/>
      <c r="K46" s="92">
        <f ca="1">IFERROR(J46/J16, "NA")</f>
        <v>0</v>
      </c>
    </row>
    <row r="47" spans="1:13" ht="16.5" customHeight="1" x14ac:dyDescent="0.25">
      <c r="A47" s="96" t="s">
        <v>45</v>
      </c>
      <c r="B47" s="93">
        <f t="shared" ca="1" si="14"/>
        <v>898.86</v>
      </c>
      <c r="C47" s="92">
        <f ca="1">IFERROR(B47/B16, "NA")</f>
        <v>2.0637525645947251E-2</v>
      </c>
      <c r="D47" s="93">
        <f t="shared" ca="1" si="15"/>
        <v>534.9</v>
      </c>
      <c r="E47" s="92">
        <f ca="1">IFERROR(D47/D16, "NA")</f>
        <v>2.1835986391391993E-2</v>
      </c>
      <c r="F47" s="93">
        <f t="shared" ca="1" si="16"/>
        <v>537.76</v>
      </c>
      <c r="G47" s="92">
        <f ca="1">IFERROR(F47/F16, "NA")</f>
        <v>2.4662968627819679E-2</v>
      </c>
      <c r="H47" s="93">
        <f t="shared" ca="1" si="17"/>
        <v>854.3</v>
      </c>
      <c r="I47" s="92">
        <f ca="1">IFERROR(H47/H16, "NA")</f>
        <v>2.9382823137967192E-2</v>
      </c>
      <c r="J47" s="104">
        <f ca="1">+H47+F47+D47+B47</f>
        <v>2825.82</v>
      </c>
      <c r="K47" s="92">
        <f ca="1">IFERROR(J47/J16, "NA")</f>
        <v>2.3760351251819769E-2</v>
      </c>
    </row>
    <row r="48" spans="1:13" ht="16.5" customHeight="1" x14ac:dyDescent="0.25">
      <c r="A48" s="96" t="s">
        <v>46</v>
      </c>
      <c r="B48" s="93">
        <f t="shared" ca="1" si="14"/>
        <v>667.43</v>
      </c>
      <c r="C48" s="92">
        <f ca="1">IFERROR(B48/B16, "NA")</f>
        <v>1.5323970075289337E-2</v>
      </c>
      <c r="D48" s="93">
        <f t="shared" ca="1" si="15"/>
        <v>320.32</v>
      </c>
      <c r="E48" s="92">
        <f ca="1">IFERROR(D48/D16, "NA")</f>
        <v>1.3076281848739359E-2</v>
      </c>
      <c r="F48" s="93">
        <f t="shared" ca="1" si="16"/>
        <v>358.59</v>
      </c>
      <c r="G48" s="92">
        <f ca="1">IFERROR(F48/F16, "NA")</f>
        <v>1.6445800952562217E-2</v>
      </c>
      <c r="H48" s="93">
        <f t="shared" ca="1" si="17"/>
        <v>164.81</v>
      </c>
      <c r="I48" s="92">
        <f ca="1">IFERROR(H48/H16, "NA")</f>
        <v>5.6684807226599241E-3</v>
      </c>
      <c r="J48" s="104">
        <f ca="1">+H48+F48+D48+B48</f>
        <v>1511.15</v>
      </c>
      <c r="K48" s="92">
        <f ca="1">IFERROR(J48/J16, "NA")</f>
        <v>1.2706207328912473E-2</v>
      </c>
    </row>
    <row r="49" spans="1:11" ht="16.5" hidden="1" customHeight="1" x14ac:dyDescent="0.25">
      <c r="A49" s="96" t="s">
        <v>47</v>
      </c>
      <c r="B49" s="93">
        <f t="shared" ca="1" si="14"/>
        <v>0</v>
      </c>
      <c r="C49" s="92">
        <f ca="1">IFERROR(B49/B16, "NA")</f>
        <v>0</v>
      </c>
      <c r="D49" s="93">
        <f t="shared" ca="1" si="15"/>
        <v>0</v>
      </c>
      <c r="E49" s="92">
        <f ca="1">IFERROR(D49/D16, "NA")</f>
        <v>0</v>
      </c>
      <c r="F49" s="93">
        <f t="shared" ca="1" si="16"/>
        <v>0</v>
      </c>
      <c r="G49" s="92">
        <f ca="1">IFERROR(F49/F16, "NA")</f>
        <v>0</v>
      </c>
      <c r="H49" s="93">
        <f t="shared" ca="1" si="17"/>
        <v>0</v>
      </c>
      <c r="I49" s="92">
        <f ca="1">IFERROR(H49/H16, "NA")</f>
        <v>0</v>
      </c>
      <c r="J49" s="90">
        <f ca="1">+H49+F49+D49+B49</f>
        <v>0</v>
      </c>
      <c r="K49" s="92">
        <f ca="1">IFERROR(J49/J16, "NA")</f>
        <v>0</v>
      </c>
    </row>
    <row r="50" spans="1:11" ht="16.5" hidden="1" customHeight="1" x14ac:dyDescent="0.25">
      <c r="A50" s="96" t="s">
        <v>48</v>
      </c>
      <c r="B50" s="93">
        <f t="shared" ca="1" si="14"/>
        <v>0</v>
      </c>
      <c r="C50" s="92">
        <f ca="1">IFERROR(B50/B16, "NA")</f>
        <v>0</v>
      </c>
      <c r="D50" s="93">
        <f t="shared" ca="1" si="15"/>
        <v>0</v>
      </c>
      <c r="E50" s="92">
        <f ca="1">IFERROR(D50/D16, "NA")</f>
        <v>0</v>
      </c>
      <c r="F50" s="93">
        <f t="shared" ca="1" si="16"/>
        <v>0</v>
      </c>
      <c r="G50" s="92">
        <f ca="1">IFERROR(F50/F16, "NA")</f>
        <v>0</v>
      </c>
      <c r="H50" s="93">
        <f t="shared" ca="1" si="17"/>
        <v>0</v>
      </c>
      <c r="I50" s="92">
        <f ca="1">IFERROR(H50/H16, "NA")</f>
        <v>0</v>
      </c>
      <c r="J50" s="90">
        <f ca="1">+H50+F50+D50+B50</f>
        <v>0</v>
      </c>
      <c r="K50" s="92">
        <f ca="1">IFERROR(J50/J16, "NA")</f>
        <v>0</v>
      </c>
    </row>
    <row r="51" spans="1:11" ht="16.5" customHeight="1" x14ac:dyDescent="0.25">
      <c r="A51" s="95" t="s">
        <v>49</v>
      </c>
      <c r="B51" s="90">
        <f t="shared" ca="1" si="14"/>
        <v>1566.29</v>
      </c>
      <c r="C51" s="89">
        <f ca="1">IFERROR(B51/B16, "NA")</f>
        <v>3.5961495721236587E-2</v>
      </c>
      <c r="D51" s="90">
        <f t="shared" ca="1" si="15"/>
        <v>855.22</v>
      </c>
      <c r="E51" s="89">
        <f ca="1">IFERROR(D51/D16, "NA")</f>
        <v>3.4912268240131356E-2</v>
      </c>
      <c r="F51" s="90">
        <f t="shared" ca="1" si="16"/>
        <v>896.34999999999991</v>
      </c>
      <c r="G51" s="89">
        <f ca="1">IFERROR(F51/F16, "NA")</f>
        <v>4.1108769580381892E-2</v>
      </c>
      <c r="H51" s="90">
        <f t="shared" ca="1" si="17"/>
        <v>1019.1099999999999</v>
      </c>
      <c r="I51" s="89">
        <f ca="1">IFERROR(H51/H16, "NA")</f>
        <v>3.5051303860627117E-2</v>
      </c>
      <c r="J51" s="90">
        <f ca="1">+H51+F51+D51+B51</f>
        <v>4336.9699999999993</v>
      </c>
      <c r="K51" s="89">
        <f ca="1">IFERROR(J51/J16, "NA")</f>
        <v>3.6466558580732236E-2</v>
      </c>
    </row>
    <row r="52" spans="1:11" ht="16.5" customHeight="1" x14ac:dyDescent="0.25">
      <c r="A52" s="99" t="s">
        <v>50</v>
      </c>
      <c r="B52" s="98"/>
      <c r="C52" s="97"/>
      <c r="D52" s="98"/>
      <c r="E52" s="97"/>
      <c r="F52" s="98"/>
      <c r="G52" s="97"/>
      <c r="H52" s="98"/>
      <c r="I52" s="97"/>
      <c r="J52" s="98"/>
      <c r="K52" s="97"/>
    </row>
    <row r="53" spans="1:11" ht="16.5" hidden="1" customHeight="1" x14ac:dyDescent="0.25">
      <c r="A53" s="96" t="s">
        <v>51</v>
      </c>
      <c r="B53" s="93">
        <f t="shared" ref="B53:B64" ca="1" si="18">INDEX(INDIRECT("'"&amp;B$4&amp;"'!$1:$1048576"),MATCH($A53,INDIRECT("'"&amp;B$4&amp;"'!$A:$A"),0),MATCH($A$2,INDIRECT("'"&amp;B$4&amp;"'!$5:$5"),0))</f>
        <v>0</v>
      </c>
      <c r="C53" s="92">
        <f ca="1">IFERROR(B53/B16, "NA")</f>
        <v>0</v>
      </c>
      <c r="D53" s="93">
        <f t="shared" ref="D53:D64" ca="1" si="19">INDEX(INDIRECT("'"&amp;D$4&amp;"'!$1:$1048576"),MATCH($A53,INDIRECT("'"&amp;D$4&amp;"'!$A:$A"),0),MATCH($A$2,INDIRECT("'"&amp;D$4&amp;"'!$5:$5"),0))</f>
        <v>0</v>
      </c>
      <c r="E53" s="92">
        <f ca="1">IFERROR(D53/D16, "NA")</f>
        <v>0</v>
      </c>
      <c r="F53" s="93">
        <f t="shared" ref="F53:F64" ca="1" si="20">INDEX(INDIRECT("'"&amp;F$4&amp;"'!$1:$1048576"),MATCH($A53,INDIRECT("'"&amp;F$4&amp;"'!$A:$A"),0),MATCH($A$2,INDIRECT("'"&amp;F$4&amp;"'!$5:$5"),0))</f>
        <v>0</v>
      </c>
      <c r="G53" s="92">
        <f ca="1">IFERROR(F53/F16, "NA")</f>
        <v>0</v>
      </c>
      <c r="H53" s="93">
        <f t="shared" ref="H53:H64" ca="1" si="21">INDEX(INDIRECT("'"&amp;H$4&amp;"'!$1:$1048576"),MATCH($A53,INDIRECT("'"&amp;H$4&amp;"'!$A:$A"),0),MATCH($A$2,INDIRECT("'"&amp;H$4&amp;"'!$5:$5"),0))</f>
        <v>0</v>
      </c>
      <c r="I53" s="92">
        <f ca="1">IFERROR(H53/H16, "NA")</f>
        <v>0</v>
      </c>
      <c r="J53" s="93"/>
      <c r="K53" s="92">
        <f ca="1">IFERROR(J53/J16, "NA")</f>
        <v>0</v>
      </c>
    </row>
    <row r="54" spans="1:11" ht="16.5" customHeight="1" x14ac:dyDescent="0.25">
      <c r="A54" s="96" t="s">
        <v>52</v>
      </c>
      <c r="B54" s="93">
        <f t="shared" ca="1" si="18"/>
        <v>79.819999999999993</v>
      </c>
      <c r="C54" s="92">
        <f ca="1">IFERROR(B54/B16, "NA")</f>
        <v>1.8326405636689912E-3</v>
      </c>
      <c r="D54" s="98">
        <f t="shared" ca="1" si="19"/>
        <v>64.97</v>
      </c>
      <c r="E54" s="89">
        <f ca="1">IFERROR(D54/D16, "NA")</f>
        <v>2.6522416074943687E-3</v>
      </c>
      <c r="F54" s="93">
        <f t="shared" ca="1" si="20"/>
        <v>31.25</v>
      </c>
      <c r="G54" s="92">
        <f ca="1">IFERROR(F54/F16, "NA")</f>
        <v>1.4332002559122377E-3</v>
      </c>
      <c r="H54" s="93">
        <f t="shared" ca="1" si="21"/>
        <v>179.94</v>
      </c>
      <c r="I54" s="92">
        <f ca="1">IFERROR(H54/H16, "NA")</f>
        <v>6.1888624551630772E-3</v>
      </c>
      <c r="J54" s="90">
        <f t="shared" ref="J54:J64" ca="1" si="22">+H54+F54+D54+B54</f>
        <v>355.97999999999996</v>
      </c>
      <c r="K54" s="92">
        <f ca="1">IFERROR(J54/J16, "NA")</f>
        <v>2.9931877609411781E-3</v>
      </c>
    </row>
    <row r="55" spans="1:11" ht="16.5" hidden="1" customHeight="1" x14ac:dyDescent="0.25">
      <c r="A55" s="96" t="s">
        <v>53</v>
      </c>
      <c r="B55" s="93">
        <f t="shared" ca="1" si="18"/>
        <v>0</v>
      </c>
      <c r="C55" s="92">
        <f ca="1">IFERROR(B55/B16, "NA")</f>
        <v>0</v>
      </c>
      <c r="D55" s="93">
        <f t="shared" ca="1" si="19"/>
        <v>0</v>
      </c>
      <c r="E55" s="92">
        <f ca="1">IFERROR(D55/D16, "NA")</f>
        <v>0</v>
      </c>
      <c r="F55" s="93">
        <f t="shared" ca="1" si="20"/>
        <v>0</v>
      </c>
      <c r="G55" s="92">
        <f ca="1">IFERROR(F55/F16, "NA")</f>
        <v>0</v>
      </c>
      <c r="H55" s="93">
        <f t="shared" ca="1" si="21"/>
        <v>0</v>
      </c>
      <c r="I55" s="92">
        <f ca="1">IFERROR(H55/H16, "NA")</f>
        <v>0</v>
      </c>
      <c r="J55" s="90">
        <f t="shared" ca="1" si="22"/>
        <v>0</v>
      </c>
      <c r="K55" s="92">
        <f ca="1">IFERROR(J55/J16, "NA")</f>
        <v>0</v>
      </c>
    </row>
    <row r="56" spans="1:11" ht="16.5" hidden="1" customHeight="1" x14ac:dyDescent="0.25">
      <c r="A56" s="96" t="s">
        <v>54</v>
      </c>
      <c r="B56" s="93">
        <f t="shared" ca="1" si="18"/>
        <v>0</v>
      </c>
      <c r="C56" s="92">
        <f ca="1">IFERROR(B56/B16, "NA")</f>
        <v>0</v>
      </c>
      <c r="D56" s="93">
        <f t="shared" ca="1" si="19"/>
        <v>0</v>
      </c>
      <c r="E56" s="92">
        <f ca="1">IFERROR(D56/D16, "NA")</f>
        <v>0</v>
      </c>
      <c r="F56" s="93">
        <f t="shared" ca="1" si="20"/>
        <v>0</v>
      </c>
      <c r="G56" s="92">
        <f ca="1">IFERROR(F56/F16, "NA")</f>
        <v>0</v>
      </c>
      <c r="H56" s="93">
        <f t="shared" ca="1" si="21"/>
        <v>0</v>
      </c>
      <c r="I56" s="92">
        <f ca="1">IFERROR(H56/H16, "NA")</f>
        <v>0</v>
      </c>
      <c r="J56" s="90">
        <f t="shared" ca="1" si="22"/>
        <v>0</v>
      </c>
      <c r="K56" s="92">
        <f ca="1">IFERROR(J56/J16, "NA")</f>
        <v>0</v>
      </c>
    </row>
    <row r="57" spans="1:11" ht="16.5" hidden="1" customHeight="1" x14ac:dyDescent="0.25">
      <c r="A57" s="96" t="s">
        <v>55</v>
      </c>
      <c r="B57" s="93">
        <f t="shared" ca="1" si="18"/>
        <v>0</v>
      </c>
      <c r="C57" s="92">
        <f ca="1">IFERROR(B57/B16, "NA")</f>
        <v>0</v>
      </c>
      <c r="D57" s="93">
        <f t="shared" ca="1" si="19"/>
        <v>0</v>
      </c>
      <c r="E57" s="92">
        <f ca="1">IFERROR(D57/D16, "NA")</f>
        <v>0</v>
      </c>
      <c r="F57" s="93">
        <f t="shared" ca="1" si="20"/>
        <v>0</v>
      </c>
      <c r="G57" s="92">
        <f ca="1">IFERROR(F57/F16, "NA")</f>
        <v>0</v>
      </c>
      <c r="H57" s="93">
        <f t="shared" ca="1" si="21"/>
        <v>0</v>
      </c>
      <c r="I57" s="92">
        <f ca="1">IFERROR(H57/H16, "NA")</f>
        <v>0</v>
      </c>
      <c r="J57" s="90">
        <f t="shared" ca="1" si="22"/>
        <v>0</v>
      </c>
      <c r="K57" s="92">
        <f ca="1">IFERROR(J57/J16, "NA")</f>
        <v>0</v>
      </c>
    </row>
    <row r="58" spans="1:11" ht="16.5" hidden="1" customHeight="1" x14ac:dyDescent="0.25">
      <c r="A58" s="96" t="s">
        <v>56</v>
      </c>
      <c r="B58" s="93">
        <f t="shared" ca="1" si="18"/>
        <v>0</v>
      </c>
      <c r="C58" s="92">
        <f ca="1">IFERROR(B58/B16, "NA")</f>
        <v>0</v>
      </c>
      <c r="D58" s="93">
        <f t="shared" ca="1" si="19"/>
        <v>0</v>
      </c>
      <c r="E58" s="92">
        <f ca="1">IFERROR(D58/D16, "NA")</f>
        <v>0</v>
      </c>
      <c r="F58" s="93">
        <f t="shared" ca="1" si="20"/>
        <v>0</v>
      </c>
      <c r="G58" s="92">
        <f ca="1">IFERROR(F58/F16, "NA")</f>
        <v>0</v>
      </c>
      <c r="H58" s="93">
        <f t="shared" ca="1" si="21"/>
        <v>0</v>
      </c>
      <c r="I58" s="92">
        <f ca="1">IFERROR(H58/H16, "NA")</f>
        <v>0</v>
      </c>
      <c r="J58" s="90">
        <f t="shared" ca="1" si="22"/>
        <v>0</v>
      </c>
      <c r="K58" s="92">
        <f ca="1">IFERROR(J58/J16, "NA")</f>
        <v>0</v>
      </c>
    </row>
    <row r="59" spans="1:11" ht="16.5" customHeight="1" x14ac:dyDescent="0.25">
      <c r="A59" s="95" t="s">
        <v>57</v>
      </c>
      <c r="B59" s="90">
        <f t="shared" ca="1" si="18"/>
        <v>79.819999999999993</v>
      </c>
      <c r="C59" s="89">
        <f ca="1">IFERROR(B59/B16, "NA")</f>
        <v>1.8326405636689912E-3</v>
      </c>
      <c r="D59" s="90">
        <f t="shared" ca="1" si="19"/>
        <v>64.97</v>
      </c>
      <c r="E59" s="89">
        <f ca="1">IFERROR(D59/D16, "NA")</f>
        <v>2.6522416074943687E-3</v>
      </c>
      <c r="F59" s="90">
        <f t="shared" ca="1" si="20"/>
        <v>31.25</v>
      </c>
      <c r="G59" s="89">
        <f ca="1">IFERROR(F59/F16, "NA")</f>
        <v>1.4332002559122377E-3</v>
      </c>
      <c r="H59" s="90">
        <f t="shared" ca="1" si="21"/>
        <v>179.94</v>
      </c>
      <c r="I59" s="89">
        <f ca="1">IFERROR(H59/H16, "NA")</f>
        <v>6.1888624551630772E-3</v>
      </c>
      <c r="J59" s="90">
        <f t="shared" ca="1" si="22"/>
        <v>355.97999999999996</v>
      </c>
      <c r="K59" s="89">
        <f ca="1">IFERROR(J59/J16, "NA")</f>
        <v>2.9931877609411781E-3</v>
      </c>
    </row>
    <row r="60" spans="1:11" ht="21" customHeight="1" x14ac:dyDescent="0.25">
      <c r="A60" s="94" t="s">
        <v>58</v>
      </c>
      <c r="B60" s="93">
        <f t="shared" ca="1" si="18"/>
        <v>62.08</v>
      </c>
      <c r="C60" s="92">
        <f ca="1">IFERROR(B60/B16, "NA")</f>
        <v>1.4253360835952266E-3</v>
      </c>
      <c r="D60" s="93">
        <f t="shared" ca="1" si="19"/>
        <v>100.56</v>
      </c>
      <c r="E60" s="92">
        <f ca="1">IFERROR(D60/D16, "NA")</f>
        <v>4.1051164545118316E-3</v>
      </c>
      <c r="F60" s="93">
        <f t="shared" ca="1" si="20"/>
        <v>41.8</v>
      </c>
      <c r="G60" s="92">
        <f ca="1">IFERROR(F60/F16, "NA")</f>
        <v>1.9170486623082091E-3</v>
      </c>
      <c r="H60" s="93">
        <f t="shared" ca="1" si="21"/>
        <v>41.33</v>
      </c>
      <c r="I60" s="92">
        <f ca="1">IFERROR(H60/H16, "NA")</f>
        <v>1.4215054199838279E-3</v>
      </c>
      <c r="J60" s="104">
        <f t="shared" ca="1" si="22"/>
        <v>245.76999999999998</v>
      </c>
      <c r="K60" s="92">
        <f ca="1">IFERROR(J60/J16, "NA")</f>
        <v>2.0665086690446468E-3</v>
      </c>
    </row>
    <row r="61" spans="1:11" ht="16.5" customHeight="1" x14ac:dyDescent="0.25">
      <c r="A61" s="94" t="s">
        <v>59</v>
      </c>
      <c r="B61" s="93">
        <f t="shared" ca="1" si="18"/>
        <v>39.25</v>
      </c>
      <c r="C61" s="92">
        <f ca="1">IFERROR(B61/B16, "NA")</f>
        <v>9.011669020797784E-4</v>
      </c>
      <c r="D61" s="93">
        <f t="shared" ca="1" si="19"/>
        <v>34.25</v>
      </c>
      <c r="E61" s="92">
        <f ca="1">IFERROR(D61/D16, "NA")</f>
        <v>1.3981726190038807E-3</v>
      </c>
      <c r="F61" s="93">
        <f t="shared" ca="1" si="20"/>
        <v>36.25</v>
      </c>
      <c r="G61" s="92">
        <f ca="1">IFERROR(F61/F16, "NA")</f>
        <v>1.6625122968581959E-3</v>
      </c>
      <c r="H61" s="93">
        <f t="shared" ca="1" si="21"/>
        <v>52.5</v>
      </c>
      <c r="I61" s="92">
        <f ca="1">IFERROR(H61/H16, "NA")</f>
        <v>1.8056867783486804E-3</v>
      </c>
      <c r="J61" s="104">
        <f t="shared" ca="1" si="22"/>
        <v>162.25</v>
      </c>
      <c r="K61" s="92">
        <f ca="1">IFERROR(J61/J16, "NA")</f>
        <v>1.364247188641795E-3</v>
      </c>
    </row>
    <row r="62" spans="1:11" ht="39" customHeight="1" x14ac:dyDescent="0.25">
      <c r="A62" s="105" t="s">
        <v>60</v>
      </c>
      <c r="B62" s="93">
        <f t="shared" ca="1" si="18"/>
        <v>0</v>
      </c>
      <c r="C62" s="92">
        <f ca="1">IFERROR(B62/B16, "NA")</f>
        <v>0</v>
      </c>
      <c r="D62" s="93">
        <f t="shared" ca="1" si="19"/>
        <v>0</v>
      </c>
      <c r="E62" s="92">
        <f ca="1">IFERROR(D62/D16, "NA")</f>
        <v>0</v>
      </c>
      <c r="F62" s="93">
        <f t="shared" ca="1" si="20"/>
        <v>0</v>
      </c>
      <c r="G62" s="92">
        <f ca="1">IFERROR(F62/F16, "NA")</f>
        <v>0</v>
      </c>
      <c r="H62" s="93">
        <f t="shared" ca="1" si="21"/>
        <v>0</v>
      </c>
      <c r="I62" s="92">
        <f ca="1">IFERROR(H62/H16, "NA")</f>
        <v>0</v>
      </c>
      <c r="J62" s="104">
        <f t="shared" ca="1" si="22"/>
        <v>0</v>
      </c>
      <c r="K62" s="92">
        <f ca="1">IFERROR(J62/J16, "NA")</f>
        <v>0</v>
      </c>
    </row>
    <row r="63" spans="1:11" ht="16.5" customHeight="1" x14ac:dyDescent="0.25">
      <c r="A63" s="91" t="s">
        <v>61</v>
      </c>
      <c r="B63" s="90">
        <f t="shared" ca="1" si="18"/>
        <v>1747.4399999999998</v>
      </c>
      <c r="C63" s="89">
        <f ca="1">IFERROR(B63/B16, "NA")</f>
        <v>4.0120639270580585E-2</v>
      </c>
      <c r="D63" s="90">
        <f t="shared" ca="1" si="19"/>
        <v>1055</v>
      </c>
      <c r="E63" s="89">
        <f ca="1">IFERROR(D63/D16, "NA")</f>
        <v>4.3067798921141431E-2</v>
      </c>
      <c r="F63" s="90">
        <f t="shared" ca="1" si="20"/>
        <v>1005.6499999999999</v>
      </c>
      <c r="G63" s="89">
        <f ca="1">IFERROR(F63/F16, "NA")</f>
        <v>4.6121530795460539E-2</v>
      </c>
      <c r="H63" s="90">
        <f t="shared" ca="1" si="21"/>
        <v>1292.8799999999999</v>
      </c>
      <c r="I63" s="89">
        <f ca="1">IFERROR(H63/H16, "NA")</f>
        <v>4.4467358514122701E-2</v>
      </c>
      <c r="J63" s="90">
        <f t="shared" ca="1" si="22"/>
        <v>5100.9699999999993</v>
      </c>
      <c r="K63" s="89">
        <f ca="1">IFERROR(J63/J16, "NA")</f>
        <v>4.2890502199359852E-2</v>
      </c>
    </row>
    <row r="64" spans="1:11" ht="16.5" customHeight="1" x14ac:dyDescent="0.25">
      <c r="A64" s="88" t="s">
        <v>62</v>
      </c>
      <c r="B64" s="86">
        <f t="shared" ca="1" si="18"/>
        <v>10624.25</v>
      </c>
      <c r="C64" s="87">
        <f ca="1">IFERROR(B64/B16, "NA")</f>
        <v>0.24392923463493213</v>
      </c>
      <c r="D64" s="86">
        <f t="shared" ca="1" si="19"/>
        <v>6168.5099999999993</v>
      </c>
      <c r="E64" s="87">
        <f ca="1">IFERROR(D64/D16, "NA")</f>
        <v>0.25181435860004753</v>
      </c>
      <c r="F64" s="86">
        <f t="shared" ca="1" si="20"/>
        <v>6136.9600000000009</v>
      </c>
      <c r="G64" s="87">
        <f ca="1">IFERROR(F64/F16, "NA")</f>
        <v>0.28145576456074139</v>
      </c>
      <c r="H64" s="86">
        <f t="shared" ca="1" si="21"/>
        <v>7755.48</v>
      </c>
      <c r="I64" s="87">
        <f ca="1">IFERROR(H64/H16, "NA")</f>
        <v>0.26674224182376427</v>
      </c>
      <c r="J64" s="86">
        <f t="shared" ca="1" si="22"/>
        <v>30685.200000000001</v>
      </c>
      <c r="K64" s="85">
        <f ca="1">IFERROR(J64/J16, "NA")</f>
        <v>0.25801046430145586</v>
      </c>
    </row>
    <row r="65" spans="1:11" ht="3.75" customHeight="1" x14ac:dyDescent="0.25">
      <c r="A65" s="103" t="s">
        <v>2</v>
      </c>
      <c r="B65" s="102"/>
      <c r="C65" s="79"/>
      <c r="D65" s="102"/>
      <c r="E65" s="79"/>
      <c r="F65" s="102"/>
      <c r="G65" s="79"/>
      <c r="H65" s="102"/>
      <c r="I65" s="79"/>
      <c r="J65" s="102"/>
      <c r="K65" s="79"/>
    </row>
    <row r="66" spans="1:11" ht="16.5" customHeight="1" x14ac:dyDescent="0.25">
      <c r="A66" s="48" t="s">
        <v>63</v>
      </c>
      <c r="B66" s="83">
        <f ca="1">INDEX(INDIRECT("'"&amp;B$4&amp;"'!$1:$1048576"),MATCH($A66,INDIRECT("'"&amp;B$4&amp;"'!$A:$A"),0),MATCH($A$2,INDIRECT("'"&amp;B$4&amp;"'!$5:$5"),0))</f>
        <v>32930.39</v>
      </c>
      <c r="C66" s="84">
        <f ca="1">IFERROR(B66/B16, "NA")</f>
        <v>0.7560707653650679</v>
      </c>
      <c r="D66" s="83">
        <f ca="1">INDEX(INDIRECT("'"&amp;D$4&amp;"'!$1:$1048576"),MATCH($A66,INDIRECT("'"&amp;D$4&amp;"'!$A:$A"),0),MATCH($A$2,INDIRECT("'"&amp;D$4&amp;"'!$5:$5"),0))</f>
        <v>18327.75</v>
      </c>
      <c r="E66" s="84">
        <f ca="1">IFERROR(D66/D16, "NA")</f>
        <v>0.74818564139995258</v>
      </c>
      <c r="F66" s="83">
        <f ca="1">INDEX(INDIRECT("'"&amp;F$4&amp;"'!$1:$1048576"),MATCH($A66,INDIRECT("'"&amp;F$4&amp;"'!$A:$A"),0),MATCH($A$2,INDIRECT("'"&amp;F$4&amp;"'!$5:$5"),0))</f>
        <v>15667.389999999998</v>
      </c>
      <c r="G66" s="84">
        <f ca="1">IFERROR(F66/F16, "NA")</f>
        <v>0.71854423543925861</v>
      </c>
      <c r="H66" s="83">
        <f ca="1">INDEX(INDIRECT("'"&amp;H$4&amp;"'!$1:$1048576"),MATCH($A66,INDIRECT("'"&amp;H$4&amp;"'!$A:$A"),0),MATCH($A$2,INDIRECT("'"&amp;H$4&amp;"'!$5:$5"),0))</f>
        <v>21319.33</v>
      </c>
      <c r="I66" s="84">
        <f ca="1">IFERROR(H66/H16, "NA")</f>
        <v>0.73325775817623573</v>
      </c>
      <c r="J66" s="90">
        <f ca="1">+H66+F66+D66+B66</f>
        <v>88244.86</v>
      </c>
      <c r="K66" s="84">
        <f ca="1">IFERROR(J66/J16, "NA")</f>
        <v>0.7419895356985442</v>
      </c>
    </row>
    <row r="67" spans="1:11" ht="3.75" customHeight="1" x14ac:dyDescent="0.25">
      <c r="A67" s="81" t="s">
        <v>2</v>
      </c>
      <c r="B67" s="80"/>
      <c r="C67" s="79"/>
      <c r="D67" s="80"/>
      <c r="E67" s="79"/>
      <c r="F67" s="80"/>
      <c r="G67" s="79"/>
      <c r="H67" s="80"/>
      <c r="I67" s="79"/>
      <c r="J67" s="80"/>
      <c r="K67" s="79"/>
    </row>
    <row r="68" spans="1:11" ht="16.5" customHeight="1" x14ac:dyDescent="0.25">
      <c r="A68" s="101" t="s">
        <v>64</v>
      </c>
      <c r="B68" s="98"/>
      <c r="C68" s="97"/>
      <c r="D68" s="98"/>
      <c r="E68" s="97"/>
      <c r="F68" s="98"/>
      <c r="G68" s="97"/>
      <c r="H68" s="98"/>
      <c r="I68" s="97"/>
      <c r="J68" s="98"/>
      <c r="K68" s="97"/>
    </row>
    <row r="69" spans="1:11" ht="16.5" customHeight="1" x14ac:dyDescent="0.25">
      <c r="A69" s="100" t="s">
        <v>64</v>
      </c>
      <c r="B69" s="98"/>
      <c r="C69" s="97"/>
      <c r="D69" s="98"/>
      <c r="E69" s="97"/>
      <c r="F69" s="98"/>
      <c r="G69" s="97"/>
      <c r="H69" s="98"/>
      <c r="I69" s="97"/>
      <c r="J69" s="98"/>
      <c r="K69" s="97"/>
    </row>
    <row r="70" spans="1:11" ht="16.5" hidden="1" customHeight="1" x14ac:dyDescent="0.25">
      <c r="A70" s="94" t="s">
        <v>65</v>
      </c>
      <c r="B70" s="93"/>
      <c r="C70" s="92"/>
      <c r="D70" s="93"/>
      <c r="E70" s="92"/>
      <c r="F70" s="93"/>
      <c r="G70" s="92"/>
      <c r="H70" s="93"/>
      <c r="I70" s="92"/>
      <c r="J70" s="93"/>
      <c r="K70" s="92"/>
    </row>
    <row r="71" spans="1:11" ht="16.5" customHeight="1" x14ac:dyDescent="0.25">
      <c r="A71" s="99" t="s">
        <v>66</v>
      </c>
      <c r="B71" s="98"/>
      <c r="C71" s="97"/>
      <c r="D71" s="98"/>
      <c r="E71" s="97"/>
      <c r="F71" s="98"/>
      <c r="G71" s="97"/>
      <c r="H71" s="98"/>
      <c r="I71" s="97"/>
      <c r="J71" s="98"/>
      <c r="K71" s="97"/>
    </row>
    <row r="72" spans="1:11" ht="16.5" hidden="1" customHeight="1" x14ac:dyDescent="0.25">
      <c r="A72" s="96" t="s">
        <v>67</v>
      </c>
      <c r="B72" s="93">
        <f t="shared" ref="B72:B79" ca="1" si="23">INDEX(INDIRECT("'"&amp;B$4&amp;"'!$1:$1048576"),MATCH($A72,INDIRECT("'"&amp;B$4&amp;"'!$A:$A"),0),MATCH($A$2,INDIRECT("'"&amp;B$4&amp;"'!$5:$5"),0))</f>
        <v>0</v>
      </c>
      <c r="C72" s="92">
        <f ca="1">IFERROR(B72/B16, "NA")</f>
        <v>0</v>
      </c>
      <c r="D72" s="93">
        <f t="shared" ref="D72:D79" ca="1" si="24">INDEX(INDIRECT("'"&amp;D$4&amp;"'!$1:$1048576"),MATCH($A72,INDIRECT("'"&amp;D$4&amp;"'!$A:$A"),0),MATCH($A$2,INDIRECT("'"&amp;D$4&amp;"'!$5:$5"),0))</f>
        <v>0</v>
      </c>
      <c r="E72" s="92">
        <f ca="1">IFERROR(D72/D16, "NA")</f>
        <v>0</v>
      </c>
      <c r="F72" s="93">
        <f t="shared" ref="F72:F79" ca="1" si="25">INDEX(INDIRECT("'"&amp;F$4&amp;"'!$1:$1048576"),MATCH($A72,INDIRECT("'"&amp;F$4&amp;"'!$A:$A"),0),MATCH($A$2,INDIRECT("'"&amp;F$4&amp;"'!$5:$5"),0))</f>
        <v>0</v>
      </c>
      <c r="G72" s="92">
        <f ca="1">IFERROR(F72/F16, "NA")</f>
        <v>0</v>
      </c>
      <c r="H72" s="93">
        <f t="shared" ref="H72:H79" ca="1" si="26">INDEX(INDIRECT("'"&amp;H$4&amp;"'!$1:$1048576"),MATCH($A72,INDIRECT("'"&amp;H$4&amp;"'!$A:$A"),0),MATCH($A$2,INDIRECT("'"&amp;H$4&amp;"'!$5:$5"),0))</f>
        <v>0</v>
      </c>
      <c r="I72" s="92">
        <f ca="1">IFERROR(H72/H16, "NA")</f>
        <v>0</v>
      </c>
      <c r="J72" s="93"/>
      <c r="K72" s="92">
        <f ca="1">IFERROR(J72/J16, "NA")</f>
        <v>0</v>
      </c>
    </row>
    <row r="73" spans="1:11" ht="16.5" customHeight="1" x14ac:dyDescent="0.25">
      <c r="A73" s="96" t="s">
        <v>68</v>
      </c>
      <c r="B73" s="93">
        <f t="shared" ca="1" si="23"/>
        <v>1326.92</v>
      </c>
      <c r="C73" s="92">
        <f ca="1">IFERROR(B73/B16, "NA")</f>
        <v>3.046564040019617E-2</v>
      </c>
      <c r="D73" s="93">
        <f t="shared" ca="1" si="24"/>
        <v>1410</v>
      </c>
      <c r="E73" s="92">
        <f ca="1">IFERROR(D73/D16, "NA")</f>
        <v>5.7559807088918884E-2</v>
      </c>
      <c r="F73" s="93">
        <f t="shared" ca="1" si="25"/>
        <v>1461.54</v>
      </c>
      <c r="G73" s="92">
        <f ca="1">IFERROR(F73/F16, "NA")</f>
        <v>6.7029744064831101E-2</v>
      </c>
      <c r="H73" s="93">
        <f t="shared" ca="1" si="26"/>
        <v>1298.08</v>
      </c>
      <c r="I73" s="92">
        <f ca="1">IFERROR(H73/H16, "NA")</f>
        <v>4.4646207490263906E-2</v>
      </c>
      <c r="J73" s="93">
        <f ca="1">+H73+F73+D73+B73</f>
        <v>5496.54</v>
      </c>
      <c r="K73" s="92">
        <f ca="1">IFERROR(J73/J16, "NA")</f>
        <v>4.6216574682632801E-2</v>
      </c>
    </row>
    <row r="74" spans="1:11" ht="16.5" hidden="1" customHeight="1" x14ac:dyDescent="0.25">
      <c r="A74" s="96" t="s">
        <v>69</v>
      </c>
      <c r="B74" s="93">
        <f t="shared" ca="1" si="23"/>
        <v>0</v>
      </c>
      <c r="C74" s="92">
        <f ca="1">IFERROR(B74/B16, "NA")</f>
        <v>0</v>
      </c>
      <c r="D74" s="93">
        <f t="shared" ca="1" si="24"/>
        <v>0</v>
      </c>
      <c r="E74" s="92">
        <f ca="1">IFERROR(D74/D16, "NA")</f>
        <v>0</v>
      </c>
      <c r="F74" s="93">
        <f t="shared" ca="1" si="25"/>
        <v>0</v>
      </c>
      <c r="G74" s="92">
        <f ca="1">IFERROR(F74/F16, "NA")</f>
        <v>0</v>
      </c>
      <c r="H74" s="93">
        <f t="shared" ca="1" si="26"/>
        <v>0</v>
      </c>
      <c r="I74" s="92">
        <f ca="1">IFERROR(H74/H16, "NA")</f>
        <v>0</v>
      </c>
      <c r="J74" s="93" t="e">
        <f ca="1">+H74+F74+D74+B74+#REF!</f>
        <v>#REF!</v>
      </c>
      <c r="K74" s="92" t="str">
        <f ca="1">IFERROR(J74/J16, "NA")</f>
        <v>NA</v>
      </c>
    </row>
    <row r="75" spans="1:11" ht="16.5" customHeight="1" x14ac:dyDescent="0.25">
      <c r="A75" s="96" t="s">
        <v>70</v>
      </c>
      <c r="B75" s="93">
        <f t="shared" ca="1" si="23"/>
        <v>7924.62</v>
      </c>
      <c r="C75" s="92">
        <f ca="1">IFERROR(B75/B16, "NA")</f>
        <v>0.18194663071489053</v>
      </c>
      <c r="D75" s="93">
        <f t="shared" ca="1" si="24"/>
        <v>5512.16</v>
      </c>
      <c r="E75" s="92">
        <f ca="1">IFERROR(D75/D16, "NA")</f>
        <v>0.22502047251294688</v>
      </c>
      <c r="F75" s="93">
        <f t="shared" ca="1" si="25"/>
        <v>3991.7</v>
      </c>
      <c r="G75" s="92">
        <f ca="1">IFERROR(F75/F16, "NA")</f>
        <v>0.18306897476879613</v>
      </c>
      <c r="H75" s="93">
        <f t="shared" ca="1" si="26"/>
        <v>6672.19</v>
      </c>
      <c r="I75" s="92">
        <f ca="1">IFERROR(H75/H16, "NA")</f>
        <v>0.22948352886914822</v>
      </c>
      <c r="J75" s="93">
        <f ca="1">+H75+F75+D75+B75</f>
        <v>24100.67</v>
      </c>
      <c r="K75" s="92">
        <f ca="1">IFERROR(J75/J16, "NA")</f>
        <v>0.20264573985752635</v>
      </c>
    </row>
    <row r="76" spans="1:11" ht="16.5" customHeight="1" x14ac:dyDescent="0.25">
      <c r="A76" s="96" t="s">
        <v>71</v>
      </c>
      <c r="B76" s="93">
        <f t="shared" ca="1" si="23"/>
        <v>193.9</v>
      </c>
      <c r="C76" s="92">
        <f ca="1">IFERROR(B76/B16, "NA")</f>
        <v>4.451879294605581E-3</v>
      </c>
      <c r="D76" s="93">
        <f t="shared" ca="1" si="24"/>
        <v>12.97</v>
      </c>
      <c r="E76" s="92">
        <f ca="1">IFERROR(D76/D16, "NA")</f>
        <v>5.2946858010161557E-4</v>
      </c>
      <c r="F76" s="93">
        <f t="shared" ca="1" si="25"/>
        <v>0</v>
      </c>
      <c r="G76" s="92">
        <f ca="1">IFERROR(F76/F16, "NA")</f>
        <v>0</v>
      </c>
      <c r="H76" s="93">
        <f t="shared" ca="1" si="26"/>
        <v>0</v>
      </c>
      <c r="I76" s="92">
        <f ca="1">IFERROR(H76/H16, "NA")</f>
        <v>0</v>
      </c>
      <c r="J76" s="93">
        <f ca="1">+H76+F76+D76+B76</f>
        <v>206.87</v>
      </c>
      <c r="K76" s="92">
        <f ca="1">IFERROR(J76/J16, "NA")</f>
        <v>1.7394256758972459E-3</v>
      </c>
    </row>
    <row r="77" spans="1:11" ht="16.5" customHeight="1" x14ac:dyDescent="0.25">
      <c r="A77" s="95" t="s">
        <v>72</v>
      </c>
      <c r="B77" s="90">
        <f t="shared" ca="1" si="23"/>
        <v>9445.44</v>
      </c>
      <c r="C77" s="89">
        <f ca="1">IFERROR(B77/B16, "NA")</f>
        <v>0.21686415040969231</v>
      </c>
      <c r="D77" s="90">
        <f t="shared" ca="1" si="24"/>
        <v>6935.13</v>
      </c>
      <c r="E77" s="89">
        <f ca="1">IFERROR(D77/D16, "NA")</f>
        <v>0.28310974818196738</v>
      </c>
      <c r="F77" s="90">
        <f t="shared" ca="1" si="25"/>
        <v>5453.24</v>
      </c>
      <c r="G77" s="89">
        <f ca="1">IFERROR(F77/F16, "NA")</f>
        <v>0.25009871883362722</v>
      </c>
      <c r="H77" s="90">
        <f t="shared" ca="1" si="26"/>
        <v>7970.2699999999995</v>
      </c>
      <c r="I77" s="89">
        <f ca="1">IFERROR(H77/H16, "NA")</f>
        <v>0.27412973635941212</v>
      </c>
      <c r="J77" s="90">
        <f ca="1">+H77+F77+D77+B77</f>
        <v>29804.080000000002</v>
      </c>
      <c r="K77" s="89">
        <f ca="1">IFERROR(J77/J16, "NA")</f>
        <v>0.25060174021605641</v>
      </c>
    </row>
    <row r="78" spans="1:11" ht="16.5" hidden="1" customHeight="1" x14ac:dyDescent="0.25">
      <c r="A78" s="94" t="s">
        <v>73</v>
      </c>
      <c r="B78" s="93">
        <f t="shared" ca="1" si="23"/>
        <v>0</v>
      </c>
      <c r="C78" s="92">
        <f ca="1">IFERROR(B78/B16, "NA")</f>
        <v>0</v>
      </c>
      <c r="D78" s="93">
        <f t="shared" ca="1" si="24"/>
        <v>0</v>
      </c>
      <c r="E78" s="92">
        <f ca="1">IFERROR(D78/D16, "NA")</f>
        <v>0</v>
      </c>
      <c r="F78" s="93">
        <f t="shared" ca="1" si="25"/>
        <v>0</v>
      </c>
      <c r="G78" s="92">
        <f ca="1">IFERROR(F78/F16, "NA")</f>
        <v>0</v>
      </c>
      <c r="H78" s="93">
        <f t="shared" ca="1" si="26"/>
        <v>0</v>
      </c>
      <c r="I78" s="92">
        <f ca="1">IFERROR(H78/H16, "NA")</f>
        <v>0</v>
      </c>
      <c r="J78" s="93"/>
      <c r="K78" s="92">
        <f ca="1">IFERROR(J78/J16, "NA")</f>
        <v>0</v>
      </c>
    </row>
    <row r="79" spans="1:11" ht="16.5" customHeight="1" x14ac:dyDescent="0.25">
      <c r="A79" s="94" t="s">
        <v>74</v>
      </c>
      <c r="B79" s="93">
        <f t="shared" ca="1" si="23"/>
        <v>0</v>
      </c>
      <c r="C79" s="92">
        <f ca="1">IFERROR(B79/B16, "NA")</f>
        <v>0</v>
      </c>
      <c r="D79" s="93">
        <f t="shared" ca="1" si="24"/>
        <v>0</v>
      </c>
      <c r="E79" s="92">
        <f ca="1">IFERROR(D79/D16, "NA")</f>
        <v>0</v>
      </c>
      <c r="F79" s="93">
        <f t="shared" ca="1" si="25"/>
        <v>0</v>
      </c>
      <c r="G79" s="92">
        <f ca="1">IFERROR(F79/F16, "NA")</f>
        <v>0</v>
      </c>
      <c r="H79" s="93">
        <f t="shared" ca="1" si="26"/>
        <v>0</v>
      </c>
      <c r="I79" s="92">
        <f ca="1">IFERROR(H79/H16, "NA")</f>
        <v>0</v>
      </c>
      <c r="J79" s="93">
        <f ca="1">+H79+F79+D79+B79</f>
        <v>0</v>
      </c>
      <c r="K79" s="92">
        <f ca="1">IFERROR(J79/J16, "NA")</f>
        <v>0</v>
      </c>
    </row>
    <row r="80" spans="1:11" ht="16.5" customHeight="1" x14ac:dyDescent="0.25">
      <c r="A80" s="99" t="s">
        <v>75</v>
      </c>
      <c r="B80" s="98"/>
      <c r="C80" s="97"/>
      <c r="D80" s="98"/>
      <c r="E80" s="97"/>
      <c r="F80" s="98"/>
      <c r="G80" s="97"/>
      <c r="H80" s="98"/>
      <c r="I80" s="97"/>
      <c r="J80" s="98"/>
      <c r="K80" s="97"/>
    </row>
    <row r="81" spans="1:11" ht="16.5" customHeight="1" x14ac:dyDescent="0.25">
      <c r="A81" s="96" t="s">
        <v>76</v>
      </c>
      <c r="B81" s="93">
        <f t="shared" ref="B81:B92" ca="1" si="27">INDEX(INDIRECT("'"&amp;B$4&amp;"'!$1:$1048576"),MATCH($A81,INDIRECT("'"&amp;B$4&amp;"'!$A:$A"),0),MATCH($A$2,INDIRECT("'"&amp;B$4&amp;"'!$5:$5"),0))</f>
        <v>982.68</v>
      </c>
      <c r="C81" s="92">
        <f ca="1">IFERROR(B81/B16, "NA")</f>
        <v>2.2562004874796347E-2</v>
      </c>
      <c r="D81" s="93">
        <f t="shared" ref="D81:D92" ca="1" si="28">INDEX(INDIRECT("'"&amp;D$4&amp;"'!$1:$1048576"),MATCH($A81,INDIRECT("'"&amp;D$4&amp;"'!$A:$A"),0),MATCH($A$2,INDIRECT("'"&amp;D$4&amp;"'!$5:$5"),0))</f>
        <v>589.74</v>
      </c>
      <c r="E81" s="92">
        <f ca="1">IFERROR(D81/D16, "NA")</f>
        <v>2.4074695484126968E-2</v>
      </c>
      <c r="F81" s="93">
        <f t="shared" ref="F81:F92" ca="1" si="29">INDEX(INDIRECT("'"&amp;F$4&amp;"'!$1:$1048576"),MATCH($A81,INDIRECT("'"&amp;F$4&amp;"'!$A:$A"),0),MATCH($A$2,INDIRECT("'"&amp;F$4&amp;"'!$5:$5"),0))</f>
        <v>495.85</v>
      </c>
      <c r="G81" s="92">
        <f ca="1">IFERROR(F81/F16, "NA")</f>
        <v>2.2740875100610659E-2</v>
      </c>
      <c r="H81" s="93">
        <f t="shared" ref="H81:H92" ca="1" si="30">INDEX(INDIRECT("'"&amp;H$4&amp;"'!$1:$1048576"),MATCH($A81,INDIRECT("'"&amp;H$4&amp;"'!$A:$A"),0),MATCH($A$2,INDIRECT("'"&amp;H$4&amp;"'!$5:$5"),0))</f>
        <v>690.81</v>
      </c>
      <c r="I81" s="92">
        <f ca="1">IFERROR(H81/H16, "NA")</f>
        <v>2.3759742540020036E-2</v>
      </c>
      <c r="J81" s="93">
        <f ca="1">+H81+F81+D81+B81</f>
        <v>2759.08</v>
      </c>
      <c r="K81" s="92">
        <f ca="1">IFERROR(J81/J16, "NA")</f>
        <v>2.3199181098538083E-2</v>
      </c>
    </row>
    <row r="82" spans="1:11" ht="16.5" hidden="1" customHeight="1" x14ac:dyDescent="0.25">
      <c r="A82" s="96" t="s">
        <v>77</v>
      </c>
      <c r="B82" s="93">
        <f t="shared" ca="1" si="27"/>
        <v>0</v>
      </c>
      <c r="C82" s="92">
        <f ca="1">IFERROR(B82/B16, "NA")</f>
        <v>0</v>
      </c>
      <c r="D82" s="93">
        <f t="shared" ca="1" si="28"/>
        <v>0</v>
      </c>
      <c r="E82" s="92">
        <f ca="1">IFERROR(D82/D16, "NA")</f>
        <v>0</v>
      </c>
      <c r="F82" s="93">
        <f t="shared" ca="1" si="29"/>
        <v>0</v>
      </c>
      <c r="G82" s="92">
        <f ca="1">IFERROR(F82/F16, "NA")</f>
        <v>0</v>
      </c>
      <c r="H82" s="93">
        <f t="shared" ca="1" si="30"/>
        <v>0</v>
      </c>
      <c r="I82" s="92">
        <f ca="1">IFERROR(H82/H16, "NA")</f>
        <v>0</v>
      </c>
      <c r="J82" s="93" t="e">
        <f ca="1">+H82+F82+D82+B82+#REF!</f>
        <v>#REF!</v>
      </c>
      <c r="K82" s="92" t="str">
        <f ca="1">IFERROR(J82/J16, "NA")</f>
        <v>NA</v>
      </c>
    </row>
    <row r="83" spans="1:11" ht="16.5" hidden="1" customHeight="1" x14ac:dyDescent="0.25">
      <c r="A83" s="96" t="s">
        <v>78</v>
      </c>
      <c r="B83" s="93">
        <f t="shared" ca="1" si="27"/>
        <v>0</v>
      </c>
      <c r="C83" s="92">
        <f ca="1">IFERROR(B83/B16, "NA")</f>
        <v>0</v>
      </c>
      <c r="D83" s="93">
        <f t="shared" ca="1" si="28"/>
        <v>0</v>
      </c>
      <c r="E83" s="92">
        <f ca="1">IFERROR(D83/D16, "NA")</f>
        <v>0</v>
      </c>
      <c r="F83" s="93">
        <f t="shared" ca="1" si="29"/>
        <v>0</v>
      </c>
      <c r="G83" s="92">
        <f ca="1">IFERROR(F83/F16, "NA")</f>
        <v>0</v>
      </c>
      <c r="H83" s="93">
        <f t="shared" ca="1" si="30"/>
        <v>0</v>
      </c>
      <c r="I83" s="92">
        <f ca="1">IFERROR(H83/H16, "NA")</f>
        <v>0</v>
      </c>
      <c r="J83" s="93" t="e">
        <f ca="1">+H83+F83+D83+B83+#REF!</f>
        <v>#REF!</v>
      </c>
      <c r="K83" s="92" t="str">
        <f ca="1">IFERROR(J83/J16, "NA")</f>
        <v>NA</v>
      </c>
    </row>
    <row r="84" spans="1:11" ht="16.5" hidden="1" customHeight="1" x14ac:dyDescent="0.25">
      <c r="A84" s="96" t="s">
        <v>79</v>
      </c>
      <c r="B84" s="93">
        <f t="shared" ca="1" si="27"/>
        <v>0</v>
      </c>
      <c r="C84" s="92">
        <f ca="1">IFERROR(B84/B16, "NA")</f>
        <v>0</v>
      </c>
      <c r="D84" s="93">
        <f t="shared" ca="1" si="28"/>
        <v>0</v>
      </c>
      <c r="E84" s="92">
        <f ca="1">IFERROR(D84/D16, "NA")</f>
        <v>0</v>
      </c>
      <c r="F84" s="93">
        <f t="shared" ca="1" si="29"/>
        <v>0</v>
      </c>
      <c r="G84" s="92">
        <f ca="1">IFERROR(F84/F16, "NA")</f>
        <v>0</v>
      </c>
      <c r="H84" s="93">
        <f t="shared" ca="1" si="30"/>
        <v>0</v>
      </c>
      <c r="I84" s="92">
        <f ca="1">IFERROR(H84/H16, "NA")</f>
        <v>0</v>
      </c>
      <c r="J84" s="93" t="e">
        <f ca="1">+H84+F84+D84+B84+#REF!</f>
        <v>#REF!</v>
      </c>
      <c r="K84" s="92" t="str">
        <f ca="1">IFERROR(J84/J16, "NA")</f>
        <v>NA</v>
      </c>
    </row>
    <row r="85" spans="1:11" ht="16.5" hidden="1" customHeight="1" x14ac:dyDescent="0.25">
      <c r="A85" s="96" t="s">
        <v>80</v>
      </c>
      <c r="B85" s="93">
        <f t="shared" ca="1" si="27"/>
        <v>0</v>
      </c>
      <c r="C85" s="92">
        <f ca="1">IFERROR(B85/B16, "NA")</f>
        <v>0</v>
      </c>
      <c r="D85" s="93">
        <f t="shared" ca="1" si="28"/>
        <v>0</v>
      </c>
      <c r="E85" s="92">
        <f ca="1">IFERROR(D85/D16, "NA")</f>
        <v>0</v>
      </c>
      <c r="F85" s="93">
        <f t="shared" ca="1" si="29"/>
        <v>0</v>
      </c>
      <c r="G85" s="92">
        <f ca="1">IFERROR(F85/F16, "NA")</f>
        <v>0</v>
      </c>
      <c r="H85" s="93">
        <f t="shared" ca="1" si="30"/>
        <v>0</v>
      </c>
      <c r="I85" s="92">
        <f ca="1">IFERROR(H85/H16, "NA")</f>
        <v>0</v>
      </c>
      <c r="J85" s="93" t="e">
        <f ca="1">+H85+F85+D85+B85+#REF!</f>
        <v>#REF!</v>
      </c>
      <c r="K85" s="92" t="str">
        <f ca="1">IFERROR(J85/J16, "NA")</f>
        <v>NA</v>
      </c>
    </row>
    <row r="86" spans="1:11" ht="16.5" hidden="1" customHeight="1" x14ac:dyDescent="0.25">
      <c r="A86" s="96" t="s">
        <v>81</v>
      </c>
      <c r="B86" s="93">
        <f t="shared" ca="1" si="27"/>
        <v>0</v>
      </c>
      <c r="C86" s="92">
        <f ca="1">IFERROR(B86/B16, "NA")</f>
        <v>0</v>
      </c>
      <c r="D86" s="93">
        <f t="shared" ca="1" si="28"/>
        <v>0</v>
      </c>
      <c r="E86" s="92">
        <f ca="1">IFERROR(D86/D16, "NA")</f>
        <v>0</v>
      </c>
      <c r="F86" s="93">
        <f t="shared" ca="1" si="29"/>
        <v>0</v>
      </c>
      <c r="G86" s="92">
        <f ca="1">IFERROR(F86/F16, "NA")</f>
        <v>0</v>
      </c>
      <c r="H86" s="93">
        <f t="shared" ca="1" si="30"/>
        <v>0</v>
      </c>
      <c r="I86" s="92">
        <f ca="1">IFERROR(H86/H16, "NA")</f>
        <v>0</v>
      </c>
      <c r="J86" s="93" t="e">
        <f ca="1">+H86+F86+D86+B86+#REF!</f>
        <v>#REF!</v>
      </c>
      <c r="K86" s="92" t="str">
        <f ca="1">IFERROR(J86/J16, "NA")</f>
        <v>NA</v>
      </c>
    </row>
    <row r="87" spans="1:11" ht="16.5" hidden="1" customHeight="1" x14ac:dyDescent="0.25">
      <c r="A87" s="96" t="s">
        <v>82</v>
      </c>
      <c r="B87" s="93">
        <f t="shared" ca="1" si="27"/>
        <v>0</v>
      </c>
      <c r="C87" s="92">
        <f ca="1">IFERROR(B87/B16, "NA")</f>
        <v>0</v>
      </c>
      <c r="D87" s="93">
        <f t="shared" ca="1" si="28"/>
        <v>0</v>
      </c>
      <c r="E87" s="92">
        <f ca="1">IFERROR(D87/D16, "NA")</f>
        <v>0</v>
      </c>
      <c r="F87" s="93">
        <f t="shared" ca="1" si="29"/>
        <v>0</v>
      </c>
      <c r="G87" s="92">
        <f ca="1">IFERROR(F87/F16, "NA")</f>
        <v>0</v>
      </c>
      <c r="H87" s="93">
        <f t="shared" ca="1" si="30"/>
        <v>0</v>
      </c>
      <c r="I87" s="92">
        <f ca="1">IFERROR(H87/H16, "NA")</f>
        <v>0</v>
      </c>
      <c r="J87" s="93" t="e">
        <f ca="1">+H87+F87+D87+B87+#REF!</f>
        <v>#REF!</v>
      </c>
      <c r="K87" s="92" t="str">
        <f ca="1">IFERROR(J87/J16, "NA")</f>
        <v>NA</v>
      </c>
    </row>
    <row r="88" spans="1:11" ht="16.5" customHeight="1" x14ac:dyDescent="0.25">
      <c r="A88" s="95" t="s">
        <v>83</v>
      </c>
      <c r="B88" s="90">
        <f t="shared" ca="1" si="27"/>
        <v>982.68</v>
      </c>
      <c r="C88" s="89">
        <f ca="1">IFERROR(B88/B16, "NA")</f>
        <v>2.2562004874796347E-2</v>
      </c>
      <c r="D88" s="90">
        <f t="shared" ca="1" si="28"/>
        <v>589.74</v>
      </c>
      <c r="E88" s="89">
        <f ca="1">IFERROR(D88/D16, "NA")</f>
        <v>2.4074695484126968E-2</v>
      </c>
      <c r="F88" s="90">
        <f t="shared" ca="1" si="29"/>
        <v>495.85</v>
      </c>
      <c r="G88" s="89">
        <f ca="1">IFERROR(F88/F16, "NA")</f>
        <v>2.2740875100610659E-2</v>
      </c>
      <c r="H88" s="90">
        <f t="shared" ca="1" si="30"/>
        <v>690.81</v>
      </c>
      <c r="I88" s="89">
        <f ca="1">IFERROR(H88/H16, "NA")</f>
        <v>2.3759742540020036E-2</v>
      </c>
      <c r="J88" s="90">
        <f ca="1">+H88+F88+D88+B88</f>
        <v>2759.08</v>
      </c>
      <c r="K88" s="89">
        <f ca="1">IFERROR(J88/J16, "NA")</f>
        <v>2.3199181098538083E-2</v>
      </c>
    </row>
    <row r="89" spans="1:11" ht="16.5" customHeight="1" x14ac:dyDescent="0.25">
      <c r="A89" s="94" t="s">
        <v>84</v>
      </c>
      <c r="B89" s="93">
        <f t="shared" ca="1" si="27"/>
        <v>0</v>
      </c>
      <c r="C89" s="92">
        <f ca="1">IFERROR(B89/B16, "NA")</f>
        <v>0</v>
      </c>
      <c r="D89" s="93">
        <f t="shared" ca="1" si="28"/>
        <v>0</v>
      </c>
      <c r="E89" s="92">
        <f ca="1">IFERROR(D89/D16, "NA")</f>
        <v>0</v>
      </c>
      <c r="F89" s="93">
        <f t="shared" ca="1" si="29"/>
        <v>0</v>
      </c>
      <c r="G89" s="92">
        <f ca="1">IFERROR(F89/F16, "NA")</f>
        <v>0</v>
      </c>
      <c r="H89" s="93">
        <f t="shared" ca="1" si="30"/>
        <v>0</v>
      </c>
      <c r="I89" s="92">
        <f ca="1">IFERROR(H89/H16, "NA")</f>
        <v>0</v>
      </c>
      <c r="J89" s="93">
        <f ca="1">+H89+F89+D89+B89</f>
        <v>0</v>
      </c>
      <c r="K89" s="92">
        <f ca="1">IFERROR(J89/J16, "NA")</f>
        <v>0</v>
      </c>
    </row>
    <row r="90" spans="1:11" ht="16.5" customHeight="1" x14ac:dyDescent="0.25">
      <c r="A90" s="94" t="s">
        <v>85</v>
      </c>
      <c r="B90" s="93">
        <f t="shared" ca="1" si="27"/>
        <v>367.61</v>
      </c>
      <c r="C90" s="92">
        <f ca="1">IFERROR(B90/B16, "NA")</f>
        <v>8.4402029267145826E-3</v>
      </c>
      <c r="D90" s="93">
        <f t="shared" ca="1" si="28"/>
        <v>-1.66</v>
      </c>
      <c r="E90" s="92">
        <f ca="1">IFERROR(D90/D16, "NA")</f>
        <v>-6.776544664369173E-5</v>
      </c>
      <c r="F90" s="93">
        <f t="shared" ca="1" si="29"/>
        <v>1290.8599999999999</v>
      </c>
      <c r="G90" s="92">
        <f ca="1">IFERROR(F90/F16, "NA")</f>
        <v>5.9201948235099874E-2</v>
      </c>
      <c r="H90" s="93">
        <f t="shared" ca="1" si="30"/>
        <v>0</v>
      </c>
      <c r="I90" s="92">
        <f ca="1">IFERROR(H90/H16, "NA")</f>
        <v>0</v>
      </c>
      <c r="J90" s="93">
        <f ca="1">+H90+F90+D90+B90</f>
        <v>1656.81</v>
      </c>
      <c r="K90" s="92">
        <f ca="1">IFERROR(J90/J16, "NA")</f>
        <v>1.3930960768034592E-2</v>
      </c>
    </row>
    <row r="91" spans="1:11" ht="16.5" customHeight="1" x14ac:dyDescent="0.25">
      <c r="A91" s="91" t="s">
        <v>86</v>
      </c>
      <c r="B91" s="90">
        <f t="shared" ca="1" si="27"/>
        <v>10795.730000000001</v>
      </c>
      <c r="C91" s="89">
        <f ca="1">IFERROR(B91/B16, "NA")</f>
        <v>0.24786635821120326</v>
      </c>
      <c r="D91" s="90">
        <f t="shared" ca="1" si="28"/>
        <v>7523.21</v>
      </c>
      <c r="E91" s="89">
        <f ca="1">IFERROR(D91/D16, "NA")</f>
        <v>0.30711667821945066</v>
      </c>
      <c r="F91" s="90">
        <f t="shared" ca="1" si="29"/>
        <v>7239.95</v>
      </c>
      <c r="G91" s="89">
        <f ca="1">IFERROR(F91/F16, "NA")</f>
        <v>0.33204154216933779</v>
      </c>
      <c r="H91" s="90">
        <f t="shared" ca="1" si="30"/>
        <v>8661.08</v>
      </c>
      <c r="I91" s="89">
        <f ca="1">IFERROR(H91/H16, "NA")</f>
        <v>0.29788947889943218</v>
      </c>
      <c r="J91" s="90">
        <f ca="1">+H91+F91+D91+B91</f>
        <v>34219.97</v>
      </c>
      <c r="K91" s="89">
        <f ca="1">IFERROR(J91/J16, "NA")</f>
        <v>0.28773188208262906</v>
      </c>
    </row>
    <row r="92" spans="1:11" ht="16.5" customHeight="1" x14ac:dyDescent="0.25">
      <c r="A92" s="88" t="s">
        <v>86</v>
      </c>
      <c r="B92" s="86">
        <f t="shared" ca="1" si="27"/>
        <v>10795.730000000001</v>
      </c>
      <c r="C92" s="87">
        <f ca="1">IFERROR(B92/B16, "NA")</f>
        <v>0.24786635821120326</v>
      </c>
      <c r="D92" s="86">
        <f t="shared" ca="1" si="28"/>
        <v>7523.21</v>
      </c>
      <c r="E92" s="87">
        <f ca="1">IFERROR(D92/D16, "NA")</f>
        <v>0.30711667821945066</v>
      </c>
      <c r="F92" s="86">
        <f t="shared" ca="1" si="29"/>
        <v>7239.95</v>
      </c>
      <c r="G92" s="87">
        <f ca="1">IFERROR(F92/F16, "NA")</f>
        <v>0.33204154216933779</v>
      </c>
      <c r="H92" s="86">
        <f t="shared" ca="1" si="30"/>
        <v>8661.08</v>
      </c>
      <c r="I92" s="87">
        <f ca="1">IFERROR(H92/H16, "NA")</f>
        <v>0.29788947889943218</v>
      </c>
      <c r="J92" s="86">
        <f ca="1">+H92+F92+D92+B92</f>
        <v>34219.97</v>
      </c>
      <c r="K92" s="85">
        <f ca="1">IFERROR(J92/J16, "NA")</f>
        <v>0.28773188208262906</v>
      </c>
    </row>
    <row r="93" spans="1:11" ht="3.75" customHeight="1" x14ac:dyDescent="0.25">
      <c r="A93" s="81" t="s">
        <v>2</v>
      </c>
      <c r="B93" s="80"/>
      <c r="C93" s="79"/>
      <c r="D93" s="80"/>
      <c r="E93" s="79"/>
      <c r="F93" s="80"/>
      <c r="G93" s="79"/>
      <c r="H93" s="80"/>
      <c r="I93" s="79"/>
      <c r="J93" s="80"/>
      <c r="K93" s="79"/>
    </row>
    <row r="94" spans="1:11" ht="15" customHeight="1" x14ac:dyDescent="0.25">
      <c r="A94" s="48" t="s">
        <v>87</v>
      </c>
      <c r="B94" s="83">
        <f ca="1">INDEX(INDIRECT("'"&amp;B$4&amp;"'!$1:$1048576"),MATCH($A94,INDIRECT("'"&amp;B$4&amp;"'!$A:$A"),0),MATCH($A$2,INDIRECT("'"&amp;B$4&amp;"'!$5:$5"),0))</f>
        <v>22134.659999999996</v>
      </c>
      <c r="C94" s="84">
        <f ca="1">IFERROR(B94/B16, "NA")</f>
        <v>0.50820440715386461</v>
      </c>
      <c r="D94" s="83">
        <f ca="1">INDEX(INDIRECT("'"&amp;D$4&amp;"'!$1:$1048576"),MATCH($A94,INDIRECT("'"&amp;D$4&amp;"'!$A:$A"),0),MATCH($A$2,INDIRECT("'"&amp;D$4&amp;"'!$5:$5"),0))</f>
        <v>10804.54</v>
      </c>
      <c r="E94" s="84">
        <f ca="1">IFERROR(D94/D16, "NA")</f>
        <v>0.44106896318050193</v>
      </c>
      <c r="F94" s="83">
        <f ca="1">INDEX(INDIRECT("'"&amp;F$4&amp;"'!$1:$1048576"),MATCH($A94,INDIRECT("'"&amp;F$4&amp;"'!$A:$A"),0),MATCH($A$2,INDIRECT("'"&amp;F$4&amp;"'!$5:$5"),0))</f>
        <v>8427.4399999999987</v>
      </c>
      <c r="G94" s="84">
        <f ca="1">IFERROR(F94/F16, "NA")</f>
        <v>0.38650269326992087</v>
      </c>
      <c r="H94" s="83">
        <f ca="1">INDEX(INDIRECT("'"&amp;H$4&amp;"'!$1:$1048576"),MATCH($A94,INDIRECT("'"&amp;H$4&amp;"'!$A:$A"),0),MATCH($A$2,INDIRECT("'"&amp;H$4&amp;"'!$5:$5"),0))</f>
        <v>12658.250000000002</v>
      </c>
      <c r="I94" s="84">
        <f ca="1">IFERROR(H94/H16, "NA")</f>
        <v>0.43536827927680355</v>
      </c>
      <c r="J94" s="83">
        <f ca="1">+H94+F94+D94+B94</f>
        <v>54024.89</v>
      </c>
      <c r="K94" s="82">
        <f ca="1">IFERROR(J94/J16, "NA")</f>
        <v>0.45425765361591508</v>
      </c>
    </row>
    <row r="95" spans="1:11" ht="15" customHeight="1" x14ac:dyDescent="0.25">
      <c r="A95" s="81" t="s">
        <v>2</v>
      </c>
      <c r="B95" s="80"/>
      <c r="C95" s="79"/>
      <c r="D95" s="80"/>
      <c r="E95" s="79"/>
      <c r="F95" s="80"/>
      <c r="G95" s="79"/>
      <c r="H95" s="80"/>
      <c r="I95" s="79"/>
    </row>
    <row r="96" spans="1:11" ht="15" customHeight="1" x14ac:dyDescent="0.25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242</v>
      </c>
      <c r="B1" s="151" t="s">
        <v>242</v>
      </c>
      <c r="C1" s="151" t="s">
        <v>242</v>
      </c>
      <c r="D1" s="151" t="s">
        <v>242</v>
      </c>
      <c r="E1" s="151" t="s">
        <v>242</v>
      </c>
      <c r="F1" s="151" t="s">
        <v>242</v>
      </c>
      <c r="G1" s="151" t="s">
        <v>242</v>
      </c>
      <c r="H1" s="151" t="s">
        <v>242</v>
      </c>
      <c r="I1" s="151" t="s">
        <v>242</v>
      </c>
      <c r="J1" s="151" t="s">
        <v>242</v>
      </c>
      <c r="K1" s="151" t="s">
        <v>242</v>
      </c>
      <c r="L1" s="151" t="s">
        <v>242</v>
      </c>
      <c r="M1" s="151" t="s">
        <v>242</v>
      </c>
      <c r="N1" s="151" t="s">
        <v>242</v>
      </c>
      <c r="O1" s="151" t="s">
        <v>242</v>
      </c>
      <c r="P1" s="151" t="s">
        <v>242</v>
      </c>
      <c r="Q1" s="151" t="s">
        <v>242</v>
      </c>
      <c r="R1" s="151" t="s">
        <v>242</v>
      </c>
      <c r="S1" s="151" t="s">
        <v>242</v>
      </c>
      <c r="T1" s="151" t="s">
        <v>242</v>
      </c>
      <c r="U1" s="151" t="s">
        <v>242</v>
      </c>
      <c r="V1" s="151" t="s">
        <v>242</v>
      </c>
      <c r="W1" s="151" t="s">
        <v>242</v>
      </c>
      <c r="X1" s="151" t="s">
        <v>242</v>
      </c>
      <c r="Y1" s="151" t="s">
        <v>242</v>
      </c>
      <c r="Z1" s="151" t="s">
        <v>242</v>
      </c>
      <c r="AA1" s="151" t="s">
        <v>242</v>
      </c>
      <c r="AB1" s="151" t="s">
        <v>242</v>
      </c>
      <c r="AC1" s="151" t="s">
        <v>242</v>
      </c>
      <c r="AD1" s="151" t="s">
        <v>242</v>
      </c>
      <c r="AE1" s="151" t="s">
        <v>242</v>
      </c>
      <c r="AF1" s="151" t="s">
        <v>242</v>
      </c>
      <c r="AG1" s="151" t="s">
        <v>242</v>
      </c>
      <c r="AH1" s="151" t="s">
        <v>242</v>
      </c>
      <c r="AI1" s="151" t="s">
        <v>242</v>
      </c>
      <c r="AJ1" s="151" t="s">
        <v>242</v>
      </c>
      <c r="AK1" s="151" t="s">
        <v>242</v>
      </c>
      <c r="AL1" s="151" t="s">
        <v>242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</v>
      </c>
      <c r="B3" s="153" t="s">
        <v>1</v>
      </c>
      <c r="C3" s="153" t="s">
        <v>1</v>
      </c>
      <c r="D3" s="153" t="s">
        <v>1</v>
      </c>
      <c r="E3" s="153" t="s">
        <v>1</v>
      </c>
      <c r="F3" s="153" t="s">
        <v>1</v>
      </c>
      <c r="G3" s="153" t="s">
        <v>1</v>
      </c>
      <c r="H3" s="153" t="s">
        <v>1</v>
      </c>
      <c r="I3" s="153" t="s">
        <v>1</v>
      </c>
      <c r="J3" s="153" t="s">
        <v>1</v>
      </c>
      <c r="K3" s="153" t="s">
        <v>1</v>
      </c>
      <c r="L3" s="153" t="s">
        <v>1</v>
      </c>
      <c r="M3" s="153" t="s">
        <v>1</v>
      </c>
      <c r="N3" s="153" t="s">
        <v>1</v>
      </c>
      <c r="O3" s="153" t="s">
        <v>1</v>
      </c>
      <c r="P3" s="153" t="s">
        <v>1</v>
      </c>
      <c r="Q3" s="153" t="s">
        <v>1</v>
      </c>
      <c r="R3" s="153" t="s">
        <v>1</v>
      </c>
      <c r="S3" s="153" t="s">
        <v>1</v>
      </c>
      <c r="T3" s="153" t="s">
        <v>1</v>
      </c>
      <c r="U3" s="153" t="s">
        <v>1</v>
      </c>
      <c r="V3" s="153" t="s">
        <v>1</v>
      </c>
      <c r="W3" s="153" t="s">
        <v>1</v>
      </c>
      <c r="X3" s="153" t="s">
        <v>1</v>
      </c>
      <c r="Y3" s="153" t="s">
        <v>1</v>
      </c>
      <c r="Z3" s="153" t="s">
        <v>1</v>
      </c>
      <c r="AA3" s="153" t="s">
        <v>1</v>
      </c>
      <c r="AB3" s="153" t="s">
        <v>1</v>
      </c>
      <c r="AC3" s="153" t="s">
        <v>1</v>
      </c>
      <c r="AD3" s="153" t="s">
        <v>1</v>
      </c>
      <c r="AE3" s="153" t="s">
        <v>1</v>
      </c>
      <c r="AF3" s="153" t="s">
        <v>1</v>
      </c>
      <c r="AG3" s="153" t="s">
        <v>1</v>
      </c>
      <c r="AH3" s="153" t="s">
        <v>1</v>
      </c>
      <c r="AI3" s="153" t="s">
        <v>1</v>
      </c>
      <c r="AJ3" s="153" t="s">
        <v>1</v>
      </c>
      <c r="AK3" s="153" t="s">
        <v>1</v>
      </c>
      <c r="AL3" s="153" t="s">
        <v>1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236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243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6</v>
      </c>
      <c r="AA5" s="155" t="s">
        <v>2</v>
      </c>
      <c r="AB5" s="154" t="s">
        <v>7</v>
      </c>
      <c r="AC5" s="155" t="s">
        <v>2</v>
      </c>
      <c r="AD5" s="156" t="s">
        <v>8</v>
      </c>
      <c r="AE5" s="157" t="s">
        <v>2</v>
      </c>
      <c r="AF5" s="143" t="s">
        <v>9</v>
      </c>
      <c r="AG5" s="154" t="s">
        <v>10</v>
      </c>
      <c r="AH5" s="155" t="s">
        <v>2</v>
      </c>
      <c r="AI5" s="156" t="s">
        <v>11</v>
      </c>
      <c r="AJ5" s="157" t="s">
        <v>2</v>
      </c>
      <c r="AK5" s="156" t="s">
        <v>12</v>
      </c>
      <c r="AL5" s="157" t="s">
        <v>2</v>
      </c>
    </row>
    <row r="6" spans="1:38" ht="16.5" customHeight="1" x14ac:dyDescent="0.25">
      <c r="A6" s="1" t="s">
        <v>13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13</v>
      </c>
      <c r="B7" s="115">
        <v>113357.77000000003</v>
      </c>
      <c r="C7" s="116">
        <f>IFERROR(B7/B148, "NA")</f>
        <v>1.0000000000000004</v>
      </c>
      <c r="D7" s="115">
        <v>127939.99999999996</v>
      </c>
      <c r="E7" s="116">
        <f>IFERROR(D7/D148, "NA")</f>
        <v>0.99999999999999967</v>
      </c>
      <c r="F7" s="115">
        <v>124888.67000000004</v>
      </c>
      <c r="G7" s="116">
        <f>IFERROR(F7/F148, "NA")</f>
        <v>1.0000000000000004</v>
      </c>
      <c r="H7" s="115">
        <v>126954.92999999998</v>
      </c>
      <c r="I7" s="116">
        <f>IFERROR(H7/H148, "NA")</f>
        <v>0.99999999999999978</v>
      </c>
      <c r="J7" s="115">
        <v>123223.21000000002</v>
      </c>
      <c r="K7" s="116">
        <f>IFERROR(J7/J148, "NA")</f>
        <v>1.0000000000000002</v>
      </c>
      <c r="L7" s="115">
        <v>128527.68000000001</v>
      </c>
      <c r="M7" s="116">
        <f>IFERROR(L7/L148, "NA")</f>
        <v>1.0000000000000002</v>
      </c>
      <c r="N7" s="115">
        <v>111248.81999999998</v>
      </c>
      <c r="O7" s="116">
        <f>IFERROR(N7/N148, "NA")</f>
        <v>0.99999999999999978</v>
      </c>
      <c r="P7" s="115">
        <v>135077.64000000001</v>
      </c>
      <c r="Q7" s="116">
        <f>IFERROR(P7/P148, "NA")</f>
        <v>1</v>
      </c>
      <c r="R7" s="115">
        <v>129044.56000000004</v>
      </c>
      <c r="S7" s="116">
        <f>IFERROR(R7/R148, "NA")</f>
        <v>1.0000000000000004</v>
      </c>
      <c r="T7" s="115">
        <v>135347.43000000005</v>
      </c>
      <c r="U7" s="116">
        <f>IFERROR(T7/T148, "NA")</f>
        <v>1.0000000000000004</v>
      </c>
      <c r="V7" s="115">
        <v>151380.78999999995</v>
      </c>
      <c r="W7" s="116">
        <f>IFERROR(V7/V148, "NA")</f>
        <v>0.99999999999999978</v>
      </c>
      <c r="X7" s="115">
        <v>118930.06000000001</v>
      </c>
      <c r="Y7" s="116">
        <f>IFERROR(X7/X148, "NA")</f>
        <v>1.0000000000000002</v>
      </c>
      <c r="Z7" s="115">
        <v>405658.27999999997</v>
      </c>
      <c r="AA7" s="116">
        <f>IFERROR(Z7/Z148, "NA")</f>
        <v>0.99999999999999989</v>
      </c>
      <c r="AB7" s="117">
        <f>IFERROR((R7+T7+V7+X7)/4, "NA")</f>
        <v>133675.71000000002</v>
      </c>
      <c r="AC7" s="116">
        <f>IFERROR(AB7/AB148, "NA")</f>
        <v>1.0000000000000002</v>
      </c>
      <c r="AD7" s="118">
        <f>IFERROR(X7-AB7, "NA")</f>
        <v>-14745.650000000009</v>
      </c>
      <c r="AE7" s="119">
        <f>IFERROR(AD7/AD148, "NA")</f>
        <v>1.0000000000000009</v>
      </c>
      <c r="AF7" s="118">
        <f>IFERROR((X7-AB7)/AB7, "NA")</f>
        <v>-0.11030912048269657</v>
      </c>
      <c r="AG7" s="117">
        <f>IFERROR((J7+L7+N7+P7+R7+T7+V7+X7)/8, "NA")</f>
        <v>129097.52375000001</v>
      </c>
      <c r="AH7" s="116">
        <f>IFERROR(AG7/AG148, "NA")</f>
        <v>1.0000000000000002</v>
      </c>
      <c r="AI7" s="118">
        <f>IFERROR(X7-AG7, "NA")</f>
        <v>-10167.463749999995</v>
      </c>
      <c r="AJ7" s="119">
        <f>IFERROR(AI7/AI148, "NA")</f>
        <v>1</v>
      </c>
      <c r="AK7" s="118">
        <f>IFERROR((X7-AG7)/AG7, "NA")</f>
        <v>-7.875800754853747E-2</v>
      </c>
      <c r="AL7" s="119">
        <f>IFERROR(AK7/AK148, "NA")</f>
        <v>1</v>
      </c>
    </row>
    <row r="8" spans="1:38" ht="30.75" hidden="1" customHeight="1" x14ac:dyDescent="0.25">
      <c r="A8" s="2" t="s">
        <v>14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15</v>
      </c>
      <c r="B9" s="121">
        <f>IFERROR(B7+B8, "NA")</f>
        <v>113357.77000000003</v>
      </c>
      <c r="C9" s="122">
        <f>IFERROR(B9/B148, "NA")</f>
        <v>1.0000000000000004</v>
      </c>
      <c r="D9" s="121">
        <f>IFERROR(D7+D8, "NA")</f>
        <v>127939.99999999996</v>
      </c>
      <c r="E9" s="122">
        <f>IFERROR(D9/D148, "NA")</f>
        <v>0.99999999999999967</v>
      </c>
      <c r="F9" s="121">
        <f>IFERROR(F7+F8, "NA")</f>
        <v>124888.67000000004</v>
      </c>
      <c r="G9" s="122">
        <f>IFERROR(F9/F148, "NA")</f>
        <v>1.0000000000000004</v>
      </c>
      <c r="H9" s="121">
        <f>IFERROR(H7+H8, "NA")</f>
        <v>126954.92999999998</v>
      </c>
      <c r="I9" s="122">
        <f>IFERROR(H9/H148, "NA")</f>
        <v>0.99999999999999978</v>
      </c>
      <c r="J9" s="121">
        <f>IFERROR(J7+J8, "NA")</f>
        <v>123223.21000000002</v>
      </c>
      <c r="K9" s="122">
        <f>IFERROR(J9/J148, "NA")</f>
        <v>1.0000000000000002</v>
      </c>
      <c r="L9" s="121">
        <f>IFERROR(L7+L8, "NA")</f>
        <v>128527.68000000001</v>
      </c>
      <c r="M9" s="122">
        <f>IFERROR(L9/L148, "NA")</f>
        <v>1.0000000000000002</v>
      </c>
      <c r="N9" s="121">
        <f>IFERROR(N7+N8, "NA")</f>
        <v>111248.81999999998</v>
      </c>
      <c r="O9" s="122">
        <f>IFERROR(N9/N148, "NA")</f>
        <v>0.99999999999999978</v>
      </c>
      <c r="P9" s="121">
        <f>IFERROR(P7+P8, "NA")</f>
        <v>135077.64000000001</v>
      </c>
      <c r="Q9" s="122">
        <f>IFERROR(P9/P148, "NA")</f>
        <v>1</v>
      </c>
      <c r="R9" s="121">
        <f>IFERROR(R7+R8, "NA")</f>
        <v>129044.56000000004</v>
      </c>
      <c r="S9" s="122">
        <f>IFERROR(R9/R148, "NA")</f>
        <v>1.0000000000000004</v>
      </c>
      <c r="T9" s="121">
        <f>IFERROR(T7+T8, "NA")</f>
        <v>135347.43000000005</v>
      </c>
      <c r="U9" s="122">
        <f>IFERROR(T9/T148, "NA")</f>
        <v>1.0000000000000004</v>
      </c>
      <c r="V9" s="121">
        <f>IFERROR(V7+V8, "NA")</f>
        <v>151380.78999999995</v>
      </c>
      <c r="W9" s="122">
        <f>IFERROR(V9/V148, "NA")</f>
        <v>0.99999999999999978</v>
      </c>
      <c r="X9" s="121">
        <f>IFERROR(X7+X8, "NA")</f>
        <v>118930.06000000001</v>
      </c>
      <c r="Y9" s="122">
        <f>IFERROR(X9/X148, "NA")</f>
        <v>1.0000000000000002</v>
      </c>
      <c r="Z9" s="121">
        <f>IFERROR(Z7+Z8, "NA")</f>
        <v>405658.27999999997</v>
      </c>
      <c r="AA9" s="122">
        <f>IFERROR(Z9/Z148, "NA")</f>
        <v>0.99999999999999989</v>
      </c>
      <c r="AB9" s="121">
        <f>IFERROR((R9+T9+V9+X9)/4, "NA")</f>
        <v>133675.71000000002</v>
      </c>
      <c r="AC9" s="122">
        <f>IFERROR(AB9/AB148, "NA")</f>
        <v>1.0000000000000002</v>
      </c>
      <c r="AD9" s="123">
        <f>IFERROR(X9-AB9, "NA")</f>
        <v>-14745.650000000009</v>
      </c>
      <c r="AE9" s="124">
        <f>IFERROR(AD9/AD148, "NA")</f>
        <v>1.0000000000000009</v>
      </c>
      <c r="AF9" s="123">
        <f>IFERROR((X9-AB9)/AB9, "NA")</f>
        <v>-0.11030912048269657</v>
      </c>
      <c r="AG9" s="121">
        <f>IFERROR((J9+L9+N9+P9+R9+T9+V9+X9)/8, "NA")</f>
        <v>129097.52375000001</v>
      </c>
      <c r="AH9" s="122">
        <f>IFERROR(AG9/AG148, "NA")</f>
        <v>1.0000000000000002</v>
      </c>
      <c r="AI9" s="123">
        <f>IFERROR(X9-AG9, "NA")</f>
        <v>-10167.463749999995</v>
      </c>
      <c r="AJ9" s="124">
        <f>IFERROR(AI9/AI148, "NA")</f>
        <v>1</v>
      </c>
      <c r="AK9" s="123">
        <f>IFERROR((X9-AG9)/AG9, "NA")</f>
        <v>-7.875800754853747E-2</v>
      </c>
      <c r="AL9" s="124">
        <f>IFERROR(AK9/AK148, "NA")</f>
        <v>1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16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17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18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19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20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21</v>
      </c>
      <c r="B16" s="115">
        <v>5705.51</v>
      </c>
      <c r="C16" s="116">
        <f>IFERROR(B16/B148, "NA")</f>
        <v>5.0331882851965069E-2</v>
      </c>
      <c r="D16" s="115">
        <v>5180.6000000000004</v>
      </c>
      <c r="E16" s="116">
        <f>IFERROR(D16/D148, "NA")</f>
        <v>4.0492418321088013E-2</v>
      </c>
      <c r="F16" s="115">
        <v>5411.119999999999</v>
      </c>
      <c r="G16" s="116">
        <f>IFERROR(F16/F148, "NA")</f>
        <v>4.3327549248462646E-2</v>
      </c>
      <c r="H16" s="115">
        <v>5168.29</v>
      </c>
      <c r="I16" s="116">
        <f>IFERROR(H16/H148, "NA")</f>
        <v>4.0709643965775887E-2</v>
      </c>
      <c r="J16" s="115">
        <v>4346.21</v>
      </c>
      <c r="K16" s="116">
        <f>IFERROR(J16/J148, "NA")</f>
        <v>3.5271033760604031E-2</v>
      </c>
      <c r="L16" s="115">
        <v>4678.12</v>
      </c>
      <c r="M16" s="116">
        <f>IFERROR(L16/L148, "NA")</f>
        <v>3.6397762723173716E-2</v>
      </c>
      <c r="N16" s="115">
        <v>4552.7700000000004</v>
      </c>
      <c r="O16" s="116">
        <f>IFERROR(N16/N148, "NA")</f>
        <v>4.0924209353411567E-2</v>
      </c>
      <c r="P16" s="115">
        <v>4889.34</v>
      </c>
      <c r="Q16" s="116">
        <f>IFERROR(P16/P148, "NA")</f>
        <v>3.6196516314617282E-2</v>
      </c>
      <c r="R16" s="115">
        <v>4897.07</v>
      </c>
      <c r="S16" s="116">
        <f>IFERROR(R16/R148, "NA")</f>
        <v>3.7948674473375708E-2</v>
      </c>
      <c r="T16" s="115">
        <v>5594.7199999999993</v>
      </c>
      <c r="U16" s="116">
        <f>IFERROR(T16/T148, "NA")</f>
        <v>4.1335989903908778E-2</v>
      </c>
      <c r="V16" s="115">
        <v>5508.8</v>
      </c>
      <c r="W16" s="116">
        <f>IFERROR(V16/V148, "NA")</f>
        <v>3.6390350453317101E-2</v>
      </c>
      <c r="X16" s="115">
        <v>4906.82</v>
      </c>
      <c r="Y16" s="116">
        <f>IFERROR(X16/X148, "NA")</f>
        <v>4.125803013973086E-2</v>
      </c>
      <c r="Z16" s="115">
        <v>16010.34</v>
      </c>
      <c r="AA16" s="116">
        <f>IFERROR(Z16/Z148, "NA")</f>
        <v>3.9467553823873631E-2</v>
      </c>
      <c r="AB16" s="117">
        <f t="shared" si="0"/>
        <v>5226.8525</v>
      </c>
      <c r="AC16" s="116">
        <f>IFERROR(AB16/AB148, "NA")</f>
        <v>3.9100989252273281E-2</v>
      </c>
      <c r="AD16" s="118">
        <f t="shared" si="1"/>
        <v>-320.03250000000025</v>
      </c>
      <c r="AE16" s="119">
        <f>IFERROR(AD16/AD148, "NA")</f>
        <v>2.1703519342992705E-2</v>
      </c>
      <c r="AF16" s="118">
        <f t="shared" si="2"/>
        <v>-6.122853093711756E-2</v>
      </c>
      <c r="AG16" s="117">
        <f t="shared" si="3"/>
        <v>4921.7312500000007</v>
      </c>
      <c r="AH16" s="116">
        <f>IFERROR(AG16/AG148, "NA")</f>
        <v>3.8124133655197248E-2</v>
      </c>
      <c r="AI16" s="118">
        <f t="shared" si="4"/>
        <v>-14.911250000001019</v>
      </c>
      <c r="AJ16" s="119">
        <f>IFERROR(AI16/AI148, "NA")</f>
        <v>1.4665653467415634E-3</v>
      </c>
      <c r="AK16" s="118">
        <f t="shared" si="5"/>
        <v>-3.0296757873565358E-3</v>
      </c>
      <c r="AL16" s="119">
        <f>IFERROR(AK16/AK148, "NA")</f>
        <v>3.8468161926130347E-2</v>
      </c>
    </row>
    <row r="17" spans="1:38" ht="16.5" customHeight="1" x14ac:dyDescent="0.25">
      <c r="A17" s="7" t="s">
        <v>22</v>
      </c>
      <c r="B17" s="115">
        <v>3244.12</v>
      </c>
      <c r="C17" s="116">
        <f>IFERROR(B17/B148, "NA")</f>
        <v>2.8618417599428785E-2</v>
      </c>
      <c r="D17" s="115">
        <v>3135.12</v>
      </c>
      <c r="E17" s="116">
        <f>IFERROR(D17/D148, "NA")</f>
        <v>2.4504611536657808E-2</v>
      </c>
      <c r="F17" s="115">
        <v>3247.0099999999998</v>
      </c>
      <c r="G17" s="116">
        <f>IFERROR(F17/F148, "NA")</f>
        <v>2.599923595951498E-2</v>
      </c>
      <c r="H17" s="115">
        <v>3658.0699999999997</v>
      </c>
      <c r="I17" s="116">
        <f>IFERROR(H17/H148, "NA")</f>
        <v>2.8813926328028375E-2</v>
      </c>
      <c r="J17" s="115">
        <v>3279.62</v>
      </c>
      <c r="K17" s="116">
        <f>IFERROR(J17/J148, "NA")</f>
        <v>2.6615278079511157E-2</v>
      </c>
      <c r="L17" s="115">
        <v>3085.54</v>
      </c>
      <c r="M17" s="116">
        <f>IFERROR(L17/L148, "NA")</f>
        <v>2.4006813162736618E-2</v>
      </c>
      <c r="N17" s="115">
        <v>3208.0400000000004</v>
      </c>
      <c r="O17" s="116">
        <f>IFERROR(N17/N148, "NA")</f>
        <v>2.8836620469322734E-2</v>
      </c>
      <c r="P17" s="115">
        <v>3608.16</v>
      </c>
      <c r="Q17" s="116">
        <f>IFERROR(P17/P148, "NA")</f>
        <v>2.6711748887528679E-2</v>
      </c>
      <c r="R17" s="115">
        <v>4073.2999999999997</v>
      </c>
      <c r="S17" s="116">
        <f>IFERROR(R17/R148, "NA")</f>
        <v>3.156506558664697E-2</v>
      </c>
      <c r="T17" s="115">
        <v>3654.05</v>
      </c>
      <c r="U17" s="116">
        <f>IFERROR(T17/T148, "NA")</f>
        <v>2.6997557323400971E-2</v>
      </c>
      <c r="V17" s="115">
        <v>3572.7</v>
      </c>
      <c r="W17" s="116">
        <f>IFERROR(V17/V148, "NA")</f>
        <v>2.3600748813637454E-2</v>
      </c>
      <c r="X17" s="115">
        <v>3505.7400000000002</v>
      </c>
      <c r="Y17" s="116">
        <f>IFERROR(X17/X148, "NA")</f>
        <v>2.9477324740271722E-2</v>
      </c>
      <c r="Z17" s="115">
        <v>10732.49</v>
      </c>
      <c r="AA17" s="116">
        <f>IFERROR(Z17/Z148, "NA")</f>
        <v>2.6456972602654626E-2</v>
      </c>
      <c r="AB17" s="117">
        <f t="shared" si="0"/>
        <v>3701.4474999999998</v>
      </c>
      <c r="AC17" s="116">
        <f>IFERROR(AB17/AB148, "NA")</f>
        <v>2.7689753807928156E-2</v>
      </c>
      <c r="AD17" s="118">
        <f t="shared" si="1"/>
        <v>-195.70749999999953</v>
      </c>
      <c r="AE17" s="119">
        <f>IFERROR(AD17/AD148, "NA")</f>
        <v>1.3272219264664467E-2</v>
      </c>
      <c r="AF17" s="118">
        <f t="shared" si="2"/>
        <v>-5.2873234052353717E-2</v>
      </c>
      <c r="AG17" s="117">
        <f t="shared" si="3"/>
        <v>3498.3937500000002</v>
      </c>
      <c r="AH17" s="116">
        <f>IFERROR(AG17/AG148, "NA")</f>
        <v>2.7098844721256711E-2</v>
      </c>
      <c r="AI17" s="118">
        <f t="shared" si="4"/>
        <v>7.3462500000000546</v>
      </c>
      <c r="AJ17" s="119">
        <f>IFERROR(AI17/AI148, "NA")</f>
        <v>-7.2252532004356133E-4</v>
      </c>
      <c r="AK17" s="118">
        <f t="shared" si="5"/>
        <v>2.0998922719891247E-3</v>
      </c>
      <c r="AL17" s="119">
        <f>IFERROR(AK17/AK148, "NA")</f>
        <v>-2.666258755587475E-2</v>
      </c>
    </row>
    <row r="18" spans="1:38" ht="16.5" customHeight="1" x14ac:dyDescent="0.25">
      <c r="A18" s="7" t="s">
        <v>23</v>
      </c>
      <c r="B18" s="115">
        <v>4240.07</v>
      </c>
      <c r="C18" s="116">
        <f>IFERROR(B18/B148, "NA")</f>
        <v>3.7404317322050358E-2</v>
      </c>
      <c r="D18" s="115">
        <v>3891.0299999999997</v>
      </c>
      <c r="E18" s="116">
        <f>IFERROR(D18/D148, "NA")</f>
        <v>3.0412927934969514E-2</v>
      </c>
      <c r="F18" s="115">
        <v>3950.44</v>
      </c>
      <c r="G18" s="116">
        <f>IFERROR(F18/F148, "NA")</f>
        <v>3.1631692450564172E-2</v>
      </c>
      <c r="H18" s="115">
        <v>3740.7</v>
      </c>
      <c r="I18" s="116">
        <f>IFERROR(H18/H148, "NA")</f>
        <v>2.9464787228034386E-2</v>
      </c>
      <c r="J18" s="115">
        <v>3772.41</v>
      </c>
      <c r="K18" s="116">
        <f>IFERROR(J18/J148, "NA")</f>
        <v>3.06144434964809E-2</v>
      </c>
      <c r="L18" s="115">
        <v>4409.42</v>
      </c>
      <c r="M18" s="116">
        <f>IFERROR(L18/L148, "NA")</f>
        <v>3.4307162472706272E-2</v>
      </c>
      <c r="N18" s="115">
        <v>3709.8900000000003</v>
      </c>
      <c r="O18" s="116">
        <f>IFERROR(N18/N148, "NA")</f>
        <v>3.3347679552915711E-2</v>
      </c>
      <c r="P18" s="115">
        <v>3773.7200000000003</v>
      </c>
      <c r="Q18" s="116">
        <f>IFERROR(P18/P148, "NA")</f>
        <v>2.7937414364064991E-2</v>
      </c>
      <c r="R18" s="115">
        <v>4223.5400000000009</v>
      </c>
      <c r="S18" s="116">
        <f>IFERROR(R18/R148, "NA")</f>
        <v>3.2729314587147271E-2</v>
      </c>
      <c r="T18" s="115">
        <v>4558.99</v>
      </c>
      <c r="U18" s="116">
        <f>IFERROR(T18/T148, "NA")</f>
        <v>3.3683609655536129E-2</v>
      </c>
      <c r="V18" s="115">
        <v>5466.57</v>
      </c>
      <c r="W18" s="116">
        <f>IFERROR(V18/V148, "NA")</f>
        <v>3.6111385070721327E-2</v>
      </c>
      <c r="X18" s="115">
        <v>4169.12</v>
      </c>
      <c r="Y18" s="116">
        <f>IFERROR(X18/X148, "NA")</f>
        <v>3.5055224894362282E-2</v>
      </c>
      <c r="Z18" s="115">
        <v>14194.68</v>
      </c>
      <c r="AA18" s="116">
        <f>IFERROR(Z18/Z148, "NA")</f>
        <v>3.499171765950395E-2</v>
      </c>
      <c r="AB18" s="117">
        <f t="shared" si="0"/>
        <v>4604.5550000000003</v>
      </c>
      <c r="AC18" s="116">
        <f>IFERROR(AB18/AB148, "NA")</f>
        <v>3.4445711939738347E-2</v>
      </c>
      <c r="AD18" s="118">
        <f t="shared" si="1"/>
        <v>-435.4350000000004</v>
      </c>
      <c r="AE18" s="119">
        <f>IFERROR(AD18/AD148, "NA")</f>
        <v>2.9529725715719591E-2</v>
      </c>
      <c r="AF18" s="118">
        <f t="shared" si="2"/>
        <v>-9.4566141570683895E-2</v>
      </c>
      <c r="AG18" s="117">
        <f t="shared" si="3"/>
        <v>4260.4575000000004</v>
      </c>
      <c r="AH18" s="116">
        <f>IFERROR(AG18/AG148, "NA")</f>
        <v>3.300185298867904E-2</v>
      </c>
      <c r="AI18" s="118">
        <f t="shared" si="4"/>
        <v>-91.337500000000546</v>
      </c>
      <c r="AJ18" s="119">
        <f>IFERROR(AI18/AI148, "NA")</f>
        <v>8.983312087048315E-3</v>
      </c>
      <c r="AK18" s="118">
        <f t="shared" si="5"/>
        <v>-2.1438425333429694E-2</v>
      </c>
      <c r="AL18" s="119">
        <f>IFERROR(AK18/AK148, "NA")</f>
        <v>0.27220629369296179</v>
      </c>
    </row>
    <row r="19" spans="1:38" ht="16.5" customHeight="1" x14ac:dyDescent="0.25">
      <c r="A19" s="7" t="s">
        <v>24</v>
      </c>
      <c r="B19" s="115">
        <v>2242.4299999999998</v>
      </c>
      <c r="C19" s="116">
        <f>IFERROR(B19/B148, "NA")</f>
        <v>1.9781881736029211E-2</v>
      </c>
      <c r="D19" s="115">
        <v>2488.9899999999998</v>
      </c>
      <c r="E19" s="116">
        <f>IFERROR(D19/D148, "NA")</f>
        <v>1.9454353603251522E-2</v>
      </c>
      <c r="F19" s="115">
        <v>2378.85</v>
      </c>
      <c r="G19" s="116">
        <f>IFERROR(F19/F148, "NA")</f>
        <v>1.9047764701153436E-2</v>
      </c>
      <c r="H19" s="115">
        <v>2657.17</v>
      </c>
      <c r="I19" s="116">
        <f>IFERROR(H19/H148, "NA")</f>
        <v>2.0930026112416428E-2</v>
      </c>
      <c r="J19" s="115">
        <v>2869.5600000000004</v>
      </c>
      <c r="K19" s="116">
        <f>IFERROR(J19/J148, "NA")</f>
        <v>2.3287495918991239E-2</v>
      </c>
      <c r="L19" s="115">
        <v>2447.25</v>
      </c>
      <c r="M19" s="116">
        <f>IFERROR(L19/L148, "NA")</f>
        <v>1.9040645563663798E-2</v>
      </c>
      <c r="N19" s="115">
        <v>2235.3399999999997</v>
      </c>
      <c r="O19" s="116">
        <f>IFERROR(N19/N148, "NA")</f>
        <v>2.0093156943147797E-2</v>
      </c>
      <c r="P19" s="115">
        <v>3145.13</v>
      </c>
      <c r="Q19" s="116">
        <f>IFERROR(P19/P148, "NA")</f>
        <v>2.3283868447805275E-2</v>
      </c>
      <c r="R19" s="115">
        <v>2724.2999999999997</v>
      </c>
      <c r="S19" s="116">
        <f>IFERROR(R19/R148, "NA")</f>
        <v>2.1111312247490324E-2</v>
      </c>
      <c r="T19" s="115">
        <v>2774.0199999999995</v>
      </c>
      <c r="U19" s="116">
        <f>IFERROR(T19/T148, "NA")</f>
        <v>2.0495549860089696E-2</v>
      </c>
      <c r="V19" s="115">
        <v>2459.62</v>
      </c>
      <c r="W19" s="116">
        <f>IFERROR(V19/V148, "NA")</f>
        <v>1.6247900410613528E-2</v>
      </c>
      <c r="X19" s="115">
        <v>2475.7399999999998</v>
      </c>
      <c r="Y19" s="116">
        <f>IFERROR(X19/X148, "NA")</f>
        <v>2.0816772479556472E-2</v>
      </c>
      <c r="Z19" s="115">
        <v>7709.3799999999992</v>
      </c>
      <c r="AA19" s="116">
        <f>IFERROR(Z19/Z148, "NA")</f>
        <v>1.9004616397821337E-2</v>
      </c>
      <c r="AB19" s="117">
        <f t="shared" si="0"/>
        <v>2608.42</v>
      </c>
      <c r="AC19" s="116">
        <f>IFERROR(AB19/AB148, "NA")</f>
        <v>1.9513043918001259E-2</v>
      </c>
      <c r="AD19" s="118">
        <f t="shared" si="1"/>
        <v>-132.68000000000029</v>
      </c>
      <c r="AE19" s="119">
        <f>IFERROR(AD19/AD148, "NA")</f>
        <v>8.9979078575715792E-3</v>
      </c>
      <c r="AF19" s="118">
        <f t="shared" si="2"/>
        <v>-5.0866041511719848E-2</v>
      </c>
      <c r="AG19" s="117">
        <f t="shared" si="3"/>
        <v>2641.37</v>
      </c>
      <c r="AH19" s="116">
        <f>IFERROR(AG19/AG148, "NA")</f>
        <v>2.0460268510766072E-2</v>
      </c>
      <c r="AI19" s="118">
        <f t="shared" si="4"/>
        <v>-165.63000000000011</v>
      </c>
      <c r="AJ19" s="119">
        <f>IFERROR(AI19/AI148, "NA")</f>
        <v>1.6290198231589482E-2</v>
      </c>
      <c r="AK19" s="118">
        <f t="shared" si="5"/>
        <v>-6.2706095700337375E-2</v>
      </c>
      <c r="AL19" s="119">
        <f>IFERROR(AK19/AK148, "NA")</f>
        <v>0.79618692310991335</v>
      </c>
    </row>
    <row r="20" spans="1:38" ht="16.5" customHeight="1" x14ac:dyDescent="0.25">
      <c r="A20" s="7" t="s">
        <v>25</v>
      </c>
      <c r="B20" s="115">
        <v>1457.02</v>
      </c>
      <c r="C20" s="116">
        <f>IFERROR(B20/B148, "NA")</f>
        <v>1.285328742793723E-2</v>
      </c>
      <c r="D20" s="115">
        <v>1543.94</v>
      </c>
      <c r="E20" s="116">
        <f>IFERROR(D20/D148, "NA")</f>
        <v>1.2067687978740034E-2</v>
      </c>
      <c r="F20" s="115">
        <v>1896.2800000000002</v>
      </c>
      <c r="G20" s="116">
        <f>IFERROR(F20/F148, "NA")</f>
        <v>1.5183763266916048E-2</v>
      </c>
      <c r="H20" s="115">
        <v>1476.2599999999998</v>
      </c>
      <c r="I20" s="116">
        <f>IFERROR(H20/H148, "NA")</f>
        <v>1.1628221133279344E-2</v>
      </c>
      <c r="J20" s="115">
        <v>1784.56</v>
      </c>
      <c r="K20" s="116">
        <f>IFERROR(J20/J148, "NA")</f>
        <v>1.4482336566301105E-2</v>
      </c>
      <c r="L20" s="115">
        <v>1314.96</v>
      </c>
      <c r="M20" s="116">
        <f>IFERROR(L20/L148, "NA")</f>
        <v>1.0230947917211297E-2</v>
      </c>
      <c r="N20" s="115">
        <v>1633.5</v>
      </c>
      <c r="O20" s="116">
        <f>IFERROR(N20/N148, "NA")</f>
        <v>1.468330180940346E-2</v>
      </c>
      <c r="P20" s="115">
        <v>1852.6399999999999</v>
      </c>
      <c r="Q20" s="116">
        <f>IFERROR(P20/P148, "NA")</f>
        <v>1.3715371396775956E-2</v>
      </c>
      <c r="R20" s="115">
        <v>1714.06</v>
      </c>
      <c r="S20" s="116">
        <f>IFERROR(R20/R148, "NA")</f>
        <v>1.3282698627512855E-2</v>
      </c>
      <c r="T20" s="115">
        <v>1715.24</v>
      </c>
      <c r="U20" s="116">
        <f>IFERROR(T20/T148, "NA")</f>
        <v>1.267286715381297E-2</v>
      </c>
      <c r="V20" s="115">
        <v>1928.12</v>
      </c>
      <c r="W20" s="116">
        <f>IFERROR(V20/V148, "NA")</f>
        <v>1.2736886892980279E-2</v>
      </c>
      <c r="X20" s="115">
        <v>1826.23</v>
      </c>
      <c r="Y20" s="116">
        <f>IFERROR(X20/X148, "NA")</f>
        <v>1.5355495490374764E-2</v>
      </c>
      <c r="Z20" s="115">
        <v>5469.59</v>
      </c>
      <c r="AA20" s="116">
        <f>IFERROR(Z20/Z148, "NA")</f>
        <v>1.348324506034981E-2</v>
      </c>
      <c r="AB20" s="117">
        <f t="shared" si="0"/>
        <v>1795.9124999999999</v>
      </c>
      <c r="AC20" s="116">
        <f>IFERROR(AB20/AB148, "NA")</f>
        <v>1.3434845418064358E-2</v>
      </c>
      <c r="AD20" s="118">
        <f t="shared" si="1"/>
        <v>30.317500000000109</v>
      </c>
      <c r="AE20" s="119">
        <f>IFERROR(AD20/AD148, "NA")</f>
        <v>-2.0560300834483471E-3</v>
      </c>
      <c r="AF20" s="118">
        <f t="shared" si="2"/>
        <v>1.6881390379542494E-2</v>
      </c>
      <c r="AG20" s="117">
        <f t="shared" si="3"/>
        <v>1721.1637499999997</v>
      </c>
      <c r="AH20" s="116">
        <f>IFERROR(AG20/AG148, "NA")</f>
        <v>1.3332275476740117E-2</v>
      </c>
      <c r="AI20" s="118">
        <f t="shared" si="4"/>
        <v>105.06625000000031</v>
      </c>
      <c r="AJ20" s="119">
        <f>IFERROR(AI20/AI148, "NA")</f>
        <v>-1.0333575076675375E-2</v>
      </c>
      <c r="AK20" s="118">
        <f t="shared" si="5"/>
        <v>6.1043726955090895E-2</v>
      </c>
      <c r="AL20" s="119">
        <f>IFERROR(AK20/AK148, "NA")</f>
        <v>-0.77507962498251992</v>
      </c>
    </row>
    <row r="21" spans="1:38" ht="16.5" customHeight="1" x14ac:dyDescent="0.25">
      <c r="A21" s="7" t="s">
        <v>26</v>
      </c>
      <c r="B21" s="115">
        <v>893.89</v>
      </c>
      <c r="C21" s="116">
        <f>IFERROR(B21/B148, "NA")</f>
        <v>7.8855644390322787E-3</v>
      </c>
      <c r="D21" s="115">
        <v>1027.3599999999999</v>
      </c>
      <c r="E21" s="116">
        <f>IFERROR(D21/D148, "NA")</f>
        <v>8.030014069094888E-3</v>
      </c>
      <c r="F21" s="115">
        <v>875.48</v>
      </c>
      <c r="G21" s="116">
        <f>IFERROR(F21/F148, "NA")</f>
        <v>7.0100834607334682E-3</v>
      </c>
      <c r="H21" s="115">
        <v>1007.6400000000001</v>
      </c>
      <c r="I21" s="116">
        <f>IFERROR(H21/H148, "NA")</f>
        <v>7.9369899223291299E-3</v>
      </c>
      <c r="J21" s="115">
        <v>812.72</v>
      </c>
      <c r="K21" s="116">
        <f>IFERROR(J21/J148, "NA")</f>
        <v>6.5955106996482245E-3</v>
      </c>
      <c r="L21" s="115">
        <v>832.45</v>
      </c>
      <c r="M21" s="116">
        <f>IFERROR(L21/L148, "NA")</f>
        <v>6.4768149553465848E-3</v>
      </c>
      <c r="N21" s="115">
        <v>1008.32</v>
      </c>
      <c r="O21" s="116">
        <f>IFERROR(N21/N148, "NA")</f>
        <v>9.0636466975559833E-3</v>
      </c>
      <c r="P21" s="115">
        <v>1514.01</v>
      </c>
      <c r="Q21" s="116">
        <f>IFERROR(P21/P148, "NA")</f>
        <v>1.1208442788902737E-2</v>
      </c>
      <c r="R21" s="115">
        <v>573.79</v>
      </c>
      <c r="S21" s="116">
        <f>IFERROR(R21/R148, "NA")</f>
        <v>4.446448575592803E-3</v>
      </c>
      <c r="T21" s="115">
        <v>1083.96</v>
      </c>
      <c r="U21" s="116">
        <f>IFERROR(T21/T148, "NA")</f>
        <v>8.0087224412018765E-3</v>
      </c>
      <c r="V21" s="115">
        <v>1076.19</v>
      </c>
      <c r="W21" s="116">
        <f>IFERROR(V21/V148, "NA")</f>
        <v>7.1091583020540467E-3</v>
      </c>
      <c r="X21" s="115">
        <v>918.45999999999992</v>
      </c>
      <c r="Y21" s="116">
        <f>IFERROR(X21/X148, "NA")</f>
        <v>7.7226901256082772E-3</v>
      </c>
      <c r="Z21" s="115">
        <v>3078.6100000000006</v>
      </c>
      <c r="AA21" s="116">
        <f>IFERROR(Z21/Z148, "NA")</f>
        <v>7.5891708656852771E-3</v>
      </c>
      <c r="AB21" s="117">
        <f t="shared" si="0"/>
        <v>913.1</v>
      </c>
      <c r="AC21" s="116">
        <f>IFERROR(AB21/AB148, "NA")</f>
        <v>6.830709932268174E-3</v>
      </c>
      <c r="AD21" s="118">
        <f t="shared" si="1"/>
        <v>5.3599999999999</v>
      </c>
      <c r="AE21" s="119">
        <f>IFERROR(AD21/AD148, "NA")</f>
        <v>-3.634970313278765E-4</v>
      </c>
      <c r="AF21" s="118">
        <f t="shared" si="2"/>
        <v>5.8701128025406852E-3</v>
      </c>
      <c r="AG21" s="117">
        <f t="shared" si="3"/>
        <v>977.48750000000007</v>
      </c>
      <c r="AH21" s="116">
        <f>IFERROR(AG21/AG148, "NA")</f>
        <v>7.571698291385702E-3</v>
      </c>
      <c r="AI21" s="118">
        <f t="shared" si="4"/>
        <v>-59.027500000000146</v>
      </c>
      <c r="AJ21" s="119">
        <f>IFERROR(AI21/AI148, "NA")</f>
        <v>5.8055284436101555E-3</v>
      </c>
      <c r="AK21" s="118">
        <f t="shared" si="5"/>
        <v>-6.0386961470095674E-2</v>
      </c>
      <c r="AL21" s="119">
        <f>IFERROR(AK21/AK148, "NA")</f>
        <v>0.76674059374699166</v>
      </c>
    </row>
    <row r="22" spans="1:38" ht="16.5" customHeight="1" x14ac:dyDescent="0.25">
      <c r="A22" s="7" t="s">
        <v>27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-3</v>
      </c>
      <c r="W22" s="116">
        <f>IFERROR(V22/V148, "NA")</f>
        <v>-1.9817573947130284E-5</v>
      </c>
      <c r="X22" s="115">
        <v>0</v>
      </c>
      <c r="Y22" s="116">
        <f>IFERROR(X22/X148, "NA")</f>
        <v>0</v>
      </c>
      <c r="Z22" s="115">
        <v>-3</v>
      </c>
      <c r="AA22" s="116">
        <f>IFERROR(Z22/Z148, "NA")</f>
        <v>-7.3953870730803271E-6</v>
      </c>
      <c r="AB22" s="117">
        <f t="shared" si="0"/>
        <v>-0.75</v>
      </c>
      <c r="AC22" s="116">
        <f>IFERROR(AB22/AB148, "NA")</f>
        <v>-5.6105929790834854E-6</v>
      </c>
      <c r="AD22" s="118">
        <f t="shared" si="1"/>
        <v>0.75</v>
      </c>
      <c r="AE22" s="119">
        <f>IFERROR(AD22/AD148, "NA")</f>
        <v>-5.0862457741774716E-5</v>
      </c>
      <c r="AF22" s="118">
        <f t="shared" si="2"/>
        <v>-1</v>
      </c>
      <c r="AG22" s="117">
        <f t="shared" si="3"/>
        <v>-0.375</v>
      </c>
      <c r="AH22" s="116">
        <f>IFERROR(AG22/AG148, "NA")</f>
        <v>-2.9047807355793686E-6</v>
      </c>
      <c r="AI22" s="118">
        <f t="shared" si="4"/>
        <v>0.375</v>
      </c>
      <c r="AJ22" s="119">
        <f>IFERROR(AI22/AI148, "NA")</f>
        <v>-3.6882354264602141E-5</v>
      </c>
      <c r="AK22" s="118">
        <f t="shared" si="5"/>
        <v>-1</v>
      </c>
      <c r="AL22" s="119">
        <f>IFERROR(AK22/AK148, "NA")</f>
        <v>12.697121615014369</v>
      </c>
    </row>
    <row r="23" spans="1:38" ht="16.5" customHeight="1" x14ac:dyDescent="0.25">
      <c r="A23" s="7" t="s">
        <v>28</v>
      </c>
      <c r="B23" s="115">
        <v>702.53</v>
      </c>
      <c r="C23" s="116">
        <f>IFERROR(B23/B148, "NA")</f>
        <v>6.197457836370635E-3</v>
      </c>
      <c r="D23" s="115">
        <v>996.99999999999989</v>
      </c>
      <c r="E23" s="116">
        <f>IFERROR(D23/D148, "NA")</f>
        <v>7.7927153353134276E-3</v>
      </c>
      <c r="F23" s="115">
        <v>780.32</v>
      </c>
      <c r="G23" s="116">
        <f>IFERROR(F23/F148, "NA")</f>
        <v>6.2481248298985013E-3</v>
      </c>
      <c r="H23" s="115">
        <v>533.6</v>
      </c>
      <c r="I23" s="116">
        <f>IFERROR(H23/H148, "NA")</f>
        <v>4.203066395294771E-3</v>
      </c>
      <c r="J23" s="115">
        <v>-183.94</v>
      </c>
      <c r="K23" s="116">
        <f>IFERROR(J23/J148, "NA")</f>
        <v>-1.4927382592938457E-3</v>
      </c>
      <c r="L23" s="115">
        <v>1442.7</v>
      </c>
      <c r="M23" s="116">
        <f>IFERROR(L23/L148, "NA")</f>
        <v>1.1224819431892026E-2</v>
      </c>
      <c r="N23" s="115">
        <v>521.64</v>
      </c>
      <c r="O23" s="116">
        <f>IFERROR(N23/N148, "NA")</f>
        <v>4.6889486108706588E-3</v>
      </c>
      <c r="P23" s="115">
        <v>1236.72</v>
      </c>
      <c r="Q23" s="116">
        <f>IFERROR(P23/P148, "NA")</f>
        <v>9.155623388149214E-3</v>
      </c>
      <c r="R23" s="115">
        <v>836.55</v>
      </c>
      <c r="S23" s="116">
        <f>IFERROR(R23/R148, "NA")</f>
        <v>6.4826444446786447E-3</v>
      </c>
      <c r="T23" s="115">
        <v>898.33</v>
      </c>
      <c r="U23" s="116">
        <f>IFERROR(T23/T148, "NA")</f>
        <v>6.6372150546190655E-3</v>
      </c>
      <c r="V23" s="115">
        <v>694.39</v>
      </c>
      <c r="W23" s="116">
        <f>IFERROR(V23/V148, "NA")</f>
        <v>4.5870417243825991E-3</v>
      </c>
      <c r="X23" s="115">
        <v>897.7</v>
      </c>
      <c r="Y23" s="116">
        <f>IFERROR(X23/X148, "NA")</f>
        <v>7.5481337518874545E-3</v>
      </c>
      <c r="Z23" s="115">
        <v>2490.42</v>
      </c>
      <c r="AA23" s="116">
        <f>IFERROR(Z23/Z148, "NA")</f>
        <v>6.1392066248469029E-3</v>
      </c>
      <c r="AB23" s="117">
        <f t="shared" si="0"/>
        <v>831.74250000000006</v>
      </c>
      <c r="AC23" s="116">
        <f>IFERROR(AB23/AB148, "NA")</f>
        <v>6.222091507873795E-3</v>
      </c>
      <c r="AD23" s="118">
        <f t="shared" si="1"/>
        <v>65.957499999999982</v>
      </c>
      <c r="AE23" s="119">
        <f>IFERROR(AD23/AD148, "NA")</f>
        <v>-4.4730140753374732E-3</v>
      </c>
      <c r="AF23" s="118">
        <f t="shared" si="2"/>
        <v>7.9300384433884263E-2</v>
      </c>
      <c r="AG23" s="117">
        <f t="shared" si="3"/>
        <v>793.01125000000002</v>
      </c>
      <c r="AH23" s="116">
        <f>IFERROR(AG23/AG148, "NA")</f>
        <v>6.1427301389272394E-3</v>
      </c>
      <c r="AI23" s="118">
        <f t="shared" si="4"/>
        <v>104.68875000000003</v>
      </c>
      <c r="AJ23" s="119">
        <f>IFERROR(AI23/AI148, "NA")</f>
        <v>-1.0296446840048983E-2</v>
      </c>
      <c r="AK23" s="118">
        <f t="shared" si="5"/>
        <v>0.13201420534702379</v>
      </c>
      <c r="AL23" s="119">
        <f>IFERROR(AK23/AK148, "NA")</f>
        <v>-1.6762004202006413</v>
      </c>
    </row>
    <row r="24" spans="1:38" ht="16.5" customHeight="1" x14ac:dyDescent="0.25">
      <c r="A24" s="7" t="s">
        <v>29</v>
      </c>
      <c r="B24" s="115">
        <v>6805.88</v>
      </c>
      <c r="C24" s="116">
        <f>IFERROR(B24/B148, "NA")</f>
        <v>6.0038936898635188E-2</v>
      </c>
      <c r="D24" s="115">
        <v>8475.4</v>
      </c>
      <c r="E24" s="116">
        <f>IFERROR(D24/D148, "NA")</f>
        <v>6.6245114897608245E-2</v>
      </c>
      <c r="F24" s="115">
        <v>7329.29</v>
      </c>
      <c r="G24" s="116">
        <f>IFERROR(F24/F148, "NA")</f>
        <v>5.8686588623291451E-2</v>
      </c>
      <c r="H24" s="115">
        <v>7484.7199999999993</v>
      </c>
      <c r="I24" s="116">
        <f>IFERROR(H24/H148, "NA")</f>
        <v>5.895572546887308E-2</v>
      </c>
      <c r="J24" s="115">
        <v>7025.25</v>
      </c>
      <c r="K24" s="116">
        <f>IFERROR(J24/J148, "NA")</f>
        <v>5.7012392389388336E-2</v>
      </c>
      <c r="L24" s="115">
        <v>6883.91</v>
      </c>
      <c r="M24" s="116">
        <f>IFERROR(L24/L148, "NA")</f>
        <v>5.3559746818739748E-2</v>
      </c>
      <c r="N24" s="115">
        <v>6478.5599999999995</v>
      </c>
      <c r="O24" s="116">
        <f>IFERROR(N24/N148, "NA")</f>
        <v>5.8234864873173475E-2</v>
      </c>
      <c r="P24" s="115">
        <v>7924.1399999999994</v>
      </c>
      <c r="Q24" s="116">
        <f>IFERROR(P24/P148, "NA")</f>
        <v>5.8663595247888535E-2</v>
      </c>
      <c r="R24" s="115">
        <v>7662.4699999999993</v>
      </c>
      <c r="S24" s="116">
        <f>IFERROR(R24/R148, "NA")</f>
        <v>5.9378481355587563E-2</v>
      </c>
      <c r="T24" s="115">
        <v>7441.2000000000007</v>
      </c>
      <c r="U24" s="116">
        <f>IFERROR(T24/T148, "NA")</f>
        <v>5.4978509750794685E-2</v>
      </c>
      <c r="V24" s="115">
        <v>8226.6</v>
      </c>
      <c r="W24" s="116">
        <f>IFERROR(V24/V148, "NA")</f>
        <v>5.4343751277820665E-2</v>
      </c>
      <c r="X24" s="115">
        <v>5945.97</v>
      </c>
      <c r="Y24" s="116">
        <f>IFERROR(X24/X148, "NA")</f>
        <v>4.9995518374412663E-2</v>
      </c>
      <c r="Z24" s="115">
        <v>21613.77</v>
      </c>
      <c r="AA24" s="116">
        <f>IFERROR(Z24/Z148, "NA")</f>
        <v>5.3280731752843792E-2</v>
      </c>
      <c r="AB24" s="117">
        <f t="shared" si="0"/>
        <v>7319.06</v>
      </c>
      <c r="AC24" s="116">
        <f>IFERROR(AB24/AB148, "NA")</f>
        <v>5.4752355532654368E-2</v>
      </c>
      <c r="AD24" s="118">
        <f t="shared" si="1"/>
        <v>-1373.0900000000001</v>
      </c>
      <c r="AE24" s="119">
        <f>IFERROR(AD24/AD148, "NA")</f>
        <v>9.3118309467537935E-2</v>
      </c>
      <c r="AF24" s="118">
        <f t="shared" si="2"/>
        <v>-0.18760469240585539</v>
      </c>
      <c r="AG24" s="117">
        <f t="shared" si="3"/>
        <v>7198.5124999999998</v>
      </c>
      <c r="AH24" s="116">
        <f>IFERROR(AG24/AG148, "NA")</f>
        <v>5.5760267826206078E-2</v>
      </c>
      <c r="AI24" s="118">
        <f t="shared" si="4"/>
        <v>-1252.5424999999996</v>
      </c>
      <c r="AJ24" s="119">
        <f>IFERROR(AI24/AI148, "NA")</f>
        <v>0.1231912432439211</v>
      </c>
      <c r="AK24" s="118">
        <f t="shared" si="5"/>
        <v>-0.1740001840658052</v>
      </c>
      <c r="AL24" s="119">
        <f>IFERROR(AK24/AK148, "NA")</f>
        <v>2.209301498118414</v>
      </c>
    </row>
    <row r="25" spans="1:38" ht="16.5" hidden="1" customHeight="1" x14ac:dyDescent="0.25">
      <c r="A25" s="7" t="s">
        <v>30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31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32</v>
      </c>
      <c r="B27" s="121">
        <f>IFERROR(B15+B16+B17+B18+B19+B20+B21+B22+B23+B24+B25+B26, "NA")</f>
        <v>25291.45</v>
      </c>
      <c r="C27" s="122">
        <f>IFERROR(B27/B148, "NA")</f>
        <v>0.22311174611144877</v>
      </c>
      <c r="D27" s="121">
        <f>IFERROR(D15+D16+D17+D18+D19+D20+D21+D22+D23+D24+D25+D26, "NA")</f>
        <v>26739.440000000002</v>
      </c>
      <c r="E27" s="122">
        <f>IFERROR(D27/D148, "NA")</f>
        <v>0.20899984367672347</v>
      </c>
      <c r="F27" s="121">
        <f>IFERROR(F15+F16+F17+F18+F19+F20+F21+F22+F23+F24+F25+F26, "NA")</f>
        <v>25868.79</v>
      </c>
      <c r="G27" s="122">
        <f>IFERROR(F27/F148, "NA")</f>
        <v>0.20713480254053471</v>
      </c>
      <c r="H27" s="121">
        <f>IFERROR(H15+H16+H17+H18+H19+H20+H21+H22+H23+H24+H25+H26, "NA")</f>
        <v>25726.449999999997</v>
      </c>
      <c r="I27" s="122">
        <f>IFERROR(H27/H148, "NA")</f>
        <v>0.20264238655403138</v>
      </c>
      <c r="J27" s="121">
        <f>IFERROR(J15+J16+J17+J18+J19+J20+J21+J22+J23+J24+J25+J26, "NA")</f>
        <v>23706.39</v>
      </c>
      <c r="K27" s="122">
        <f>IFERROR(J27/J148, "NA")</f>
        <v>0.19238575265163113</v>
      </c>
      <c r="L27" s="121">
        <f>IFERROR(L15+L16+L17+L18+L19+L20+L21+L22+L23+L24+L25+L26, "NA")</f>
        <v>25094.350000000002</v>
      </c>
      <c r="M27" s="122">
        <f>IFERROR(L27/L148, "NA")</f>
        <v>0.19524471304547009</v>
      </c>
      <c r="N27" s="121">
        <f>IFERROR(N15+N16+N17+N18+N19+N20+N21+N22+N23+N24+N25+N26, "NA")</f>
        <v>23348.059999999998</v>
      </c>
      <c r="O27" s="122">
        <f>IFERROR(N27/N148, "NA")</f>
        <v>0.20987242830980135</v>
      </c>
      <c r="P27" s="121">
        <f>IFERROR(P15+P16+P17+P18+P19+P20+P21+P22+P23+P24+P25+P26, "NA")</f>
        <v>27943.86</v>
      </c>
      <c r="Q27" s="122">
        <f>IFERROR(P27/P148, "NA")</f>
        <v>0.20687258083573268</v>
      </c>
      <c r="R27" s="121">
        <f>IFERROR(R15+R16+R17+R18+R19+R20+R21+R22+R23+R24+R25+R26, "NA")</f>
        <v>26705.08</v>
      </c>
      <c r="S27" s="122">
        <f>IFERROR(R27/R148, "NA")</f>
        <v>0.20694463989803216</v>
      </c>
      <c r="T27" s="121">
        <f>IFERROR(T15+T16+T17+T18+T19+T20+T21+T22+T23+T24+T25+T26, "NA")</f>
        <v>27720.510000000002</v>
      </c>
      <c r="U27" s="122">
        <f>IFERROR(T27/T148, "NA")</f>
        <v>0.20481002114336419</v>
      </c>
      <c r="V27" s="121">
        <f>IFERROR(V15+V16+V17+V18+V19+V20+V21+V22+V23+V24+V25+V26, "NA")</f>
        <v>28929.989999999998</v>
      </c>
      <c r="W27" s="122">
        <f>IFERROR(V27/V148, "NA")</f>
        <v>0.19110740537157986</v>
      </c>
      <c r="X27" s="121">
        <f>IFERROR(X15+X16+X17+X18+X19+X20+X21+X22+X23+X24+X25+X26, "NA")</f>
        <v>24645.780000000002</v>
      </c>
      <c r="Y27" s="122">
        <f>IFERROR(X27/X148, "NA")</f>
        <v>0.20722918999620452</v>
      </c>
      <c r="Z27" s="121">
        <f>IFERROR(Z15+Z16+Z17+Z18+Z19+Z20+Z21+Z22+Z23+Z24+Z25+Z26, "NA")</f>
        <v>81296.28</v>
      </c>
      <c r="AA27" s="122">
        <f>IFERROR(Z27/Z148, "NA")</f>
        <v>0.20040581940050625</v>
      </c>
      <c r="AB27" s="121">
        <f t="shared" si="0"/>
        <v>27000.34</v>
      </c>
      <c r="AC27" s="122">
        <f>IFERROR(AB27/AB148, "NA")</f>
        <v>0.20198389071582265</v>
      </c>
      <c r="AD27" s="123">
        <f t="shared" si="1"/>
        <v>-2354.5599999999977</v>
      </c>
      <c r="AE27" s="124">
        <f>IFERROR(AD27/AD148, "NA")</f>
        <v>0.15967827800063059</v>
      </c>
      <c r="AF27" s="123">
        <f t="shared" si="2"/>
        <v>-8.7204827791057357E-2</v>
      </c>
      <c r="AG27" s="121">
        <f t="shared" si="3"/>
        <v>26011.752499999999</v>
      </c>
      <c r="AH27" s="122">
        <f>IFERROR(AG27/AG148, "NA")</f>
        <v>0.20148916682842261</v>
      </c>
      <c r="AI27" s="123">
        <f t="shared" si="4"/>
        <v>-1365.9724999999962</v>
      </c>
      <c r="AJ27" s="124">
        <f>IFERROR(AI27/AI148, "NA")</f>
        <v>0.13434741776187761</v>
      </c>
      <c r="AK27" s="123">
        <f t="shared" si="5"/>
        <v>-5.2513666658945655E-2</v>
      </c>
      <c r="AL27" s="124">
        <f>IFERROR(AK27/AK148, "NA")</f>
        <v>0.66677241201895832</v>
      </c>
    </row>
    <row r="28" spans="1:38" ht="16.5" customHeight="1" x14ac:dyDescent="0.25">
      <c r="A28" s="6" t="s">
        <v>33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34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35</v>
      </c>
      <c r="B30" s="115">
        <v>1299.6499999999999</v>
      </c>
      <c r="C30" s="116">
        <f>IFERROR(B30/B148, "NA")</f>
        <v>1.146502793765262E-2</v>
      </c>
      <c r="D30" s="115">
        <v>1368.44</v>
      </c>
      <c r="E30" s="116">
        <f>IFERROR(D30/D148, "NA")</f>
        <v>1.0695951227137721E-2</v>
      </c>
      <c r="F30" s="115">
        <v>1174.52</v>
      </c>
      <c r="G30" s="116">
        <f>IFERROR(F30/F148, "NA")</f>
        <v>9.4045360559929098E-3</v>
      </c>
      <c r="H30" s="115">
        <v>1483.11</v>
      </c>
      <c r="I30" s="116">
        <f>IFERROR(H30/H148, "NA")</f>
        <v>1.1682177289215943E-2</v>
      </c>
      <c r="J30" s="115">
        <v>1200.5999999999999</v>
      </c>
      <c r="K30" s="116">
        <f>IFERROR(J30/J148, "NA")</f>
        <v>9.7432943030781299E-3</v>
      </c>
      <c r="L30" s="115">
        <v>1032.5</v>
      </c>
      <c r="M30" s="116">
        <f>IFERROR(L30/L148, "NA")</f>
        <v>8.0332890160314113E-3</v>
      </c>
      <c r="N30" s="115">
        <v>1300.3799999999999</v>
      </c>
      <c r="O30" s="116">
        <f>IFERROR(N30/N148, "NA")</f>
        <v>1.1688932970255323E-2</v>
      </c>
      <c r="P30" s="115">
        <v>1100.52</v>
      </c>
      <c r="Q30" s="116">
        <f>IFERROR(P30/P148, "NA")</f>
        <v>8.1473143889691877E-3</v>
      </c>
      <c r="R30" s="115">
        <v>1173.9000000000001</v>
      </c>
      <c r="S30" s="116">
        <f>IFERROR(R30/R148, "NA")</f>
        <v>9.0968577055863514E-3</v>
      </c>
      <c r="T30" s="115">
        <v>1247.4000000000001</v>
      </c>
      <c r="U30" s="116">
        <f>IFERROR(T30/T148, "NA")</f>
        <v>9.2162813878327813E-3</v>
      </c>
      <c r="V30" s="115">
        <v>1356.6899999999998</v>
      </c>
      <c r="W30" s="116">
        <f>IFERROR(V30/V148, "NA")</f>
        <v>8.9621014661107265E-3</v>
      </c>
      <c r="X30" s="115">
        <v>911.60000000000014</v>
      </c>
      <c r="Y30" s="116">
        <f>IFERROR(X30/X148, "NA")</f>
        <v>7.665009165891282E-3</v>
      </c>
      <c r="Z30" s="115">
        <v>3515.69</v>
      </c>
      <c r="AA30" s="116">
        <f>IFERROR(Z30/Z148, "NA")</f>
        <v>8.6666294596525924E-3</v>
      </c>
      <c r="AB30" s="117">
        <f t="shared" si="6"/>
        <v>1172.3975</v>
      </c>
      <c r="AC30" s="116">
        <f>IFERROR(AB30/AB148, "NA")</f>
        <v>8.7704602429267073E-3</v>
      </c>
      <c r="AD30" s="118">
        <f t="shared" si="7"/>
        <v>-260.7974999999999</v>
      </c>
      <c r="AE30" s="119">
        <f>IFERROR(AD30/AD148, "NA")</f>
        <v>1.7686402430547313E-2</v>
      </c>
      <c r="AF30" s="118">
        <f t="shared" si="8"/>
        <v>-0.2224480178437773</v>
      </c>
      <c r="AG30" s="117">
        <f t="shared" si="9"/>
        <v>1165.44875</v>
      </c>
      <c r="AH30" s="116">
        <f>IFERROR(AG30/AG148, "NA")</f>
        <v>9.0276615394801491E-3</v>
      </c>
      <c r="AI30" s="118">
        <f t="shared" si="10"/>
        <v>-253.84874999999988</v>
      </c>
      <c r="AJ30" s="119">
        <f>IFERROR(AI30/AI148, "NA")</f>
        <v>2.4966772072337114E-2</v>
      </c>
      <c r="AK30" s="118">
        <f t="shared" si="11"/>
        <v>-0.21781202305120656</v>
      </c>
      <c r="AL30" s="119">
        <f>IFERROR(AK30/AK148, "NA")</f>
        <v>2.7655857458934832</v>
      </c>
    </row>
    <row r="31" spans="1:38" ht="16.5" customHeight="1" x14ac:dyDescent="0.25">
      <c r="A31" s="7" t="s">
        <v>36</v>
      </c>
      <c r="B31" s="115">
        <v>53.22</v>
      </c>
      <c r="C31" s="116">
        <f>IFERROR(B31/B148, "NA")</f>
        <v>4.6948700561064323E-4</v>
      </c>
      <c r="D31" s="115">
        <v>54.96</v>
      </c>
      <c r="E31" s="116">
        <f>IFERROR(D31/D148, "NA")</f>
        <v>4.2957636392058777E-4</v>
      </c>
      <c r="F31" s="115">
        <v>45.92</v>
      </c>
      <c r="G31" s="116">
        <f>IFERROR(F31/F148, "NA")</f>
        <v>3.6768747717467088E-4</v>
      </c>
      <c r="H31" s="115">
        <v>46.85</v>
      </c>
      <c r="I31" s="116">
        <f>IFERROR(H31/H148, "NA")</f>
        <v>3.6902859936199404E-4</v>
      </c>
      <c r="J31" s="115">
        <v>46.17</v>
      </c>
      <c r="K31" s="116">
        <f>IFERROR(J31/J148, "NA")</f>
        <v>3.7468590535825195E-4</v>
      </c>
      <c r="L31" s="115">
        <v>44.66</v>
      </c>
      <c r="M31" s="116">
        <f>IFERROR(L31/L148, "NA")</f>
        <v>3.474737893035959E-4</v>
      </c>
      <c r="N31" s="115">
        <v>158.27000000000001</v>
      </c>
      <c r="O31" s="116">
        <f>IFERROR(N31/N148, "NA")</f>
        <v>1.4226667752520882E-3</v>
      </c>
      <c r="P31" s="115">
        <v>-74.249999999999986</v>
      </c>
      <c r="Q31" s="116">
        <f>IFERROR(P31/P148, "NA")</f>
        <v>-5.4968387069836261E-4</v>
      </c>
      <c r="R31" s="115">
        <v>38.549999999999997</v>
      </c>
      <c r="S31" s="116">
        <f>IFERROR(R31/R148, "NA")</f>
        <v>2.987340186986573E-4</v>
      </c>
      <c r="T31" s="115">
        <v>1.2499999999999991</v>
      </c>
      <c r="U31" s="116">
        <f>IFERROR(T31/T148, "NA")</f>
        <v>9.2354912095486348E-6</v>
      </c>
      <c r="V31" s="115">
        <v>43.580000000000005</v>
      </c>
      <c r="W31" s="116">
        <f>IFERROR(V31/V148, "NA")</f>
        <v>2.8788329087197929E-4</v>
      </c>
      <c r="X31" s="115">
        <v>38.19</v>
      </c>
      <c r="Y31" s="116">
        <f>IFERROR(X31/X148, "NA")</f>
        <v>3.2111309789972358E-4</v>
      </c>
      <c r="Z31" s="115">
        <v>83.02000000000001</v>
      </c>
      <c r="AA31" s="116">
        <f>IFERROR(Z31/Z148, "NA")</f>
        <v>2.0465501160237627E-4</v>
      </c>
      <c r="AB31" s="117">
        <f t="shared" si="6"/>
        <v>30.392499999999998</v>
      </c>
      <c r="AC31" s="116">
        <f>IFERROR(AB31/AB148, "NA")</f>
        <v>2.2735992948905975E-4</v>
      </c>
      <c r="AD31" s="118">
        <f t="shared" si="7"/>
        <v>7.7974999999999994</v>
      </c>
      <c r="AE31" s="119">
        <f>IFERROR(AD31/AD148, "NA")</f>
        <v>-5.288000189886511E-4</v>
      </c>
      <c r="AF31" s="118">
        <f t="shared" si="8"/>
        <v>0.25656000658057088</v>
      </c>
      <c r="AG31" s="117">
        <f t="shared" si="9"/>
        <v>37.052500000000002</v>
      </c>
      <c r="AH31" s="116">
        <f>IFERROR(AG31/AG148, "NA")</f>
        <v>2.8701170188014552E-4</v>
      </c>
      <c r="AI31" s="118">
        <f t="shared" si="10"/>
        <v>1.1374999999999957</v>
      </c>
      <c r="AJ31" s="119">
        <f>IFERROR(AI31/AI148, "NA")</f>
        <v>-1.1187647460262608E-4</v>
      </c>
      <c r="AK31" s="118">
        <f t="shared" si="11"/>
        <v>3.0699682882396481E-2</v>
      </c>
      <c r="AL31" s="119">
        <f>IFERROR(AK31/AK148, "NA")</f>
        <v>-0.38979760710016303</v>
      </c>
    </row>
    <row r="32" spans="1:38" ht="16.5" customHeight="1" x14ac:dyDescent="0.25">
      <c r="A32" s="7" t="s">
        <v>37</v>
      </c>
      <c r="B32" s="115">
        <v>0.8</v>
      </c>
      <c r="C32" s="116">
        <f>IFERROR(B32/B148, "NA")</f>
        <v>7.0573018505921572E-6</v>
      </c>
      <c r="D32" s="115">
        <v>-26.099999999999998</v>
      </c>
      <c r="E32" s="116">
        <f>IFERROR(D32/D148, "NA")</f>
        <v>-2.0400187587931842E-4</v>
      </c>
      <c r="F32" s="115">
        <v>25.299999999999997</v>
      </c>
      <c r="G32" s="116">
        <f>IFERROR(F32/F148, "NA")</f>
        <v>2.0258042623081819E-4</v>
      </c>
      <c r="H32" s="115">
        <v>5.4</v>
      </c>
      <c r="I32" s="116">
        <f>IFERROR(H32/H148, "NA")</f>
        <v>4.2534779862428341E-5</v>
      </c>
      <c r="J32" s="115">
        <v>-28.31</v>
      </c>
      <c r="K32" s="116">
        <f>IFERROR(J32/J148, "NA")</f>
        <v>-2.2974567859415448E-4</v>
      </c>
      <c r="L32" s="115">
        <v>1.99</v>
      </c>
      <c r="M32" s="116">
        <f>IFERROR(L32/L148, "NA")</f>
        <v>1.5483046142278458E-5</v>
      </c>
      <c r="N32" s="115">
        <v>26.32</v>
      </c>
      <c r="O32" s="116">
        <f>IFERROR(N32/N148, "NA")</f>
        <v>2.365867790777466E-4</v>
      </c>
      <c r="P32" s="115">
        <v>1.59</v>
      </c>
      <c r="Q32" s="116">
        <f>IFERROR(P32/P148, "NA")</f>
        <v>1.1771008140207365E-5</v>
      </c>
      <c r="R32" s="115">
        <v>-16.71</v>
      </c>
      <c r="S32" s="116">
        <f>IFERROR(R32/R148, "NA")</f>
        <v>-1.294901544086787E-4</v>
      </c>
      <c r="T32" s="115">
        <v>29.9</v>
      </c>
      <c r="U32" s="116">
        <f>IFERROR(T32/T148, "NA")</f>
        <v>2.2091294973240348E-4</v>
      </c>
      <c r="V32" s="115">
        <v>-35.18</v>
      </c>
      <c r="W32" s="116">
        <f>IFERROR(V32/V148, "NA")</f>
        <v>-2.3239408382001446E-4</v>
      </c>
      <c r="X32" s="115">
        <v>-14.39</v>
      </c>
      <c r="Y32" s="116">
        <f>IFERROR(X32/X148, "NA")</f>
        <v>-1.2099548255504118E-4</v>
      </c>
      <c r="Z32" s="115">
        <v>-19.670000000000002</v>
      </c>
      <c r="AA32" s="116">
        <f>IFERROR(Z32/Z148, "NA")</f>
        <v>-4.848908790916335E-5</v>
      </c>
      <c r="AB32" s="117">
        <f t="shared" si="6"/>
        <v>-9.0950000000000006</v>
      </c>
      <c r="AC32" s="116">
        <f>IFERROR(AB32/AB148, "NA")</f>
        <v>-6.8037790859685736E-5</v>
      </c>
      <c r="AD32" s="118">
        <f t="shared" si="7"/>
        <v>-5.2949999999999999</v>
      </c>
      <c r="AE32" s="119">
        <f>IFERROR(AD32/AD148, "NA")</f>
        <v>3.5908895165692945E-4</v>
      </c>
      <c r="AF32" s="118">
        <f t="shared" si="8"/>
        <v>0.58218801539307308</v>
      </c>
      <c r="AG32" s="117">
        <f t="shared" si="9"/>
        <v>-4.3487500000000008</v>
      </c>
      <c r="AH32" s="116">
        <f>IFERROR(AG32/AG148, "NA")</f>
        <v>-3.3685773930268749E-5</v>
      </c>
      <c r="AI32" s="118">
        <f t="shared" si="10"/>
        <v>-10.04125</v>
      </c>
      <c r="AJ32" s="119">
        <f>IFERROR(AI32/AI148, "NA")</f>
        <v>9.8758650602516333E-4</v>
      </c>
      <c r="AK32" s="118">
        <f t="shared" si="11"/>
        <v>2.3089968381718879</v>
      </c>
      <c r="AL32" s="119">
        <f>IFERROR(AK32/AK148, "NA")</f>
        <v>-29.317613662952116</v>
      </c>
    </row>
    <row r="33" spans="1:38" ht="16.5" customHeight="1" x14ac:dyDescent="0.25">
      <c r="A33" s="7" t="s">
        <v>38</v>
      </c>
      <c r="B33" s="115">
        <v>18.989999999999998</v>
      </c>
      <c r="C33" s="116">
        <f>IFERROR(B33/B148, "NA")</f>
        <v>1.6752270267843131E-4</v>
      </c>
      <c r="D33" s="115">
        <v>12.730000000000002</v>
      </c>
      <c r="E33" s="116">
        <f>IFERROR(D33/D148, "NA")</f>
        <v>9.9499765515085218E-5</v>
      </c>
      <c r="F33" s="115">
        <v>-1.0200000000000014</v>
      </c>
      <c r="G33" s="116">
        <f>IFERROR(F33/F148, "NA")</f>
        <v>-8.1672741010053309E-6</v>
      </c>
      <c r="H33" s="115">
        <v>20.009999999999998</v>
      </c>
      <c r="I33" s="116">
        <f>IFERROR(H33/H148, "NA")</f>
        <v>1.5761498982355389E-4</v>
      </c>
      <c r="J33" s="115">
        <v>14.34</v>
      </c>
      <c r="K33" s="116">
        <f>IFERROR(J33/J148, "NA")</f>
        <v>1.1637417983186772E-4</v>
      </c>
      <c r="L33" s="115">
        <v>-6.02</v>
      </c>
      <c r="M33" s="116">
        <f>IFERROR(L33/L148, "NA")</f>
        <v>-4.6838159686691612E-5</v>
      </c>
      <c r="N33" s="115">
        <v>-2.1800000000000002</v>
      </c>
      <c r="O33" s="116">
        <f>IFERROR(N33/N148, "NA")</f>
        <v>-1.9595713464646186E-5</v>
      </c>
      <c r="P33" s="115">
        <v>9.85</v>
      </c>
      <c r="Q33" s="116">
        <f>IFERROR(P33/P148, "NA")</f>
        <v>7.2921025271095927E-5</v>
      </c>
      <c r="R33" s="115">
        <v>5.52</v>
      </c>
      <c r="S33" s="116">
        <f>IFERROR(R33/R148, "NA")</f>
        <v>4.2775921743620967E-5</v>
      </c>
      <c r="T33" s="115">
        <v>-2.0099999999999998</v>
      </c>
      <c r="U33" s="116">
        <f>IFERROR(T33/T148, "NA")</f>
        <v>-1.4850669864954213E-5</v>
      </c>
      <c r="V33" s="115">
        <v>7.54</v>
      </c>
      <c r="W33" s="116">
        <f>IFERROR(V33/V148, "NA")</f>
        <v>4.9808169187120776E-5</v>
      </c>
      <c r="X33" s="115">
        <v>3.05</v>
      </c>
      <c r="Y33" s="116">
        <f>IFERROR(X33/X148, "NA")</f>
        <v>2.5645324655516022E-5</v>
      </c>
      <c r="Z33" s="115">
        <v>8.58</v>
      </c>
      <c r="AA33" s="116">
        <f>IFERROR(Z33/Z148, "NA")</f>
        <v>2.1150807029009737E-5</v>
      </c>
      <c r="AB33" s="117">
        <f t="shared" si="6"/>
        <v>3.5250000000000004</v>
      </c>
      <c r="AC33" s="116">
        <f>IFERROR(AB33/AB148, "NA")</f>
        <v>2.6369787001692383E-5</v>
      </c>
      <c r="AD33" s="118">
        <f t="shared" si="7"/>
        <v>-0.47500000000000053</v>
      </c>
      <c r="AE33" s="119">
        <f>IFERROR(AD33/AD148, "NA")</f>
        <v>3.2212889903124019E-5</v>
      </c>
      <c r="AF33" s="118">
        <f t="shared" si="8"/>
        <v>-0.13475177304964553</v>
      </c>
      <c r="AG33" s="117">
        <f t="shared" si="9"/>
        <v>3.76125</v>
      </c>
      <c r="AH33" s="116">
        <f>IFERROR(AG33/AG148, "NA")</f>
        <v>2.9134950777861067E-5</v>
      </c>
      <c r="AI33" s="118">
        <f t="shared" si="10"/>
        <v>-0.71125000000000016</v>
      </c>
      <c r="AJ33" s="119">
        <f>IFERROR(AI33/AI148, "NA")</f>
        <v>6.9953531921862079E-5</v>
      </c>
      <c r="AK33" s="118">
        <f t="shared" si="11"/>
        <v>-0.18909936856098375</v>
      </c>
      <c r="AL33" s="119">
        <f>IFERROR(AK33/AK148, "NA")</f>
        <v>2.4010176799412357</v>
      </c>
    </row>
    <row r="34" spans="1:38" ht="16.5" customHeight="1" x14ac:dyDescent="0.25">
      <c r="A34" s="129" t="s">
        <v>39</v>
      </c>
      <c r="B34" s="121">
        <f>IFERROR(B29+B30+B31+B32+B33, "NA")</f>
        <v>1372.6599999999999</v>
      </c>
      <c r="C34" s="122">
        <f>IFERROR(B34/B148, "NA")</f>
        <v>1.2109094947792286E-2</v>
      </c>
      <c r="D34" s="121">
        <f>IFERROR(D29+D30+D31+D32+D33, "NA")</f>
        <v>1410.0300000000002</v>
      </c>
      <c r="E34" s="122">
        <f>IFERROR(D34/D148, "NA")</f>
        <v>1.1021025480694077E-2</v>
      </c>
      <c r="F34" s="121">
        <f>IFERROR(F29+F30+F31+F32+F33, "NA")</f>
        <v>1244.72</v>
      </c>
      <c r="G34" s="122">
        <f>IFERROR(F34/F148, "NA")</f>
        <v>9.9666366852973944E-3</v>
      </c>
      <c r="H34" s="121">
        <f>IFERROR(H29+H30+H31+H32+H33, "NA")</f>
        <v>1555.37</v>
      </c>
      <c r="I34" s="122">
        <f>IFERROR(H34/H148, "NA")</f>
        <v>1.2251355658263919E-2</v>
      </c>
      <c r="J34" s="121">
        <f>IFERROR(J29+J30+J31+J32+J33, "NA")</f>
        <v>1232.8</v>
      </c>
      <c r="K34" s="122">
        <f>IFERROR(J34/J148, "NA")</f>
        <v>1.0004608709674095E-2</v>
      </c>
      <c r="L34" s="121">
        <f>IFERROR(L29+L30+L31+L32+L33, "NA")</f>
        <v>1073.1300000000001</v>
      </c>
      <c r="M34" s="122">
        <f>IFERROR(L34/L148, "NA")</f>
        <v>8.349407691790595E-3</v>
      </c>
      <c r="N34" s="121">
        <f>IFERROR(N29+N30+N31+N32+N33, "NA")</f>
        <v>1482.7899999999997</v>
      </c>
      <c r="O34" s="122">
        <f>IFERROR(N34/N148, "NA")</f>
        <v>1.3328590811120511E-2</v>
      </c>
      <c r="P34" s="121">
        <f>IFERROR(P29+P30+P31+P32+P33, "NA")</f>
        <v>1037.7099999999998</v>
      </c>
      <c r="Q34" s="122">
        <f>IFERROR(P34/P148, "NA")</f>
        <v>7.6823225516821263E-3</v>
      </c>
      <c r="R34" s="121">
        <f>IFERROR(R29+R30+R31+R32+R33, "NA")</f>
        <v>1201.26</v>
      </c>
      <c r="S34" s="122">
        <f>IFERROR(R34/R148, "NA")</f>
        <v>9.3088774916199497E-3</v>
      </c>
      <c r="T34" s="121">
        <f>IFERROR(T29+T30+T31+T32+T33, "NA")</f>
        <v>1276.5400000000002</v>
      </c>
      <c r="U34" s="122">
        <f>IFERROR(T34/T148, "NA")</f>
        <v>9.4315791589097801E-3</v>
      </c>
      <c r="V34" s="121">
        <f>IFERROR(V29+V30+V31+V32+V33, "NA")</f>
        <v>1372.6299999999997</v>
      </c>
      <c r="W34" s="122">
        <f>IFERROR(V34/V148, "NA")</f>
        <v>9.0673988423498105E-3</v>
      </c>
      <c r="X34" s="121">
        <f>IFERROR(X29+X30+X31+X32+X33, "NA")</f>
        <v>938.45000000000016</v>
      </c>
      <c r="Y34" s="122">
        <f>IFERROR(X34/X148, "NA")</f>
        <v>7.8907721058914804E-3</v>
      </c>
      <c r="Z34" s="121">
        <f>IFERROR(Z29+Z30+Z31+Z32+Z33, "NA")</f>
        <v>3587.62</v>
      </c>
      <c r="AA34" s="122">
        <f>IFERROR(Z34/Z148, "NA")</f>
        <v>8.8439461903748132E-3</v>
      </c>
      <c r="AB34" s="121">
        <f t="shared" si="6"/>
        <v>1197.22</v>
      </c>
      <c r="AC34" s="122">
        <f>IFERROR(AB34/AB148, "NA")</f>
        <v>8.9561521685577739E-3</v>
      </c>
      <c r="AD34" s="123">
        <f t="shared" si="7"/>
        <v>-258.76999999999987</v>
      </c>
      <c r="AE34" s="124">
        <f>IFERROR(AD34/AD148, "NA")</f>
        <v>1.7548904253118714E-2</v>
      </c>
      <c r="AF34" s="123">
        <f t="shared" si="8"/>
        <v>-0.21614239655201203</v>
      </c>
      <c r="AG34" s="121">
        <f t="shared" si="9"/>
        <v>1201.9137500000002</v>
      </c>
      <c r="AH34" s="122">
        <f>IFERROR(AG34/AG148, "NA")</f>
        <v>9.3101224182078873E-3</v>
      </c>
      <c r="AI34" s="123">
        <f t="shared" si="10"/>
        <v>-263.46375</v>
      </c>
      <c r="AJ34" s="124">
        <f>IFERROR(AI34/AI148, "NA")</f>
        <v>2.5912435635681526E-2</v>
      </c>
      <c r="AK34" s="123">
        <f t="shared" si="11"/>
        <v>-0.21920354101947828</v>
      </c>
      <c r="AL34" s="124">
        <f>IFERROR(AK34/AK148, "NA")</f>
        <v>2.7832540187661068</v>
      </c>
    </row>
    <row r="35" spans="1:38" ht="16.5" customHeight="1" x14ac:dyDescent="0.25">
      <c r="A35" s="130" t="s">
        <v>40</v>
      </c>
      <c r="B35" s="121">
        <f>IFERROR(B13+B15+B16+B17+B18+B19+B20+B21+B22+B23+B24+B25+B26+B29+B30+B31+B32+B33, "NA")</f>
        <v>26664.110000000004</v>
      </c>
      <c r="C35" s="122">
        <f>IFERROR(B35/B148, "NA")</f>
        <v>0.23522084105924107</v>
      </c>
      <c r="D35" s="121">
        <f>IFERROR(D13+D15+D16+D17+D18+D19+D20+D21+D22+D23+D24+D25+D26+D29+D30+D31+D32+D33, "NA")</f>
        <v>28149.47</v>
      </c>
      <c r="E35" s="122">
        <f>IFERROR(D35/D148, "NA")</f>
        <v>0.22002086915741756</v>
      </c>
      <c r="F35" s="121">
        <f>IFERROR(F13+F15+F16+F17+F18+F19+F20+F21+F22+F23+F24+F25+F26+F29+F30+F31+F32+F33, "NA")</f>
        <v>27113.51</v>
      </c>
      <c r="G35" s="122">
        <f>IFERROR(F35/F148, "NA")</f>
        <v>0.21710143922583208</v>
      </c>
      <c r="H35" s="121">
        <f>IFERROR(H13+H15+H16+H17+H18+H19+H20+H21+H22+H23+H24+H25+H26+H29+H30+H31+H32+H33, "NA")</f>
        <v>27281.819999999996</v>
      </c>
      <c r="I35" s="122">
        <f>IFERROR(H35/H148, "NA")</f>
        <v>0.21489374221229529</v>
      </c>
      <c r="J35" s="121">
        <f>IFERROR(J13+J15+J16+J17+J18+J19+J20+J21+J22+J23+J24+J25+J26+J29+J30+J31+J32+J33, "NA")</f>
        <v>24939.189999999995</v>
      </c>
      <c r="K35" s="122">
        <f>IFERROR(J35/J148, "NA")</f>
        <v>0.2023903613613052</v>
      </c>
      <c r="L35" s="121">
        <f>IFERROR(L13+L15+L16+L17+L18+L19+L20+L21+L22+L23+L24+L25+L26+L29+L30+L31+L32+L33, "NA")</f>
        <v>26167.480000000003</v>
      </c>
      <c r="M35" s="122">
        <f>IFERROR(L35/L148, "NA")</f>
        <v>0.20359412073726069</v>
      </c>
      <c r="N35" s="121">
        <f>IFERROR(N13+N15+N16+N17+N18+N19+N20+N21+N22+N23+N24+N25+N26+N29+N30+N31+N32+N33, "NA")</f>
        <v>24830.85</v>
      </c>
      <c r="O35" s="122">
        <f>IFERROR(N35/N148, "NA")</f>
        <v>0.22320101912092188</v>
      </c>
      <c r="P35" s="121">
        <f>IFERROR(P13+P15+P16+P17+P18+P19+P20+P21+P22+P23+P24+P25+P26+P29+P30+P31+P32+P33, "NA")</f>
        <v>28981.57</v>
      </c>
      <c r="Q35" s="122">
        <f>IFERROR(P35/P148, "NA")</f>
        <v>0.21455490338741479</v>
      </c>
      <c r="R35" s="121">
        <f>IFERROR(R13+R15+R16+R17+R18+R19+R20+R21+R22+R23+R24+R25+R26+R29+R30+R31+R32+R33, "NA")</f>
        <v>27906.340000000004</v>
      </c>
      <c r="S35" s="122">
        <f>IFERROR(R35/R148, "NA")</f>
        <v>0.21625351738965212</v>
      </c>
      <c r="T35" s="121">
        <f>IFERROR(T13+T15+T16+T17+T18+T19+T20+T21+T22+T23+T24+T25+T26+T29+T30+T31+T32+T33, "NA")</f>
        <v>28997.050000000007</v>
      </c>
      <c r="U35" s="122">
        <f>IFERROR(T35/T148, "NA")</f>
        <v>0.21424160030227399</v>
      </c>
      <c r="V35" s="121">
        <f>IFERROR(V13+V15+V16+V17+V18+V19+V20+V21+V22+V23+V24+V25+V26+V29+V30+V31+V32+V33, "NA")</f>
        <v>30302.62</v>
      </c>
      <c r="W35" s="122">
        <f>IFERROR(V35/V148, "NA")</f>
        <v>0.20017480421392966</v>
      </c>
      <c r="X35" s="121">
        <f>IFERROR(X13+X15+X16+X17+X18+X19+X20+X21+X22+X23+X24+X25+X26+X29+X30+X31+X32+X33, "NA")</f>
        <v>25584.23</v>
      </c>
      <c r="Y35" s="122">
        <f>IFERROR(X35/X148, "NA")</f>
        <v>0.21511996210209597</v>
      </c>
      <c r="Z35" s="121">
        <f>IFERROR(Z13+Z15+Z16+Z17+Z18+Z19+Z20+Z21+Z22+Z23+Z24+Z25+Z26+Z29+Z30+Z31+Z32+Z33, "NA")</f>
        <v>84883.900000000009</v>
      </c>
      <c r="AA35" s="122">
        <f>IFERROR(Z35/Z148, "NA")</f>
        <v>0.20924976559088107</v>
      </c>
      <c r="AB35" s="121">
        <f t="shared" si="6"/>
        <v>28197.56</v>
      </c>
      <c r="AC35" s="122">
        <f>IFERROR(AB35/AB148, "NA")</f>
        <v>0.21094004288438045</v>
      </c>
      <c r="AD35" s="123">
        <f t="shared" si="7"/>
        <v>-2613.3300000000017</v>
      </c>
      <c r="AE35" s="124">
        <f>IFERROR(AD35/AD148, "NA")</f>
        <v>0.17722718225374959</v>
      </c>
      <c r="AF35" s="123">
        <f t="shared" si="8"/>
        <v>-9.2679295655368824E-2</v>
      </c>
      <c r="AG35" s="121">
        <f t="shared" si="9"/>
        <v>27213.666250000002</v>
      </c>
      <c r="AH35" s="122">
        <f>IFERROR(AG35/AG148, "NA")</f>
        <v>0.21079928924663052</v>
      </c>
      <c r="AI35" s="123">
        <f t="shared" si="10"/>
        <v>-1629.4362500000025</v>
      </c>
      <c r="AJ35" s="124">
        <f>IFERROR(AI35/AI148, "NA")</f>
        <v>0.16025985339755977</v>
      </c>
      <c r="AK35" s="123">
        <f t="shared" si="11"/>
        <v>-5.9875660818027497E-2</v>
      </c>
      <c r="AL35" s="124">
        <f>IFERROR(AK35/AK148, "NA")</f>
        <v>0.76024854718584589</v>
      </c>
    </row>
    <row r="36" spans="1:38" ht="16.5" customHeight="1" x14ac:dyDescent="0.25">
      <c r="A36" s="4" t="s">
        <v>41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42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43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44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45</v>
      </c>
      <c r="B40" s="115">
        <v>3107.7700000000004</v>
      </c>
      <c r="C40" s="116">
        <f>IFERROR(B40/B148, "NA")</f>
        <v>2.7415588715268488E-2</v>
      </c>
      <c r="D40" s="115">
        <v>4051.3499999999995</v>
      </c>
      <c r="E40" s="116">
        <f>IFERROR(D40/D148, "NA")</f>
        <v>3.1666015319681093E-2</v>
      </c>
      <c r="F40" s="115">
        <v>3126.81</v>
      </c>
      <c r="G40" s="116">
        <f>IFERROR(F40/F148, "NA")</f>
        <v>2.5036778756631805E-2</v>
      </c>
      <c r="H40" s="115">
        <v>3302.5099999999998</v>
      </c>
      <c r="I40" s="116">
        <f>IFERROR(H40/H148, "NA")</f>
        <v>2.6013247378420038E-2</v>
      </c>
      <c r="J40" s="115">
        <v>3097.12</v>
      </c>
      <c r="K40" s="116">
        <f>IFERROR(J40/J148, "NA")</f>
        <v>2.5134225930325951E-2</v>
      </c>
      <c r="L40" s="115">
        <v>2971.4100000000003</v>
      </c>
      <c r="M40" s="116">
        <f>IFERROR(L40/L148, "NA")</f>
        <v>2.3118833234988763E-2</v>
      </c>
      <c r="N40" s="115">
        <v>2980.56</v>
      </c>
      <c r="O40" s="116">
        <f>IFERROR(N40/N148, "NA")</f>
        <v>2.679183473586506E-2</v>
      </c>
      <c r="P40" s="115">
        <v>3237.43</v>
      </c>
      <c r="Q40" s="116">
        <f>IFERROR(P40/P148, "NA")</f>
        <v>2.3967179171919199E-2</v>
      </c>
      <c r="R40" s="115">
        <v>3153.06</v>
      </c>
      <c r="S40" s="116">
        <f>IFERROR(R40/R148, "NA")</f>
        <v>2.4433885473358972E-2</v>
      </c>
      <c r="T40" s="115">
        <v>2933.7400000000002</v>
      </c>
      <c r="U40" s="116">
        <f>IFERROR(T40/T148, "NA")</f>
        <v>2.1675623984880987E-2</v>
      </c>
      <c r="V40" s="115">
        <v>3235.19</v>
      </c>
      <c r="W40" s="116">
        <f>IFERROR(V40/V148, "NA")</f>
        <v>2.1371205686005472E-2</v>
      </c>
      <c r="X40" s="115">
        <v>2825.8199999999997</v>
      </c>
      <c r="Y40" s="116">
        <f>IFERROR(X40/X148, "NA")</f>
        <v>2.3760351251819765E-2</v>
      </c>
      <c r="Z40" s="115">
        <v>8994.75</v>
      </c>
      <c r="AA40" s="116">
        <f>IFERROR(Z40/Z148, "NA")</f>
        <v>2.217321929186309E-2</v>
      </c>
      <c r="AB40" s="117">
        <f t="shared" si="12"/>
        <v>3036.9524999999999</v>
      </c>
      <c r="AC40" s="116">
        <f>IFERROR(AB40/AB148, "NA")</f>
        <v>2.2718805832413383E-2</v>
      </c>
      <c r="AD40" s="118">
        <f t="shared" si="13"/>
        <v>-211.13250000000016</v>
      </c>
      <c r="AE40" s="119">
        <f>IFERROR(AD40/AD148, "NA")</f>
        <v>1.4318290478887011E-2</v>
      </c>
      <c r="AF40" s="118">
        <f t="shared" si="14"/>
        <v>-6.95211729521618E-2</v>
      </c>
      <c r="AG40" s="117">
        <f t="shared" si="15"/>
        <v>3054.2912499999998</v>
      </c>
      <c r="AH40" s="116">
        <f>IFERROR(AG40/AG148, "NA")</f>
        <v>2.3658790356929676E-2</v>
      </c>
      <c r="AI40" s="118">
        <f t="shared" si="16"/>
        <v>-228.47125000000005</v>
      </c>
      <c r="AJ40" s="119">
        <f>IFERROR(AI40/AI148, "NA")</f>
        <v>2.2470820218070623E-2</v>
      </c>
      <c r="AK40" s="118">
        <f t="shared" si="17"/>
        <v>-7.4803360681467451E-2</v>
      </c>
      <c r="AL40" s="119">
        <f>IFERROR(AK40/AK148, "NA")</f>
        <v>0.94978736778437645</v>
      </c>
    </row>
    <row r="41" spans="1:38" ht="16.5" customHeight="1" x14ac:dyDescent="0.25">
      <c r="A41" s="7" t="s">
        <v>46</v>
      </c>
      <c r="B41" s="115">
        <v>1334.04</v>
      </c>
      <c r="C41" s="116">
        <f>IFERROR(B41/B148, "NA")</f>
        <v>1.1768403700954951E-2</v>
      </c>
      <c r="D41" s="115">
        <v>687.32</v>
      </c>
      <c r="E41" s="116">
        <f>IFERROR(D41/D148, "NA")</f>
        <v>5.3722057214319217E-3</v>
      </c>
      <c r="F41" s="115">
        <v>1435.9599999999998</v>
      </c>
      <c r="G41" s="116">
        <f>IFERROR(F41/F148, "NA")</f>
        <v>1.1497920507921174E-2</v>
      </c>
      <c r="H41" s="115">
        <v>1558.5499999999997</v>
      </c>
      <c r="I41" s="116">
        <f>IFERROR(H41/H148, "NA")</f>
        <v>1.2276403917516237E-2</v>
      </c>
      <c r="J41" s="115">
        <v>1711.4</v>
      </c>
      <c r="K41" s="116">
        <f>IFERROR(J41/J148, "NA")</f>
        <v>1.3888617249948287E-2</v>
      </c>
      <c r="L41" s="115">
        <v>1038.08</v>
      </c>
      <c r="M41" s="116">
        <f>IFERROR(L41/L148, "NA")</f>
        <v>8.0767037886313679E-3</v>
      </c>
      <c r="N41" s="115">
        <v>1621.8400000000001</v>
      </c>
      <c r="O41" s="116">
        <f>IFERROR(N41/N148, "NA")</f>
        <v>1.4578491708945767E-2</v>
      </c>
      <c r="P41" s="115">
        <v>2223.34</v>
      </c>
      <c r="Q41" s="116">
        <f>IFERROR(P41/P148, "NA")</f>
        <v>1.6459719017892227E-2</v>
      </c>
      <c r="R41" s="115">
        <v>1652.0900000000001</v>
      </c>
      <c r="S41" s="116">
        <f>IFERROR(R41/R148, "NA")</f>
        <v>1.2802476911851227E-2</v>
      </c>
      <c r="T41" s="115">
        <v>1805.5800000000002</v>
      </c>
      <c r="U41" s="116">
        <f>IFERROR(T41/T148, "NA")</f>
        <v>1.334033457450947E-2</v>
      </c>
      <c r="V41" s="115">
        <v>2184.0500000000002</v>
      </c>
      <c r="W41" s="116">
        <f>IFERROR(V41/V148, "NA")</f>
        <v>1.4427524126409966E-2</v>
      </c>
      <c r="X41" s="115">
        <v>1511.1499999999999</v>
      </c>
      <c r="Y41" s="116">
        <f>IFERROR(X41/X148, "NA")</f>
        <v>1.2706207328912471E-2</v>
      </c>
      <c r="Z41" s="115">
        <v>5500.78</v>
      </c>
      <c r="AA41" s="116">
        <f>IFERROR(Z41/Z148, "NA")</f>
        <v>1.35601324346196E-2</v>
      </c>
      <c r="AB41" s="117">
        <f t="shared" si="12"/>
        <v>1788.2175</v>
      </c>
      <c r="AC41" s="116">
        <f>IFERROR(AB41/AB148, "NA")</f>
        <v>1.3377280734098962E-2</v>
      </c>
      <c r="AD41" s="118">
        <f t="shared" si="13"/>
        <v>-277.06750000000011</v>
      </c>
      <c r="AE41" s="119">
        <f>IFERROR(AD41/AD148, "NA")</f>
        <v>1.8789778680492229E-2</v>
      </c>
      <c r="AF41" s="118">
        <f t="shared" si="14"/>
        <v>-0.15494060426094708</v>
      </c>
      <c r="AG41" s="117">
        <f t="shared" si="15"/>
        <v>1718.4412500000001</v>
      </c>
      <c r="AH41" s="116">
        <f>IFERROR(AG41/AG148, "NA")</f>
        <v>1.3311186768599813E-2</v>
      </c>
      <c r="AI41" s="118">
        <f t="shared" si="16"/>
        <v>-207.29125000000022</v>
      </c>
      <c r="AJ41" s="119">
        <f>IFERROR(AI41/AI148, "NA")</f>
        <v>2.038770484920591E-2</v>
      </c>
      <c r="AK41" s="118">
        <f t="shared" si="17"/>
        <v>-0.12062748726498518</v>
      </c>
      <c r="AL41" s="119">
        <f>IFERROR(AK41/AK148, "NA")</f>
        <v>1.5316218759171139</v>
      </c>
    </row>
    <row r="42" spans="1:38" ht="16.5" customHeight="1" x14ac:dyDescent="0.25">
      <c r="A42" s="7" t="s">
        <v>47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308.57000000000005</v>
      </c>
      <c r="S42" s="116">
        <f>IFERROR(R42/R148, "NA")</f>
        <v>2.3911895239907832E-3</v>
      </c>
      <c r="T42" s="115">
        <v>0</v>
      </c>
      <c r="U42" s="116">
        <f>IFERROR(T42/T148, "NA")</f>
        <v>0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77.142500000000013</v>
      </c>
      <c r="AC42" s="116">
        <f>IFERROR(AB42/AB148, "NA")</f>
        <v>5.770868918519304E-4</v>
      </c>
      <c r="AD42" s="118">
        <f t="shared" si="13"/>
        <v>-77.142500000000013</v>
      </c>
      <c r="AE42" s="119">
        <f>IFERROR(AD42/AD148, "NA")</f>
        <v>5.2315428617931417E-3</v>
      </c>
      <c r="AF42" s="118">
        <f t="shared" si="14"/>
        <v>-1</v>
      </c>
      <c r="AG42" s="117">
        <f t="shared" si="15"/>
        <v>38.571250000000006</v>
      </c>
      <c r="AH42" s="116">
        <f>IFERROR(AG42/AG148, "NA")</f>
        <v>2.98776063859242E-4</v>
      </c>
      <c r="AI42" s="118">
        <f t="shared" si="16"/>
        <v>-38.571250000000006</v>
      </c>
      <c r="AJ42" s="119">
        <f>IFERROR(AI42/AI148, "NA")</f>
        <v>3.793596018476095E-3</v>
      </c>
      <c r="AK42" s="118">
        <f t="shared" si="17"/>
        <v>-1</v>
      </c>
      <c r="AL42" s="119">
        <f>IFERROR(AK42/AK148, "NA")</f>
        <v>12.697121615014369</v>
      </c>
    </row>
    <row r="43" spans="1:38" ht="16.5" hidden="1" customHeight="1" x14ac:dyDescent="0.25">
      <c r="A43" s="7" t="s">
        <v>48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49</v>
      </c>
      <c r="B44" s="121">
        <f>IFERROR(B39+B40+B41+B42+B43, "NA")</f>
        <v>4441.8100000000004</v>
      </c>
      <c r="C44" s="122">
        <f>IFERROR(B44/B148, "NA")</f>
        <v>3.9183992416223438E-2</v>
      </c>
      <c r="D44" s="121">
        <f>IFERROR(D39+D40+D41+D42+D43, "NA")</f>
        <v>4738.6699999999992</v>
      </c>
      <c r="E44" s="122">
        <f>IFERROR(D44/D148, "NA")</f>
        <v>3.7038221041113012E-2</v>
      </c>
      <c r="F44" s="121">
        <f>IFERROR(F39+F40+F41+F42+F43, "NA")</f>
        <v>4562.7699999999995</v>
      </c>
      <c r="G44" s="122">
        <f>IFERROR(F44/F148, "NA")</f>
        <v>3.6534699264552981E-2</v>
      </c>
      <c r="H44" s="121">
        <f>IFERROR(H39+H40+H41+H42+H43, "NA")</f>
        <v>4861.0599999999995</v>
      </c>
      <c r="I44" s="122">
        <f>IFERROR(H44/H148, "NA")</f>
        <v>3.8289651295936276E-2</v>
      </c>
      <c r="J44" s="121">
        <f>IFERROR(J39+J40+J41+J42+J43, "NA")</f>
        <v>4808.5200000000004</v>
      </c>
      <c r="K44" s="122">
        <f>IFERROR(J44/J148, "NA")</f>
        <v>3.9022843180274241E-2</v>
      </c>
      <c r="L44" s="121">
        <f>IFERROR(L39+L40+L41+L42+L43, "NA")</f>
        <v>4009.4900000000002</v>
      </c>
      <c r="M44" s="122">
        <f>IFERROR(L44/L148, "NA")</f>
        <v>3.1195537023620129E-2</v>
      </c>
      <c r="N44" s="121">
        <f>IFERROR(N39+N40+N41+N42+N43, "NA")</f>
        <v>4602.3999999999996</v>
      </c>
      <c r="O44" s="122">
        <f>IFERROR(N44/N148, "NA")</f>
        <v>4.1370326444810826E-2</v>
      </c>
      <c r="P44" s="121">
        <f>IFERROR(P39+P40+P41+P42+P43, "NA")</f>
        <v>5460.77</v>
      </c>
      <c r="Q44" s="122">
        <f>IFERROR(P44/P148, "NA")</f>
        <v>4.0426898189811426E-2</v>
      </c>
      <c r="R44" s="121">
        <f>IFERROR(R39+R40+R41+R42+R43, "NA")</f>
        <v>5113.7199999999993</v>
      </c>
      <c r="S44" s="122">
        <f>IFERROR(R44/R148, "NA")</f>
        <v>3.9627551909200975E-2</v>
      </c>
      <c r="T44" s="121">
        <f>IFERROR(T39+T40+T41+T42+T43, "NA")</f>
        <v>4739.3200000000006</v>
      </c>
      <c r="U44" s="122">
        <f>IFERROR(T44/T148, "NA")</f>
        <v>3.5015958559390457E-2</v>
      </c>
      <c r="V44" s="121">
        <f>IFERROR(V39+V40+V41+V42+V43, "NA")</f>
        <v>5419.24</v>
      </c>
      <c r="W44" s="122">
        <f>IFERROR(V44/V148, "NA")</f>
        <v>3.5798729812415435E-2</v>
      </c>
      <c r="X44" s="121">
        <f>IFERROR(X39+X40+X41+X42+X43, "NA")</f>
        <v>4336.9699999999993</v>
      </c>
      <c r="Y44" s="122">
        <f>IFERROR(X44/X148, "NA")</f>
        <v>3.6466558580732236E-2</v>
      </c>
      <c r="Z44" s="121">
        <f>IFERROR(Z39+Z40+Z41+Z42+Z43, "NA")</f>
        <v>14495.529999999999</v>
      </c>
      <c r="AA44" s="122">
        <f>IFERROR(Z44/Z148, "NA")</f>
        <v>3.573335172648269E-2</v>
      </c>
      <c r="AB44" s="121">
        <f t="shared" si="12"/>
        <v>4902.3125</v>
      </c>
      <c r="AC44" s="122">
        <f>IFERROR(AB44/AB148, "NA")</f>
        <v>3.667317345836428E-2</v>
      </c>
      <c r="AD44" s="123">
        <f t="shared" si="13"/>
        <v>-565.34250000000065</v>
      </c>
      <c r="AE44" s="124">
        <f>IFERROR(AD44/AD148, "NA")</f>
        <v>3.8339612021172406E-2</v>
      </c>
      <c r="AF44" s="123">
        <f t="shared" si="14"/>
        <v>-0.11532159567551041</v>
      </c>
      <c r="AG44" s="121">
        <f t="shared" si="15"/>
        <v>4811.30375</v>
      </c>
      <c r="AH44" s="122">
        <f>IFERROR(AG44/AG148, "NA")</f>
        <v>3.7268753189388736E-2</v>
      </c>
      <c r="AI44" s="123">
        <f t="shared" si="16"/>
        <v>-474.33375000000069</v>
      </c>
      <c r="AJ44" s="124">
        <f>IFERROR(AI44/AI148, "NA")</f>
        <v>4.6652121085752667E-2</v>
      </c>
      <c r="AK44" s="123">
        <f t="shared" si="17"/>
        <v>-9.8587363144553214E-2</v>
      </c>
      <c r="AL44" s="124">
        <f>IFERROR(AK44/AK148, "NA")</f>
        <v>1.2517757395499776</v>
      </c>
    </row>
    <row r="45" spans="1:38" ht="16.5" customHeight="1" x14ac:dyDescent="0.25">
      <c r="A45" s="6" t="s">
        <v>50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51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52</v>
      </c>
      <c r="B47" s="115">
        <v>434.28000000000003</v>
      </c>
      <c r="C47" s="116">
        <f>IFERROR(B47/B148, "NA")</f>
        <v>3.8310563095939527E-3</v>
      </c>
      <c r="D47" s="115">
        <v>492.29999999999995</v>
      </c>
      <c r="E47" s="116">
        <f>IFERROR(D47/D148, "NA")</f>
        <v>3.8478974519305922E-3</v>
      </c>
      <c r="F47" s="115">
        <v>424.97999999999996</v>
      </c>
      <c r="G47" s="116">
        <f>IFERROR(F47/F148, "NA")</f>
        <v>3.4028707327894512E-3</v>
      </c>
      <c r="H47" s="115">
        <v>449.36</v>
      </c>
      <c r="I47" s="116">
        <f>IFERROR(H47/H148, "NA")</f>
        <v>3.539523829440889E-3</v>
      </c>
      <c r="J47" s="115">
        <v>366.85</v>
      </c>
      <c r="K47" s="116">
        <f>IFERROR(J47/J148, "NA")</f>
        <v>2.9771177037183176E-3</v>
      </c>
      <c r="L47" s="115">
        <v>340.22</v>
      </c>
      <c r="M47" s="116">
        <f>IFERROR(L47/L148, "NA")</f>
        <v>2.6470562605658177E-3</v>
      </c>
      <c r="N47" s="115">
        <v>313.95999999999998</v>
      </c>
      <c r="O47" s="116">
        <f>IFERROR(N47/N148, "NA")</f>
        <v>2.8221422932845487E-3</v>
      </c>
      <c r="P47" s="115">
        <v>273.58000000000004</v>
      </c>
      <c r="Q47" s="116">
        <f>IFERROR(P47/P148, "NA")</f>
        <v>2.0253537150930383E-3</v>
      </c>
      <c r="R47" s="115">
        <v>380.57</v>
      </c>
      <c r="S47" s="116">
        <f>IFERROR(R47/R148, "NA")</f>
        <v>2.9491363293423609E-3</v>
      </c>
      <c r="T47" s="115">
        <v>376.63</v>
      </c>
      <c r="U47" s="116">
        <f>IFERROR(T47/T148, "NA")</f>
        <v>2.7826904434018439E-3</v>
      </c>
      <c r="V47" s="115">
        <v>494.4</v>
      </c>
      <c r="W47" s="116">
        <f>IFERROR(V47/V148, "NA")</f>
        <v>3.2659361864870702E-3</v>
      </c>
      <c r="X47" s="115">
        <v>355.98</v>
      </c>
      <c r="Y47" s="116">
        <f>IFERROR(X47/X148, "NA")</f>
        <v>2.9931877609411786E-3</v>
      </c>
      <c r="Z47" s="115">
        <v>1227.0099999999998</v>
      </c>
      <c r="AA47" s="116">
        <f>IFERROR(Z47/Z148, "NA")</f>
        <v>3.0247379641800969E-3</v>
      </c>
      <c r="AB47" s="117">
        <f t="shared" si="18"/>
        <v>401.89499999999998</v>
      </c>
      <c r="AC47" s="116">
        <f>IFERROR(AB47/AB148, "NA")</f>
        <v>3.0064923537716764E-3</v>
      </c>
      <c r="AD47" s="118">
        <f t="shared" si="19"/>
        <v>-45.914999999999964</v>
      </c>
      <c r="AE47" s="119">
        <f>IFERROR(AD47/AD148, "NA")</f>
        <v>3.1137996629514455E-3</v>
      </c>
      <c r="AF47" s="118">
        <f t="shared" si="20"/>
        <v>-0.11424625835106175</v>
      </c>
      <c r="AG47" s="117">
        <f t="shared" si="21"/>
        <v>362.77375000000001</v>
      </c>
      <c r="AH47" s="116">
        <f>IFERROR(AG47/AG148, "NA")</f>
        <v>2.8100752009970293E-3</v>
      </c>
      <c r="AI47" s="118">
        <f t="shared" si="22"/>
        <v>-6.7937499999999886</v>
      </c>
      <c r="AJ47" s="119">
        <f>IFERROR(AI47/AI148, "NA")</f>
        <v>6.6818531809370769E-4</v>
      </c>
      <c r="AK47" s="118">
        <f t="shared" si="23"/>
        <v>-1.8727237017562567E-2</v>
      </c>
      <c r="AL47" s="119">
        <f>IFERROR(AK47/AK148, "NA")</f>
        <v>0.23778200592519091</v>
      </c>
    </row>
    <row r="48" spans="1:38" ht="16.5" hidden="1" customHeight="1" x14ac:dyDescent="0.25">
      <c r="A48" s="7" t="s">
        <v>53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54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55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56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57</v>
      </c>
      <c r="B52" s="121">
        <f>IFERROR(B46+B47+B48+B49+B50+B51, "NA")</f>
        <v>434.28000000000003</v>
      </c>
      <c r="C52" s="122">
        <f>IFERROR(B52/B148, "NA")</f>
        <v>3.8310563095939527E-3</v>
      </c>
      <c r="D52" s="121">
        <f>IFERROR(D46+D47+D48+D49+D50+D51, "NA")</f>
        <v>492.29999999999995</v>
      </c>
      <c r="E52" s="122">
        <f>IFERROR(D52/D148, "NA")</f>
        <v>3.8478974519305922E-3</v>
      </c>
      <c r="F52" s="121">
        <f>IFERROR(F46+F47+F48+F49+F50+F51, "NA")</f>
        <v>424.97999999999996</v>
      </c>
      <c r="G52" s="122">
        <f>IFERROR(F52/F148, "NA")</f>
        <v>3.4028707327894512E-3</v>
      </c>
      <c r="H52" s="121">
        <f>IFERROR(H46+H47+H48+H49+H50+H51, "NA")</f>
        <v>449.36</v>
      </c>
      <c r="I52" s="122">
        <f>IFERROR(H52/H148, "NA")</f>
        <v>3.539523829440889E-3</v>
      </c>
      <c r="J52" s="121">
        <f>IFERROR(J46+J47+J48+J49+J50+J51, "NA")</f>
        <v>366.85</v>
      </c>
      <c r="K52" s="122">
        <f>IFERROR(J52/J148, "NA")</f>
        <v>2.9771177037183176E-3</v>
      </c>
      <c r="L52" s="121">
        <f>IFERROR(L46+L47+L48+L49+L50+L51, "NA")</f>
        <v>340.22</v>
      </c>
      <c r="M52" s="122">
        <f>IFERROR(L52/L148, "NA")</f>
        <v>2.6470562605658177E-3</v>
      </c>
      <c r="N52" s="121">
        <f>IFERROR(N46+N47+N48+N49+N50+N51, "NA")</f>
        <v>313.95999999999998</v>
      </c>
      <c r="O52" s="122">
        <f>IFERROR(N52/N148, "NA")</f>
        <v>2.8221422932845487E-3</v>
      </c>
      <c r="P52" s="121">
        <f>IFERROR(P46+P47+P48+P49+P50+P51, "NA")</f>
        <v>273.58000000000004</v>
      </c>
      <c r="Q52" s="122">
        <f>IFERROR(P52/P148, "NA")</f>
        <v>2.0253537150930383E-3</v>
      </c>
      <c r="R52" s="121">
        <f>IFERROR(R46+R47+R48+R49+R50+R51, "NA")</f>
        <v>380.57</v>
      </c>
      <c r="S52" s="122">
        <f>IFERROR(R52/R148, "NA")</f>
        <v>2.9491363293423609E-3</v>
      </c>
      <c r="T52" s="121">
        <f>IFERROR(T46+T47+T48+T49+T50+T51, "NA")</f>
        <v>376.63</v>
      </c>
      <c r="U52" s="122">
        <f>IFERROR(T52/T148, "NA")</f>
        <v>2.7826904434018439E-3</v>
      </c>
      <c r="V52" s="121">
        <f>IFERROR(V46+V47+V48+V49+V50+V51, "NA")</f>
        <v>494.4</v>
      </c>
      <c r="W52" s="122">
        <f>IFERROR(V52/V148, "NA")</f>
        <v>3.2659361864870702E-3</v>
      </c>
      <c r="X52" s="121">
        <f>IFERROR(X46+X47+X48+X49+X50+X51, "NA")</f>
        <v>355.98</v>
      </c>
      <c r="Y52" s="122">
        <f>IFERROR(X52/X148, "NA")</f>
        <v>2.9931877609411786E-3</v>
      </c>
      <c r="Z52" s="121">
        <f>IFERROR(Z46+Z47+Z48+Z49+Z50+Z51, "NA")</f>
        <v>1227.0099999999998</v>
      </c>
      <c r="AA52" s="122">
        <f>IFERROR(Z52/Z148, "NA")</f>
        <v>3.0247379641800969E-3</v>
      </c>
      <c r="AB52" s="121">
        <f t="shared" si="18"/>
        <v>401.89499999999998</v>
      </c>
      <c r="AC52" s="122">
        <f>IFERROR(AB52/AB148, "NA")</f>
        <v>3.0064923537716764E-3</v>
      </c>
      <c r="AD52" s="123">
        <f t="shared" si="19"/>
        <v>-45.914999999999964</v>
      </c>
      <c r="AE52" s="124">
        <f>IFERROR(AD52/AD148, "NA")</f>
        <v>3.1137996629514455E-3</v>
      </c>
      <c r="AF52" s="123">
        <f t="shared" si="20"/>
        <v>-0.11424625835106175</v>
      </c>
      <c r="AG52" s="121">
        <f t="shared" si="21"/>
        <v>362.77375000000001</v>
      </c>
      <c r="AH52" s="122">
        <f>IFERROR(AG52/AG148, "NA")</f>
        <v>2.8100752009970293E-3</v>
      </c>
      <c r="AI52" s="123">
        <f t="shared" si="22"/>
        <v>-6.7937499999999886</v>
      </c>
      <c r="AJ52" s="124">
        <f>IFERROR(AI52/AI148, "NA")</f>
        <v>6.6818531809370769E-4</v>
      </c>
      <c r="AK52" s="123">
        <f t="shared" si="23"/>
        <v>-1.8727237017562567E-2</v>
      </c>
      <c r="AL52" s="124">
        <f>IFERROR(AK52/AK148, "NA")</f>
        <v>0.23778200592519091</v>
      </c>
    </row>
    <row r="53" spans="1:38" ht="16.5" customHeight="1" x14ac:dyDescent="0.25">
      <c r="A53" s="5" t="s">
        <v>58</v>
      </c>
      <c r="B53" s="115">
        <v>122.15</v>
      </c>
      <c r="C53" s="116">
        <f>IFERROR(B53/B148, "NA")</f>
        <v>1.0775617763122899E-3</v>
      </c>
      <c r="D53" s="115">
        <v>207.34999999999997</v>
      </c>
      <c r="E53" s="116">
        <f>IFERROR(D53/D148, "NA")</f>
        <v>1.6206815694856961E-3</v>
      </c>
      <c r="F53" s="115">
        <v>145.39999999999998</v>
      </c>
      <c r="G53" s="116">
        <f>IFERROR(F53/F148, "NA")</f>
        <v>1.1642369159668366E-3</v>
      </c>
      <c r="H53" s="115">
        <v>200.7</v>
      </c>
      <c r="I53" s="116">
        <f>IFERROR(H53/H148, "NA")</f>
        <v>1.5808759848869199E-3</v>
      </c>
      <c r="J53" s="115">
        <v>195.33</v>
      </c>
      <c r="K53" s="116">
        <f>IFERROR(J53/J148, "NA")</f>
        <v>1.585172144111487E-3</v>
      </c>
      <c r="L53" s="115">
        <v>196.01000000000002</v>
      </c>
      <c r="M53" s="116">
        <f>IFERROR(L53/L148, "NA")</f>
        <v>1.5250411428884426E-3</v>
      </c>
      <c r="N53" s="115">
        <v>159.20000000000002</v>
      </c>
      <c r="O53" s="116">
        <f>IFERROR(N53/N148, "NA")</f>
        <v>1.4310264144824188E-3</v>
      </c>
      <c r="P53" s="115">
        <v>186.17</v>
      </c>
      <c r="Q53" s="116">
        <f>IFERROR(P53/P148, "NA")</f>
        <v>1.3782443933725817E-3</v>
      </c>
      <c r="R53" s="115">
        <v>198.64999999999998</v>
      </c>
      <c r="S53" s="116">
        <f>IFERROR(R53/R148, "NA")</f>
        <v>1.539390734487374E-3</v>
      </c>
      <c r="T53" s="115">
        <v>239.28000000000003</v>
      </c>
      <c r="U53" s="116">
        <f>IFERROR(T53/T148, "NA")</f>
        <v>1.7678946692966393E-3</v>
      </c>
      <c r="V53" s="115">
        <v>200.53</v>
      </c>
      <c r="W53" s="116">
        <f>IFERROR(V53/V148, "NA")</f>
        <v>1.3246727012060119E-3</v>
      </c>
      <c r="X53" s="115">
        <v>245.76999999999998</v>
      </c>
      <c r="Y53" s="116">
        <f>IFERROR(X53/X148, "NA")</f>
        <v>2.0665086690446468E-3</v>
      </c>
      <c r="Z53" s="115">
        <v>685.57999999999993</v>
      </c>
      <c r="AA53" s="116">
        <f>IFERROR(Z53/Z148, "NA")</f>
        <v>1.6900431565208033E-3</v>
      </c>
      <c r="AB53" s="117">
        <f t="shared" si="18"/>
        <v>221.0575</v>
      </c>
      <c r="AC53" s="116">
        <f>IFERROR(AB53/AB148, "NA")</f>
        <v>1.6536848766316634E-3</v>
      </c>
      <c r="AD53" s="118">
        <f t="shared" si="19"/>
        <v>24.712499999999977</v>
      </c>
      <c r="AE53" s="119">
        <f>IFERROR(AD53/AD148, "NA")</f>
        <v>-1.6759179825914753E-3</v>
      </c>
      <c r="AF53" s="118">
        <f t="shared" si="20"/>
        <v>0.11179218076744728</v>
      </c>
      <c r="AG53" s="117">
        <f t="shared" si="21"/>
        <v>202.61750000000001</v>
      </c>
      <c r="AH53" s="116">
        <f>IFERROR(AG53/AG148, "NA")</f>
        <v>1.5694917618433407E-3</v>
      </c>
      <c r="AI53" s="118">
        <f t="shared" si="22"/>
        <v>43.152499999999975</v>
      </c>
      <c r="AJ53" s="119">
        <f>IFERROR(AI53/AI148, "NA")</f>
        <v>-4.2441754464086481E-3</v>
      </c>
      <c r="AK53" s="118">
        <f t="shared" si="23"/>
        <v>0.21297518723703518</v>
      </c>
      <c r="AL53" s="119">
        <f>IFERROR(AK53/AK148, "NA")</f>
        <v>-2.7041718533290919</v>
      </c>
    </row>
    <row r="54" spans="1:38" ht="16.5" customHeight="1" x14ac:dyDescent="0.25">
      <c r="A54" s="5" t="s">
        <v>59</v>
      </c>
      <c r="B54" s="115">
        <v>132</v>
      </c>
      <c r="C54" s="116">
        <f>IFERROR(B54/B148, "NA")</f>
        <v>1.1644548053477059E-3</v>
      </c>
      <c r="D54" s="115">
        <v>129</v>
      </c>
      <c r="E54" s="116">
        <f>IFERROR(D54/D148, "NA")</f>
        <v>1.0082851336564015E-3</v>
      </c>
      <c r="F54" s="115">
        <v>123</v>
      </c>
      <c r="G54" s="116">
        <f>IFERROR(F54/F148, "NA")</f>
        <v>9.8487717100358271E-4</v>
      </c>
      <c r="H54" s="115">
        <v>162</v>
      </c>
      <c r="I54" s="116">
        <f>IFERROR(H54/H148, "NA")</f>
        <v>1.2760433958728503E-3</v>
      </c>
      <c r="J54" s="115">
        <v>152</v>
      </c>
      <c r="K54" s="116">
        <f>IFERROR(J54/J148, "NA")</f>
        <v>1.2335338448008293E-3</v>
      </c>
      <c r="L54" s="115">
        <v>147.75</v>
      </c>
      <c r="M54" s="116">
        <f>IFERROR(L54/L148, "NA")</f>
        <v>1.1495578228751971E-3</v>
      </c>
      <c r="N54" s="115">
        <v>135.75</v>
      </c>
      <c r="O54" s="116">
        <f>IFERROR(N54/N148, "NA")</f>
        <v>1.2202376618466605E-3</v>
      </c>
      <c r="P54" s="115">
        <v>162.5</v>
      </c>
      <c r="Q54" s="116">
        <f>IFERROR(P54/P148, "NA")</f>
        <v>1.20301183822874E-3</v>
      </c>
      <c r="R54" s="115">
        <v>171.25</v>
      </c>
      <c r="S54" s="116">
        <f>IFERROR(R54/R148, "NA")</f>
        <v>1.327060978006357E-3</v>
      </c>
      <c r="T54" s="115">
        <v>212</v>
      </c>
      <c r="U54" s="116">
        <f>IFERROR(T54/T148, "NA")</f>
        <v>1.5663393091394496E-3</v>
      </c>
      <c r="V54" s="115">
        <v>166</v>
      </c>
      <c r="W54" s="116">
        <f>IFERROR(V54/V148, "NA")</f>
        <v>1.0965724250745423E-3</v>
      </c>
      <c r="X54" s="115">
        <v>162.25</v>
      </c>
      <c r="Y54" s="116">
        <f>IFERROR(X54/X148, "NA")</f>
        <v>1.364247188641795E-3</v>
      </c>
      <c r="Z54" s="115">
        <v>540.25</v>
      </c>
      <c r="AA54" s="116">
        <f>IFERROR(Z54/Z148, "NA")</f>
        <v>1.3317859554105489E-3</v>
      </c>
      <c r="AB54" s="117">
        <f t="shared" si="18"/>
        <v>177.875</v>
      </c>
      <c r="AC54" s="116">
        <f>IFERROR(AB54/AB148, "NA")</f>
        <v>1.3306456348726333E-3</v>
      </c>
      <c r="AD54" s="118">
        <f t="shared" si="19"/>
        <v>-15.625</v>
      </c>
      <c r="AE54" s="119">
        <f>IFERROR(AD54/AD148, "NA")</f>
        <v>1.0596345362869732E-3</v>
      </c>
      <c r="AF54" s="118">
        <f t="shared" si="20"/>
        <v>-8.7842586085734364E-2</v>
      </c>
      <c r="AG54" s="117">
        <f t="shared" si="21"/>
        <v>163.6875</v>
      </c>
      <c r="AH54" s="116">
        <f>IFERROR(AG54/AG148, "NA")</f>
        <v>1.2679367910803944E-3</v>
      </c>
      <c r="AI54" s="118">
        <f t="shared" si="22"/>
        <v>-1.4375</v>
      </c>
      <c r="AJ54" s="119">
        <f>IFERROR(AI54/AI148, "NA")</f>
        <v>1.413823580143082E-4</v>
      </c>
      <c r="AK54" s="118">
        <f t="shared" si="23"/>
        <v>-8.7819778541428032E-3</v>
      </c>
      <c r="AL54" s="119">
        <f>IFERROR(AK54/AK148, "NA")</f>
        <v>0.1115058408344141</v>
      </c>
    </row>
    <row r="55" spans="1:38" ht="16.5" customHeight="1" x14ac:dyDescent="0.25">
      <c r="A55" s="5" t="s">
        <v>60</v>
      </c>
      <c r="B55" s="115">
        <v>-1087.01</v>
      </c>
      <c r="C55" s="116">
        <f>IFERROR(B55/B148, "NA")</f>
        <v>-9.5891971057652254E-3</v>
      </c>
      <c r="D55" s="115">
        <v>-1121.99</v>
      </c>
      <c r="E55" s="116">
        <f>IFERROR(D55/D148, "NA")</f>
        <v>-8.769657652024386E-3</v>
      </c>
      <c r="F55" s="115">
        <v>-1670.63</v>
      </c>
      <c r="G55" s="116">
        <f>IFERROR(F55/F148, "NA")</f>
        <v>-1.3376954050355409E-2</v>
      </c>
      <c r="H55" s="115">
        <v>-1845.62</v>
      </c>
      <c r="I55" s="116">
        <f>IFERROR(H55/H148, "NA")</f>
        <v>-1.4537600075869442E-2</v>
      </c>
      <c r="J55" s="115">
        <v>-1478.68</v>
      </c>
      <c r="K55" s="116">
        <f>IFERROR(J55/J148, "NA")</f>
        <v>-1.200001201072428E-2</v>
      </c>
      <c r="L55" s="115">
        <v>-1539.51</v>
      </c>
      <c r="M55" s="116">
        <f>IFERROR(L55/L148, "NA")</f>
        <v>-1.1978042395225683E-2</v>
      </c>
      <c r="N55" s="115">
        <v>-1475.83</v>
      </c>
      <c r="O55" s="116">
        <f>IFERROR(N55/N148, "NA")</f>
        <v>-1.3266028349783843E-2</v>
      </c>
      <c r="P55" s="115">
        <v>-1621.81</v>
      </c>
      <c r="Q55" s="116">
        <f>IFERROR(P55/P148, "NA")</f>
        <v>-1.2006502334509247E-2</v>
      </c>
      <c r="R55" s="115">
        <v>-1439.54</v>
      </c>
      <c r="S55" s="116">
        <f>IFERROR(R55/R148, "NA")</f>
        <v>-1.1155371446886254E-2</v>
      </c>
      <c r="T55" s="115">
        <v>0</v>
      </c>
      <c r="U55" s="116">
        <f>IFERROR(T55/T148, "NA")</f>
        <v>0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-359.88499999999999</v>
      </c>
      <c r="AC55" s="116">
        <f>IFERROR(AB55/AB148, "NA")</f>
        <v>-2.6922243390366135E-3</v>
      </c>
      <c r="AD55" s="118">
        <f t="shared" si="19"/>
        <v>359.88499999999999</v>
      </c>
      <c r="AE55" s="119">
        <f>IFERROR(AD55/AD148, "NA")</f>
        <v>-2.4406180805864791E-2</v>
      </c>
      <c r="AF55" s="118">
        <f t="shared" si="20"/>
        <v>-1</v>
      </c>
      <c r="AG55" s="117">
        <f t="shared" si="21"/>
        <v>-944.42124999999999</v>
      </c>
      <c r="AH55" s="116">
        <f>IFERROR(AG55/AG148, "NA")</f>
        <v>-7.3155644087247651E-3</v>
      </c>
      <c r="AI55" s="118">
        <f t="shared" si="22"/>
        <v>944.42124999999999</v>
      </c>
      <c r="AJ55" s="119">
        <f>IFERROR(AI55/AI148, "NA")</f>
        <v>-9.2886610980049023E-2</v>
      </c>
      <c r="AK55" s="118">
        <f t="shared" si="23"/>
        <v>-1</v>
      </c>
      <c r="AL55" s="119">
        <f>IFERROR(AK55/AK148, "NA")</f>
        <v>12.697121615014369</v>
      </c>
    </row>
    <row r="56" spans="1:38" ht="16.5" customHeight="1" x14ac:dyDescent="0.25">
      <c r="A56" s="130" t="s">
        <v>61</v>
      </c>
      <c r="B56" s="121">
        <f>IFERROR(B37+B39+B40+B41+B42+B43+B46+B47+B48+B49+B50+B51+B53+B54+B55, "NA")</f>
        <v>4043.2299999999996</v>
      </c>
      <c r="C56" s="122">
        <f>IFERROR(B56/B148, "NA")</f>
        <v>3.5667868201712152E-2</v>
      </c>
      <c r="D56" s="121">
        <f>IFERROR(D37+D39+D40+D41+D42+D43+D46+D47+D48+D49+D50+D51+D53+D54+D55, "NA")</f>
        <v>4445.33</v>
      </c>
      <c r="E56" s="122">
        <f>IFERROR(D56/D148, "NA")</f>
        <v>3.4745427544161323E-2</v>
      </c>
      <c r="F56" s="121">
        <f>IFERROR(F37+F39+F40+F41+F42+F43+F46+F47+F48+F49+F50+F51+F53+F54+F55, "NA")</f>
        <v>3585.5199999999986</v>
      </c>
      <c r="G56" s="122">
        <f>IFERROR(F56/F148, "NA")</f>
        <v>2.8709730033957433E-2</v>
      </c>
      <c r="H56" s="121">
        <f>IFERROR(H37+H39+H40+H41+H42+H43+H46+H47+H48+H49+H50+H51+H53+H54+H55, "NA")</f>
        <v>3827.4999999999991</v>
      </c>
      <c r="I56" s="122">
        <f>IFERROR(H56/H148, "NA")</f>
        <v>3.014849443026749E-2</v>
      </c>
      <c r="J56" s="121">
        <f>IFERROR(J37+J39+J40+J41+J42+J43+J46+J47+J48+J49+J50+J51+J53+J54+J55, "NA")</f>
        <v>4044.0200000000004</v>
      </c>
      <c r="K56" s="122">
        <f>IFERROR(J56/J148, "NA")</f>
        <v>3.2818654862180593E-2</v>
      </c>
      <c r="L56" s="121">
        <f>IFERROR(L37+L39+L40+L41+L42+L43+L46+L47+L48+L49+L50+L51+L53+L54+L55, "NA")</f>
        <v>3153.96</v>
      </c>
      <c r="M56" s="122">
        <f>IFERROR(L56/L148, "NA")</f>
        <v>2.4539149854723902E-2</v>
      </c>
      <c r="N56" s="121">
        <f>IFERROR(N37+N39+N40+N41+N42+N43+N46+N47+N48+N49+N50+N51+N53+N54+N55, "NA")</f>
        <v>3735.4799999999996</v>
      </c>
      <c r="O56" s="122">
        <f>IFERROR(N56/N148, "NA")</f>
        <v>3.3577704464640611E-2</v>
      </c>
      <c r="P56" s="121">
        <f>IFERROR(P37+P39+P40+P41+P42+P43+P46+P47+P48+P49+P50+P51+P53+P54+P55, "NA")</f>
        <v>4461.2100000000009</v>
      </c>
      <c r="Q56" s="122">
        <f>IFERROR(P56/P148, "NA")</f>
        <v>3.3027005801996544E-2</v>
      </c>
      <c r="R56" s="121">
        <f>IFERROR(R37+R39+R40+R41+R42+R43+R46+R47+R48+R49+R50+R51+R53+R54+R55, "NA")</f>
        <v>4424.6499999999987</v>
      </c>
      <c r="S56" s="122">
        <f>IFERROR(R56/R148, "NA")</f>
        <v>3.4287768504150808E-2</v>
      </c>
      <c r="T56" s="121">
        <f>IFERROR(T37+T39+T40+T41+T42+T43+T46+T47+T48+T49+T50+T51+T53+T54+T55, "NA")</f>
        <v>5567.2300000000005</v>
      </c>
      <c r="U56" s="122">
        <f>IFERROR(T56/T148, "NA")</f>
        <v>4.1132882981228393E-2</v>
      </c>
      <c r="V56" s="121">
        <f>IFERROR(V37+V39+V40+V41+V42+V43+V46+V47+V48+V49+V50+V51+V53+V54+V55, "NA")</f>
        <v>6280.1699999999992</v>
      </c>
      <c r="W56" s="122">
        <f>IFERROR(V56/V148, "NA")</f>
        <v>4.1485911125183059E-2</v>
      </c>
      <c r="X56" s="121">
        <f>IFERROR(X37+X39+X40+X41+X42+X43+X46+X47+X48+X49+X50+X51+X53+X54+X55, "NA")</f>
        <v>5100.9699999999993</v>
      </c>
      <c r="Y56" s="122">
        <f>IFERROR(X56/X148, "NA")</f>
        <v>4.2890502199359852E-2</v>
      </c>
      <c r="Z56" s="121">
        <f>IFERROR(Z37+Z39+Z40+Z41+Z42+Z43+Z46+Z47+Z48+Z49+Z50+Z51+Z53+Z54+Z55, "NA")</f>
        <v>16948.37</v>
      </c>
      <c r="AA56" s="122">
        <f>IFERROR(Z56/Z148, "NA")</f>
        <v>4.1779918802594136E-2</v>
      </c>
      <c r="AB56" s="121">
        <f t="shared" si="18"/>
        <v>5343.2549999999992</v>
      </c>
      <c r="AC56" s="122">
        <f>IFERROR(AB56/AB148, "NA")</f>
        <v>3.9971771984603631E-2</v>
      </c>
      <c r="AD56" s="123">
        <f t="shared" si="19"/>
        <v>-242.28499999999985</v>
      </c>
      <c r="AE56" s="124">
        <f>IFERROR(AD56/AD148, "NA")</f>
        <v>1.6430947431954505E-2</v>
      </c>
      <c r="AF56" s="123">
        <f t="shared" si="20"/>
        <v>-4.5344083334970892E-2</v>
      </c>
      <c r="AG56" s="121">
        <f t="shared" si="21"/>
        <v>4595.9612499999994</v>
      </c>
      <c r="AH56" s="122">
        <f>IFERROR(AG56/AG148, "NA")</f>
        <v>3.5600692534584727E-2</v>
      </c>
      <c r="AI56" s="123">
        <f t="shared" si="22"/>
        <v>505.00874999999996</v>
      </c>
      <c r="AJ56" s="124">
        <f>IFERROR(AI56/AI148, "NA")</f>
        <v>-4.9669097664597053E-2</v>
      </c>
      <c r="AK56" s="123">
        <f t="shared" si="23"/>
        <v>0.1098809851801949</v>
      </c>
      <c r="AL56" s="124">
        <f>IFERROR(AK56/AK148, "NA")</f>
        <v>-1.3951722320105262</v>
      </c>
    </row>
    <row r="57" spans="1:38" ht="16.5" customHeight="1" x14ac:dyDescent="0.25">
      <c r="A57" s="120" t="s">
        <v>62</v>
      </c>
      <c r="B57" s="131">
        <f>IFERROR(B13+B15+B16+B17+B18+B19+B20+B21+B22+B23+B24+B25+B26+B29+B30+B31+B32+B33+B37+B39+B40+B41+B42+B43+B46+B47+B48+B49+B50+B51+B53+B54+B55, "NA")</f>
        <v>30707.340000000007</v>
      </c>
      <c r="C57" s="132">
        <f>IFERROR(B57/B148, "NA")</f>
        <v>0.27088870926095326</v>
      </c>
      <c r="D57" s="131">
        <f>IFERROR(D13+D15+D16+D17+D18+D19+D20+D21+D22+D23+D24+D25+D26+D29+D30+D31+D32+D33+D37+D39+D40+D41+D42+D43+D46+D47+D48+D49+D50+D51+D53+D54+D55, "NA")</f>
        <v>32594.799999999999</v>
      </c>
      <c r="E57" s="132">
        <f>IFERROR(D57/D148, "NA")</f>
        <v>0.25476629670157885</v>
      </c>
      <c r="F57" s="131">
        <f>IFERROR(F13+F15+F16+F17+F18+F19+F20+F21+F22+F23+F24+F25+F26+F29+F30+F31+F32+F33+F37+F39+F40+F41+F42+F43+F46+F47+F48+F49+F50+F51+F53+F54+F55, "NA")</f>
        <v>30699.03</v>
      </c>
      <c r="G57" s="132">
        <f>IFERROR(F57/F148, "NA")</f>
        <v>0.24581116925978952</v>
      </c>
      <c r="H57" s="131">
        <f>IFERROR(H13+H15+H16+H17+H18+H19+H20+H21+H22+H23+H24+H25+H26+H29+H30+H31+H32+H33+H37+H39+H40+H41+H42+H43+H46+H47+H48+H49+H50+H51+H53+H54+H55, "NA")</f>
        <v>31109.319999999996</v>
      </c>
      <c r="I57" s="132">
        <f>IFERROR(H57/H148, "NA")</f>
        <v>0.24504223664256281</v>
      </c>
      <c r="J57" s="131">
        <f>IFERROR(J13+J15+J16+J17+J18+J19+J20+J21+J22+J23+J24+J25+J26+J29+J30+J31+J32+J33+J37+J39+J40+J41+J42+J43+J46+J47+J48+J49+J50+J51+J53+J54+J55, "NA")</f>
        <v>28983.209999999995</v>
      </c>
      <c r="K57" s="132">
        <f>IFERROR(J57/J148, "NA")</f>
        <v>0.23520901622348581</v>
      </c>
      <c r="L57" s="131">
        <f>IFERROR(L13+L15+L16+L17+L18+L19+L20+L21+L22+L23+L24+L25+L26+L29+L30+L31+L32+L33+L37+L39+L40+L41+L42+L43+L46+L47+L48+L49+L50+L51+L53+L54+L55, "NA")</f>
        <v>29321.440000000002</v>
      </c>
      <c r="M57" s="132">
        <f>IFERROR(L57/L148, "NA")</f>
        <v>0.22813327059198457</v>
      </c>
      <c r="N57" s="131">
        <f>IFERROR(N13+N15+N16+N17+N18+N19+N20+N21+N22+N23+N24+N25+N26+N29+N30+N31+N32+N33+N37+N39+N40+N41+N42+N43+N46+N47+N48+N49+N50+N51+N53+N54+N55, "NA")</f>
        <v>28566.33</v>
      </c>
      <c r="O57" s="132">
        <f>IFERROR(N57/N148, "NA")</f>
        <v>0.25677872358556253</v>
      </c>
      <c r="P57" s="131">
        <f>IFERROR(P13+P15+P16+P17+P18+P19+P20+P21+P22+P23+P24+P25+P26+P29+P30+P31+P32+P33+P37+P39+P40+P41+P42+P43+P46+P47+P48+P49+P50+P51+P53+P54+P55, "NA")</f>
        <v>33442.78</v>
      </c>
      <c r="Q57" s="132">
        <f>IFERROR(P57/P148, "NA")</f>
        <v>0.24758190918941134</v>
      </c>
      <c r="R57" s="131">
        <f>IFERROR(R13+R15+R16+R17+R18+R19+R20+R21+R22+R23+R24+R25+R26+R29+R30+R31+R32+R33+R37+R39+R40+R41+R42+R43+R46+R47+R48+R49+R50+R51+R53+R54+R55, "NA")</f>
        <v>32330.990000000005</v>
      </c>
      <c r="S57" s="132">
        <f>IFERROR(R57/R148, "NA")</f>
        <v>0.25054128589380298</v>
      </c>
      <c r="T57" s="131">
        <f>IFERROR(T13+T15+T16+T17+T18+T19+T20+T21+T22+T23+T24+T25+T26+T29+T30+T31+T32+T33+T37+T39+T40+T41+T42+T43+T46+T47+T48+T49+T50+T51+T53+T54+T55, "NA")</f>
        <v>34564.280000000006</v>
      </c>
      <c r="U57" s="132">
        <f>IFERROR(T57/T148, "NA")</f>
        <v>0.25537448328350237</v>
      </c>
      <c r="V57" s="131">
        <f>IFERROR(V13+V15+V16+V17+V18+V19+V20+V21+V22+V23+V24+V25+V26+V29+V30+V31+V32+V33+V37+V39+V40+V41+V42+V43+V46+V47+V48+V49+V50+V51+V53+V54+V55, "NA")</f>
        <v>36582.79</v>
      </c>
      <c r="W57" s="132">
        <f>IFERROR(V57/V148, "NA")</f>
        <v>0.24166071533911274</v>
      </c>
      <c r="X57" s="131">
        <f>IFERROR(X13+X15+X16+X17+X18+X19+X20+X21+X22+X23+X24+X25+X26+X29+X30+X31+X32+X33+X37+X39+X40+X41+X42+X43+X46+X47+X48+X49+X50+X51+X53+X54+X55, "NA")</f>
        <v>30685.200000000001</v>
      </c>
      <c r="Y57" s="132">
        <f>IFERROR(X57/X148, "NA")</f>
        <v>0.25801046430145586</v>
      </c>
      <c r="Z57" s="131">
        <f>IFERROR(Z13+Z15+Z16+Z17+Z18+Z19+Z20+Z21+Z22+Z23+Z24+Z25+Z26+Z29+Z30+Z31+Z32+Z33+Z37+Z39+Z40+Z41+Z42+Z43+Z46+Z47+Z48+Z49+Z50+Z51+Z53+Z54+Z55, "NA")</f>
        <v>101832.27</v>
      </c>
      <c r="AA57" s="132">
        <f>IFERROR(Z57/Z148, "NA")</f>
        <v>0.25102968439347523</v>
      </c>
      <c r="AB57" s="131">
        <f t="shared" si="18"/>
        <v>33540.81500000001</v>
      </c>
      <c r="AC57" s="132">
        <f>IFERROR(AB57/AB148, "NA")</f>
        <v>0.25091181486898412</v>
      </c>
      <c r="AD57" s="133">
        <f t="shared" si="19"/>
        <v>-2855.6150000000089</v>
      </c>
      <c r="AE57" s="134">
        <f>IFERROR(AD57/AD148, "NA")</f>
        <v>0.19365812968570459</v>
      </c>
      <c r="AF57" s="133">
        <f t="shared" si="20"/>
        <v>-8.5138509603896267E-2</v>
      </c>
      <c r="AG57" s="131">
        <f t="shared" si="21"/>
        <v>31809.627500000002</v>
      </c>
      <c r="AH57" s="132">
        <f>IFERROR(AG57/AG148, "NA")</f>
        <v>0.24639998178121525</v>
      </c>
      <c r="AI57" s="133">
        <f t="shared" si="22"/>
        <v>-1124.4275000000016</v>
      </c>
      <c r="AJ57" s="134">
        <f>IFERROR(AI57/AI148, "NA")</f>
        <v>0.11059075573296262</v>
      </c>
      <c r="AK57" s="133">
        <f t="shared" si="23"/>
        <v>-3.5348653485489621E-2</v>
      </c>
      <c r="AL57" s="134">
        <f>IFERROR(AK57/AK148, "NA")</f>
        <v>0.4488261522322633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63</v>
      </c>
      <c r="B59" s="136">
        <f>IFERROR(B9-B57, "NA")</f>
        <v>82650.430000000022</v>
      </c>
      <c r="C59" s="137">
        <f>IFERROR(B59/B148, "NA")</f>
        <v>0.72911129073904712</v>
      </c>
      <c r="D59" s="136">
        <f>IFERROR(D9-D57, "NA")</f>
        <v>95345.199999999953</v>
      </c>
      <c r="E59" s="137">
        <f>IFERROR(D59/D148, "NA")</f>
        <v>0.74523370329842076</v>
      </c>
      <c r="F59" s="136">
        <f>IFERROR(F9-F57, "NA")</f>
        <v>94189.640000000043</v>
      </c>
      <c r="G59" s="137">
        <f>IFERROR(F59/F148, "NA")</f>
        <v>0.75418883074021081</v>
      </c>
      <c r="H59" s="136">
        <f>IFERROR(H9-H57, "NA")</f>
        <v>95845.609999999986</v>
      </c>
      <c r="I59" s="137">
        <f>IFERROR(H59/H148, "NA")</f>
        <v>0.75495776335743703</v>
      </c>
      <c r="J59" s="136">
        <f>IFERROR(J9-J57, "NA")</f>
        <v>94240.000000000029</v>
      </c>
      <c r="K59" s="137">
        <f>IFERROR(J59/J148, "NA")</f>
        <v>0.76479098377651444</v>
      </c>
      <c r="L59" s="136">
        <f>IFERROR(L9-L57, "NA")</f>
        <v>99206.24</v>
      </c>
      <c r="M59" s="137">
        <f>IFERROR(L59/L148, "NA")</f>
        <v>0.77186672940801548</v>
      </c>
      <c r="N59" s="136">
        <f>IFERROR(N9-N57, "NA")</f>
        <v>82682.489999999976</v>
      </c>
      <c r="O59" s="137">
        <f>IFERROR(N59/N148, "NA")</f>
        <v>0.74322127641443725</v>
      </c>
      <c r="P59" s="136">
        <f>IFERROR(P9-P57, "NA")</f>
        <v>101634.86000000002</v>
      </c>
      <c r="Q59" s="137">
        <f>IFERROR(P59/P148, "NA")</f>
        <v>0.75241809081058864</v>
      </c>
      <c r="R59" s="136">
        <f>IFERROR(R9-R57, "NA")</f>
        <v>96713.570000000036</v>
      </c>
      <c r="S59" s="137">
        <f>IFERROR(R59/R148, "NA")</f>
        <v>0.74945871410619747</v>
      </c>
      <c r="T59" s="136">
        <f>IFERROR(T9-T57, "NA")</f>
        <v>100783.15000000005</v>
      </c>
      <c r="U59" s="137">
        <f>IFERROR(T59/T148, "NA")</f>
        <v>0.74462551671649813</v>
      </c>
      <c r="V59" s="136">
        <f>IFERROR(V9-V57, "NA")</f>
        <v>114797.99999999994</v>
      </c>
      <c r="W59" s="137">
        <f>IFERROR(V59/V148, "NA")</f>
        <v>0.75833928466088696</v>
      </c>
      <c r="X59" s="136">
        <f>IFERROR(X9-X57, "NA")</f>
        <v>88244.860000000015</v>
      </c>
      <c r="Y59" s="137">
        <f>IFERROR(X59/X148, "NA")</f>
        <v>0.74198953569854431</v>
      </c>
      <c r="Z59" s="136">
        <f>IFERROR(Z9-Z57, "NA")</f>
        <v>303826.00999999995</v>
      </c>
      <c r="AA59" s="137">
        <f>IFERROR(Z59/Z148, "NA")</f>
        <v>0.74897031560652461</v>
      </c>
      <c r="AB59" s="136">
        <f>IFERROR((R59+T59+V59+X59)/4, "NA")</f>
        <v>100134.89500000002</v>
      </c>
      <c r="AC59" s="137">
        <f>IFERROR(AB59/AB148, "NA")</f>
        <v>0.74908818513101616</v>
      </c>
      <c r="AD59" s="123">
        <f>IFERROR(X59-AB59, "NA")</f>
        <v>-11890.035000000003</v>
      </c>
      <c r="AE59" s="124">
        <f>IFERROR(AD59/AD148, "NA")</f>
        <v>0.8063418703142966</v>
      </c>
      <c r="AF59" s="123">
        <f>IFERROR((X59-AB59)/AB59, "NA")</f>
        <v>-0.11874017544033977</v>
      </c>
      <c r="AG59" s="136">
        <f>IFERROR((J59+L59+N59+P59+R59+T59+V59+X59)/8, "NA")</f>
        <v>97287.896250000005</v>
      </c>
      <c r="AH59" s="137">
        <f>IFERROR(AG59/AG148, "NA")</f>
        <v>0.75360001821878486</v>
      </c>
      <c r="AI59" s="123">
        <f>IFERROR(X59-AG59, "NA")</f>
        <v>-9043.0362499999901</v>
      </c>
      <c r="AJ59" s="124">
        <f>IFERROR(AI59/AI148, "NA")</f>
        <v>0.88940924426703705</v>
      </c>
      <c r="AK59" s="123">
        <f>IFERROR((X59-AG59)/AG59, "NA")</f>
        <v>-9.2951298142599004E-2</v>
      </c>
      <c r="AL59" s="124">
        <f>IFERROR(AK59/AK148, "NA")</f>
        <v>1.1802139367900388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64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64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65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66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67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68</v>
      </c>
      <c r="B66" s="115">
        <v>6688.85</v>
      </c>
      <c r="C66" s="116">
        <f>IFERROR(B66/B148, "NA")</f>
        <v>5.9006541854166691E-2</v>
      </c>
      <c r="D66" s="115">
        <v>6688.85</v>
      </c>
      <c r="E66" s="116">
        <f>IFERROR(D66/D148, "NA")</f>
        <v>5.2281147412849775E-2</v>
      </c>
      <c r="F66" s="115">
        <v>6688.85</v>
      </c>
      <c r="G66" s="116">
        <f>IFERROR(F66/F148, "NA")</f>
        <v>5.3558501343636697E-2</v>
      </c>
      <c r="H66" s="115">
        <v>6688.85</v>
      </c>
      <c r="I66" s="116">
        <f>IFERROR(H66/H148, "NA")</f>
        <v>5.2686807830148855E-2</v>
      </c>
      <c r="J66" s="115">
        <v>6688.85</v>
      </c>
      <c r="K66" s="116">
        <f>IFERROR(J66/J148, "NA")</f>
        <v>5.4282387222342292E-2</v>
      </c>
      <c r="L66" s="115">
        <v>6688.85</v>
      </c>
      <c r="M66" s="116">
        <f>IFERROR(L66/L148, "NA")</f>
        <v>5.2042097079788574E-2</v>
      </c>
      <c r="N66" s="115">
        <v>6688.85</v>
      </c>
      <c r="O66" s="116">
        <f>IFERROR(N66/N148, "NA")</f>
        <v>6.0125132113760846E-2</v>
      </c>
      <c r="P66" s="115">
        <v>6688.85</v>
      </c>
      <c r="Q66" s="116">
        <f>IFERROR(P66/P148, "NA")</f>
        <v>4.9518558363915742E-2</v>
      </c>
      <c r="R66" s="115">
        <v>6688.85</v>
      </c>
      <c r="S66" s="116">
        <f>IFERROR(R66/R148, "NA")</f>
        <v>5.1833645680220856E-2</v>
      </c>
      <c r="T66" s="115">
        <v>6823.46</v>
      </c>
      <c r="U66" s="116">
        <f>IFERROR(T66/T148, "NA")</f>
        <v>5.0414403878965418E-2</v>
      </c>
      <c r="V66" s="115">
        <v>6823.46</v>
      </c>
      <c r="W66" s="116">
        <f>IFERROR(V66/V148, "NA")</f>
        <v>4.5074807708428533E-2</v>
      </c>
      <c r="X66" s="115">
        <v>5496.54</v>
      </c>
      <c r="Y66" s="116">
        <f>IFERROR(X66/X148, "NA")</f>
        <v>4.6216574682632801E-2</v>
      </c>
      <c r="Z66" s="115">
        <v>19143.46</v>
      </c>
      <c r="AA66" s="116">
        <f>IFERROR(Z66/Z148, "NA")</f>
        <v>4.7191098872676772E-2</v>
      </c>
      <c r="AB66" s="117">
        <f t="shared" si="24"/>
        <v>6458.0775000000003</v>
      </c>
      <c r="AC66" s="116">
        <f>IFERROR(AB66/AB148, "NA")</f>
        <v>4.8311525706502705E-2</v>
      </c>
      <c r="AD66" s="118">
        <f t="shared" si="25"/>
        <v>-961.53750000000036</v>
      </c>
      <c r="AE66" s="119">
        <f>IFERROR(AD66/AD148, "NA")</f>
        <v>6.5208213947842292E-2</v>
      </c>
      <c r="AF66" s="118">
        <f t="shared" si="26"/>
        <v>-0.14888912373690164</v>
      </c>
      <c r="AG66" s="117">
        <f t="shared" si="27"/>
        <v>6573.4637499999999</v>
      </c>
      <c r="AH66" s="116">
        <f>IFERROR(AG66/AG148, "NA")</f>
        <v>5.0918588978744843E-2</v>
      </c>
      <c r="AI66" s="118">
        <f t="shared" si="28"/>
        <v>-1076.9237499999999</v>
      </c>
      <c r="AJ66" s="119">
        <f>IFERROR(AI66/AI148, "NA")</f>
        <v>0.10591862203590353</v>
      </c>
      <c r="AK66" s="118">
        <f t="shared" si="29"/>
        <v>-0.16382896307901598</v>
      </c>
      <c r="AL66" s="119">
        <f>IFERROR(AK66/AK148, "NA")</f>
        <v>2.0801562682759651</v>
      </c>
    </row>
    <row r="67" spans="1:38" ht="16.5" hidden="1" customHeight="1" x14ac:dyDescent="0.25">
      <c r="A67" s="7" t="s">
        <v>69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70</v>
      </c>
      <c r="B68" s="115">
        <v>22484.54</v>
      </c>
      <c r="C68" s="116">
        <f>IFERROR(B68/B148, "NA")</f>
        <v>0.19835023218964173</v>
      </c>
      <c r="D68" s="115">
        <v>23694.840000000004</v>
      </c>
      <c r="E68" s="116">
        <f>IFERROR(D68/D148, "NA")</f>
        <v>0.18520275128966707</v>
      </c>
      <c r="F68" s="115">
        <v>24595.300000000003</v>
      </c>
      <c r="G68" s="116">
        <f>IFERROR(F68/F148, "NA")</f>
        <v>0.19693780068280015</v>
      </c>
      <c r="H68" s="115">
        <v>21983.68</v>
      </c>
      <c r="I68" s="116">
        <f>IFERROR(H68/H148, "NA")</f>
        <v>0.17316129432704977</v>
      </c>
      <c r="J68" s="115">
        <v>23061.24</v>
      </c>
      <c r="K68" s="116">
        <f>IFERROR(J68/J148, "NA")</f>
        <v>0.18715013186233342</v>
      </c>
      <c r="L68" s="115">
        <v>23069.690000000002</v>
      </c>
      <c r="M68" s="116">
        <f>IFERROR(L68/L148, "NA")</f>
        <v>0.17949199736585927</v>
      </c>
      <c r="N68" s="115">
        <v>22198.83</v>
      </c>
      <c r="O68" s="116">
        <f>IFERROR(N68/N148, "NA")</f>
        <v>0.19954216143595951</v>
      </c>
      <c r="P68" s="115">
        <v>23481.63</v>
      </c>
      <c r="Q68" s="116">
        <f>IFERROR(P68/P148, "NA")</f>
        <v>0.17383802382096694</v>
      </c>
      <c r="R68" s="115">
        <v>22904.18</v>
      </c>
      <c r="S68" s="116">
        <f>IFERROR(R68/R148, "NA")</f>
        <v>0.17749047305829865</v>
      </c>
      <c r="T68" s="115">
        <v>24297.18</v>
      </c>
      <c r="U68" s="116">
        <f>IFERROR(T68/T148, "NA")</f>
        <v>0.17951711384545685</v>
      </c>
      <c r="V68" s="115">
        <v>23998.190000000002</v>
      </c>
      <c r="W68" s="116">
        <f>IFERROR(V68/V148, "NA")</f>
        <v>0.15852863497409417</v>
      </c>
      <c r="X68" s="115">
        <v>24100.67</v>
      </c>
      <c r="Y68" s="116">
        <f>IFERROR(X68/X148, "NA")</f>
        <v>0.20264573985752635</v>
      </c>
      <c r="Z68" s="115">
        <v>72396.039999999994</v>
      </c>
      <c r="AA68" s="116">
        <f>IFERROR(Z68/Z148, "NA")</f>
        <v>0.17846557945273542</v>
      </c>
      <c r="AB68" s="117">
        <f t="shared" si="24"/>
        <v>23825.055</v>
      </c>
      <c r="AC68" s="116">
        <f>IFERROR(AB68/AB148, "NA")</f>
        <v>0.17823024841237051</v>
      </c>
      <c r="AD68" s="118">
        <f t="shared" si="25"/>
        <v>275.61499999999796</v>
      </c>
      <c r="AE68" s="119">
        <f>IFERROR(AD68/AD148, "NA")</f>
        <v>-1.8691275053998844E-2</v>
      </c>
      <c r="AF68" s="118">
        <f t="shared" si="26"/>
        <v>1.1568283892733846E-2</v>
      </c>
      <c r="AG68" s="117">
        <f t="shared" si="27"/>
        <v>23388.951249999998</v>
      </c>
      <c r="AH68" s="116">
        <f>IFERROR(AG68/AG148, "NA")</f>
        <v>0.18117273337707998</v>
      </c>
      <c r="AI68" s="118">
        <f t="shared" si="28"/>
        <v>711.71875</v>
      </c>
      <c r="AJ68" s="119">
        <f>IFERROR(AI68/AI148, "NA")</f>
        <v>-6.9999634864692808E-2</v>
      </c>
      <c r="AK68" s="118">
        <f t="shared" si="29"/>
        <v>3.0429699151217824E-2</v>
      </c>
      <c r="AL68" s="119">
        <f>IFERROR(AK68/AK148, "NA")</f>
        <v>-0.38636959083131223</v>
      </c>
    </row>
    <row r="69" spans="1:38" ht="16.5" customHeight="1" x14ac:dyDescent="0.25">
      <c r="A69" s="7" t="s">
        <v>71</v>
      </c>
      <c r="B69" s="115">
        <v>176.77</v>
      </c>
      <c r="C69" s="116">
        <f>IFERROR(B69/B148, "NA")</f>
        <v>1.5593990601614695E-3</v>
      </c>
      <c r="D69" s="115">
        <v>701.38</v>
      </c>
      <c r="E69" s="116">
        <f>IFERROR(D69/D148, "NA")</f>
        <v>5.4821009848366421E-3</v>
      </c>
      <c r="F69" s="115">
        <v>314.83000000000004</v>
      </c>
      <c r="G69" s="116">
        <f>IFERROR(F69/F148, "NA")</f>
        <v>2.5208852011955932E-3</v>
      </c>
      <c r="H69" s="115">
        <v>250.08</v>
      </c>
      <c r="I69" s="116">
        <f>IFERROR(H69/H148, "NA")</f>
        <v>1.9698329162955706E-3</v>
      </c>
      <c r="J69" s="115">
        <v>303.98</v>
      </c>
      <c r="K69" s="116">
        <f>IFERROR(J69/J148, "NA")</f>
        <v>2.4669053825168165E-3</v>
      </c>
      <c r="L69" s="115">
        <v>506.76</v>
      </c>
      <c r="M69" s="116">
        <f>IFERROR(L69/L148, "NA")</f>
        <v>3.9428082728949904E-3</v>
      </c>
      <c r="N69" s="115">
        <v>446.07000000000005</v>
      </c>
      <c r="O69" s="116">
        <f>IFERROR(N69/N148, "NA")</f>
        <v>4.009660506960883E-3</v>
      </c>
      <c r="P69" s="115">
        <v>281.07</v>
      </c>
      <c r="Q69" s="116">
        <f>IFERROR(P69/P148, "NA")</f>
        <v>2.0808033068981657E-3</v>
      </c>
      <c r="R69" s="115">
        <v>381.61</v>
      </c>
      <c r="S69" s="116">
        <f>IFERROR(R69/R148, "NA")</f>
        <v>2.9571955609752169E-3</v>
      </c>
      <c r="T69" s="115">
        <v>1037.57</v>
      </c>
      <c r="U69" s="116">
        <f>IFERROR(T69/T148, "NA")</f>
        <v>7.6659748914331069E-3</v>
      </c>
      <c r="V69" s="115">
        <v>333.15999999999997</v>
      </c>
      <c r="W69" s="116">
        <f>IFERROR(V69/V148, "NA")</f>
        <v>2.2008076454086414E-3</v>
      </c>
      <c r="X69" s="115">
        <v>206.87</v>
      </c>
      <c r="Y69" s="116">
        <f>IFERROR(X69/X148, "NA")</f>
        <v>1.7394256758972459E-3</v>
      </c>
      <c r="Z69" s="115">
        <v>1577.6000000000001</v>
      </c>
      <c r="AA69" s="116">
        <f>IFERROR(Z69/Z148, "NA")</f>
        <v>3.8889875488305084E-3</v>
      </c>
      <c r="AB69" s="117">
        <f t="shared" si="24"/>
        <v>489.8024999999999</v>
      </c>
      <c r="AC69" s="116">
        <f>IFERROR(AB69/AB148, "NA")</f>
        <v>3.664109956850051E-3</v>
      </c>
      <c r="AD69" s="118">
        <f t="shared" si="25"/>
        <v>-282.93249999999989</v>
      </c>
      <c r="AE69" s="119">
        <f>IFERROR(AD69/AD148, "NA")</f>
        <v>1.918752310003289E-2</v>
      </c>
      <c r="AF69" s="118">
        <f t="shared" si="26"/>
        <v>-0.57764609204730466</v>
      </c>
      <c r="AG69" s="117">
        <f t="shared" si="27"/>
        <v>437.1362499999999</v>
      </c>
      <c r="AH69" s="116">
        <f>IFERROR(AG69/AG148, "NA")</f>
        <v>3.3860932208624175E-3</v>
      </c>
      <c r="AI69" s="118">
        <f t="shared" si="28"/>
        <v>-230.2662499999999</v>
      </c>
      <c r="AJ69" s="119">
        <f>IFERROR(AI69/AI148, "NA")</f>
        <v>2.2647363753817172E-2</v>
      </c>
      <c r="AK69" s="118">
        <f t="shared" si="29"/>
        <v>-0.52676082113986189</v>
      </c>
      <c r="AL69" s="119">
        <f>IFERROR(AK69/AK148, "NA")</f>
        <v>6.6883462080376583</v>
      </c>
    </row>
    <row r="70" spans="1:38" ht="16.5" customHeight="1" x14ac:dyDescent="0.25">
      <c r="A70" s="129" t="s">
        <v>72</v>
      </c>
      <c r="B70" s="121">
        <f>IFERROR(B65+B66+B67+B68+B69, "NA")</f>
        <v>29350.16</v>
      </c>
      <c r="C70" s="122">
        <f>IFERROR(B70/B148, "NA")</f>
        <v>0.25891617310396986</v>
      </c>
      <c r="D70" s="121">
        <f>IFERROR(D65+D66+D67+D68+D69, "NA")</f>
        <v>31085.070000000003</v>
      </c>
      <c r="E70" s="122">
        <f>IFERROR(D70/D148, "NA")</f>
        <v>0.24296599968735347</v>
      </c>
      <c r="F70" s="121">
        <f>IFERROR(F65+F66+F67+F68+F69, "NA")</f>
        <v>31598.980000000003</v>
      </c>
      <c r="G70" s="122">
        <f>IFERROR(F70/F148, "NA")</f>
        <v>0.25301718722763245</v>
      </c>
      <c r="H70" s="121">
        <f>IFERROR(H65+H66+H67+H68+H69, "NA")</f>
        <v>28922.61</v>
      </c>
      <c r="I70" s="122">
        <f>IFERROR(H70/H148, "NA")</f>
        <v>0.22781793507349418</v>
      </c>
      <c r="J70" s="121">
        <f>IFERROR(J65+J66+J67+J68+J69, "NA")</f>
        <v>30054.070000000003</v>
      </c>
      <c r="K70" s="122">
        <f>IFERROR(J70/J148, "NA")</f>
        <v>0.24389942446719254</v>
      </c>
      <c r="L70" s="121">
        <f>IFERROR(L65+L66+L67+L68+L69, "NA")</f>
        <v>30265.3</v>
      </c>
      <c r="M70" s="122">
        <f>IFERROR(L70/L148, "NA")</f>
        <v>0.23547690271854282</v>
      </c>
      <c r="N70" s="121">
        <f>IFERROR(N65+N66+N67+N68+N69, "NA")</f>
        <v>29333.75</v>
      </c>
      <c r="O70" s="122">
        <f>IFERROR(N70/N148, "NA")</f>
        <v>0.26367695405668123</v>
      </c>
      <c r="P70" s="121">
        <f>IFERROR(P65+P66+P67+P68+P69, "NA")</f>
        <v>30451.550000000003</v>
      </c>
      <c r="Q70" s="122">
        <f>IFERROR(P70/P148, "NA")</f>
        <v>0.22543738549178088</v>
      </c>
      <c r="R70" s="121">
        <f>IFERROR(R65+R66+R67+R68+R69, "NA")</f>
        <v>29974.639999999999</v>
      </c>
      <c r="S70" s="122">
        <f>IFERROR(R70/R148, "NA")</f>
        <v>0.23228131429949472</v>
      </c>
      <c r="T70" s="121">
        <f>IFERROR(T65+T66+T67+T68+T69, "NA")</f>
        <v>32158.21</v>
      </c>
      <c r="U70" s="122">
        <f>IFERROR(T70/T148, "NA")</f>
        <v>0.23759749261585536</v>
      </c>
      <c r="V70" s="121">
        <f>IFERROR(V65+V66+V67+V68+V69, "NA")</f>
        <v>31154.81</v>
      </c>
      <c r="W70" s="122">
        <f>IFERROR(V70/V148, "NA")</f>
        <v>0.20580425032793134</v>
      </c>
      <c r="X70" s="121">
        <f>IFERROR(X65+X66+X67+X68+X69, "NA")</f>
        <v>29804.079999999998</v>
      </c>
      <c r="Y70" s="122">
        <f>IFERROR(X70/X148, "NA")</f>
        <v>0.25060174021605636</v>
      </c>
      <c r="Z70" s="121">
        <f>IFERROR(Z65+Z66+Z67+Z68+Z69, "NA")</f>
        <v>93117.1</v>
      </c>
      <c r="AA70" s="122">
        <f>IFERROR(Z70/Z148, "NA")</f>
        <v>0.22954566587424272</v>
      </c>
      <c r="AB70" s="121">
        <f t="shared" si="24"/>
        <v>30772.935000000001</v>
      </c>
      <c r="AC70" s="122">
        <f>IFERROR(AB70/AB148, "NA")</f>
        <v>0.23020588407572329</v>
      </c>
      <c r="AD70" s="123">
        <f t="shared" si="25"/>
        <v>-968.8550000000032</v>
      </c>
      <c r="AE70" s="124">
        <f>IFERROR(AD70/AD148, "NA")</f>
        <v>6.5704461993876404E-2</v>
      </c>
      <c r="AF70" s="123">
        <f t="shared" si="26"/>
        <v>-3.1483997220284748E-2</v>
      </c>
      <c r="AG70" s="121">
        <f t="shared" si="27"/>
        <v>30399.551249999997</v>
      </c>
      <c r="AH70" s="122">
        <f>IFERROR(AG70/AG148, "NA")</f>
        <v>0.23547741557668722</v>
      </c>
      <c r="AI70" s="123">
        <f t="shared" si="28"/>
        <v>-595.47124999999869</v>
      </c>
      <c r="AJ70" s="124">
        <f>IFERROR(AI70/AI148, "NA")</f>
        <v>5.8566350925027787E-2</v>
      </c>
      <c r="AK70" s="123">
        <f t="shared" si="29"/>
        <v>-1.9588159216659448E-2</v>
      </c>
      <c r="AL70" s="124">
        <f>IFERROR(AK70/AK148, "NA")</f>
        <v>0.24871323978818963</v>
      </c>
    </row>
    <row r="71" spans="1:38" ht="16.5" hidden="1" customHeight="1" x14ac:dyDescent="0.25">
      <c r="A71" s="5" t="s">
        <v>73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74</v>
      </c>
      <c r="B72" s="115">
        <v>0</v>
      </c>
      <c r="C72" s="116">
        <f>IFERROR(B72/B148, "NA")</f>
        <v>0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1831</v>
      </c>
      <c r="I72" s="116">
        <f>IFERROR(H72/H148, "NA")</f>
        <v>1.4422441097797462E-2</v>
      </c>
      <c r="J72" s="115">
        <v>0</v>
      </c>
      <c r="K72" s="116">
        <f>IFERROR(J72/J148, "NA")</f>
        <v>0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2449</v>
      </c>
      <c r="S72" s="116">
        <f>IFERROR(R72/R148, "NA")</f>
        <v>1.8977940643139086E-2</v>
      </c>
      <c r="T72" s="115">
        <v>0</v>
      </c>
      <c r="U72" s="116">
        <f>IFERROR(T72/T148, "NA")</f>
        <v>0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612.25</v>
      </c>
      <c r="AC72" s="116">
        <f>IFERROR(AB72/AB148, "NA")</f>
        <v>4.5801140685918186E-3</v>
      </c>
      <c r="AD72" s="118">
        <f t="shared" si="25"/>
        <v>-612.25</v>
      </c>
      <c r="AE72" s="119">
        <f>IFERROR(AD72/AD148, "NA")</f>
        <v>4.1520719669868755E-2</v>
      </c>
      <c r="AF72" s="118">
        <f t="shared" si="26"/>
        <v>-1</v>
      </c>
      <c r="AG72" s="117">
        <f t="shared" si="27"/>
        <v>306.125</v>
      </c>
      <c r="AH72" s="116">
        <f>IFERROR(AG72/AG148, "NA")</f>
        <v>2.371269340477958E-3</v>
      </c>
      <c r="AI72" s="118">
        <f t="shared" si="28"/>
        <v>-306.125</v>
      </c>
      <c r="AJ72" s="119">
        <f>IFERROR(AI72/AI148, "NA")</f>
        <v>3.0108295198003548E-2</v>
      </c>
      <c r="AK72" s="118">
        <f t="shared" si="29"/>
        <v>-1</v>
      </c>
      <c r="AL72" s="119">
        <f>IFERROR(AK72/AK148, "NA")</f>
        <v>12.697121615014369</v>
      </c>
    </row>
    <row r="73" spans="1:38" ht="16.5" customHeight="1" x14ac:dyDescent="0.25">
      <c r="A73" s="6" t="s">
        <v>75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76</v>
      </c>
      <c r="B74" s="115">
        <v>2780.3</v>
      </c>
      <c r="C74" s="116">
        <f>IFERROR(B74/B148, "NA")</f>
        <v>2.4526770419001719E-2</v>
      </c>
      <c r="D74" s="115">
        <v>2898.94</v>
      </c>
      <c r="E74" s="116">
        <f>IFERROR(D74/D148, "NA")</f>
        <v>2.2658589964045645E-2</v>
      </c>
      <c r="F74" s="115">
        <v>2921.1400000000003</v>
      </c>
      <c r="G74" s="116">
        <f>IFERROR(F74/F148, "NA")</f>
        <v>2.3389952026873218E-2</v>
      </c>
      <c r="H74" s="115">
        <v>2697.2599999999998</v>
      </c>
      <c r="I74" s="116">
        <f>IFERROR(H74/H148, "NA")</f>
        <v>2.1245807468839528E-2</v>
      </c>
      <c r="J74" s="115">
        <v>2719.6499999999996</v>
      </c>
      <c r="K74" s="116">
        <f>IFERROR(J74/J148, "NA")</f>
        <v>2.2070923164556416E-2</v>
      </c>
      <c r="L74" s="115">
        <v>2757.96</v>
      </c>
      <c r="M74" s="116">
        <f>IFERROR(L74/L148, "NA")</f>
        <v>2.145810147666246E-2</v>
      </c>
      <c r="N74" s="115">
        <v>2625.54</v>
      </c>
      <c r="O74" s="116">
        <f>IFERROR(N74/N148, "NA")</f>
        <v>2.3600609876131717E-2</v>
      </c>
      <c r="P74" s="115">
        <v>2787.38</v>
      </c>
      <c r="Q74" s="116">
        <f>IFERROR(P74/P148, "NA")</f>
        <v>2.063539161625862E-2</v>
      </c>
      <c r="R74" s="115">
        <v>2746.7599999999998</v>
      </c>
      <c r="S74" s="116">
        <f>IFERROR(R74/R148, "NA")</f>
        <v>2.1285360653715276E-2</v>
      </c>
      <c r="T74" s="115">
        <v>2801.86</v>
      </c>
      <c r="U74" s="116">
        <f>IFERROR(T74/T148, "NA")</f>
        <v>2.0701242720308766E-2</v>
      </c>
      <c r="V74" s="115">
        <v>2906.9900000000002</v>
      </c>
      <c r="W74" s="116">
        <f>IFERROR(V74/V148, "NA")</f>
        <v>1.9203163096189423E-2</v>
      </c>
      <c r="X74" s="115">
        <v>2759.08</v>
      </c>
      <c r="Y74" s="116">
        <f>IFERROR(X74/X148, "NA")</f>
        <v>2.3199181098538083E-2</v>
      </c>
      <c r="Z74" s="115">
        <v>8467.93</v>
      </c>
      <c r="AA74" s="116">
        <f>IFERROR(Z74/Z148, "NA")</f>
        <v>2.08745400192497E-2</v>
      </c>
      <c r="AB74" s="117">
        <f t="shared" ref="AB74:AB85" si="30">IFERROR((R74+T74+V74+X74)/4, "NA")</f>
        <v>2803.6725000000001</v>
      </c>
      <c r="AC74" s="116">
        <f>IFERROR(AB74/AB148, "NA")</f>
        <v>2.0973686992199259E-2</v>
      </c>
      <c r="AD74" s="118">
        <f t="shared" ref="AD74:AD85" si="31">IFERROR(X74-AB74, "NA")</f>
        <v>-44.5925000000002</v>
      </c>
      <c r="AE74" s="119">
        <f>IFERROR(AD74/AD148, "NA")</f>
        <v>3.024112195800132E-3</v>
      </c>
      <c r="AF74" s="118">
        <f t="shared" ref="AF74:AF85" si="32">IFERROR((X74-AB74)/AB74, "NA")</f>
        <v>-1.5905031703952653E-2</v>
      </c>
      <c r="AG74" s="117">
        <f t="shared" ref="AG74:AG85" si="33">IFERROR((J74+L74+N74+P74+R74+T74+V74+X74)/8, "NA")</f>
        <v>2763.1525000000001</v>
      </c>
      <c r="AH74" s="116">
        <f>IFERROR(AG74/AG148, "NA")</f>
        <v>2.1403605737247925E-2</v>
      </c>
      <c r="AI74" s="118">
        <f t="shared" ref="AI74:AI85" si="34">IFERROR(X74-AG74, "NA")</f>
        <v>-4.0725000000002183</v>
      </c>
      <c r="AJ74" s="119">
        <f>IFERROR(AI74/AI148, "NA")</f>
        <v>4.0054236731360069E-4</v>
      </c>
      <c r="AK74" s="118">
        <f t="shared" ref="AK74:AK85" si="35">IFERROR((X74-AG74)/AG74, "NA")</f>
        <v>-1.4738600203934521E-3</v>
      </c>
      <c r="AL74" s="119">
        <f>IFERROR(AK74/AK148, "NA")</f>
        <v>1.8713779922443222E-2</v>
      </c>
    </row>
    <row r="75" spans="1:38" ht="16.5" hidden="1" customHeight="1" x14ac:dyDescent="0.25">
      <c r="A75" s="7" t="s">
        <v>77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78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79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80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81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82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83</v>
      </c>
      <c r="B81" s="121">
        <f>IFERROR(B74+B75+B76+B77+B78+B79+B80, "NA")</f>
        <v>2780.3</v>
      </c>
      <c r="C81" s="122">
        <f>IFERROR(B81/B148, "NA")</f>
        <v>2.4526770419001719E-2</v>
      </c>
      <c r="D81" s="121">
        <f>IFERROR(D74+D75+D76+D77+D78+D79+D80, "NA")</f>
        <v>2898.94</v>
      </c>
      <c r="E81" s="122">
        <f>IFERROR(D81/D148, "NA")</f>
        <v>2.2658589964045645E-2</v>
      </c>
      <c r="F81" s="121">
        <f>IFERROR(F74+F75+F76+F77+F78+F79+F80, "NA")</f>
        <v>2921.1400000000003</v>
      </c>
      <c r="G81" s="122">
        <f>IFERROR(F81/F148, "NA")</f>
        <v>2.3389952026873218E-2</v>
      </c>
      <c r="H81" s="121">
        <f>IFERROR(H74+H75+H76+H77+H78+H79+H80, "NA")</f>
        <v>2697.2599999999998</v>
      </c>
      <c r="I81" s="122">
        <f>IFERROR(H81/H148, "NA")</f>
        <v>2.1245807468839528E-2</v>
      </c>
      <c r="J81" s="121">
        <f>IFERROR(J74+J75+J76+J77+J78+J79+J80, "NA")</f>
        <v>2719.6499999999996</v>
      </c>
      <c r="K81" s="122">
        <f>IFERROR(J81/J148, "NA")</f>
        <v>2.2070923164556416E-2</v>
      </c>
      <c r="L81" s="121">
        <f>IFERROR(L74+L75+L76+L77+L78+L79+L80, "NA")</f>
        <v>2757.96</v>
      </c>
      <c r="M81" s="122">
        <f>IFERROR(L81/L148, "NA")</f>
        <v>2.145810147666246E-2</v>
      </c>
      <c r="N81" s="121">
        <f>IFERROR(N74+N75+N76+N77+N78+N79+N80, "NA")</f>
        <v>2625.54</v>
      </c>
      <c r="O81" s="122">
        <f>IFERROR(N81/N148, "NA")</f>
        <v>2.3600609876131717E-2</v>
      </c>
      <c r="P81" s="121">
        <f>IFERROR(P74+P75+P76+P77+P78+P79+P80, "NA")</f>
        <v>2787.38</v>
      </c>
      <c r="Q81" s="122">
        <f>IFERROR(P81/P148, "NA")</f>
        <v>2.063539161625862E-2</v>
      </c>
      <c r="R81" s="121">
        <f>IFERROR(R74+R75+R76+R77+R78+R79+R80, "NA")</f>
        <v>2746.7599999999998</v>
      </c>
      <c r="S81" s="122">
        <f>IFERROR(R81/R148, "NA")</f>
        <v>2.1285360653715276E-2</v>
      </c>
      <c r="T81" s="121">
        <f>IFERROR(T74+T75+T76+T77+T78+T79+T80, "NA")</f>
        <v>2801.86</v>
      </c>
      <c r="U81" s="122">
        <f>IFERROR(T81/T148, "NA")</f>
        <v>2.0701242720308766E-2</v>
      </c>
      <c r="V81" s="121">
        <f>IFERROR(V74+V75+V76+V77+V78+V79+V80, "NA")</f>
        <v>2906.9900000000002</v>
      </c>
      <c r="W81" s="122">
        <f>IFERROR(V81/V148, "NA")</f>
        <v>1.9203163096189423E-2</v>
      </c>
      <c r="X81" s="121">
        <f>IFERROR(X74+X75+X76+X77+X78+X79+X80, "NA")</f>
        <v>2759.08</v>
      </c>
      <c r="Y81" s="122">
        <f>IFERROR(X81/X148, "NA")</f>
        <v>2.3199181098538083E-2</v>
      </c>
      <c r="Z81" s="121">
        <f>IFERROR(Z74+Z75+Z76+Z77+Z78+Z79+Z80, "NA")</f>
        <v>8467.93</v>
      </c>
      <c r="AA81" s="122">
        <f>IFERROR(Z81/Z148, "NA")</f>
        <v>2.08745400192497E-2</v>
      </c>
      <c r="AB81" s="121">
        <f t="shared" si="30"/>
        <v>2803.6725000000001</v>
      </c>
      <c r="AC81" s="122">
        <f>IFERROR(AB81/AB148, "NA")</f>
        <v>2.0973686992199259E-2</v>
      </c>
      <c r="AD81" s="123">
        <f t="shared" si="31"/>
        <v>-44.5925000000002</v>
      </c>
      <c r="AE81" s="124">
        <f>IFERROR(AD81/AD148, "NA")</f>
        <v>3.024112195800132E-3</v>
      </c>
      <c r="AF81" s="123">
        <f t="shared" si="32"/>
        <v>-1.5905031703952653E-2</v>
      </c>
      <c r="AG81" s="121">
        <f t="shared" si="33"/>
        <v>2763.1525000000001</v>
      </c>
      <c r="AH81" s="122">
        <f>IFERROR(AG81/AG148, "NA")</f>
        <v>2.1403605737247925E-2</v>
      </c>
      <c r="AI81" s="123">
        <f t="shared" si="34"/>
        <v>-4.0725000000002183</v>
      </c>
      <c r="AJ81" s="124">
        <f>IFERROR(AI81/AI148, "NA")</f>
        <v>4.0054236731360069E-4</v>
      </c>
      <c r="AK81" s="123">
        <f t="shared" si="35"/>
        <v>-1.4738600203934521E-3</v>
      </c>
      <c r="AL81" s="124">
        <f>IFERROR(AK81/AK148, "NA")</f>
        <v>1.8713779922443222E-2</v>
      </c>
    </row>
    <row r="82" spans="1:38" ht="16.5" customHeight="1" x14ac:dyDescent="0.25">
      <c r="A82" s="5" t="s">
        <v>84</v>
      </c>
      <c r="B82" s="115">
        <v>1132.6400000000001</v>
      </c>
      <c r="C82" s="116">
        <f>IFERROR(B82/B148, "NA")</f>
        <v>9.9917279600683761E-3</v>
      </c>
      <c r="D82" s="115">
        <v>0</v>
      </c>
      <c r="E82" s="116">
        <f>IFERROR(D82/D148, "NA")</f>
        <v>0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1119.92</v>
      </c>
      <c r="M82" s="116">
        <f>IFERROR(L82/L148, "NA")</f>
        <v>8.7134537867640666E-3</v>
      </c>
      <c r="N82" s="115">
        <v>0</v>
      </c>
      <c r="O82" s="116">
        <f>IFERROR(N82/N148, "NA")</f>
        <v>0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1732.64</v>
      </c>
      <c r="U82" s="116">
        <f>IFERROR(T82/T148, "NA")</f>
        <v>1.2801425191449887E-2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1732.64</v>
      </c>
      <c r="AA82" s="116">
        <f>IFERROR(Z82/Z148, "NA")</f>
        <v>4.2711811527672994E-3</v>
      </c>
      <c r="AB82" s="117">
        <f t="shared" si="30"/>
        <v>433.16</v>
      </c>
      <c r="AC82" s="116">
        <f>IFERROR(AB82/AB148, "NA")</f>
        <v>3.2403792730930701E-3</v>
      </c>
      <c r="AD82" s="118">
        <f t="shared" si="31"/>
        <v>-433.16</v>
      </c>
      <c r="AE82" s="119">
        <f>IFERROR(AD82/AD148, "NA")</f>
        <v>2.9375442927236182E-2</v>
      </c>
      <c r="AF82" s="118">
        <f t="shared" si="32"/>
        <v>-1</v>
      </c>
      <c r="AG82" s="117">
        <f t="shared" si="33"/>
        <v>356.57000000000005</v>
      </c>
      <c r="AH82" s="116">
        <f>IFERROR(AG82/AG148, "NA")</f>
        <v>2.7620204450280951E-3</v>
      </c>
      <c r="AI82" s="118">
        <f t="shared" si="34"/>
        <v>-356.57000000000005</v>
      </c>
      <c r="AJ82" s="119">
        <f>IFERROR(AI82/AI148, "NA")</f>
        <v>3.5069709493677832E-2</v>
      </c>
      <c r="AK82" s="118">
        <f t="shared" si="35"/>
        <v>-1</v>
      </c>
      <c r="AL82" s="119">
        <f>IFERROR(AK82/AK148, "NA")</f>
        <v>12.697121615014369</v>
      </c>
    </row>
    <row r="83" spans="1:38" ht="16.5" customHeight="1" x14ac:dyDescent="0.25">
      <c r="A83" s="5" t="s">
        <v>85</v>
      </c>
      <c r="B83" s="115">
        <v>-411.29999999999995</v>
      </c>
      <c r="C83" s="116">
        <f>IFERROR(B83/B148, "NA")</f>
        <v>-3.628335313935692E-3</v>
      </c>
      <c r="D83" s="115">
        <v>-222.57</v>
      </c>
      <c r="E83" s="116">
        <f>IFERROR(D83/D148, "NA")</f>
        <v>-1.7396435829294982E-3</v>
      </c>
      <c r="F83" s="115">
        <v>1643.14</v>
      </c>
      <c r="G83" s="116">
        <f>IFERROR(F83/F148, "NA")</f>
        <v>1.3156838006201845E-2</v>
      </c>
      <c r="H83" s="115">
        <v>-222.57</v>
      </c>
      <c r="I83" s="116">
        <f>IFERROR(H83/H148, "NA")</f>
        <v>-1.7531418433297547E-3</v>
      </c>
      <c r="J83" s="115">
        <v>-222.57</v>
      </c>
      <c r="K83" s="116">
        <f>IFERROR(J83/J148, "NA")</f>
        <v>-1.8062343936665829E-3</v>
      </c>
      <c r="L83" s="115">
        <v>-222.57</v>
      </c>
      <c r="M83" s="116">
        <f>IFERROR(L83/L148, "NA")</f>
        <v>-1.7316892361240784E-3</v>
      </c>
      <c r="N83" s="115">
        <v>-222.57</v>
      </c>
      <c r="O83" s="116">
        <f>IFERROR(N83/N148, "NA")</f>
        <v>-2.0006504338652758E-3</v>
      </c>
      <c r="P83" s="115">
        <v>1681.6100000000001</v>
      </c>
      <c r="Q83" s="116">
        <f>IFERROR(P83/P148, "NA")</f>
        <v>1.2449210690977425E-2</v>
      </c>
      <c r="R83" s="115">
        <v>-222.57</v>
      </c>
      <c r="S83" s="116">
        <f>IFERROR(R83/R148, "NA")</f>
        <v>-1.724753062043065E-3</v>
      </c>
      <c r="T83" s="115">
        <v>-222.57</v>
      </c>
      <c r="U83" s="116">
        <f>IFERROR(T83/T148, "NA")</f>
        <v>-1.6444346228073929E-3</v>
      </c>
      <c r="V83" s="115">
        <v>-231.63</v>
      </c>
      <c r="W83" s="116">
        <f>IFERROR(V83/V148, "NA")</f>
        <v>-1.5301148844579292E-3</v>
      </c>
      <c r="X83" s="115">
        <v>1656.81</v>
      </c>
      <c r="Y83" s="116">
        <f>IFERROR(X83/X148, "NA")</f>
        <v>1.3930960768034592E-2</v>
      </c>
      <c r="Z83" s="115">
        <v>1202.6100000000001</v>
      </c>
      <c r="AA83" s="116">
        <f>IFERROR(Z83/Z148, "NA")</f>
        <v>2.9645888159857111E-3</v>
      </c>
      <c r="AB83" s="117">
        <f t="shared" si="30"/>
        <v>245.01</v>
      </c>
      <c r="AC83" s="116">
        <f>IFERROR(AB83/AB148, "NA")</f>
        <v>1.832868514406993E-3</v>
      </c>
      <c r="AD83" s="118">
        <f t="shared" si="31"/>
        <v>1411.8</v>
      </c>
      <c r="AE83" s="119">
        <f>IFERROR(AD83/AD148, "NA")</f>
        <v>-9.5743490453116711E-2</v>
      </c>
      <c r="AF83" s="118">
        <f t="shared" si="32"/>
        <v>5.7622137871923593</v>
      </c>
      <c r="AG83" s="117">
        <f t="shared" si="33"/>
        <v>249.24250000000001</v>
      </c>
      <c r="AH83" s="116">
        <f>IFERROR(AG83/AG148, "NA")</f>
        <v>1.9306528333003755E-3</v>
      </c>
      <c r="AI83" s="118">
        <f t="shared" si="34"/>
        <v>1407.5674999999999</v>
      </c>
      <c r="AJ83" s="119">
        <f>IFERROR(AI83/AI148, "NA")</f>
        <v>-0.13843840849690764</v>
      </c>
      <c r="AK83" s="118">
        <f t="shared" si="35"/>
        <v>5.6473815661454196</v>
      </c>
      <c r="AL83" s="119">
        <f>IFERROR(AK83/AK148, "NA")</f>
        <v>-71.705490551738706</v>
      </c>
    </row>
    <row r="84" spans="1:38" ht="16.5" customHeight="1" x14ac:dyDescent="0.25">
      <c r="A84" s="130" t="s">
        <v>86</v>
      </c>
      <c r="B84" s="121">
        <f>IFERROR(B63+B65+B66+B67+B68+B69+B71+B72+B74+B75+B76+B77+B78+B79+B80+B82+B83, "NA")</f>
        <v>32851.799999999996</v>
      </c>
      <c r="C84" s="122">
        <f>IFERROR(B84/B148, "NA")</f>
        <v>0.28980633616910423</v>
      </c>
      <c r="D84" s="121">
        <f>IFERROR(D63+D65+D66+D67+D68+D69+D71+D72+D74+D75+D76+D77+D78+D79+D80+D82+D83, "NA")</f>
        <v>33761.440000000002</v>
      </c>
      <c r="E84" s="122">
        <f>IFERROR(D84/D148, "NA")</f>
        <v>0.26388494606846963</v>
      </c>
      <c r="F84" s="121">
        <f>IFERROR(F63+F65+F66+F67+F68+F69+F71+F72+F74+F75+F76+F77+F78+F79+F80+F82+F83, "NA")</f>
        <v>36163.26</v>
      </c>
      <c r="G84" s="122">
        <f>IFERROR(F84/F148, "NA")</f>
        <v>0.28956397726070748</v>
      </c>
      <c r="H84" s="121">
        <f>IFERROR(H63+H65+H66+H67+H68+H69+H71+H72+H74+H75+H76+H77+H78+H79+H80+H82+H83, "NA")</f>
        <v>33228.300000000003</v>
      </c>
      <c r="I84" s="122">
        <f>IFERROR(H84/H148, "NA")</f>
        <v>0.26173304179680146</v>
      </c>
      <c r="J84" s="121">
        <f>IFERROR(J63+J65+J66+J67+J68+J69+J71+J72+J74+J75+J76+J77+J78+J79+J80+J82+J83, "NA")</f>
        <v>32551.15</v>
      </c>
      <c r="K84" s="122">
        <f>IFERROR(J84/J148, "NA")</f>
        <v>0.26416411323808237</v>
      </c>
      <c r="L84" s="121">
        <f>IFERROR(L63+L65+L66+L67+L68+L69+L71+L72+L74+L75+L76+L77+L78+L79+L80+L82+L83, "NA")</f>
        <v>33920.61</v>
      </c>
      <c r="M84" s="122">
        <f>IFERROR(L84/L148, "NA")</f>
        <v>0.2639167687458453</v>
      </c>
      <c r="N84" s="121">
        <f>IFERROR(N63+N65+N66+N67+N68+N69+N71+N72+N74+N75+N76+N77+N78+N79+N80+N82+N83, "NA")</f>
        <v>31736.720000000001</v>
      </c>
      <c r="O84" s="122">
        <f>IFERROR(N84/N148, "NA")</f>
        <v>0.28527691349894768</v>
      </c>
      <c r="P84" s="121">
        <f>IFERROR(P63+P65+P66+P67+P68+P69+P71+P72+P74+P75+P76+P77+P78+P79+P80+P82+P83, "NA")</f>
        <v>34920.54</v>
      </c>
      <c r="Q84" s="122">
        <f>IFERROR(P84/P148, "NA")</f>
        <v>0.25852198779901692</v>
      </c>
      <c r="R84" s="121">
        <f>IFERROR(R63+R65+R66+R67+R68+R69+R71+R72+R74+R75+R76+R77+R78+R79+R80+R82+R83, "NA")</f>
        <v>34947.83</v>
      </c>
      <c r="S84" s="122">
        <f>IFERROR(R84/R148, "NA")</f>
        <v>0.27081986253430601</v>
      </c>
      <c r="T84" s="121">
        <f>IFERROR(T63+T65+T66+T67+T68+T69+T71+T72+T74+T75+T76+T77+T78+T79+T80+T82+T83, "NA")</f>
        <v>36470.14</v>
      </c>
      <c r="U84" s="122">
        <f>IFERROR(T84/T148, "NA")</f>
        <v>0.2694557259048066</v>
      </c>
      <c r="V84" s="121">
        <f>IFERROR(V63+V65+V66+V67+V68+V69+V71+V72+V74+V75+V76+V77+V78+V79+V80+V82+V83, "NA")</f>
        <v>33830.170000000006</v>
      </c>
      <c r="W84" s="122">
        <f>IFERROR(V84/V148, "NA")</f>
        <v>0.22347729853966286</v>
      </c>
      <c r="X84" s="121">
        <f>IFERROR(X63+X65+X66+X67+X68+X69+X71+X72+X74+X75+X76+X77+X78+X79+X80+X82+X83, "NA")</f>
        <v>34219.969999999994</v>
      </c>
      <c r="Y84" s="122">
        <f>IFERROR(X84/X148, "NA")</f>
        <v>0.28773188208262901</v>
      </c>
      <c r="Z84" s="121">
        <f>IFERROR(Z63+Z65+Z66+Z67+Z68+Z69+Z71+Z72+Z74+Z75+Z76+Z77+Z78+Z79+Z80+Z82+Z83, "NA")</f>
        <v>104520.28</v>
      </c>
      <c r="AA84" s="122">
        <f>IFERROR(Z84/Z148, "NA")</f>
        <v>0.25765597586224542</v>
      </c>
      <c r="AB84" s="121">
        <f t="shared" si="30"/>
        <v>34867.027500000004</v>
      </c>
      <c r="AC84" s="122">
        <f>IFERROR(AB84/AB148, "NA")</f>
        <v>0.26083293292401444</v>
      </c>
      <c r="AD84" s="123">
        <f t="shared" si="31"/>
        <v>-647.0575000000099</v>
      </c>
      <c r="AE84" s="124">
        <f>IFERROR(AD84/AD148, "NA")</f>
        <v>4.3881246333665191E-2</v>
      </c>
      <c r="AF84" s="123">
        <f t="shared" si="32"/>
        <v>-1.8557862438947796E-2</v>
      </c>
      <c r="AG84" s="121">
        <f t="shared" si="33"/>
        <v>34074.641250000008</v>
      </c>
      <c r="AH84" s="122">
        <f>IFERROR(AG84/AG148, "NA")</f>
        <v>0.26394496393274164</v>
      </c>
      <c r="AI84" s="123">
        <f t="shared" si="34"/>
        <v>145.32874999998603</v>
      </c>
      <c r="AJ84" s="124">
        <f>IFERROR(AI84/AI148, "NA")</f>
        <v>-1.4293510512883422E-2</v>
      </c>
      <c r="AK84" s="123">
        <f t="shared" si="35"/>
        <v>4.2650118876889423E-3</v>
      </c>
      <c r="AL84" s="124">
        <f>IFERROR(AK84/AK148, "NA")</f>
        <v>-5.4153374627468505E-2</v>
      </c>
    </row>
    <row r="85" spans="1:38" ht="16.5" customHeight="1" x14ac:dyDescent="0.25">
      <c r="A85" s="120" t="s">
        <v>86</v>
      </c>
      <c r="B85" s="131">
        <f>IFERROR(B63+B65+B66+B67+B68+B69+B71+B72+B74+B75+B76+B77+B78+B79+B80+B82+B83, "NA")</f>
        <v>32851.799999999996</v>
      </c>
      <c r="C85" s="132">
        <f>IFERROR(B85/B148, "NA")</f>
        <v>0.28980633616910423</v>
      </c>
      <c r="D85" s="131">
        <f>IFERROR(D63+D65+D66+D67+D68+D69+D71+D72+D74+D75+D76+D77+D78+D79+D80+D82+D83, "NA")</f>
        <v>33761.440000000002</v>
      </c>
      <c r="E85" s="132">
        <f>IFERROR(D85/D148, "NA")</f>
        <v>0.26388494606846963</v>
      </c>
      <c r="F85" s="131">
        <f>IFERROR(F63+F65+F66+F67+F68+F69+F71+F72+F74+F75+F76+F77+F78+F79+F80+F82+F83, "NA")</f>
        <v>36163.26</v>
      </c>
      <c r="G85" s="132">
        <f>IFERROR(F85/F148, "NA")</f>
        <v>0.28956397726070748</v>
      </c>
      <c r="H85" s="131">
        <f>IFERROR(H63+H65+H66+H67+H68+H69+H71+H72+H74+H75+H76+H77+H78+H79+H80+H82+H83, "NA")</f>
        <v>33228.300000000003</v>
      </c>
      <c r="I85" s="132">
        <f>IFERROR(H85/H148, "NA")</f>
        <v>0.26173304179680146</v>
      </c>
      <c r="J85" s="131">
        <f>IFERROR(J63+J65+J66+J67+J68+J69+J71+J72+J74+J75+J76+J77+J78+J79+J80+J82+J83, "NA")</f>
        <v>32551.15</v>
      </c>
      <c r="K85" s="132">
        <f>IFERROR(J85/J148, "NA")</f>
        <v>0.26416411323808237</v>
      </c>
      <c r="L85" s="131">
        <f>IFERROR(L63+L65+L66+L67+L68+L69+L71+L72+L74+L75+L76+L77+L78+L79+L80+L82+L83, "NA")</f>
        <v>33920.61</v>
      </c>
      <c r="M85" s="132">
        <f>IFERROR(L85/L148, "NA")</f>
        <v>0.2639167687458453</v>
      </c>
      <c r="N85" s="131">
        <f>IFERROR(N63+N65+N66+N67+N68+N69+N71+N72+N74+N75+N76+N77+N78+N79+N80+N82+N83, "NA")</f>
        <v>31736.720000000001</v>
      </c>
      <c r="O85" s="132">
        <f>IFERROR(N85/N148, "NA")</f>
        <v>0.28527691349894768</v>
      </c>
      <c r="P85" s="131">
        <f>IFERROR(P63+P65+P66+P67+P68+P69+P71+P72+P74+P75+P76+P77+P78+P79+P80+P82+P83, "NA")</f>
        <v>34920.54</v>
      </c>
      <c r="Q85" s="132">
        <f>IFERROR(P85/P148, "NA")</f>
        <v>0.25852198779901692</v>
      </c>
      <c r="R85" s="131">
        <f>IFERROR(R63+R65+R66+R67+R68+R69+R71+R72+R74+R75+R76+R77+R78+R79+R80+R82+R83, "NA")</f>
        <v>34947.83</v>
      </c>
      <c r="S85" s="132">
        <f>IFERROR(R85/R148, "NA")</f>
        <v>0.27081986253430601</v>
      </c>
      <c r="T85" s="131">
        <f>IFERROR(T63+T65+T66+T67+T68+T69+T71+T72+T74+T75+T76+T77+T78+T79+T80+T82+T83, "NA")</f>
        <v>36470.14</v>
      </c>
      <c r="U85" s="132">
        <f>IFERROR(T85/T148, "NA")</f>
        <v>0.2694557259048066</v>
      </c>
      <c r="V85" s="131">
        <f>IFERROR(V63+V65+V66+V67+V68+V69+V71+V72+V74+V75+V76+V77+V78+V79+V80+V82+V83, "NA")</f>
        <v>33830.170000000006</v>
      </c>
      <c r="W85" s="132">
        <f>IFERROR(V85/V148, "NA")</f>
        <v>0.22347729853966286</v>
      </c>
      <c r="X85" s="131">
        <f>IFERROR(X63+X65+X66+X67+X68+X69+X71+X72+X74+X75+X76+X77+X78+X79+X80+X82+X83, "NA")</f>
        <v>34219.969999999994</v>
      </c>
      <c r="Y85" s="132">
        <f>IFERROR(X85/X148, "NA")</f>
        <v>0.28773188208262901</v>
      </c>
      <c r="Z85" s="131">
        <f>IFERROR(Z63+Z65+Z66+Z67+Z68+Z69+Z71+Z72+Z74+Z75+Z76+Z77+Z78+Z79+Z80+Z82+Z83, "NA")</f>
        <v>104520.28</v>
      </c>
      <c r="AA85" s="132">
        <f>IFERROR(Z85/Z148, "NA")</f>
        <v>0.25765597586224542</v>
      </c>
      <c r="AB85" s="131">
        <f t="shared" si="30"/>
        <v>34867.027500000004</v>
      </c>
      <c r="AC85" s="132">
        <f>IFERROR(AB85/AB148, "NA")</f>
        <v>0.26083293292401444</v>
      </c>
      <c r="AD85" s="133">
        <f t="shared" si="31"/>
        <v>-647.0575000000099</v>
      </c>
      <c r="AE85" s="134">
        <f>IFERROR(AD85/AD148, "NA")</f>
        <v>4.3881246333665191E-2</v>
      </c>
      <c r="AF85" s="133">
        <f t="shared" si="32"/>
        <v>-1.8557862438947796E-2</v>
      </c>
      <c r="AG85" s="131">
        <f t="shared" si="33"/>
        <v>34074.641250000008</v>
      </c>
      <c r="AH85" s="132">
        <f>IFERROR(AG85/AG148, "NA")</f>
        <v>0.26394496393274164</v>
      </c>
      <c r="AI85" s="133">
        <f t="shared" si="34"/>
        <v>145.32874999998603</v>
      </c>
      <c r="AJ85" s="134">
        <f>IFERROR(AI85/AI148, "NA")</f>
        <v>-1.4293510512883422E-2</v>
      </c>
      <c r="AK85" s="133">
        <f t="shared" si="35"/>
        <v>4.2650118876889423E-3</v>
      </c>
      <c r="AL85" s="134">
        <f>IFERROR(AK85/AK148, "NA")</f>
        <v>-5.4153374627468505E-2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87</v>
      </c>
      <c r="B87" s="136">
        <f>IFERROR(B59-B85, "NA")</f>
        <v>49798.630000000026</v>
      </c>
      <c r="C87" s="137">
        <f>IFERROR(B87/B148, "NA")</f>
        <v>0.43930495456994284</v>
      </c>
      <c r="D87" s="136">
        <f>IFERROR(D59-D85, "NA")</f>
        <v>61583.759999999951</v>
      </c>
      <c r="E87" s="137">
        <f>IFERROR(D87/D148, "NA")</f>
        <v>0.48134875722995119</v>
      </c>
      <c r="F87" s="136">
        <f>IFERROR(F59-F85, "NA")</f>
        <v>58026.380000000041</v>
      </c>
      <c r="G87" s="137">
        <f>IFERROR(F87/F148, "NA")</f>
        <v>0.46462485347950333</v>
      </c>
      <c r="H87" s="136">
        <f>IFERROR(H59-H85, "NA")</f>
        <v>62617.309999999983</v>
      </c>
      <c r="I87" s="137">
        <f>IFERROR(H87/H148, "NA")</f>
        <v>0.49322472156063557</v>
      </c>
      <c r="J87" s="136">
        <f>IFERROR(J59-J85, "NA")</f>
        <v>61688.850000000028</v>
      </c>
      <c r="K87" s="137">
        <f>IFERROR(J87/J148, "NA")</f>
        <v>0.50062687053843213</v>
      </c>
      <c r="L87" s="136">
        <f>IFERROR(L59-L85, "NA")</f>
        <v>65285.630000000005</v>
      </c>
      <c r="M87" s="137">
        <f>IFERROR(L87/L148, "NA")</f>
        <v>0.50794996066217024</v>
      </c>
      <c r="N87" s="136">
        <f>IFERROR(N59-N85, "NA")</f>
        <v>50945.769999999975</v>
      </c>
      <c r="O87" s="137">
        <f>IFERROR(N87/N148, "NA")</f>
        <v>0.45794436291548957</v>
      </c>
      <c r="P87" s="136">
        <f>IFERROR(P59-P85, "NA")</f>
        <v>66714.320000000007</v>
      </c>
      <c r="Q87" s="137">
        <f>IFERROR(P87/P148, "NA")</f>
        <v>0.49389610301157172</v>
      </c>
      <c r="R87" s="136">
        <f>IFERROR(R59-R85, "NA")</f>
        <v>61765.740000000034</v>
      </c>
      <c r="S87" s="137">
        <f>IFERROR(R87/R148, "NA")</f>
        <v>0.47863885157189145</v>
      </c>
      <c r="T87" s="136">
        <f>IFERROR(T59-T85, "NA")</f>
        <v>64313.010000000053</v>
      </c>
      <c r="U87" s="137">
        <f>IFERROR(T87/T148, "NA")</f>
        <v>0.47516979081169147</v>
      </c>
      <c r="V87" s="136">
        <f>IFERROR(V59-V85, "NA")</f>
        <v>80967.829999999929</v>
      </c>
      <c r="W87" s="137">
        <f>IFERROR(V87/V148, "NA")</f>
        <v>0.53486198612122415</v>
      </c>
      <c r="X87" s="136">
        <f>IFERROR(X59-X85, "NA")</f>
        <v>54024.890000000021</v>
      </c>
      <c r="Y87" s="137">
        <f>IFERROR(X87/X148, "NA")</f>
        <v>0.4542576536159153</v>
      </c>
      <c r="Z87" s="136">
        <f>IFERROR(Z59-Z85, "NA")</f>
        <v>199305.72999999995</v>
      </c>
      <c r="AA87" s="137">
        <f>IFERROR(Z87/Z148, "NA")</f>
        <v>0.49131433974427918</v>
      </c>
      <c r="AB87" s="136">
        <f>IFERROR((R87+T87+V87+X87)/4, "NA")</f>
        <v>65267.867500000008</v>
      </c>
      <c r="AC87" s="137">
        <f>IFERROR(AB87/AB148, "NA")</f>
        <v>0.48825525220700167</v>
      </c>
      <c r="AD87" s="123">
        <f>IFERROR(X87-AB87, "NA")</f>
        <v>-11242.977499999986</v>
      </c>
      <c r="AE87" s="124">
        <f>IFERROR(AD87/AD148, "NA")</f>
        <v>0.76246062398063097</v>
      </c>
      <c r="AF87" s="123">
        <f>IFERROR((X87-AB87)/AB87, "NA")</f>
        <v>-0.17225899865657454</v>
      </c>
      <c r="AG87" s="136">
        <f>IFERROR((J87+L87+N87+P87+R87+T87+V87+X87)/8, "NA")</f>
        <v>63213.255000000005</v>
      </c>
      <c r="AH87" s="137">
        <f>IFERROR(AG87/AG148, "NA")</f>
        <v>0.48965505428604328</v>
      </c>
      <c r="AI87" s="123">
        <f>IFERROR(X87-AG87, "NA")</f>
        <v>-9188.3649999999834</v>
      </c>
      <c r="AJ87" s="124">
        <f>IFERROR(AI87/AI148, "NA")</f>
        <v>0.90370275477992112</v>
      </c>
      <c r="AK87" s="123">
        <f>IFERROR((X87-AG87)/AG87, "NA")</f>
        <v>-0.1453550366928579</v>
      </c>
      <c r="AL87" s="124">
        <f>IFERROR(AK87/AK148, "NA")</f>
        <v>1.8455905782440929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88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89</v>
      </c>
      <c r="B90" s="115">
        <v>2727.7499999999995</v>
      </c>
      <c r="C90" s="116">
        <f>IFERROR(B90/B148, "NA")</f>
        <v>2.4063193903690942E-2</v>
      </c>
      <c r="D90" s="115">
        <v>1807.8100000000002</v>
      </c>
      <c r="E90" s="116">
        <f>IFERROR(D90/D148, "NA")</f>
        <v>1.4130139127716119E-2</v>
      </c>
      <c r="F90" s="115">
        <v>2241.21</v>
      </c>
      <c r="G90" s="116">
        <f>IFERROR(F90/F148, "NA")</f>
        <v>1.7945663125406013E-2</v>
      </c>
      <c r="H90" s="115">
        <v>2573.41</v>
      </c>
      <c r="I90" s="116">
        <f>IFERROR(H90/H148, "NA")</f>
        <v>2.027026441588365E-2</v>
      </c>
      <c r="J90" s="115">
        <v>2906.4399999999996</v>
      </c>
      <c r="K90" s="116">
        <f>IFERROR(J90/J148, "NA")</f>
        <v>2.3586790183440277E-2</v>
      </c>
      <c r="L90" s="115">
        <v>3012.8099999999995</v>
      </c>
      <c r="M90" s="116">
        <f>IFERROR(L90/L148, "NA")</f>
        <v>2.3440942838149726E-2</v>
      </c>
      <c r="N90" s="115">
        <v>2801.81</v>
      </c>
      <c r="O90" s="116">
        <f>IFERROR(N90/N148, "NA")</f>
        <v>2.518507612035795E-2</v>
      </c>
      <c r="P90" s="115">
        <v>2929.91</v>
      </c>
      <c r="Q90" s="116">
        <f>IFERROR(P90/P148, "NA")</f>
        <v>2.1690562553506262E-2</v>
      </c>
      <c r="R90" s="115">
        <v>2777.24</v>
      </c>
      <c r="S90" s="116">
        <f>IFERROR(R90/R148, "NA")</f>
        <v>2.1521558134647442E-2</v>
      </c>
      <c r="T90" s="115">
        <v>2206.35</v>
      </c>
      <c r="U90" s="116">
        <f>IFERROR(T90/T148, "NA")</f>
        <v>1.6301380824150113E-2</v>
      </c>
      <c r="V90" s="115">
        <v>2227.1800000000007</v>
      </c>
      <c r="W90" s="116">
        <f>IFERROR(V90/V148, "NA")</f>
        <v>1.4712434781189878E-2</v>
      </c>
      <c r="X90" s="115">
        <v>2966.11</v>
      </c>
      <c r="Y90" s="116">
        <f>IFERROR(X90/X148, "NA")</f>
        <v>2.4939952102941847E-2</v>
      </c>
      <c r="Z90" s="115">
        <v>7399.6399999999994</v>
      </c>
      <c r="AA90" s="116">
        <f>IFERROR(Z90/Z148, "NA")</f>
        <v>1.8241067333816037E-2</v>
      </c>
      <c r="AB90" s="117">
        <f t="shared" ref="AB90:AB99" si="36">IFERROR((R90+T90+V90+X90)/4, "NA")</f>
        <v>2544.2200000000003</v>
      </c>
      <c r="AC90" s="116">
        <f>IFERROR(AB90/AB148, "NA")</f>
        <v>1.9032777158991716E-2</v>
      </c>
      <c r="AD90" s="118">
        <f t="shared" ref="AD90:AD99" si="37">IFERROR(X90-AB90, "NA")</f>
        <v>421.88999999999987</v>
      </c>
      <c r="AE90" s="119">
        <f>IFERROR(AD90/AD148, "NA")</f>
        <v>-2.8611149728903103E-2</v>
      </c>
      <c r="AF90" s="118">
        <f t="shared" ref="AF90:AF99" si="38">IFERROR((X90-AB90)/AB90, "NA")</f>
        <v>0.16582292411819727</v>
      </c>
      <c r="AG90" s="117">
        <f t="shared" ref="AG90:AG99" si="39">IFERROR((J90+L90+N90+P90+R90+T90+V90+X90)/8, "NA")</f>
        <v>2728.4812499999998</v>
      </c>
      <c r="AH90" s="116">
        <f>IFERROR(AG90/AG148, "NA")</f>
        <v>2.1135039393038707E-2</v>
      </c>
      <c r="AI90" s="118">
        <f t="shared" ref="AI90:AI99" si="40">IFERROR(X90-AG90, "NA")</f>
        <v>237.62875000000031</v>
      </c>
      <c r="AJ90" s="119">
        <f>IFERROR(AI90/AI148, "NA")</f>
        <v>-2.3371487309212232E-2</v>
      </c>
      <c r="AK90" s="118">
        <f t="shared" ref="AK90:AK99" si="41">IFERROR((X90-AG90)/AG90, "NA")</f>
        <v>8.7091949046745443E-2</v>
      </c>
      <c r="AL90" s="119">
        <f>IFERROR(AK90/AK148, "NA")</f>
        <v>-1.1058170687351616</v>
      </c>
    </row>
    <row r="91" spans="1:38" ht="16.5" hidden="1" customHeight="1" x14ac:dyDescent="0.25">
      <c r="A91" s="2" t="s">
        <v>90</v>
      </c>
      <c r="B91" s="115">
        <v>3981.48</v>
      </c>
      <c r="C91" s="116">
        <f>IFERROR(B91/B148, "NA")</f>
        <v>3.5123132715119576E-2</v>
      </c>
      <c r="D91" s="115">
        <v>3814.29</v>
      </c>
      <c r="E91" s="116">
        <f>IFERROR(D91/D148, "NA")</f>
        <v>2.9813115522901359E-2</v>
      </c>
      <c r="F91" s="115">
        <v>6868.91</v>
      </c>
      <c r="G91" s="116">
        <f>IFERROR(F91/F148, "NA")</f>
        <v>5.5000265436408284E-2</v>
      </c>
      <c r="H91" s="115">
        <v>6977.4700000000012</v>
      </c>
      <c r="I91" s="116">
        <f>IFERROR(H91/H148, "NA")</f>
        <v>5.4960213045684804E-2</v>
      </c>
      <c r="J91" s="115">
        <v>6584.36</v>
      </c>
      <c r="K91" s="116">
        <f>IFERROR(J91/J148, "NA")</f>
        <v>5.3434413857584136E-2</v>
      </c>
      <c r="L91" s="115">
        <v>3386.75</v>
      </c>
      <c r="M91" s="116">
        <f>IFERROR(L91/L148, "NA")</f>
        <v>2.6350355036362596E-2</v>
      </c>
      <c r="N91" s="115">
        <v>1560.85</v>
      </c>
      <c r="O91" s="116">
        <f>IFERROR(N91/N148, "NA")</f>
        <v>1.4030261174905044E-2</v>
      </c>
      <c r="P91" s="115">
        <v>1389.9199999999998</v>
      </c>
      <c r="Q91" s="116">
        <f>IFERROR(P91/P148, "NA")</f>
        <v>1.0289785933482402E-2</v>
      </c>
      <c r="R91" s="115">
        <v>1739.2399999999998</v>
      </c>
      <c r="S91" s="116">
        <f>IFERROR(R91/R148, "NA")</f>
        <v>1.3477825024162197E-2</v>
      </c>
      <c r="T91" s="115">
        <v>1922.7399999999998</v>
      </c>
      <c r="U91" s="116">
        <f>IFERROR(T91/T148, "NA")</f>
        <v>1.4205958694598042E-2</v>
      </c>
      <c r="V91" s="115">
        <v>2406.6799999999998</v>
      </c>
      <c r="W91" s="116">
        <f>IFERROR(V91/V148, "NA")</f>
        <v>1.5898186289026502E-2</v>
      </c>
      <c r="X91" s="115">
        <v>2536.5400000000004</v>
      </c>
      <c r="Y91" s="116">
        <f>IFERROR(X91/X148, "NA")</f>
        <v>2.1327997312033647E-2</v>
      </c>
      <c r="Z91" s="115">
        <v>6865.96</v>
      </c>
      <c r="AA91" s="116">
        <f>IFERROR(Z91/Z148, "NA")</f>
        <v>1.6925477276095533E-2</v>
      </c>
      <c r="AB91" s="117">
        <f t="shared" si="36"/>
        <v>2151.3000000000002</v>
      </c>
      <c r="AC91" s="116">
        <f>IFERROR(AB91/AB148, "NA")</f>
        <v>1.6093424901203069E-2</v>
      </c>
      <c r="AD91" s="118">
        <f t="shared" si="37"/>
        <v>385.24000000000024</v>
      </c>
      <c r="AE91" s="119">
        <f>IFERROR(AD91/AD148, "NA")</f>
        <v>-2.6125670960588404E-2</v>
      </c>
      <c r="AF91" s="118">
        <f t="shared" si="38"/>
        <v>0.17907311857946367</v>
      </c>
      <c r="AG91" s="117">
        <f t="shared" si="39"/>
        <v>2690.8850000000002</v>
      </c>
      <c r="AH91" s="116">
        <f>IFERROR(AG91/AG148, "NA")</f>
        <v>2.0843815759091975E-2</v>
      </c>
      <c r="AI91" s="118">
        <f t="shared" si="40"/>
        <v>-154.3449999999998</v>
      </c>
      <c r="AJ91" s="119">
        <f>IFERROR(AI91/AI148, "NA")</f>
        <v>1.5180285250586694E-2</v>
      </c>
      <c r="AK91" s="118">
        <f t="shared" si="41"/>
        <v>-5.7358452702363644E-2</v>
      </c>
      <c r="AL91" s="119">
        <f>IFERROR(AK91/AK148, "NA")</f>
        <v>0.72828724961096081</v>
      </c>
    </row>
    <row r="92" spans="1:38" ht="16.5" hidden="1" customHeight="1" x14ac:dyDescent="0.25">
      <c r="A92" s="2" t="s">
        <v>91</v>
      </c>
      <c r="B92" s="115">
        <v>2086.89</v>
      </c>
      <c r="C92" s="116">
        <f>IFERROR(B92/B148, "NA")</f>
        <v>1.8409765823727831E-2</v>
      </c>
      <c r="D92" s="115">
        <v>2096.62</v>
      </c>
      <c r="E92" s="116">
        <f>IFERROR(D92/D148, "NA")</f>
        <v>1.6387525402532438E-2</v>
      </c>
      <c r="F92" s="115">
        <v>2132.9500000000003</v>
      </c>
      <c r="G92" s="116">
        <f>IFERROR(F92/F148, "NA")</f>
        <v>1.7078811072293431E-2</v>
      </c>
      <c r="H92" s="115">
        <v>1781.1299999999999</v>
      </c>
      <c r="I92" s="116">
        <f>IFERROR(H92/H148, "NA")</f>
        <v>1.402962452895685E-2</v>
      </c>
      <c r="J92" s="115">
        <v>2064.7399999999998</v>
      </c>
      <c r="K92" s="116">
        <f>IFERROR(J92/J148, "NA")</f>
        <v>1.6756096517855687E-2</v>
      </c>
      <c r="L92" s="115">
        <v>1726.78</v>
      </c>
      <c r="M92" s="116">
        <f>IFERROR(L92/L148, "NA")</f>
        <v>1.3435082621891253E-2</v>
      </c>
      <c r="N92" s="115">
        <v>1602.3400000000001</v>
      </c>
      <c r="O92" s="116">
        <f>IFERROR(N92/N148, "NA")</f>
        <v>1.4403208950890445E-2</v>
      </c>
      <c r="P92" s="115">
        <v>2301.19</v>
      </c>
      <c r="Q92" s="116">
        <f>IFERROR(P92/P148, "NA")</f>
        <v>1.7036054227775967E-2</v>
      </c>
      <c r="R92" s="115">
        <v>2152.9799999999996</v>
      </c>
      <c r="S92" s="116">
        <f>IFERROR(R92/R148, "NA")</f>
        <v>1.6684004347025553E-2</v>
      </c>
      <c r="T92" s="115">
        <v>65.56</v>
      </c>
      <c r="U92" s="116">
        <f>IFERROR(T92/T148, "NA")</f>
        <v>4.8438304295840714E-4</v>
      </c>
      <c r="V92" s="115">
        <v>59.599999999999994</v>
      </c>
      <c r="W92" s="116">
        <f>IFERROR(V92/V148, "NA")</f>
        <v>3.9370913574965491E-4</v>
      </c>
      <c r="X92" s="115">
        <v>78.97</v>
      </c>
      <c r="Y92" s="116">
        <f>IFERROR(X92/X148, "NA")</f>
        <v>6.6400370099872145E-4</v>
      </c>
      <c r="Z92" s="115">
        <v>204.12999999999997</v>
      </c>
      <c r="AA92" s="116">
        <f>IFERROR(Z92/Z148, "NA")</f>
        <v>5.0320678774262901E-4</v>
      </c>
      <c r="AB92" s="117">
        <f t="shared" si="36"/>
        <v>589.2774999999998</v>
      </c>
      <c r="AC92" s="116">
        <f>IFERROR(AB92/AB148, "NA")</f>
        <v>4.4082616056424903E-3</v>
      </c>
      <c r="AD92" s="118">
        <f t="shared" si="37"/>
        <v>-510.30749999999978</v>
      </c>
      <c r="AE92" s="119">
        <f>IFERROR(AD92/AD148, "NA")</f>
        <v>3.4607324872080916E-2</v>
      </c>
      <c r="AF92" s="118">
        <f t="shared" si="38"/>
        <v>-0.86598843499030587</v>
      </c>
      <c r="AG92" s="117">
        <f t="shared" si="39"/>
        <v>1256.5199999999998</v>
      </c>
      <c r="AH92" s="116">
        <f>IFERROR(AG92/AG148, "NA")</f>
        <v>9.7331069063204996E-3</v>
      </c>
      <c r="AI92" s="118">
        <f t="shared" si="40"/>
        <v>-1177.5499999999997</v>
      </c>
      <c r="AJ92" s="119">
        <f>IFERROR(AI92/AI148, "NA")</f>
        <v>0.11581551003808598</v>
      </c>
      <c r="AK92" s="118">
        <f t="shared" si="41"/>
        <v>-0.93715181612708109</v>
      </c>
      <c r="AL92" s="119">
        <f>IFERROR(AK92/AK148, "NA")</f>
        <v>11.899130581097133</v>
      </c>
    </row>
    <row r="93" spans="1:38" ht="16.5" hidden="1" customHeight="1" x14ac:dyDescent="0.25">
      <c r="A93" s="2" t="s">
        <v>92</v>
      </c>
      <c r="B93" s="115">
        <v>8902.130000000001</v>
      </c>
      <c r="C93" s="116">
        <f>IFERROR(B93/B148, "NA")</f>
        <v>7.8531273154014952E-2</v>
      </c>
      <c r="D93" s="115">
        <v>10948.640000000001</v>
      </c>
      <c r="E93" s="116">
        <f>IFERROR(D93/D148, "NA")</f>
        <v>8.5576363920587789E-2</v>
      </c>
      <c r="F93" s="115">
        <v>11301.440000000002</v>
      </c>
      <c r="G93" s="116">
        <f>IFERROR(F93/F148, "NA")</f>
        <v>9.0492115898103506E-2</v>
      </c>
      <c r="H93" s="115">
        <v>11569.539999999999</v>
      </c>
      <c r="I93" s="116">
        <f>IFERROR(H93/H148, "NA")</f>
        <v>9.1131080927696145E-2</v>
      </c>
      <c r="J93" s="115">
        <v>10673.979999999998</v>
      </c>
      <c r="K93" s="116">
        <f>IFERROR(J93/J148, "NA")</f>
        <v>8.662312887320496E-2</v>
      </c>
      <c r="L93" s="115">
        <v>13335.71</v>
      </c>
      <c r="M93" s="116">
        <f>IFERROR(L93/L148, "NA")</f>
        <v>0.10375749410554987</v>
      </c>
      <c r="N93" s="115">
        <v>8395.75</v>
      </c>
      <c r="O93" s="116">
        <f>IFERROR(N93/N148, "NA")</f>
        <v>7.5468216202203314E-2</v>
      </c>
      <c r="P93" s="115">
        <v>10282.77</v>
      </c>
      <c r="Q93" s="116">
        <f>IFERROR(P93/P148, "NA")</f>
        <v>7.6124886398666713E-2</v>
      </c>
      <c r="R93" s="115">
        <v>13098.89</v>
      </c>
      <c r="S93" s="116">
        <f>IFERROR(R93/R148, "NA")</f>
        <v>0.10150671984932957</v>
      </c>
      <c r="T93" s="115">
        <v>12602.470000000001</v>
      </c>
      <c r="U93" s="116">
        <f>IFERROR(T93/T148, "NA")</f>
        <v>9.3112000722880381E-2</v>
      </c>
      <c r="V93" s="115">
        <v>14990.890000000001</v>
      </c>
      <c r="W93" s="116">
        <f>IFERROR(V93/V148, "NA")</f>
        <v>9.9027690369431973E-2</v>
      </c>
      <c r="X93" s="115">
        <v>10442.74</v>
      </c>
      <c r="Y93" s="116">
        <f>IFERROR(X93/X148, "NA")</f>
        <v>8.7805723801030619E-2</v>
      </c>
      <c r="Z93" s="115">
        <v>38036.1</v>
      </c>
      <c r="AA93" s="116">
        <f>IFERROR(Z93/Z148, "NA")</f>
        <v>9.3763894083463542E-2</v>
      </c>
      <c r="AB93" s="117">
        <f t="shared" si="36"/>
        <v>12783.747499999999</v>
      </c>
      <c r="AC93" s="116">
        <f>IFERROR(AB93/AB148, "NA")</f>
        <v>9.5632538626501409E-2</v>
      </c>
      <c r="AD93" s="118">
        <f t="shared" si="37"/>
        <v>-2341.0074999999997</v>
      </c>
      <c r="AE93" s="119">
        <f>IFERROR(AD93/AD148, "NA")</f>
        <v>0.15875919338923686</v>
      </c>
      <c r="AF93" s="118">
        <f t="shared" si="38"/>
        <v>-0.18312372799916454</v>
      </c>
      <c r="AG93" s="117">
        <f t="shared" si="39"/>
        <v>11727.9</v>
      </c>
      <c r="AH93" s="116">
        <f>IFERROR(AG93/AG148, "NA")</f>
        <v>9.0845274636803405E-2</v>
      </c>
      <c r="AI93" s="118">
        <f t="shared" si="40"/>
        <v>-1285.1599999999999</v>
      </c>
      <c r="AJ93" s="119">
        <f>IFERROR(AI93/AI148, "NA")</f>
        <v>0.12639927041785623</v>
      </c>
      <c r="AK93" s="118">
        <f t="shared" si="41"/>
        <v>-0.10958142548964435</v>
      </c>
      <c r="AL93" s="119">
        <f>IFERROR(AK93/AK148, "NA")</f>
        <v>1.3913686861886498</v>
      </c>
    </row>
    <row r="94" spans="1:38" ht="16.5" hidden="1" customHeight="1" x14ac:dyDescent="0.25">
      <c r="A94" s="2" t="s">
        <v>93</v>
      </c>
      <c r="B94" s="115">
        <v>3070.28</v>
      </c>
      <c r="C94" s="116">
        <f>IFERROR(B94/B148, "NA")</f>
        <v>2.708486590729511E-2</v>
      </c>
      <c r="D94" s="115">
        <v>3448.5699999999997</v>
      </c>
      <c r="E94" s="116">
        <f>IFERROR(D94/D148, "NA")</f>
        <v>2.6954588088166326E-2</v>
      </c>
      <c r="F94" s="115">
        <v>3237.78</v>
      </c>
      <c r="G94" s="116">
        <f>IFERROR(F94/F148, "NA")</f>
        <v>2.5925330136032359E-2</v>
      </c>
      <c r="H94" s="115">
        <v>3570.71</v>
      </c>
      <c r="I94" s="116">
        <f>IFERROR(H94/H148, "NA")</f>
        <v>2.8125808111587314E-2</v>
      </c>
      <c r="J94" s="115">
        <v>3353.83</v>
      </c>
      <c r="K94" s="116">
        <f>IFERROR(J94/J148, "NA")</f>
        <v>2.7217518517818194E-2</v>
      </c>
      <c r="L94" s="115">
        <v>3261.43</v>
      </c>
      <c r="M94" s="116">
        <f>IFERROR(L94/L148, "NA")</f>
        <v>2.537531215065891E-2</v>
      </c>
      <c r="N94" s="115">
        <v>2847.27</v>
      </c>
      <c r="O94" s="116">
        <f>IFERROR(N94/N148, "NA")</f>
        <v>2.5593709668111534E-2</v>
      </c>
      <c r="P94" s="115">
        <v>3133.2999999999997</v>
      </c>
      <c r="Q94" s="116">
        <f>IFERROR(P94/P148, "NA")</f>
        <v>2.3196289185982221E-2</v>
      </c>
      <c r="R94" s="115">
        <v>3437.64</v>
      </c>
      <c r="S94" s="116">
        <f>IFERROR(R94/R148, "NA")</f>
        <v>2.6639170221511084E-2</v>
      </c>
      <c r="T94" s="115">
        <v>3295.9700000000003</v>
      </c>
      <c r="U94" s="116">
        <f>IFERROR(T94/T148, "NA")</f>
        <v>2.435192156954883E-2</v>
      </c>
      <c r="V94" s="115">
        <v>3811.5600000000004</v>
      </c>
      <c r="W94" s="116">
        <f>IFERROR(V94/V148, "NA")</f>
        <v>2.5178624051307968E-2</v>
      </c>
      <c r="X94" s="115">
        <v>3075.19</v>
      </c>
      <c r="Y94" s="116">
        <f>IFERROR(X94/X148, "NA")</f>
        <v>2.5857129812261091E-2</v>
      </c>
      <c r="Z94" s="115">
        <v>10182.720000000001</v>
      </c>
      <c r="AA94" s="116">
        <f>IFERROR(Z94/Z148, "NA")</f>
        <v>2.5101718618932171E-2</v>
      </c>
      <c r="AB94" s="117">
        <f t="shared" si="36"/>
        <v>3405.0900000000006</v>
      </c>
      <c r="AC94" s="116">
        <f>IFERROR(AB94/AB148, "NA")</f>
        <v>2.5472765396196518E-2</v>
      </c>
      <c r="AD94" s="118">
        <f t="shared" si="37"/>
        <v>-329.90000000000055</v>
      </c>
      <c r="AE94" s="119">
        <f>IFERROR(AD94/AD148, "NA")</f>
        <v>2.2372699745348675E-2</v>
      </c>
      <c r="AF94" s="118">
        <f t="shared" si="38"/>
        <v>-9.6884370163490677E-2</v>
      </c>
      <c r="AG94" s="117">
        <f t="shared" si="39"/>
        <v>3277.0237499999998</v>
      </c>
      <c r="AH94" s="116">
        <f>IFERROR(AG94/AG148, "NA")</f>
        <v>2.5384094557429494E-2</v>
      </c>
      <c r="AI94" s="118">
        <f t="shared" si="40"/>
        <v>-201.83374999999978</v>
      </c>
      <c r="AJ94" s="119">
        <f>IFERROR(AI94/AI148, "NA")</f>
        <v>1.9850943653475023E-2</v>
      </c>
      <c r="AK94" s="118">
        <f t="shared" si="41"/>
        <v>-6.1590566745205855E-2</v>
      </c>
      <c r="AL94" s="119">
        <f>IFERROR(AK94/AK148, "NA")</f>
        <v>0.78202291630153853</v>
      </c>
    </row>
    <row r="95" spans="1:38" ht="16.5" hidden="1" customHeight="1" x14ac:dyDescent="0.25">
      <c r="A95" s="2" t="s">
        <v>94</v>
      </c>
      <c r="B95" s="115">
        <v>0</v>
      </c>
      <c r="C95" s="116">
        <f>IFERROR(B95/B148, "NA")</f>
        <v>0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4545.34</v>
      </c>
      <c r="I95" s="116">
        <f>IFERROR(H95/H148, "NA")</f>
        <v>3.5802784499979638E-2</v>
      </c>
      <c r="J95" s="115">
        <v>0</v>
      </c>
      <c r="K95" s="116">
        <f>IFERROR(J95/J148, "NA")</f>
        <v>0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-41</v>
      </c>
      <c r="Q95" s="116">
        <f>IFERROR(P95/P148, "NA")</f>
        <v>-3.0352914072232824E-4</v>
      </c>
      <c r="R95" s="115">
        <v>4545.34</v>
      </c>
      <c r="S95" s="116">
        <f>IFERROR(R95/R148, "NA")</f>
        <v>3.5223026836621402E-2</v>
      </c>
      <c r="T95" s="115">
        <v>0</v>
      </c>
      <c r="U95" s="116">
        <f>IFERROR(T95/T148, "NA")</f>
        <v>0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1136.335</v>
      </c>
      <c r="AC95" s="116">
        <f>IFERROR(AB95/AB148, "NA")</f>
        <v>8.5006842305157763E-3</v>
      </c>
      <c r="AD95" s="118">
        <f t="shared" si="37"/>
        <v>-1136.335</v>
      </c>
      <c r="AE95" s="119">
        <f>IFERROR(AD95/AD148, "NA")</f>
        <v>7.7062387890666093E-2</v>
      </c>
      <c r="AF95" s="118">
        <f t="shared" si="38"/>
        <v>-1</v>
      </c>
      <c r="AG95" s="117">
        <f t="shared" si="39"/>
        <v>563.04250000000002</v>
      </c>
      <c r="AH95" s="116">
        <f>IFERROR(AG95/AG148, "NA")</f>
        <v>4.3613733528331915E-3</v>
      </c>
      <c r="AI95" s="118">
        <f t="shared" si="40"/>
        <v>-563.04250000000002</v>
      </c>
      <c r="AJ95" s="119">
        <f>IFERROR(AI95/AI148, "NA")</f>
        <v>5.5376887869406005E-2</v>
      </c>
      <c r="AK95" s="118">
        <f t="shared" si="41"/>
        <v>-1</v>
      </c>
      <c r="AL95" s="119">
        <f>IFERROR(AK95/AK148, "NA")</f>
        <v>12.697121615014369</v>
      </c>
    </row>
    <row r="96" spans="1:38" ht="16.5" hidden="1" customHeight="1" x14ac:dyDescent="0.25">
      <c r="A96" s="2" t="s">
        <v>95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0</v>
      </c>
      <c r="Y96" s="116">
        <f>IFERROR(X96/X148, "NA")</f>
        <v>0</v>
      </c>
      <c r="Z96" s="115">
        <v>0</v>
      </c>
      <c r="AA96" s="116">
        <f>IFERROR(Z96/Z148, "NA")</f>
        <v>0</v>
      </c>
      <c r="AB96" s="117">
        <f t="shared" si="36"/>
        <v>0</v>
      </c>
      <c r="AC96" s="116">
        <f>IFERROR(AB96/AB148, "NA")</f>
        <v>0</v>
      </c>
      <c r="AD96" s="118">
        <f t="shared" si="37"/>
        <v>0</v>
      </c>
      <c r="AE96" s="119">
        <f>IFERROR(AD96/AD148, "NA")</f>
        <v>0</v>
      </c>
      <c r="AF96" s="118" t="str">
        <f t="shared" si="38"/>
        <v>NA</v>
      </c>
      <c r="AG96" s="117">
        <f t="shared" si="39"/>
        <v>0</v>
      </c>
      <c r="AH96" s="116">
        <f>IFERROR(AG96/AG148, "NA")</f>
        <v>0</v>
      </c>
      <c r="AI96" s="118">
        <f t="shared" si="40"/>
        <v>0</v>
      </c>
      <c r="AJ96" s="119">
        <f>IFERROR(AI96/AI148, "NA")</f>
        <v>0</v>
      </c>
      <c r="AK96" s="118" t="str">
        <f t="shared" si="41"/>
        <v>NA</v>
      </c>
      <c r="AL96" s="119" t="str">
        <f>IFERROR(AK96/AK148, "NA")</f>
        <v>NA</v>
      </c>
    </row>
    <row r="97" spans="1:38" ht="16.5" hidden="1" customHeight="1" x14ac:dyDescent="0.25">
      <c r="A97" s="2" t="s">
        <v>96</v>
      </c>
      <c r="B97" s="115">
        <v>671.29000000000008</v>
      </c>
      <c r="C97" s="116">
        <f>IFERROR(B97/B148, "NA")</f>
        <v>5.9218701991050121E-3</v>
      </c>
      <c r="D97" s="115">
        <v>888.5</v>
      </c>
      <c r="E97" s="116">
        <f>IFERROR(D97/D148, "NA")</f>
        <v>6.9446615601062994E-3</v>
      </c>
      <c r="F97" s="115">
        <v>2810.5199999999995</v>
      </c>
      <c r="G97" s="116">
        <f>IFERROR(F97/F148, "NA")</f>
        <v>2.2504203143487712E-2</v>
      </c>
      <c r="H97" s="115">
        <v>4175.1000000000004</v>
      </c>
      <c r="I97" s="116">
        <f>IFERROR(H97/H148, "NA")</f>
        <v>3.2886473963634179E-2</v>
      </c>
      <c r="J97" s="115">
        <v>2628.29</v>
      </c>
      <c r="K97" s="116">
        <f>IFERROR(J97/J148, "NA")</f>
        <v>2.1329504400997183E-2</v>
      </c>
      <c r="L97" s="115">
        <v>2603.31</v>
      </c>
      <c r="M97" s="116">
        <f>IFERROR(L97/L148, "NA")</f>
        <v>2.0254858719927101E-2</v>
      </c>
      <c r="N97" s="115">
        <v>1276.05</v>
      </c>
      <c r="O97" s="116">
        <f>IFERROR(N97/N148, "NA")</f>
        <v>1.1470234021358607E-2</v>
      </c>
      <c r="P97" s="115">
        <v>3353.3999999999996</v>
      </c>
      <c r="Q97" s="116">
        <f>IFERROR(P97/P148, "NA")</f>
        <v>2.4825722451176962E-2</v>
      </c>
      <c r="R97" s="115">
        <v>3217.4700000000003</v>
      </c>
      <c r="S97" s="116">
        <f>IFERROR(R97/R148, "NA")</f>
        <v>2.4933015386313075E-2</v>
      </c>
      <c r="T97" s="115">
        <v>302.12</v>
      </c>
      <c r="U97" s="116">
        <f>IFERROR(T97/T148, "NA")</f>
        <v>2.2321812833830685E-3</v>
      </c>
      <c r="V97" s="115">
        <v>1907.96</v>
      </c>
      <c r="W97" s="116">
        <f>IFERROR(V97/V148, "NA")</f>
        <v>1.2603712796055565E-2</v>
      </c>
      <c r="X97" s="115">
        <v>473.58000000000004</v>
      </c>
      <c r="Y97" s="116">
        <f>IFERROR(X97/X148, "NA")</f>
        <v>3.9820042132325505E-3</v>
      </c>
      <c r="Z97" s="115">
        <v>2683.66</v>
      </c>
      <c r="AA97" s="116">
        <f>IFERROR(Z97/Z148, "NA")</f>
        <v>6.6155681575142495E-3</v>
      </c>
      <c r="AB97" s="117">
        <f t="shared" si="36"/>
        <v>1475.2825</v>
      </c>
      <c r="AC97" s="116">
        <f>IFERROR(AB97/AB148, "NA")</f>
        <v>1.1036279515552977E-2</v>
      </c>
      <c r="AD97" s="118">
        <f t="shared" si="37"/>
        <v>-1001.7025</v>
      </c>
      <c r="AE97" s="119">
        <f>IFERROR(AD97/AD148, "NA")</f>
        <v>6.7932068101440118E-2</v>
      </c>
      <c r="AF97" s="118">
        <f t="shared" si="38"/>
        <v>-0.67899029507907804</v>
      </c>
      <c r="AG97" s="117">
        <f t="shared" si="39"/>
        <v>1970.2725000000003</v>
      </c>
      <c r="AH97" s="116">
        <f>IFERROR(AG97/AG148, "NA")</f>
        <v>1.5261892271578139E-2</v>
      </c>
      <c r="AI97" s="118">
        <f t="shared" si="40"/>
        <v>-1496.6925000000001</v>
      </c>
      <c r="AJ97" s="119">
        <f>IFERROR(AI97/AI148, "NA")</f>
        <v>0.14720411469379477</v>
      </c>
      <c r="AK97" s="118">
        <f t="shared" si="41"/>
        <v>-0.75963730905242799</v>
      </c>
      <c r="AL97" s="119">
        <f>IFERROR(AK97/AK148, "NA")</f>
        <v>9.645207296340935</v>
      </c>
    </row>
    <row r="98" spans="1:38" ht="16.5" hidden="1" customHeight="1" x14ac:dyDescent="0.25">
      <c r="A98" s="2" t="s">
        <v>97</v>
      </c>
      <c r="B98" s="115">
        <v>1622.7</v>
      </c>
      <c r="C98" s="116">
        <f>IFERROR(B98/B148, "NA")</f>
        <v>1.4314854641194866E-2</v>
      </c>
      <c r="D98" s="115">
        <v>3459.4299999999994</v>
      </c>
      <c r="E98" s="116">
        <f>IFERROR(D98/D148, "NA")</f>
        <v>2.7039471627325305E-2</v>
      </c>
      <c r="F98" s="115">
        <v>10094.550000000001</v>
      </c>
      <c r="G98" s="116">
        <f>IFERROR(F98/F148, "NA")</f>
        <v>8.0828388996375747E-2</v>
      </c>
      <c r="H98" s="115">
        <v>5050.13</v>
      </c>
      <c r="I98" s="116">
        <f>IFERROR(H98/H148, "NA")</f>
        <v>3.9778919967897265E-2</v>
      </c>
      <c r="J98" s="115">
        <v>2184.6799999999998</v>
      </c>
      <c r="K98" s="116">
        <f>IFERROR(J98/J148, "NA")</f>
        <v>1.7729452105654447E-2</v>
      </c>
      <c r="L98" s="115">
        <v>3171.2599999999998</v>
      </c>
      <c r="M98" s="116">
        <f>IFERROR(L98/L148, "NA")</f>
        <v>2.467375121063416E-2</v>
      </c>
      <c r="N98" s="115">
        <v>3889.5399999999995</v>
      </c>
      <c r="O98" s="116">
        <f>IFERROR(N98/N148, "NA")</f>
        <v>3.4962528141871521E-2</v>
      </c>
      <c r="P98" s="115">
        <v>9247.8100000000013</v>
      </c>
      <c r="Q98" s="116">
        <f>IFERROR(P98/P148, "NA")</f>
        <v>6.8462922508862309E-2</v>
      </c>
      <c r="R98" s="115">
        <v>5596.88</v>
      </c>
      <c r="S98" s="116">
        <f>IFERROR(R98/R148, "NA")</f>
        <v>4.337168494355749E-2</v>
      </c>
      <c r="T98" s="115">
        <v>2074.08</v>
      </c>
      <c r="U98" s="116">
        <f>IFERROR(T98/T148, "NA")</f>
        <v>1.5324118086320516E-2</v>
      </c>
      <c r="V98" s="115">
        <v>306.16000000000003</v>
      </c>
      <c r="W98" s="116">
        <f>IFERROR(V98/V148, "NA")</f>
        <v>2.0224494798844693E-3</v>
      </c>
      <c r="X98" s="115">
        <v>1573.04</v>
      </c>
      <c r="Y98" s="116">
        <f>IFERROR(X98/X148, "NA")</f>
        <v>1.3226597211840304E-2</v>
      </c>
      <c r="Z98" s="115">
        <v>3953.2799999999997</v>
      </c>
      <c r="AA98" s="116">
        <f>IFERROR(Z98/Z148, "NA")</f>
        <v>9.7453452694223307E-3</v>
      </c>
      <c r="AB98" s="117">
        <f t="shared" si="36"/>
        <v>2387.54</v>
      </c>
      <c r="AC98" s="116">
        <f>IFERROR(AB98/AB148, "NA")</f>
        <v>1.7860686881707978E-2</v>
      </c>
      <c r="AD98" s="118">
        <f t="shared" si="37"/>
        <v>-814.5</v>
      </c>
      <c r="AE98" s="119">
        <f>IFERROR(AD98/AD148, "NA")</f>
        <v>5.5236629107567339E-2</v>
      </c>
      <c r="AF98" s="118">
        <f t="shared" si="38"/>
        <v>-0.34114611692369551</v>
      </c>
      <c r="AG98" s="117">
        <f t="shared" si="39"/>
        <v>3505.4312500000001</v>
      </c>
      <c r="AH98" s="116">
        <f>IFERROR(AG98/AG148, "NA")</f>
        <v>2.7153357773061083E-2</v>
      </c>
      <c r="AI98" s="118">
        <f t="shared" si="40"/>
        <v>-1932.3912500000001</v>
      </c>
      <c r="AJ98" s="119">
        <f>IFERROR(AI98/AI148, "NA")</f>
        <v>0.19005636976084631</v>
      </c>
      <c r="AK98" s="118">
        <f t="shared" si="41"/>
        <v>-0.55125635397927153</v>
      </c>
      <c r="AL98" s="119">
        <f>IFERROR(AK98/AK148, "NA")</f>
        <v>6.9993689675242212</v>
      </c>
    </row>
    <row r="99" spans="1:38" ht="16.5" hidden="1" customHeight="1" x14ac:dyDescent="0.25">
      <c r="A99" s="120" t="s">
        <v>98</v>
      </c>
      <c r="B99" s="121">
        <f>IFERROR(B90+B91+B92+B93+B94+B95+B96+B97+B98, "NA")</f>
        <v>23062.52</v>
      </c>
      <c r="C99" s="122">
        <f>IFERROR(B99/B148, "NA")</f>
        <v>0.20344895634414828</v>
      </c>
      <c r="D99" s="121">
        <f>IFERROR(D90+D91+D92+D93+D94+D95+D96+D97+D98, "NA")</f>
        <v>26463.86</v>
      </c>
      <c r="E99" s="122">
        <f>IFERROR(D99/D148, "NA")</f>
        <v>0.20684586524933563</v>
      </c>
      <c r="F99" s="121">
        <f>IFERROR(F90+F91+F92+F93+F94+F95+F96+F97+F98, "NA")</f>
        <v>38687.360000000001</v>
      </c>
      <c r="G99" s="122">
        <f>IFERROR(F99/F148, "NA")</f>
        <v>0.30977477780810703</v>
      </c>
      <c r="H99" s="121">
        <f>IFERROR(H90+H91+H92+H93+H94+H95+H96+H97+H98, "NA")</f>
        <v>40242.829999999994</v>
      </c>
      <c r="I99" s="122">
        <f>IFERROR(H99/H148, "NA")</f>
        <v>0.31698516946131977</v>
      </c>
      <c r="J99" s="121">
        <f>IFERROR(J90+J91+J92+J93+J94+J95+J96+J97+J98, "NA")</f>
        <v>30396.32</v>
      </c>
      <c r="K99" s="122">
        <f>IFERROR(J99/J148, "NA")</f>
        <v>0.24667690445655491</v>
      </c>
      <c r="L99" s="121">
        <f>IFERROR(L90+L91+L92+L93+L94+L95+L96+L97+L98, "NA")</f>
        <v>30498.05</v>
      </c>
      <c r="M99" s="122">
        <f>IFERROR(L99/L148, "NA")</f>
        <v>0.23728779668317362</v>
      </c>
      <c r="N99" s="121">
        <f>IFERROR(N90+N91+N92+N93+N94+N95+N96+N97+N98, "NA")</f>
        <v>22373.61</v>
      </c>
      <c r="O99" s="122">
        <f>IFERROR(N99/N148, "NA")</f>
        <v>0.20111323427969843</v>
      </c>
      <c r="P99" s="121">
        <f>IFERROR(P90+P91+P92+P93+P94+P95+P96+P97+P98, "NA")</f>
        <v>32597.3</v>
      </c>
      <c r="Q99" s="122">
        <f>IFERROR(P99/P148, "NA")</f>
        <v>0.2413226941187305</v>
      </c>
      <c r="R99" s="121">
        <f>IFERROR(R90+R91+R92+R93+R94+R95+R96+R97+R98, "NA")</f>
        <v>36565.68</v>
      </c>
      <c r="S99" s="122">
        <f>IFERROR(R99/R148, "NA")</f>
        <v>0.28335700474316783</v>
      </c>
      <c r="T99" s="121">
        <f>IFERROR(T90+T91+T92+T93+T94+T95+T96+T97+T98, "NA")</f>
        <v>22469.29</v>
      </c>
      <c r="U99" s="122">
        <f>IFERROR(T99/T148, "NA")</f>
        <v>0.16601194422383936</v>
      </c>
      <c r="V99" s="121">
        <f>IFERROR(V90+V91+V92+V93+V94+V95+V96+V97+V98, "NA")</f>
        <v>25710.030000000002</v>
      </c>
      <c r="W99" s="122">
        <f>IFERROR(V99/V148, "NA")</f>
        <v>0.16983680690264602</v>
      </c>
      <c r="X99" s="121">
        <f>IFERROR(X90+X91+X92+X93+X94+X95+X96+X97+X98, "NA")</f>
        <v>21146.170000000002</v>
      </c>
      <c r="Y99" s="122">
        <f>IFERROR(X99/X148, "NA")</f>
        <v>0.17780340815433879</v>
      </c>
      <c r="Z99" s="121">
        <f>IFERROR(Z90+Z91+Z92+Z93+Z94+Z95+Z96+Z97+Z98, "NA")</f>
        <v>69325.489999999991</v>
      </c>
      <c r="AA99" s="122">
        <f>IFERROR(Z99/Z148, "NA")</f>
        <v>0.17089627752698647</v>
      </c>
      <c r="AB99" s="121">
        <f t="shared" si="36"/>
        <v>26472.7925</v>
      </c>
      <c r="AC99" s="122">
        <f>IFERROR(AB99/AB148, "NA")</f>
        <v>0.19803741831631191</v>
      </c>
      <c r="AD99" s="123">
        <f t="shared" si="37"/>
        <v>-5326.6224999999977</v>
      </c>
      <c r="AE99" s="124">
        <f>IFERROR(AD99/AD148, "NA")</f>
        <v>0.36123348241684833</v>
      </c>
      <c r="AF99" s="123">
        <f t="shared" si="38"/>
        <v>-0.20121120580686747</v>
      </c>
      <c r="AG99" s="121">
        <f t="shared" si="39"/>
        <v>27719.556250000001</v>
      </c>
      <c r="AH99" s="122">
        <f>IFERROR(AG99/AG148, "NA")</f>
        <v>0.2147179546501565</v>
      </c>
      <c r="AI99" s="123">
        <f t="shared" si="40"/>
        <v>-6573.3862499999996</v>
      </c>
      <c r="AJ99" s="124">
        <f>IFERROR(AI99/AI148, "NA")</f>
        <v>0.6465118943748388</v>
      </c>
      <c r="AK99" s="123">
        <f t="shared" si="41"/>
        <v>-0.23713894229457586</v>
      </c>
      <c r="AL99" s="124">
        <f>IFERROR(AK99/AK148, "NA")</f>
        <v>3.0109819899701042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99</v>
      </c>
      <c r="B101" s="136">
        <f>IFERROR(B87-B99, "NA")</f>
        <v>26736.110000000026</v>
      </c>
      <c r="C101" s="137">
        <f>IFERROR(B101/B148, "NA")</f>
        <v>0.23585599822579456</v>
      </c>
      <c r="D101" s="136">
        <f>IFERROR(D87-D99, "NA")</f>
        <v>35119.899999999951</v>
      </c>
      <c r="E101" s="137">
        <f>IFERROR(D101/D148, "NA")</f>
        <v>0.2745028919806155</v>
      </c>
      <c r="F101" s="136">
        <f>IFERROR(F87-F99, "NA")</f>
        <v>19339.02000000004</v>
      </c>
      <c r="G101" s="137">
        <f>IFERROR(F101/F148, "NA")</f>
        <v>0.1548500756713963</v>
      </c>
      <c r="H101" s="136">
        <f>IFERROR(H87-H99, "NA")</f>
        <v>22374.479999999989</v>
      </c>
      <c r="I101" s="137">
        <f>IFERROR(H101/H148, "NA")</f>
        <v>0.17623955209931577</v>
      </c>
      <c r="J101" s="136">
        <f>IFERROR(J87-J99, "NA")</f>
        <v>31292.530000000028</v>
      </c>
      <c r="K101" s="137">
        <f>IFERROR(J101/J148, "NA")</f>
        <v>0.2539499660818772</v>
      </c>
      <c r="L101" s="136">
        <f>IFERROR(L87-L99, "NA")</f>
        <v>34787.58</v>
      </c>
      <c r="M101" s="137">
        <f>IFERROR(L101/L148, "NA")</f>
        <v>0.27066216397899662</v>
      </c>
      <c r="N101" s="136">
        <f>IFERROR(N87-N99, "NA")</f>
        <v>28572.159999999974</v>
      </c>
      <c r="O101" s="137">
        <f>IFERROR(N101/N148, "NA")</f>
        <v>0.25683112863579111</v>
      </c>
      <c r="P101" s="136">
        <f>IFERROR(P87-P99, "NA")</f>
        <v>34117.020000000004</v>
      </c>
      <c r="Q101" s="137">
        <f>IFERROR(P101/P148, "NA")</f>
        <v>0.25257340889284119</v>
      </c>
      <c r="R101" s="136">
        <f>IFERROR(R87-R99, "NA")</f>
        <v>25200.060000000034</v>
      </c>
      <c r="S101" s="137">
        <f>IFERROR(R101/R148, "NA")</f>
        <v>0.19528184682872363</v>
      </c>
      <c r="T101" s="136">
        <f>IFERROR(T87-T99, "NA")</f>
        <v>41843.720000000052</v>
      </c>
      <c r="U101" s="137">
        <f>IFERROR(T101/T148, "NA")</f>
        <v>0.30915784658785211</v>
      </c>
      <c r="V101" s="136">
        <f>IFERROR(V87-V99, "NA")</f>
        <v>55257.79999999993</v>
      </c>
      <c r="W101" s="137">
        <f>IFERROR(V101/V148, "NA")</f>
        <v>0.36502517921857813</v>
      </c>
      <c r="X101" s="136">
        <f>IFERROR(X87-X99, "NA")</f>
        <v>32878.720000000016</v>
      </c>
      <c r="Y101" s="137">
        <f>IFERROR(X101/X148, "NA")</f>
        <v>0.27645424546157649</v>
      </c>
      <c r="Z101" s="136">
        <f>IFERROR(Z87-Z99, "NA")</f>
        <v>129980.23999999996</v>
      </c>
      <c r="AA101" s="137">
        <f>IFERROR(Z101/Z148, "NA")</f>
        <v>0.32041806221729274</v>
      </c>
      <c r="AB101" s="136">
        <f>IFERROR((R101+T101+V101+X101)/4, "NA")</f>
        <v>38795.075000000012</v>
      </c>
      <c r="AC101" s="137">
        <f>IFERROR(AB101/AB148, "NA")</f>
        <v>0.29021783389068972</v>
      </c>
      <c r="AD101" s="123">
        <f>IFERROR(X101-AB101, "NA")</f>
        <v>-5916.3549999999959</v>
      </c>
      <c r="AE101" s="124">
        <f>IFERROR(AD101/AD148, "NA")</f>
        <v>0.40122714156378309</v>
      </c>
      <c r="AF101" s="123">
        <f>IFERROR((X101-AB101)/AB101, "NA")</f>
        <v>-0.15250273391661168</v>
      </c>
      <c r="AG101" s="136">
        <f>IFERROR((J101+L101+N101+P101+R101+T101+V101+X101)/8, "NA")</f>
        <v>35493.698750000003</v>
      </c>
      <c r="AH101" s="137">
        <f>IFERROR(AG101/AG148, "NA")</f>
        <v>0.27493709963588675</v>
      </c>
      <c r="AI101" s="123">
        <f>IFERROR(X101-AG101, "NA")</f>
        <v>-2614.9787499999875</v>
      </c>
      <c r="AJ101" s="124">
        <f>IFERROR(AI101/AI148, "NA")</f>
        <v>0.25719086040508271</v>
      </c>
      <c r="AK101" s="123">
        <f>IFERROR((X101-AG101)/AG101, "NA")</f>
        <v>-7.3674450454391915E-2</v>
      </c>
      <c r="AL101" s="124">
        <f>IFERROR(AK101/AK148, "NA")</f>
        <v>0.93545345733876484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100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101</v>
      </c>
      <c r="B104" s="140">
        <v>-8450.15</v>
      </c>
      <c r="C104" s="137">
        <f>IFERROR(B104/B148, "NA")</f>
        <v>-7.4544074040976641E-2</v>
      </c>
      <c r="D104" s="140">
        <v>0</v>
      </c>
      <c r="E104" s="137">
        <f>IFERROR(D104/D148, "NA")</f>
        <v>0</v>
      </c>
      <c r="F104" s="140">
        <v>14933.440000000002</v>
      </c>
      <c r="G104" s="137">
        <f>IFERROR(F104/F148, "NA")</f>
        <v>0.11957401740285971</v>
      </c>
      <c r="H104" s="140">
        <v>74446.34</v>
      </c>
      <c r="I104" s="137">
        <f>IFERROR(H104/H148, "NA")</f>
        <v>0.58639975619694318</v>
      </c>
      <c r="J104" s="140">
        <v>-8748.61</v>
      </c>
      <c r="K104" s="137">
        <f>IFERROR(J104/J148, "NA")</f>
        <v>-7.0998069276072273E-2</v>
      </c>
      <c r="L104" s="140">
        <v>0</v>
      </c>
      <c r="M104" s="137">
        <f>IFERROR(L104/L148, "NA")</f>
        <v>0</v>
      </c>
      <c r="N104" s="140">
        <v>0</v>
      </c>
      <c r="O104" s="137">
        <f>IFERROR(N104/N148, "NA")</f>
        <v>0</v>
      </c>
      <c r="P104" s="140">
        <v>13094.220000000001</v>
      </c>
      <c r="Q104" s="137">
        <f>IFERROR(P104/P148, "NA")</f>
        <v>9.6938471829978667E-2</v>
      </c>
      <c r="R104" s="140">
        <v>85856.680000000008</v>
      </c>
      <c r="S104" s="137">
        <f>IFERROR(R104/R148, "NA")</f>
        <v>0.66532583783462096</v>
      </c>
      <c r="T104" s="140">
        <v>-9639</v>
      </c>
      <c r="U104" s="137">
        <f>IFERROR(T104/T148, "NA")</f>
        <v>-7.121671981507148E-2</v>
      </c>
      <c r="V104" s="140">
        <v>3525.5499999999997</v>
      </c>
      <c r="W104" s="137">
        <f>IFERROR(V104/V148, "NA")</f>
        <v>2.3289282609768387E-2</v>
      </c>
      <c r="X104" s="140">
        <v>4637.17</v>
      </c>
      <c r="Y104" s="137">
        <f>IFERROR(X104/X148, "NA")</f>
        <v>3.8990731191088278E-2</v>
      </c>
      <c r="Z104" s="140">
        <v>-1476.2800000000002</v>
      </c>
      <c r="AA104" s="137">
        <f>IFERROR(Z104/Z148, "NA")</f>
        <v>-3.6392206760823423E-3</v>
      </c>
      <c r="AB104" s="136">
        <f>IFERROR((R104+T104+V104+X104)/4, "NA")</f>
        <v>21095.100000000002</v>
      </c>
      <c r="AC104" s="137">
        <f>IFERROR(AB104/AB148, "NA")</f>
        <v>0.15780802660408538</v>
      </c>
      <c r="AD104" s="123">
        <f>IFERROR(X104-AB104, "NA")</f>
        <v>-16457.93</v>
      </c>
      <c r="AE104" s="124">
        <f>IFERROR(AD104/AD148, "NA")</f>
        <v>1.1161210255227818</v>
      </c>
      <c r="AF104" s="123">
        <f>IFERROR((X104-AB104)/AB104, "NA")</f>
        <v>-0.78017786120947508</v>
      </c>
      <c r="AG104" s="136">
        <f>IFERROR((J104+L104+N104+P104+R104+T104+V104+X104)/8, "NA")</f>
        <v>11090.751250000001</v>
      </c>
      <c r="AH104" s="137">
        <f>IFERROR(AG104/AG148, "NA")</f>
        <v>8.5909868197607486E-2</v>
      </c>
      <c r="AI104" s="123">
        <f>IFERROR(X104-AG104, "NA")</f>
        <v>-6453.5812500000011</v>
      </c>
      <c r="AJ104" s="124">
        <f>IFERROR(AI104/AI148, "NA")</f>
        <v>0.63472871983438384</v>
      </c>
      <c r="AK104" s="123">
        <f>IFERROR((X104-AG104)/AG104, "NA")</f>
        <v>-0.58188855781974191</v>
      </c>
      <c r="AL104" s="124">
        <f>IFERROR(AK104/AK148, "NA")</f>
        <v>7.3883097850225843</v>
      </c>
    </row>
    <row r="105" spans="1:38" ht="16.5" hidden="1" customHeight="1" x14ac:dyDescent="0.25">
      <c r="A105" s="120" t="s">
        <v>102</v>
      </c>
      <c r="B105" s="121">
        <f>IFERROR(B104, "NA")</f>
        <v>-8450.15</v>
      </c>
      <c r="C105" s="122">
        <f>IFERROR(B105/B148, "NA")</f>
        <v>-7.4544074040976641E-2</v>
      </c>
      <c r="D105" s="121">
        <f>IFERROR(D104, "NA")</f>
        <v>0</v>
      </c>
      <c r="E105" s="122">
        <f>IFERROR(D105/D148, "NA")</f>
        <v>0</v>
      </c>
      <c r="F105" s="121">
        <f>IFERROR(F104, "NA")</f>
        <v>14933.440000000002</v>
      </c>
      <c r="G105" s="122">
        <f>IFERROR(F105/F148, "NA")</f>
        <v>0.11957401740285971</v>
      </c>
      <c r="H105" s="121">
        <f>IFERROR(H104, "NA")</f>
        <v>74446.34</v>
      </c>
      <c r="I105" s="122">
        <f>IFERROR(H105/H148, "NA")</f>
        <v>0.58639975619694318</v>
      </c>
      <c r="J105" s="121">
        <f>IFERROR(J104, "NA")</f>
        <v>-8748.61</v>
      </c>
      <c r="K105" s="122">
        <f>IFERROR(J105/J148, "NA")</f>
        <v>-7.0998069276072273E-2</v>
      </c>
      <c r="L105" s="121">
        <f>IFERROR(L104, "NA")</f>
        <v>0</v>
      </c>
      <c r="M105" s="122">
        <f>IFERROR(L105/L148, "NA")</f>
        <v>0</v>
      </c>
      <c r="N105" s="121">
        <f>IFERROR(N104, "NA")</f>
        <v>0</v>
      </c>
      <c r="O105" s="122">
        <f>IFERROR(N105/N148, "NA")</f>
        <v>0</v>
      </c>
      <c r="P105" s="121">
        <f>IFERROR(P104, "NA")</f>
        <v>13094.220000000001</v>
      </c>
      <c r="Q105" s="122">
        <f>IFERROR(P105/P148, "NA")</f>
        <v>9.6938471829978667E-2</v>
      </c>
      <c r="R105" s="121">
        <f>IFERROR(R104, "NA")</f>
        <v>85856.680000000008</v>
      </c>
      <c r="S105" s="122">
        <f>IFERROR(R105/R148, "NA")</f>
        <v>0.66532583783462096</v>
      </c>
      <c r="T105" s="121">
        <f>IFERROR(T104, "NA")</f>
        <v>-9639</v>
      </c>
      <c r="U105" s="122">
        <f>IFERROR(T105/T148, "NA")</f>
        <v>-7.121671981507148E-2</v>
      </c>
      <c r="V105" s="121">
        <f>IFERROR(V104, "NA")</f>
        <v>3525.5499999999997</v>
      </c>
      <c r="W105" s="122">
        <f>IFERROR(V105/V148, "NA")</f>
        <v>2.3289282609768387E-2</v>
      </c>
      <c r="X105" s="121">
        <f>IFERROR(X104, "NA")</f>
        <v>4637.17</v>
      </c>
      <c r="Y105" s="122">
        <f>IFERROR(X105/X148, "NA")</f>
        <v>3.8990731191088278E-2</v>
      </c>
      <c r="Z105" s="121">
        <f>IFERROR(Z104, "NA")</f>
        <v>-1476.2800000000002</v>
      </c>
      <c r="AA105" s="122">
        <f>IFERROR(Z105/Z148, "NA")</f>
        <v>-3.6392206760823423E-3</v>
      </c>
      <c r="AB105" s="121">
        <f>IFERROR((R105+T105+V105+X105)/4, "NA")</f>
        <v>21095.100000000002</v>
      </c>
      <c r="AC105" s="122">
        <f>IFERROR(AB105/AB148, "NA")</f>
        <v>0.15780802660408538</v>
      </c>
      <c r="AD105" s="123">
        <f>IFERROR(X105-AB105, "NA")</f>
        <v>-16457.93</v>
      </c>
      <c r="AE105" s="124">
        <f>IFERROR(AD105/AD148, "NA")</f>
        <v>1.1161210255227818</v>
      </c>
      <c r="AF105" s="123">
        <f>IFERROR((X105-AB105)/AB105, "NA")</f>
        <v>-0.78017786120947508</v>
      </c>
      <c r="AG105" s="121">
        <f>IFERROR((J105+L105+N105+P105+R105+T105+V105+X105)/8, "NA")</f>
        <v>11090.751250000001</v>
      </c>
      <c r="AH105" s="122">
        <f>IFERROR(AG105/AG148, "NA")</f>
        <v>8.5909868197607486E-2</v>
      </c>
      <c r="AI105" s="123">
        <f>IFERROR(X105-AG105, "NA")</f>
        <v>-6453.5812500000011</v>
      </c>
      <c r="AJ105" s="124">
        <f>IFERROR(AI105/AI148, "NA")</f>
        <v>0.63472871983438384</v>
      </c>
      <c r="AK105" s="123">
        <f>IFERROR((X105-AG105)/AG105, "NA")</f>
        <v>-0.58188855781974191</v>
      </c>
      <c r="AL105" s="124">
        <f>IFERROR(AK105/AK148, "NA")</f>
        <v>7.3883097850225843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103</v>
      </c>
      <c r="B107" s="136">
        <f>IFERROR(B87-B99-B105, "NA")</f>
        <v>35186.260000000024</v>
      </c>
      <c r="C107" s="137">
        <f>IFERROR(B107/B148, "NA")</f>
        <v>0.31040007226677119</v>
      </c>
      <c r="D107" s="136">
        <f>IFERROR(D87-D99-D105, "NA")</f>
        <v>35119.899999999951</v>
      </c>
      <c r="E107" s="137">
        <f>IFERROR(D107/D148, "NA")</f>
        <v>0.2745028919806155</v>
      </c>
      <c r="F107" s="136">
        <f>IFERROR(F87-F99-F105, "NA")</f>
        <v>4405.5800000000381</v>
      </c>
      <c r="G107" s="137">
        <f>IFERROR(F107/F148, "NA")</f>
        <v>3.5276058268536595E-2</v>
      </c>
      <c r="H107" s="136">
        <f>IFERROR(H87-H99-H105, "NA")</f>
        <v>-52071.860000000008</v>
      </c>
      <c r="I107" s="137">
        <f>IFERROR(H107/H148, "NA")</f>
        <v>-0.41016020409762743</v>
      </c>
      <c r="J107" s="136">
        <f>IFERROR(J87-J99-J105, "NA")</f>
        <v>40041.140000000029</v>
      </c>
      <c r="K107" s="137">
        <f>IFERROR(J107/J148, "NA")</f>
        <v>0.32494803535794947</v>
      </c>
      <c r="L107" s="136">
        <f>IFERROR(L87-L99-L105, "NA")</f>
        <v>34787.58</v>
      </c>
      <c r="M107" s="137">
        <f>IFERROR(L107/L148, "NA")</f>
        <v>0.27066216397899662</v>
      </c>
      <c r="N107" s="136">
        <f>IFERROR(N87-N99-N105, "NA")</f>
        <v>28572.159999999974</v>
      </c>
      <c r="O107" s="137">
        <f>IFERROR(N107/N148, "NA")</f>
        <v>0.25683112863579111</v>
      </c>
      <c r="P107" s="136">
        <f>IFERROR(P87-P99-P105, "NA")</f>
        <v>21022.800000000003</v>
      </c>
      <c r="Q107" s="137">
        <f>IFERROR(P107/P148, "NA")</f>
        <v>0.15563493706286252</v>
      </c>
      <c r="R107" s="136">
        <f>IFERROR(R87-R99-R105, "NA")</f>
        <v>-60656.619999999974</v>
      </c>
      <c r="S107" s="137">
        <f>IFERROR(R107/R148, "NA")</f>
        <v>-0.47004399100589733</v>
      </c>
      <c r="T107" s="136">
        <f>IFERROR(T87-T99-T105, "NA")</f>
        <v>51482.720000000052</v>
      </c>
      <c r="U107" s="137">
        <f>IFERROR(T107/T148, "NA")</f>
        <v>0.38037456640292361</v>
      </c>
      <c r="V107" s="136">
        <f>IFERROR(V87-V99-V105, "NA")</f>
        <v>51732.249999999927</v>
      </c>
      <c r="W107" s="137">
        <f>IFERROR(V107/V148, "NA")</f>
        <v>0.34173589660880971</v>
      </c>
      <c r="X107" s="136">
        <f>IFERROR(X87-X99-X105, "NA")</f>
        <v>28241.550000000017</v>
      </c>
      <c r="Y107" s="137">
        <f>IFERROR(X107/X148, "NA")</f>
        <v>0.2374635142704882</v>
      </c>
      <c r="Z107" s="136">
        <f>IFERROR(Z87-Z99-Z105, "NA")</f>
        <v>131456.51999999996</v>
      </c>
      <c r="AA107" s="137">
        <f>IFERROR(Z107/Z148, "NA")</f>
        <v>0.32405728289337504</v>
      </c>
      <c r="AB107" s="136">
        <f>IFERROR((R107+T107+V107+X107)/4, "NA")</f>
        <v>17699.975000000006</v>
      </c>
      <c r="AC107" s="137">
        <f>IFERROR(AB107/AB148, "NA")</f>
        <v>0.13240980728660431</v>
      </c>
      <c r="AD107" s="123">
        <f>IFERROR(X107-AB107, "NA")</f>
        <v>10541.575000000012</v>
      </c>
      <c r="AE107" s="124">
        <f>IFERROR(AD107/AD148, "NA")</f>
        <v>-0.71489388395899911</v>
      </c>
      <c r="AF107" s="123">
        <f>IFERROR((X107-AB107)/AB107, "NA")</f>
        <v>0.59557005024018439</v>
      </c>
      <c r="AG107" s="136">
        <f>IFERROR((J107+L107+N107+P107+R107+T107+V107+X107)/8, "NA")</f>
        <v>24402.947500000006</v>
      </c>
      <c r="AH107" s="137">
        <f>IFERROR(AG107/AG148, "NA")</f>
        <v>0.18902723143827929</v>
      </c>
      <c r="AI107" s="123">
        <f>IFERROR(X107-AG107, "NA")</f>
        <v>3838.6025000000118</v>
      </c>
      <c r="AJ107" s="124">
        <f>IFERROR(AI107/AI148, "NA")</f>
        <v>-0.37753785942930101</v>
      </c>
      <c r="AK107" s="123">
        <f>IFERROR((X107-AG107)/AG107, "NA")</f>
        <v>0.15730077278574692</v>
      </c>
      <c r="AL107" s="124">
        <f>IFERROR(AK107/AK148, "NA")</f>
        <v>-1.9972670421963714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104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105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106</v>
      </c>
      <c r="B111" s="115">
        <v>9237.14</v>
      </c>
      <c r="C111" s="116">
        <f>IFERROR(B111/B148, "NA")</f>
        <v>8.1486606520223534E-2</v>
      </c>
      <c r="D111" s="115">
        <v>9101.4299999999985</v>
      </c>
      <c r="E111" s="116">
        <f>IFERROR(D111/D148, "NA")</f>
        <v>7.1138267938095967E-2</v>
      </c>
      <c r="F111" s="115">
        <v>14579.41</v>
      </c>
      <c r="G111" s="116">
        <f>IFERROR(F111/F148, "NA")</f>
        <v>0.11673925264797839</v>
      </c>
      <c r="H111" s="115">
        <v>8423.2899999999991</v>
      </c>
      <c r="I111" s="116">
        <f>IFERROR(H111/H148, "NA")</f>
        <v>6.6348664049517406E-2</v>
      </c>
      <c r="J111" s="115">
        <v>9101.4599999999991</v>
      </c>
      <c r="K111" s="116">
        <f>IFERROR(J111/J148, "NA")</f>
        <v>7.3861572020401028E-2</v>
      </c>
      <c r="L111" s="115">
        <v>9237.1299999999992</v>
      </c>
      <c r="M111" s="116">
        <f>IFERROR(L111/L148, "NA")</f>
        <v>7.1868799001117895E-2</v>
      </c>
      <c r="N111" s="115">
        <v>9101.4499999999989</v>
      </c>
      <c r="O111" s="116">
        <f>IFERROR(N111/N148, "NA")</f>
        <v>8.1811654271928436E-2</v>
      </c>
      <c r="P111" s="115">
        <v>14579.42</v>
      </c>
      <c r="Q111" s="116">
        <f>IFERROR(P111/P148, "NA")</f>
        <v>0.10793362987390066</v>
      </c>
      <c r="R111" s="115">
        <v>9101.4399999999987</v>
      </c>
      <c r="S111" s="116">
        <f>IFERROR(R111/R148, "NA")</f>
        <v>7.0529435723598113E-2</v>
      </c>
      <c r="T111" s="115">
        <v>9044.5299999999988</v>
      </c>
      <c r="U111" s="116">
        <f>IFERROR(T111/T148, "NA")</f>
        <v>6.6824541847599173E-2</v>
      </c>
      <c r="V111" s="115">
        <v>8817.739999999998</v>
      </c>
      <c r="W111" s="116">
        <f>IFERROR(V111/V148, "NA")</f>
        <v>5.8248738165522847E-2</v>
      </c>
      <c r="X111" s="115">
        <v>13968.469999999998</v>
      </c>
      <c r="Y111" s="116">
        <f>IFERROR(X111/X148, "NA")</f>
        <v>0.11745113052158553</v>
      </c>
      <c r="Z111" s="115">
        <v>31830.74</v>
      </c>
      <c r="AA111" s="116">
        <f>IFERROR(Z111/Z148, "NA")</f>
        <v>7.8466881040860303E-2</v>
      </c>
      <c r="AB111" s="117">
        <f t="shared" si="42"/>
        <v>10233.044999999998</v>
      </c>
      <c r="AC111" s="116">
        <f>IFERROR(AB111/AB148, "NA")</f>
        <v>7.6551267242193799E-2</v>
      </c>
      <c r="AD111" s="118">
        <f t="shared" si="43"/>
        <v>3735.4249999999993</v>
      </c>
      <c r="AE111" s="119">
        <f>IFERROR(AD111/AD148, "NA")</f>
        <v>-0.25332386161342502</v>
      </c>
      <c r="AF111" s="118">
        <f t="shared" si="44"/>
        <v>0.36503552950270424</v>
      </c>
      <c r="AG111" s="117">
        <f t="shared" si="45"/>
        <v>10368.954999999998</v>
      </c>
      <c r="AH111" s="116">
        <f>IFERROR(AG111/AG148, "NA")</f>
        <v>8.0318775285571645E-2</v>
      </c>
      <c r="AI111" s="118">
        <f t="shared" si="46"/>
        <v>3599.5149999999994</v>
      </c>
      <c r="AJ111" s="119">
        <f>IFERROR(AI111/AI148, "NA")</f>
        <v>-0.3540228997619983</v>
      </c>
      <c r="AK111" s="118">
        <f t="shared" si="47"/>
        <v>0.34714346817012903</v>
      </c>
      <c r="AL111" s="119">
        <f>IFERROR(AK111/AK148, "NA")</f>
        <v>-4.4077228332139979</v>
      </c>
    </row>
    <row r="112" spans="1:38" ht="16.5" hidden="1" customHeight="1" x14ac:dyDescent="0.25">
      <c r="A112" s="2" t="s">
        <v>107</v>
      </c>
      <c r="B112" s="115">
        <v>414.19</v>
      </c>
      <c r="C112" s="116">
        <f>IFERROR(B112/B148, "NA")</f>
        <v>3.6538298168709567E-3</v>
      </c>
      <c r="D112" s="115">
        <v>319.11</v>
      </c>
      <c r="E112" s="116">
        <f>IFERROR(D112/D148, "NA")</f>
        <v>2.4942160387681728E-3</v>
      </c>
      <c r="F112" s="115">
        <v>293.70999999999998</v>
      </c>
      <c r="G112" s="116">
        <f>IFERROR(F112/F148, "NA")</f>
        <v>2.3517745845159531E-3</v>
      </c>
      <c r="H112" s="115">
        <v>229.46</v>
      </c>
      <c r="I112" s="116">
        <f>IFERROR(H112/H148, "NA")</f>
        <v>1.8074130717097791E-3</v>
      </c>
      <c r="J112" s="115">
        <v>119.12</v>
      </c>
      <c r="K112" s="116">
        <f>IFERROR(J112/J148, "NA")</f>
        <v>9.6670099732022903E-4</v>
      </c>
      <c r="L112" s="115">
        <v>117.38</v>
      </c>
      <c r="M112" s="116">
        <f>IFERROR(L112/L148, "NA")</f>
        <v>9.1326630963851527E-4</v>
      </c>
      <c r="N112" s="115">
        <v>197.78</v>
      </c>
      <c r="O112" s="116">
        <f>IFERROR(N112/N148, "NA")</f>
        <v>1.7778166096503315E-3</v>
      </c>
      <c r="P112" s="115">
        <v>1437.61</v>
      </c>
      <c r="Q112" s="116">
        <f>IFERROR(P112/P148, "NA")</f>
        <v>1.0642842146190885E-2</v>
      </c>
      <c r="R112" s="115">
        <v>1625.3200000000002</v>
      </c>
      <c r="S112" s="116">
        <f>IFERROR(R112/R148, "NA")</f>
        <v>1.2595029189917036E-2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406.33000000000004</v>
      </c>
      <c r="AC112" s="116">
        <f>IFERROR(AB112/AB148, "NA")</f>
        <v>3.039669660254657E-3</v>
      </c>
      <c r="AD112" s="118">
        <f t="shared" si="43"/>
        <v>-406.33000000000004</v>
      </c>
      <c r="AE112" s="119">
        <f>IFERROR(AD112/AD148, "NA")</f>
        <v>2.7555923272287095E-2</v>
      </c>
      <c r="AF112" s="118">
        <f t="shared" si="44"/>
        <v>-1</v>
      </c>
      <c r="AG112" s="117">
        <f t="shared" si="45"/>
        <v>437.15125</v>
      </c>
      <c r="AH112" s="116">
        <f>IFERROR(AG112/AG148, "NA")</f>
        <v>3.3862094120918414E-3</v>
      </c>
      <c r="AI112" s="118">
        <f t="shared" si="46"/>
        <v>-437.15125</v>
      </c>
      <c r="AJ112" s="119">
        <f>IFERROR(AI112/AI148, "NA")</f>
        <v>4.2995112719236415E-2</v>
      </c>
      <c r="AK112" s="118">
        <f t="shared" si="47"/>
        <v>-1</v>
      </c>
      <c r="AL112" s="119">
        <f>IFERROR(AK112/AK148, "NA")</f>
        <v>12.697121615014369</v>
      </c>
    </row>
    <row r="113" spans="1:38" ht="16.5" hidden="1" customHeight="1" x14ac:dyDescent="0.25">
      <c r="A113" s="2" t="s">
        <v>108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109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110.71</v>
      </c>
      <c r="G114" s="116">
        <f>IFERROR(F114/F148, "NA")</f>
        <v>8.8646952521794008E-4</v>
      </c>
      <c r="H114" s="115">
        <v>0</v>
      </c>
      <c r="I114" s="116">
        <f>IFERROR(H114/H148, "NA")</f>
        <v>0</v>
      </c>
      <c r="J114" s="115">
        <v>79.349999999999994</v>
      </c>
      <c r="K114" s="116">
        <f>IFERROR(J114/J148, "NA")</f>
        <v>6.4395335911148562E-4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110.71</v>
      </c>
      <c r="Q114" s="116">
        <f>IFERROR(P114/P148, "NA")</f>
        <v>8.1960271144802344E-4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98</v>
      </c>
      <c r="W114" s="116">
        <f>IFERROR(V114/V148, "NA")</f>
        <v>6.4737408227292256E-4</v>
      </c>
      <c r="X114" s="115">
        <v>0</v>
      </c>
      <c r="Y114" s="116">
        <f>IFERROR(X114/X148, "NA")</f>
        <v>0</v>
      </c>
      <c r="Z114" s="115">
        <v>98</v>
      </c>
      <c r="AA114" s="116">
        <f>IFERROR(Z114/Z148, "NA")</f>
        <v>2.4158264438729068E-4</v>
      </c>
      <c r="AB114" s="117">
        <f t="shared" si="42"/>
        <v>24.5</v>
      </c>
      <c r="AC114" s="116">
        <f>IFERROR(AB114/AB148, "NA")</f>
        <v>1.8327937065006051E-4</v>
      </c>
      <c r="AD114" s="118">
        <f t="shared" si="43"/>
        <v>-24.5</v>
      </c>
      <c r="AE114" s="119">
        <f>IFERROR(AD114/AD148, "NA")</f>
        <v>1.6615069528979739E-3</v>
      </c>
      <c r="AF114" s="118">
        <f t="shared" si="44"/>
        <v>-1</v>
      </c>
      <c r="AG114" s="117">
        <f t="shared" si="45"/>
        <v>36.0075</v>
      </c>
      <c r="AH114" s="116">
        <f>IFERROR(AG114/AG148, "NA")</f>
        <v>2.7891704623033098E-4</v>
      </c>
      <c r="AI114" s="118">
        <f t="shared" si="46"/>
        <v>-36.0075</v>
      </c>
      <c r="AJ114" s="119">
        <f>IFERROR(AI114/AI148, "NA")</f>
        <v>3.5414436564870973E-3</v>
      </c>
      <c r="AK114" s="118">
        <f t="shared" si="47"/>
        <v>-1</v>
      </c>
      <c r="AL114" s="119">
        <f>IFERROR(AK114/AK148, "NA")</f>
        <v>12.697121615014369</v>
      </c>
    </row>
    <row r="115" spans="1:38" ht="16.5" hidden="1" customHeight="1" x14ac:dyDescent="0.25">
      <c r="A115" s="2" t="s">
        <v>110</v>
      </c>
      <c r="B115" s="115">
        <v>129.84</v>
      </c>
      <c r="C115" s="116">
        <f>IFERROR(B115/B148, "NA")</f>
        <v>1.145400090351107E-3</v>
      </c>
      <c r="D115" s="115">
        <v>44.82</v>
      </c>
      <c r="E115" s="116">
        <f>IFERROR(D115/D148, "NA")</f>
        <v>3.5032046271689854E-4</v>
      </c>
      <c r="F115" s="115">
        <v>106.63</v>
      </c>
      <c r="G115" s="116">
        <f>IFERROR(F115/F148, "NA")</f>
        <v>8.5380042881391877E-4</v>
      </c>
      <c r="H115" s="115">
        <v>0</v>
      </c>
      <c r="I115" s="116">
        <f>IFERROR(H115/H148, "NA")</f>
        <v>0</v>
      </c>
      <c r="J115" s="115">
        <v>37.07</v>
      </c>
      <c r="K115" s="116">
        <f>IFERROR(J115/J148, "NA")</f>
        <v>3.0083618175504441E-4</v>
      </c>
      <c r="L115" s="115">
        <v>0</v>
      </c>
      <c r="M115" s="116">
        <f>IFERROR(L115/L148, "NA")</f>
        <v>0</v>
      </c>
      <c r="N115" s="115">
        <v>30.66</v>
      </c>
      <c r="O115" s="116">
        <f>IFERROR(N115/N148, "NA")</f>
        <v>2.7559842881928992E-4</v>
      </c>
      <c r="P115" s="115">
        <v>64.790000000000006</v>
      </c>
      <c r="Q115" s="116">
        <f>IFERROR(P115/P148, "NA")</f>
        <v>4.7965007383901582E-4</v>
      </c>
      <c r="R115" s="115">
        <v>168.44</v>
      </c>
      <c r="S115" s="116">
        <f>IFERROR(R115/R148, "NA")</f>
        <v>1.3052855540752746E-3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42.11</v>
      </c>
      <c r="AC115" s="116">
        <f>IFERROR(AB115/AB148, "NA")</f>
        <v>3.1501609379894078E-4</v>
      </c>
      <c r="AD115" s="118">
        <f t="shared" si="43"/>
        <v>-42.11</v>
      </c>
      <c r="AE115" s="119">
        <f>IFERROR(AD115/AD148, "NA")</f>
        <v>2.8557574606748442E-3</v>
      </c>
      <c r="AF115" s="118">
        <f t="shared" si="44"/>
        <v>-1</v>
      </c>
      <c r="AG115" s="117">
        <f t="shared" si="45"/>
        <v>37.620000000000005</v>
      </c>
      <c r="AH115" s="116">
        <f>IFERROR(AG115/AG148, "NA")</f>
        <v>2.9140760339332232E-4</v>
      </c>
      <c r="AI115" s="118">
        <f t="shared" si="46"/>
        <v>-37.620000000000005</v>
      </c>
      <c r="AJ115" s="119">
        <f>IFERROR(AI115/AI148, "NA")</f>
        <v>3.7000377798248872E-3</v>
      </c>
      <c r="AK115" s="118">
        <f t="shared" si="47"/>
        <v>-1</v>
      </c>
      <c r="AL115" s="119">
        <f>IFERROR(AK115/AK148, "NA")</f>
        <v>12.697121615014369</v>
      </c>
    </row>
    <row r="116" spans="1:38" ht="16.5" hidden="1" customHeight="1" x14ac:dyDescent="0.25">
      <c r="A116" s="2" t="s">
        <v>111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781.8</v>
      </c>
      <c r="I116" s="116">
        <f>IFERROR(H116/H148, "NA")</f>
        <v>6.1580909067493472E-3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781.8</v>
      </c>
      <c r="S116" s="116">
        <f>IFERROR(R116/R148, "NA")</f>
        <v>6.0583723947758824E-3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195.45</v>
      </c>
      <c r="AC116" s="116">
        <f>IFERROR(AB116/AB148, "NA")</f>
        <v>1.4621205303491562E-3</v>
      </c>
      <c r="AD116" s="118">
        <f t="shared" si="43"/>
        <v>-195.45</v>
      </c>
      <c r="AE116" s="119">
        <f>IFERROR(AD116/AD148, "NA")</f>
        <v>1.325475648750649E-2</v>
      </c>
      <c r="AF116" s="118">
        <f t="shared" si="44"/>
        <v>-1</v>
      </c>
      <c r="AG116" s="117">
        <f t="shared" si="45"/>
        <v>97.724999999999994</v>
      </c>
      <c r="AH116" s="116">
        <f>IFERROR(AG116/AG148, "NA")</f>
        <v>7.5698585969198346E-4</v>
      </c>
      <c r="AI116" s="118">
        <f t="shared" si="46"/>
        <v>-97.724999999999994</v>
      </c>
      <c r="AJ116" s="119">
        <f>IFERROR(AI116/AI148, "NA")</f>
        <v>9.6115415213553178E-3</v>
      </c>
      <c r="AK116" s="118">
        <f t="shared" si="47"/>
        <v>-1</v>
      </c>
      <c r="AL116" s="119">
        <f>IFERROR(AK116/AK148, "NA")</f>
        <v>12.697121615014369</v>
      </c>
    </row>
    <row r="117" spans="1:38" ht="16.5" hidden="1" customHeight="1" x14ac:dyDescent="0.25">
      <c r="A117" s="2" t="s">
        <v>112</v>
      </c>
      <c r="B117" s="115">
        <v>531</v>
      </c>
      <c r="C117" s="116">
        <f>IFERROR(B117/B148, "NA")</f>
        <v>4.6842841033305441E-3</v>
      </c>
      <c r="D117" s="115">
        <v>310.5</v>
      </c>
      <c r="E117" s="116">
        <f>IFERROR(D117/D148, "NA")</f>
        <v>2.4269188682194778E-3</v>
      </c>
      <c r="F117" s="115">
        <v>111.61</v>
      </c>
      <c r="G117" s="116">
        <f>IFERROR(F117/F148, "NA")</f>
        <v>8.9367594354235658E-4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531</v>
      </c>
      <c r="M117" s="116">
        <f>IFERROR(L117/L148, "NA")</f>
        <v>4.1314057796732967E-3</v>
      </c>
      <c r="N117" s="115">
        <v>0</v>
      </c>
      <c r="O117" s="116">
        <f>IFERROR(N117/N148, "NA")</f>
        <v>0</v>
      </c>
      <c r="P117" s="115">
        <v>111.61</v>
      </c>
      <c r="Q117" s="116">
        <f>IFERROR(P117/P148, "NA")</f>
        <v>8.2626554624436719E-4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80.326250000000002</v>
      </c>
      <c r="AH117" s="116">
        <f>IFERROR(AG117/AG148, "NA")</f>
        <v>6.2221371616355276E-4</v>
      </c>
      <c r="AI117" s="118">
        <f t="shared" si="46"/>
        <v>-80.326250000000002</v>
      </c>
      <c r="AJ117" s="119">
        <f>IFERROR(AI117/AI148, "NA")</f>
        <v>7.9003232246586605E-3</v>
      </c>
      <c r="AK117" s="118">
        <f t="shared" si="47"/>
        <v>-1</v>
      </c>
      <c r="AL117" s="119">
        <f>IFERROR(AK117/AK148, "NA")</f>
        <v>12.697121615014369</v>
      </c>
    </row>
    <row r="118" spans="1:38" ht="16.5" hidden="1" customHeight="1" x14ac:dyDescent="0.25">
      <c r="A118" s="2" t="s">
        <v>113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1635.64</v>
      </c>
      <c r="I118" s="116">
        <f>IFERROR(H118/H148, "NA")</f>
        <v>1.2883627284107833E-2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1635.64</v>
      </c>
      <c r="S118" s="116">
        <f>IFERROR(R118/R148, "NA")</f>
        <v>1.2675001565350763E-2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408.91</v>
      </c>
      <c r="AC118" s="116">
        <f>IFERROR(AB118/AB148, "NA")</f>
        <v>3.0589701001027042E-3</v>
      </c>
      <c r="AD118" s="118">
        <f t="shared" si="43"/>
        <v>-408.91</v>
      </c>
      <c r="AE118" s="119">
        <f>IFERROR(AD118/AD148, "NA")</f>
        <v>2.7730890126918799E-2</v>
      </c>
      <c r="AF118" s="118">
        <f t="shared" si="44"/>
        <v>-1</v>
      </c>
      <c r="AG118" s="117">
        <f t="shared" si="45"/>
        <v>204.45500000000001</v>
      </c>
      <c r="AH118" s="116">
        <f>IFERROR(AG118/AG148, "NA")</f>
        <v>1.5837251874476796E-3</v>
      </c>
      <c r="AI118" s="118">
        <f t="shared" si="46"/>
        <v>-204.45500000000001</v>
      </c>
      <c r="AJ118" s="119">
        <f>IFERROR(AI118/AI148, "NA")</f>
        <v>2.0108751309784616E-2</v>
      </c>
      <c r="AK118" s="118">
        <f t="shared" si="47"/>
        <v>-1</v>
      </c>
      <c r="AL118" s="119">
        <f>IFERROR(AK118/AK148, "NA")</f>
        <v>12.697121615014369</v>
      </c>
    </row>
    <row r="119" spans="1:38" ht="16.5" hidden="1" customHeight="1" x14ac:dyDescent="0.25">
      <c r="A119" s="2" t="s">
        <v>114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118.74</v>
      </c>
      <c r="S119" s="116">
        <f>IFERROR(R119/R148, "NA")</f>
        <v>9.2014727315897706E-4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29.684999999999999</v>
      </c>
      <c r="AC119" s="116">
        <f>IFERROR(AB119/AB148, "NA")</f>
        <v>2.2206727011212435E-4</v>
      </c>
      <c r="AD119" s="118">
        <f t="shared" si="43"/>
        <v>-29.684999999999999</v>
      </c>
      <c r="AE119" s="119">
        <f>IFERROR(AD119/AD148, "NA")</f>
        <v>2.0131360774194433E-3</v>
      </c>
      <c r="AF119" s="118">
        <f t="shared" si="44"/>
        <v>-1</v>
      </c>
      <c r="AG119" s="117">
        <f t="shared" si="45"/>
        <v>14.842499999999999</v>
      </c>
      <c r="AH119" s="116">
        <f>IFERROR(AG119/AG148, "NA")</f>
        <v>1.149712215142314E-4</v>
      </c>
      <c r="AI119" s="118">
        <f t="shared" si="46"/>
        <v>-14.842499999999999</v>
      </c>
      <c r="AJ119" s="119">
        <f>IFERROR(AI119/AI148, "NA")</f>
        <v>1.4598035817929528E-3</v>
      </c>
      <c r="AK119" s="118">
        <f t="shared" si="47"/>
        <v>-1</v>
      </c>
      <c r="AL119" s="119">
        <f>IFERROR(AK119/AK148, "NA")</f>
        <v>12.697121615014369</v>
      </c>
    </row>
    <row r="120" spans="1:38" ht="16.5" hidden="1" customHeight="1" x14ac:dyDescent="0.25">
      <c r="A120" s="2" t="s">
        <v>115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39.25</v>
      </c>
      <c r="G120" s="116">
        <f>IFERROR(F120/F148, "NA")</f>
        <v>3.1427991025927333E-4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39.25</v>
      </c>
      <c r="Q120" s="116">
        <f>IFERROR(P120/P148, "NA")</f>
        <v>2.9057362861832642E-4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4.90625</v>
      </c>
      <c r="AH120" s="116">
        <f>IFERROR(AG120/AG148, "NA")</f>
        <v>3.8004214623830072E-5</v>
      </c>
      <c r="AI120" s="118">
        <f t="shared" si="46"/>
        <v>-4.90625</v>
      </c>
      <c r="AJ120" s="119">
        <f>IFERROR(AI120/AI148, "NA")</f>
        <v>4.82544134961878E-4</v>
      </c>
      <c r="AK120" s="118">
        <f t="shared" si="47"/>
        <v>-1</v>
      </c>
      <c r="AL120" s="119">
        <f>IFERROR(AK120/AK148, "NA")</f>
        <v>12.697121615014369</v>
      </c>
    </row>
    <row r="121" spans="1:38" ht="16.5" hidden="1" customHeight="1" x14ac:dyDescent="0.25">
      <c r="A121" s="2" t="s">
        <v>116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117</v>
      </c>
      <c r="B122" s="115">
        <v>963.58</v>
      </c>
      <c r="C122" s="116">
        <f>IFERROR(B122/B148, "NA")</f>
        <v>8.5003436464919889E-3</v>
      </c>
      <c r="D122" s="115">
        <v>259.7</v>
      </c>
      <c r="E122" s="116">
        <f>IFERROR(D122/D148, "NA")</f>
        <v>2.0298577458183523E-3</v>
      </c>
      <c r="F122" s="115">
        <v>1948.44</v>
      </c>
      <c r="G122" s="116">
        <f>IFERROR(F122/F148, "NA")</f>
        <v>1.5601415244473338E-2</v>
      </c>
      <c r="H122" s="115">
        <v>1569.44</v>
      </c>
      <c r="I122" s="116">
        <f>IFERROR(H122/H148, "NA")</f>
        <v>1.2362182390238804E-2</v>
      </c>
      <c r="J122" s="115">
        <v>192.05</v>
      </c>
      <c r="K122" s="116">
        <f>IFERROR(J122/J148, "NA")</f>
        <v>1.5585537821973638E-3</v>
      </c>
      <c r="L122" s="115">
        <v>1453.97</v>
      </c>
      <c r="M122" s="116">
        <f>IFERROR(L122/L148, "NA")</f>
        <v>1.1312504823863622E-2</v>
      </c>
      <c r="N122" s="115">
        <v>23.57</v>
      </c>
      <c r="O122" s="116">
        <f>IFERROR(N122/N148, "NA")</f>
        <v>2.1186741576225256E-4</v>
      </c>
      <c r="P122" s="115">
        <v>2810.68</v>
      </c>
      <c r="Q122" s="116">
        <f>IFERROR(P122/P148, "NA")</f>
        <v>2.0807885005986182E-2</v>
      </c>
      <c r="R122" s="115">
        <v>1411.28</v>
      </c>
      <c r="S122" s="116">
        <f>IFERROR(R122/R148, "NA")</f>
        <v>1.093637732578576E-2</v>
      </c>
      <c r="T122" s="115">
        <v>24.37</v>
      </c>
      <c r="U122" s="116">
        <f>IFERROR(T122/T148, "NA")</f>
        <v>1.8005513662136031E-4</v>
      </c>
      <c r="V122" s="115">
        <v>0</v>
      </c>
      <c r="W122" s="116">
        <f>IFERROR(V122/V148, "NA")</f>
        <v>0</v>
      </c>
      <c r="X122" s="115">
        <v>1660</v>
      </c>
      <c r="Y122" s="116">
        <f>IFERROR(X122/X148, "NA")</f>
        <v>1.3957783255133312E-2</v>
      </c>
      <c r="Z122" s="115">
        <v>1684.37</v>
      </c>
      <c r="AA122" s="116">
        <f>IFERROR(Z122/Z148, "NA")</f>
        <v>4.1521893747614369E-3</v>
      </c>
      <c r="AB122" s="117">
        <f t="shared" si="42"/>
        <v>773.91249999999991</v>
      </c>
      <c r="AC122" s="116">
        <f>IFERROR(AB122/AB148, "NA")</f>
        <v>5.7894773852332632E-3</v>
      </c>
      <c r="AD122" s="118">
        <f t="shared" si="43"/>
        <v>886.08750000000009</v>
      </c>
      <c r="AE122" s="119">
        <f>IFERROR(AD122/AD148, "NA")</f>
        <v>-6.0091450699019743E-2</v>
      </c>
      <c r="AF122" s="118">
        <f t="shared" si="44"/>
        <v>1.1449453265065497</v>
      </c>
      <c r="AG122" s="117">
        <f t="shared" si="45"/>
        <v>946.9899999999999</v>
      </c>
      <c r="AH122" s="116">
        <f>IFERROR(AG122/AG148, "NA")</f>
        <v>7.3354621567634825E-3</v>
      </c>
      <c r="AI122" s="118">
        <f t="shared" si="46"/>
        <v>713.0100000000001</v>
      </c>
      <c r="AJ122" s="119">
        <f>IFERROR(AI122/AI148, "NA")</f>
        <v>-7.0126633104543937E-2</v>
      </c>
      <c r="AK122" s="118">
        <f t="shared" si="47"/>
        <v>0.7529224173433724</v>
      </c>
      <c r="AL122" s="119">
        <f>IFERROR(AK122/AK148, "NA")</f>
        <v>-9.5599474996794029</v>
      </c>
    </row>
    <row r="123" spans="1:38" ht="16.5" hidden="1" customHeight="1" x14ac:dyDescent="0.25">
      <c r="A123" s="2" t="s">
        <v>118</v>
      </c>
      <c r="B123" s="115">
        <v>0</v>
      </c>
      <c r="C123" s="116">
        <f>IFERROR(B123/B148, "NA")</f>
        <v>0</v>
      </c>
      <c r="D123" s="115">
        <v>253.83</v>
      </c>
      <c r="E123" s="116">
        <f>IFERROR(D123/D148, "NA")</f>
        <v>1.9839768641550727E-3</v>
      </c>
      <c r="F123" s="115">
        <v>68.12</v>
      </c>
      <c r="G123" s="116">
        <f>IFERROR(F123/F148, "NA")</f>
        <v>5.4544579584361018E-4</v>
      </c>
      <c r="H123" s="115">
        <v>0</v>
      </c>
      <c r="I123" s="116">
        <f>IFERROR(H123/H148, "NA")</f>
        <v>0</v>
      </c>
      <c r="J123" s="115">
        <v>189.51</v>
      </c>
      <c r="K123" s="116">
        <f>IFERROR(J123/J148, "NA")</f>
        <v>1.5379407824224025E-3</v>
      </c>
      <c r="L123" s="115">
        <v>0</v>
      </c>
      <c r="M123" s="116">
        <f>IFERROR(L123/L148, "NA")</f>
        <v>0</v>
      </c>
      <c r="N123" s="115">
        <v>4.99</v>
      </c>
      <c r="O123" s="116">
        <f>IFERROR(N123/N148, "NA")</f>
        <v>4.4854408343387371E-5</v>
      </c>
      <c r="P123" s="115">
        <v>0</v>
      </c>
      <c r="Q123" s="116">
        <f>IFERROR(P123/P148, "NA")</f>
        <v>0</v>
      </c>
      <c r="R123" s="115">
        <v>33.35</v>
      </c>
      <c r="S123" s="116">
        <f>IFERROR(R123/R148, "NA")</f>
        <v>2.584378605343767E-4</v>
      </c>
      <c r="T123" s="115">
        <v>0</v>
      </c>
      <c r="U123" s="116">
        <f>IFERROR(T123/T148, "NA")</f>
        <v>0</v>
      </c>
      <c r="V123" s="115">
        <v>329.41</v>
      </c>
      <c r="W123" s="116">
        <f>IFERROR(V123/V148, "NA")</f>
        <v>2.1760356779747291E-3</v>
      </c>
      <c r="X123" s="115">
        <v>0</v>
      </c>
      <c r="Y123" s="116">
        <f>IFERROR(X123/X148, "NA")</f>
        <v>0</v>
      </c>
      <c r="Z123" s="115">
        <v>329.41</v>
      </c>
      <c r="AA123" s="116">
        <f>IFERROR(Z123/Z148, "NA")</f>
        <v>8.120381519144636E-4</v>
      </c>
      <c r="AB123" s="117">
        <f t="shared" si="42"/>
        <v>90.690000000000012</v>
      </c>
      <c r="AC123" s="116">
        <f>IFERROR(AB123/AB148, "NA")</f>
        <v>6.7843290303077513E-4</v>
      </c>
      <c r="AD123" s="118">
        <f t="shared" si="43"/>
        <v>-90.690000000000012</v>
      </c>
      <c r="AE123" s="119">
        <f>IFERROR(AD123/AD148, "NA")</f>
        <v>6.1502883901353991E-3</v>
      </c>
      <c r="AF123" s="118">
        <f t="shared" si="44"/>
        <v>-1</v>
      </c>
      <c r="AG123" s="117">
        <f t="shared" si="45"/>
        <v>69.657499999999999</v>
      </c>
      <c r="AH123" s="116">
        <f>IFERROR(AG123/AG148, "NA")</f>
        <v>5.3957270423631964E-4</v>
      </c>
      <c r="AI123" s="118">
        <f t="shared" si="46"/>
        <v>-69.657499999999999</v>
      </c>
      <c r="AJ123" s="119">
        <f>IFERROR(AI123/AI148, "NA")</f>
        <v>6.8510202458307292E-3</v>
      </c>
      <c r="AK123" s="118">
        <f t="shared" si="47"/>
        <v>-1</v>
      </c>
      <c r="AL123" s="119">
        <f>IFERROR(AK123/AK148, "NA")</f>
        <v>12.697121615014369</v>
      </c>
    </row>
    <row r="124" spans="1:38" ht="16.5" hidden="1" customHeight="1" x14ac:dyDescent="0.25">
      <c r="A124" s="2" t="s">
        <v>119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10900</v>
      </c>
      <c r="G124" s="116">
        <f>IFERROR(F124/F148, "NA")</f>
        <v>8.727773304015489E-2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9150</v>
      </c>
      <c r="Q124" s="116">
        <f>IFERROR(P124/P148, "NA")</f>
        <v>6.7738820429495208E-2</v>
      </c>
      <c r="R124" s="115">
        <v>0</v>
      </c>
      <c r="S124" s="116">
        <f>IFERROR(R124/R148, "NA")</f>
        <v>0</v>
      </c>
      <c r="T124" s="115">
        <v>7000</v>
      </c>
      <c r="U124" s="116">
        <f>IFERROR(T124/T148, "NA")</f>
        <v>5.1718750773472391E-2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7000</v>
      </c>
      <c r="AA124" s="116">
        <f>IFERROR(Z124/Z148, "NA")</f>
        <v>1.7255903170520764E-2</v>
      </c>
      <c r="AB124" s="117">
        <f t="shared" si="42"/>
        <v>1750</v>
      </c>
      <c r="AC124" s="116">
        <f>IFERROR(AB124/AB148, "NA")</f>
        <v>1.3091383617861465E-2</v>
      </c>
      <c r="AD124" s="118">
        <f t="shared" si="43"/>
        <v>-1750</v>
      </c>
      <c r="AE124" s="119">
        <f>IFERROR(AD124/AD148, "NA")</f>
        <v>0.118679068064141</v>
      </c>
      <c r="AF124" s="118">
        <f t="shared" si="44"/>
        <v>-1</v>
      </c>
      <c r="AG124" s="117">
        <f t="shared" si="45"/>
        <v>2018.75</v>
      </c>
      <c r="AH124" s="116">
        <f>IFERROR(AG124/AG148, "NA")</f>
        <v>1.5637402959868936E-2</v>
      </c>
      <c r="AI124" s="118">
        <f t="shared" si="46"/>
        <v>-2018.75</v>
      </c>
      <c r="AJ124" s="119">
        <f>IFERROR(AI124/AI148, "NA")</f>
        <v>0.19855000712444151</v>
      </c>
      <c r="AK124" s="118">
        <f t="shared" si="47"/>
        <v>-1</v>
      </c>
      <c r="AL124" s="119">
        <f>IFERROR(AK124/AK148, "NA")</f>
        <v>12.697121615014369</v>
      </c>
    </row>
    <row r="125" spans="1:38" ht="16.5" hidden="1" customHeight="1" x14ac:dyDescent="0.25">
      <c r="A125" s="2" t="s">
        <v>120</v>
      </c>
      <c r="B125" s="115">
        <v>0</v>
      </c>
      <c r="C125" s="116">
        <f>IFERROR(B125/B148, "NA")</f>
        <v>0</v>
      </c>
      <c r="D125" s="115">
        <v>1525</v>
      </c>
      <c r="E125" s="116">
        <f>IFERROR(D125/D148, "NA")</f>
        <v>1.191964983586056E-2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894.5</v>
      </c>
      <c r="M125" s="116">
        <f>IFERROR(L125/L148, "NA")</f>
        <v>6.9595903388281815E-3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2013</v>
      </c>
      <c r="W125" s="116">
        <f>IFERROR(V125/V148, "NA")</f>
        <v>1.329759211852442E-2</v>
      </c>
      <c r="X125" s="115">
        <v>0</v>
      </c>
      <c r="Y125" s="116">
        <f>IFERROR(X125/X148, "NA")</f>
        <v>0</v>
      </c>
      <c r="Z125" s="115">
        <v>2013</v>
      </c>
      <c r="AA125" s="116">
        <f>IFERROR(Z125/Z148, "NA")</f>
        <v>4.9623047260368997E-3</v>
      </c>
      <c r="AB125" s="117">
        <f t="shared" si="42"/>
        <v>503.25</v>
      </c>
      <c r="AC125" s="116">
        <f>IFERROR(AB125/AB148, "NA")</f>
        <v>3.7647078889650187E-3</v>
      </c>
      <c r="AD125" s="118">
        <f t="shared" si="43"/>
        <v>-503.25</v>
      </c>
      <c r="AE125" s="119">
        <f>IFERROR(AD125/AD148, "NA")</f>
        <v>3.4128709144730832E-2</v>
      </c>
      <c r="AF125" s="118">
        <f t="shared" si="44"/>
        <v>-1</v>
      </c>
      <c r="AG125" s="117">
        <f t="shared" si="45"/>
        <v>363.4375</v>
      </c>
      <c r="AH125" s="116">
        <f>IFERROR(AG125/AG148, "NA")</f>
        <v>2.8152166628990049E-3</v>
      </c>
      <c r="AI125" s="118">
        <f t="shared" si="46"/>
        <v>-363.4375</v>
      </c>
      <c r="AJ125" s="119">
        <f>IFERROR(AI125/AI148, "NA")</f>
        <v>3.5745148341443572E-2</v>
      </c>
      <c r="AK125" s="118">
        <f t="shared" si="47"/>
        <v>-1</v>
      </c>
      <c r="AL125" s="119">
        <f>IFERROR(AK125/AK148, "NA")</f>
        <v>12.697121615014369</v>
      </c>
    </row>
    <row r="126" spans="1:38" ht="16.5" hidden="1" customHeight="1" x14ac:dyDescent="0.25">
      <c r="A126" s="2" t="s">
        <v>121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122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123</v>
      </c>
      <c r="B128" s="115">
        <v>3261.7</v>
      </c>
      <c r="C128" s="116">
        <f>IFERROR(B128/B148, "NA")</f>
        <v>2.8773501807595546E-2</v>
      </c>
      <c r="D128" s="115">
        <v>5009.7300000000005</v>
      </c>
      <c r="E128" s="116">
        <f>IFERROR(D128/D148, "NA")</f>
        <v>3.9156870408003752E-2</v>
      </c>
      <c r="F128" s="115">
        <v>11238.999999999998</v>
      </c>
      <c r="G128" s="116">
        <f>IFERROR(F128/F148, "NA")</f>
        <v>8.9992150609018398E-2</v>
      </c>
      <c r="H128" s="115">
        <v>3932.6200000000013</v>
      </c>
      <c r="I128" s="116">
        <f>IFERROR(H128/H148, "NA")</f>
        <v>3.0976504811589443E-2</v>
      </c>
      <c r="J128" s="115">
        <v>3940.389999999999</v>
      </c>
      <c r="K128" s="116">
        <f>IFERROR(J128/J148, "NA")</f>
        <v>3.197766070207065E-2</v>
      </c>
      <c r="L128" s="115">
        <v>4802.8999999999996</v>
      </c>
      <c r="M128" s="116">
        <f>IFERROR(L128/L148, "NA")</f>
        <v>3.7368604179270952E-2</v>
      </c>
      <c r="N128" s="115">
        <v>3847.4400000000005</v>
      </c>
      <c r="O128" s="116">
        <f>IFERROR(N128/N148, "NA")</f>
        <v>3.4584097161659784E-2</v>
      </c>
      <c r="P128" s="115">
        <v>3648.4</v>
      </c>
      <c r="Q128" s="116">
        <f>IFERROR(P128/P148, "NA")</f>
        <v>2.7009651634422985E-2</v>
      </c>
      <c r="R128" s="115">
        <v>2845.9200000000023</v>
      </c>
      <c r="S128" s="116">
        <f>IFERROR(R128/R148, "NA")</f>
        <v>2.2053777392863384E-2</v>
      </c>
      <c r="T128" s="115">
        <v>3357.6200000000008</v>
      </c>
      <c r="U128" s="116">
        <f>IFERROR(T128/T148, "NA")</f>
        <v>2.4807415996003772E-2</v>
      </c>
      <c r="V128" s="115">
        <v>5502.2400000000007</v>
      </c>
      <c r="W128" s="116">
        <f>IFERROR(V128/V148, "NA")</f>
        <v>3.6347016024952716E-2</v>
      </c>
      <c r="X128" s="115">
        <v>2409.4700000000003</v>
      </c>
      <c r="Y128" s="116">
        <f>IFERROR(X128/X148, "NA")</f>
        <v>2.0259554228762688E-2</v>
      </c>
      <c r="Z128" s="115">
        <v>11269.33</v>
      </c>
      <c r="AA128" s="116">
        <f>IFERROR(Z128/Z148, "NA")</f>
        <v>2.7780352468092108E-2</v>
      </c>
      <c r="AB128" s="117">
        <f t="shared" si="42"/>
        <v>3528.8125000000009</v>
      </c>
      <c r="AC128" s="116">
        <f>IFERROR(AB128/AB148, "NA")</f>
        <v>2.6398307516002729E-2</v>
      </c>
      <c r="AD128" s="118">
        <f t="shared" si="43"/>
        <v>-1119.3425000000007</v>
      </c>
      <c r="AE128" s="119">
        <f>IFERROR(AD128/AD148, "NA")</f>
        <v>7.5910014139763324E-2</v>
      </c>
      <c r="AF128" s="118">
        <f t="shared" si="44"/>
        <v>-0.31720089973610111</v>
      </c>
      <c r="AG128" s="117">
        <f t="shared" si="45"/>
        <v>3794.297500000001</v>
      </c>
      <c r="AH128" s="116">
        <f>IFERROR(AG128/AG148, "NA")</f>
        <v>2.9390939421485233E-2</v>
      </c>
      <c r="AI128" s="118">
        <f t="shared" si="46"/>
        <v>-1384.8275000000008</v>
      </c>
      <c r="AJ128" s="119">
        <f>IFERROR(AI128/AI148, "NA")</f>
        <v>0.13620186253430228</v>
      </c>
      <c r="AK128" s="118">
        <f t="shared" si="47"/>
        <v>-0.36497599357983934</v>
      </c>
      <c r="AL128" s="119">
        <f>IFERROR(AK128/AK148, "NA")</f>
        <v>4.6341445770439238</v>
      </c>
    </row>
    <row r="129" spans="1:38" ht="16.5" hidden="1" customHeight="1" x14ac:dyDescent="0.25">
      <c r="A129" s="2" t="s">
        <v>124</v>
      </c>
      <c r="B129" s="115">
        <v>256.25</v>
      </c>
      <c r="C129" s="116">
        <f>IFERROR(B129/B148, "NA")</f>
        <v>2.2605419990178004E-3</v>
      </c>
      <c r="D129" s="115">
        <v>268.75</v>
      </c>
      <c r="E129" s="116">
        <f>IFERROR(D129/D148, "NA")</f>
        <v>2.1005940284508362E-3</v>
      </c>
      <c r="F129" s="115">
        <v>6256.25</v>
      </c>
      <c r="G129" s="116">
        <f>IFERROR(F129/F148, "NA")</f>
        <v>5.0094616269033852E-2</v>
      </c>
      <c r="H129" s="115">
        <v>4808</v>
      </c>
      <c r="I129" s="116">
        <f>IFERROR(H129/H148, "NA")</f>
        <v>3.7871707699732492E-2</v>
      </c>
      <c r="J129" s="115">
        <v>-106.25</v>
      </c>
      <c r="K129" s="116">
        <f>IFERROR(J129/J148, "NA")</f>
        <v>-8.6225638822426398E-4</v>
      </c>
      <c r="L129" s="115">
        <v>287.5</v>
      </c>
      <c r="M129" s="116">
        <f>IFERROR(L129/L148, "NA")</f>
        <v>2.2368722441733955E-3</v>
      </c>
      <c r="N129" s="115">
        <v>681.25</v>
      </c>
      <c r="O129" s="116">
        <f>IFERROR(N129/N148, "NA")</f>
        <v>6.1236604577019332E-3</v>
      </c>
      <c r="P129" s="115">
        <v>12050</v>
      </c>
      <c r="Q129" s="116">
        <f>IFERROR(P129/P148, "NA")</f>
        <v>8.9207954773269649E-2</v>
      </c>
      <c r="R129" s="115">
        <v>2651.75</v>
      </c>
      <c r="S129" s="116">
        <f>IFERROR(R129/R148, "NA")</f>
        <v>2.0549103348486759E-2</v>
      </c>
      <c r="T129" s="115">
        <v>6000</v>
      </c>
      <c r="U129" s="116">
        <f>IFERROR(T129/T148, "NA")</f>
        <v>4.4330357805833477E-2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6000</v>
      </c>
      <c r="AA129" s="116">
        <f>IFERROR(Z129/Z148, "NA")</f>
        <v>1.4790774146160654E-2</v>
      </c>
      <c r="AB129" s="117">
        <f t="shared" si="42"/>
        <v>2162.9375</v>
      </c>
      <c r="AC129" s="116">
        <f>IFERROR(AB129/AB148, "NA")</f>
        <v>1.6180482602261848E-2</v>
      </c>
      <c r="AD129" s="118">
        <f t="shared" si="43"/>
        <v>-2162.9375</v>
      </c>
      <c r="AE129" s="119">
        <f>IFERROR(AD129/AD148, "NA")</f>
        <v>0.14668308958913312</v>
      </c>
      <c r="AF129" s="118">
        <f t="shared" si="44"/>
        <v>-1</v>
      </c>
      <c r="AG129" s="117">
        <f t="shared" si="45"/>
        <v>2695.53125</v>
      </c>
      <c r="AH129" s="116">
        <f>IFERROR(AG129/AG148, "NA")</f>
        <v>2.0879805992405801E-2</v>
      </c>
      <c r="AI129" s="118">
        <f t="shared" si="46"/>
        <v>-2695.53125</v>
      </c>
      <c r="AJ129" s="119">
        <f>IFERROR(AI129/AI148, "NA")</f>
        <v>0.26511343598348225</v>
      </c>
      <c r="AK129" s="118">
        <f t="shared" si="47"/>
        <v>-1</v>
      </c>
      <c r="AL129" s="119">
        <f>IFERROR(AK129/AK148, "NA")</f>
        <v>12.697121615014369</v>
      </c>
    </row>
    <row r="130" spans="1:38" ht="16.5" hidden="1" customHeight="1" x14ac:dyDescent="0.25">
      <c r="A130" s="2" t="s">
        <v>125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231.02</v>
      </c>
      <c r="G130" s="116">
        <f>IFERROR(F130/F148, "NA")</f>
        <v>1.8498075125629892E-3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216.4</v>
      </c>
      <c r="Q130" s="116">
        <f>IFERROR(P130/P148, "NA")</f>
        <v>1.6020416110319961E-3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27.05</v>
      </c>
      <c r="AH130" s="116">
        <f>IFERROR(AG130/AG148, "NA")</f>
        <v>2.0953151705979179E-4</v>
      </c>
      <c r="AI130" s="118">
        <f t="shared" si="46"/>
        <v>-27.05</v>
      </c>
      <c r="AJ130" s="119">
        <f>IFERROR(AI130/AI148, "NA")</f>
        <v>2.6604471542866345E-3</v>
      </c>
      <c r="AK130" s="118">
        <f t="shared" si="47"/>
        <v>-1</v>
      </c>
      <c r="AL130" s="119">
        <f>IFERROR(AK130/AK148, "NA")</f>
        <v>12.697121615014369</v>
      </c>
    </row>
    <row r="131" spans="1:38" ht="16.5" hidden="1" customHeight="1" x14ac:dyDescent="0.25">
      <c r="A131" s="2" t="s">
        <v>126</v>
      </c>
      <c r="B131" s="115">
        <v>0</v>
      </c>
      <c r="C131" s="116">
        <f>IFERROR(B131/B148, "NA")</f>
        <v>0</v>
      </c>
      <c r="D131" s="115">
        <v>154.5</v>
      </c>
      <c r="E131" s="116">
        <f>IFERROR(D131/D148, "NA")</f>
        <v>1.2075973112396436E-3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1809</v>
      </c>
      <c r="M131" s="116">
        <f>IFERROR(L131/L148, "NA")</f>
        <v>1.407478918159886E-2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226.125</v>
      </c>
      <c r="AH131" s="116">
        <f>IFERROR(AG131/AG148, "NA")</f>
        <v>1.7515827835543594E-3</v>
      </c>
      <c r="AI131" s="118">
        <f t="shared" si="46"/>
        <v>-226.125</v>
      </c>
      <c r="AJ131" s="119">
        <f>IFERROR(AI131/AI148, "NA")</f>
        <v>2.2240059621555092E-2</v>
      </c>
      <c r="AK131" s="118">
        <f t="shared" si="47"/>
        <v>-1</v>
      </c>
      <c r="AL131" s="119">
        <f>IFERROR(AK131/AK148, "NA")</f>
        <v>12.697121615014369</v>
      </c>
    </row>
    <row r="132" spans="1:38" ht="16.5" hidden="1" customHeight="1" x14ac:dyDescent="0.25">
      <c r="A132" s="2" t="s">
        <v>127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128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129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130</v>
      </c>
      <c r="B135" s="121">
        <f>IFERROR(B110+B111+B112+B113+B114+B115+B116+B117+B118+B119+B120+B121+B122+B123+B124+B125+B126+B127+B128+B129+B130+B131+B132+B133+B134, "NA")</f>
        <v>14793.7</v>
      </c>
      <c r="C135" s="122">
        <f>IFERROR(B135/B148, "NA")</f>
        <v>0.1305045079838815</v>
      </c>
      <c r="D135" s="121">
        <f>IFERROR(D110+D111+D112+D113+D114+D115+D116+D117+D118+D119+D120+D121+D122+D123+D124+D125+D126+D127+D128+D129+D130+D131+D132+D133+D134, "NA")</f>
        <v>17247.37</v>
      </c>
      <c r="E135" s="122">
        <f>IFERROR(D135/D148, "NA")</f>
        <v>0.13480826950132874</v>
      </c>
      <c r="F135" s="121">
        <f>IFERROR(F110+F111+F112+F113+F114+F115+F116+F117+F118+F119+F120+F121+F122+F123+F124+F125+F126+F127+F128+F129+F130+F131+F132+F133+F134, "NA")</f>
        <v>45884.149999999994</v>
      </c>
      <c r="G135" s="122">
        <f>IFERROR(F135/F148, "NA")</f>
        <v>0.36740042151141489</v>
      </c>
      <c r="H135" s="121">
        <f>IFERROR(H110+H111+H112+H113+H114+H115+H116+H117+H118+H119+H120+H121+H122+H123+H124+H125+H126+H127+H128+H129+H130+H131+H132+H133+H134, "NA")</f>
        <v>21380.25</v>
      </c>
      <c r="I135" s="122">
        <f>IFERROR(H135/H148, "NA")</f>
        <v>0.16840819021364509</v>
      </c>
      <c r="J135" s="121">
        <f>IFERROR(J110+J111+J112+J113+J114+J115+J116+J117+J118+J119+J120+J121+J122+J123+J124+J125+J126+J127+J128+J129+J130+J131+J132+J133+J134, "NA")</f>
        <v>13552.699999999999</v>
      </c>
      <c r="K135" s="122">
        <f>IFERROR(J135/J148, "NA")</f>
        <v>0.10998496143705394</v>
      </c>
      <c r="L135" s="121">
        <f>IFERROR(L110+L111+L112+L113+L114+L115+L116+L117+L118+L119+L120+L121+L122+L123+L124+L125+L126+L127+L128+L129+L130+L131+L132+L133+L134, "NA")</f>
        <v>19133.379999999997</v>
      </c>
      <c r="M135" s="122">
        <f>IFERROR(L135/L148, "NA")</f>
        <v>0.14886583185816471</v>
      </c>
      <c r="N135" s="121">
        <f>IFERROR(N110+N111+N112+N113+N114+N115+N116+N117+N118+N119+N120+N121+N122+N123+N124+N125+N126+N127+N128+N129+N130+N131+N132+N133+N134, "NA")</f>
        <v>13887.14</v>
      </c>
      <c r="O135" s="122">
        <f>IFERROR(N135/N148, "NA")</f>
        <v>0.12482954875386543</v>
      </c>
      <c r="P135" s="121">
        <f>IFERROR(P110+P111+P112+P113+P114+P115+P116+P117+P118+P119+P120+P121+P122+P123+P124+P125+P126+P127+P128+P129+P130+P131+P132+P133+P134, "NA")</f>
        <v>44218.87</v>
      </c>
      <c r="Q135" s="122">
        <f>IFERROR(P135/P148, "NA")</f>
        <v>0.32735891743444734</v>
      </c>
      <c r="R135" s="121">
        <f>IFERROR(R110+R111+R112+R113+R114+R115+R116+R117+R118+R119+R120+R121+R122+R123+R124+R125+R126+R127+R128+R129+R130+R131+R132+R133+R134, "NA")</f>
        <v>20373.68</v>
      </c>
      <c r="S135" s="122">
        <f>IFERROR(R135/R148, "NA")</f>
        <v>0.15788096762854631</v>
      </c>
      <c r="T135" s="121">
        <f>IFERROR(T110+T111+T112+T113+T114+T115+T116+T117+T118+T119+T120+T121+T122+T123+T124+T125+T126+T127+T128+T129+T130+T131+T132+T133+T134, "NA")</f>
        <v>25426.52</v>
      </c>
      <c r="U135" s="122">
        <f>IFERROR(T135/T148, "NA")</f>
        <v>0.18786112155953019</v>
      </c>
      <c r="V135" s="121">
        <f>IFERROR(V110+V111+V112+V113+V114+V115+V116+V117+V118+V119+V120+V121+V122+V123+V124+V125+V126+V127+V128+V129+V130+V131+V132+V133+V134, "NA")</f>
        <v>16760.39</v>
      </c>
      <c r="W135" s="122">
        <f>IFERROR(V135/V148, "NA")</f>
        <v>0.11071675606924763</v>
      </c>
      <c r="X135" s="121">
        <f>IFERROR(X110+X111+X112+X113+X114+X115+X116+X117+X118+X119+X120+X121+X122+X123+X124+X125+X126+X127+X128+X129+X130+X131+X132+X133+X134, "NA")</f>
        <v>18037.939999999999</v>
      </c>
      <c r="Y135" s="122">
        <f>IFERROR(X135/X148, "NA")</f>
        <v>0.15166846800548153</v>
      </c>
      <c r="Z135" s="121">
        <f>IFERROR(Z110+Z111+Z112+Z113+Z114+Z115+Z116+Z117+Z118+Z119+Z120+Z121+Z122+Z123+Z124+Z125+Z126+Z127+Z128+Z129+Z130+Z131+Z132+Z133+Z134, "NA")</f>
        <v>60224.850000000006</v>
      </c>
      <c r="AA135" s="122">
        <f>IFERROR(Z135/Z148, "NA")</f>
        <v>0.14846202572273393</v>
      </c>
      <c r="AB135" s="121">
        <f t="shared" si="42"/>
        <v>20149.6325</v>
      </c>
      <c r="AC135" s="122">
        <f>IFERROR(AB135/AB148, "NA")</f>
        <v>0.15073518218081655</v>
      </c>
      <c r="AD135" s="123">
        <f t="shared" si="43"/>
        <v>-2111.692500000001</v>
      </c>
      <c r="AE135" s="124">
        <f>IFERROR(AD135/AD148, "NA")</f>
        <v>0.14320782739316354</v>
      </c>
      <c r="AF135" s="123">
        <f t="shared" si="44"/>
        <v>-0.10480054661046553</v>
      </c>
      <c r="AG135" s="121">
        <f t="shared" si="45"/>
        <v>21423.827499999999</v>
      </c>
      <c r="AH135" s="122">
        <f>IFERROR(AG135/AG148, "NA")</f>
        <v>0.16595072374500136</v>
      </c>
      <c r="AI135" s="123">
        <f t="shared" si="46"/>
        <v>-3385.8875000000007</v>
      </c>
      <c r="AJ135" s="124">
        <f>IFERROR(AI135/AI148, "NA")</f>
        <v>0.33301200606690162</v>
      </c>
      <c r="AK135" s="123">
        <f t="shared" si="47"/>
        <v>-0.15804307143529794</v>
      </c>
      <c r="AL135" s="124">
        <f>IFERROR(AK135/AK148, "NA")</f>
        <v>2.0066920984243817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131</v>
      </c>
      <c r="B137" s="136">
        <f>IFERROR(B107-B135, "NA")</f>
        <v>20392.560000000023</v>
      </c>
      <c r="C137" s="137">
        <f>IFERROR(B137/B148, "NA")</f>
        <v>0.17989556428288969</v>
      </c>
      <c r="D137" s="136">
        <f>IFERROR(D107-D135, "NA")</f>
        <v>17872.529999999952</v>
      </c>
      <c r="E137" s="137">
        <f>IFERROR(D137/D148, "NA")</f>
        <v>0.1396946224792868</v>
      </c>
      <c r="F137" s="136">
        <f>IFERROR(F107-F135, "NA")</f>
        <v>-41478.569999999956</v>
      </c>
      <c r="G137" s="137">
        <f>IFERROR(F137/F148, "NA")</f>
        <v>-0.33212436324287831</v>
      </c>
      <c r="H137" s="136">
        <f>IFERROR(H107-H135, "NA")</f>
        <v>-73452.110000000015</v>
      </c>
      <c r="I137" s="137">
        <f>IFERROR(H137/H148, "NA")</f>
        <v>-0.5785683943112726</v>
      </c>
      <c r="J137" s="136">
        <f>IFERROR(J107-J135, "NA")</f>
        <v>26488.440000000031</v>
      </c>
      <c r="K137" s="137">
        <f>IFERROR(J137/J148, "NA")</f>
        <v>0.21496307392089553</v>
      </c>
      <c r="L137" s="136">
        <f>IFERROR(L107-L135, "NA")</f>
        <v>15654.200000000004</v>
      </c>
      <c r="M137" s="137">
        <f>IFERROR(L137/L148, "NA")</f>
        <v>0.12179633212083191</v>
      </c>
      <c r="N137" s="136">
        <f>IFERROR(N107-N135, "NA")</f>
        <v>14685.019999999975</v>
      </c>
      <c r="O137" s="137">
        <f>IFERROR(N137/N148, "NA")</f>
        <v>0.13200157988192571</v>
      </c>
      <c r="P137" s="136">
        <f>IFERROR(P107-P135, "NA")</f>
        <v>-23196.07</v>
      </c>
      <c r="Q137" s="137">
        <f>IFERROR(P137/P148, "NA")</f>
        <v>-0.17172398037158479</v>
      </c>
      <c r="R137" s="136">
        <f>IFERROR(R107-R135, "NA")</f>
        <v>-81030.299999999974</v>
      </c>
      <c r="S137" s="137">
        <f>IFERROR(R137/R148, "NA")</f>
        <v>-0.62792495863444364</v>
      </c>
      <c r="T137" s="136">
        <f>IFERROR(T107-T135, "NA")</f>
        <v>26056.200000000052</v>
      </c>
      <c r="U137" s="137">
        <f>IFERROR(T137/T148, "NA")</f>
        <v>0.19251344484339342</v>
      </c>
      <c r="V137" s="136">
        <f>IFERROR(V107-V135, "NA")</f>
        <v>34971.859999999928</v>
      </c>
      <c r="W137" s="137">
        <f>IFERROR(V137/V148, "NA")</f>
        <v>0.23101914053956207</v>
      </c>
      <c r="X137" s="136">
        <f>IFERROR(X107-X135, "NA")</f>
        <v>10203.610000000019</v>
      </c>
      <c r="Y137" s="137">
        <f>IFERROR(X137/X148, "NA")</f>
        <v>8.5795046265006669E-2</v>
      </c>
      <c r="Z137" s="136">
        <f>IFERROR(Z107-Z135, "NA")</f>
        <v>71231.669999999955</v>
      </c>
      <c r="AA137" s="137">
        <f>IFERROR(Z137/Z148, "NA")</f>
        <v>0.17559525717064114</v>
      </c>
      <c r="AB137" s="136">
        <f>IFERROR((R137+T137+V137+X137)/4, "NA")</f>
        <v>-2449.657499999993</v>
      </c>
      <c r="AC137" s="137">
        <f>IFERROR(AB137/AB148, "NA")</f>
        <v>-1.8325374894212217E-2</v>
      </c>
      <c r="AD137" s="123">
        <f>IFERROR(X137-AB137, "NA")</f>
        <v>12653.267500000013</v>
      </c>
      <c r="AE137" s="124">
        <f>IFERROR(AD137/AD148, "NA")</f>
        <v>-0.85810171135216273</v>
      </c>
      <c r="AF137" s="123">
        <f>IFERROR((X137-AB137)/AB137, "NA")</f>
        <v>-5.1653210703945547</v>
      </c>
      <c r="AG137" s="136">
        <f>IFERROR((J137+L137+N137+P137+R137+T137+V137+X137)/8, "NA")</f>
        <v>2979.1200000000044</v>
      </c>
      <c r="AH137" s="137">
        <f>IFERROR(AG137/AG148, "NA")</f>
        <v>2.3076507693277924E-2</v>
      </c>
      <c r="AI137" s="123">
        <f>IFERROR(X137-AG137, "NA")</f>
        <v>7224.4900000000143</v>
      </c>
      <c r="AJ137" s="124">
        <f>IFERROR(AI137/AI148, "NA")</f>
        <v>-0.7105498654962028</v>
      </c>
      <c r="AK137" s="123">
        <f>IFERROR((X137-AG137)/AG137, "NA")</f>
        <v>2.4250416230296206</v>
      </c>
      <c r="AL137" s="124">
        <f>IFERROR(AK137/AK148, "NA")</f>
        <v>-30.791048409078925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132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133</v>
      </c>
      <c r="B140" s="115">
        <v>-684.05</v>
      </c>
      <c r="C140" s="116">
        <f>IFERROR(B140/B148, "NA")</f>
        <v>-6.0344341636219554E-3</v>
      </c>
      <c r="D140" s="115">
        <v>0</v>
      </c>
      <c r="E140" s="116">
        <f>IFERROR(D140/D148, "NA")</f>
        <v>0</v>
      </c>
      <c r="F140" s="115">
        <v>16.14</v>
      </c>
      <c r="G140" s="116">
        <f>IFERROR(F140/F148, "NA")</f>
        <v>1.2923510195120183E-4</v>
      </c>
      <c r="H140" s="115">
        <v>13572.98</v>
      </c>
      <c r="I140" s="116">
        <f>IFERROR(H140/H148, "NA")</f>
        <v>0.10691179932910048</v>
      </c>
      <c r="J140" s="115">
        <v>0</v>
      </c>
      <c r="K140" s="116">
        <f>IFERROR(J140/J148, "NA")</f>
        <v>0</v>
      </c>
      <c r="L140" s="115">
        <v>-722.26</v>
      </c>
      <c r="M140" s="116">
        <f>IFERROR(L140/L148, "NA")</f>
        <v>-5.6194899028753961E-3</v>
      </c>
      <c r="N140" s="115">
        <v>0</v>
      </c>
      <c r="O140" s="116">
        <f>IFERROR(N140/N148, "NA")</f>
        <v>0</v>
      </c>
      <c r="P140" s="115">
        <v>-3264.3599999999997</v>
      </c>
      <c r="Q140" s="116">
        <f>IFERROR(P140/P148, "NA")</f>
        <v>-2.4166545995325351E-2</v>
      </c>
      <c r="R140" s="115">
        <v>13229.520000000002</v>
      </c>
      <c r="S140" s="116">
        <f>IFERROR(R140/R148, "NA")</f>
        <v>0.10251900583798344</v>
      </c>
      <c r="T140" s="115">
        <v>0</v>
      </c>
      <c r="U140" s="116">
        <f>IFERROR(T140/T148, "NA")</f>
        <v>0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3307.3800000000006</v>
      </c>
      <c r="AC140" s="116">
        <f>IFERROR(AB140/AB148, "NA")</f>
        <v>2.4741817342881521E-2</v>
      </c>
      <c r="AD140" s="118">
        <f>IFERROR(X140-AB140, "NA")</f>
        <v>-3307.3800000000006</v>
      </c>
      <c r="AE140" s="119">
        <f>IFERROR(AD140/AD148, "NA")</f>
        <v>0.22429530064798783</v>
      </c>
      <c r="AF140" s="118">
        <f>IFERROR((X140-AB140)/AB140, "NA")</f>
        <v>-1</v>
      </c>
      <c r="AG140" s="117">
        <f>IFERROR((J140+L140+N140+P140+R140+T140+V140+X140)/8, "NA")</f>
        <v>1155.3625000000002</v>
      </c>
      <c r="AH140" s="116">
        <f>IFERROR(AG140/AG148, "NA")</f>
        <v>8.9495326202955177E-3</v>
      </c>
      <c r="AI140" s="118">
        <f>IFERROR(X140-AG140, "NA")</f>
        <v>-1155.3625000000002</v>
      </c>
      <c r="AJ140" s="119">
        <f>IFERROR(AI140/AI148, "NA")</f>
        <v>0.11363330407743039</v>
      </c>
      <c r="AK140" s="118">
        <f>IFERROR((X140-AG140)/AG140, "NA")</f>
        <v>-1</v>
      </c>
      <c r="AL140" s="119">
        <f>IFERROR(AK140/AK148, "NA")</f>
        <v>12.697121615014369</v>
      </c>
    </row>
    <row r="141" spans="1:38" ht="16.5" hidden="1" customHeight="1" x14ac:dyDescent="0.25">
      <c r="A141" s="120" t="s">
        <v>134</v>
      </c>
      <c r="B141" s="121">
        <f>IFERROR(B140, "NA")</f>
        <v>-684.05</v>
      </c>
      <c r="C141" s="122">
        <f>IFERROR(B141/B148, "NA")</f>
        <v>-6.0344341636219554E-3</v>
      </c>
      <c r="D141" s="121">
        <f>IFERROR(D140, "NA")</f>
        <v>0</v>
      </c>
      <c r="E141" s="122">
        <f>IFERROR(D141/D148, "NA")</f>
        <v>0</v>
      </c>
      <c r="F141" s="121">
        <f>IFERROR(F140, "NA")</f>
        <v>16.14</v>
      </c>
      <c r="G141" s="122">
        <f>IFERROR(F141/F148, "NA")</f>
        <v>1.2923510195120183E-4</v>
      </c>
      <c r="H141" s="121">
        <f>IFERROR(H140, "NA")</f>
        <v>13572.98</v>
      </c>
      <c r="I141" s="122">
        <f>IFERROR(H141/H148, "NA")</f>
        <v>0.10691179932910048</v>
      </c>
      <c r="J141" s="121">
        <f>IFERROR(J140, "NA")</f>
        <v>0</v>
      </c>
      <c r="K141" s="122">
        <f>IFERROR(J141/J148, "NA")</f>
        <v>0</v>
      </c>
      <c r="L141" s="121">
        <f>IFERROR(L140, "NA")</f>
        <v>-722.26</v>
      </c>
      <c r="M141" s="122">
        <f>IFERROR(L141/L148, "NA")</f>
        <v>-5.6194899028753961E-3</v>
      </c>
      <c r="N141" s="121">
        <f>IFERROR(N140, "NA")</f>
        <v>0</v>
      </c>
      <c r="O141" s="122">
        <f>IFERROR(N141/N148, "NA")</f>
        <v>0</v>
      </c>
      <c r="P141" s="121">
        <f>IFERROR(P140, "NA")</f>
        <v>-3264.3599999999997</v>
      </c>
      <c r="Q141" s="122">
        <f>IFERROR(P141/P148, "NA")</f>
        <v>-2.4166545995325351E-2</v>
      </c>
      <c r="R141" s="121">
        <f>IFERROR(R140, "NA")</f>
        <v>13229.520000000002</v>
      </c>
      <c r="S141" s="122">
        <f>IFERROR(R141/R148, "NA")</f>
        <v>0.10251900583798344</v>
      </c>
      <c r="T141" s="121">
        <f>IFERROR(T140, "NA")</f>
        <v>0</v>
      </c>
      <c r="U141" s="122">
        <f>IFERROR(T141/T148, "NA")</f>
        <v>0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3307.3800000000006</v>
      </c>
      <c r="AC141" s="122">
        <f>IFERROR(AB141/AB148, "NA")</f>
        <v>2.4741817342881521E-2</v>
      </c>
      <c r="AD141" s="123">
        <f>IFERROR(X141-AB141, "NA")</f>
        <v>-3307.3800000000006</v>
      </c>
      <c r="AE141" s="124">
        <f>IFERROR(AD141/AD148, "NA")</f>
        <v>0.22429530064798783</v>
      </c>
      <c r="AF141" s="123">
        <f>IFERROR((X141-AB141)/AB141, "NA")</f>
        <v>-1</v>
      </c>
      <c r="AG141" s="121">
        <f>IFERROR((J141+L141+N141+P141+R141+T141+V141+X141)/8, "NA")</f>
        <v>1155.3625000000002</v>
      </c>
      <c r="AH141" s="122">
        <f>IFERROR(AG141/AG148, "NA")</f>
        <v>8.9495326202955177E-3</v>
      </c>
      <c r="AI141" s="123">
        <f>IFERROR(X141-AG141, "NA")</f>
        <v>-1155.3625000000002</v>
      </c>
      <c r="AJ141" s="124">
        <f>IFERROR(AI141/AI148, "NA")</f>
        <v>0.11363330407743039</v>
      </c>
      <c r="AK141" s="123">
        <f>IFERROR((X141-AG141)/AG141, "NA")</f>
        <v>-1</v>
      </c>
      <c r="AL141" s="124">
        <f>IFERROR(AK141/AK148, "NA")</f>
        <v>12.697121615014369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135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136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137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138</v>
      </c>
      <c r="B147" s="136">
        <f>IFERROR(B137-B141-B145, "NA")</f>
        <v>21076.610000000022</v>
      </c>
      <c r="C147" s="137">
        <f>IFERROR(B147/B148, "NA")</f>
        <v>0.18592999844651165</v>
      </c>
      <c r="D147" s="136">
        <f>IFERROR(D137-D141-D145, "NA")</f>
        <v>17872.529999999952</v>
      </c>
      <c r="E147" s="137">
        <f>IFERROR(D147/D148, "NA")</f>
        <v>0.1396946224792868</v>
      </c>
      <c r="F147" s="136">
        <f>IFERROR(F137-F141-F145, "NA")</f>
        <v>-41494.709999999955</v>
      </c>
      <c r="G147" s="137">
        <f>IFERROR(F147/F148, "NA")</f>
        <v>-0.33225359834482948</v>
      </c>
      <c r="H147" s="136">
        <f>IFERROR(H137-H141-H145, "NA")</f>
        <v>-87025.090000000011</v>
      </c>
      <c r="I147" s="137">
        <f>IFERROR(H147/H148, "NA")</f>
        <v>-0.68548019364037305</v>
      </c>
      <c r="J147" s="136">
        <f>IFERROR(J137-J141-J145, "NA")</f>
        <v>26488.440000000031</v>
      </c>
      <c r="K147" s="137">
        <f>IFERROR(J147/J148, "NA")</f>
        <v>0.21496307392089553</v>
      </c>
      <c r="L147" s="136">
        <f>IFERROR(L137-L141-L145, "NA")</f>
        <v>16376.460000000005</v>
      </c>
      <c r="M147" s="137">
        <f>IFERROR(L147/L148, "NA")</f>
        <v>0.1274158220237073</v>
      </c>
      <c r="N147" s="136">
        <f>IFERROR(N137-N141-N145, "NA")</f>
        <v>14685.019999999975</v>
      </c>
      <c r="O147" s="137">
        <f>IFERROR(N147/N148, "NA")</f>
        <v>0.13200157988192571</v>
      </c>
      <c r="P147" s="136">
        <f>IFERROR(P137-P141-P145, "NA")</f>
        <v>-19931.71</v>
      </c>
      <c r="Q147" s="137">
        <f>IFERROR(P147/P148, "NA")</f>
        <v>-0.14755743437625943</v>
      </c>
      <c r="R147" s="136">
        <f>IFERROR(R137-R141-R145, "NA")</f>
        <v>-94259.819999999978</v>
      </c>
      <c r="S147" s="137">
        <f>IFERROR(R147/R148, "NA")</f>
        <v>-0.7304439644724271</v>
      </c>
      <c r="T147" s="136">
        <f>IFERROR(T137-T141-T145, "NA")</f>
        <v>26056.200000000052</v>
      </c>
      <c r="U147" s="137">
        <f>IFERROR(T147/T148, "NA")</f>
        <v>0.19251344484339342</v>
      </c>
      <c r="V147" s="136">
        <f>IFERROR(V137-V141-V145, "NA")</f>
        <v>34971.859999999928</v>
      </c>
      <c r="W147" s="137">
        <f>IFERROR(V147/V148, "NA")</f>
        <v>0.23101914053956207</v>
      </c>
      <c r="X147" s="136">
        <f>IFERROR(X137-X141-X145, "NA")</f>
        <v>10203.610000000019</v>
      </c>
      <c r="Y147" s="137">
        <f>IFERROR(X147/X148, "NA")</f>
        <v>8.5795046265006669E-2</v>
      </c>
      <c r="Z147" s="136">
        <f>IFERROR(Z137-Z141-Z145, "NA")</f>
        <v>71231.669999999955</v>
      </c>
      <c r="AA147" s="137">
        <f>IFERROR(Z147/Z148, "NA")</f>
        <v>0.17559525717064114</v>
      </c>
      <c r="AB147" s="136">
        <f>IFERROR((R147+T147+V147+X147)/4, "NA")</f>
        <v>-5757.037499999994</v>
      </c>
      <c r="AC147" s="137">
        <f>IFERROR(AB147/AB148, "NA")</f>
        <v>-4.3067192237093745E-2</v>
      </c>
      <c r="AD147" s="123">
        <f>IFERROR(X147-AB147, "NA")</f>
        <v>15960.647500000014</v>
      </c>
      <c r="AE147" s="124">
        <f>IFERROR(AD147/AD148, "NA")</f>
        <v>-1.0823970120001505</v>
      </c>
      <c r="AF147" s="123">
        <f>IFERROR((X147-AB147)/AB147, "NA")</f>
        <v>-2.7723716407961612</v>
      </c>
      <c r="AG147" s="136">
        <f>IFERROR((J147+L147+N147+P147+R147+T147+V147+X147)/8, "NA")</f>
        <v>1823.7575000000043</v>
      </c>
      <c r="AH147" s="137">
        <f>IFERROR(AG147/AG148, "NA")</f>
        <v>1.4126975072982408E-2</v>
      </c>
      <c r="AI147" s="123">
        <f>IFERROR(X147-AG147, "NA")</f>
        <v>8379.8525000000154</v>
      </c>
      <c r="AJ147" s="124">
        <f>IFERROR(AI147/AI148, "NA")</f>
        <v>-0.82418316957363325</v>
      </c>
      <c r="AK147" s="123">
        <f>IFERROR((X147-AG147)/AG147, "NA")</f>
        <v>4.5948282597878256</v>
      </c>
      <c r="AL147" s="124">
        <f>IFERROR(AK147/AK148, "NA")</f>
        <v>-58.34109321463086</v>
      </c>
    </row>
    <row r="148" spans="1:38" ht="15.75" hidden="1" x14ac:dyDescent="0.25">
      <c r="A148" s="10" t="s">
        <v>15</v>
      </c>
      <c r="B148" s="115">
        <v>113357.76999999999</v>
      </c>
      <c r="C148" s="141"/>
      <c r="D148" s="115">
        <v>127940</v>
      </c>
      <c r="E148" s="141"/>
      <c r="F148" s="115">
        <v>124888.67</v>
      </c>
      <c r="G148" s="141"/>
      <c r="H148" s="115">
        <v>126954.93000000001</v>
      </c>
      <c r="I148" s="141"/>
      <c r="J148" s="115">
        <v>123223.20999999999</v>
      </c>
      <c r="K148" s="141"/>
      <c r="L148" s="115">
        <v>128527.67999999999</v>
      </c>
      <c r="M148" s="141"/>
      <c r="N148" s="115">
        <v>111248.82</v>
      </c>
      <c r="O148" s="141"/>
      <c r="P148" s="115">
        <v>135077.64000000001</v>
      </c>
      <c r="Q148" s="141"/>
      <c r="R148" s="115">
        <v>129044.55999999998</v>
      </c>
      <c r="S148" s="141"/>
      <c r="T148" s="115">
        <v>135347.43</v>
      </c>
      <c r="U148" s="141"/>
      <c r="V148" s="115">
        <v>151380.78999999998</v>
      </c>
      <c r="W148" s="141"/>
      <c r="X148" s="115">
        <v>118930.06</v>
      </c>
      <c r="Y148" s="141"/>
      <c r="Z148" s="115">
        <v>405658.28</v>
      </c>
      <c r="AA148" s="141"/>
      <c r="AB148" s="117">
        <f>IFERROR((R148+T148+V148+X148)/4, "NA")</f>
        <v>133675.71</v>
      </c>
      <c r="AC148" s="141"/>
      <c r="AD148" s="118">
        <f>IFERROR(X148-AB148, "NA")</f>
        <v>-14745.649999999994</v>
      </c>
      <c r="AE148" s="142"/>
      <c r="AF148" s="118">
        <f>IFERROR((X148-AB148)/AB148, "NA")</f>
        <v>-0.11030912048269648</v>
      </c>
      <c r="AG148" s="117">
        <f>IFERROR((J148+L148+N148+P148+R148+T148+V148+X148)/8, "NA")</f>
        <v>129097.52374999999</v>
      </c>
      <c r="AH148" s="141"/>
      <c r="AI148" s="118">
        <f>IFERROR(X148-AG148, "NA")</f>
        <v>-10167.463749999995</v>
      </c>
      <c r="AJ148" s="142"/>
      <c r="AK148" s="118">
        <f>IFERROR((X148-AG148)/AG148, "NA")</f>
        <v>-7.875800754853747E-2</v>
      </c>
      <c r="AL148" s="142"/>
    </row>
    <row r="151" spans="1:38" ht="15.75" x14ac:dyDescent="0.25">
      <c r="A151" s="11" t="s">
        <v>139</v>
      </c>
    </row>
    <row r="152" spans="1:38" ht="15.75" x14ac:dyDescent="0.25">
      <c r="A152" s="11" t="s">
        <v>140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P61" activePane="bottomRight" state="frozen"/>
      <selection activeCell="D11" sqref="D11"/>
      <selection pane="topRight" activeCell="D11" sqref="D11"/>
      <selection pane="bottomLeft" activeCell="D11" sqref="D11"/>
      <selection pane="bottomRight" activeCell="B6" sqref="B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242</v>
      </c>
      <c r="B1" s="151" t="s">
        <v>242</v>
      </c>
      <c r="C1" s="151" t="s">
        <v>242</v>
      </c>
      <c r="D1" s="151" t="s">
        <v>242</v>
      </c>
      <c r="E1" s="151" t="s">
        <v>242</v>
      </c>
      <c r="F1" s="151" t="s">
        <v>242</v>
      </c>
      <c r="G1" s="151" t="s">
        <v>242</v>
      </c>
      <c r="H1" s="151" t="s">
        <v>242</v>
      </c>
      <c r="I1" s="151" t="s">
        <v>242</v>
      </c>
      <c r="J1" s="151" t="s">
        <v>242</v>
      </c>
      <c r="K1" s="151" t="s">
        <v>242</v>
      </c>
      <c r="L1" s="151" t="s">
        <v>242</v>
      </c>
      <c r="M1" s="151" t="s">
        <v>242</v>
      </c>
      <c r="N1" s="151" t="s">
        <v>242</v>
      </c>
      <c r="O1" s="151" t="s">
        <v>242</v>
      </c>
      <c r="P1" s="151" t="s">
        <v>242</v>
      </c>
      <c r="Q1" s="151" t="s">
        <v>242</v>
      </c>
      <c r="R1" s="151" t="s">
        <v>242</v>
      </c>
      <c r="S1" s="151" t="s">
        <v>242</v>
      </c>
      <c r="T1" s="151" t="s">
        <v>242</v>
      </c>
      <c r="U1" s="151" t="s">
        <v>242</v>
      </c>
      <c r="V1" s="151" t="s">
        <v>242</v>
      </c>
      <c r="W1" s="151" t="s">
        <v>242</v>
      </c>
      <c r="X1" s="151" t="s">
        <v>242</v>
      </c>
      <c r="Y1" s="151" t="s">
        <v>242</v>
      </c>
      <c r="Z1" s="151" t="s">
        <v>242</v>
      </c>
      <c r="AA1" s="151" t="s">
        <v>242</v>
      </c>
      <c r="AB1" s="151" t="s">
        <v>242</v>
      </c>
      <c r="AC1" s="151" t="s">
        <v>242</v>
      </c>
      <c r="AD1" s="151" t="s">
        <v>242</v>
      </c>
      <c r="AE1" s="151" t="s">
        <v>242</v>
      </c>
      <c r="AF1" s="151" t="s">
        <v>242</v>
      </c>
      <c r="AG1" s="151" t="s">
        <v>242</v>
      </c>
      <c r="AH1" s="151" t="s">
        <v>242</v>
      </c>
      <c r="AI1" s="151" t="s">
        <v>242</v>
      </c>
      <c r="AJ1" s="151" t="s">
        <v>242</v>
      </c>
      <c r="AK1" s="151" t="s">
        <v>242</v>
      </c>
      <c r="AL1" s="151" t="s">
        <v>242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141</v>
      </c>
      <c r="B3" s="153" t="s">
        <v>141</v>
      </c>
      <c r="C3" s="153" t="s">
        <v>141</v>
      </c>
      <c r="D3" s="153" t="s">
        <v>141</v>
      </c>
      <c r="E3" s="153" t="s">
        <v>141</v>
      </c>
      <c r="F3" s="153" t="s">
        <v>141</v>
      </c>
      <c r="G3" s="153" t="s">
        <v>141</v>
      </c>
      <c r="H3" s="153" t="s">
        <v>141</v>
      </c>
      <c r="I3" s="153" t="s">
        <v>141</v>
      </c>
      <c r="J3" s="153" t="s">
        <v>141</v>
      </c>
      <c r="K3" s="153" t="s">
        <v>141</v>
      </c>
      <c r="L3" s="153" t="s">
        <v>141</v>
      </c>
      <c r="M3" s="153" t="s">
        <v>141</v>
      </c>
      <c r="N3" s="153" t="s">
        <v>141</v>
      </c>
      <c r="O3" s="153" t="s">
        <v>141</v>
      </c>
      <c r="P3" s="153" t="s">
        <v>141</v>
      </c>
      <c r="Q3" s="153" t="s">
        <v>141</v>
      </c>
      <c r="R3" s="153" t="s">
        <v>141</v>
      </c>
      <c r="S3" s="153" t="s">
        <v>141</v>
      </c>
      <c r="T3" s="153" t="s">
        <v>141</v>
      </c>
      <c r="U3" s="153" t="s">
        <v>141</v>
      </c>
      <c r="V3" s="153" t="s">
        <v>141</v>
      </c>
      <c r="W3" s="153" t="s">
        <v>141</v>
      </c>
      <c r="X3" s="153" t="s">
        <v>141</v>
      </c>
      <c r="Y3" s="153" t="s">
        <v>141</v>
      </c>
      <c r="Z3" s="153" t="s">
        <v>141</v>
      </c>
      <c r="AA3" s="153" t="s">
        <v>141</v>
      </c>
      <c r="AB3" s="153" t="s">
        <v>141</v>
      </c>
      <c r="AC3" s="153" t="s">
        <v>141</v>
      </c>
      <c r="AD3" s="153" t="s">
        <v>141</v>
      </c>
      <c r="AE3" s="153" t="s">
        <v>141</v>
      </c>
      <c r="AF3" s="153" t="s">
        <v>141</v>
      </c>
      <c r="AG3" s="153" t="s">
        <v>141</v>
      </c>
      <c r="AH3" s="153" t="s">
        <v>141</v>
      </c>
      <c r="AI3" s="153" t="s">
        <v>141</v>
      </c>
      <c r="AJ3" s="153" t="s">
        <v>141</v>
      </c>
      <c r="AK3" s="153" t="s">
        <v>141</v>
      </c>
      <c r="AL3" s="153" t="s">
        <v>141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236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243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6</v>
      </c>
      <c r="AA5" s="155" t="s">
        <v>2</v>
      </c>
      <c r="AB5" s="154" t="s">
        <v>7</v>
      </c>
      <c r="AC5" s="155" t="s">
        <v>2</v>
      </c>
      <c r="AD5" s="156" t="s">
        <v>8</v>
      </c>
      <c r="AE5" s="157" t="s">
        <v>2</v>
      </c>
      <c r="AF5" s="143" t="s">
        <v>9</v>
      </c>
      <c r="AG5" s="154" t="s">
        <v>10</v>
      </c>
      <c r="AH5" s="155" t="s">
        <v>2</v>
      </c>
      <c r="AI5" s="156" t="s">
        <v>11</v>
      </c>
      <c r="AJ5" s="157" t="s">
        <v>2</v>
      </c>
      <c r="AK5" s="156" t="s">
        <v>12</v>
      </c>
      <c r="AL5" s="157" t="s">
        <v>2</v>
      </c>
    </row>
    <row r="6" spans="1:38" ht="16.5" customHeight="1" x14ac:dyDescent="0.25">
      <c r="A6" s="1" t="s">
        <v>13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13</v>
      </c>
      <c r="B7" s="115">
        <v>41480.409999999996</v>
      </c>
      <c r="C7" s="116">
        <f>IFERROR(B7/B148, "NA")</f>
        <v>0.99999999999999978</v>
      </c>
      <c r="D7" s="115">
        <v>49860.789999999986</v>
      </c>
      <c r="E7" s="116">
        <f>IFERROR(D7/D148, "NA")</f>
        <v>0.99999999999999967</v>
      </c>
      <c r="F7" s="115">
        <v>51166.44000000001</v>
      </c>
      <c r="G7" s="116">
        <f>IFERROR(F7/F148, "NA")</f>
        <v>1.0000000000000002</v>
      </c>
      <c r="H7" s="115">
        <v>47375.87000000001</v>
      </c>
      <c r="I7" s="116">
        <f>IFERROR(H7/H148, "NA")</f>
        <v>1.0000000000000002</v>
      </c>
      <c r="J7" s="115">
        <v>44090.540000000008</v>
      </c>
      <c r="K7" s="116">
        <f>IFERROR(J7/J148, "NA")</f>
        <v>1.0000000000000002</v>
      </c>
      <c r="L7" s="115">
        <v>49571.040000000008</v>
      </c>
      <c r="M7" s="116">
        <f>IFERROR(L7/L148, "NA")</f>
        <v>1.0000000000000002</v>
      </c>
      <c r="N7" s="115">
        <v>41527.87000000001</v>
      </c>
      <c r="O7" s="116">
        <f>IFERROR(N7/N148, "NA")</f>
        <v>1.0000000000000002</v>
      </c>
      <c r="P7" s="115">
        <v>39113.61</v>
      </c>
      <c r="Q7" s="116">
        <f>IFERROR(P7/P148, "NA")</f>
        <v>1</v>
      </c>
      <c r="R7" s="115">
        <v>43638.310000000005</v>
      </c>
      <c r="S7" s="116">
        <f>IFERROR(R7/R148, "NA")</f>
        <v>1.0000000000000002</v>
      </c>
      <c r="T7" s="115">
        <v>47869.840000000004</v>
      </c>
      <c r="U7" s="116">
        <f>IFERROR(T7/T148, "NA")</f>
        <v>1.0000000000000002</v>
      </c>
      <c r="V7" s="115">
        <v>55143.320000000007</v>
      </c>
      <c r="W7" s="116">
        <f>IFERROR(V7/V148, "NA")</f>
        <v>1.0000000000000002</v>
      </c>
      <c r="X7" s="115">
        <v>43554.64</v>
      </c>
      <c r="Y7" s="116">
        <f>IFERROR(X7/X148, "NA")</f>
        <v>1</v>
      </c>
      <c r="Z7" s="115">
        <v>146567.80000000002</v>
      </c>
      <c r="AA7" s="116">
        <f>IFERROR(Z7/Z148, "NA")</f>
        <v>1.0000000000000002</v>
      </c>
      <c r="AB7" s="117">
        <f>IFERROR((R7+T7+V7+X7)/4, "NA")</f>
        <v>47551.527500000011</v>
      </c>
      <c r="AC7" s="116">
        <f>IFERROR(AB7/AB148, "NA")</f>
        <v>1.0000000000000002</v>
      </c>
      <c r="AD7" s="118">
        <f>IFERROR(X7-AB7, "NA")</f>
        <v>-3996.8875000000116</v>
      </c>
      <c r="AE7" s="119">
        <f>IFERROR(AD7/AD148, "NA")</f>
        <v>1.0000000000000036</v>
      </c>
      <c r="AF7" s="118">
        <f>IFERROR((X7-AB7)/AB7, "NA")</f>
        <v>-8.40538193015989E-2</v>
      </c>
      <c r="AG7" s="117">
        <f>IFERROR((J7+L7+N7+P7+R7+T7+V7+X7)/8, "NA")</f>
        <v>45563.646250000005</v>
      </c>
      <c r="AH7" s="116">
        <f>IFERROR(AG7/AG148, "NA")</f>
        <v>1.0000000000000002</v>
      </c>
      <c r="AI7" s="118">
        <f>IFERROR(X7-AG7, "NA")</f>
        <v>-2009.0062500000058</v>
      </c>
      <c r="AJ7" s="119">
        <f>IFERROR(AI7/AI148, "NA")</f>
        <v>1.0000000000000036</v>
      </c>
      <c r="AK7" s="118">
        <f>IFERROR((X7-AG7)/AG7, "NA")</f>
        <v>-4.4092306374624385E-2</v>
      </c>
      <c r="AL7" s="119">
        <f>IFERROR(AK7/AK148, "NA")</f>
        <v>1.0000000000000036</v>
      </c>
    </row>
    <row r="8" spans="1:38" ht="30.75" hidden="1" customHeight="1" x14ac:dyDescent="0.25">
      <c r="A8" s="2" t="s">
        <v>14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15</v>
      </c>
      <c r="B9" s="121">
        <f>IFERROR(B7+B8, "NA")</f>
        <v>41480.409999999996</v>
      </c>
      <c r="C9" s="122">
        <f>IFERROR(B9/B148, "NA")</f>
        <v>0.99999999999999978</v>
      </c>
      <c r="D9" s="121">
        <f>IFERROR(D7+D8, "NA")</f>
        <v>49860.789999999986</v>
      </c>
      <c r="E9" s="122">
        <f>IFERROR(D9/D148, "NA")</f>
        <v>0.99999999999999967</v>
      </c>
      <c r="F9" s="121">
        <f>IFERROR(F7+F8, "NA")</f>
        <v>51166.44000000001</v>
      </c>
      <c r="G9" s="122">
        <f>IFERROR(F9/F148, "NA")</f>
        <v>1.0000000000000002</v>
      </c>
      <c r="H9" s="121">
        <f>IFERROR(H7+H8, "NA")</f>
        <v>47375.87000000001</v>
      </c>
      <c r="I9" s="122">
        <f>IFERROR(H9/H148, "NA")</f>
        <v>1.0000000000000002</v>
      </c>
      <c r="J9" s="121">
        <f>IFERROR(J7+J8, "NA")</f>
        <v>44090.540000000008</v>
      </c>
      <c r="K9" s="122">
        <f>IFERROR(J9/J148, "NA")</f>
        <v>1.0000000000000002</v>
      </c>
      <c r="L9" s="121">
        <f>IFERROR(L7+L8, "NA")</f>
        <v>49571.040000000008</v>
      </c>
      <c r="M9" s="122">
        <f>IFERROR(L9/L148, "NA")</f>
        <v>1.0000000000000002</v>
      </c>
      <c r="N9" s="121">
        <f>IFERROR(N7+N8, "NA")</f>
        <v>41527.87000000001</v>
      </c>
      <c r="O9" s="122">
        <f>IFERROR(N9/N148, "NA")</f>
        <v>1.0000000000000002</v>
      </c>
      <c r="P9" s="121">
        <f>IFERROR(P7+P8, "NA")</f>
        <v>39113.61</v>
      </c>
      <c r="Q9" s="122">
        <f>IFERROR(P9/P148, "NA")</f>
        <v>1</v>
      </c>
      <c r="R9" s="121">
        <f>IFERROR(R7+R8, "NA")</f>
        <v>43638.310000000005</v>
      </c>
      <c r="S9" s="122">
        <f>IFERROR(R9/R148, "NA")</f>
        <v>1.0000000000000002</v>
      </c>
      <c r="T9" s="121">
        <f>IFERROR(T7+T8, "NA")</f>
        <v>47869.840000000004</v>
      </c>
      <c r="U9" s="122">
        <f>IFERROR(T9/T148, "NA")</f>
        <v>1.0000000000000002</v>
      </c>
      <c r="V9" s="121">
        <f>IFERROR(V7+V8, "NA")</f>
        <v>55143.320000000007</v>
      </c>
      <c r="W9" s="122">
        <f>IFERROR(V9/V148, "NA")</f>
        <v>1.0000000000000002</v>
      </c>
      <c r="X9" s="121">
        <f>IFERROR(X7+X8, "NA")</f>
        <v>43554.64</v>
      </c>
      <c r="Y9" s="122">
        <f>IFERROR(X9/X148, "NA")</f>
        <v>1</v>
      </c>
      <c r="Z9" s="121">
        <f>IFERROR(Z7+Z8, "NA")</f>
        <v>146567.80000000002</v>
      </c>
      <c r="AA9" s="122">
        <f>IFERROR(Z9/Z148, "NA")</f>
        <v>1.0000000000000002</v>
      </c>
      <c r="AB9" s="121">
        <f>IFERROR((R9+T9+V9+X9)/4, "NA")</f>
        <v>47551.527500000011</v>
      </c>
      <c r="AC9" s="122">
        <f>IFERROR(AB9/AB148, "NA")</f>
        <v>1.0000000000000002</v>
      </c>
      <c r="AD9" s="123">
        <f>IFERROR(X9-AB9, "NA")</f>
        <v>-3996.8875000000116</v>
      </c>
      <c r="AE9" s="124">
        <f>IFERROR(AD9/AD148, "NA")</f>
        <v>1.0000000000000036</v>
      </c>
      <c r="AF9" s="123">
        <f>IFERROR((X9-AB9)/AB9, "NA")</f>
        <v>-8.40538193015989E-2</v>
      </c>
      <c r="AG9" s="121">
        <f>IFERROR((J9+L9+N9+P9+R9+T9+V9+X9)/8, "NA")</f>
        <v>45563.646250000005</v>
      </c>
      <c r="AH9" s="122">
        <f>IFERROR(AG9/AG148, "NA")</f>
        <v>1.0000000000000002</v>
      </c>
      <c r="AI9" s="123">
        <f>IFERROR(X9-AG9, "NA")</f>
        <v>-2009.0062500000058</v>
      </c>
      <c r="AJ9" s="124">
        <f>IFERROR(AI9/AI148, "NA")</f>
        <v>1.0000000000000036</v>
      </c>
      <c r="AK9" s="123">
        <f>IFERROR((X9-AG9)/AG9, "NA")</f>
        <v>-4.4092306374624385E-2</v>
      </c>
      <c r="AL9" s="124">
        <f>IFERROR(AK9/AK148, "NA")</f>
        <v>1.0000000000000036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16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17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18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19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20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21</v>
      </c>
      <c r="B16" s="115">
        <v>2098.02</v>
      </c>
      <c r="C16" s="116">
        <f>IFERROR(B16/B148, "NA")</f>
        <v>5.0578574319781307E-2</v>
      </c>
      <c r="D16" s="115">
        <v>1917.76</v>
      </c>
      <c r="E16" s="116">
        <f>IFERROR(D16/D148, "NA")</f>
        <v>3.8462286698626315E-2</v>
      </c>
      <c r="F16" s="115">
        <v>2181.1</v>
      </c>
      <c r="G16" s="116">
        <f>IFERROR(F16/F148, "NA")</f>
        <v>4.2627550402177673E-2</v>
      </c>
      <c r="H16" s="115">
        <v>1595.25</v>
      </c>
      <c r="I16" s="116">
        <f>IFERROR(H16/H148, "NA")</f>
        <v>3.3672204858718163E-2</v>
      </c>
      <c r="J16" s="115">
        <v>1850.78</v>
      </c>
      <c r="K16" s="116">
        <f>IFERROR(J16/J148, "NA")</f>
        <v>4.1976805001707848E-2</v>
      </c>
      <c r="L16" s="115">
        <v>1432.03</v>
      </c>
      <c r="M16" s="116">
        <f>IFERROR(L16/L148, "NA")</f>
        <v>2.8888439701890457E-2</v>
      </c>
      <c r="N16" s="115">
        <v>1684.72</v>
      </c>
      <c r="O16" s="116">
        <f>IFERROR(N16/N148, "NA")</f>
        <v>4.0568418269465778E-2</v>
      </c>
      <c r="P16" s="115">
        <v>1391.59</v>
      </c>
      <c r="Q16" s="116">
        <f>IFERROR(P16/P148, "NA")</f>
        <v>3.5578152975396543E-2</v>
      </c>
      <c r="R16" s="115">
        <v>1564.08</v>
      </c>
      <c r="S16" s="116">
        <f>IFERROR(R16/R148, "NA")</f>
        <v>3.5841901301860685E-2</v>
      </c>
      <c r="T16" s="115">
        <v>1908.1</v>
      </c>
      <c r="U16" s="116">
        <f>IFERROR(T16/T148, "NA")</f>
        <v>3.9860170829900413E-2</v>
      </c>
      <c r="V16" s="115">
        <v>1861.15</v>
      </c>
      <c r="W16" s="116">
        <f>IFERROR(V16/V148, "NA")</f>
        <v>3.3751141570728789E-2</v>
      </c>
      <c r="X16" s="115">
        <v>1375.84</v>
      </c>
      <c r="Y16" s="116">
        <f>IFERROR(X16/X148, "NA")</f>
        <v>3.1588827275348848E-2</v>
      </c>
      <c r="Z16" s="115">
        <v>5145.09</v>
      </c>
      <c r="AA16" s="116">
        <f>IFERROR(Z16/Z148, "NA")</f>
        <v>3.5103822258367806E-2</v>
      </c>
      <c r="AB16" s="117">
        <f t="shared" si="0"/>
        <v>1677.2925</v>
      </c>
      <c r="AC16" s="116">
        <f>IFERROR(AB16/AB148, "NA")</f>
        <v>3.5273157103102526E-2</v>
      </c>
      <c r="AD16" s="118">
        <f t="shared" si="1"/>
        <v>-301.4525000000001</v>
      </c>
      <c r="AE16" s="119">
        <f>IFERROR(AD16/AD148, "NA")</f>
        <v>7.5421812597927837E-2</v>
      </c>
      <c r="AF16" s="118">
        <f t="shared" si="2"/>
        <v>-0.17972565906065882</v>
      </c>
      <c r="AG16" s="117">
        <f t="shared" si="3"/>
        <v>1633.5362499999999</v>
      </c>
      <c r="AH16" s="116">
        <f>IFERROR(AG16/AG148, "NA")</f>
        <v>3.5851745513014115E-2</v>
      </c>
      <c r="AI16" s="118">
        <f t="shared" si="4"/>
        <v>-257.69624999999996</v>
      </c>
      <c r="AJ16" s="119">
        <f>IFERROR(AI16/AI148, "NA")</f>
        <v>0.12827050687373429</v>
      </c>
      <c r="AK16" s="118">
        <f t="shared" si="5"/>
        <v>-0.15775361581354561</v>
      </c>
      <c r="AL16" s="119">
        <f>IFERROR(AK16/AK148, "NA")</f>
        <v>3.5778036756166407</v>
      </c>
    </row>
    <row r="17" spans="1:38" ht="16.5" customHeight="1" x14ac:dyDescent="0.25">
      <c r="A17" s="7" t="s">
        <v>22</v>
      </c>
      <c r="B17" s="115">
        <v>1264.8399999999999</v>
      </c>
      <c r="C17" s="116">
        <f>IFERROR(B17/B148, "NA")</f>
        <v>3.0492466202720749E-2</v>
      </c>
      <c r="D17" s="115">
        <v>1046.3599999999999</v>
      </c>
      <c r="E17" s="116">
        <f>IFERROR(D17/D148, "NA")</f>
        <v>2.0985628185995447E-2</v>
      </c>
      <c r="F17" s="115">
        <v>938.94</v>
      </c>
      <c r="G17" s="116">
        <f>IFERROR(F17/F148, "NA")</f>
        <v>1.8350700185512221E-2</v>
      </c>
      <c r="H17" s="115">
        <v>1391.84</v>
      </c>
      <c r="I17" s="116">
        <f>IFERROR(H17/H148, "NA")</f>
        <v>2.9378668929984818E-2</v>
      </c>
      <c r="J17" s="115">
        <v>1097.3499999999999</v>
      </c>
      <c r="K17" s="116">
        <f>IFERROR(J17/J148, "NA")</f>
        <v>2.4888558860925721E-2</v>
      </c>
      <c r="L17" s="115">
        <v>1061.22</v>
      </c>
      <c r="M17" s="116">
        <f>IFERROR(L17/L148, "NA")</f>
        <v>2.1408064063211101E-2</v>
      </c>
      <c r="N17" s="115">
        <v>1057.67</v>
      </c>
      <c r="O17" s="116">
        <f>IFERROR(N17/N148, "NA")</f>
        <v>2.5468920028886625E-2</v>
      </c>
      <c r="P17" s="115">
        <v>923.85</v>
      </c>
      <c r="Q17" s="116">
        <f>IFERROR(P17/P148, "NA")</f>
        <v>2.361965566461393E-2</v>
      </c>
      <c r="R17" s="115">
        <v>1247.3699999999999</v>
      </c>
      <c r="S17" s="116">
        <f>IFERROR(R17/R148, "NA")</f>
        <v>2.8584287521675335E-2</v>
      </c>
      <c r="T17" s="115">
        <v>1085.19</v>
      </c>
      <c r="U17" s="116">
        <f>IFERROR(T17/T148, "NA")</f>
        <v>2.2669597391593542E-2</v>
      </c>
      <c r="V17" s="115">
        <v>1144.52</v>
      </c>
      <c r="W17" s="116">
        <f>IFERROR(V17/V148, "NA")</f>
        <v>2.0755369825393177E-2</v>
      </c>
      <c r="X17" s="115">
        <v>1149.68</v>
      </c>
      <c r="Y17" s="116">
        <f>IFERROR(X17/X148, "NA")</f>
        <v>2.6396269146065725E-2</v>
      </c>
      <c r="Z17" s="115">
        <v>3379.39</v>
      </c>
      <c r="AA17" s="116">
        <f>IFERROR(Z17/Z148, "NA")</f>
        <v>2.3056837859338819E-2</v>
      </c>
      <c r="AB17" s="117">
        <f t="shared" si="0"/>
        <v>1156.69</v>
      </c>
      <c r="AC17" s="116">
        <f>IFERROR(AB17/AB148, "NA")</f>
        <v>2.4324980937783756E-2</v>
      </c>
      <c r="AD17" s="118">
        <f t="shared" si="1"/>
        <v>-7.0099999999999909</v>
      </c>
      <c r="AE17" s="119">
        <f>IFERROR(AD17/AD148, "NA")</f>
        <v>1.7538647259899098E-3</v>
      </c>
      <c r="AF17" s="118">
        <f t="shared" si="2"/>
        <v>-6.0603964761517699E-3</v>
      </c>
      <c r="AG17" s="117">
        <f t="shared" si="3"/>
        <v>1095.85625</v>
      </c>
      <c r="AH17" s="116">
        <f>IFERROR(AG17/AG148, "NA")</f>
        <v>2.4051109605829672E-2</v>
      </c>
      <c r="AI17" s="118">
        <f t="shared" si="4"/>
        <v>53.823750000000018</v>
      </c>
      <c r="AJ17" s="119">
        <f>IFERROR(AI17/AI148, "NA")</f>
        <v>-2.6791230739078117E-2</v>
      </c>
      <c r="AK17" s="118">
        <f t="shared" si="5"/>
        <v>4.911570290355146E-2</v>
      </c>
      <c r="AL17" s="119">
        <f>IFERROR(AK17/AK148, "NA")</f>
        <v>-1.1139290942561868</v>
      </c>
    </row>
    <row r="18" spans="1:38" ht="16.5" customHeight="1" x14ac:dyDescent="0.25">
      <c r="A18" s="7" t="s">
        <v>23</v>
      </c>
      <c r="B18" s="115">
        <v>1290.43</v>
      </c>
      <c r="C18" s="116">
        <f>IFERROR(B18/B148, "NA")</f>
        <v>3.1109383923640099E-2</v>
      </c>
      <c r="D18" s="115">
        <v>1734.51</v>
      </c>
      <c r="E18" s="116">
        <f>IFERROR(D18/D148, "NA")</f>
        <v>3.4787054116069964E-2</v>
      </c>
      <c r="F18" s="115">
        <v>1379.1</v>
      </c>
      <c r="G18" s="116">
        <f>IFERROR(F18/F148, "NA")</f>
        <v>2.6953213864400177E-2</v>
      </c>
      <c r="H18" s="115">
        <v>1325.44</v>
      </c>
      <c r="I18" s="116">
        <f>IFERROR(H18/H148, "NA")</f>
        <v>2.7977111554890705E-2</v>
      </c>
      <c r="J18" s="115">
        <v>1334.53</v>
      </c>
      <c r="K18" s="116">
        <f>IFERROR(J18/J148, "NA")</f>
        <v>3.0267944098666063E-2</v>
      </c>
      <c r="L18" s="115">
        <v>1669.82</v>
      </c>
      <c r="M18" s="116">
        <f>IFERROR(L18/L148, "NA")</f>
        <v>3.368539372988745E-2</v>
      </c>
      <c r="N18" s="115">
        <v>1246.3800000000001</v>
      </c>
      <c r="O18" s="116">
        <f>IFERROR(N18/N148, "NA")</f>
        <v>3.00130972284396E-2</v>
      </c>
      <c r="P18" s="115">
        <v>1149.1300000000001</v>
      </c>
      <c r="Q18" s="116">
        <f>IFERROR(P18/P148, "NA")</f>
        <v>2.9379287669944045E-2</v>
      </c>
      <c r="R18" s="115">
        <v>1305.3800000000001</v>
      </c>
      <c r="S18" s="116">
        <f>IFERROR(R18/R148, "NA")</f>
        <v>2.9913624061060115E-2</v>
      </c>
      <c r="T18" s="115">
        <v>1602.78</v>
      </c>
      <c r="U18" s="116">
        <f>IFERROR(T18/T148, "NA")</f>
        <v>3.3482042137596452E-2</v>
      </c>
      <c r="V18" s="115">
        <v>1720.04</v>
      </c>
      <c r="W18" s="116">
        <f>IFERROR(V18/V148, "NA")</f>
        <v>3.1192173412844929E-2</v>
      </c>
      <c r="X18" s="115">
        <v>1492.72</v>
      </c>
      <c r="Y18" s="116">
        <f>IFERROR(X18/X148, "NA")</f>
        <v>3.427235307191151E-2</v>
      </c>
      <c r="Z18" s="115">
        <v>4815.54</v>
      </c>
      <c r="AA18" s="116">
        <f>IFERROR(Z18/Z148, "NA")</f>
        <v>3.2855374782182721E-2</v>
      </c>
      <c r="AB18" s="117">
        <f t="shared" si="0"/>
        <v>1530.23</v>
      </c>
      <c r="AC18" s="116">
        <f>IFERROR(AB18/AB148, "NA")</f>
        <v>3.2180459397439971E-2</v>
      </c>
      <c r="AD18" s="118">
        <f t="shared" si="1"/>
        <v>-37.509999999999991</v>
      </c>
      <c r="AE18" s="119">
        <f>IFERROR(AD18/AD148, "NA")</f>
        <v>9.3848025494838224E-3</v>
      </c>
      <c r="AF18" s="118">
        <f t="shared" si="2"/>
        <v>-2.4512654960365428E-2</v>
      </c>
      <c r="AG18" s="117">
        <f t="shared" si="3"/>
        <v>1440.0975000000001</v>
      </c>
      <c r="AH18" s="116">
        <f>IFERROR(AG18/AG148, "NA")</f>
        <v>3.1606283046322264E-2</v>
      </c>
      <c r="AI18" s="118">
        <f t="shared" si="4"/>
        <v>52.622499999999945</v>
      </c>
      <c r="AJ18" s="119">
        <f>IFERROR(AI18/AI148, "NA")</f>
        <v>-2.6193298303576699E-2</v>
      </c>
      <c r="AK18" s="118">
        <f t="shared" si="5"/>
        <v>3.6540928652400231E-2</v>
      </c>
      <c r="AL18" s="119">
        <f>IFERROR(AK18/AK148, "NA")</f>
        <v>-0.82873706677839087</v>
      </c>
    </row>
    <row r="19" spans="1:38" ht="16.5" customHeight="1" x14ac:dyDescent="0.25">
      <c r="A19" s="7" t="s">
        <v>24</v>
      </c>
      <c r="B19" s="115">
        <v>653.54999999999995</v>
      </c>
      <c r="C19" s="116">
        <f>IFERROR(B19/B148, "NA")</f>
        <v>1.5755630187840475E-2</v>
      </c>
      <c r="D19" s="115">
        <v>1034.21</v>
      </c>
      <c r="E19" s="116">
        <f>IFERROR(D19/D148, "NA")</f>
        <v>2.0741949736456242E-2</v>
      </c>
      <c r="F19" s="115">
        <v>785.76</v>
      </c>
      <c r="G19" s="116">
        <f>IFERROR(F19/F148, "NA")</f>
        <v>1.5356940994917762E-2</v>
      </c>
      <c r="H19" s="115">
        <v>995.27</v>
      </c>
      <c r="I19" s="116">
        <f>IFERROR(H19/H148, "NA")</f>
        <v>2.1007951938402398E-2</v>
      </c>
      <c r="J19" s="115">
        <v>924.27</v>
      </c>
      <c r="K19" s="116">
        <f>IFERROR(J19/J148, "NA")</f>
        <v>2.0963000226352408E-2</v>
      </c>
      <c r="L19" s="115">
        <v>965.2</v>
      </c>
      <c r="M19" s="116">
        <f>IFERROR(L19/L148, "NA")</f>
        <v>1.9471045997824538E-2</v>
      </c>
      <c r="N19" s="115">
        <v>754.02</v>
      </c>
      <c r="O19" s="116">
        <f>IFERROR(N19/N148, "NA")</f>
        <v>1.8156963022664056E-2</v>
      </c>
      <c r="P19" s="115">
        <v>958.38</v>
      </c>
      <c r="Q19" s="116">
        <f>IFERROR(P19/P148, "NA")</f>
        <v>2.450246857807295E-2</v>
      </c>
      <c r="R19" s="115">
        <v>833.27</v>
      </c>
      <c r="S19" s="116">
        <f>IFERROR(R19/R148, "NA")</f>
        <v>1.9094919120378404E-2</v>
      </c>
      <c r="T19" s="115">
        <v>931.63</v>
      </c>
      <c r="U19" s="116">
        <f>IFERROR(T19/T148, "NA")</f>
        <v>1.9461732063445376E-2</v>
      </c>
      <c r="V19" s="115">
        <v>893.29</v>
      </c>
      <c r="W19" s="116">
        <f>IFERROR(V19/V148, "NA")</f>
        <v>1.61994236110557E-2</v>
      </c>
      <c r="X19" s="115">
        <v>714.66</v>
      </c>
      <c r="Y19" s="116">
        <f>IFERROR(X19/X148, "NA")</f>
        <v>1.6408355114403424E-2</v>
      </c>
      <c r="Z19" s="115">
        <v>2539.58</v>
      </c>
      <c r="AA19" s="116">
        <f>IFERROR(Z19/Z148, "NA")</f>
        <v>1.7326998153755463E-2</v>
      </c>
      <c r="AB19" s="117">
        <f t="shared" si="0"/>
        <v>843.21249999999998</v>
      </c>
      <c r="AC19" s="116">
        <f>IFERROR(AB19/AB148, "NA")</f>
        <v>1.7732605960975704E-2</v>
      </c>
      <c r="AD19" s="118">
        <f t="shared" si="1"/>
        <v>-128.55250000000001</v>
      </c>
      <c r="AE19" s="119">
        <f>IFERROR(AD19/AD148, "NA")</f>
        <v>3.2163151952613156E-2</v>
      </c>
      <c r="AF19" s="118">
        <f t="shared" si="2"/>
        <v>-0.15245563840668871</v>
      </c>
      <c r="AG19" s="117">
        <f t="shared" si="3"/>
        <v>871.83999999999992</v>
      </c>
      <c r="AH19" s="116">
        <f>IFERROR(AG19/AG148, "NA")</f>
        <v>1.9134552911247747E-2</v>
      </c>
      <c r="AI19" s="118">
        <f t="shared" si="4"/>
        <v>-157.17999999999995</v>
      </c>
      <c r="AJ19" s="119">
        <f>IFERROR(AI19/AI148, "NA")</f>
        <v>7.8237685920588884E-2</v>
      </c>
      <c r="AK19" s="118">
        <f t="shared" si="5"/>
        <v>-0.1802853734630207</v>
      </c>
      <c r="AL19" s="119">
        <f>IFERROR(AK19/AK148, "NA")</f>
        <v>4.0888170360436753</v>
      </c>
    </row>
    <row r="20" spans="1:38" ht="16.5" customHeight="1" x14ac:dyDescent="0.25">
      <c r="A20" s="7" t="s">
        <v>25</v>
      </c>
      <c r="B20" s="115">
        <v>549.02</v>
      </c>
      <c r="C20" s="116">
        <f>IFERROR(B20/B148, "NA")</f>
        <v>1.3235645452877634E-2</v>
      </c>
      <c r="D20" s="115">
        <v>581.52</v>
      </c>
      <c r="E20" s="116">
        <f>IFERROR(D20/D148, "NA")</f>
        <v>1.1662871767575283E-2</v>
      </c>
      <c r="F20" s="115">
        <v>943.81</v>
      </c>
      <c r="G20" s="116">
        <f>IFERROR(F20/F148, "NA")</f>
        <v>1.8445879760249098E-2</v>
      </c>
      <c r="H20" s="115">
        <v>513.5</v>
      </c>
      <c r="I20" s="116">
        <f>IFERROR(H20/H148, "NA")</f>
        <v>1.0838851086006442E-2</v>
      </c>
      <c r="J20" s="115">
        <v>763.72</v>
      </c>
      <c r="K20" s="116">
        <f>IFERROR(J20/J148, "NA")</f>
        <v>1.7321629537764789E-2</v>
      </c>
      <c r="L20" s="115">
        <v>419.33</v>
      </c>
      <c r="M20" s="116">
        <f>IFERROR(L20/L148, "NA")</f>
        <v>8.4591729364564463E-3</v>
      </c>
      <c r="N20" s="115">
        <v>597.42999999999995</v>
      </c>
      <c r="O20" s="116">
        <f>IFERROR(N20/N148, "NA")</f>
        <v>1.4386242299448538E-2</v>
      </c>
      <c r="P20" s="115">
        <v>726.42</v>
      </c>
      <c r="Q20" s="116">
        <f>IFERROR(P20/P148, "NA")</f>
        <v>1.8572052029971153E-2</v>
      </c>
      <c r="R20" s="115">
        <v>791.75</v>
      </c>
      <c r="S20" s="116">
        <f>IFERROR(R20/R148, "NA")</f>
        <v>1.8143461559350031E-2</v>
      </c>
      <c r="T20" s="115">
        <v>448.06</v>
      </c>
      <c r="U20" s="116">
        <f>IFERROR(T20/T148, "NA")</f>
        <v>9.3599644368980561E-3</v>
      </c>
      <c r="V20" s="115">
        <v>870.18</v>
      </c>
      <c r="W20" s="116">
        <f>IFERROR(V20/V148, "NA")</f>
        <v>1.5780333864555126E-2</v>
      </c>
      <c r="X20" s="115">
        <v>876.98</v>
      </c>
      <c r="Y20" s="116">
        <f>IFERROR(X20/X148, "NA")</f>
        <v>2.0135168147412077E-2</v>
      </c>
      <c r="Z20" s="115">
        <v>2195.2199999999998</v>
      </c>
      <c r="AA20" s="116">
        <f>IFERROR(Z20/Z148, "NA")</f>
        <v>1.4977505291066659E-2</v>
      </c>
      <c r="AB20" s="117">
        <f t="shared" si="0"/>
        <v>746.74249999999995</v>
      </c>
      <c r="AC20" s="116">
        <f>IFERROR(AB20/AB148, "NA")</f>
        <v>1.5703859355517023E-2</v>
      </c>
      <c r="AD20" s="118">
        <f t="shared" si="1"/>
        <v>130.23750000000007</v>
      </c>
      <c r="AE20" s="119">
        <f>IFERROR(AD20/AD148, "NA")</f>
        <v>-3.2584729993025863E-2</v>
      </c>
      <c r="AF20" s="118">
        <f t="shared" si="2"/>
        <v>0.17440750995155635</v>
      </c>
      <c r="AG20" s="117">
        <f t="shared" si="3"/>
        <v>686.7337500000001</v>
      </c>
      <c r="AH20" s="116">
        <f>IFERROR(AG20/AG148, "NA")</f>
        <v>1.5071966502241909E-2</v>
      </c>
      <c r="AI20" s="118">
        <f t="shared" si="4"/>
        <v>190.24624999999992</v>
      </c>
      <c r="AJ20" s="119">
        <f>IFERROR(AI20/AI148, "NA")</f>
        <v>-9.4696693950056185E-2</v>
      </c>
      <c r="AK20" s="118">
        <f t="shared" si="5"/>
        <v>0.27703058135703962</v>
      </c>
      <c r="AL20" s="119">
        <f>IFERROR(AK20/AK148, "NA")</f>
        <v>-6.2829687112143171</v>
      </c>
    </row>
    <row r="21" spans="1:38" ht="16.5" customHeight="1" x14ac:dyDescent="0.25">
      <c r="A21" s="7" t="s">
        <v>26</v>
      </c>
      <c r="B21" s="115">
        <v>394.77</v>
      </c>
      <c r="C21" s="116">
        <f>IFERROR(B21/B148, "NA")</f>
        <v>9.5170226138073365E-3</v>
      </c>
      <c r="D21" s="115">
        <v>500.48</v>
      </c>
      <c r="E21" s="116">
        <f>IFERROR(D21/D148, "NA")</f>
        <v>1.0037546537068506E-2</v>
      </c>
      <c r="F21" s="115">
        <v>485.93</v>
      </c>
      <c r="G21" s="116">
        <f>IFERROR(F21/F148, "NA")</f>
        <v>9.4970453289304462E-3</v>
      </c>
      <c r="H21" s="115">
        <v>606.97</v>
      </c>
      <c r="I21" s="116">
        <f>IFERROR(H21/H148, "NA")</f>
        <v>1.2811796384952931E-2</v>
      </c>
      <c r="J21" s="115">
        <v>338.99</v>
      </c>
      <c r="K21" s="116">
        <f>IFERROR(J21/J148, "NA")</f>
        <v>7.688497351132465E-3</v>
      </c>
      <c r="L21" s="115">
        <v>417.92</v>
      </c>
      <c r="M21" s="116">
        <f>IFERROR(L21/L148, "NA")</f>
        <v>8.4307289094600404E-3</v>
      </c>
      <c r="N21" s="115">
        <v>391.1</v>
      </c>
      <c r="O21" s="116">
        <f>IFERROR(N21/N148, "NA")</f>
        <v>9.4177717277577691E-3</v>
      </c>
      <c r="P21" s="115">
        <v>438.55</v>
      </c>
      <c r="Q21" s="116">
        <f>IFERROR(P21/P148, "NA")</f>
        <v>1.1212209765347663E-2</v>
      </c>
      <c r="R21" s="115">
        <v>262.24</v>
      </c>
      <c r="S21" s="116">
        <f>IFERROR(R21/R148, "NA")</f>
        <v>6.0093986224489448E-3</v>
      </c>
      <c r="T21" s="115">
        <v>623.86</v>
      </c>
      <c r="U21" s="116">
        <f>IFERROR(T21/T148, "NA")</f>
        <v>1.3032422920151812E-2</v>
      </c>
      <c r="V21" s="115">
        <v>412.45</v>
      </c>
      <c r="W21" s="116">
        <f>IFERROR(V21/V148, "NA")</f>
        <v>7.4796004302969061E-3</v>
      </c>
      <c r="X21" s="115">
        <v>418.86</v>
      </c>
      <c r="Y21" s="116">
        <f>IFERROR(X21/X148, "NA")</f>
        <v>9.6168858243346755E-3</v>
      </c>
      <c r="Z21" s="115">
        <v>1455.17</v>
      </c>
      <c r="AA21" s="116">
        <f>IFERROR(Z21/Z148, "NA")</f>
        <v>9.9283062173274091E-3</v>
      </c>
      <c r="AB21" s="117">
        <f t="shared" si="0"/>
        <v>429.35249999999996</v>
      </c>
      <c r="AC21" s="116">
        <f>IFERROR(AB21/AB148, "NA")</f>
        <v>9.0292052132289538E-3</v>
      </c>
      <c r="AD21" s="118">
        <f t="shared" si="1"/>
        <v>-10.49249999999995</v>
      </c>
      <c r="AE21" s="119">
        <f>IFERROR(AD21/AD148, "NA")</f>
        <v>2.6251677086232619E-3</v>
      </c>
      <c r="AF21" s="118">
        <f t="shared" si="2"/>
        <v>-2.443796181459279E-2</v>
      </c>
      <c r="AG21" s="117">
        <f t="shared" si="3"/>
        <v>412.99625000000003</v>
      </c>
      <c r="AH21" s="116">
        <f>IFERROR(AG21/AG148, "NA")</f>
        <v>9.0641615408468337E-3</v>
      </c>
      <c r="AI21" s="118">
        <f t="shared" si="4"/>
        <v>5.8637499999999818</v>
      </c>
      <c r="AJ21" s="119">
        <f>IFERROR(AI21/AI148, "NA")</f>
        <v>-2.9187315868230805E-3</v>
      </c>
      <c r="AK21" s="118">
        <f t="shared" si="5"/>
        <v>1.419807080572761E-2</v>
      </c>
      <c r="AL21" s="119">
        <f>IFERROR(AK21/AK148, "NA")</f>
        <v>-0.32200789600561264</v>
      </c>
    </row>
    <row r="22" spans="1:38" ht="16.5" hidden="1" customHeight="1" x14ac:dyDescent="0.25">
      <c r="A22" s="7" t="s">
        <v>27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28</v>
      </c>
      <c r="B23" s="115">
        <v>160.02000000000001</v>
      </c>
      <c r="C23" s="116">
        <f>IFERROR(B23/B148, "NA")</f>
        <v>3.8577246464053753E-3</v>
      </c>
      <c r="D23" s="115">
        <v>535.89</v>
      </c>
      <c r="E23" s="116">
        <f>IFERROR(D23/D148, "NA")</f>
        <v>1.0747723812639149E-2</v>
      </c>
      <c r="F23" s="115">
        <v>224.58</v>
      </c>
      <c r="G23" s="116">
        <f>IFERROR(F23/F148, "NA")</f>
        <v>4.3892051117881171E-3</v>
      </c>
      <c r="H23" s="115">
        <v>74.47</v>
      </c>
      <c r="I23" s="116">
        <f>IFERROR(H23/H148, "NA")</f>
        <v>1.5718972548683537E-3</v>
      </c>
      <c r="J23" s="115">
        <v>282.38</v>
      </c>
      <c r="K23" s="116">
        <f>IFERROR(J23/J148, "NA")</f>
        <v>6.4045484586943138E-3</v>
      </c>
      <c r="L23" s="115">
        <v>184.38</v>
      </c>
      <c r="M23" s="116">
        <f>IFERROR(L23/L148, "NA")</f>
        <v>3.7195104238281059E-3</v>
      </c>
      <c r="N23" s="115">
        <v>234.84</v>
      </c>
      <c r="O23" s="116">
        <f>IFERROR(N23/N148, "NA")</f>
        <v>5.6549974751895528E-3</v>
      </c>
      <c r="P23" s="115">
        <v>459.69</v>
      </c>
      <c r="Q23" s="116">
        <f>IFERROR(P23/P148, "NA")</f>
        <v>1.1752686596813743E-2</v>
      </c>
      <c r="R23" s="115">
        <v>234.29</v>
      </c>
      <c r="S23" s="116">
        <f>IFERROR(R23/R148, "NA")</f>
        <v>5.3689063577393352E-3</v>
      </c>
      <c r="T23" s="115">
        <v>139.02000000000001</v>
      </c>
      <c r="U23" s="116">
        <f>IFERROR(T23/T148, "NA")</f>
        <v>2.9041250190098822E-3</v>
      </c>
      <c r="V23" s="115">
        <v>351.25</v>
      </c>
      <c r="W23" s="116">
        <f>IFERROR(V23/V148, "NA")</f>
        <v>6.3697651864269324E-3</v>
      </c>
      <c r="X23" s="115">
        <v>303.16000000000003</v>
      </c>
      <c r="Y23" s="116">
        <f>IFERROR(X23/X148, "NA")</f>
        <v>6.9604524340001438E-3</v>
      </c>
      <c r="Z23" s="115">
        <v>793.43</v>
      </c>
      <c r="AA23" s="116">
        <f>IFERROR(Z23/Z148, "NA")</f>
        <v>5.4133991231361872E-3</v>
      </c>
      <c r="AB23" s="117">
        <f t="shared" si="0"/>
        <v>256.93</v>
      </c>
      <c r="AC23" s="116">
        <f>IFERROR(AB23/AB148, "NA")</f>
        <v>5.4031913065253276E-3</v>
      </c>
      <c r="AD23" s="118">
        <f t="shared" si="1"/>
        <v>46.230000000000018</v>
      </c>
      <c r="AE23" s="119">
        <f>IFERROR(AD23/AD148, "NA")</f>
        <v>-1.1566500182954874E-2</v>
      </c>
      <c r="AF23" s="118">
        <f t="shared" si="2"/>
        <v>0.17993227727396574</v>
      </c>
      <c r="AG23" s="117">
        <f t="shared" si="3"/>
        <v>273.62624999999997</v>
      </c>
      <c r="AH23" s="116">
        <f>IFERROR(AG23/AG148, "NA")</f>
        <v>6.0053633218610106E-3</v>
      </c>
      <c r="AI23" s="118">
        <f t="shared" si="4"/>
        <v>29.533750000000055</v>
      </c>
      <c r="AJ23" s="119">
        <f>IFERROR(AI23/AI148, "NA")</f>
        <v>-1.4700676018305108E-2</v>
      </c>
      <c r="AK23" s="118">
        <f t="shared" si="5"/>
        <v>0.10793463711906316</v>
      </c>
      <c r="AL23" s="119">
        <f>IFERROR(AK23/AK148, "NA")</f>
        <v>-2.4479245018850073</v>
      </c>
    </row>
    <row r="24" spans="1:38" ht="16.5" customHeight="1" x14ac:dyDescent="0.25">
      <c r="A24" s="7" t="s">
        <v>29</v>
      </c>
      <c r="B24" s="115">
        <v>2512.91</v>
      </c>
      <c r="C24" s="116">
        <f>IFERROR(B24/B148, "NA")</f>
        <v>6.0580645176843709E-2</v>
      </c>
      <c r="D24" s="115">
        <v>2734.04</v>
      </c>
      <c r="E24" s="116">
        <f>IFERROR(D24/D148, "NA")</f>
        <v>5.4833467339767378E-2</v>
      </c>
      <c r="F24" s="115">
        <v>2908.93</v>
      </c>
      <c r="G24" s="116">
        <f>IFERROR(F24/F148, "NA")</f>
        <v>5.685230397111856E-2</v>
      </c>
      <c r="H24" s="115">
        <v>2811.2</v>
      </c>
      <c r="I24" s="116">
        <f>IFERROR(H24/H148, "NA")</f>
        <v>5.9338224290129124E-2</v>
      </c>
      <c r="J24" s="115">
        <v>2216.1999999999998</v>
      </c>
      <c r="K24" s="116">
        <f>IFERROR(J24/J148, "NA")</f>
        <v>5.0264750669871579E-2</v>
      </c>
      <c r="L24" s="115">
        <v>2362.21</v>
      </c>
      <c r="M24" s="116">
        <f>IFERROR(L24/L148, "NA")</f>
        <v>4.7653024830626917E-2</v>
      </c>
      <c r="N24" s="115">
        <v>2413.1</v>
      </c>
      <c r="O24" s="116">
        <f>IFERROR(N24/N148, "NA")</f>
        <v>5.8107964603048498E-2</v>
      </c>
      <c r="P24" s="115">
        <v>2328.41</v>
      </c>
      <c r="Q24" s="116">
        <f>IFERROR(P24/P148, "NA")</f>
        <v>5.9529406771709384E-2</v>
      </c>
      <c r="R24" s="115">
        <v>2332.7199999999998</v>
      </c>
      <c r="S24" s="116">
        <f>IFERROR(R24/R148, "NA")</f>
        <v>5.3455782316042942E-2</v>
      </c>
      <c r="T24" s="115">
        <v>2422.5</v>
      </c>
      <c r="U24" s="116">
        <f>IFERROR(T24/T148, "NA")</f>
        <v>5.0605976539716872E-2</v>
      </c>
      <c r="V24" s="115">
        <v>3077.47</v>
      </c>
      <c r="W24" s="116">
        <f>IFERROR(V24/V148, "NA")</f>
        <v>5.5808573005760261E-2</v>
      </c>
      <c r="X24" s="115">
        <v>2086.0300000000002</v>
      </c>
      <c r="Y24" s="116">
        <f>IFERROR(X24/X148, "NA")</f>
        <v>4.7894552681413516E-2</v>
      </c>
      <c r="Z24" s="115">
        <v>7586</v>
      </c>
      <c r="AA24" s="116">
        <f>IFERROR(Z24/Z148, "NA")</f>
        <v>5.1757616611561343E-2</v>
      </c>
      <c r="AB24" s="117">
        <f t="shared" si="0"/>
        <v>2479.6799999999998</v>
      </c>
      <c r="AC24" s="116">
        <f>IFERROR(AB24/AB148, "NA")</f>
        <v>5.2147220717567909E-2</v>
      </c>
      <c r="AD24" s="118">
        <f t="shared" si="1"/>
        <v>-393.64999999999964</v>
      </c>
      <c r="AE24" s="119">
        <f>IFERROR(AD24/AD148, "NA")</f>
        <v>9.8489136859618867E-2</v>
      </c>
      <c r="AF24" s="118">
        <f t="shared" si="2"/>
        <v>-0.1587503226222737</v>
      </c>
      <c r="AG24" s="117">
        <f t="shared" si="3"/>
        <v>2404.83</v>
      </c>
      <c r="AH24" s="116">
        <f>IFERROR(AG24/AG148, "NA")</f>
        <v>5.2779577534359426E-2</v>
      </c>
      <c r="AI24" s="118">
        <f t="shared" si="4"/>
        <v>-318.79999999999973</v>
      </c>
      <c r="AJ24" s="119">
        <f>IFERROR(AI24/AI148, "NA")</f>
        <v>0.1586854197193264</v>
      </c>
      <c r="AK24" s="118">
        <f t="shared" si="5"/>
        <v>-0.13256654316521324</v>
      </c>
      <c r="AL24" s="119">
        <f>IFERROR(AK24/AK148, "NA")</f>
        <v>3.0065685845253771</v>
      </c>
    </row>
    <row r="25" spans="1:38" ht="16.5" hidden="1" customHeight="1" x14ac:dyDescent="0.25">
      <c r="A25" s="7" t="s">
        <v>30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31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32</v>
      </c>
      <c r="B27" s="121">
        <f>IFERROR(B15+B16+B17+B18+B19+B20+B21+B22+B23+B24+B25+B26, "NA")</f>
        <v>8923.5600000000013</v>
      </c>
      <c r="C27" s="122">
        <f>IFERROR(B27/B148, "NA")</f>
        <v>0.21512709252391674</v>
      </c>
      <c r="D27" s="121">
        <f>IFERROR(D15+D16+D17+D18+D19+D20+D21+D22+D23+D24+D25+D26, "NA")</f>
        <v>10084.77</v>
      </c>
      <c r="E27" s="122">
        <f>IFERROR(D27/D148, "NA")</f>
        <v>0.20225852819419829</v>
      </c>
      <c r="F27" s="121">
        <f>IFERROR(F15+F16+F17+F18+F19+F20+F21+F22+F23+F24+F25+F26, "NA")</f>
        <v>9848.15</v>
      </c>
      <c r="G27" s="122">
        <f>IFERROR(F27/F148, "NA")</f>
        <v>0.19247283961909406</v>
      </c>
      <c r="H27" s="121">
        <f>IFERROR(H15+H16+H17+H18+H19+H20+H21+H22+H23+H24+H25+H26, "NA")</f>
        <v>9313.9400000000023</v>
      </c>
      <c r="I27" s="122">
        <f>IFERROR(H27/H148, "NA")</f>
        <v>0.19659670629795298</v>
      </c>
      <c r="J27" s="121">
        <f>IFERROR(J15+J16+J17+J18+J19+J20+J21+J22+J23+J24+J25+J26, "NA")</f>
        <v>8808.2200000000012</v>
      </c>
      <c r="K27" s="122">
        <f>IFERROR(J27/J148, "NA")</f>
        <v>0.19977573420511521</v>
      </c>
      <c r="L27" s="121">
        <f>IFERROR(L15+L16+L17+L18+L19+L20+L21+L22+L23+L24+L25+L26, "NA")</f>
        <v>8512.11</v>
      </c>
      <c r="M27" s="122">
        <f>IFERROR(L27/L148, "NA")</f>
        <v>0.17171538059318506</v>
      </c>
      <c r="N27" s="121">
        <f>IFERROR(N15+N16+N17+N18+N19+N20+N21+N22+N23+N24+N25+N26, "NA")</f>
        <v>8379.260000000002</v>
      </c>
      <c r="O27" s="122">
        <f>IFERROR(N27/N148, "NA")</f>
        <v>0.20177437465490047</v>
      </c>
      <c r="P27" s="121">
        <f>IFERROR(P15+P16+P17+P18+P19+P20+P21+P22+P23+P24+P25+P26, "NA")</f>
        <v>8376.02</v>
      </c>
      <c r="Q27" s="122">
        <f>IFERROR(P27/P148, "NA")</f>
        <v>0.21414592005186942</v>
      </c>
      <c r="R27" s="121">
        <f>IFERROR(R15+R16+R17+R18+R19+R20+R21+R22+R23+R24+R25+R26, "NA")</f>
        <v>8571.1</v>
      </c>
      <c r="S27" s="122">
        <f>IFERROR(R27/R148, "NA")</f>
        <v>0.19641228086055579</v>
      </c>
      <c r="T27" s="121">
        <f>IFERROR(T15+T16+T17+T18+T19+T20+T21+T22+T23+T24+T25+T26, "NA")</f>
        <v>9161.14</v>
      </c>
      <c r="U27" s="122">
        <f>IFERROR(T27/T148, "NA")</f>
        <v>0.19137603133831238</v>
      </c>
      <c r="V27" s="121">
        <f>IFERROR(V15+V16+V17+V18+V19+V20+V21+V22+V23+V24+V25+V26, "NA")</f>
        <v>10330.35</v>
      </c>
      <c r="W27" s="122">
        <f>IFERROR(V27/V148, "NA")</f>
        <v>0.18733638090706181</v>
      </c>
      <c r="X27" s="121">
        <f>IFERROR(X15+X16+X17+X18+X19+X20+X21+X22+X23+X24+X25+X26, "NA")</f>
        <v>8417.9299999999985</v>
      </c>
      <c r="Y27" s="122">
        <f>IFERROR(X27/X148, "NA")</f>
        <v>0.19327286369488988</v>
      </c>
      <c r="Z27" s="121">
        <f>IFERROR(Z15+Z16+Z17+Z18+Z19+Z20+Z21+Z22+Z23+Z24+Z25+Z26, "NA")</f>
        <v>27909.42</v>
      </c>
      <c r="AA27" s="122">
        <f>IFERROR(Z27/Z148, "NA")</f>
        <v>0.19041986029673638</v>
      </c>
      <c r="AB27" s="121">
        <f t="shared" si="0"/>
        <v>9120.1299999999992</v>
      </c>
      <c r="AC27" s="122">
        <f>IFERROR(AB27/AB148, "NA")</f>
        <v>0.19179467999214114</v>
      </c>
      <c r="AD27" s="123">
        <f t="shared" si="1"/>
        <v>-702.20000000000073</v>
      </c>
      <c r="AE27" s="124">
        <f>IFERROR(AD27/AD148, "NA")</f>
        <v>0.17568670621827639</v>
      </c>
      <c r="AF27" s="123">
        <f t="shared" si="2"/>
        <v>-7.6994516525532075E-2</v>
      </c>
      <c r="AG27" s="121">
        <f t="shared" si="3"/>
        <v>8819.5162499999988</v>
      </c>
      <c r="AH27" s="122">
        <f>IFERROR(AG27/AG148, "NA")</f>
        <v>0.19356475997572295</v>
      </c>
      <c r="AI27" s="123">
        <f t="shared" si="4"/>
        <v>-401.58625000000029</v>
      </c>
      <c r="AJ27" s="124">
        <f>IFERROR(AI27/AI148, "NA")</f>
        <v>0.19989298191581065</v>
      </c>
      <c r="AK27" s="123">
        <f t="shared" si="5"/>
        <v>-4.5533818252219936E-2</v>
      </c>
      <c r="AL27" s="124">
        <f>IFERROR(AK27/AK148, "NA")</f>
        <v>1.0326930477473348</v>
      </c>
    </row>
    <row r="28" spans="1:38" ht="16.5" customHeight="1" x14ac:dyDescent="0.25">
      <c r="A28" s="6" t="s">
        <v>33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34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35</v>
      </c>
      <c r="B30" s="115">
        <v>487.72</v>
      </c>
      <c r="C30" s="116">
        <f>IFERROR(B30/B148, "NA")</f>
        <v>1.1757839423477251E-2</v>
      </c>
      <c r="D30" s="115">
        <v>523.28</v>
      </c>
      <c r="E30" s="116">
        <f>IFERROR(D30/D148, "NA")</f>
        <v>1.0494819676944548E-2</v>
      </c>
      <c r="F30" s="115">
        <v>472.27</v>
      </c>
      <c r="G30" s="116">
        <f>IFERROR(F30/F148, "NA")</f>
        <v>9.230073462214685E-3</v>
      </c>
      <c r="H30" s="115">
        <v>470.85</v>
      </c>
      <c r="I30" s="116">
        <f>IFERROR(H30/H148, "NA")</f>
        <v>9.9386037660099957E-3</v>
      </c>
      <c r="J30" s="115">
        <v>347.2</v>
      </c>
      <c r="K30" s="116">
        <f>IFERROR(J30/J148, "NA")</f>
        <v>7.8747050954694579E-3</v>
      </c>
      <c r="L30" s="115">
        <v>607.32000000000005</v>
      </c>
      <c r="M30" s="116">
        <f>IFERROR(L30/L148, "NA")</f>
        <v>1.2251508138622875E-2</v>
      </c>
      <c r="N30" s="115">
        <v>586.84</v>
      </c>
      <c r="O30" s="116">
        <f>IFERROR(N30/N148, "NA")</f>
        <v>1.4131232832312372E-2</v>
      </c>
      <c r="P30" s="115">
        <v>283.3</v>
      </c>
      <c r="Q30" s="116">
        <f>IFERROR(P30/P148, "NA")</f>
        <v>7.2430031388051371E-3</v>
      </c>
      <c r="R30" s="115">
        <v>377.79</v>
      </c>
      <c r="S30" s="116">
        <f>IFERROR(R30/R148, "NA")</f>
        <v>8.657301348287778E-3</v>
      </c>
      <c r="T30" s="115">
        <v>680.67</v>
      </c>
      <c r="U30" s="116">
        <f>IFERROR(T30/T148, "NA")</f>
        <v>1.4219182683710663E-2</v>
      </c>
      <c r="V30" s="115">
        <v>696.17</v>
      </c>
      <c r="W30" s="116">
        <f>IFERROR(V30/V148, "NA")</f>
        <v>1.2624738590277117E-2</v>
      </c>
      <c r="X30" s="115">
        <v>463.27</v>
      </c>
      <c r="Y30" s="116">
        <f>IFERROR(X30/X148, "NA")</f>
        <v>1.0636524604496787E-2</v>
      </c>
      <c r="Z30" s="115">
        <v>1840.11</v>
      </c>
      <c r="AA30" s="116">
        <f>IFERROR(Z30/Z148, "NA")</f>
        <v>1.2554667532705E-2</v>
      </c>
      <c r="AB30" s="117">
        <f t="shared" si="6"/>
        <v>554.47500000000002</v>
      </c>
      <c r="AC30" s="116">
        <f>IFERROR(AB30/AB148, "NA")</f>
        <v>1.1660508697643837E-2</v>
      </c>
      <c r="AD30" s="118">
        <f t="shared" si="7"/>
        <v>-91.205000000000041</v>
      </c>
      <c r="AE30" s="119">
        <f>IFERROR(AD30/AD148, "NA")</f>
        <v>2.2819006039074181E-2</v>
      </c>
      <c r="AF30" s="118">
        <f t="shared" si="8"/>
        <v>-0.16448893097073816</v>
      </c>
      <c r="AG30" s="117">
        <f t="shared" si="9"/>
        <v>505.32000000000005</v>
      </c>
      <c r="AH30" s="116">
        <f>IFERROR(AG30/AG148, "NA")</f>
        <v>1.1090420578445257E-2</v>
      </c>
      <c r="AI30" s="118">
        <f t="shared" si="10"/>
        <v>-42.050000000000068</v>
      </c>
      <c r="AJ30" s="119">
        <f>IFERROR(AI30/AI148, "NA")</f>
        <v>2.0930746233367915E-2</v>
      </c>
      <c r="AK30" s="118">
        <f t="shared" si="11"/>
        <v>-8.3214596691205706E-2</v>
      </c>
      <c r="AL30" s="119">
        <f>IFERROR(AK30/AK148, "NA")</f>
        <v>1.8872815584692781</v>
      </c>
    </row>
    <row r="31" spans="1:38" ht="16.5" customHeight="1" x14ac:dyDescent="0.25">
      <c r="A31" s="7" t="s">
        <v>36</v>
      </c>
      <c r="B31" s="115">
        <v>12.94</v>
      </c>
      <c r="C31" s="116">
        <f>IFERROR(B31/B148, "NA")</f>
        <v>3.1195448646722629E-4</v>
      </c>
      <c r="D31" s="115">
        <v>14.53</v>
      </c>
      <c r="E31" s="116">
        <f>IFERROR(D31/D148, "NA")</f>
        <v>2.9141134747363607E-4</v>
      </c>
      <c r="F31" s="115">
        <v>8.9</v>
      </c>
      <c r="G31" s="116">
        <f>IFERROR(F31/F148, "NA")</f>
        <v>1.7394213863618419E-4</v>
      </c>
      <c r="H31" s="115">
        <v>12.93</v>
      </c>
      <c r="I31" s="116">
        <f>IFERROR(H31/H148, "NA")</f>
        <v>2.7292374789106771E-4</v>
      </c>
      <c r="J31" s="115">
        <v>13.7</v>
      </c>
      <c r="K31" s="116">
        <f>IFERROR(J31/J148, "NA")</f>
        <v>3.1072425059888129E-4</v>
      </c>
      <c r="L31" s="115">
        <v>16.12</v>
      </c>
      <c r="M31" s="116">
        <f>IFERROR(L31/L148, "NA")</f>
        <v>3.2518986892346826E-4</v>
      </c>
      <c r="N31" s="115">
        <v>138.07</v>
      </c>
      <c r="O31" s="116">
        <f>IFERROR(N31/N148, "NA")</f>
        <v>3.3247551584032597E-3</v>
      </c>
      <c r="P31" s="115">
        <v>-92.69</v>
      </c>
      <c r="Q31" s="116">
        <f>IFERROR(P31/P148, "NA")</f>
        <v>-2.3697633636987226E-3</v>
      </c>
      <c r="R31" s="115">
        <v>18.63</v>
      </c>
      <c r="S31" s="116">
        <f>IFERROR(R31/R148, "NA")</f>
        <v>4.2691845765796153E-4</v>
      </c>
      <c r="T31" s="115">
        <v>5.64</v>
      </c>
      <c r="U31" s="116">
        <f>IFERROR(T31/T148, "NA")</f>
        <v>1.1781948717605909E-4</v>
      </c>
      <c r="V31" s="115">
        <v>5.62</v>
      </c>
      <c r="W31" s="116">
        <f>IFERROR(V31/V148, "NA")</f>
        <v>1.0191624298283092E-4</v>
      </c>
      <c r="X31" s="115">
        <v>14.55</v>
      </c>
      <c r="Y31" s="116">
        <f>IFERROR(X31/X148, "NA")</f>
        <v>3.3406314459263127E-4</v>
      </c>
      <c r="Z31" s="115">
        <v>25.81</v>
      </c>
      <c r="AA31" s="116">
        <f>IFERROR(Z31/Z148, "NA")</f>
        <v>1.7609597742478225E-4</v>
      </c>
      <c r="AB31" s="117">
        <f t="shared" si="6"/>
        <v>11.11</v>
      </c>
      <c r="AC31" s="116">
        <f>IFERROR(AB31/AB148, "NA")</f>
        <v>2.3364128523526399E-4</v>
      </c>
      <c r="AD31" s="118">
        <f t="shared" si="7"/>
        <v>3.4400000000000013</v>
      </c>
      <c r="AE31" s="119">
        <f>IFERROR(AD31/AD148, "NA")</f>
        <v>-8.6066970861701857E-4</v>
      </c>
      <c r="AF31" s="118">
        <f t="shared" si="8"/>
        <v>0.30963096309630977</v>
      </c>
      <c r="AG31" s="117">
        <f t="shared" si="9"/>
        <v>14.954999999999998</v>
      </c>
      <c r="AH31" s="116">
        <f>IFERROR(AG31/AG148, "NA")</f>
        <v>3.2822219534284967E-4</v>
      </c>
      <c r="AI31" s="118">
        <f t="shared" si="10"/>
        <v>-0.40499999999999758</v>
      </c>
      <c r="AJ31" s="119">
        <f>IFERROR(AI31/AI148, "NA")</f>
        <v>2.0159220510140169E-4</v>
      </c>
      <c r="AK31" s="118">
        <f t="shared" si="11"/>
        <v>-2.7081243731193423E-2</v>
      </c>
      <c r="AL31" s="119">
        <f>IFERROR(AK31/AK148, "NA")</f>
        <v>0.61419431093264554</v>
      </c>
    </row>
    <row r="32" spans="1:38" ht="16.5" customHeight="1" x14ac:dyDescent="0.25">
      <c r="A32" s="7" t="s">
        <v>37</v>
      </c>
      <c r="B32" s="115">
        <v>0.8</v>
      </c>
      <c r="C32" s="116">
        <f>IFERROR(B32/B148, "NA")</f>
        <v>1.9286212455469942E-5</v>
      </c>
      <c r="D32" s="115">
        <v>0.8</v>
      </c>
      <c r="E32" s="116">
        <f>IFERROR(D32/D148, "NA")</f>
        <v>1.6044671574597996E-5</v>
      </c>
      <c r="F32" s="115">
        <v>-1.6</v>
      </c>
      <c r="G32" s="116">
        <f>IFERROR(F32/F148, "NA")</f>
        <v>-3.1270496833471313E-5</v>
      </c>
      <c r="H32" s="115">
        <v>2.4</v>
      </c>
      <c r="I32" s="116">
        <f>IFERROR(H32/H148, "NA")</f>
        <v>5.0658700304606536E-5</v>
      </c>
      <c r="J32" s="115">
        <v>1.59</v>
      </c>
      <c r="K32" s="116">
        <f>IFERROR(J32/J148, "NA")</f>
        <v>3.6062157551257029E-5</v>
      </c>
      <c r="L32" s="115">
        <v>0</v>
      </c>
      <c r="M32" s="116">
        <f>IFERROR(L32/L148, "NA")</f>
        <v>0</v>
      </c>
      <c r="N32" s="115">
        <v>-1.59</v>
      </c>
      <c r="O32" s="116">
        <f>IFERROR(N32/N148, "NA")</f>
        <v>-3.8287540391549096E-5</v>
      </c>
      <c r="P32" s="115">
        <v>1.59</v>
      </c>
      <c r="Q32" s="116">
        <f>IFERROR(P32/P148, "NA")</f>
        <v>4.0650811827392053E-5</v>
      </c>
      <c r="R32" s="115">
        <v>11.2</v>
      </c>
      <c r="S32" s="116">
        <f>IFERROR(R32/R148, "NA")</f>
        <v>2.5665521877451256E-4</v>
      </c>
      <c r="T32" s="115">
        <v>0</v>
      </c>
      <c r="U32" s="116">
        <f>IFERROR(T32/T148, "NA")</f>
        <v>0</v>
      </c>
      <c r="V32" s="115">
        <v>-35.18</v>
      </c>
      <c r="W32" s="116">
        <f>IFERROR(V32/V148, "NA")</f>
        <v>-6.3797391959715159E-4</v>
      </c>
      <c r="X32" s="115">
        <v>-14.39</v>
      </c>
      <c r="Y32" s="116">
        <f>IFERROR(X32/X148, "NA")</f>
        <v>-3.3038959798542707E-4</v>
      </c>
      <c r="Z32" s="115">
        <v>-49.57</v>
      </c>
      <c r="AA32" s="116">
        <f>IFERROR(Z32/Z148, "NA")</f>
        <v>-3.3820525381427575E-4</v>
      </c>
      <c r="AB32" s="117">
        <f t="shared" si="6"/>
        <v>-9.5925000000000011</v>
      </c>
      <c r="AC32" s="116">
        <f>IFERROR(AB32/AB148, "NA")</f>
        <v>-2.0172853542927725E-4</v>
      </c>
      <c r="AD32" s="118">
        <f t="shared" si="7"/>
        <v>-4.7974999999999994</v>
      </c>
      <c r="AE32" s="119">
        <f>IFERROR(AD32/AD148, "NA")</f>
        <v>1.2003089904331816E-3</v>
      </c>
      <c r="AF32" s="118">
        <f t="shared" si="8"/>
        <v>0.50013031013812859</v>
      </c>
      <c r="AG32" s="117">
        <f t="shared" si="9"/>
        <v>-4.5975000000000001</v>
      </c>
      <c r="AH32" s="116">
        <f>IFERROR(AG32/AG148, "NA")</f>
        <v>-1.0090281130650294E-4</v>
      </c>
      <c r="AI32" s="118">
        <f t="shared" si="10"/>
        <v>-9.7925000000000004</v>
      </c>
      <c r="AJ32" s="119">
        <f>IFERROR(AI32/AI148, "NA")</f>
        <v>4.8743004159394763E-3</v>
      </c>
      <c r="AK32" s="118">
        <f t="shared" si="11"/>
        <v>2.1299619358346926</v>
      </c>
      <c r="AL32" s="119">
        <f>IFERROR(AK32/AK148, "NA")</f>
        <v>-48.306884147491928</v>
      </c>
    </row>
    <row r="33" spans="1:38" ht="16.5" customHeight="1" x14ac:dyDescent="0.25">
      <c r="A33" s="7" t="s">
        <v>38</v>
      </c>
      <c r="B33" s="115">
        <v>18.989999999999998</v>
      </c>
      <c r="C33" s="116">
        <f>IFERROR(B33/B148, "NA")</f>
        <v>4.5780646816171773E-4</v>
      </c>
      <c r="D33" s="115">
        <v>20.57</v>
      </c>
      <c r="E33" s="116">
        <f>IFERROR(D33/D148, "NA")</f>
        <v>4.1254861786185098E-4</v>
      </c>
      <c r="F33" s="115">
        <v>-9.1999999999999993</v>
      </c>
      <c r="G33" s="116">
        <f>IFERROR(F33/F148, "NA")</f>
        <v>-1.7980535679246003E-4</v>
      </c>
      <c r="H33" s="115">
        <v>13</v>
      </c>
      <c r="I33" s="116">
        <f>IFERROR(H33/H148, "NA")</f>
        <v>2.7440129331661879E-4</v>
      </c>
      <c r="J33" s="115">
        <v>14.34</v>
      </c>
      <c r="K33" s="116">
        <f>IFERROR(J33/J148, "NA")</f>
        <v>3.2523983602831809E-4</v>
      </c>
      <c r="L33" s="115">
        <v>-6.02</v>
      </c>
      <c r="M33" s="116">
        <f>IFERROR(L33/L148, "NA")</f>
        <v>-1.2144187412650611E-4</v>
      </c>
      <c r="N33" s="115">
        <v>-2.1800000000000002</v>
      </c>
      <c r="O33" s="116">
        <f>IFERROR(N33/N148, "NA")</f>
        <v>-5.2494866700362916E-5</v>
      </c>
      <c r="P33" s="115">
        <v>9.85</v>
      </c>
      <c r="Q33" s="116">
        <f>IFERROR(P33/P148, "NA")</f>
        <v>2.5183050094327778E-4</v>
      </c>
      <c r="R33" s="115">
        <v>-1.83</v>
      </c>
      <c r="S33" s="116">
        <f>IFERROR(R33/R148, "NA")</f>
        <v>-4.1935629496192685E-5</v>
      </c>
      <c r="T33" s="115">
        <v>5.34</v>
      </c>
      <c r="U33" s="116">
        <f>IFERROR(T33/T148, "NA")</f>
        <v>1.1155249317733254E-4</v>
      </c>
      <c r="V33" s="115">
        <v>7.54</v>
      </c>
      <c r="W33" s="116">
        <f>IFERROR(V33/V148, "NA")</f>
        <v>1.367346035748301E-4</v>
      </c>
      <c r="X33" s="115">
        <v>-4.55</v>
      </c>
      <c r="Y33" s="116">
        <f>IFERROR(X33/X148, "NA")</f>
        <v>-1.0446648164236922E-4</v>
      </c>
      <c r="Z33" s="115">
        <v>8.33</v>
      </c>
      <c r="AA33" s="116">
        <f>IFERROR(Z33/Z148, "NA")</f>
        <v>5.6833765670222248E-5</v>
      </c>
      <c r="AB33" s="117">
        <f t="shared" si="6"/>
        <v>1.6250000000000002</v>
      </c>
      <c r="AC33" s="116">
        <f>IFERROR(AB33/AB148, "NA")</f>
        <v>3.4173455311188484E-5</v>
      </c>
      <c r="AD33" s="118">
        <f t="shared" si="7"/>
        <v>-6.1749999999999998</v>
      </c>
      <c r="AE33" s="119">
        <f>IFERROR(AD33/AD148, "NA")</f>
        <v>1.5449521659040952E-3</v>
      </c>
      <c r="AF33" s="118">
        <f t="shared" si="8"/>
        <v>-3.7999999999999994</v>
      </c>
      <c r="AG33" s="117">
        <f t="shared" si="9"/>
        <v>2.8112499999999998</v>
      </c>
      <c r="AH33" s="116">
        <f>IFERROR(AG33/AG148, "NA")</f>
        <v>6.1699408001175942E-5</v>
      </c>
      <c r="AI33" s="118">
        <f t="shared" si="10"/>
        <v>-7.3612500000000001</v>
      </c>
      <c r="AJ33" s="119">
        <f>IFERROR(AI33/AI148, "NA")</f>
        <v>3.6641249871671657E-3</v>
      </c>
      <c r="AK33" s="118">
        <f t="shared" si="11"/>
        <v>-2.6184971098265897</v>
      </c>
      <c r="AL33" s="119">
        <f>IFERROR(AK33/AK148, "NA")</f>
        <v>59.386712220923265</v>
      </c>
    </row>
    <row r="34" spans="1:38" ht="16.5" customHeight="1" x14ac:dyDescent="0.25">
      <c r="A34" s="129" t="s">
        <v>39</v>
      </c>
      <c r="B34" s="121">
        <f>IFERROR(B29+B30+B31+B32+B33, "NA")</f>
        <v>520.45000000000005</v>
      </c>
      <c r="C34" s="122">
        <f>IFERROR(B34/B148, "NA")</f>
        <v>1.2546886590561666E-2</v>
      </c>
      <c r="D34" s="121">
        <f>IFERROR(D29+D30+D31+D32+D33, "NA")</f>
        <v>559.17999999999995</v>
      </c>
      <c r="E34" s="122">
        <f>IFERROR(D34/D148, "NA")</f>
        <v>1.1214824313854633E-2</v>
      </c>
      <c r="F34" s="121">
        <f>IFERROR(F29+F30+F31+F32+F33, "NA")</f>
        <v>470.36999999999995</v>
      </c>
      <c r="G34" s="122">
        <f>IFERROR(F34/F148, "NA")</f>
        <v>9.1929397472249371E-3</v>
      </c>
      <c r="H34" s="121">
        <f>IFERROR(H29+H30+H31+H32+H33, "NA")</f>
        <v>499.18</v>
      </c>
      <c r="I34" s="122">
        <f>IFERROR(H34/H148, "NA")</f>
        <v>1.0536587507522288E-2</v>
      </c>
      <c r="J34" s="121">
        <f>IFERROR(J29+J30+J31+J32+J33, "NA")</f>
        <v>376.82999999999993</v>
      </c>
      <c r="K34" s="122">
        <f>IFERROR(J34/J148, "NA")</f>
        <v>8.5467313396479141E-3</v>
      </c>
      <c r="L34" s="121">
        <f>IFERROR(L29+L30+L31+L32+L33, "NA")</f>
        <v>617.42000000000007</v>
      </c>
      <c r="M34" s="122">
        <f>IFERROR(L34/L148, "NA")</f>
        <v>1.2455256133419837E-2</v>
      </c>
      <c r="N34" s="121">
        <f>IFERROR(N29+N30+N31+N32+N33, "NA")</f>
        <v>721.1400000000001</v>
      </c>
      <c r="O34" s="122">
        <f>IFERROR(N34/N148, "NA")</f>
        <v>1.736520558362372E-2</v>
      </c>
      <c r="P34" s="121">
        <f>IFERROR(P29+P30+P31+P32+P33, "NA")</f>
        <v>202.05</v>
      </c>
      <c r="Q34" s="122">
        <f>IFERROR(P34/P148, "NA")</f>
        <v>5.1657210878770848E-3</v>
      </c>
      <c r="R34" s="121">
        <f>IFERROR(R29+R30+R31+R32+R33, "NA")</f>
        <v>405.79</v>
      </c>
      <c r="S34" s="122">
        <f>IFERROR(R34/R148, "NA")</f>
        <v>9.2989393952240592E-3</v>
      </c>
      <c r="T34" s="121">
        <f>IFERROR(T29+T30+T31+T32+T33, "NA")</f>
        <v>691.65</v>
      </c>
      <c r="U34" s="122">
        <f>IFERROR(T34/T148, "NA")</f>
        <v>1.4448554664064054E-2</v>
      </c>
      <c r="V34" s="121">
        <f>IFERROR(V29+V30+V31+V32+V33, "NA")</f>
        <v>674.15</v>
      </c>
      <c r="W34" s="122">
        <f>IFERROR(V34/V148, "NA")</f>
        <v>1.2225415517237628E-2</v>
      </c>
      <c r="X34" s="121">
        <f>IFERROR(X29+X30+X31+X32+X33, "NA")</f>
        <v>458.88</v>
      </c>
      <c r="Y34" s="122">
        <f>IFERROR(X34/X148, "NA")</f>
        <v>1.0535731669461623E-2</v>
      </c>
      <c r="Z34" s="121">
        <f>IFERROR(Z29+Z30+Z31+Z32+Z33, "NA")</f>
        <v>1824.6799999999998</v>
      </c>
      <c r="AA34" s="122">
        <f>IFERROR(Z34/Z148, "NA")</f>
        <v>1.2449392021985729E-2</v>
      </c>
      <c r="AB34" s="121">
        <f t="shared" si="6"/>
        <v>557.61750000000006</v>
      </c>
      <c r="AC34" s="122">
        <f>IFERROR(AB34/AB148, "NA")</f>
        <v>1.1726594902761012E-2</v>
      </c>
      <c r="AD34" s="123">
        <f t="shared" si="7"/>
        <v>-98.737500000000068</v>
      </c>
      <c r="AE34" s="124">
        <f>IFERROR(AD34/AD148, "NA")</f>
        <v>2.4703597486794446E-2</v>
      </c>
      <c r="AF34" s="123">
        <f t="shared" si="8"/>
        <v>-0.17707030356830633</v>
      </c>
      <c r="AG34" s="121">
        <f t="shared" si="9"/>
        <v>518.48874999999998</v>
      </c>
      <c r="AH34" s="122">
        <f>IFERROR(AG34/AG148, "NA")</f>
        <v>1.1379439370482778E-2</v>
      </c>
      <c r="AI34" s="123">
        <f t="shared" si="10"/>
        <v>-59.608749999999986</v>
      </c>
      <c r="AJ34" s="124">
        <f>IFERROR(AI34/AI148, "NA")</f>
        <v>2.9670763841575919E-2</v>
      </c>
      <c r="AK34" s="123">
        <f t="shared" si="11"/>
        <v>-0.11496633244212143</v>
      </c>
      <c r="AL34" s="124">
        <f>IFERROR(AK34/AK148, "NA")</f>
        <v>2.6074011975088296</v>
      </c>
    </row>
    <row r="35" spans="1:38" ht="16.5" customHeight="1" x14ac:dyDescent="0.25">
      <c r="A35" s="130" t="s">
        <v>40</v>
      </c>
      <c r="B35" s="121">
        <f>IFERROR(B13+B15+B16+B17+B18+B19+B20+B21+B22+B23+B24+B25+B26+B29+B30+B31+B32+B33, "NA")</f>
        <v>9444.01</v>
      </c>
      <c r="C35" s="122">
        <f>IFERROR(B35/B148, "NA")</f>
        <v>0.22767397911447837</v>
      </c>
      <c r="D35" s="121">
        <f>IFERROR(D13+D15+D16+D17+D18+D19+D20+D21+D22+D23+D24+D25+D26+D29+D30+D31+D32+D33, "NA")</f>
        <v>10643.95</v>
      </c>
      <c r="E35" s="122">
        <f>IFERROR(D35/D148, "NA")</f>
        <v>0.21347335250805294</v>
      </c>
      <c r="F35" s="121">
        <f>IFERROR(F13+F15+F16+F17+F18+F19+F20+F21+F22+F23+F24+F25+F26+F29+F30+F31+F32+F33, "NA")</f>
        <v>10318.519999999999</v>
      </c>
      <c r="G35" s="122">
        <f>IFERROR(F35/F148, "NA")</f>
        <v>0.20166577936631899</v>
      </c>
      <c r="H35" s="121">
        <f>IFERROR(H13+H15+H16+H17+H18+H19+H20+H21+H22+H23+H24+H25+H26+H29+H30+H31+H32+H33, "NA")</f>
        <v>9813.1200000000026</v>
      </c>
      <c r="I35" s="122">
        <f>IFERROR(H35/H148, "NA")</f>
        <v>0.20713329380547527</v>
      </c>
      <c r="J35" s="121">
        <f>IFERROR(J13+J15+J16+J17+J18+J19+J20+J21+J22+J23+J24+J25+J26+J29+J30+J31+J32+J33, "NA")</f>
        <v>9185.0500000000029</v>
      </c>
      <c r="K35" s="122">
        <f>IFERROR(J35/J148, "NA")</f>
        <v>0.20832246554476319</v>
      </c>
      <c r="L35" s="121">
        <f>IFERROR(L13+L15+L16+L17+L18+L19+L20+L21+L22+L23+L24+L25+L26+L29+L30+L31+L32+L33, "NA")</f>
        <v>9129.5300000000007</v>
      </c>
      <c r="M35" s="122">
        <f>IFERROR(L35/L148, "NA")</f>
        <v>0.18417063672660489</v>
      </c>
      <c r="N35" s="121">
        <f>IFERROR(N13+N15+N16+N17+N18+N19+N20+N21+N22+N23+N24+N25+N26+N29+N30+N31+N32+N33, "NA")</f>
        <v>9100.4000000000015</v>
      </c>
      <c r="O35" s="122">
        <f>IFERROR(N35/N148, "NA")</f>
        <v>0.21913958023852417</v>
      </c>
      <c r="P35" s="121">
        <f>IFERROR(P13+P15+P16+P17+P18+P19+P20+P21+P22+P23+P24+P25+P26+P29+P30+P31+P32+P33, "NA")</f>
        <v>8578.07</v>
      </c>
      <c r="Q35" s="122">
        <f>IFERROR(P35/P148, "NA")</f>
        <v>0.21931164113974649</v>
      </c>
      <c r="R35" s="121">
        <f>IFERROR(R13+R15+R16+R17+R18+R19+R20+R21+R22+R23+R24+R25+R26+R29+R30+R31+R32+R33, "NA")</f>
        <v>8976.8900000000012</v>
      </c>
      <c r="S35" s="122">
        <f>IFERROR(R35/R148, "NA")</f>
        <v>0.20571122025577987</v>
      </c>
      <c r="T35" s="121">
        <f>IFERROR(T13+T15+T16+T17+T18+T19+T20+T21+T22+T23+T24+T25+T26+T29+T30+T31+T32+T33, "NA")</f>
        <v>9852.7899999999991</v>
      </c>
      <c r="U35" s="122">
        <f>IFERROR(T35/T148, "NA")</f>
        <v>0.20582458600237644</v>
      </c>
      <c r="V35" s="121">
        <f>IFERROR(V13+V15+V16+V17+V18+V19+V20+V21+V22+V23+V24+V25+V26+V29+V30+V31+V32+V33, "NA")</f>
        <v>11004.500000000002</v>
      </c>
      <c r="W35" s="122">
        <f>IFERROR(V35/V148, "NA")</f>
        <v>0.19956179642429947</v>
      </c>
      <c r="X35" s="121">
        <f>IFERROR(X13+X15+X16+X17+X18+X19+X20+X21+X22+X23+X24+X25+X26+X29+X30+X31+X32+X33, "NA")</f>
        <v>8876.81</v>
      </c>
      <c r="Y35" s="122">
        <f>IFERROR(X35/X148, "NA")</f>
        <v>0.20380859536435153</v>
      </c>
      <c r="Z35" s="121">
        <f>IFERROR(Z13+Z15+Z16+Z17+Z18+Z19+Z20+Z21+Z22+Z23+Z24+Z25+Z26+Z29+Z30+Z31+Z32+Z33, "NA")</f>
        <v>29734.100000000002</v>
      </c>
      <c r="AA35" s="122">
        <f>IFERROR(Z35/Z148, "NA")</f>
        <v>0.20286925231872216</v>
      </c>
      <c r="AB35" s="121">
        <f t="shared" si="6"/>
        <v>9677.7474999999995</v>
      </c>
      <c r="AC35" s="122">
        <f>IFERROR(AB35/AB148, "NA")</f>
        <v>0.20352127489490218</v>
      </c>
      <c r="AD35" s="123">
        <f t="shared" si="7"/>
        <v>-800.9375</v>
      </c>
      <c r="AE35" s="124">
        <f>IFERROR(AD35/AD148, "NA")</f>
        <v>0.20039030370507066</v>
      </c>
      <c r="AF35" s="123">
        <f t="shared" si="8"/>
        <v>-8.2760735388064222E-2</v>
      </c>
      <c r="AG35" s="121">
        <f t="shared" si="9"/>
        <v>9338.005000000001</v>
      </c>
      <c r="AH35" s="122">
        <f>IFERROR(AG35/AG148, "NA")</f>
        <v>0.20494419934620578</v>
      </c>
      <c r="AI35" s="123">
        <f t="shared" si="10"/>
        <v>-461.19500000000153</v>
      </c>
      <c r="AJ35" s="124">
        <f>IFERROR(AI35/AI148, "NA")</f>
        <v>0.22956374575738719</v>
      </c>
      <c r="AK35" s="123">
        <f t="shared" si="11"/>
        <v>-4.9389029027078209E-2</v>
      </c>
      <c r="AL35" s="124">
        <f>IFERROR(AK35/AK148, "NA")</f>
        <v>1.1201280469987462</v>
      </c>
    </row>
    <row r="36" spans="1:38" ht="16.5" customHeight="1" x14ac:dyDescent="0.25">
      <c r="A36" s="4" t="s">
        <v>41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42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43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44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45</v>
      </c>
      <c r="B40" s="115">
        <v>1060.5999999999999</v>
      </c>
      <c r="C40" s="116">
        <f>IFERROR(B40/B148, "NA")</f>
        <v>2.5568696162839272E-2</v>
      </c>
      <c r="D40" s="115">
        <v>1508.79</v>
      </c>
      <c r="E40" s="116">
        <f>IFERROR(D40/D148, "NA")</f>
        <v>3.0260050031297135E-2</v>
      </c>
      <c r="F40" s="115">
        <v>1125.1199999999999</v>
      </c>
      <c r="G40" s="116">
        <f>IFERROR(F40/F148, "NA")</f>
        <v>2.1989413373297025E-2</v>
      </c>
      <c r="H40" s="115">
        <v>974.15</v>
      </c>
      <c r="I40" s="116">
        <f>IFERROR(H40/H148, "NA")</f>
        <v>2.0562155375721859E-2</v>
      </c>
      <c r="J40" s="115">
        <v>940.45</v>
      </c>
      <c r="K40" s="116">
        <f>IFERROR(J40/J148, "NA")</f>
        <v>2.132997237049036E-2</v>
      </c>
      <c r="L40" s="115">
        <v>935.71</v>
      </c>
      <c r="M40" s="116">
        <f>IFERROR(L40/L148, "NA")</f>
        <v>1.887614219915499E-2</v>
      </c>
      <c r="N40" s="115">
        <v>910.54</v>
      </c>
      <c r="O40" s="116">
        <f>IFERROR(N40/N148, "NA")</f>
        <v>2.1925998130893781E-2</v>
      </c>
      <c r="P40" s="115">
        <v>1041.96</v>
      </c>
      <c r="Q40" s="116">
        <f>IFERROR(P40/P148, "NA")</f>
        <v>2.6639320686584544E-2</v>
      </c>
      <c r="R40" s="115">
        <v>822.28</v>
      </c>
      <c r="S40" s="116">
        <f>IFERROR(R40/R148, "NA")</f>
        <v>1.8843076186955913E-2</v>
      </c>
      <c r="T40" s="115">
        <v>730.07</v>
      </c>
      <c r="U40" s="116">
        <f>IFERROR(T40/T148, "NA")</f>
        <v>1.5251147695500969E-2</v>
      </c>
      <c r="V40" s="115">
        <v>996.71</v>
      </c>
      <c r="W40" s="116">
        <f>IFERROR(V40/V148, "NA")</f>
        <v>1.8074900096693488E-2</v>
      </c>
      <c r="X40" s="115">
        <v>898.86</v>
      </c>
      <c r="Y40" s="116">
        <f>IFERROR(X40/X148, "NA")</f>
        <v>2.0637525645947251E-2</v>
      </c>
      <c r="Z40" s="115">
        <v>2625.64</v>
      </c>
      <c r="AA40" s="116">
        <f>IFERROR(Z40/Z148, "NA")</f>
        <v>1.7914166685997879E-2</v>
      </c>
      <c r="AB40" s="117">
        <f t="shared" si="12"/>
        <v>861.98</v>
      </c>
      <c r="AC40" s="116">
        <f>IFERROR(AB40/AB148, "NA")</f>
        <v>1.8127283082546613E-2</v>
      </c>
      <c r="AD40" s="118">
        <f t="shared" si="13"/>
        <v>36.879999999999995</v>
      </c>
      <c r="AE40" s="119">
        <f>IFERROR(AD40/AD148, "NA")</f>
        <v>-9.227179899359195E-3</v>
      </c>
      <c r="AF40" s="118">
        <f t="shared" si="14"/>
        <v>4.2785215434232804E-2</v>
      </c>
      <c r="AG40" s="117">
        <f t="shared" si="15"/>
        <v>909.57249999999988</v>
      </c>
      <c r="AH40" s="116">
        <f>IFERROR(AG40/AG148, "NA")</f>
        <v>1.9962680225575666E-2</v>
      </c>
      <c r="AI40" s="118">
        <f t="shared" si="16"/>
        <v>-10.712499999999864</v>
      </c>
      <c r="AJ40" s="119">
        <f>IFERROR(AI40/AI148, "NA")</f>
        <v>5.3322382645648175E-3</v>
      </c>
      <c r="AK40" s="118">
        <f t="shared" si="17"/>
        <v>-1.1777510863619849E-2</v>
      </c>
      <c r="AL40" s="119">
        <f>IFERROR(AK40/AK148, "NA")</f>
        <v>0.26711033810646789</v>
      </c>
    </row>
    <row r="41" spans="1:38" ht="16.5" customHeight="1" x14ac:dyDescent="0.25">
      <c r="A41" s="7" t="s">
        <v>46</v>
      </c>
      <c r="B41" s="115">
        <v>599.58000000000004</v>
      </c>
      <c r="C41" s="116">
        <f>IFERROR(B41/B148, "NA")</f>
        <v>1.4454534080063336E-2</v>
      </c>
      <c r="D41" s="115">
        <v>452.69</v>
      </c>
      <c r="E41" s="116">
        <f>IFERROR(D41/D148, "NA")</f>
        <v>9.0790779688809577E-3</v>
      </c>
      <c r="F41" s="115">
        <v>685.62</v>
      </c>
      <c r="G41" s="116">
        <f>IFERROR(F41/F148, "NA")</f>
        <v>1.3399798774352876E-2</v>
      </c>
      <c r="H41" s="115">
        <v>867.31</v>
      </c>
      <c r="I41" s="116">
        <f>IFERROR(H41/H148, "NA")</f>
        <v>1.8306998900495124E-2</v>
      </c>
      <c r="J41" s="115">
        <v>842.46</v>
      </c>
      <c r="K41" s="116">
        <f>IFERROR(J41/J148, "NA")</f>
        <v>1.9107500157630186E-2</v>
      </c>
      <c r="L41" s="115">
        <v>436.84</v>
      </c>
      <c r="M41" s="116">
        <f>IFERROR(L41/L148, "NA")</f>
        <v>8.8124033710004872E-3</v>
      </c>
      <c r="N41" s="115">
        <v>632.84</v>
      </c>
      <c r="O41" s="116">
        <f>IFERROR(N41/N148, "NA")</f>
        <v>1.5238922680118195E-2</v>
      </c>
      <c r="P41" s="115">
        <v>961.67</v>
      </c>
      <c r="Q41" s="116">
        <f>IFERROR(P41/P148, "NA")</f>
        <v>2.4586582522042839E-2</v>
      </c>
      <c r="R41" s="115">
        <v>897.59</v>
      </c>
      <c r="S41" s="116">
        <f>IFERROR(R41/R148, "NA")</f>
        <v>2.0568853376769176E-2</v>
      </c>
      <c r="T41" s="115">
        <v>707.04</v>
      </c>
      <c r="U41" s="116">
        <f>IFERROR(T41/T148, "NA")</f>
        <v>1.4770051456198726E-2</v>
      </c>
      <c r="V41" s="115">
        <v>986.93</v>
      </c>
      <c r="W41" s="116">
        <f>IFERROR(V41/V148, "NA")</f>
        <v>1.7897544072427992E-2</v>
      </c>
      <c r="X41" s="115">
        <v>667.43</v>
      </c>
      <c r="Y41" s="116">
        <f>IFERROR(X41/X148, "NA")</f>
        <v>1.5323970075289337E-2</v>
      </c>
      <c r="Z41" s="115">
        <v>2361.4</v>
      </c>
      <c r="AA41" s="116">
        <f>IFERROR(Z41/Z148, "NA")</f>
        <v>1.6111315036454122E-2</v>
      </c>
      <c r="AB41" s="117">
        <f t="shared" si="12"/>
        <v>814.74749999999995</v>
      </c>
      <c r="AC41" s="116">
        <f>IFERROR(AB41/AB148, "NA")</f>
        <v>1.7133992173016945E-2</v>
      </c>
      <c r="AD41" s="118">
        <f t="shared" si="13"/>
        <v>-147.3175</v>
      </c>
      <c r="AE41" s="119">
        <f>IFERROR(AD41/AD148, "NA")</f>
        <v>3.6858055174182433E-2</v>
      </c>
      <c r="AF41" s="118">
        <f t="shared" si="14"/>
        <v>-0.18081368767624326</v>
      </c>
      <c r="AG41" s="117">
        <f t="shared" si="15"/>
        <v>766.60000000000014</v>
      </c>
      <c r="AH41" s="116">
        <f>IFERROR(AG41/AG148, "NA")</f>
        <v>1.6824816780329564E-2</v>
      </c>
      <c r="AI41" s="118">
        <f t="shared" si="16"/>
        <v>-99.170000000000186</v>
      </c>
      <c r="AJ41" s="119">
        <f>IFERROR(AI41/AI148, "NA")</f>
        <v>4.9362713530632499E-2</v>
      </c>
      <c r="AK41" s="118">
        <f t="shared" si="17"/>
        <v>-0.1293634229063399</v>
      </c>
      <c r="AL41" s="119">
        <f>IFERROR(AK41/AK148, "NA")</f>
        <v>2.9339227983952876</v>
      </c>
    </row>
    <row r="42" spans="1:38" ht="16.5" customHeight="1" x14ac:dyDescent="0.25">
      <c r="A42" s="7" t="s">
        <v>47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77.14</v>
      </c>
      <c r="S42" s="116">
        <f>IFERROR(R42/R148, "NA")</f>
        <v>1.7677128193094554E-3</v>
      </c>
      <c r="T42" s="115">
        <v>0</v>
      </c>
      <c r="U42" s="116">
        <f>IFERROR(T42/T148, "NA")</f>
        <v>0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4.0556005272385839E-4</v>
      </c>
      <c r="AD42" s="118">
        <f t="shared" si="13"/>
        <v>-19.285</v>
      </c>
      <c r="AE42" s="119">
        <f>IFERROR(AD42/AD148, "NA")</f>
        <v>4.8250044565927895E-3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2.116270490533887E-4</v>
      </c>
      <c r="AI42" s="118">
        <f t="shared" si="16"/>
        <v>-9.6425000000000001</v>
      </c>
      <c r="AJ42" s="119">
        <f>IFERROR(AI42/AI148, "NA")</f>
        <v>4.7996366362722895E-3</v>
      </c>
      <c r="AK42" s="118">
        <f t="shared" si="17"/>
        <v>-1</v>
      </c>
      <c r="AL42" s="119">
        <f>IFERROR(AK42/AK148, "NA")</f>
        <v>22.679693629624115</v>
      </c>
    </row>
    <row r="43" spans="1:38" ht="16.5" hidden="1" customHeight="1" x14ac:dyDescent="0.25">
      <c r="A43" s="7" t="s">
        <v>48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49</v>
      </c>
      <c r="B44" s="121">
        <f>IFERROR(B39+B40+B41+B42+B43, "NA")</f>
        <v>1660.1799999999998</v>
      </c>
      <c r="C44" s="122">
        <f>IFERROR(B44/B148, "NA")</f>
        <v>4.0023230242902608E-2</v>
      </c>
      <c r="D44" s="121">
        <f>IFERROR(D39+D40+D41+D42+D43, "NA")</f>
        <v>1961.48</v>
      </c>
      <c r="E44" s="122">
        <f>IFERROR(D44/D148, "NA")</f>
        <v>3.9339128000178095E-2</v>
      </c>
      <c r="F44" s="121">
        <f>IFERROR(F39+F40+F41+F42+F43, "NA")</f>
        <v>1810.7399999999998</v>
      </c>
      <c r="G44" s="122">
        <f>IFERROR(F44/F148, "NA")</f>
        <v>3.5389212147649902E-2</v>
      </c>
      <c r="H44" s="121">
        <f>IFERROR(H39+H40+H41+H42+H43, "NA")</f>
        <v>1841.46</v>
      </c>
      <c r="I44" s="122">
        <f>IFERROR(H44/H148, "NA")</f>
        <v>3.8869154276216983E-2</v>
      </c>
      <c r="J44" s="121">
        <f>IFERROR(J39+J40+J41+J42+J43, "NA")</f>
        <v>1782.91</v>
      </c>
      <c r="K44" s="122">
        <f>IFERROR(J44/J148, "NA")</f>
        <v>4.0437472528120542E-2</v>
      </c>
      <c r="L44" s="121">
        <f>IFERROR(L39+L40+L41+L42+L43, "NA")</f>
        <v>1372.55</v>
      </c>
      <c r="M44" s="122">
        <f>IFERROR(L44/L148, "NA")</f>
        <v>2.7688545570155477E-2</v>
      </c>
      <c r="N44" s="121">
        <f>IFERROR(N39+N40+N41+N42+N43, "NA")</f>
        <v>1543.38</v>
      </c>
      <c r="O44" s="122">
        <f>IFERROR(N44/N148, "NA")</f>
        <v>3.7164920811011977E-2</v>
      </c>
      <c r="P44" s="121">
        <f>IFERROR(P39+P40+P41+P42+P43, "NA")</f>
        <v>2003.63</v>
      </c>
      <c r="Q44" s="122">
        <f>IFERROR(P44/P148, "NA")</f>
        <v>5.1225903208627382E-2</v>
      </c>
      <c r="R44" s="121">
        <f>IFERROR(R39+R40+R41+R42+R43, "NA")</f>
        <v>1797.01</v>
      </c>
      <c r="S44" s="122">
        <f>IFERROR(R44/R148, "NA")</f>
        <v>4.1179642383034544E-2</v>
      </c>
      <c r="T44" s="121">
        <f>IFERROR(T39+T40+T41+T42+T43, "NA")</f>
        <v>1437.1100000000001</v>
      </c>
      <c r="U44" s="122">
        <f>IFERROR(T44/T148, "NA")</f>
        <v>3.0021199151699696E-2</v>
      </c>
      <c r="V44" s="121">
        <f>IFERROR(V39+V40+V41+V42+V43, "NA")</f>
        <v>1983.6399999999999</v>
      </c>
      <c r="W44" s="122">
        <f>IFERROR(V44/V148, "NA")</f>
        <v>3.597244416912148E-2</v>
      </c>
      <c r="X44" s="121">
        <f>IFERROR(X39+X40+X41+X42+X43, "NA")</f>
        <v>1566.29</v>
      </c>
      <c r="Y44" s="122">
        <f>IFERROR(X44/X148, "NA")</f>
        <v>3.5961495721236587E-2</v>
      </c>
      <c r="Z44" s="121">
        <f>IFERROR(Z39+Z40+Z41+Z42+Z43, "NA")</f>
        <v>4987.04</v>
      </c>
      <c r="AA44" s="122">
        <f>IFERROR(Z44/Z148, "NA")</f>
        <v>3.4025481722451997E-2</v>
      </c>
      <c r="AB44" s="121">
        <f t="shared" si="12"/>
        <v>1696.0125</v>
      </c>
      <c r="AC44" s="122">
        <f>IFERROR(AB44/AB148, "NA")</f>
        <v>3.5666835308287417E-2</v>
      </c>
      <c r="AD44" s="123">
        <f t="shared" si="13"/>
        <v>-129.72250000000008</v>
      </c>
      <c r="AE44" s="124">
        <f>IFERROR(AD44/AD148, "NA")</f>
        <v>3.2455879731416053E-2</v>
      </c>
      <c r="AF44" s="123">
        <f t="shared" si="14"/>
        <v>-7.6486759384143732E-2</v>
      </c>
      <c r="AG44" s="121">
        <f t="shared" si="15"/>
        <v>1685.8150000000001</v>
      </c>
      <c r="AH44" s="122">
        <f>IFERROR(AG44/AG148, "NA")</f>
        <v>3.6999124054958622E-2</v>
      </c>
      <c r="AI44" s="123">
        <f t="shared" si="16"/>
        <v>-119.52500000000009</v>
      </c>
      <c r="AJ44" s="124">
        <f>IFERROR(AI44/AI148, "NA")</f>
        <v>5.9494588431469625E-2</v>
      </c>
      <c r="AK44" s="123">
        <f t="shared" si="17"/>
        <v>-7.0900425016979976E-2</v>
      </c>
      <c r="AL44" s="124">
        <f>IFERROR(AK44/AK148, "NA")</f>
        <v>1.6079999175952431</v>
      </c>
    </row>
    <row r="45" spans="1:38" ht="16.5" customHeight="1" x14ac:dyDescent="0.25">
      <c r="A45" s="6" t="s">
        <v>50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51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52</v>
      </c>
      <c r="B47" s="115">
        <v>69.27</v>
      </c>
      <c r="C47" s="116">
        <f>IFERROR(B47/B148, "NA")</f>
        <v>1.6699449209880036E-3</v>
      </c>
      <c r="D47" s="115">
        <v>84.74</v>
      </c>
      <c r="E47" s="116">
        <f>IFERROR(D47/D148, "NA")</f>
        <v>1.6995318365392925E-3</v>
      </c>
      <c r="F47" s="115">
        <v>70.739999999999995</v>
      </c>
      <c r="G47" s="116">
        <f>IFERROR(F47/F148, "NA")</f>
        <v>1.3825468412498503E-3</v>
      </c>
      <c r="H47" s="115">
        <v>90.89</v>
      </c>
      <c r="I47" s="116">
        <f>IFERROR(H47/H148, "NA")</f>
        <v>1.9184871961190368E-3</v>
      </c>
      <c r="J47" s="115">
        <v>72.19</v>
      </c>
      <c r="K47" s="116">
        <f>IFERROR(J47/J148, "NA")</f>
        <v>1.6373126752360029E-3</v>
      </c>
      <c r="L47" s="115">
        <v>60.02</v>
      </c>
      <c r="M47" s="116">
        <f>IFERROR(L47/L148, "NA")</f>
        <v>1.2107875888825411E-3</v>
      </c>
      <c r="N47" s="115">
        <v>43.93</v>
      </c>
      <c r="O47" s="116">
        <f>IFERROR(N47/N148, "NA")</f>
        <v>1.0578438046545608E-3</v>
      </c>
      <c r="P47" s="115">
        <v>78.34</v>
      </c>
      <c r="Q47" s="116">
        <f>IFERROR(P47/P148, "NA")</f>
        <v>2.00288339531943E-3</v>
      </c>
      <c r="R47" s="115">
        <v>91.51</v>
      </c>
      <c r="S47" s="116">
        <f>IFERROR(R47/R148, "NA")</f>
        <v>2.0970106312549687E-3</v>
      </c>
      <c r="T47" s="115">
        <v>126.83</v>
      </c>
      <c r="U47" s="116">
        <f>IFERROR(T47/T148, "NA")</f>
        <v>2.6494761628616265E-3</v>
      </c>
      <c r="V47" s="115">
        <v>94.8</v>
      </c>
      <c r="W47" s="116">
        <f>IFERROR(V47/V148, "NA")</f>
        <v>1.7191565542299593E-3</v>
      </c>
      <c r="X47" s="115">
        <v>79.819999999999993</v>
      </c>
      <c r="Y47" s="116">
        <f>IFERROR(X47/X148, "NA")</f>
        <v>1.8326405636689912E-3</v>
      </c>
      <c r="Z47" s="115">
        <v>301.45</v>
      </c>
      <c r="AA47" s="116">
        <f>IFERROR(Z47/Z148, "NA")</f>
        <v>2.0567273302867341E-3</v>
      </c>
      <c r="AB47" s="117">
        <f t="shared" si="18"/>
        <v>98.24</v>
      </c>
      <c r="AC47" s="116">
        <f>IFERROR(AB47/AB148, "NA")</f>
        <v>2.0659693844745576E-3</v>
      </c>
      <c r="AD47" s="118">
        <f t="shared" si="19"/>
        <v>-18.420000000000002</v>
      </c>
      <c r="AE47" s="119">
        <f>IFERROR(AD47/AD148, "NA")</f>
        <v>4.6085860560248484E-3</v>
      </c>
      <c r="AF47" s="118">
        <f t="shared" si="20"/>
        <v>-0.18750000000000003</v>
      </c>
      <c r="AG47" s="117">
        <f t="shared" si="21"/>
        <v>80.930000000000007</v>
      </c>
      <c r="AH47" s="116">
        <f>IFERROR(AG47/AG148, "NA")</f>
        <v>1.7761967414976147E-3</v>
      </c>
      <c r="AI47" s="118">
        <f t="shared" si="22"/>
        <v>-1.1100000000000136</v>
      </c>
      <c r="AJ47" s="119">
        <f>IFERROR(AI47/AI148, "NA")</f>
        <v>5.5251196953718512E-4</v>
      </c>
      <c r="AK47" s="118">
        <f t="shared" si="23"/>
        <v>-1.3715556653898599E-2</v>
      </c>
      <c r="AL47" s="119">
        <f>IFERROR(AK47/AK148, "NA")</f>
        <v>0.31106462287017272</v>
      </c>
    </row>
    <row r="48" spans="1:38" ht="16.5" hidden="1" customHeight="1" x14ac:dyDescent="0.25">
      <c r="A48" s="7" t="s">
        <v>53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54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55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56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57</v>
      </c>
      <c r="B52" s="121">
        <f>IFERROR(B46+B47+B48+B49+B50+B51, "NA")</f>
        <v>69.27</v>
      </c>
      <c r="C52" s="122">
        <f>IFERROR(B52/B148, "NA")</f>
        <v>1.6699449209880036E-3</v>
      </c>
      <c r="D52" s="121">
        <f>IFERROR(D46+D47+D48+D49+D50+D51, "NA")</f>
        <v>84.74</v>
      </c>
      <c r="E52" s="122">
        <f>IFERROR(D52/D148, "NA")</f>
        <v>1.6995318365392925E-3</v>
      </c>
      <c r="F52" s="121">
        <f>IFERROR(F46+F47+F48+F49+F50+F51, "NA")</f>
        <v>70.739999999999995</v>
      </c>
      <c r="G52" s="122">
        <f>IFERROR(F52/F148, "NA")</f>
        <v>1.3825468412498503E-3</v>
      </c>
      <c r="H52" s="121">
        <f>IFERROR(H46+H47+H48+H49+H50+H51, "NA")</f>
        <v>90.89</v>
      </c>
      <c r="I52" s="122">
        <f>IFERROR(H52/H148, "NA")</f>
        <v>1.9184871961190368E-3</v>
      </c>
      <c r="J52" s="121">
        <f>IFERROR(J46+J47+J48+J49+J50+J51, "NA")</f>
        <v>72.19</v>
      </c>
      <c r="K52" s="122">
        <f>IFERROR(J52/J148, "NA")</f>
        <v>1.6373126752360029E-3</v>
      </c>
      <c r="L52" s="121">
        <f>IFERROR(L46+L47+L48+L49+L50+L51, "NA")</f>
        <v>60.02</v>
      </c>
      <c r="M52" s="122">
        <f>IFERROR(L52/L148, "NA")</f>
        <v>1.2107875888825411E-3</v>
      </c>
      <c r="N52" s="121">
        <f>IFERROR(N46+N47+N48+N49+N50+N51, "NA")</f>
        <v>43.93</v>
      </c>
      <c r="O52" s="122">
        <f>IFERROR(N52/N148, "NA")</f>
        <v>1.0578438046545608E-3</v>
      </c>
      <c r="P52" s="121">
        <f>IFERROR(P46+P47+P48+P49+P50+P51, "NA")</f>
        <v>78.34</v>
      </c>
      <c r="Q52" s="122">
        <f>IFERROR(P52/P148, "NA")</f>
        <v>2.00288339531943E-3</v>
      </c>
      <c r="R52" s="121">
        <f>IFERROR(R46+R47+R48+R49+R50+R51, "NA")</f>
        <v>91.51</v>
      </c>
      <c r="S52" s="122">
        <f>IFERROR(R52/R148, "NA")</f>
        <v>2.0970106312549687E-3</v>
      </c>
      <c r="T52" s="121">
        <f>IFERROR(T46+T47+T48+T49+T50+T51, "NA")</f>
        <v>126.83</v>
      </c>
      <c r="U52" s="122">
        <f>IFERROR(T52/T148, "NA")</f>
        <v>2.6494761628616265E-3</v>
      </c>
      <c r="V52" s="121">
        <f>IFERROR(V46+V47+V48+V49+V50+V51, "NA")</f>
        <v>94.8</v>
      </c>
      <c r="W52" s="122">
        <f>IFERROR(V52/V148, "NA")</f>
        <v>1.7191565542299593E-3</v>
      </c>
      <c r="X52" s="121">
        <f>IFERROR(X46+X47+X48+X49+X50+X51, "NA")</f>
        <v>79.819999999999993</v>
      </c>
      <c r="Y52" s="122">
        <f>IFERROR(X52/X148, "NA")</f>
        <v>1.8326405636689912E-3</v>
      </c>
      <c r="Z52" s="121">
        <f>IFERROR(Z46+Z47+Z48+Z49+Z50+Z51, "NA")</f>
        <v>301.45</v>
      </c>
      <c r="AA52" s="122">
        <f>IFERROR(Z52/Z148, "NA")</f>
        <v>2.0567273302867341E-3</v>
      </c>
      <c r="AB52" s="121">
        <f t="shared" si="18"/>
        <v>98.24</v>
      </c>
      <c r="AC52" s="122">
        <f>IFERROR(AB52/AB148, "NA")</f>
        <v>2.0659693844745576E-3</v>
      </c>
      <c r="AD52" s="123">
        <f t="shared" si="19"/>
        <v>-18.420000000000002</v>
      </c>
      <c r="AE52" s="124">
        <f>IFERROR(AD52/AD148, "NA")</f>
        <v>4.6085860560248484E-3</v>
      </c>
      <c r="AF52" s="123">
        <f t="shared" si="20"/>
        <v>-0.18750000000000003</v>
      </c>
      <c r="AG52" s="121">
        <f t="shared" si="21"/>
        <v>80.930000000000007</v>
      </c>
      <c r="AH52" s="122">
        <f>IFERROR(AG52/AG148, "NA")</f>
        <v>1.7761967414976147E-3</v>
      </c>
      <c r="AI52" s="123">
        <f t="shared" si="22"/>
        <v>-1.1100000000000136</v>
      </c>
      <c r="AJ52" s="124">
        <f>IFERROR(AI52/AI148, "NA")</f>
        <v>5.5251196953718512E-4</v>
      </c>
      <c r="AK52" s="123">
        <f t="shared" si="23"/>
        <v>-1.3715556653898599E-2</v>
      </c>
      <c r="AL52" s="124">
        <f>IFERROR(AK52/AK148, "NA")</f>
        <v>0.31106462287017272</v>
      </c>
    </row>
    <row r="53" spans="1:38" ht="16.5" customHeight="1" x14ac:dyDescent="0.25">
      <c r="A53" s="5" t="s">
        <v>58</v>
      </c>
      <c r="B53" s="115">
        <v>17.3</v>
      </c>
      <c r="C53" s="116">
        <f>IFERROR(B53/B148, "NA")</f>
        <v>4.1706434434953752E-4</v>
      </c>
      <c r="D53" s="115">
        <v>32.81</v>
      </c>
      <c r="E53" s="116">
        <f>IFERROR(D53/D148, "NA")</f>
        <v>6.5803209295320038E-4</v>
      </c>
      <c r="F53" s="115">
        <v>28.18</v>
      </c>
      <c r="G53" s="116">
        <f>IFERROR(F53/F148, "NA")</f>
        <v>5.5075162547951349E-4</v>
      </c>
      <c r="H53" s="115">
        <v>81.52</v>
      </c>
      <c r="I53" s="116">
        <f>IFERROR(H53/H148, "NA")</f>
        <v>1.7207071870131354E-3</v>
      </c>
      <c r="J53" s="115">
        <v>18.22</v>
      </c>
      <c r="K53" s="116">
        <f>IFERROR(J53/J148, "NA")</f>
        <v>4.132405726942786E-4</v>
      </c>
      <c r="L53" s="115">
        <v>59.55</v>
      </c>
      <c r="M53" s="116">
        <f>IFERROR(L53/L148, "NA")</f>
        <v>1.2013062465504052E-3</v>
      </c>
      <c r="N53" s="115">
        <v>29.28</v>
      </c>
      <c r="O53" s="116">
        <f>IFERROR(N53/N148, "NA")</f>
        <v>7.0506866834248898E-4</v>
      </c>
      <c r="P53" s="115">
        <v>49.78</v>
      </c>
      <c r="Q53" s="116">
        <f>IFERROR(P53/P148, "NA")</f>
        <v>1.2727027753255196E-3</v>
      </c>
      <c r="R53" s="115">
        <v>24.68</v>
      </c>
      <c r="S53" s="116">
        <f>IFERROR(R53/R148, "NA")</f>
        <v>5.6555810708526521E-4</v>
      </c>
      <c r="T53" s="115">
        <v>36.340000000000003</v>
      </c>
      <c r="U53" s="116">
        <f>IFERROR(T53/T148, "NA")</f>
        <v>7.5914187304574254E-4</v>
      </c>
      <c r="V53" s="115">
        <v>80.92</v>
      </c>
      <c r="W53" s="116">
        <f>IFERROR(V53/V148, "NA")</f>
        <v>1.4674488224502987E-3</v>
      </c>
      <c r="X53" s="115">
        <v>62.08</v>
      </c>
      <c r="Y53" s="116">
        <f>IFERROR(X53/X148, "NA")</f>
        <v>1.4253360835952266E-3</v>
      </c>
      <c r="Z53" s="115">
        <v>179.34</v>
      </c>
      <c r="AA53" s="116">
        <f>IFERROR(Z53/Z148, "NA")</f>
        <v>1.2235975432530201E-3</v>
      </c>
      <c r="AB53" s="117">
        <f t="shared" si="18"/>
        <v>51.004999999999995</v>
      </c>
      <c r="AC53" s="116">
        <f>IFERROR(AB53/AB148, "NA")</f>
        <v>1.0726259003982575E-3</v>
      </c>
      <c r="AD53" s="118">
        <f t="shared" si="19"/>
        <v>11.075000000000003</v>
      </c>
      <c r="AE53" s="119">
        <f>IFERROR(AD53/AD148, "NA")</f>
        <v>-2.7709061113178721E-3</v>
      </c>
      <c r="AF53" s="118">
        <f t="shared" si="20"/>
        <v>0.21713557494363306</v>
      </c>
      <c r="AG53" s="117">
        <f t="shared" si="21"/>
        <v>45.106249999999996</v>
      </c>
      <c r="AH53" s="116">
        <f>IFERROR(AG53/AG148, "NA")</f>
        <v>9.899613773776939E-4</v>
      </c>
      <c r="AI53" s="118">
        <f t="shared" si="22"/>
        <v>16.973750000000003</v>
      </c>
      <c r="AJ53" s="119">
        <f>IFERROR(AI53/AI148, "NA")</f>
        <v>-8.4488288675060187E-3</v>
      </c>
      <c r="AK53" s="118">
        <f t="shared" si="23"/>
        <v>0.37630594429818492</v>
      </c>
      <c r="AL53" s="119">
        <f>IFERROR(AK53/AK148, "NA")</f>
        <v>-8.5345035276892318</v>
      </c>
    </row>
    <row r="54" spans="1:38" ht="16.5" customHeight="1" x14ac:dyDescent="0.25">
      <c r="A54" s="5" t="s">
        <v>59</v>
      </c>
      <c r="B54" s="115">
        <v>46</v>
      </c>
      <c r="C54" s="116">
        <f>IFERROR(B54/B148, "NA")</f>
        <v>1.1089572161895216E-3</v>
      </c>
      <c r="D54" s="115">
        <v>50</v>
      </c>
      <c r="E54" s="116">
        <f>IFERROR(D54/D148, "NA")</f>
        <v>1.0027919734123746E-3</v>
      </c>
      <c r="F54" s="115">
        <v>43</v>
      </c>
      <c r="G54" s="116">
        <f>IFERROR(F54/F148, "NA")</f>
        <v>8.4039460239954155E-4</v>
      </c>
      <c r="H54" s="115">
        <v>49</v>
      </c>
      <c r="I54" s="116">
        <f>IFERROR(H54/H148, "NA")</f>
        <v>1.0342817978857169E-3</v>
      </c>
      <c r="J54" s="115">
        <v>55</v>
      </c>
      <c r="K54" s="116">
        <f>IFERROR(J54/J148, "NA")</f>
        <v>1.2474331228422243E-3</v>
      </c>
      <c r="L54" s="115">
        <v>57.25</v>
      </c>
      <c r="M54" s="116">
        <f>IFERROR(L54/L148, "NA")</f>
        <v>1.1549081883293149E-3</v>
      </c>
      <c r="N54" s="115">
        <v>38</v>
      </c>
      <c r="O54" s="116">
        <f>IFERROR(N54/N148, "NA")</f>
        <v>9.1504813514394065E-4</v>
      </c>
      <c r="P54" s="115">
        <v>52</v>
      </c>
      <c r="Q54" s="116">
        <f>IFERROR(P54/P148, "NA")</f>
        <v>1.3294605125939538E-3</v>
      </c>
      <c r="R54" s="115">
        <v>47.75</v>
      </c>
      <c r="S54" s="116">
        <f>IFERROR(R54/R148, "NA")</f>
        <v>1.0942220264716944E-3</v>
      </c>
      <c r="T54" s="115">
        <v>75</v>
      </c>
      <c r="U54" s="116">
        <f>IFERROR(T54/T148, "NA")</f>
        <v>1.5667484996816367E-3</v>
      </c>
      <c r="V54" s="115">
        <v>48</v>
      </c>
      <c r="W54" s="116">
        <f>IFERROR(V54/V148, "NA")</f>
        <v>8.7045901479997935E-4</v>
      </c>
      <c r="X54" s="115">
        <v>39.25</v>
      </c>
      <c r="Y54" s="116">
        <f>IFERROR(X54/X148, "NA")</f>
        <v>9.011669020797784E-4</v>
      </c>
      <c r="Z54" s="115">
        <v>162.25</v>
      </c>
      <c r="AA54" s="116">
        <f>IFERROR(Z54/Z148, "NA")</f>
        <v>1.1069962160856614E-3</v>
      </c>
      <c r="AB54" s="117">
        <f t="shared" si="18"/>
        <v>52.5</v>
      </c>
      <c r="AC54" s="116">
        <f>IFERROR(AB54/AB148, "NA")</f>
        <v>1.1040654792845508E-3</v>
      </c>
      <c r="AD54" s="118">
        <f t="shared" si="19"/>
        <v>-13.25</v>
      </c>
      <c r="AE54" s="119">
        <f>IFERROR(AD54/AD148, "NA")</f>
        <v>3.3150795462719451E-3</v>
      </c>
      <c r="AF54" s="118">
        <f t="shared" si="20"/>
        <v>-0.25238095238095237</v>
      </c>
      <c r="AG54" s="117">
        <f t="shared" si="21"/>
        <v>51.53125</v>
      </c>
      <c r="AH54" s="116">
        <f>IFERROR(AG54/AG148, "NA")</f>
        <v>1.1309729190077714E-3</v>
      </c>
      <c r="AI54" s="118">
        <f t="shared" si="22"/>
        <v>-12.28125</v>
      </c>
      <c r="AJ54" s="119">
        <f>IFERROR(AI54/AI148, "NA")</f>
        <v>6.1130969602508746E-3</v>
      </c>
      <c r="AK54" s="118">
        <f t="shared" si="23"/>
        <v>-0.23832625833838691</v>
      </c>
      <c r="AL54" s="119">
        <f>IFERROR(AK54/AK148, "NA")</f>
        <v>5.4051665230092647</v>
      </c>
    </row>
    <row r="55" spans="1:38" ht="16.5" customHeight="1" x14ac:dyDescent="0.25">
      <c r="A55" s="5" t="s">
        <v>60</v>
      </c>
      <c r="B55" s="115">
        <v>-389.38</v>
      </c>
      <c r="C55" s="116">
        <f>IFERROR(B55/B148, "NA")</f>
        <v>-9.3870817573886069E-3</v>
      </c>
      <c r="D55" s="115">
        <v>-452.63</v>
      </c>
      <c r="E55" s="116">
        <f>IFERROR(D55/D148, "NA")</f>
        <v>-9.0778746185128639E-3</v>
      </c>
      <c r="F55" s="115">
        <v>-547.62</v>
      </c>
      <c r="G55" s="116">
        <f>IFERROR(F55/F148, "NA")</f>
        <v>-1.0702718422465975E-2</v>
      </c>
      <c r="H55" s="115">
        <v>-788.26</v>
      </c>
      <c r="I55" s="116">
        <f>IFERROR(H55/H148, "NA")</f>
        <v>-1.6638427959212148E-2</v>
      </c>
      <c r="J55" s="115">
        <v>-459</v>
      </c>
      <c r="K55" s="116">
        <f>IFERROR(J55/J148, "NA")</f>
        <v>-1.0410396425174199E-2</v>
      </c>
      <c r="L55" s="115">
        <v>-422.16</v>
      </c>
      <c r="M55" s="116">
        <f>IFERROR(L55/L148, "NA")</f>
        <v>-8.5162627211371796E-3</v>
      </c>
      <c r="N55" s="115">
        <v>-454.11</v>
      </c>
      <c r="O55" s="116">
        <f>IFERROR(N55/N148, "NA")</f>
        <v>-1.0935066017110919E-2</v>
      </c>
      <c r="P55" s="115">
        <v>-450.3</v>
      </c>
      <c r="Q55" s="116">
        <f>IFERROR(P55/P148, "NA")</f>
        <v>-1.1512616708097258E-2</v>
      </c>
      <c r="R55" s="115">
        <v>-450.33</v>
      </c>
      <c r="S55" s="116">
        <f>IFERROR(R55/R148, "NA")</f>
        <v>-1.0319602202743415E-2</v>
      </c>
      <c r="T55" s="115">
        <v>0</v>
      </c>
      <c r="U55" s="116">
        <f>IFERROR(T55/T148, "NA")</f>
        <v>0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-112.5825</v>
      </c>
      <c r="AC55" s="116">
        <f>IFERROR(AB55/AB148, "NA")</f>
        <v>-2.3675895585057705E-3</v>
      </c>
      <c r="AD55" s="118">
        <f t="shared" si="19"/>
        <v>112.5825</v>
      </c>
      <c r="AE55" s="119">
        <f>IFERROR(AD55/AD148, "NA")</f>
        <v>-2.8167542869295188E-2</v>
      </c>
      <c r="AF55" s="118">
        <f t="shared" si="20"/>
        <v>-1</v>
      </c>
      <c r="AG55" s="117">
        <f t="shared" si="21"/>
        <v>-279.48750000000001</v>
      </c>
      <c r="AH55" s="116">
        <f>IFERROR(AG55/AG148, "NA")</f>
        <v>-6.1340020609083725E-3</v>
      </c>
      <c r="AI55" s="118">
        <f t="shared" si="22"/>
        <v>279.48750000000001</v>
      </c>
      <c r="AJ55" s="119">
        <f>IFERROR(AI55/AI148, "NA")</f>
        <v>-0.1391172874648848</v>
      </c>
      <c r="AK55" s="118">
        <f t="shared" si="23"/>
        <v>-1</v>
      </c>
      <c r="AL55" s="119">
        <f>IFERROR(AK55/AK148, "NA")</f>
        <v>22.679693629624115</v>
      </c>
    </row>
    <row r="56" spans="1:38" ht="16.5" customHeight="1" x14ac:dyDescent="0.25">
      <c r="A56" s="130" t="s">
        <v>61</v>
      </c>
      <c r="B56" s="121">
        <f>IFERROR(B37+B39+B40+B41+B42+B43+B46+B47+B48+B49+B50+B51+B53+B54+B55, "NA")</f>
        <v>1403.37</v>
      </c>
      <c r="C56" s="122">
        <f>IFERROR(B56/B148, "NA")</f>
        <v>3.3832114967041062E-2</v>
      </c>
      <c r="D56" s="121">
        <f>IFERROR(D37+D39+D40+D41+D42+D43+D46+D47+D48+D49+D50+D51+D53+D54+D55, "NA")</f>
        <v>1676.4</v>
      </c>
      <c r="E56" s="122">
        <f>IFERROR(D56/D148, "NA")</f>
        <v>3.36216092845701E-2</v>
      </c>
      <c r="F56" s="121">
        <f>IFERROR(F37+F39+F40+F41+F42+F43+F46+F47+F48+F49+F50+F51+F53+F54+F55, "NA")</f>
        <v>1405.04</v>
      </c>
      <c r="G56" s="122">
        <f>IFERROR(F56/F148, "NA")</f>
        <v>2.7460186794312832E-2</v>
      </c>
      <c r="H56" s="121">
        <f>IFERROR(H37+H39+H40+H41+H42+H43+H46+H47+H48+H49+H50+H51+H53+H54+H55, "NA")</f>
        <v>1274.6099999999999</v>
      </c>
      <c r="I56" s="122">
        <f>IFERROR(H56/H148, "NA")</f>
        <v>2.6904202498022722E-2</v>
      </c>
      <c r="J56" s="121">
        <f>IFERROR(J37+J39+J40+J41+J42+J43+J46+J47+J48+J49+J50+J51+J53+J54+J55, "NA")</f>
        <v>1469.3200000000002</v>
      </c>
      <c r="K56" s="122">
        <f>IFERROR(J56/J148, "NA")</f>
        <v>3.3325062473718858E-2</v>
      </c>
      <c r="L56" s="121">
        <f>IFERROR(L37+L39+L40+L41+L42+L43+L46+L47+L48+L49+L50+L51+L53+L54+L55, "NA")</f>
        <v>1127.2099999999998</v>
      </c>
      <c r="M56" s="122">
        <f>IFERROR(L56/L148, "NA")</f>
        <v>2.2739284872780555E-2</v>
      </c>
      <c r="N56" s="121">
        <f>IFERROR(N37+N39+N40+N41+N42+N43+N46+N47+N48+N49+N50+N51+N53+N54+N55, "NA")</f>
        <v>1200.48</v>
      </c>
      <c r="O56" s="122">
        <f>IFERROR(N56/N148, "NA")</f>
        <v>2.8907815402042049E-2</v>
      </c>
      <c r="P56" s="121">
        <f>IFERROR(P37+P39+P40+P41+P42+P43+P46+P47+P48+P49+P50+P51+P53+P54+P55, "NA")</f>
        <v>1733.4500000000005</v>
      </c>
      <c r="Q56" s="122">
        <f>IFERROR(P56/P148, "NA")</f>
        <v>4.4318333183769036E-2</v>
      </c>
      <c r="R56" s="121">
        <f>IFERROR(R37+R39+R40+R41+R42+R43+R46+R47+R48+R49+R50+R51+R53+R54+R55, "NA")</f>
        <v>1510.6200000000001</v>
      </c>
      <c r="S56" s="122">
        <f>IFERROR(R56/R148, "NA")</f>
        <v>3.461683094510306E-2</v>
      </c>
      <c r="T56" s="121">
        <f>IFERROR(T37+T39+T40+T41+T42+T43+T46+T47+T48+T49+T50+T51+T53+T54+T55, "NA")</f>
        <v>1675.28</v>
      </c>
      <c r="U56" s="122">
        <f>IFERROR(T56/T148, "NA")</f>
        <v>3.4996565687288698E-2</v>
      </c>
      <c r="V56" s="121">
        <f>IFERROR(V37+V39+V40+V41+V42+V43+V46+V47+V48+V49+V50+V51+V53+V54+V55, "NA")</f>
        <v>2207.36</v>
      </c>
      <c r="W56" s="122">
        <f>IFERROR(V56/V148, "NA")</f>
        <v>4.0029508560601723E-2</v>
      </c>
      <c r="X56" s="121">
        <f>IFERROR(X37+X39+X40+X41+X42+X43+X46+X47+X48+X49+X50+X51+X53+X54+X55, "NA")</f>
        <v>1747.4399999999998</v>
      </c>
      <c r="Y56" s="122">
        <f>IFERROR(X56/X148, "NA")</f>
        <v>4.0120639270580585E-2</v>
      </c>
      <c r="Z56" s="121">
        <f>IFERROR(Z37+Z39+Z40+Z41+Z42+Z43+Z46+Z47+Z48+Z49+Z50+Z51+Z53+Z54+Z55, "NA")</f>
        <v>5630.08</v>
      </c>
      <c r="AA56" s="122">
        <f>IFERROR(Z56/Z148, "NA")</f>
        <v>3.8412802812077415E-2</v>
      </c>
      <c r="AB56" s="121">
        <f t="shared" si="18"/>
        <v>1785.175</v>
      </c>
      <c r="AC56" s="122">
        <f>IFERROR(AB56/AB148, "NA")</f>
        <v>3.7541906513939009E-2</v>
      </c>
      <c r="AD56" s="123">
        <f t="shared" si="19"/>
        <v>-37.735000000000127</v>
      </c>
      <c r="AE56" s="124">
        <f>IFERROR(AD56/AD148, "NA")</f>
        <v>9.4410963530997937E-3</v>
      </c>
      <c r="AF56" s="123">
        <f t="shared" si="20"/>
        <v>-2.1137983671068734E-2</v>
      </c>
      <c r="AG56" s="121">
        <f t="shared" si="21"/>
        <v>1583.8950000000002</v>
      </c>
      <c r="AH56" s="122">
        <f>IFERROR(AG56/AG148, "NA")</f>
        <v>3.4762253031933331E-2</v>
      </c>
      <c r="AI56" s="123">
        <f t="shared" si="22"/>
        <v>163.54499999999962</v>
      </c>
      <c r="AJ56" s="124">
        <f>IFERROR(AI56/AI148, "NA")</f>
        <v>-8.1405918971132987E-2</v>
      </c>
      <c r="AK56" s="123">
        <f t="shared" si="23"/>
        <v>0.10325495061225624</v>
      </c>
      <c r="AL56" s="124">
        <f>IFERROR(AK56/AK148, "NA")</f>
        <v>-2.3417906456279405</v>
      </c>
    </row>
    <row r="57" spans="1:38" ht="16.5" customHeight="1" x14ac:dyDescent="0.25">
      <c r="A57" s="120" t="s">
        <v>62</v>
      </c>
      <c r="B57" s="131">
        <f>IFERROR(B13+B15+B16+B17+B18+B19+B20+B21+B22+B23+B24+B25+B26+B29+B30+B31+B32+B33+B37+B39+B40+B41+B42+B43+B46+B47+B48+B49+B50+B51+B53+B54+B55, "NA")</f>
        <v>10847.380000000001</v>
      </c>
      <c r="C57" s="132">
        <f>IFERROR(B57/B148, "NA")</f>
        <v>0.26150609408151942</v>
      </c>
      <c r="D57" s="131">
        <f>IFERROR(D13+D15+D16+D17+D18+D19+D20+D21+D22+D23+D24+D25+D26+D29+D30+D31+D32+D33+D37+D39+D40+D41+D42+D43+D46+D47+D48+D49+D50+D51+D53+D54+D55, "NA")</f>
        <v>12320.350000000002</v>
      </c>
      <c r="E57" s="132">
        <f>IFERROR(D57/D148, "NA")</f>
        <v>0.24709496179262305</v>
      </c>
      <c r="F57" s="131">
        <f>IFERROR(F13+F15+F16+F17+F18+F19+F20+F21+F22+F23+F24+F25+F26+F29+F30+F31+F32+F33+F37+F39+F40+F41+F42+F43+F46+F47+F48+F49+F50+F51+F53+F54+F55, "NA")</f>
        <v>11723.56</v>
      </c>
      <c r="G57" s="132">
        <f>IFERROR(F57/F148, "NA")</f>
        <v>0.22912596616063183</v>
      </c>
      <c r="H57" s="131">
        <f>IFERROR(H13+H15+H16+H17+H18+H19+H20+H21+H22+H23+H24+H25+H26+H29+H30+H31+H32+H33+H37+H39+H40+H41+H42+H43+H46+H47+H48+H49+H50+H51+H53+H54+H55, "NA")</f>
        <v>11087.730000000001</v>
      </c>
      <c r="I57" s="132">
        <f>IFERROR(H57/H148, "NA")</f>
        <v>0.23403749630349799</v>
      </c>
      <c r="J57" s="131">
        <f>IFERROR(J13+J15+J16+J17+J18+J19+J20+J21+J22+J23+J24+J25+J26+J29+J30+J31+J32+J33+J37+J39+J40+J41+J42+J43+J46+J47+J48+J49+J50+J51+J53+J54+J55, "NA")</f>
        <v>10654.370000000003</v>
      </c>
      <c r="K57" s="132">
        <f>IFERROR(J57/J148, "NA")</f>
        <v>0.24164752801848202</v>
      </c>
      <c r="L57" s="131">
        <f>IFERROR(L13+L15+L16+L17+L18+L19+L20+L21+L22+L23+L24+L25+L26+L29+L30+L31+L32+L33+L37+L39+L40+L41+L42+L43+L46+L47+L48+L49+L50+L51+L53+L54+L55, "NA")</f>
        <v>10256.740000000002</v>
      </c>
      <c r="M57" s="132">
        <f>IFERROR(L57/L148, "NA")</f>
        <v>0.20690992159938548</v>
      </c>
      <c r="N57" s="131">
        <f>IFERROR(N13+N15+N16+N17+N18+N19+N20+N21+N22+N23+N24+N25+N26+N29+N30+N31+N32+N33+N37+N39+N40+N41+N42+N43+N46+N47+N48+N49+N50+N51+N53+N54+N55, "NA")</f>
        <v>10300.880000000003</v>
      </c>
      <c r="O57" s="132">
        <f>IFERROR(N57/N148, "NA")</f>
        <v>0.24804739564056624</v>
      </c>
      <c r="P57" s="131">
        <f>IFERROR(P13+P15+P16+P17+P18+P19+P20+P21+P22+P23+P24+P25+P26+P29+P30+P31+P32+P33+P37+P39+P40+P41+P42+P43+P46+P47+P48+P49+P50+P51+P53+P54+P55, "NA")</f>
        <v>10311.52</v>
      </c>
      <c r="Q57" s="132">
        <f>IFERROR(P57/P148, "NA")</f>
        <v>0.26362997432351554</v>
      </c>
      <c r="R57" s="131">
        <f>IFERROR(R13+R15+R16+R17+R18+R19+R20+R21+R22+R23+R24+R25+R26+R29+R30+R31+R32+R33+R37+R39+R40+R41+R42+R43+R46+R47+R48+R49+R50+R51+R53+R54+R55, "NA")</f>
        <v>10487.510000000002</v>
      </c>
      <c r="S57" s="132">
        <f>IFERROR(R57/R148, "NA")</f>
        <v>0.24032805120088296</v>
      </c>
      <c r="T57" s="131">
        <f>IFERROR(T13+T15+T16+T17+T18+T19+T20+T21+T22+T23+T24+T25+T26+T29+T30+T31+T32+T33+T37+T39+T40+T41+T42+T43+T46+T47+T48+T49+T50+T51+T53+T54+T55, "NA")</f>
        <v>11528.069999999998</v>
      </c>
      <c r="U57" s="132">
        <f>IFERROR(T57/T148, "NA")</f>
        <v>0.24082115168966511</v>
      </c>
      <c r="V57" s="131">
        <f>IFERROR(V13+V15+V16+V17+V18+V19+V20+V21+V22+V23+V24+V25+V26+V29+V30+V31+V32+V33+V37+V39+V40+V41+V42+V43+V46+V47+V48+V49+V50+V51+V53+V54+V55, "NA")</f>
        <v>13211.860000000002</v>
      </c>
      <c r="W57" s="132">
        <f>IFERROR(V57/V148, "NA")</f>
        <v>0.23959130498490122</v>
      </c>
      <c r="X57" s="131">
        <f>IFERROR(X13+X15+X16+X17+X18+X19+X20+X21+X22+X23+X24+X25+X26+X29+X30+X31+X32+X33+X37+X39+X40+X41+X42+X43+X46+X47+X48+X49+X50+X51+X53+X54+X55, "NA")</f>
        <v>10624.25</v>
      </c>
      <c r="Y57" s="132">
        <f>IFERROR(X57/X148, "NA")</f>
        <v>0.24392923463493213</v>
      </c>
      <c r="Z57" s="131">
        <f>IFERROR(Z13+Z15+Z16+Z17+Z18+Z19+Z20+Z21+Z22+Z23+Z24+Z25+Z26+Z29+Z30+Z31+Z32+Z33+Z37+Z39+Z40+Z41+Z42+Z43+Z46+Z47+Z48+Z49+Z50+Z51+Z53+Z54+Z55, "NA")</f>
        <v>35364.179999999993</v>
      </c>
      <c r="AA57" s="132">
        <f>IFERROR(Z57/Z148, "NA")</f>
        <v>0.24128205513079951</v>
      </c>
      <c r="AB57" s="131">
        <f t="shared" si="18"/>
        <v>11462.922500000001</v>
      </c>
      <c r="AC57" s="132">
        <f>IFERROR(AB57/AB148, "NA")</f>
        <v>0.2410631814088412</v>
      </c>
      <c r="AD57" s="133">
        <f t="shared" si="19"/>
        <v>-838.67250000000058</v>
      </c>
      <c r="AE57" s="134">
        <f>IFERROR(AD57/AD148, "NA")</f>
        <v>0.20983140005817055</v>
      </c>
      <c r="AF57" s="133">
        <f t="shared" si="20"/>
        <v>-7.3163933543125725E-2</v>
      </c>
      <c r="AG57" s="131">
        <f t="shared" si="21"/>
        <v>10921.900000000001</v>
      </c>
      <c r="AH57" s="132">
        <f>IFERROR(AG57/AG148, "NA")</f>
        <v>0.23970645237813912</v>
      </c>
      <c r="AI57" s="133">
        <f t="shared" si="22"/>
        <v>-297.65000000000146</v>
      </c>
      <c r="AJ57" s="134">
        <f>IFERROR(AI57/AI148, "NA")</f>
        <v>0.148157826786254</v>
      </c>
      <c r="AK57" s="133">
        <f t="shared" si="23"/>
        <v>-2.7252584257317997E-2</v>
      </c>
      <c r="AL57" s="134">
        <f>IFERROR(AK57/AK148, "NA")</f>
        <v>0.61808026157148943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63</v>
      </c>
      <c r="B59" s="136">
        <f>IFERROR(B9-B57, "NA")</f>
        <v>30633.029999999995</v>
      </c>
      <c r="C59" s="137">
        <f>IFERROR(B59/B148, "NA")</f>
        <v>0.73849390591848041</v>
      </c>
      <c r="D59" s="136">
        <f>IFERROR(D9-D57, "NA")</f>
        <v>37540.439999999988</v>
      </c>
      <c r="E59" s="137">
        <f>IFERROR(D59/D148, "NA")</f>
        <v>0.75290503820737675</v>
      </c>
      <c r="F59" s="136">
        <f>IFERROR(F9-F57, "NA")</f>
        <v>39442.880000000012</v>
      </c>
      <c r="G59" s="137">
        <f>IFERROR(F59/F148, "NA")</f>
        <v>0.77087403383936837</v>
      </c>
      <c r="H59" s="136">
        <f>IFERROR(H9-H57, "NA")</f>
        <v>36288.140000000007</v>
      </c>
      <c r="I59" s="137">
        <f>IFERROR(H59/H148, "NA")</f>
        <v>0.76596250369650209</v>
      </c>
      <c r="J59" s="136">
        <f>IFERROR(J9-J57, "NA")</f>
        <v>33436.170000000006</v>
      </c>
      <c r="K59" s="137">
        <f>IFERROR(J59/J148, "NA")</f>
        <v>0.75835247198151812</v>
      </c>
      <c r="L59" s="136">
        <f>IFERROR(L9-L57, "NA")</f>
        <v>39314.300000000003</v>
      </c>
      <c r="M59" s="137">
        <f>IFERROR(L59/L148, "NA")</f>
        <v>0.79309007840061463</v>
      </c>
      <c r="N59" s="136">
        <f>IFERROR(N9-N57, "NA")</f>
        <v>31226.990000000005</v>
      </c>
      <c r="O59" s="137">
        <f>IFERROR(N59/N148, "NA")</f>
        <v>0.7519526043594339</v>
      </c>
      <c r="P59" s="136">
        <f>IFERROR(P9-P57, "NA")</f>
        <v>28802.09</v>
      </c>
      <c r="Q59" s="137">
        <f>IFERROR(P59/P148, "NA")</f>
        <v>0.73637002567648446</v>
      </c>
      <c r="R59" s="136">
        <f>IFERROR(R9-R57, "NA")</f>
        <v>33150.800000000003</v>
      </c>
      <c r="S59" s="137">
        <f>IFERROR(R59/R148, "NA")</f>
        <v>0.75967194879911726</v>
      </c>
      <c r="T59" s="136">
        <f>IFERROR(T9-T57, "NA")</f>
        <v>36341.770000000004</v>
      </c>
      <c r="U59" s="137">
        <f>IFERROR(T59/T148, "NA")</f>
        <v>0.759178848310335</v>
      </c>
      <c r="V59" s="136">
        <f>IFERROR(V9-V57, "NA")</f>
        <v>41931.460000000006</v>
      </c>
      <c r="W59" s="137">
        <f>IFERROR(V59/V148, "NA")</f>
        <v>0.760408695015099</v>
      </c>
      <c r="X59" s="136">
        <f>IFERROR(X9-X57, "NA")</f>
        <v>32930.39</v>
      </c>
      <c r="Y59" s="137">
        <f>IFERROR(X59/X148, "NA")</f>
        <v>0.7560707653650679</v>
      </c>
      <c r="Z59" s="136">
        <f>IFERROR(Z9-Z57, "NA")</f>
        <v>111203.62000000002</v>
      </c>
      <c r="AA59" s="137">
        <f>IFERROR(Z59/Z148, "NA")</f>
        <v>0.75871794486920074</v>
      </c>
      <c r="AB59" s="136">
        <f>IFERROR((R59+T59+V59+X59)/4, "NA")</f>
        <v>36088.605000000003</v>
      </c>
      <c r="AC59" s="137">
        <f>IFERROR(AB59/AB148, "NA")</f>
        <v>0.75893681859115891</v>
      </c>
      <c r="AD59" s="123">
        <f>IFERROR(X59-AB59, "NA")</f>
        <v>-3158.2150000000038</v>
      </c>
      <c r="AE59" s="124">
        <f>IFERROR(AD59/AD148, "NA")</f>
        <v>0.79016859994183131</v>
      </c>
      <c r="AF59" s="123">
        <f>IFERROR((X59-AB59)/AB59, "NA")</f>
        <v>-8.7512803556690638E-2</v>
      </c>
      <c r="AG59" s="136">
        <f>IFERROR((J59+L59+N59+P59+R59+T59+V59+X59)/8, "NA")</f>
        <v>34641.746250000011</v>
      </c>
      <c r="AH59" s="137">
        <f>IFERROR(AG59/AG148, "NA")</f>
        <v>0.76029354762186119</v>
      </c>
      <c r="AI59" s="123">
        <f>IFERROR(X59-AG59, "NA")</f>
        <v>-1711.3562500000116</v>
      </c>
      <c r="AJ59" s="124">
        <f>IFERROR(AI59/AI148, "NA")</f>
        <v>0.85184217321375322</v>
      </c>
      <c r="AK59" s="123">
        <f>IFERROR((X59-AG59)/AG59, "NA")</f>
        <v>-4.9401558387086535E-2</v>
      </c>
      <c r="AL59" s="124">
        <f>IFERROR(AK59/AK148, "NA")</f>
        <v>1.1204122090451103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64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64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65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66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67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68</v>
      </c>
      <c r="B66" s="115">
        <v>2519.23</v>
      </c>
      <c r="C66" s="116">
        <f>IFERROR(B66/B148, "NA")</f>
        <v>6.0733006255241931E-2</v>
      </c>
      <c r="D66" s="115">
        <v>2519.23</v>
      </c>
      <c r="E66" s="116">
        <f>IFERROR(D66/D148, "NA")</f>
        <v>5.0525272463593132E-2</v>
      </c>
      <c r="F66" s="115">
        <v>2519.23</v>
      </c>
      <c r="G66" s="116">
        <f>IFERROR(F66/F148, "NA")</f>
        <v>4.9235983586116208E-2</v>
      </c>
      <c r="H66" s="115">
        <v>2519.23</v>
      </c>
      <c r="I66" s="116">
        <f>IFERROR(H66/H148, "NA")</f>
        <v>5.3175382320155805E-2</v>
      </c>
      <c r="J66" s="115">
        <v>2519.23</v>
      </c>
      <c r="K66" s="116">
        <f>IFERROR(J66/J148, "NA")</f>
        <v>5.7137653564687571E-2</v>
      </c>
      <c r="L66" s="115">
        <v>2519.23</v>
      </c>
      <c r="M66" s="116">
        <f>IFERROR(L66/L148, "NA")</f>
        <v>5.0820600092311964E-2</v>
      </c>
      <c r="N66" s="115">
        <v>2519.23</v>
      </c>
      <c r="O66" s="116">
        <f>IFERROR(N66/N148, "NA")</f>
        <v>6.0663597723649196E-2</v>
      </c>
      <c r="P66" s="115">
        <v>2519.23</v>
      </c>
      <c r="Q66" s="116">
        <f>IFERROR(P66/P148, "NA")</f>
        <v>6.4408015521962819E-2</v>
      </c>
      <c r="R66" s="115">
        <v>2519.23</v>
      </c>
      <c r="S66" s="116">
        <f>IFERROR(R66/R148, "NA")</f>
        <v>5.7729779177974588E-2</v>
      </c>
      <c r="T66" s="115">
        <v>1326.92</v>
      </c>
      <c r="U66" s="116">
        <f>IFERROR(T66/T148, "NA")</f>
        <v>2.7719332255967434E-2</v>
      </c>
      <c r="V66" s="115">
        <v>1326.92</v>
      </c>
      <c r="W66" s="116">
        <f>IFERROR(V66/V148, "NA")</f>
        <v>2.40631140816331E-2</v>
      </c>
      <c r="X66" s="115">
        <v>1326.92</v>
      </c>
      <c r="Y66" s="116">
        <f>IFERROR(X66/X148, "NA")</f>
        <v>3.046564040019617E-2</v>
      </c>
      <c r="Z66" s="115">
        <v>3980.76</v>
      </c>
      <c r="AA66" s="116">
        <f>IFERROR(Z66/Z148, "NA")</f>
        <v>2.715985366499327E-2</v>
      </c>
      <c r="AB66" s="117">
        <f t="shared" si="24"/>
        <v>1624.9974999999999</v>
      </c>
      <c r="AC66" s="116">
        <f>IFERROR(AB66/AB148, "NA")</f>
        <v>3.417340273664185E-2</v>
      </c>
      <c r="AD66" s="118">
        <f t="shared" si="25"/>
        <v>-298.07749999999987</v>
      </c>
      <c r="AE66" s="119">
        <f>IFERROR(AD66/AD148, "NA")</f>
        <v>7.4577405543688705E-2</v>
      </c>
      <c r="AF66" s="118">
        <f t="shared" si="26"/>
        <v>-0.18343258989629208</v>
      </c>
      <c r="AG66" s="117">
        <f t="shared" si="27"/>
        <v>2072.11375</v>
      </c>
      <c r="AH66" s="116">
        <f>IFERROR(AG66/AG148, "NA")</f>
        <v>4.5477346975934793E-2</v>
      </c>
      <c r="AI66" s="118">
        <f t="shared" si="28"/>
        <v>-745.19374999999991</v>
      </c>
      <c r="AJ66" s="119">
        <f>IFERROR(AI66/AI148, "NA")</f>
        <v>0.37092654639576184</v>
      </c>
      <c r="AK66" s="118">
        <f t="shared" si="29"/>
        <v>-0.35962975005595127</v>
      </c>
      <c r="AL66" s="119">
        <f>IFERROR(AK66/AK148, "NA")</f>
        <v>8.1562925513672706</v>
      </c>
    </row>
    <row r="67" spans="1:38" ht="16.5" hidden="1" customHeight="1" x14ac:dyDescent="0.25">
      <c r="A67" s="7" t="s">
        <v>69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70</v>
      </c>
      <c r="B68" s="115">
        <v>6695.05</v>
      </c>
      <c r="C68" s="116">
        <f>IFERROR(B68/B148, "NA")</f>
        <v>0.16140269587499254</v>
      </c>
      <c r="D68" s="115">
        <v>8012.16</v>
      </c>
      <c r="E68" s="116">
        <f>IFERROR(D68/D148, "NA")</f>
        <v>0.16069059475391384</v>
      </c>
      <c r="F68" s="115">
        <v>7685.83</v>
      </c>
      <c r="G68" s="116">
        <f>IFERROR(F68/F148, "NA")</f>
        <v>0.15021232667349926</v>
      </c>
      <c r="H68" s="115">
        <v>6943.38</v>
      </c>
      <c r="I68" s="116">
        <f>IFERROR(H68/H148, "NA")</f>
        <v>0.14655941938374956</v>
      </c>
      <c r="J68" s="115">
        <v>6896.57</v>
      </c>
      <c r="K68" s="116">
        <f>IFERROR(J68/J148, "NA")</f>
        <v>0.1564183609454545</v>
      </c>
      <c r="L68" s="115">
        <v>7621.22</v>
      </c>
      <c r="M68" s="116">
        <f>IFERROR(L68/L148, "NA")</f>
        <v>0.15374339533727757</v>
      </c>
      <c r="N68" s="115">
        <v>7148.11</v>
      </c>
      <c r="O68" s="116">
        <f>IFERROR(N68/N148, "NA")</f>
        <v>0.17212801908694086</v>
      </c>
      <c r="P68" s="115">
        <v>7063.93</v>
      </c>
      <c r="Q68" s="116">
        <f>IFERROR(P68/P148, "NA")</f>
        <v>0.18060030766784246</v>
      </c>
      <c r="R68" s="115">
        <v>6359.56</v>
      </c>
      <c r="S68" s="116">
        <f>IFERROR(R68/R148, "NA")</f>
        <v>0.14573341634907494</v>
      </c>
      <c r="T68" s="115">
        <v>7409.25</v>
      </c>
      <c r="U68" s="116">
        <f>IFERROR(T68/T148, "NA")</f>
        <v>0.15477908428354889</v>
      </c>
      <c r="V68" s="115">
        <v>7294.88</v>
      </c>
      <c r="W68" s="116">
        <f>IFERROR(V68/V148, "NA")</f>
        <v>0.13228945953925153</v>
      </c>
      <c r="X68" s="115">
        <v>7924.62</v>
      </c>
      <c r="Y68" s="116">
        <f>IFERROR(X68/X148, "NA")</f>
        <v>0.18194663071489053</v>
      </c>
      <c r="Z68" s="115">
        <v>22628.75</v>
      </c>
      <c r="AA68" s="116">
        <f>IFERROR(Z68/Z148, "NA")</f>
        <v>0.15439100539136155</v>
      </c>
      <c r="AB68" s="117">
        <f t="shared" si="24"/>
        <v>7247.0775000000003</v>
      </c>
      <c r="AC68" s="116">
        <f>IFERROR(AB68/AB148, "NA")</f>
        <v>0.15240472558951973</v>
      </c>
      <c r="AD68" s="118">
        <f t="shared" si="25"/>
        <v>677.54249999999956</v>
      </c>
      <c r="AE68" s="119">
        <f>IFERROR(AD68/AD148, "NA")</f>
        <v>-0.16951753082867607</v>
      </c>
      <c r="AF68" s="118">
        <f t="shared" si="26"/>
        <v>9.3491824808000126E-2</v>
      </c>
      <c r="AG68" s="117">
        <f t="shared" si="27"/>
        <v>7214.7674999999999</v>
      </c>
      <c r="AH68" s="116">
        <f>IFERROR(AG68/AG148, "NA")</f>
        <v>0.1583448229848374</v>
      </c>
      <c r="AI68" s="118">
        <f t="shared" si="28"/>
        <v>709.85249999999996</v>
      </c>
      <c r="AJ68" s="119">
        <f>IFERROR(AI68/AI148, "NA")</f>
        <v>-0.35333513770800884</v>
      </c>
      <c r="AK68" s="118">
        <f t="shared" si="29"/>
        <v>9.8388825419530146E-2</v>
      </c>
      <c r="AL68" s="119">
        <f>IFERROR(AK68/AK148, "NA")</f>
        <v>-2.2314284170935172</v>
      </c>
    </row>
    <row r="69" spans="1:38" ht="16.5" customHeight="1" x14ac:dyDescent="0.25">
      <c r="A69" s="7" t="s">
        <v>71</v>
      </c>
      <c r="B69" s="115">
        <v>145.08000000000001</v>
      </c>
      <c r="C69" s="116">
        <f>IFERROR(B69/B148, "NA")</f>
        <v>3.4975546287994742E-3</v>
      </c>
      <c r="D69" s="115">
        <v>453.47</v>
      </c>
      <c r="E69" s="116">
        <f>IFERROR(D69/D148, "NA")</f>
        <v>9.0947215236661921E-3</v>
      </c>
      <c r="F69" s="115">
        <v>274.60000000000002</v>
      </c>
      <c r="G69" s="116">
        <f>IFERROR(F69/F148, "NA")</f>
        <v>5.3667990190445145E-3</v>
      </c>
      <c r="H69" s="115">
        <v>229.06</v>
      </c>
      <c r="I69" s="116">
        <f>IFERROR(H69/H148, "NA")</f>
        <v>4.8349507882388225E-3</v>
      </c>
      <c r="J69" s="115">
        <v>230.99</v>
      </c>
      <c r="K69" s="116">
        <f>IFERROR(J69/J148, "NA")</f>
        <v>5.2389923099150065E-3</v>
      </c>
      <c r="L69" s="115">
        <v>264.58</v>
      </c>
      <c r="M69" s="116">
        <f>IFERROR(L69/L148, "NA")</f>
        <v>5.337390540928735E-3</v>
      </c>
      <c r="N69" s="115">
        <v>219.61</v>
      </c>
      <c r="O69" s="116">
        <f>IFERROR(N69/N148, "NA")</f>
        <v>5.2882558147094947E-3</v>
      </c>
      <c r="P69" s="115">
        <v>91.1</v>
      </c>
      <c r="Q69" s="116">
        <f>IFERROR(P69/P148, "NA")</f>
        <v>2.3291125518713307E-3</v>
      </c>
      <c r="R69" s="115">
        <v>149.94</v>
      </c>
      <c r="S69" s="116">
        <f>IFERROR(R69/R148, "NA")</f>
        <v>3.4359717413437875E-3</v>
      </c>
      <c r="T69" s="115">
        <v>1037.57</v>
      </c>
      <c r="U69" s="116">
        <f>IFERROR(T69/T148, "NA")</f>
        <v>2.1674816544195678E-2</v>
      </c>
      <c r="V69" s="115">
        <v>280.27</v>
      </c>
      <c r="W69" s="116">
        <f>IFERROR(V69/V148, "NA")</f>
        <v>5.0825739182914628E-3</v>
      </c>
      <c r="X69" s="115">
        <v>193.9</v>
      </c>
      <c r="Y69" s="116">
        <f>IFERROR(X69/X148, "NA")</f>
        <v>4.451879294605581E-3</v>
      </c>
      <c r="Z69" s="115">
        <v>1511.74</v>
      </c>
      <c r="AA69" s="116">
        <f>IFERROR(Z69/Z148, "NA")</f>
        <v>1.031427093809145E-2</v>
      </c>
      <c r="AB69" s="117">
        <f t="shared" si="24"/>
        <v>415.42</v>
      </c>
      <c r="AC69" s="116">
        <f>IFERROR(AB69/AB148, "NA")</f>
        <v>8.7362072648454886E-3</v>
      </c>
      <c r="AD69" s="118">
        <f t="shared" si="25"/>
        <v>-221.52</v>
      </c>
      <c r="AE69" s="119">
        <f>IFERROR(AD69/AD148, "NA")</f>
        <v>5.5423126120012177E-2</v>
      </c>
      <c r="AF69" s="118">
        <f t="shared" si="26"/>
        <v>-0.53324346444562132</v>
      </c>
      <c r="AG69" s="117">
        <f t="shared" si="27"/>
        <v>308.495</v>
      </c>
      <c r="AH69" s="116">
        <f>IFERROR(AG69/AG148, "NA")</f>
        <v>6.7706389938008973E-3</v>
      </c>
      <c r="AI69" s="118">
        <f t="shared" si="28"/>
        <v>-114.595</v>
      </c>
      <c r="AJ69" s="119">
        <f>IFERROR(AI69/AI148, "NA")</f>
        <v>5.7040638873074728E-2</v>
      </c>
      <c r="AK69" s="118">
        <f t="shared" si="29"/>
        <v>-0.37146469148608569</v>
      </c>
      <c r="AL69" s="119">
        <f>IFERROR(AK69/AK148, "NA")</f>
        <v>8.4247053971272656</v>
      </c>
    </row>
    <row r="70" spans="1:38" ht="16.5" customHeight="1" x14ac:dyDescent="0.25">
      <c r="A70" s="129" t="s">
        <v>72</v>
      </c>
      <c r="B70" s="121">
        <f>IFERROR(B65+B66+B67+B68+B69, "NA")</f>
        <v>9359.36</v>
      </c>
      <c r="C70" s="122">
        <f>IFERROR(B70/B148, "NA")</f>
        <v>0.22563325675903395</v>
      </c>
      <c r="D70" s="121">
        <f>IFERROR(D65+D66+D67+D68+D69, "NA")</f>
        <v>10984.859999999999</v>
      </c>
      <c r="E70" s="122">
        <f>IFERROR(D70/D148, "NA")</f>
        <v>0.22031058874117315</v>
      </c>
      <c r="F70" s="121">
        <f>IFERROR(F65+F66+F67+F68+F69, "NA")</f>
        <v>10479.66</v>
      </c>
      <c r="G70" s="122">
        <f>IFERROR(F70/F148, "NA")</f>
        <v>0.20481510927865998</v>
      </c>
      <c r="H70" s="121">
        <f>IFERROR(H65+H66+H67+H68+H69, "NA")</f>
        <v>9691.67</v>
      </c>
      <c r="I70" s="122">
        <f>IFERROR(H70/H148, "NA")</f>
        <v>0.20456975249214421</v>
      </c>
      <c r="J70" s="121">
        <f>IFERROR(J65+J66+J67+J68+J69, "NA")</f>
        <v>9646.7899999999991</v>
      </c>
      <c r="K70" s="122">
        <f>IFERROR(J70/J148, "NA")</f>
        <v>0.21879500682005706</v>
      </c>
      <c r="L70" s="121">
        <f>IFERROR(L65+L66+L67+L68+L69, "NA")</f>
        <v>10405.030000000001</v>
      </c>
      <c r="M70" s="122">
        <f>IFERROR(L70/L148, "NA")</f>
        <v>0.20990138597051827</v>
      </c>
      <c r="N70" s="121">
        <f>IFERROR(N65+N66+N67+N68+N69, "NA")</f>
        <v>9886.9500000000007</v>
      </c>
      <c r="O70" s="122">
        <f>IFERROR(N70/N148, "NA")</f>
        <v>0.23807987262529959</v>
      </c>
      <c r="P70" s="121">
        <f>IFERROR(P65+P66+P67+P68+P69, "NA")</f>
        <v>9674.26</v>
      </c>
      <c r="Q70" s="122">
        <f>IFERROR(P70/P148, "NA")</f>
        <v>0.24733743574167663</v>
      </c>
      <c r="R70" s="121">
        <f>IFERROR(R65+R66+R67+R68+R69, "NA")</f>
        <v>9028.7300000000014</v>
      </c>
      <c r="S70" s="122">
        <f>IFERROR(R70/R148, "NA")</f>
        <v>0.20689916726839333</v>
      </c>
      <c r="T70" s="121">
        <f>IFERROR(T65+T66+T67+T68+T69, "NA")</f>
        <v>9773.74</v>
      </c>
      <c r="U70" s="122">
        <f>IFERROR(T70/T148, "NA")</f>
        <v>0.20417323308371202</v>
      </c>
      <c r="V70" s="121">
        <f>IFERROR(V65+V66+V67+V68+V69, "NA")</f>
        <v>8902.07</v>
      </c>
      <c r="W70" s="122">
        <f>IFERROR(V70/V148, "NA")</f>
        <v>0.16143514753917609</v>
      </c>
      <c r="X70" s="121">
        <f>IFERROR(X65+X66+X67+X68+X69, "NA")</f>
        <v>9445.44</v>
      </c>
      <c r="Y70" s="122">
        <f>IFERROR(X70/X148, "NA")</f>
        <v>0.21686415040969231</v>
      </c>
      <c r="Z70" s="121">
        <f>IFERROR(Z65+Z66+Z67+Z68+Z69, "NA")</f>
        <v>28121.250000000004</v>
      </c>
      <c r="AA70" s="122">
        <f>IFERROR(Z70/Z148, "NA")</f>
        <v>0.1918651299944463</v>
      </c>
      <c r="AB70" s="121">
        <f t="shared" si="24"/>
        <v>9287.4950000000008</v>
      </c>
      <c r="AC70" s="122">
        <f>IFERROR(AB70/AB148, "NA")</f>
        <v>0.19531433559100708</v>
      </c>
      <c r="AD70" s="123">
        <f t="shared" si="25"/>
        <v>157.94499999999971</v>
      </c>
      <c r="AE70" s="124">
        <f>IFERROR(AD70/AD148, "NA")</f>
        <v>-3.9516999164975204E-2</v>
      </c>
      <c r="AF70" s="123">
        <f t="shared" si="26"/>
        <v>1.7006200272516939E-2</v>
      </c>
      <c r="AG70" s="121">
        <f t="shared" si="27"/>
        <v>9595.3762500000012</v>
      </c>
      <c r="AH70" s="122">
        <f>IFERROR(AG70/AG148, "NA")</f>
        <v>0.21059280895457311</v>
      </c>
      <c r="AI70" s="123">
        <f t="shared" si="28"/>
        <v>-149.93625000000065</v>
      </c>
      <c r="AJ70" s="124">
        <f>IFERROR(AI70/AI148, "NA")</f>
        <v>7.463204756082803E-2</v>
      </c>
      <c r="AK70" s="123">
        <f t="shared" si="29"/>
        <v>-1.5625885436227751E-2</v>
      </c>
      <c r="AL70" s="124">
        <f>IFERROR(AK70/AK148, "NA")</f>
        <v>0.35439029438525077</v>
      </c>
    </row>
    <row r="71" spans="1:38" ht="16.5" hidden="1" customHeight="1" x14ac:dyDescent="0.25">
      <c r="A71" s="5" t="s">
        <v>73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74</v>
      </c>
      <c r="B72" s="115">
        <v>0</v>
      </c>
      <c r="C72" s="116">
        <f>IFERROR(B72/B148, "NA")</f>
        <v>0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863</v>
      </c>
      <c r="I72" s="116">
        <f>IFERROR(H72/H148, "NA")</f>
        <v>1.821602431786477E-2</v>
      </c>
      <c r="J72" s="115">
        <v>0</v>
      </c>
      <c r="K72" s="116">
        <f>IFERROR(J72/J148, "NA")</f>
        <v>0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1013</v>
      </c>
      <c r="S72" s="116">
        <f>IFERROR(R72/R148, "NA")</f>
        <v>2.3213547912373327E-2</v>
      </c>
      <c r="T72" s="115">
        <v>0</v>
      </c>
      <c r="U72" s="116">
        <f>IFERROR(T72/T148, "NA")</f>
        <v>0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253.25</v>
      </c>
      <c r="AC72" s="116">
        <f>IFERROR(AB72/AB148, "NA")</f>
        <v>5.325801573882143E-3</v>
      </c>
      <c r="AD72" s="118">
        <f t="shared" si="25"/>
        <v>-253.25</v>
      </c>
      <c r="AE72" s="119">
        <f>IFERROR(AD72/AD148, "NA")</f>
        <v>6.3361803403273215E-2</v>
      </c>
      <c r="AF72" s="118">
        <f t="shared" si="26"/>
        <v>-1</v>
      </c>
      <c r="AG72" s="117">
        <f t="shared" si="27"/>
        <v>126.625</v>
      </c>
      <c r="AH72" s="116">
        <f>IFERROR(AG72/AG148, "NA")</f>
        <v>2.7790796044993875E-3</v>
      </c>
      <c r="AI72" s="118">
        <f t="shared" si="28"/>
        <v>-126.625</v>
      </c>
      <c r="AJ72" s="119">
        <f>IFERROR(AI72/AI148, "NA")</f>
        <v>6.3028674002383059E-2</v>
      </c>
      <c r="AK72" s="118">
        <f t="shared" si="29"/>
        <v>-1</v>
      </c>
      <c r="AL72" s="119">
        <f>IFERROR(AK72/AK148, "NA")</f>
        <v>22.679693629624115</v>
      </c>
    </row>
    <row r="73" spans="1:38" ht="16.5" customHeight="1" x14ac:dyDescent="0.25">
      <c r="A73" s="6" t="s">
        <v>75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76</v>
      </c>
      <c r="B74" s="115">
        <v>1020.27</v>
      </c>
      <c r="C74" s="116">
        <f>IFERROR(B74/B148, "NA")</f>
        <v>2.4596429977427895E-2</v>
      </c>
      <c r="D74" s="115">
        <v>1146.8599999999999</v>
      </c>
      <c r="E74" s="116">
        <f>IFERROR(D74/D148, "NA")</f>
        <v>2.3001240052554318E-2</v>
      </c>
      <c r="F74" s="115">
        <v>1081.04</v>
      </c>
      <c r="G74" s="116">
        <f>IFERROR(F74/F148, "NA")</f>
        <v>2.1127911185534892E-2</v>
      </c>
      <c r="H74" s="115">
        <v>1003.55</v>
      </c>
      <c r="I74" s="116">
        <f>IFERROR(H74/H148, "NA")</f>
        <v>2.1182724454453287E-2</v>
      </c>
      <c r="J74" s="115">
        <v>963.22</v>
      </c>
      <c r="K74" s="116">
        <f>IFERROR(J74/J148, "NA")</f>
        <v>2.1846409683347039E-2</v>
      </c>
      <c r="L74" s="115">
        <v>1037.05</v>
      </c>
      <c r="M74" s="116">
        <f>IFERROR(L74/L148, "NA")</f>
        <v>2.0920480990513815E-2</v>
      </c>
      <c r="N74" s="115">
        <v>954.23</v>
      </c>
      <c r="O74" s="116">
        <f>IFERROR(N74/N148, "NA")</f>
        <v>2.2978062684168486E-2</v>
      </c>
      <c r="P74" s="115">
        <v>941.37</v>
      </c>
      <c r="Q74" s="116">
        <f>IFERROR(P74/P148, "NA")</f>
        <v>2.4067581591164813E-2</v>
      </c>
      <c r="R74" s="115">
        <v>903.18</v>
      </c>
      <c r="S74" s="116">
        <f>IFERROR(R74/R148, "NA")</f>
        <v>2.0696951829711097E-2</v>
      </c>
      <c r="T74" s="115">
        <v>912.03</v>
      </c>
      <c r="U74" s="116">
        <f>IFERROR(T74/T148, "NA")</f>
        <v>1.9052288455528577E-2</v>
      </c>
      <c r="V74" s="115">
        <v>959.49</v>
      </c>
      <c r="W74" s="116">
        <f>IFERROR(V74/V148, "NA")</f>
        <v>1.7399931668967337E-2</v>
      </c>
      <c r="X74" s="115">
        <v>982.68</v>
      </c>
      <c r="Y74" s="116">
        <f>IFERROR(X74/X148, "NA")</f>
        <v>2.2562004874796347E-2</v>
      </c>
      <c r="Z74" s="115">
        <v>2854.2</v>
      </c>
      <c r="AA74" s="116">
        <f>IFERROR(Z74/Z148, "NA")</f>
        <v>1.9473581509717688E-2</v>
      </c>
      <c r="AB74" s="117">
        <f t="shared" ref="AB74:AB85" si="30">IFERROR((R74+T74+V74+X74)/4, "NA")</f>
        <v>939.34499999999991</v>
      </c>
      <c r="AC74" s="116">
        <f>IFERROR(AB74/AB148, "NA")</f>
        <v>1.9754255002638978E-2</v>
      </c>
      <c r="AD74" s="118">
        <f t="shared" ref="AD74:AD85" si="31">IFERROR(X74-AB74, "NA")</f>
        <v>43.335000000000036</v>
      </c>
      <c r="AE74" s="119">
        <f>IFERROR(AD74/AD148, "NA")</f>
        <v>-1.0842186576429802E-2</v>
      </c>
      <c r="AF74" s="118">
        <f t="shared" ref="AF74:AF85" si="32">IFERROR((X74-AB74)/AB74, "NA")</f>
        <v>4.6133209843028961E-2</v>
      </c>
      <c r="AG74" s="117">
        <f t="shared" ref="AG74:AG85" si="33">IFERROR((J74+L74+N74+P74+R74+T74+V74+X74)/8, "NA")</f>
        <v>956.65625</v>
      </c>
      <c r="AH74" s="116">
        <f>IFERROR(AG74/AG148, "NA")</f>
        <v>2.099604243152511E-2</v>
      </c>
      <c r="AI74" s="118">
        <f t="shared" ref="AI74:AI85" si="34">IFERROR(X74-AG74, "NA")</f>
        <v>26.02374999999995</v>
      </c>
      <c r="AJ74" s="119">
        <f>IFERROR(AI74/AI148, "NA")</f>
        <v>-1.2953543574092898E-2</v>
      </c>
      <c r="AK74" s="118">
        <f t="shared" ref="AK74:AK85" si="35">IFERROR((X74-AG74)/AG74, "NA")</f>
        <v>2.7202822330382466E-2</v>
      </c>
      <c r="AL74" s="119">
        <f>IFERROR(AK74/AK148, "NA")</f>
        <v>-0.61695167631417192</v>
      </c>
    </row>
    <row r="75" spans="1:38" ht="16.5" hidden="1" customHeight="1" x14ac:dyDescent="0.25">
      <c r="A75" s="7" t="s">
        <v>77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78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79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80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81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82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83</v>
      </c>
      <c r="B81" s="121">
        <f>IFERROR(B74+B75+B76+B77+B78+B79+B80, "NA")</f>
        <v>1020.27</v>
      </c>
      <c r="C81" s="122">
        <f>IFERROR(B81/B148, "NA")</f>
        <v>2.4596429977427895E-2</v>
      </c>
      <c r="D81" s="121">
        <f>IFERROR(D74+D75+D76+D77+D78+D79+D80, "NA")</f>
        <v>1146.8599999999999</v>
      </c>
      <c r="E81" s="122">
        <f>IFERROR(D81/D148, "NA")</f>
        <v>2.3001240052554318E-2</v>
      </c>
      <c r="F81" s="121">
        <f>IFERROR(F74+F75+F76+F77+F78+F79+F80, "NA")</f>
        <v>1081.04</v>
      </c>
      <c r="G81" s="122">
        <f>IFERROR(F81/F148, "NA")</f>
        <v>2.1127911185534892E-2</v>
      </c>
      <c r="H81" s="121">
        <f>IFERROR(H74+H75+H76+H77+H78+H79+H80, "NA")</f>
        <v>1003.55</v>
      </c>
      <c r="I81" s="122">
        <f>IFERROR(H81/H148, "NA")</f>
        <v>2.1182724454453287E-2</v>
      </c>
      <c r="J81" s="121">
        <f>IFERROR(J74+J75+J76+J77+J78+J79+J80, "NA")</f>
        <v>963.22</v>
      </c>
      <c r="K81" s="122">
        <f>IFERROR(J81/J148, "NA")</f>
        <v>2.1846409683347039E-2</v>
      </c>
      <c r="L81" s="121">
        <f>IFERROR(L74+L75+L76+L77+L78+L79+L80, "NA")</f>
        <v>1037.05</v>
      </c>
      <c r="M81" s="122">
        <f>IFERROR(L81/L148, "NA")</f>
        <v>2.0920480990513815E-2</v>
      </c>
      <c r="N81" s="121">
        <f>IFERROR(N74+N75+N76+N77+N78+N79+N80, "NA")</f>
        <v>954.23</v>
      </c>
      <c r="O81" s="122">
        <f>IFERROR(N81/N148, "NA")</f>
        <v>2.2978062684168486E-2</v>
      </c>
      <c r="P81" s="121">
        <f>IFERROR(P74+P75+P76+P77+P78+P79+P80, "NA")</f>
        <v>941.37</v>
      </c>
      <c r="Q81" s="122">
        <f>IFERROR(P81/P148, "NA")</f>
        <v>2.4067581591164813E-2</v>
      </c>
      <c r="R81" s="121">
        <f>IFERROR(R74+R75+R76+R77+R78+R79+R80, "NA")</f>
        <v>903.18</v>
      </c>
      <c r="S81" s="122">
        <f>IFERROR(R81/R148, "NA")</f>
        <v>2.0696951829711097E-2</v>
      </c>
      <c r="T81" s="121">
        <f>IFERROR(T74+T75+T76+T77+T78+T79+T80, "NA")</f>
        <v>912.03</v>
      </c>
      <c r="U81" s="122">
        <f>IFERROR(T81/T148, "NA")</f>
        <v>1.9052288455528577E-2</v>
      </c>
      <c r="V81" s="121">
        <f>IFERROR(V74+V75+V76+V77+V78+V79+V80, "NA")</f>
        <v>959.49</v>
      </c>
      <c r="W81" s="122">
        <f>IFERROR(V81/V148, "NA")</f>
        <v>1.7399931668967337E-2</v>
      </c>
      <c r="X81" s="121">
        <f>IFERROR(X74+X75+X76+X77+X78+X79+X80, "NA")</f>
        <v>982.68</v>
      </c>
      <c r="Y81" s="122">
        <f>IFERROR(X81/X148, "NA")</f>
        <v>2.2562004874796347E-2</v>
      </c>
      <c r="Z81" s="121">
        <f>IFERROR(Z74+Z75+Z76+Z77+Z78+Z79+Z80, "NA")</f>
        <v>2854.2</v>
      </c>
      <c r="AA81" s="122">
        <f>IFERROR(Z81/Z148, "NA")</f>
        <v>1.9473581509717688E-2</v>
      </c>
      <c r="AB81" s="121">
        <f t="shared" si="30"/>
        <v>939.34499999999991</v>
      </c>
      <c r="AC81" s="122">
        <f>IFERROR(AB81/AB148, "NA")</f>
        <v>1.9754255002638978E-2</v>
      </c>
      <c r="AD81" s="123">
        <f t="shared" si="31"/>
        <v>43.335000000000036</v>
      </c>
      <c r="AE81" s="124">
        <f>IFERROR(AD81/AD148, "NA")</f>
        <v>-1.0842186576429802E-2</v>
      </c>
      <c r="AF81" s="123">
        <f t="shared" si="32"/>
        <v>4.6133209843028961E-2</v>
      </c>
      <c r="AG81" s="121">
        <f t="shared" si="33"/>
        <v>956.65625</v>
      </c>
      <c r="AH81" s="122">
        <f>IFERROR(AG81/AG148, "NA")</f>
        <v>2.099604243152511E-2</v>
      </c>
      <c r="AI81" s="123">
        <f t="shared" si="34"/>
        <v>26.02374999999995</v>
      </c>
      <c r="AJ81" s="124">
        <f>IFERROR(AI81/AI148, "NA")</f>
        <v>-1.2953543574092898E-2</v>
      </c>
      <c r="AK81" s="123">
        <f t="shared" si="35"/>
        <v>2.7202822330382466E-2</v>
      </c>
      <c r="AL81" s="124">
        <f>IFERROR(AK81/AK148, "NA")</f>
        <v>-0.61695167631417192</v>
      </c>
    </row>
    <row r="82" spans="1:38" ht="16.5" customHeight="1" x14ac:dyDescent="0.25">
      <c r="A82" s="5" t="s">
        <v>84</v>
      </c>
      <c r="B82" s="115">
        <v>275.60000000000002</v>
      </c>
      <c r="C82" s="116">
        <f>IFERROR(B82/B148, "NA")</f>
        <v>6.6441001909093959E-3</v>
      </c>
      <c r="D82" s="115">
        <v>0</v>
      </c>
      <c r="E82" s="116">
        <f>IFERROR(D82/D148, "NA")</f>
        <v>0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262.88</v>
      </c>
      <c r="M82" s="116">
        <f>IFERROR(L82/L148, "NA")</f>
        <v>5.3030963239827124E-3</v>
      </c>
      <c r="N82" s="115">
        <v>0</v>
      </c>
      <c r="O82" s="116">
        <f>IFERROR(N82/N148, "NA")</f>
        <v>0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262.88</v>
      </c>
      <c r="U82" s="116">
        <f>IFERROR(T82/T148, "NA")</f>
        <v>5.491557941284116E-3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262.88</v>
      </c>
      <c r="AA82" s="116">
        <f>IFERROR(Z82/Z148, "NA")</f>
        <v>1.7935726673935204E-3</v>
      </c>
      <c r="AB82" s="117">
        <f t="shared" si="30"/>
        <v>65.72</v>
      </c>
      <c r="AC82" s="116">
        <f>IFERROR(AB82/AB148, "NA")</f>
        <v>1.3820796818777273E-3</v>
      </c>
      <c r="AD82" s="118">
        <f t="shared" si="31"/>
        <v>-65.72</v>
      </c>
      <c r="AE82" s="119">
        <f>IFERROR(AD82/AD148, "NA")</f>
        <v>1.6442794549508848E-2</v>
      </c>
      <c r="AF82" s="118">
        <f t="shared" si="32"/>
        <v>-1</v>
      </c>
      <c r="AG82" s="117">
        <f t="shared" si="33"/>
        <v>65.72</v>
      </c>
      <c r="AH82" s="116">
        <f>IFERROR(AG82/AG148, "NA")</f>
        <v>1.4423779791328706E-3</v>
      </c>
      <c r="AI82" s="118">
        <f t="shared" si="34"/>
        <v>-65.72</v>
      </c>
      <c r="AJ82" s="119">
        <f>IFERROR(AI82/AI148, "NA")</f>
        <v>3.2712690664849872E-2</v>
      </c>
      <c r="AK82" s="118">
        <f t="shared" si="35"/>
        <v>-1</v>
      </c>
      <c r="AL82" s="119">
        <f>IFERROR(AK82/AK148, "NA")</f>
        <v>22.679693629624115</v>
      </c>
    </row>
    <row r="83" spans="1:38" ht="16.5" customHeight="1" x14ac:dyDescent="0.25">
      <c r="A83" s="5" t="s">
        <v>85</v>
      </c>
      <c r="B83" s="115">
        <v>-245</v>
      </c>
      <c r="C83" s="116">
        <f>IFERROR(B83/B148, "NA")</f>
        <v>-5.90640256448767E-3</v>
      </c>
      <c r="D83" s="115">
        <v>-61.25</v>
      </c>
      <c r="E83" s="116">
        <f>IFERROR(D83/D148, "NA")</f>
        <v>-1.228420167430159E-3</v>
      </c>
      <c r="F83" s="115">
        <v>423.12</v>
      </c>
      <c r="G83" s="116">
        <f>IFERROR(F83/F148, "NA")</f>
        <v>8.2694828876114894E-3</v>
      </c>
      <c r="H83" s="115">
        <v>-61.25</v>
      </c>
      <c r="I83" s="116">
        <f>IFERROR(H83/H148, "NA")</f>
        <v>-1.292852247357146E-3</v>
      </c>
      <c r="J83" s="115">
        <v>-61.25</v>
      </c>
      <c r="K83" s="116">
        <f>IFERROR(J83/J148, "NA")</f>
        <v>-1.3891868868015679E-3</v>
      </c>
      <c r="L83" s="115">
        <v>-61.25</v>
      </c>
      <c r="M83" s="116">
        <f>IFERROR(L83/L148, "NA")</f>
        <v>-1.2356004634964286E-3</v>
      </c>
      <c r="N83" s="115">
        <v>-61.25</v>
      </c>
      <c r="O83" s="116">
        <f>IFERROR(N83/N148, "NA")</f>
        <v>-1.4749131125675358E-3</v>
      </c>
      <c r="P83" s="115">
        <v>423.12</v>
      </c>
      <c r="Q83" s="116">
        <f>IFERROR(P83/P148, "NA")</f>
        <v>1.0817717924783726E-2</v>
      </c>
      <c r="R83" s="115">
        <v>-61.25</v>
      </c>
      <c r="S83" s="116">
        <f>IFERROR(R83/R148, "NA")</f>
        <v>-1.4035832276731157E-3</v>
      </c>
      <c r="T83" s="115">
        <v>-61.25</v>
      </c>
      <c r="U83" s="116">
        <f>IFERROR(T83/T148, "NA")</f>
        <v>-1.2795112747400034E-3</v>
      </c>
      <c r="V83" s="115">
        <v>-61.25</v>
      </c>
      <c r="W83" s="116">
        <f>IFERROR(V83/V148, "NA")</f>
        <v>-1.1107419720103903E-3</v>
      </c>
      <c r="X83" s="115">
        <v>367.61</v>
      </c>
      <c r="Y83" s="116">
        <f>IFERROR(X83/X148, "NA")</f>
        <v>8.4402029267145826E-3</v>
      </c>
      <c r="Z83" s="115">
        <v>245.11</v>
      </c>
      <c r="AA83" s="116">
        <f>IFERROR(Z83/Z148, "NA")</f>
        <v>1.6723318491510416E-3</v>
      </c>
      <c r="AB83" s="117">
        <f t="shared" si="30"/>
        <v>45.965000000000003</v>
      </c>
      <c r="AC83" s="116">
        <f>IFERROR(AB83/AB148, "NA")</f>
        <v>9.6663561438694071E-4</v>
      </c>
      <c r="AD83" s="118">
        <f t="shared" si="31"/>
        <v>321.64499999999998</v>
      </c>
      <c r="AE83" s="119">
        <f>IFERROR(AD83/AD148, "NA")</f>
        <v>-8.0473868729104892E-2</v>
      </c>
      <c r="AF83" s="118">
        <f t="shared" si="32"/>
        <v>6.9976068747960394</v>
      </c>
      <c r="AG83" s="117">
        <f t="shared" si="33"/>
        <v>52.903750000000002</v>
      </c>
      <c r="AH83" s="116">
        <f>IFERROR(AG83/AG148, "NA")</f>
        <v>1.1610956179785546E-3</v>
      </c>
      <c r="AI83" s="118">
        <f t="shared" si="34"/>
        <v>314.70625000000001</v>
      </c>
      <c r="AJ83" s="119">
        <f>IFERROR(AI83/AI148, "NA")</f>
        <v>-0.15664772073257624</v>
      </c>
      <c r="AK83" s="118">
        <f t="shared" si="35"/>
        <v>5.9486567587363846</v>
      </c>
      <c r="AL83" s="119">
        <f>IFERROR(AK83/AK148, "NA")</f>
        <v>-134.91371279593403</v>
      </c>
    </row>
    <row r="84" spans="1:38" ht="16.5" customHeight="1" x14ac:dyDescent="0.25">
      <c r="A84" s="130" t="s">
        <v>86</v>
      </c>
      <c r="B84" s="121">
        <f>IFERROR(B63+B65+B66+B67+B68+B69+B71+B72+B74+B75+B76+B77+B78+B79+B80+B82+B83, "NA")</f>
        <v>10410.230000000001</v>
      </c>
      <c r="C84" s="122">
        <f>IFERROR(B84/B148, "NA")</f>
        <v>0.25096738436288363</v>
      </c>
      <c r="D84" s="121">
        <f>IFERROR(D63+D65+D66+D67+D68+D69+D71+D72+D74+D75+D76+D77+D78+D79+D80+D82+D83, "NA")</f>
        <v>12070.47</v>
      </c>
      <c r="E84" s="122">
        <f>IFERROR(D84/D148, "NA")</f>
        <v>0.24208340862629732</v>
      </c>
      <c r="F84" s="121">
        <f>IFERROR(F63+F65+F66+F67+F68+F69+F71+F72+F74+F75+F76+F77+F78+F79+F80+F82+F83, "NA")</f>
        <v>11983.820000000002</v>
      </c>
      <c r="G84" s="122">
        <f>IFERROR(F84/F148, "NA")</f>
        <v>0.23421250335180641</v>
      </c>
      <c r="H84" s="121">
        <f>IFERROR(H63+H65+H66+H67+H68+H69+H71+H72+H74+H75+H76+H77+H78+H79+H80+H82+H83, "NA")</f>
        <v>11496.97</v>
      </c>
      <c r="I84" s="122">
        <f>IFERROR(H84/H148, "NA")</f>
        <v>0.24267564901710509</v>
      </c>
      <c r="J84" s="121">
        <f>IFERROR(J63+J65+J66+J67+J68+J69+J71+J72+J74+J75+J76+J77+J78+J79+J80+J82+J83, "NA")</f>
        <v>10548.759999999998</v>
      </c>
      <c r="K84" s="122">
        <f>IFERROR(J84/J148, "NA")</f>
        <v>0.23925222961660253</v>
      </c>
      <c r="L84" s="121">
        <f>IFERROR(L63+L65+L66+L67+L68+L69+L71+L72+L74+L75+L76+L77+L78+L79+L80+L82+L83, "NA")</f>
        <v>11643.71</v>
      </c>
      <c r="M84" s="122">
        <f>IFERROR(L84/L148, "NA")</f>
        <v>0.23488936282151834</v>
      </c>
      <c r="N84" s="121">
        <f>IFERROR(N63+N65+N66+N67+N68+N69+N71+N72+N74+N75+N76+N77+N78+N79+N80+N82+N83, "NA")</f>
        <v>10779.93</v>
      </c>
      <c r="O84" s="122">
        <f>IFERROR(N84/N148, "NA")</f>
        <v>0.25958302219690055</v>
      </c>
      <c r="P84" s="121">
        <f>IFERROR(P63+P65+P66+P67+P68+P69+P71+P72+P74+P75+P76+P77+P78+P79+P80+P82+P83, "NA")</f>
        <v>11038.750000000002</v>
      </c>
      <c r="Q84" s="122">
        <f>IFERROR(P84/P148, "NA")</f>
        <v>0.2822227352576252</v>
      </c>
      <c r="R84" s="121">
        <f>IFERROR(R63+R65+R66+R67+R68+R69+R71+R72+R74+R75+R76+R77+R78+R79+R80+R82+R83, "NA")</f>
        <v>10883.660000000002</v>
      </c>
      <c r="S84" s="122">
        <f>IFERROR(R84/R148, "NA")</f>
        <v>0.24940608378280466</v>
      </c>
      <c r="T84" s="121">
        <f>IFERROR(T63+T65+T66+T67+T68+T69+T71+T72+T74+T75+T76+T77+T78+T79+T80+T82+T83, "NA")</f>
        <v>10887.4</v>
      </c>
      <c r="U84" s="122">
        <f>IFERROR(T84/T148, "NA")</f>
        <v>0.2274375682057847</v>
      </c>
      <c r="V84" s="121">
        <f>IFERROR(V63+V65+V66+V67+V68+V69+V71+V72+V74+V75+V76+V77+V78+V79+V80+V82+V83, "NA")</f>
        <v>9800.31</v>
      </c>
      <c r="W84" s="122">
        <f>IFERROR(V84/V148, "NA")</f>
        <v>0.17772433723613304</v>
      </c>
      <c r="X84" s="121">
        <f>IFERROR(X63+X65+X66+X67+X68+X69+X71+X72+X74+X75+X76+X77+X78+X79+X80+X82+X83, "NA")</f>
        <v>10795.730000000001</v>
      </c>
      <c r="Y84" s="122">
        <f>IFERROR(X84/X148, "NA")</f>
        <v>0.24786635821120326</v>
      </c>
      <c r="Z84" s="121">
        <f>IFERROR(Z63+Z65+Z66+Z67+Z68+Z69+Z71+Z72+Z74+Z75+Z76+Z77+Z78+Z79+Z80+Z82+Z83, "NA")</f>
        <v>31483.440000000006</v>
      </c>
      <c r="AA84" s="122">
        <f>IFERROR(Z84/Z148, "NA")</f>
        <v>0.21480461602070855</v>
      </c>
      <c r="AB84" s="121">
        <f t="shared" si="30"/>
        <v>10591.775000000001</v>
      </c>
      <c r="AC84" s="122">
        <f>IFERROR(AB84/AB148, "NA")</f>
        <v>0.22274310746379289</v>
      </c>
      <c r="AD84" s="123">
        <f t="shared" si="31"/>
        <v>203.95499999999993</v>
      </c>
      <c r="AE84" s="124">
        <f>IFERROR(AD84/AD148, "NA")</f>
        <v>-5.1028456517727874E-2</v>
      </c>
      <c r="AF84" s="123">
        <f t="shared" si="32"/>
        <v>1.9255979285813747E-2</v>
      </c>
      <c r="AG84" s="121">
        <f t="shared" si="33"/>
        <v>10797.281249999998</v>
      </c>
      <c r="AH84" s="122">
        <f>IFERROR(AG84/AG148, "NA")</f>
        <v>0.23697140458770896</v>
      </c>
      <c r="AI84" s="123">
        <f t="shared" si="34"/>
        <v>-1.5512499999967986</v>
      </c>
      <c r="AJ84" s="124">
        <f>IFERROR(AI84/AI148, "NA")</f>
        <v>7.7214792138989097E-4</v>
      </c>
      <c r="AK84" s="123">
        <f t="shared" si="35"/>
        <v>-1.4367042629335962E-4</v>
      </c>
      <c r="AL84" s="124">
        <f>IFERROR(AK84/AK148, "NA")</f>
        <v>3.2584012519708892E-3</v>
      </c>
    </row>
    <row r="85" spans="1:38" ht="16.5" customHeight="1" x14ac:dyDescent="0.25">
      <c r="A85" s="120" t="s">
        <v>86</v>
      </c>
      <c r="B85" s="131">
        <f>IFERROR(B63+B65+B66+B67+B68+B69+B71+B72+B74+B75+B76+B77+B78+B79+B80+B82+B83, "NA")</f>
        <v>10410.230000000001</v>
      </c>
      <c r="C85" s="132">
        <f>IFERROR(B85/B148, "NA")</f>
        <v>0.25096738436288363</v>
      </c>
      <c r="D85" s="131">
        <f>IFERROR(D63+D65+D66+D67+D68+D69+D71+D72+D74+D75+D76+D77+D78+D79+D80+D82+D83, "NA")</f>
        <v>12070.47</v>
      </c>
      <c r="E85" s="132">
        <f>IFERROR(D85/D148, "NA")</f>
        <v>0.24208340862629732</v>
      </c>
      <c r="F85" s="131">
        <f>IFERROR(F63+F65+F66+F67+F68+F69+F71+F72+F74+F75+F76+F77+F78+F79+F80+F82+F83, "NA")</f>
        <v>11983.820000000002</v>
      </c>
      <c r="G85" s="132">
        <f>IFERROR(F85/F148, "NA")</f>
        <v>0.23421250335180641</v>
      </c>
      <c r="H85" s="131">
        <f>IFERROR(H63+H65+H66+H67+H68+H69+H71+H72+H74+H75+H76+H77+H78+H79+H80+H82+H83, "NA")</f>
        <v>11496.97</v>
      </c>
      <c r="I85" s="132">
        <f>IFERROR(H85/H148, "NA")</f>
        <v>0.24267564901710509</v>
      </c>
      <c r="J85" s="131">
        <f>IFERROR(J63+J65+J66+J67+J68+J69+J71+J72+J74+J75+J76+J77+J78+J79+J80+J82+J83, "NA")</f>
        <v>10548.759999999998</v>
      </c>
      <c r="K85" s="132">
        <f>IFERROR(J85/J148, "NA")</f>
        <v>0.23925222961660253</v>
      </c>
      <c r="L85" s="131">
        <f>IFERROR(L63+L65+L66+L67+L68+L69+L71+L72+L74+L75+L76+L77+L78+L79+L80+L82+L83, "NA")</f>
        <v>11643.71</v>
      </c>
      <c r="M85" s="132">
        <f>IFERROR(L85/L148, "NA")</f>
        <v>0.23488936282151834</v>
      </c>
      <c r="N85" s="131">
        <f>IFERROR(N63+N65+N66+N67+N68+N69+N71+N72+N74+N75+N76+N77+N78+N79+N80+N82+N83, "NA")</f>
        <v>10779.93</v>
      </c>
      <c r="O85" s="132">
        <f>IFERROR(N85/N148, "NA")</f>
        <v>0.25958302219690055</v>
      </c>
      <c r="P85" s="131">
        <f>IFERROR(P63+P65+P66+P67+P68+P69+P71+P72+P74+P75+P76+P77+P78+P79+P80+P82+P83, "NA")</f>
        <v>11038.750000000002</v>
      </c>
      <c r="Q85" s="132">
        <f>IFERROR(P85/P148, "NA")</f>
        <v>0.2822227352576252</v>
      </c>
      <c r="R85" s="131">
        <f>IFERROR(R63+R65+R66+R67+R68+R69+R71+R72+R74+R75+R76+R77+R78+R79+R80+R82+R83, "NA")</f>
        <v>10883.660000000002</v>
      </c>
      <c r="S85" s="132">
        <f>IFERROR(R85/R148, "NA")</f>
        <v>0.24940608378280466</v>
      </c>
      <c r="T85" s="131">
        <f>IFERROR(T63+T65+T66+T67+T68+T69+T71+T72+T74+T75+T76+T77+T78+T79+T80+T82+T83, "NA")</f>
        <v>10887.4</v>
      </c>
      <c r="U85" s="132">
        <f>IFERROR(T85/T148, "NA")</f>
        <v>0.2274375682057847</v>
      </c>
      <c r="V85" s="131">
        <f>IFERROR(V63+V65+V66+V67+V68+V69+V71+V72+V74+V75+V76+V77+V78+V79+V80+V82+V83, "NA")</f>
        <v>9800.31</v>
      </c>
      <c r="W85" s="132">
        <f>IFERROR(V85/V148, "NA")</f>
        <v>0.17772433723613304</v>
      </c>
      <c r="X85" s="131">
        <f>IFERROR(X63+X65+X66+X67+X68+X69+X71+X72+X74+X75+X76+X77+X78+X79+X80+X82+X83, "NA")</f>
        <v>10795.730000000001</v>
      </c>
      <c r="Y85" s="132">
        <f>IFERROR(X85/X148, "NA")</f>
        <v>0.24786635821120326</v>
      </c>
      <c r="Z85" s="131">
        <f>IFERROR(Z63+Z65+Z66+Z67+Z68+Z69+Z71+Z72+Z74+Z75+Z76+Z77+Z78+Z79+Z80+Z82+Z83, "NA")</f>
        <v>31483.440000000006</v>
      </c>
      <c r="AA85" s="132">
        <f>IFERROR(Z85/Z148, "NA")</f>
        <v>0.21480461602070855</v>
      </c>
      <c r="AB85" s="131">
        <f t="shared" si="30"/>
        <v>10591.775000000001</v>
      </c>
      <c r="AC85" s="132">
        <f>IFERROR(AB85/AB148, "NA")</f>
        <v>0.22274310746379289</v>
      </c>
      <c r="AD85" s="133">
        <f t="shared" si="31"/>
        <v>203.95499999999993</v>
      </c>
      <c r="AE85" s="134">
        <f>IFERROR(AD85/AD148, "NA")</f>
        <v>-5.1028456517727874E-2</v>
      </c>
      <c r="AF85" s="133">
        <f t="shared" si="32"/>
        <v>1.9255979285813747E-2</v>
      </c>
      <c r="AG85" s="131">
        <f t="shared" si="33"/>
        <v>10797.281249999998</v>
      </c>
      <c r="AH85" s="132">
        <f>IFERROR(AG85/AG148, "NA")</f>
        <v>0.23697140458770896</v>
      </c>
      <c r="AI85" s="133">
        <f t="shared" si="34"/>
        <v>-1.5512499999967986</v>
      </c>
      <c r="AJ85" s="134">
        <f>IFERROR(AI85/AI148, "NA")</f>
        <v>7.7214792138989097E-4</v>
      </c>
      <c r="AK85" s="133">
        <f t="shared" si="35"/>
        <v>-1.4367042629335962E-4</v>
      </c>
      <c r="AL85" s="134">
        <f>IFERROR(AK85/AK148, "NA")</f>
        <v>3.2584012519708892E-3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87</v>
      </c>
      <c r="B87" s="136">
        <f>IFERROR(B59-B85, "NA")</f>
        <v>20222.799999999996</v>
      </c>
      <c r="C87" s="137">
        <f>IFERROR(B87/B148, "NA")</f>
        <v>0.48752652155559684</v>
      </c>
      <c r="D87" s="136">
        <f>IFERROR(D59-D85, "NA")</f>
        <v>25469.969999999987</v>
      </c>
      <c r="E87" s="137">
        <f>IFERROR(D87/D148, "NA")</f>
        <v>0.51082162958107935</v>
      </c>
      <c r="F87" s="136">
        <f>IFERROR(F59-F85, "NA")</f>
        <v>27459.060000000012</v>
      </c>
      <c r="G87" s="137">
        <f>IFERROR(F87/F148, "NA")</f>
        <v>0.53666153048756193</v>
      </c>
      <c r="H87" s="136">
        <f>IFERROR(H59-H85, "NA")</f>
        <v>24791.170000000006</v>
      </c>
      <c r="I87" s="137">
        <f>IFERROR(H87/H148, "NA")</f>
        <v>0.52328685467939695</v>
      </c>
      <c r="J87" s="136">
        <f>IFERROR(J59-J85, "NA")</f>
        <v>22887.410000000007</v>
      </c>
      <c r="K87" s="137">
        <f>IFERROR(J87/J148, "NA")</f>
        <v>0.51910024236491559</v>
      </c>
      <c r="L87" s="136">
        <f>IFERROR(L59-L85, "NA")</f>
        <v>27670.590000000004</v>
      </c>
      <c r="M87" s="137">
        <f>IFERROR(L87/L148, "NA")</f>
        <v>0.55820071557909623</v>
      </c>
      <c r="N87" s="136">
        <f>IFERROR(N59-N85, "NA")</f>
        <v>20447.060000000005</v>
      </c>
      <c r="O87" s="137">
        <f>IFERROR(N87/N148, "NA")</f>
        <v>0.49236958216253335</v>
      </c>
      <c r="P87" s="136">
        <f>IFERROR(P59-P85, "NA")</f>
        <v>17763.339999999997</v>
      </c>
      <c r="Q87" s="137">
        <f>IFERROR(P87/P148, "NA")</f>
        <v>0.45414729041885921</v>
      </c>
      <c r="R87" s="136">
        <f>IFERROR(R59-R85, "NA")</f>
        <v>22267.14</v>
      </c>
      <c r="S87" s="137">
        <f>IFERROR(R87/R148, "NA")</f>
        <v>0.51026586501631255</v>
      </c>
      <c r="T87" s="136">
        <f>IFERROR(T59-T85, "NA")</f>
        <v>25454.370000000003</v>
      </c>
      <c r="U87" s="137">
        <f>IFERROR(T87/T148, "NA")</f>
        <v>0.53174128010455024</v>
      </c>
      <c r="V87" s="136">
        <f>IFERROR(V59-V85, "NA")</f>
        <v>32131.150000000009</v>
      </c>
      <c r="W87" s="137">
        <f>IFERROR(V87/V148, "NA")</f>
        <v>0.58268435777896599</v>
      </c>
      <c r="X87" s="136">
        <f>IFERROR(X59-X85, "NA")</f>
        <v>22134.659999999996</v>
      </c>
      <c r="Y87" s="137">
        <f>IFERROR(X87/X148, "NA")</f>
        <v>0.50820440715386461</v>
      </c>
      <c r="Z87" s="136">
        <f>IFERROR(Z59-Z85, "NA")</f>
        <v>79720.180000000022</v>
      </c>
      <c r="AA87" s="137">
        <f>IFERROR(Z87/Z148, "NA")</f>
        <v>0.54391332884849219</v>
      </c>
      <c r="AB87" s="136">
        <f>IFERROR((R87+T87+V87+X87)/4, "NA")</f>
        <v>25496.83</v>
      </c>
      <c r="AC87" s="137">
        <f>IFERROR(AB87/AB148, "NA")</f>
        <v>0.53619371112736602</v>
      </c>
      <c r="AD87" s="123">
        <f>IFERROR(X87-AB87, "NA")</f>
        <v>-3362.1700000000055</v>
      </c>
      <c r="AE87" s="124">
        <f>IFERROR(AD87/AD148, "NA")</f>
        <v>0.84119705645955956</v>
      </c>
      <c r="AF87" s="123">
        <f>IFERROR((X87-AB87)/AB87, "NA")</f>
        <v>-0.13186619669974681</v>
      </c>
      <c r="AG87" s="136">
        <f>IFERROR((J87+L87+N87+P87+R87+T87+V87+X87)/8, "NA")</f>
        <v>23844.465000000007</v>
      </c>
      <c r="AH87" s="137">
        <f>IFERROR(AG87/AG148, "NA")</f>
        <v>0.52332214303415214</v>
      </c>
      <c r="AI87" s="123">
        <f>IFERROR(X87-AG87, "NA")</f>
        <v>-1709.8050000000112</v>
      </c>
      <c r="AJ87" s="124">
        <f>IFERROR(AI87/AI148, "NA")</f>
        <v>0.85107002529236153</v>
      </c>
      <c r="AK87" s="123">
        <f>IFERROR((X87-AG87)/AG87, "NA")</f>
        <v>-7.1706578444935151E-2</v>
      </c>
      <c r="AL87" s="124">
        <f>IFERROR(AK87/AK148, "NA")</f>
        <v>1.6262832303597377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88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89</v>
      </c>
      <c r="B90" s="115">
        <v>744.20999999999992</v>
      </c>
      <c r="C90" s="116">
        <f>IFERROR(B90/B148, "NA")</f>
        <v>1.7941240214356606E-2</v>
      </c>
      <c r="D90" s="115">
        <v>475.95</v>
      </c>
      <c r="E90" s="116">
        <f>IFERROR(D90/D148, "NA")</f>
        <v>9.5455767949123946E-3</v>
      </c>
      <c r="F90" s="115">
        <v>851.93</v>
      </c>
      <c r="G90" s="116">
        <f>IFERROR(F90/F148, "NA")</f>
        <v>1.6650171479587007E-2</v>
      </c>
      <c r="H90" s="115">
        <v>974.20999999999992</v>
      </c>
      <c r="I90" s="116">
        <f>IFERROR(H90/H148, "NA")</f>
        <v>2.0563421843229474E-2</v>
      </c>
      <c r="J90" s="115">
        <v>1108.3799999999999</v>
      </c>
      <c r="K90" s="116">
        <f>IFERROR(J90/J148, "NA")</f>
        <v>2.5138725903561168E-2</v>
      </c>
      <c r="L90" s="115">
        <v>864.41</v>
      </c>
      <c r="M90" s="116">
        <f>IFERROR(L90/L148, "NA")</f>
        <v>1.7437802394301188E-2</v>
      </c>
      <c r="N90" s="115">
        <v>741.14</v>
      </c>
      <c r="O90" s="116">
        <f>IFERROR(N90/N148, "NA")</f>
        <v>1.7846809865278424E-2</v>
      </c>
      <c r="P90" s="115">
        <v>1276.75</v>
      </c>
      <c r="Q90" s="116">
        <f>IFERROR(P90/P148, "NA")</f>
        <v>3.2642090566429437E-2</v>
      </c>
      <c r="R90" s="115">
        <v>486.89</v>
      </c>
      <c r="S90" s="116">
        <f>IFERROR(R90/R148, "NA")</f>
        <v>1.1157398166885931E-2</v>
      </c>
      <c r="T90" s="115">
        <v>733.32</v>
      </c>
      <c r="U90" s="116">
        <f>IFERROR(T90/T148, "NA")</f>
        <v>1.5319040130487174E-2</v>
      </c>
      <c r="V90" s="115">
        <v>967.28000000000009</v>
      </c>
      <c r="W90" s="116">
        <f>IFERROR(V90/V148, "NA")</f>
        <v>1.7541199913244255E-2</v>
      </c>
      <c r="X90" s="115">
        <v>1145.7800000000002</v>
      </c>
      <c r="Y90" s="116">
        <f>IFERROR(X90/X148, "NA")</f>
        <v>2.6306726447515125E-2</v>
      </c>
      <c r="Z90" s="115">
        <v>2846.38</v>
      </c>
      <c r="AA90" s="116">
        <f>IFERROR(Z90/Z148, "NA")</f>
        <v>1.9420227362353808E-2</v>
      </c>
      <c r="AB90" s="117">
        <f t="shared" ref="AB90:AB99" si="36">IFERROR((R90+T90+V90+X90)/4, "NA")</f>
        <v>833.31750000000011</v>
      </c>
      <c r="AC90" s="116">
        <f>IFERROR(AB90/AB148, "NA")</f>
        <v>1.7524515905403885E-2</v>
      </c>
      <c r="AD90" s="118">
        <f t="shared" ref="AD90:AD99" si="37">IFERROR(X90-AB90, "NA")</f>
        <v>312.46250000000009</v>
      </c>
      <c r="AE90" s="119">
        <f>IFERROR(AD90/AD148, "NA")</f>
        <v>-7.8176456054867768E-2</v>
      </c>
      <c r="AF90" s="118">
        <f t="shared" ref="AF90:AF99" si="38">IFERROR((X90-AB90)/AB90, "NA")</f>
        <v>0.37496212428036141</v>
      </c>
      <c r="AG90" s="117">
        <f t="shared" ref="AG90:AG99" si="39">IFERROR((J90+L90+N90+P90+R90+T90+V90+X90)/8, "NA")</f>
        <v>915.49374999999986</v>
      </c>
      <c r="AH90" s="116">
        <f>IFERROR(AG90/AG148, "NA")</f>
        <v>2.0092635803922298E-2</v>
      </c>
      <c r="AI90" s="118">
        <f t="shared" ref="AI90:AI99" si="40">IFERROR(X90-AG90, "NA")</f>
        <v>230.28625000000034</v>
      </c>
      <c r="AJ90" s="119">
        <f>IFERROR(AI90/AI148, "NA")</f>
        <v>-0.11462694553588397</v>
      </c>
      <c r="AK90" s="118">
        <f t="shared" ref="AK90:AK99" si="41">IFERROR((X90-AG90)/AG90, "NA")</f>
        <v>0.25154322462605599</v>
      </c>
      <c r="AL90" s="119">
        <f>IFERROR(AK90/AK148, "NA")</f>
        <v>-5.7049232691266702</v>
      </c>
    </row>
    <row r="91" spans="1:38" ht="16.5" hidden="1" customHeight="1" x14ac:dyDescent="0.25">
      <c r="A91" s="2" t="s">
        <v>90</v>
      </c>
      <c r="B91" s="115">
        <v>1308.29</v>
      </c>
      <c r="C91" s="116">
        <f>IFERROR(B91/B148, "NA")</f>
        <v>3.153994861670846E-2</v>
      </c>
      <c r="D91" s="115">
        <v>1076.97</v>
      </c>
      <c r="E91" s="116">
        <f>IFERROR(D91/D148, "NA")</f>
        <v>2.1599537432118506E-2</v>
      </c>
      <c r="F91" s="115">
        <v>2844.63</v>
      </c>
      <c r="G91" s="116">
        <f>IFERROR(F91/F148, "NA")</f>
        <v>5.5595620879623442E-2</v>
      </c>
      <c r="H91" s="115">
        <v>3014.6000000000004</v>
      </c>
      <c r="I91" s="116">
        <f>IFERROR(H91/H148, "NA")</f>
        <v>6.3631549140944543E-2</v>
      </c>
      <c r="J91" s="115">
        <v>2968.2499999999995</v>
      </c>
      <c r="K91" s="116">
        <f>IFERROR(J91/J148, "NA")</f>
        <v>6.7321697579571474E-2</v>
      </c>
      <c r="L91" s="115">
        <v>1791.91</v>
      </c>
      <c r="M91" s="116">
        <f>IFERROR(L91/L148, "NA")</f>
        <v>3.6148323698675683E-2</v>
      </c>
      <c r="N91" s="115">
        <v>602.26</v>
      </c>
      <c r="O91" s="116">
        <f>IFERROR(N91/N148, "NA")</f>
        <v>1.4502549733468149E-2</v>
      </c>
      <c r="P91" s="115">
        <v>581.72</v>
      </c>
      <c r="Q91" s="116">
        <f>IFERROR(P91/P148, "NA")</f>
        <v>1.4872572488195285E-2</v>
      </c>
      <c r="R91" s="115">
        <v>575.16</v>
      </c>
      <c r="S91" s="116">
        <f>IFERROR(R91/R148, "NA")</f>
        <v>1.3180162109852558E-2</v>
      </c>
      <c r="T91" s="115">
        <v>724.08999999999992</v>
      </c>
      <c r="U91" s="116">
        <f>IFERROR(T91/T148, "NA")</f>
        <v>1.5126225615126351E-2</v>
      </c>
      <c r="V91" s="115">
        <v>1200.03</v>
      </c>
      <c r="W91" s="116">
        <f>IFERROR(V91/V148, "NA")</f>
        <v>2.1762019406883736E-2</v>
      </c>
      <c r="X91" s="115">
        <v>1143.31</v>
      </c>
      <c r="Y91" s="116">
        <f>IFERROR(X91/X148, "NA")</f>
        <v>2.6250016071766406E-2</v>
      </c>
      <c r="Z91" s="115">
        <v>3067.4300000000003</v>
      </c>
      <c r="AA91" s="116">
        <f>IFERROR(Z91/Z148, "NA")</f>
        <v>2.0928403100817509E-2</v>
      </c>
      <c r="AB91" s="117">
        <f t="shared" si="36"/>
        <v>910.64749999999992</v>
      </c>
      <c r="AC91" s="116">
        <f>IFERROR(AB91/AB148, "NA")</f>
        <v>1.9150751781843389E-2</v>
      </c>
      <c r="AD91" s="118">
        <f t="shared" si="37"/>
        <v>232.66250000000002</v>
      </c>
      <c r="AE91" s="119">
        <f>IFERROR(AD91/AD148, "NA")</f>
        <v>-5.8210920372414834E-2</v>
      </c>
      <c r="AF91" s="118">
        <f t="shared" si="38"/>
        <v>0.255491285047178</v>
      </c>
      <c r="AG91" s="117">
        <f t="shared" si="39"/>
        <v>1198.3412499999999</v>
      </c>
      <c r="AH91" s="116">
        <f>IFERROR(AG91/AG148, "NA")</f>
        <v>2.6300380865589747E-2</v>
      </c>
      <c r="AI91" s="118">
        <f t="shared" si="40"/>
        <v>-55.03125</v>
      </c>
      <c r="AJ91" s="119">
        <f>IFERROR(AI91/AI148, "NA")</f>
        <v>2.7392274165398956E-2</v>
      </c>
      <c r="AK91" s="118">
        <f t="shared" si="41"/>
        <v>-4.5922853778087004E-2</v>
      </c>
      <c r="AL91" s="119">
        <f>IFERROR(AK91/AK148, "NA")</f>
        <v>1.0415162542850396</v>
      </c>
    </row>
    <row r="92" spans="1:38" ht="16.5" hidden="1" customHeight="1" x14ac:dyDescent="0.25">
      <c r="A92" s="2" t="s">
        <v>91</v>
      </c>
      <c r="B92" s="115">
        <v>1195.6499999999999</v>
      </c>
      <c r="C92" s="116">
        <f>IFERROR(B92/B148, "NA")</f>
        <v>2.8824449902978291E-2</v>
      </c>
      <c r="D92" s="115">
        <v>1150.6599999999999</v>
      </c>
      <c r="E92" s="116">
        <f>IFERROR(D92/D148, "NA")</f>
        <v>2.3077452242533658E-2</v>
      </c>
      <c r="F92" s="115">
        <v>1331.71</v>
      </c>
      <c r="G92" s="116">
        <f>IFERROR(F92/F148, "NA")</f>
        <v>2.6027020836313801E-2</v>
      </c>
      <c r="H92" s="115">
        <v>1110.3599999999999</v>
      </c>
      <c r="I92" s="116">
        <f>IFERROR(H92/H148, "NA")</f>
        <v>2.3437247695926214E-2</v>
      </c>
      <c r="J92" s="115">
        <v>1189.07</v>
      </c>
      <c r="K92" s="116">
        <f>IFERROR(J92/J148, "NA")</f>
        <v>2.696882369778188E-2</v>
      </c>
      <c r="L92" s="115">
        <v>890.76</v>
      </c>
      <c r="M92" s="116">
        <f>IFERROR(L92/L148, "NA")</f>
        <v>1.7969362756964549E-2</v>
      </c>
      <c r="N92" s="115">
        <v>991.83</v>
      </c>
      <c r="O92" s="116">
        <f>IFERROR(N92/N148, "NA")</f>
        <v>2.3883478733679332E-2</v>
      </c>
      <c r="P92" s="115">
        <v>1191.96</v>
      </c>
      <c r="Q92" s="116">
        <f>IFERROR(P92/P148, "NA")</f>
        <v>3.0474302934451716E-2</v>
      </c>
      <c r="R92" s="115">
        <v>1059.18</v>
      </c>
      <c r="S92" s="116">
        <f>IFERROR(R92/R148, "NA")</f>
        <v>2.4271792376927524E-2</v>
      </c>
      <c r="T92" s="115">
        <v>31.29</v>
      </c>
      <c r="U92" s="116">
        <f>IFERROR(T92/T148, "NA")</f>
        <v>6.5364747406717889E-4</v>
      </c>
      <c r="V92" s="115">
        <v>28.31</v>
      </c>
      <c r="W92" s="116">
        <f>IFERROR(V92/V148, "NA")</f>
        <v>5.1338947310390452E-4</v>
      </c>
      <c r="X92" s="115">
        <v>31.29</v>
      </c>
      <c r="Y92" s="116">
        <f>IFERROR(X92/X148, "NA")</f>
        <v>7.1840795837136979E-4</v>
      </c>
      <c r="Z92" s="115">
        <v>90.89</v>
      </c>
      <c r="AA92" s="116">
        <f>IFERROR(Z92/Z148, "NA")</f>
        <v>6.2012256443775518E-4</v>
      </c>
      <c r="AB92" s="117">
        <f t="shared" si="36"/>
        <v>287.51749999999998</v>
      </c>
      <c r="AC92" s="116">
        <f>IFERROR(AB92/AB148, "NA")</f>
        <v>6.0464408845751589E-3</v>
      </c>
      <c r="AD92" s="118">
        <f t="shared" si="37"/>
        <v>-256.22749999999996</v>
      </c>
      <c r="AE92" s="119">
        <f>IFERROR(AD92/AD148, "NA")</f>
        <v>6.4106758071124134E-2</v>
      </c>
      <c r="AF92" s="118">
        <f t="shared" si="38"/>
        <v>-0.89117184171398256</v>
      </c>
      <c r="AG92" s="117">
        <f t="shared" si="39"/>
        <v>676.71125000000006</v>
      </c>
      <c r="AH92" s="116">
        <f>IFERROR(AG92/AG148, "NA")</f>
        <v>1.4851999470959814E-2</v>
      </c>
      <c r="AI92" s="118">
        <f t="shared" si="40"/>
        <v>-645.4212500000001</v>
      </c>
      <c r="AJ92" s="119">
        <f>IFERROR(AI92/AI148, "NA")</f>
        <v>0.32126393335013298</v>
      </c>
      <c r="AK92" s="118">
        <f t="shared" si="41"/>
        <v>-0.95376166718079536</v>
      </c>
      <c r="AL92" s="119">
        <f>IFERROR(AK92/AK148, "NA")</f>
        <v>21.631022407339962</v>
      </c>
    </row>
    <row r="93" spans="1:38" ht="16.5" hidden="1" customHeight="1" x14ac:dyDescent="0.25">
      <c r="A93" s="2" t="s">
        <v>92</v>
      </c>
      <c r="B93" s="115">
        <v>3885.83</v>
      </c>
      <c r="C93" s="116">
        <f>IFERROR(B93/B148, "NA")</f>
        <v>9.3678678682298455E-2</v>
      </c>
      <c r="D93" s="115">
        <v>5255.29</v>
      </c>
      <c r="E93" s="116">
        <f>IFERROR(D93/D148, "NA")</f>
        <v>0.10539925259908638</v>
      </c>
      <c r="F93" s="115">
        <v>5160.62</v>
      </c>
      <c r="G93" s="116">
        <f>IFERROR(F93/F148, "NA")</f>
        <v>0.10085946960546795</v>
      </c>
      <c r="H93" s="115">
        <v>5327.74</v>
      </c>
      <c r="I93" s="116">
        <f>IFERROR(H93/H148, "NA")</f>
        <v>0.11245682665036018</v>
      </c>
      <c r="J93" s="115">
        <v>4097.17</v>
      </c>
      <c r="K93" s="116">
        <f>IFERROR(J93/J148, "NA")</f>
        <v>9.2926283053008651E-2</v>
      </c>
      <c r="L93" s="115">
        <v>5884.13</v>
      </c>
      <c r="M93" s="116">
        <f>IFERROR(L93/L148, "NA")</f>
        <v>0.11870095926976719</v>
      </c>
      <c r="N93" s="115">
        <v>3470.1</v>
      </c>
      <c r="O93" s="116">
        <f>IFERROR(N93/N148, "NA")</f>
        <v>8.3560750888499694E-2</v>
      </c>
      <c r="P93" s="115">
        <v>3410.67</v>
      </c>
      <c r="Q93" s="116">
        <f>IFERROR(P93/P148, "NA")</f>
        <v>8.7199059355554248E-2</v>
      </c>
      <c r="R93" s="115">
        <v>4322.4799999999996</v>
      </c>
      <c r="S93" s="116">
        <f>IFERROR(R93/R148, "NA")</f>
        <v>9.9052415182897771E-2</v>
      </c>
      <c r="T93" s="115">
        <v>5936.579999999999</v>
      </c>
      <c r="U93" s="116">
        <f>IFERROR(T93/T148, "NA")</f>
        <v>0.12401503744320014</v>
      </c>
      <c r="V93" s="115">
        <v>6001.62</v>
      </c>
      <c r="W93" s="116">
        <f>IFERROR(V93/V148, "NA")</f>
        <v>0.10883675484174692</v>
      </c>
      <c r="X93" s="115">
        <v>3271.3599999999997</v>
      </c>
      <c r="Y93" s="116">
        <f>IFERROR(X93/X148, "NA")</f>
        <v>7.5109333930896902E-2</v>
      </c>
      <c r="Z93" s="115">
        <v>15209.56</v>
      </c>
      <c r="AA93" s="116">
        <f>IFERROR(Z93/Z148, "NA")</f>
        <v>0.10377149687721314</v>
      </c>
      <c r="AB93" s="117">
        <f t="shared" si="36"/>
        <v>4883.0099999999993</v>
      </c>
      <c r="AC93" s="116">
        <f>IFERROR(AB93/AB148, "NA")</f>
        <v>0.10268881478097627</v>
      </c>
      <c r="AD93" s="118">
        <f t="shared" si="37"/>
        <v>-1611.6499999999996</v>
      </c>
      <c r="AE93" s="119">
        <f>IFERROR(AD93/AD148, "NA")</f>
        <v>0.40322626043390031</v>
      </c>
      <c r="AF93" s="118">
        <f t="shared" si="38"/>
        <v>-0.33005257003364724</v>
      </c>
      <c r="AG93" s="117">
        <f t="shared" si="39"/>
        <v>4549.2637500000001</v>
      </c>
      <c r="AH93" s="116">
        <f>IFERROR(AG93/AG148, "NA")</f>
        <v>9.9844154812346708E-2</v>
      </c>
      <c r="AI93" s="118">
        <f t="shared" si="40"/>
        <v>-1277.9037500000004</v>
      </c>
      <c r="AJ93" s="119">
        <f>IFERROR(AI93/AI148, "NA")</f>
        <v>0.63608749350580729</v>
      </c>
      <c r="AK93" s="118">
        <f t="shared" si="41"/>
        <v>-0.28090342091069143</v>
      </c>
      <c r="AL93" s="119">
        <f>IFERROR(AK93/AK148, "NA")</f>
        <v>6.3708035257678297</v>
      </c>
    </row>
    <row r="94" spans="1:38" ht="16.5" hidden="1" customHeight="1" x14ac:dyDescent="0.25">
      <c r="A94" s="2" t="s">
        <v>93</v>
      </c>
      <c r="B94" s="115">
        <v>1115.01</v>
      </c>
      <c r="C94" s="116">
        <f>IFERROR(B94/B148, "NA")</f>
        <v>2.6880399687466926E-2</v>
      </c>
      <c r="D94" s="115">
        <v>1365.11</v>
      </c>
      <c r="E94" s="116">
        <f>IFERROR(D94/D148, "NA")</f>
        <v>2.7378427016499333E-2</v>
      </c>
      <c r="F94" s="115">
        <v>1415.97</v>
      </c>
      <c r="G94" s="116">
        <f>IFERROR(F94/F148, "NA")</f>
        <v>2.7673803375806483E-2</v>
      </c>
      <c r="H94" s="115">
        <v>1374.14</v>
      </c>
      <c r="I94" s="116">
        <f>IFERROR(H94/H148, "NA")</f>
        <v>2.9005061015238347E-2</v>
      </c>
      <c r="J94" s="115">
        <v>1135.6099999999999</v>
      </c>
      <c r="K94" s="116">
        <f>IFERROR(J94/J148, "NA")</f>
        <v>2.5756318702379238E-2</v>
      </c>
      <c r="L94" s="115">
        <v>1295.06</v>
      </c>
      <c r="M94" s="116">
        <f>IFERROR(L94/L148, "NA")</f>
        <v>2.6125334469480566E-2</v>
      </c>
      <c r="N94" s="115">
        <v>1025.01</v>
      </c>
      <c r="O94" s="116">
        <f>IFERROR(N94/N148, "NA")</f>
        <v>2.4682460236944488E-2</v>
      </c>
      <c r="P94" s="115">
        <v>886.03</v>
      </c>
      <c r="Q94" s="116">
        <f>IFERROR(P94/P148, "NA")</f>
        <v>2.2652728807185017E-2</v>
      </c>
      <c r="R94" s="115">
        <v>1220.76</v>
      </c>
      <c r="S94" s="116">
        <f>IFERROR(R94/R148, "NA")</f>
        <v>2.7974502220640535E-2</v>
      </c>
      <c r="T94" s="115">
        <v>1325.39</v>
      </c>
      <c r="U94" s="116">
        <f>IFERROR(T94/T148, "NA")</f>
        <v>2.7687370586573931E-2</v>
      </c>
      <c r="V94" s="115">
        <v>1518.9</v>
      </c>
      <c r="W94" s="116">
        <f>IFERROR(V94/V148, "NA")</f>
        <v>2.754458744957685E-2</v>
      </c>
      <c r="X94" s="115">
        <v>1128.76</v>
      </c>
      <c r="Y94" s="116">
        <f>IFERROR(X94/X148, "NA")</f>
        <v>2.5915952927173774E-2</v>
      </c>
      <c r="Z94" s="115">
        <v>3973.05</v>
      </c>
      <c r="AA94" s="116">
        <f>IFERROR(Z94/Z148, "NA")</f>
        <v>2.7107250023538598E-2</v>
      </c>
      <c r="AB94" s="117">
        <f t="shared" si="36"/>
        <v>1298.4525000000001</v>
      </c>
      <c r="AC94" s="116">
        <f>IFERROR(AB94/AB148, "NA")</f>
        <v>2.7306220604585207E-2</v>
      </c>
      <c r="AD94" s="118">
        <f t="shared" si="37"/>
        <v>-169.69250000000011</v>
      </c>
      <c r="AE94" s="119">
        <f>IFERROR(AD94/AD148, "NA")</f>
        <v>4.2456161200434148E-2</v>
      </c>
      <c r="AF94" s="118">
        <f t="shared" si="38"/>
        <v>-0.1306882616037168</v>
      </c>
      <c r="AG94" s="117">
        <f t="shared" si="39"/>
        <v>1191.94</v>
      </c>
      <c r="AH94" s="116">
        <f>IFERROR(AG94/AG148, "NA")</f>
        <v>2.6159890572848964E-2</v>
      </c>
      <c r="AI94" s="118">
        <f t="shared" si="40"/>
        <v>-63.180000000000064</v>
      </c>
      <c r="AJ94" s="119">
        <f>IFERROR(AI94/AI148, "NA")</f>
        <v>3.1448383995818882E-2</v>
      </c>
      <c r="AK94" s="118">
        <f t="shared" si="41"/>
        <v>-5.3006023793144001E-2</v>
      </c>
      <c r="AL94" s="119">
        <f>IFERROR(AK94/AK148, "NA")</f>
        <v>1.2021603801530722</v>
      </c>
    </row>
    <row r="95" spans="1:38" ht="16.5" hidden="1" customHeight="1" x14ac:dyDescent="0.25">
      <c r="A95" s="2" t="s">
        <v>94</v>
      </c>
      <c r="B95" s="115">
        <v>0</v>
      </c>
      <c r="C95" s="116">
        <f>IFERROR(B95/B148, "NA")</f>
        <v>0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1244.29</v>
      </c>
      <c r="I95" s="116">
        <f>IFERROR(H95/H148, "NA")</f>
        <v>2.6264214250841196E-2</v>
      </c>
      <c r="J95" s="115">
        <v>0</v>
      </c>
      <c r="K95" s="116">
        <f>IFERROR(J95/J148, "NA")</f>
        <v>0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1244.29</v>
      </c>
      <c r="S95" s="116">
        <f>IFERROR(R95/R148, "NA")</f>
        <v>2.8513707336512345E-2</v>
      </c>
      <c r="T95" s="115">
        <v>0</v>
      </c>
      <c r="U95" s="116">
        <f>IFERROR(T95/T148, "NA")</f>
        <v>0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311.07249999999999</v>
      </c>
      <c r="AC95" s="116">
        <f>IFERROR(AB95/AB148, "NA")</f>
        <v>6.5417982629474942E-3</v>
      </c>
      <c r="AD95" s="118">
        <f t="shared" si="37"/>
        <v>-311.07249999999999</v>
      </c>
      <c r="AE95" s="119">
        <f>IFERROR(AD95/AD148, "NA")</f>
        <v>7.7828685445862619E-2</v>
      </c>
      <c r="AF95" s="118">
        <f t="shared" si="38"/>
        <v>-1</v>
      </c>
      <c r="AG95" s="117">
        <f t="shared" si="39"/>
        <v>155.53625</v>
      </c>
      <c r="AH95" s="116">
        <f>IFERROR(AG95/AG148, "NA")</f>
        <v>3.4136041076826681E-3</v>
      </c>
      <c r="AI95" s="118">
        <f t="shared" si="40"/>
        <v>-155.53625</v>
      </c>
      <c r="AJ95" s="119">
        <f>IFERROR(AI95/AI148, "NA")</f>
        <v>7.7419495335069324E-2</v>
      </c>
      <c r="AK95" s="118">
        <f t="shared" si="41"/>
        <v>-1</v>
      </c>
      <c r="AL95" s="119">
        <f>IFERROR(AK95/AK148, "NA")</f>
        <v>22.679693629624115</v>
      </c>
    </row>
    <row r="96" spans="1:38" ht="16.5" hidden="1" customHeight="1" x14ac:dyDescent="0.25">
      <c r="A96" s="2" t="s">
        <v>95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0</v>
      </c>
      <c r="Y96" s="116">
        <f>IFERROR(X96/X148, "NA")</f>
        <v>0</v>
      </c>
      <c r="Z96" s="115">
        <v>0</v>
      </c>
      <c r="AA96" s="116">
        <f>IFERROR(Z96/Z148, "NA")</f>
        <v>0</v>
      </c>
      <c r="AB96" s="117">
        <f t="shared" si="36"/>
        <v>0</v>
      </c>
      <c r="AC96" s="116">
        <f>IFERROR(AB96/AB148, "NA")</f>
        <v>0</v>
      </c>
      <c r="AD96" s="118">
        <f t="shared" si="37"/>
        <v>0</v>
      </c>
      <c r="AE96" s="119">
        <f>IFERROR(AD96/AD148, "NA")</f>
        <v>0</v>
      </c>
      <c r="AF96" s="118" t="str">
        <f t="shared" si="38"/>
        <v>NA</v>
      </c>
      <c r="AG96" s="117">
        <f t="shared" si="39"/>
        <v>0</v>
      </c>
      <c r="AH96" s="116">
        <f>IFERROR(AG96/AG148, "NA")</f>
        <v>0</v>
      </c>
      <c r="AI96" s="118">
        <f t="shared" si="40"/>
        <v>0</v>
      </c>
      <c r="AJ96" s="119">
        <f>IFERROR(AI96/AI148, "NA")</f>
        <v>0</v>
      </c>
      <c r="AK96" s="118" t="str">
        <f t="shared" si="41"/>
        <v>NA</v>
      </c>
      <c r="AL96" s="119" t="str">
        <f>IFERROR(AK96/AK148, "NA")</f>
        <v>NA</v>
      </c>
    </row>
    <row r="97" spans="1:38" ht="16.5" hidden="1" customHeight="1" x14ac:dyDescent="0.25">
      <c r="A97" s="2" t="s">
        <v>96</v>
      </c>
      <c r="B97" s="115">
        <v>231.58</v>
      </c>
      <c r="C97" s="116">
        <f>IFERROR(B97/B148, "NA")</f>
        <v>5.5828763505471621E-3</v>
      </c>
      <c r="D97" s="115">
        <v>204.96</v>
      </c>
      <c r="E97" s="116">
        <f>IFERROR(D97/D148, "NA")</f>
        <v>4.1106448574120069E-3</v>
      </c>
      <c r="F97" s="115">
        <v>1360.37</v>
      </c>
      <c r="G97" s="116">
        <f>IFERROR(F97/F148, "NA")</f>
        <v>2.6587153610843354E-2</v>
      </c>
      <c r="H97" s="115">
        <v>1917.76</v>
      </c>
      <c r="I97" s="116">
        <f>IFERROR(H97/H148, "NA")</f>
        <v>4.04796787900676E-2</v>
      </c>
      <c r="J97" s="115">
        <v>0</v>
      </c>
      <c r="K97" s="116">
        <f>IFERROR(J97/J148, "NA")</f>
        <v>0</v>
      </c>
      <c r="L97" s="115">
        <v>259.95</v>
      </c>
      <c r="M97" s="116">
        <f>IFERROR(L97/L148, "NA")</f>
        <v>5.2439892324228016E-3</v>
      </c>
      <c r="N97" s="115">
        <v>1098.98</v>
      </c>
      <c r="O97" s="116">
        <f>IFERROR(N97/N148, "NA")</f>
        <v>2.6463673672644419E-2</v>
      </c>
      <c r="P97" s="115">
        <v>516.11</v>
      </c>
      <c r="Q97" s="116">
        <f>IFERROR(P97/P148, "NA")</f>
        <v>1.3195151252978184E-2</v>
      </c>
      <c r="R97" s="115">
        <v>1826.5</v>
      </c>
      <c r="S97" s="116">
        <f>IFERROR(R97/R148, "NA")</f>
        <v>4.185542474032565E-2</v>
      </c>
      <c r="T97" s="115">
        <v>302.12</v>
      </c>
      <c r="U97" s="116">
        <f>IFERROR(T97/T148, "NA")</f>
        <v>6.3112807563175484E-3</v>
      </c>
      <c r="V97" s="115">
        <v>500</v>
      </c>
      <c r="W97" s="116">
        <f>IFERROR(V97/V148, "NA")</f>
        <v>9.067281404166452E-3</v>
      </c>
      <c r="X97" s="115">
        <v>473.58000000000004</v>
      </c>
      <c r="Y97" s="116">
        <f>IFERROR(X97/X148, "NA")</f>
        <v>1.0873238763998509E-2</v>
      </c>
      <c r="Z97" s="115">
        <v>1275.7</v>
      </c>
      <c r="AA97" s="116">
        <f>IFERROR(Z97/Z148, "NA")</f>
        <v>8.7038217125453218E-3</v>
      </c>
      <c r="AB97" s="117">
        <f t="shared" si="36"/>
        <v>775.55</v>
      </c>
      <c r="AC97" s="116">
        <f>IFERROR(AB97/AB148, "NA")</f>
        <v>1.6309675856364447E-2</v>
      </c>
      <c r="AD97" s="118">
        <f t="shared" si="37"/>
        <v>-301.96999999999991</v>
      </c>
      <c r="AE97" s="119">
        <f>IFERROR(AD97/AD148, "NA")</f>
        <v>7.5551288346244458E-2</v>
      </c>
      <c r="AF97" s="118">
        <f t="shared" si="38"/>
        <v>-0.38936238798272182</v>
      </c>
      <c r="AG97" s="117">
        <f t="shared" si="39"/>
        <v>622.15499999999997</v>
      </c>
      <c r="AH97" s="116">
        <f>IFERROR(AG97/AG148, "NA")</f>
        <v>1.3654635903947217E-2</v>
      </c>
      <c r="AI97" s="118">
        <f t="shared" si="40"/>
        <v>-148.57499999999993</v>
      </c>
      <c r="AJ97" s="119">
        <f>IFERROR(AI97/AI148, "NA")</f>
        <v>7.3954473760347958E-2</v>
      </c>
      <c r="AK97" s="118">
        <f t="shared" si="41"/>
        <v>-0.23880704969018965</v>
      </c>
      <c r="AL97" s="119">
        <f>IFERROR(AK97/AK148, "NA")</f>
        <v>5.4160707235679242</v>
      </c>
    </row>
    <row r="98" spans="1:38" ht="16.5" hidden="1" customHeight="1" x14ac:dyDescent="0.25">
      <c r="A98" s="2" t="s">
        <v>97</v>
      </c>
      <c r="B98" s="115">
        <v>601.20000000000005</v>
      </c>
      <c r="C98" s="116">
        <f>IFERROR(B98/B148, "NA")</f>
        <v>1.4493588660285663E-2</v>
      </c>
      <c r="D98" s="115">
        <v>2573.83</v>
      </c>
      <c r="E98" s="116">
        <f>IFERROR(D98/D148, "NA")</f>
        <v>5.1620321298559445E-2</v>
      </c>
      <c r="F98" s="115">
        <v>2484.8900000000003</v>
      </c>
      <c r="G98" s="116">
        <f>IFERROR(F98/F148, "NA")</f>
        <v>4.8564840547827837E-2</v>
      </c>
      <c r="H98" s="115">
        <v>1108.03</v>
      </c>
      <c r="I98" s="116">
        <f>IFERROR(H98/H148, "NA")</f>
        <v>2.3388066541047161E-2</v>
      </c>
      <c r="J98" s="115">
        <v>573.91</v>
      </c>
      <c r="K98" s="116">
        <f>IFERROR(J98/J148, "NA")</f>
        <v>1.3016624427825106E-2</v>
      </c>
      <c r="L98" s="115">
        <v>762.85</v>
      </c>
      <c r="M98" s="116">
        <f>IFERROR(L98/L148, "NA")</f>
        <v>1.5389025527808173E-2</v>
      </c>
      <c r="N98" s="115">
        <v>1795.5099999999998</v>
      </c>
      <c r="O98" s="116">
        <f>IFERROR(N98/N148, "NA")</f>
        <v>4.3236265187692018E-2</v>
      </c>
      <c r="P98" s="115">
        <v>2246.8000000000002</v>
      </c>
      <c r="Q98" s="116">
        <f>IFERROR(P98/P148, "NA")</f>
        <v>5.744292076338646E-2</v>
      </c>
      <c r="R98" s="115">
        <v>794.17</v>
      </c>
      <c r="S98" s="116">
        <f>IFERROR(R98/R148, "NA")</f>
        <v>1.8198917419120952E-2</v>
      </c>
      <c r="T98" s="115">
        <v>636.26</v>
      </c>
      <c r="U98" s="116">
        <f>IFERROR(T98/T148, "NA")</f>
        <v>1.3291458672099176E-2</v>
      </c>
      <c r="V98" s="115">
        <v>50.1</v>
      </c>
      <c r="W98" s="116">
        <f>IFERROR(V98/V148, "NA")</f>
        <v>9.0854159669747855E-4</v>
      </c>
      <c r="X98" s="115">
        <v>310.05</v>
      </c>
      <c r="Y98" s="116">
        <f>IFERROR(X98/X148, "NA")</f>
        <v>7.1186445347728739E-3</v>
      </c>
      <c r="Z98" s="115">
        <v>996.41000000000008</v>
      </c>
      <c r="AA98" s="116">
        <f>IFERROR(Z98/Z148, "NA")</f>
        <v>6.7982872090595623E-3</v>
      </c>
      <c r="AB98" s="117">
        <f t="shared" si="36"/>
        <v>447.64499999999992</v>
      </c>
      <c r="AC98" s="116">
        <f>IFERROR(AB98/AB148, "NA")</f>
        <v>9.41389317093967E-3</v>
      </c>
      <c r="AD98" s="118">
        <f t="shared" si="37"/>
        <v>-137.59499999999991</v>
      </c>
      <c r="AE98" s="119">
        <f>IFERROR(AD98/AD148, "NA")</f>
        <v>3.4425537371267023E-2</v>
      </c>
      <c r="AF98" s="118">
        <f t="shared" si="38"/>
        <v>-0.30737526388097697</v>
      </c>
      <c r="AG98" s="117">
        <f t="shared" si="39"/>
        <v>896.20625000000007</v>
      </c>
      <c r="AH98" s="116">
        <f>IFERROR(AG98/AG148, "NA")</f>
        <v>1.9669326837511387E-2</v>
      </c>
      <c r="AI98" s="118">
        <f t="shared" si="40"/>
        <v>-586.15625</v>
      </c>
      <c r="AJ98" s="119">
        <f>IFERROR(AI98/AI148, "NA")</f>
        <v>0.29176427400362764</v>
      </c>
      <c r="AK98" s="118">
        <f t="shared" si="41"/>
        <v>-0.65404168962222697</v>
      </c>
      <c r="AL98" s="119">
        <f>IFERROR(AK98/AK148, "NA")</f>
        <v>14.833465141633814</v>
      </c>
    </row>
    <row r="99" spans="1:38" ht="16.5" hidden="1" customHeight="1" x14ac:dyDescent="0.25">
      <c r="A99" s="120" t="s">
        <v>98</v>
      </c>
      <c r="B99" s="121">
        <f>IFERROR(B90+B91+B92+B93+B94+B95+B96+B97+B98, "NA")</f>
        <v>9081.77</v>
      </c>
      <c r="C99" s="122">
        <f>IFERROR(B99/B148, "NA")</f>
        <v>0.21894118211464159</v>
      </c>
      <c r="D99" s="121">
        <f>IFERROR(D90+D91+D92+D93+D94+D95+D96+D97+D98, "NA")</f>
        <v>12102.769999999999</v>
      </c>
      <c r="E99" s="122">
        <f>IFERROR(D99/D148, "NA")</f>
        <v>0.24273121224112171</v>
      </c>
      <c r="F99" s="121">
        <f>IFERROR(F90+F91+F92+F93+F94+F95+F96+F97+F98, "NA")</f>
        <v>15450.119999999999</v>
      </c>
      <c r="G99" s="122">
        <f>IFERROR(F99/F148, "NA")</f>
        <v>0.30195808033546984</v>
      </c>
      <c r="H99" s="121">
        <f>IFERROR(H90+H91+H92+H93+H94+H95+H96+H97+H98, "NA")</f>
        <v>16071.130000000001</v>
      </c>
      <c r="I99" s="122">
        <f>IFERROR(H99/H148, "NA")</f>
        <v>0.33922606592765475</v>
      </c>
      <c r="J99" s="121">
        <f>IFERROR(J90+J91+J92+J93+J94+J95+J96+J97+J98, "NA")</f>
        <v>11072.39</v>
      </c>
      <c r="K99" s="122">
        <f>IFERROR(J99/J148, "NA")</f>
        <v>0.25112847336412752</v>
      </c>
      <c r="L99" s="121">
        <f>IFERROR(L90+L91+L92+L93+L94+L95+L96+L97+L98, "NA")</f>
        <v>11749.07</v>
      </c>
      <c r="M99" s="122">
        <f>IFERROR(L99/L148, "NA")</f>
        <v>0.23701479734942013</v>
      </c>
      <c r="N99" s="121">
        <f>IFERROR(N90+N91+N92+N93+N94+N95+N96+N97+N98, "NA")</f>
        <v>9724.83</v>
      </c>
      <c r="O99" s="122">
        <f>IFERROR(N99/N148, "NA")</f>
        <v>0.23417598831820652</v>
      </c>
      <c r="P99" s="121">
        <f>IFERROR(P90+P91+P92+P93+P94+P95+P96+P97+P98, "NA")</f>
        <v>10110.040000000001</v>
      </c>
      <c r="Q99" s="122">
        <f>IFERROR(P99/P148, "NA")</f>
        <v>0.25847882616818035</v>
      </c>
      <c r="R99" s="121">
        <f>IFERROR(R90+R91+R92+R93+R94+R95+R96+R97+R98, "NA")</f>
        <v>11529.429999999998</v>
      </c>
      <c r="S99" s="122">
        <f>IFERROR(R99/R148, "NA")</f>
        <v>0.26420431955316326</v>
      </c>
      <c r="T99" s="121">
        <f>IFERROR(T90+T91+T92+T93+T94+T95+T96+T97+T98, "NA")</f>
        <v>9689.0499999999993</v>
      </c>
      <c r="U99" s="122">
        <f>IFERROR(T99/T148, "NA")</f>
        <v>0.20240406067787151</v>
      </c>
      <c r="V99" s="121">
        <f>IFERROR(V90+V91+V92+V93+V94+V95+V96+V97+V98, "NA")</f>
        <v>10266.24</v>
      </c>
      <c r="W99" s="122">
        <f>IFERROR(V99/V148, "NA")</f>
        <v>0.1861737740854196</v>
      </c>
      <c r="X99" s="121">
        <f>IFERROR(X90+X91+X92+X93+X94+X95+X96+X97+X98, "NA")</f>
        <v>7504.13</v>
      </c>
      <c r="Y99" s="122">
        <f>IFERROR(X99/X148, "NA")</f>
        <v>0.17229232063449498</v>
      </c>
      <c r="Z99" s="121">
        <f>IFERROR(Z90+Z91+Z92+Z93+Z94+Z95+Z96+Z97+Z98, "NA")</f>
        <v>27459.420000000002</v>
      </c>
      <c r="AA99" s="122">
        <f>IFERROR(Z99/Z148, "NA")</f>
        <v>0.18734960884996571</v>
      </c>
      <c r="AB99" s="121">
        <f t="shared" si="36"/>
        <v>9747.2124999999978</v>
      </c>
      <c r="AC99" s="122">
        <f>IFERROR(AB99/AB148, "NA")</f>
        <v>0.20498211124763549</v>
      </c>
      <c r="AD99" s="123">
        <f t="shared" si="37"/>
        <v>-2243.0824999999977</v>
      </c>
      <c r="AE99" s="124">
        <f>IFERROR(AD99/AD148, "NA")</f>
        <v>0.5612073144415497</v>
      </c>
      <c r="AF99" s="123">
        <f t="shared" si="38"/>
        <v>-0.230125535890389</v>
      </c>
      <c r="AG99" s="121">
        <f t="shared" si="39"/>
        <v>10205.647500000001</v>
      </c>
      <c r="AH99" s="122">
        <f>IFERROR(AG99/AG148, "NA")</f>
        <v>0.22398662837480882</v>
      </c>
      <c r="AI99" s="123">
        <f t="shared" si="40"/>
        <v>-2701.5175000000008</v>
      </c>
      <c r="AJ99" s="124">
        <f>IFERROR(AI99/AI148, "NA")</f>
        <v>1.3447033825803194</v>
      </c>
      <c r="AK99" s="123">
        <f t="shared" si="41"/>
        <v>-0.26470809421940161</v>
      </c>
      <c r="AL99" s="124">
        <f>IFERROR(AK99/AK148, "NA")</f>
        <v>6.0034984781777032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99</v>
      </c>
      <c r="B101" s="136">
        <f>IFERROR(B87-B99, "NA")</f>
        <v>11141.029999999995</v>
      </c>
      <c r="C101" s="137">
        <f>IFERROR(B101/B148, "NA")</f>
        <v>0.26858533944095525</v>
      </c>
      <c r="D101" s="136">
        <f>IFERROR(D87-D99, "NA")</f>
        <v>13367.199999999988</v>
      </c>
      <c r="E101" s="137">
        <f>IFERROR(D101/D148, "NA")</f>
        <v>0.26809041733995764</v>
      </c>
      <c r="F101" s="136">
        <f>IFERROR(F87-F99, "NA")</f>
        <v>12008.940000000013</v>
      </c>
      <c r="G101" s="137">
        <f>IFERROR(F101/F148, "NA")</f>
        <v>0.23470345015209212</v>
      </c>
      <c r="H101" s="136">
        <f>IFERROR(H87-H99, "NA")</f>
        <v>8720.0400000000045</v>
      </c>
      <c r="I101" s="137">
        <f>IFERROR(H101/H148, "NA")</f>
        <v>0.18406078875174228</v>
      </c>
      <c r="J101" s="136">
        <f>IFERROR(J87-J99, "NA")</f>
        <v>11815.020000000008</v>
      </c>
      <c r="K101" s="137">
        <f>IFERROR(J101/J148, "NA")</f>
        <v>0.26797176900078812</v>
      </c>
      <c r="L101" s="136">
        <f>IFERROR(L87-L99, "NA")</f>
        <v>15921.520000000004</v>
      </c>
      <c r="M101" s="137">
        <f>IFERROR(L101/L148, "NA")</f>
        <v>0.32118591822967613</v>
      </c>
      <c r="N101" s="136">
        <f>IFERROR(N87-N99, "NA")</f>
        <v>10722.230000000005</v>
      </c>
      <c r="O101" s="137">
        <f>IFERROR(N101/N148, "NA")</f>
        <v>0.25819359384432683</v>
      </c>
      <c r="P101" s="136">
        <f>IFERROR(P87-P99, "NA")</f>
        <v>7653.2999999999956</v>
      </c>
      <c r="Q101" s="137">
        <f>IFERROR(P101/P148, "NA")</f>
        <v>0.19566846425067888</v>
      </c>
      <c r="R101" s="136">
        <f>IFERROR(R87-R99, "NA")</f>
        <v>10737.710000000001</v>
      </c>
      <c r="S101" s="137">
        <f>IFERROR(R101/R148, "NA")</f>
        <v>0.24606154546314926</v>
      </c>
      <c r="T101" s="136">
        <f>IFERROR(T87-T99, "NA")</f>
        <v>15765.320000000003</v>
      </c>
      <c r="U101" s="137">
        <f>IFERROR(T101/T148, "NA")</f>
        <v>0.32933721942667876</v>
      </c>
      <c r="V101" s="136">
        <f>IFERROR(V87-V99, "NA")</f>
        <v>21864.910000000011</v>
      </c>
      <c r="W101" s="137">
        <f>IFERROR(V101/V148, "NA")</f>
        <v>0.39651058369354641</v>
      </c>
      <c r="X101" s="136">
        <f>IFERROR(X87-X99, "NA")</f>
        <v>14630.529999999995</v>
      </c>
      <c r="Y101" s="137">
        <f>IFERROR(X101/X148, "NA")</f>
        <v>0.3359120865193696</v>
      </c>
      <c r="Z101" s="136">
        <f>IFERROR(Z87-Z99, "NA")</f>
        <v>52260.760000000024</v>
      </c>
      <c r="AA101" s="137">
        <f>IFERROR(Z101/Z148, "NA")</f>
        <v>0.35656371999852648</v>
      </c>
      <c r="AB101" s="136">
        <f>IFERROR((R101+T101+V101+X101)/4, "NA")</f>
        <v>15749.617500000004</v>
      </c>
      <c r="AC101" s="137">
        <f>IFERROR(AB101/AB148, "NA")</f>
        <v>0.33121159987973059</v>
      </c>
      <c r="AD101" s="123">
        <f>IFERROR(X101-AB101, "NA")</f>
        <v>-1119.0875000000087</v>
      </c>
      <c r="AE101" s="124">
        <f>IFERROR(AD101/AD148, "NA")</f>
        <v>0.27998974201801013</v>
      </c>
      <c r="AF101" s="123">
        <f>IFERROR((X101-AB101)/AB101, "NA")</f>
        <v>-7.1054900222180542E-2</v>
      </c>
      <c r="AG101" s="136">
        <f>IFERROR((J101+L101+N101+P101+R101+T101+V101+X101)/8, "NA")</f>
        <v>13638.817500000005</v>
      </c>
      <c r="AH101" s="137">
        <f>IFERROR(AG101/AG148, "NA")</f>
        <v>0.29933551465934327</v>
      </c>
      <c r="AI101" s="123">
        <f>IFERROR(X101-AG101, "NA")</f>
        <v>991.71249999999054</v>
      </c>
      <c r="AJ101" s="124">
        <f>IFERROR(AI101/AI148, "NA")</f>
        <v>-0.49363335728795832</v>
      </c>
      <c r="AK101" s="123">
        <f>IFERROR((X101-AG101)/AG101, "NA")</f>
        <v>7.2712498719188098E-2</v>
      </c>
      <c r="AL101" s="124">
        <f>IFERROR(AK101/AK148, "NA")</f>
        <v>-1.649097193995622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100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101</v>
      </c>
      <c r="B104" s="140">
        <v>-2619</v>
      </c>
      <c r="C104" s="137">
        <f>IFERROR(B104/B148, "NA")</f>
        <v>-6.3138238026094723E-2</v>
      </c>
      <c r="D104" s="140">
        <v>0</v>
      </c>
      <c r="E104" s="137">
        <f>IFERROR(D104/D148, "NA")</f>
        <v>0</v>
      </c>
      <c r="F104" s="140">
        <v>7359.56</v>
      </c>
      <c r="G104" s="137">
        <f>IFERROR(F104/F148, "NA")</f>
        <v>0.14383568604733885</v>
      </c>
      <c r="H104" s="140">
        <v>17460.159999999996</v>
      </c>
      <c r="I104" s="137">
        <f>IFERROR(H104/H148, "NA")</f>
        <v>0.36854542196269946</v>
      </c>
      <c r="J104" s="140">
        <v>-3000</v>
      </c>
      <c r="K104" s="137">
        <f>IFERROR(J104/J148, "NA")</f>
        <v>-6.8041806700484958E-2</v>
      </c>
      <c r="L104" s="140">
        <v>0</v>
      </c>
      <c r="M104" s="137">
        <f>IFERROR(L104/L148, "NA")</f>
        <v>0</v>
      </c>
      <c r="N104" s="140">
        <v>0</v>
      </c>
      <c r="O104" s="137">
        <f>IFERROR(N104/N148, "NA")</f>
        <v>0</v>
      </c>
      <c r="P104" s="140">
        <v>5987.6600000000008</v>
      </c>
      <c r="Q104" s="137">
        <f>IFERROR(P104/P148, "NA")</f>
        <v>0.15308379870842914</v>
      </c>
      <c r="R104" s="140">
        <v>18164.78</v>
      </c>
      <c r="S104" s="137">
        <f>IFERROR(R104/R148, "NA")</f>
        <v>0.41625764150811523</v>
      </c>
      <c r="T104" s="140">
        <v>-2500</v>
      </c>
      <c r="U104" s="137">
        <f>IFERROR(T104/T148, "NA")</f>
        <v>-5.2224949989387891E-2</v>
      </c>
      <c r="V104" s="140">
        <v>3181.97</v>
      </c>
      <c r="W104" s="137">
        <f>IFERROR(V104/V148, "NA")</f>
        <v>5.7703634819231048E-2</v>
      </c>
      <c r="X104" s="140">
        <v>773.1</v>
      </c>
      <c r="Y104" s="137">
        <f>IFERROR(X104/X148, "NA")</f>
        <v>1.7750118012684758E-2</v>
      </c>
      <c r="Z104" s="140">
        <v>1455.0699999999997</v>
      </c>
      <c r="AA104" s="137">
        <f>IFERROR(Z104/Z148, "NA")</f>
        <v>9.9276239392281241E-3</v>
      </c>
      <c r="AB104" s="136">
        <f>IFERROR((R104+T104+V104+X104)/4, "NA")</f>
        <v>4904.9624999999996</v>
      </c>
      <c r="AC104" s="137">
        <f>IFERROR(AB104/AB148, "NA")</f>
        <v>0.10315047187495711</v>
      </c>
      <c r="AD104" s="123">
        <f>IFERROR(X104-AB104, "NA")</f>
        <v>-4131.8624999999993</v>
      </c>
      <c r="AE104" s="124">
        <f>IFERROR(AD104/AD148, "NA")</f>
        <v>1.0337700273024952</v>
      </c>
      <c r="AF104" s="123">
        <f>IFERROR((X104-AB104)/AB104, "NA")</f>
        <v>-0.84238411608651431</v>
      </c>
      <c r="AG104" s="136">
        <f>IFERROR((J104+L104+N104+P104+R104+T104+V104+X104)/8, "NA")</f>
        <v>2825.9387499999998</v>
      </c>
      <c r="AH104" s="137">
        <f>IFERROR(AG104/AG148, "NA")</f>
        <v>6.2021786722128276E-2</v>
      </c>
      <c r="AI104" s="123">
        <f>IFERROR(X104-AG104, "NA")</f>
        <v>-2052.8387499999999</v>
      </c>
      <c r="AJ104" s="124">
        <f>IFERROR(AI104/AI148, "NA")</f>
        <v>1.0218180008150803</v>
      </c>
      <c r="AK104" s="123">
        <f>IFERROR((X104-AG104)/AG104, "NA")</f>
        <v>-0.72642719167214787</v>
      </c>
      <c r="AL104" s="124">
        <f>IFERROR(AK104/AK148, "NA")</f>
        <v>16.475146151352547</v>
      </c>
    </row>
    <row r="105" spans="1:38" ht="16.5" hidden="1" customHeight="1" x14ac:dyDescent="0.25">
      <c r="A105" s="120" t="s">
        <v>102</v>
      </c>
      <c r="B105" s="121">
        <f>IFERROR(B104, "NA")</f>
        <v>-2619</v>
      </c>
      <c r="C105" s="122">
        <f>IFERROR(B105/B148, "NA")</f>
        <v>-6.3138238026094723E-2</v>
      </c>
      <c r="D105" s="121">
        <f>IFERROR(D104, "NA")</f>
        <v>0</v>
      </c>
      <c r="E105" s="122">
        <f>IFERROR(D105/D148, "NA")</f>
        <v>0</v>
      </c>
      <c r="F105" s="121">
        <f>IFERROR(F104, "NA")</f>
        <v>7359.56</v>
      </c>
      <c r="G105" s="122">
        <f>IFERROR(F105/F148, "NA")</f>
        <v>0.14383568604733885</v>
      </c>
      <c r="H105" s="121">
        <f>IFERROR(H104, "NA")</f>
        <v>17460.159999999996</v>
      </c>
      <c r="I105" s="122">
        <f>IFERROR(H105/H148, "NA")</f>
        <v>0.36854542196269946</v>
      </c>
      <c r="J105" s="121">
        <f>IFERROR(J104, "NA")</f>
        <v>-3000</v>
      </c>
      <c r="K105" s="122">
        <f>IFERROR(J105/J148, "NA")</f>
        <v>-6.8041806700484958E-2</v>
      </c>
      <c r="L105" s="121">
        <f>IFERROR(L104, "NA")</f>
        <v>0</v>
      </c>
      <c r="M105" s="122">
        <f>IFERROR(L105/L148, "NA")</f>
        <v>0</v>
      </c>
      <c r="N105" s="121">
        <f>IFERROR(N104, "NA")</f>
        <v>0</v>
      </c>
      <c r="O105" s="122">
        <f>IFERROR(N105/N148, "NA")</f>
        <v>0</v>
      </c>
      <c r="P105" s="121">
        <f>IFERROR(P104, "NA")</f>
        <v>5987.6600000000008</v>
      </c>
      <c r="Q105" s="122">
        <f>IFERROR(P105/P148, "NA")</f>
        <v>0.15308379870842914</v>
      </c>
      <c r="R105" s="121">
        <f>IFERROR(R104, "NA")</f>
        <v>18164.78</v>
      </c>
      <c r="S105" s="122">
        <f>IFERROR(R105/R148, "NA")</f>
        <v>0.41625764150811523</v>
      </c>
      <c r="T105" s="121">
        <f>IFERROR(T104, "NA")</f>
        <v>-2500</v>
      </c>
      <c r="U105" s="122">
        <f>IFERROR(T105/T148, "NA")</f>
        <v>-5.2224949989387891E-2</v>
      </c>
      <c r="V105" s="121">
        <f>IFERROR(V104, "NA")</f>
        <v>3181.97</v>
      </c>
      <c r="W105" s="122">
        <f>IFERROR(V105/V148, "NA")</f>
        <v>5.7703634819231048E-2</v>
      </c>
      <c r="X105" s="121">
        <f>IFERROR(X104, "NA")</f>
        <v>773.1</v>
      </c>
      <c r="Y105" s="122">
        <f>IFERROR(X105/X148, "NA")</f>
        <v>1.7750118012684758E-2</v>
      </c>
      <c r="Z105" s="121">
        <f>IFERROR(Z104, "NA")</f>
        <v>1455.0699999999997</v>
      </c>
      <c r="AA105" s="122">
        <f>IFERROR(Z105/Z148, "NA")</f>
        <v>9.9276239392281241E-3</v>
      </c>
      <c r="AB105" s="121">
        <f>IFERROR((R105+T105+V105+X105)/4, "NA")</f>
        <v>4904.9624999999996</v>
      </c>
      <c r="AC105" s="122">
        <f>IFERROR(AB105/AB148, "NA")</f>
        <v>0.10315047187495711</v>
      </c>
      <c r="AD105" s="123">
        <f>IFERROR(X105-AB105, "NA")</f>
        <v>-4131.8624999999993</v>
      </c>
      <c r="AE105" s="124">
        <f>IFERROR(AD105/AD148, "NA")</f>
        <v>1.0337700273024952</v>
      </c>
      <c r="AF105" s="123">
        <f>IFERROR((X105-AB105)/AB105, "NA")</f>
        <v>-0.84238411608651431</v>
      </c>
      <c r="AG105" s="121">
        <f>IFERROR((J105+L105+N105+P105+R105+T105+V105+X105)/8, "NA")</f>
        <v>2825.9387499999998</v>
      </c>
      <c r="AH105" s="122">
        <f>IFERROR(AG105/AG148, "NA")</f>
        <v>6.2021786722128276E-2</v>
      </c>
      <c r="AI105" s="123">
        <f>IFERROR(X105-AG105, "NA")</f>
        <v>-2052.8387499999999</v>
      </c>
      <c r="AJ105" s="124">
        <f>IFERROR(AI105/AI148, "NA")</f>
        <v>1.0218180008150803</v>
      </c>
      <c r="AK105" s="123">
        <f>IFERROR((X105-AG105)/AG105, "NA")</f>
        <v>-0.72642719167214787</v>
      </c>
      <c r="AL105" s="124">
        <f>IFERROR(AK105/AK148, "NA")</f>
        <v>16.475146151352547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103</v>
      </c>
      <c r="B107" s="136">
        <f>IFERROR(B87-B99-B105, "NA")</f>
        <v>13760.029999999995</v>
      </c>
      <c r="C107" s="137">
        <f>IFERROR(B107/B148, "NA")</f>
        <v>0.33172357746704995</v>
      </c>
      <c r="D107" s="136">
        <f>IFERROR(D87-D99-D105, "NA")</f>
        <v>13367.199999999988</v>
      </c>
      <c r="E107" s="137">
        <f>IFERROR(D107/D148, "NA")</f>
        <v>0.26809041733995764</v>
      </c>
      <c r="F107" s="136">
        <f>IFERROR(F87-F99-F105, "NA")</f>
        <v>4649.3800000000128</v>
      </c>
      <c r="G107" s="137">
        <f>IFERROR(F107/F148, "NA")</f>
        <v>9.0867764104753279E-2</v>
      </c>
      <c r="H107" s="136">
        <f>IFERROR(H87-H99-H105, "NA")</f>
        <v>-8740.1199999999917</v>
      </c>
      <c r="I107" s="137">
        <f>IFERROR(H107/H148, "NA")</f>
        <v>-0.18448463321095721</v>
      </c>
      <c r="J107" s="136">
        <f>IFERROR(J87-J99-J105, "NA")</f>
        <v>14815.020000000008</v>
      </c>
      <c r="K107" s="137">
        <f>IFERROR(J107/J148, "NA")</f>
        <v>0.33601357570127305</v>
      </c>
      <c r="L107" s="136">
        <f>IFERROR(L87-L99-L105, "NA")</f>
        <v>15921.520000000004</v>
      </c>
      <c r="M107" s="137">
        <f>IFERROR(L107/L148, "NA")</f>
        <v>0.32118591822967613</v>
      </c>
      <c r="N107" s="136">
        <f>IFERROR(N87-N99-N105, "NA")</f>
        <v>10722.230000000005</v>
      </c>
      <c r="O107" s="137">
        <f>IFERROR(N107/N148, "NA")</f>
        <v>0.25819359384432683</v>
      </c>
      <c r="P107" s="136">
        <f>IFERROR(P87-P99-P105, "NA")</f>
        <v>1665.6399999999949</v>
      </c>
      <c r="Q107" s="137">
        <f>IFERROR(P107/P148, "NA")</f>
        <v>4.2584665542249739E-2</v>
      </c>
      <c r="R107" s="136">
        <f>IFERROR(R87-R99-R105, "NA")</f>
        <v>-7427.0699999999979</v>
      </c>
      <c r="S107" s="137">
        <f>IFERROR(R107/R148, "NA")</f>
        <v>-0.17019609604496597</v>
      </c>
      <c r="T107" s="136">
        <f>IFERROR(T87-T99-T105, "NA")</f>
        <v>18265.320000000003</v>
      </c>
      <c r="U107" s="137">
        <f>IFERROR(T107/T148, "NA")</f>
        <v>0.38156216941606669</v>
      </c>
      <c r="V107" s="136">
        <f>IFERROR(V87-V99-V105, "NA")</f>
        <v>18682.94000000001</v>
      </c>
      <c r="W107" s="137">
        <f>IFERROR(V107/V148, "NA")</f>
        <v>0.33880694887431534</v>
      </c>
      <c r="X107" s="136">
        <f>IFERROR(X87-X99-X105, "NA")</f>
        <v>13857.429999999995</v>
      </c>
      <c r="Y107" s="137">
        <f>IFERROR(X107/X148, "NA")</f>
        <v>0.31816196850668482</v>
      </c>
      <c r="Z107" s="136">
        <f>IFERROR(Z87-Z99-Z105, "NA")</f>
        <v>50805.690000000024</v>
      </c>
      <c r="AA107" s="137">
        <f>IFERROR(Z107/Z148, "NA")</f>
        <v>0.34663609605929835</v>
      </c>
      <c r="AB107" s="136">
        <f>IFERROR((R107+T107+V107+X107)/4, "NA")</f>
        <v>10844.655000000002</v>
      </c>
      <c r="AC107" s="137">
        <f>IFERROR(AB107/AB148, "NA")</f>
        <v>0.22806112800477341</v>
      </c>
      <c r="AD107" s="123">
        <f>IFERROR(X107-AB107, "NA")</f>
        <v>3012.7749999999924</v>
      </c>
      <c r="AE107" s="124">
        <f>IFERROR(AD107/AD148, "NA")</f>
        <v>-0.7537802852844856</v>
      </c>
      <c r="AF107" s="123">
        <f>IFERROR((X107-AB107)/AB107, "NA")</f>
        <v>0.27781197281056813</v>
      </c>
      <c r="AG107" s="136">
        <f>IFERROR((J107+L107+N107+P107+R107+T107+V107+X107)/8, "NA")</f>
        <v>10812.878750000003</v>
      </c>
      <c r="AH107" s="137">
        <f>IFERROR(AG107/AG148, "NA")</f>
        <v>0.23731372793721495</v>
      </c>
      <c r="AI107" s="123">
        <f>IFERROR(X107-AG107, "NA")</f>
        <v>3044.5512499999913</v>
      </c>
      <c r="AJ107" s="124">
        <f>IFERROR(AI107/AI148, "NA")</f>
        <v>-1.5154513581030391</v>
      </c>
      <c r="AK107" s="123">
        <f>IFERROR((X107-AG107)/AG107, "NA")</f>
        <v>0.28156713123228078</v>
      </c>
      <c r="AL107" s="124">
        <f>IFERROR(AK107/AK148, "NA")</f>
        <v>-6.3858562725202956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104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105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106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107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108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109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110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111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112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113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114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115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116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117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118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119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120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121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122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123</v>
      </c>
      <c r="B128" s="115">
        <v>674.71</v>
      </c>
      <c r="C128" s="116">
        <f>IFERROR(B128/B148, "NA")</f>
        <v>1.6265750507287655E-2</v>
      </c>
      <c r="D128" s="115">
        <v>466.58999999999992</v>
      </c>
      <c r="E128" s="116">
        <f>IFERROR(D128/D148, "NA")</f>
        <v>9.3578541374895966E-3</v>
      </c>
      <c r="F128" s="115">
        <v>716.08999999999992</v>
      </c>
      <c r="G128" s="116">
        <f>IFERROR(F128/F148, "NA")</f>
        <v>1.3995306298425294E-2</v>
      </c>
      <c r="H128" s="115">
        <v>-1857.39</v>
      </c>
      <c r="I128" s="116">
        <f>IFERROR(H128/H148, "NA")</f>
        <v>-3.9205401399488811E-2</v>
      </c>
      <c r="J128" s="115">
        <v>787.88000000000011</v>
      </c>
      <c r="K128" s="116">
        <f>IFERROR(J128/J148, "NA")</f>
        <v>1.7869592887726032E-2</v>
      </c>
      <c r="L128" s="115">
        <v>906.13</v>
      </c>
      <c r="M128" s="116">
        <f>IFERROR(L128/L148, "NA")</f>
        <v>1.8279422824294185E-2</v>
      </c>
      <c r="N128" s="115">
        <v>1114.6500000000001</v>
      </c>
      <c r="O128" s="116">
        <f>IFERROR(N128/N148, "NA")</f>
        <v>2.6841010627320881E-2</v>
      </c>
      <c r="P128" s="115">
        <v>950.91</v>
      </c>
      <c r="Q128" s="116">
        <f>IFERROR(P128/P148, "NA")</f>
        <v>2.4311486462129165E-2</v>
      </c>
      <c r="R128" s="115">
        <v>-3759.57</v>
      </c>
      <c r="S128" s="116">
        <f>IFERROR(R128/R148, "NA")</f>
        <v>-8.6152969718579858E-2</v>
      </c>
      <c r="T128" s="115">
        <v>1279.5999999999999</v>
      </c>
      <c r="U128" s="116">
        <f>IFERROR(T128/T148, "NA")</f>
        <v>2.6730818402568298E-2</v>
      </c>
      <c r="V128" s="115">
        <v>1159.48</v>
      </c>
      <c r="W128" s="116">
        <f>IFERROR(V128/V148, "NA")</f>
        <v>2.1026662885005837E-2</v>
      </c>
      <c r="X128" s="115">
        <v>953.8599999999999</v>
      </c>
      <c r="Y128" s="116">
        <f>IFERROR(X128/X148, "NA")</f>
        <v>2.1900307292173692E-2</v>
      </c>
      <c r="Z128" s="115">
        <v>3392.94</v>
      </c>
      <c r="AA128" s="116">
        <f>IFERROR(Z128/Z148, "NA")</f>
        <v>2.3149286541791582E-2</v>
      </c>
      <c r="AB128" s="117">
        <f t="shared" si="42"/>
        <v>-91.657500000000084</v>
      </c>
      <c r="AC128" s="116">
        <f>IFERROR(AB128/AB148, "NA")</f>
        <v>-1.9275406031909299E-3</v>
      </c>
      <c r="AD128" s="118">
        <f t="shared" si="43"/>
        <v>1045.5174999999999</v>
      </c>
      <c r="AE128" s="119">
        <f>IFERROR(AD128/AD148, "NA")</f>
        <v>-0.26158291920900967</v>
      </c>
      <c r="AF128" s="118">
        <f t="shared" si="44"/>
        <v>-11.406786133158759</v>
      </c>
      <c r="AG128" s="117">
        <f t="shared" si="45"/>
        <v>424.11749999999995</v>
      </c>
      <c r="AH128" s="116">
        <f>IFERROR(AG128/AG148, "NA")</f>
        <v>9.3082431917967928E-3</v>
      </c>
      <c r="AI128" s="118">
        <f t="shared" si="46"/>
        <v>529.74249999999995</v>
      </c>
      <c r="AJ128" s="119">
        <f>IFERROR(AI128/AI148, "NA")</f>
        <v>-0.26368384866896272</v>
      </c>
      <c r="AK128" s="118">
        <f t="shared" si="47"/>
        <v>1.2490465496000518</v>
      </c>
      <c r="AL128" s="119">
        <f>IFERROR(AK128/AK148, "NA")</f>
        <v>-28.327993074068278</v>
      </c>
    </row>
    <row r="129" spans="1:38" ht="16.5" hidden="1" customHeight="1" x14ac:dyDescent="0.25">
      <c r="A129" s="2" t="s">
        <v>124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125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126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127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128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129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130</v>
      </c>
      <c r="B135" s="121">
        <f>IFERROR(B110+B111+B112+B113+B114+B115+B116+B117+B118+B119+B120+B121+B122+B123+B124+B125+B126+B127+B128+B129+B130+B131+B132+B133+B134, "NA")</f>
        <v>674.71</v>
      </c>
      <c r="C135" s="122">
        <f>IFERROR(B135/B148, "NA")</f>
        <v>1.6265750507287655E-2</v>
      </c>
      <c r="D135" s="121">
        <f>IFERROR(D110+D111+D112+D113+D114+D115+D116+D117+D118+D119+D120+D121+D122+D123+D124+D125+D126+D127+D128+D129+D130+D131+D132+D133+D134, "NA")</f>
        <v>466.58999999999992</v>
      </c>
      <c r="E135" s="122">
        <f>IFERROR(D135/D148, "NA")</f>
        <v>9.3578541374895966E-3</v>
      </c>
      <c r="F135" s="121">
        <f>IFERROR(F110+F111+F112+F113+F114+F115+F116+F117+F118+F119+F120+F121+F122+F123+F124+F125+F126+F127+F128+F129+F130+F131+F132+F133+F134, "NA")</f>
        <v>716.08999999999992</v>
      </c>
      <c r="G135" s="122">
        <f>IFERROR(F135/F148, "NA")</f>
        <v>1.3995306298425294E-2</v>
      </c>
      <c r="H135" s="121">
        <f>IFERROR(H110+H111+H112+H113+H114+H115+H116+H117+H118+H119+H120+H121+H122+H123+H124+H125+H126+H127+H128+H129+H130+H131+H132+H133+H134, "NA")</f>
        <v>-1857.39</v>
      </c>
      <c r="I135" s="122">
        <f>IFERROR(H135/H148, "NA")</f>
        <v>-3.9205401399488811E-2</v>
      </c>
      <c r="J135" s="121">
        <f>IFERROR(J110+J111+J112+J113+J114+J115+J116+J117+J118+J119+J120+J121+J122+J123+J124+J125+J126+J127+J128+J129+J130+J131+J132+J133+J134, "NA")</f>
        <v>787.88000000000011</v>
      </c>
      <c r="K135" s="122">
        <f>IFERROR(J135/J148, "NA")</f>
        <v>1.7869592887726032E-2</v>
      </c>
      <c r="L135" s="121">
        <f>IFERROR(L110+L111+L112+L113+L114+L115+L116+L117+L118+L119+L120+L121+L122+L123+L124+L125+L126+L127+L128+L129+L130+L131+L132+L133+L134, "NA")</f>
        <v>906.13</v>
      </c>
      <c r="M135" s="122">
        <f>IFERROR(L135/L148, "NA")</f>
        <v>1.8279422824294185E-2</v>
      </c>
      <c r="N135" s="121">
        <f>IFERROR(N110+N111+N112+N113+N114+N115+N116+N117+N118+N119+N120+N121+N122+N123+N124+N125+N126+N127+N128+N129+N130+N131+N132+N133+N134, "NA")</f>
        <v>1114.6500000000001</v>
      </c>
      <c r="O135" s="122">
        <f>IFERROR(N135/N148, "NA")</f>
        <v>2.6841010627320881E-2</v>
      </c>
      <c r="P135" s="121">
        <f>IFERROR(P110+P111+P112+P113+P114+P115+P116+P117+P118+P119+P120+P121+P122+P123+P124+P125+P126+P127+P128+P129+P130+P131+P132+P133+P134, "NA")</f>
        <v>950.91</v>
      </c>
      <c r="Q135" s="122">
        <f>IFERROR(P135/P148, "NA")</f>
        <v>2.4311486462129165E-2</v>
      </c>
      <c r="R135" s="121">
        <f>IFERROR(R110+R111+R112+R113+R114+R115+R116+R117+R118+R119+R120+R121+R122+R123+R124+R125+R126+R127+R128+R129+R130+R131+R132+R133+R134, "NA")</f>
        <v>-3759.57</v>
      </c>
      <c r="S135" s="122">
        <f>IFERROR(R135/R148, "NA")</f>
        <v>-8.6152969718579858E-2</v>
      </c>
      <c r="T135" s="121">
        <f>IFERROR(T110+T111+T112+T113+T114+T115+T116+T117+T118+T119+T120+T121+T122+T123+T124+T125+T126+T127+T128+T129+T130+T131+T132+T133+T134, "NA")</f>
        <v>1279.5999999999999</v>
      </c>
      <c r="U135" s="122">
        <f>IFERROR(T135/T148, "NA")</f>
        <v>2.6730818402568298E-2</v>
      </c>
      <c r="V135" s="121">
        <f>IFERROR(V110+V111+V112+V113+V114+V115+V116+V117+V118+V119+V120+V121+V122+V123+V124+V125+V126+V127+V128+V129+V130+V131+V132+V133+V134, "NA")</f>
        <v>1159.48</v>
      </c>
      <c r="W135" s="122">
        <f>IFERROR(V135/V148, "NA")</f>
        <v>2.1026662885005837E-2</v>
      </c>
      <c r="X135" s="121">
        <f>IFERROR(X110+X111+X112+X113+X114+X115+X116+X117+X118+X119+X120+X121+X122+X123+X124+X125+X126+X127+X128+X129+X130+X131+X132+X133+X134, "NA")</f>
        <v>953.8599999999999</v>
      </c>
      <c r="Y135" s="122">
        <f>IFERROR(X135/X148, "NA")</f>
        <v>2.1900307292173692E-2</v>
      </c>
      <c r="Z135" s="121">
        <f>IFERROR(Z110+Z111+Z112+Z113+Z114+Z115+Z116+Z117+Z118+Z119+Z120+Z121+Z122+Z123+Z124+Z125+Z126+Z127+Z128+Z129+Z130+Z131+Z132+Z133+Z134, "NA")</f>
        <v>3392.94</v>
      </c>
      <c r="AA135" s="122">
        <f>IFERROR(Z135/Z148, "NA")</f>
        <v>2.3149286541791582E-2</v>
      </c>
      <c r="AB135" s="121">
        <f t="shared" si="42"/>
        <v>-91.657500000000084</v>
      </c>
      <c r="AC135" s="122">
        <f>IFERROR(AB135/AB148, "NA")</f>
        <v>-1.9275406031909299E-3</v>
      </c>
      <c r="AD135" s="123">
        <f t="shared" si="43"/>
        <v>1045.5174999999999</v>
      </c>
      <c r="AE135" s="124">
        <f>IFERROR(AD135/AD148, "NA")</f>
        <v>-0.26158291920900967</v>
      </c>
      <c r="AF135" s="123">
        <f t="shared" si="44"/>
        <v>-11.406786133158759</v>
      </c>
      <c r="AG135" s="121">
        <f t="shared" si="45"/>
        <v>424.11749999999995</v>
      </c>
      <c r="AH135" s="122">
        <f>IFERROR(AG135/AG148, "NA")</f>
        <v>9.3082431917967928E-3</v>
      </c>
      <c r="AI135" s="123">
        <f t="shared" si="46"/>
        <v>529.74249999999995</v>
      </c>
      <c r="AJ135" s="124">
        <f>IFERROR(AI135/AI148, "NA")</f>
        <v>-0.26368384866896272</v>
      </c>
      <c r="AK135" s="123">
        <f t="shared" si="47"/>
        <v>1.2490465496000518</v>
      </c>
      <c r="AL135" s="124">
        <f>IFERROR(AK135/AK148, "NA")</f>
        <v>-28.327993074068278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131</v>
      </c>
      <c r="B137" s="136">
        <f>IFERROR(B107-B135, "NA")</f>
        <v>13085.319999999996</v>
      </c>
      <c r="C137" s="137">
        <f>IFERROR(B137/B148, "NA")</f>
        <v>0.31545782695976232</v>
      </c>
      <c r="D137" s="136">
        <f>IFERROR(D107-D135, "NA")</f>
        <v>12900.609999999988</v>
      </c>
      <c r="E137" s="137">
        <f>IFERROR(D137/D148, "NA")</f>
        <v>0.25873256320246807</v>
      </c>
      <c r="F137" s="136">
        <f>IFERROR(F107-F135, "NA")</f>
        <v>3933.2900000000127</v>
      </c>
      <c r="G137" s="137">
        <f>IFERROR(F137/F148, "NA")</f>
        <v>7.6872457806327982E-2</v>
      </c>
      <c r="H137" s="136">
        <f>IFERROR(H107-H135, "NA")</f>
        <v>-6882.7299999999914</v>
      </c>
      <c r="I137" s="137">
        <f>IFERROR(H137/H148, "NA")</f>
        <v>-0.1452792318114684</v>
      </c>
      <c r="J137" s="136">
        <f>IFERROR(J107-J135, "NA")</f>
        <v>14027.140000000007</v>
      </c>
      <c r="K137" s="137">
        <f>IFERROR(J137/J148, "NA")</f>
        <v>0.318143982813547</v>
      </c>
      <c r="L137" s="136">
        <f>IFERROR(L107-L135, "NA")</f>
        <v>15015.390000000005</v>
      </c>
      <c r="M137" s="137">
        <f>IFERROR(L137/L148, "NA")</f>
        <v>0.30290649540538195</v>
      </c>
      <c r="N137" s="136">
        <f>IFERROR(N107-N135, "NA")</f>
        <v>9607.5800000000054</v>
      </c>
      <c r="O137" s="137">
        <f>IFERROR(N137/N148, "NA")</f>
        <v>0.23135258321700594</v>
      </c>
      <c r="P137" s="136">
        <f>IFERROR(P107-P135, "NA")</f>
        <v>714.7299999999949</v>
      </c>
      <c r="Q137" s="137">
        <f>IFERROR(P137/P148, "NA")</f>
        <v>1.8273179080120574E-2</v>
      </c>
      <c r="R137" s="136">
        <f>IFERROR(R107-R135, "NA")</f>
        <v>-3667.4999999999977</v>
      </c>
      <c r="S137" s="137">
        <f>IFERROR(R137/R148, "NA")</f>
        <v>-8.4043126326386108E-2</v>
      </c>
      <c r="T137" s="136">
        <f>IFERROR(T107-T135, "NA")</f>
        <v>16985.720000000005</v>
      </c>
      <c r="U137" s="137">
        <f>IFERROR(T137/T148, "NA")</f>
        <v>0.35483135101349839</v>
      </c>
      <c r="V137" s="136">
        <f>IFERROR(V107-V135, "NA")</f>
        <v>17523.46000000001</v>
      </c>
      <c r="W137" s="137">
        <f>IFERROR(V137/V148, "NA")</f>
        <v>0.31778028598930952</v>
      </c>
      <c r="X137" s="136">
        <f>IFERROR(X107-X135, "NA")</f>
        <v>12903.569999999994</v>
      </c>
      <c r="Y137" s="137">
        <f>IFERROR(X137/X148, "NA")</f>
        <v>0.29626166121451114</v>
      </c>
      <c r="Z137" s="136">
        <f>IFERROR(Z107-Z135, "NA")</f>
        <v>47412.750000000022</v>
      </c>
      <c r="AA137" s="137">
        <f>IFERROR(Z137/Z148, "NA")</f>
        <v>0.32348680951750675</v>
      </c>
      <c r="AB137" s="136">
        <f>IFERROR((R137+T137+V137+X137)/4, "NA")</f>
        <v>10936.312500000002</v>
      </c>
      <c r="AC137" s="137">
        <f>IFERROR(AB137/AB148, "NA")</f>
        <v>0.22998866860796432</v>
      </c>
      <c r="AD137" s="123">
        <f>IFERROR(X137-AB137, "NA")</f>
        <v>1967.2574999999924</v>
      </c>
      <c r="AE137" s="124">
        <f>IFERROR(AD137/AD148, "NA")</f>
        <v>-0.49219736607547593</v>
      </c>
      <c r="AF137" s="123">
        <f>IFERROR((X137-AB137)/AB137, "NA")</f>
        <v>0.17988307301935566</v>
      </c>
      <c r="AG137" s="136">
        <f>IFERROR((J137+L137+N137+P137+R137+T137+V137+X137)/8, "NA")</f>
        <v>10388.761250000001</v>
      </c>
      <c r="AH137" s="137">
        <f>IFERROR(AG137/AG148, "NA")</f>
        <v>0.2280054847454181</v>
      </c>
      <c r="AI137" s="123">
        <f>IFERROR(X137-AG137, "NA")</f>
        <v>2514.8087499999929</v>
      </c>
      <c r="AJ137" s="124">
        <f>IFERROR(AI137/AI148, "NA")</f>
        <v>-1.251767509434077</v>
      </c>
      <c r="AK137" s="123">
        <f>IFERROR((X137-AG137)/AG137, "NA")</f>
        <v>0.24207012650329149</v>
      </c>
      <c r="AL137" s="124">
        <f>IFERROR(AK137/AK148, "NA")</f>
        <v>-5.4900763059790041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132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133</v>
      </c>
      <c r="B140" s="115">
        <v>0</v>
      </c>
      <c r="C140" s="116">
        <f>IFERROR(B140/B148, "NA")</f>
        <v>0</v>
      </c>
      <c r="D140" s="115">
        <v>0</v>
      </c>
      <c r="E140" s="116">
        <f>IFERROR(D140/D148, "NA")</f>
        <v>0</v>
      </c>
      <c r="F140" s="115">
        <v>-10</v>
      </c>
      <c r="G140" s="116">
        <f>IFERROR(F140/F148, "NA")</f>
        <v>-1.9544060520919571E-4</v>
      </c>
      <c r="H140" s="115">
        <v>5856.3499999999995</v>
      </c>
      <c r="I140" s="116">
        <f>IFERROR(H140/H148, "NA")</f>
        <v>0.1236146164703677</v>
      </c>
      <c r="J140" s="115">
        <v>0</v>
      </c>
      <c r="K140" s="116">
        <f>IFERROR(J140/J148, "NA")</f>
        <v>0</v>
      </c>
      <c r="L140" s="115">
        <v>0</v>
      </c>
      <c r="M140" s="116">
        <f>IFERROR(L140/L148, "NA")</f>
        <v>0</v>
      </c>
      <c r="N140" s="115">
        <v>0</v>
      </c>
      <c r="O140" s="116">
        <f>IFERROR(N140/N148, "NA")</f>
        <v>0</v>
      </c>
      <c r="P140" s="115">
        <v>-118.18</v>
      </c>
      <c r="Q140" s="116">
        <f>IFERROR(P140/P148, "NA")</f>
        <v>-3.0214546803529513E-3</v>
      </c>
      <c r="R140" s="115">
        <v>5851.28</v>
      </c>
      <c r="S140" s="116">
        <f>IFERROR(R140/R148, "NA")</f>
        <v>0.13408585254561875</v>
      </c>
      <c r="T140" s="115">
        <v>0</v>
      </c>
      <c r="U140" s="116">
        <f>IFERROR(T140/T148, "NA")</f>
        <v>0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1462.82</v>
      </c>
      <c r="AC140" s="116">
        <f>IFERROR(AB140/AB148, "NA")</f>
        <v>3.0762839322038604E-2</v>
      </c>
      <c r="AD140" s="118">
        <f>IFERROR(X140-AB140, "NA")</f>
        <v>-1462.82</v>
      </c>
      <c r="AE140" s="119">
        <f>IFERROR(AD140/AD148, "NA")</f>
        <v>0.36598978580207747</v>
      </c>
      <c r="AF140" s="118">
        <f>IFERROR((X140-AB140)/AB140, "NA")</f>
        <v>-1</v>
      </c>
      <c r="AG140" s="117">
        <f>IFERROR((J140+L140+N140+P140+R140+T140+V140+X140)/8, "NA")</f>
        <v>716.63749999999993</v>
      </c>
      <c r="AH140" s="116">
        <f>IFERROR(AG140/AG148, "NA")</f>
        <v>1.5728273722167264E-2</v>
      </c>
      <c r="AI140" s="118">
        <f>IFERROR(X140-AG140, "NA")</f>
        <v>-716.63749999999993</v>
      </c>
      <c r="AJ140" s="119">
        <f>IFERROR(AI140/AI148, "NA")</f>
        <v>0.35671242934162123</v>
      </c>
      <c r="AK140" s="118">
        <f>IFERROR((X140-AG140)/AG140, "NA")</f>
        <v>-1</v>
      </c>
      <c r="AL140" s="119">
        <f>IFERROR(AK140/AK148, "NA")</f>
        <v>22.679693629624115</v>
      </c>
    </row>
    <row r="141" spans="1:38" ht="16.5" hidden="1" customHeight="1" x14ac:dyDescent="0.25">
      <c r="A141" s="120" t="s">
        <v>134</v>
      </c>
      <c r="B141" s="121">
        <f>IFERROR(B140, "NA")</f>
        <v>0</v>
      </c>
      <c r="C141" s="122">
        <f>IFERROR(B141/B148, "NA")</f>
        <v>0</v>
      </c>
      <c r="D141" s="121">
        <f>IFERROR(D140, "NA")</f>
        <v>0</v>
      </c>
      <c r="E141" s="122">
        <f>IFERROR(D141/D148, "NA")</f>
        <v>0</v>
      </c>
      <c r="F141" s="121">
        <f>IFERROR(F140, "NA")</f>
        <v>-10</v>
      </c>
      <c r="G141" s="122">
        <f>IFERROR(F141/F148, "NA")</f>
        <v>-1.9544060520919571E-4</v>
      </c>
      <c r="H141" s="121">
        <f>IFERROR(H140, "NA")</f>
        <v>5856.3499999999995</v>
      </c>
      <c r="I141" s="122">
        <f>IFERROR(H141/H148, "NA")</f>
        <v>0.1236146164703677</v>
      </c>
      <c r="J141" s="121">
        <f>IFERROR(J140, "NA")</f>
        <v>0</v>
      </c>
      <c r="K141" s="122">
        <f>IFERROR(J141/J148, "NA")</f>
        <v>0</v>
      </c>
      <c r="L141" s="121">
        <f>IFERROR(L140, "NA")</f>
        <v>0</v>
      </c>
      <c r="M141" s="122">
        <f>IFERROR(L141/L148, "NA")</f>
        <v>0</v>
      </c>
      <c r="N141" s="121">
        <f>IFERROR(N140, "NA")</f>
        <v>0</v>
      </c>
      <c r="O141" s="122">
        <f>IFERROR(N141/N148, "NA")</f>
        <v>0</v>
      </c>
      <c r="P141" s="121">
        <f>IFERROR(P140, "NA")</f>
        <v>-118.18</v>
      </c>
      <c r="Q141" s="122">
        <f>IFERROR(P141/P148, "NA")</f>
        <v>-3.0214546803529513E-3</v>
      </c>
      <c r="R141" s="121">
        <f>IFERROR(R140, "NA")</f>
        <v>5851.28</v>
      </c>
      <c r="S141" s="122">
        <f>IFERROR(R141/R148, "NA")</f>
        <v>0.13408585254561875</v>
      </c>
      <c r="T141" s="121">
        <f>IFERROR(T140, "NA")</f>
        <v>0</v>
      </c>
      <c r="U141" s="122">
        <f>IFERROR(T141/T148, "NA")</f>
        <v>0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1462.82</v>
      </c>
      <c r="AC141" s="122">
        <f>IFERROR(AB141/AB148, "NA")</f>
        <v>3.0762839322038604E-2</v>
      </c>
      <c r="AD141" s="123">
        <f>IFERROR(X141-AB141, "NA")</f>
        <v>-1462.82</v>
      </c>
      <c r="AE141" s="124">
        <f>IFERROR(AD141/AD148, "NA")</f>
        <v>0.36598978580207747</v>
      </c>
      <c r="AF141" s="123">
        <f>IFERROR((X141-AB141)/AB141, "NA")</f>
        <v>-1</v>
      </c>
      <c r="AG141" s="121">
        <f>IFERROR((J141+L141+N141+P141+R141+T141+V141+X141)/8, "NA")</f>
        <v>716.63749999999993</v>
      </c>
      <c r="AH141" s="122">
        <f>IFERROR(AG141/AG148, "NA")</f>
        <v>1.5728273722167264E-2</v>
      </c>
      <c r="AI141" s="123">
        <f>IFERROR(X141-AG141, "NA")</f>
        <v>-716.63749999999993</v>
      </c>
      <c r="AJ141" s="124">
        <f>IFERROR(AI141/AI148, "NA")</f>
        <v>0.35671242934162123</v>
      </c>
      <c r="AK141" s="123">
        <f>IFERROR((X141-AG141)/AG141, "NA")</f>
        <v>-1</v>
      </c>
      <c r="AL141" s="124">
        <f>IFERROR(AK141/AK148, "NA")</f>
        <v>22.679693629624115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135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136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137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138</v>
      </c>
      <c r="B147" s="136">
        <f>IFERROR(B137-B141-B145, "NA")</f>
        <v>13085.319999999996</v>
      </c>
      <c r="C147" s="137">
        <f>IFERROR(B147/B148, "NA")</f>
        <v>0.31545782695976232</v>
      </c>
      <c r="D147" s="136">
        <f>IFERROR(D137-D141-D145, "NA")</f>
        <v>12900.609999999988</v>
      </c>
      <c r="E147" s="137">
        <f>IFERROR(D147/D148, "NA")</f>
        <v>0.25873256320246807</v>
      </c>
      <c r="F147" s="136">
        <f>IFERROR(F137-F141-F145, "NA")</f>
        <v>3943.2900000000127</v>
      </c>
      <c r="G147" s="137">
        <f>IFERROR(F147/F148, "NA")</f>
        <v>7.7067898411537175E-2</v>
      </c>
      <c r="H147" s="136">
        <f>IFERROR(H137-H141-H145, "NA")</f>
        <v>-12739.079999999991</v>
      </c>
      <c r="I147" s="137">
        <f>IFERROR(H147/H148, "NA")</f>
        <v>-0.2688938482818361</v>
      </c>
      <c r="J147" s="136">
        <f>IFERROR(J137-J141-J145, "NA")</f>
        <v>14027.140000000007</v>
      </c>
      <c r="K147" s="137">
        <f>IFERROR(J147/J148, "NA")</f>
        <v>0.318143982813547</v>
      </c>
      <c r="L147" s="136">
        <f>IFERROR(L137-L141-L145, "NA")</f>
        <v>15015.390000000005</v>
      </c>
      <c r="M147" s="137">
        <f>IFERROR(L147/L148, "NA")</f>
        <v>0.30290649540538195</v>
      </c>
      <c r="N147" s="136">
        <f>IFERROR(N137-N141-N145, "NA")</f>
        <v>9607.5800000000054</v>
      </c>
      <c r="O147" s="137">
        <f>IFERROR(N147/N148, "NA")</f>
        <v>0.23135258321700594</v>
      </c>
      <c r="P147" s="136">
        <f>IFERROR(P137-P141-P145, "NA")</f>
        <v>832.90999999999485</v>
      </c>
      <c r="Q147" s="137">
        <f>IFERROR(P147/P148, "NA")</f>
        <v>2.1294633760473525E-2</v>
      </c>
      <c r="R147" s="136">
        <f>IFERROR(R137-R141-R145, "NA")</f>
        <v>-9518.779999999997</v>
      </c>
      <c r="S147" s="137">
        <f>IFERROR(R147/R148, "NA")</f>
        <v>-0.21812897887200483</v>
      </c>
      <c r="T147" s="136">
        <f>IFERROR(T137-T141-T145, "NA")</f>
        <v>16985.720000000005</v>
      </c>
      <c r="U147" s="137">
        <f>IFERROR(T147/T148, "NA")</f>
        <v>0.35483135101349839</v>
      </c>
      <c r="V147" s="136">
        <f>IFERROR(V137-V141-V145, "NA")</f>
        <v>17523.46000000001</v>
      </c>
      <c r="W147" s="137">
        <f>IFERROR(V147/V148, "NA")</f>
        <v>0.31778028598930952</v>
      </c>
      <c r="X147" s="136">
        <f>IFERROR(X137-X141-X145, "NA")</f>
        <v>12903.569999999994</v>
      </c>
      <c r="Y147" s="137">
        <f>IFERROR(X147/X148, "NA")</f>
        <v>0.29626166121451114</v>
      </c>
      <c r="Z147" s="136">
        <f>IFERROR(Z137-Z141-Z145, "NA")</f>
        <v>47412.750000000022</v>
      </c>
      <c r="AA147" s="137">
        <f>IFERROR(Z147/Z148, "NA")</f>
        <v>0.32348680951750675</v>
      </c>
      <c r="AB147" s="136">
        <f>IFERROR((R147+T147+V147+X147)/4, "NA")</f>
        <v>9473.4925000000021</v>
      </c>
      <c r="AC147" s="137">
        <f>IFERROR(AB147/AB148, "NA")</f>
        <v>0.19922582928592572</v>
      </c>
      <c r="AD147" s="123">
        <f>IFERROR(X147-AB147, "NA")</f>
        <v>3430.0774999999921</v>
      </c>
      <c r="AE147" s="124">
        <f>IFERROR(AD147/AD148, "NA")</f>
        <v>-0.85818715187755334</v>
      </c>
      <c r="AF147" s="123">
        <f>IFERROR((X147-AB147)/AB147, "NA")</f>
        <v>0.3620710630213716</v>
      </c>
      <c r="AG147" s="136">
        <f>IFERROR((J147+L147+N147+P147+R147+T147+V147+X147)/8, "NA")</f>
        <v>9672.1237500000025</v>
      </c>
      <c r="AH147" s="137">
        <f>IFERROR(AG147/AG148, "NA")</f>
        <v>0.21227721102325087</v>
      </c>
      <c r="AI147" s="123">
        <f>IFERROR(X147-AG147, "NA")</f>
        <v>3231.4462499999918</v>
      </c>
      <c r="AJ147" s="124">
        <f>IFERROR(AI147/AI148, "NA")</f>
        <v>-1.6084799387756978</v>
      </c>
      <c r="AK147" s="123">
        <f>IFERROR((X147-AG147)/AG147, "NA")</f>
        <v>0.33409893561380366</v>
      </c>
      <c r="AL147" s="124">
        <f>IFERROR(AK147/AK148, "NA")</f>
        <v>-7.577261501704581</v>
      </c>
    </row>
    <row r="148" spans="1:38" ht="15.75" hidden="1" x14ac:dyDescent="0.25">
      <c r="A148" s="10" t="s">
        <v>15</v>
      </c>
      <c r="B148" s="115">
        <v>41480.410000000003</v>
      </c>
      <c r="C148" s="141"/>
      <c r="D148" s="115">
        <v>49860.79</v>
      </c>
      <c r="E148" s="141"/>
      <c r="F148" s="115">
        <v>51166.44</v>
      </c>
      <c r="G148" s="141"/>
      <c r="H148" s="115">
        <v>47375.87</v>
      </c>
      <c r="I148" s="141"/>
      <c r="J148" s="115">
        <v>44090.54</v>
      </c>
      <c r="K148" s="141"/>
      <c r="L148" s="115">
        <v>49571.040000000001</v>
      </c>
      <c r="M148" s="141"/>
      <c r="N148" s="115">
        <v>41527.870000000003</v>
      </c>
      <c r="O148" s="141"/>
      <c r="P148" s="115">
        <v>39113.61</v>
      </c>
      <c r="Q148" s="141"/>
      <c r="R148" s="115">
        <v>43638.31</v>
      </c>
      <c r="S148" s="141"/>
      <c r="T148" s="115">
        <v>47869.84</v>
      </c>
      <c r="U148" s="141"/>
      <c r="V148" s="115">
        <v>55143.32</v>
      </c>
      <c r="W148" s="141"/>
      <c r="X148" s="115">
        <v>43554.64</v>
      </c>
      <c r="Y148" s="141"/>
      <c r="Z148" s="115">
        <v>146567.79999999999</v>
      </c>
      <c r="AA148" s="141"/>
      <c r="AB148" s="117">
        <f>IFERROR((R148+T148+V148+X148)/4, "NA")</f>
        <v>47551.527499999997</v>
      </c>
      <c r="AC148" s="141"/>
      <c r="AD148" s="118">
        <f>IFERROR(X148-AB148, "NA")</f>
        <v>-3996.8874999999971</v>
      </c>
      <c r="AE148" s="142"/>
      <c r="AF148" s="118">
        <f>IFERROR((X148-AB148)/AB148, "NA")</f>
        <v>-8.4053819301598623E-2</v>
      </c>
      <c r="AG148" s="117">
        <f>IFERROR((J148+L148+N148+P148+R148+T148+V148+X148)/8, "NA")</f>
        <v>45563.646249999998</v>
      </c>
      <c r="AH148" s="141"/>
      <c r="AI148" s="118">
        <f>IFERROR(X148-AG148, "NA")</f>
        <v>-2009.0062499999985</v>
      </c>
      <c r="AJ148" s="142"/>
      <c r="AK148" s="118">
        <f>IFERROR((X148-AG148)/AG148, "NA")</f>
        <v>-4.4092306374624232E-2</v>
      </c>
      <c r="AL148" s="142"/>
    </row>
    <row r="151" spans="1:38" ht="15.75" x14ac:dyDescent="0.25">
      <c r="A151" s="11" t="s">
        <v>139</v>
      </c>
    </row>
    <row r="152" spans="1:38" ht="15.75" x14ac:dyDescent="0.25">
      <c r="A152" s="11" t="s">
        <v>140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activeCell="D11" sqref="D11"/>
      <selection pane="topRight" activeCell="D11" sqref="D11"/>
      <selection pane="bottomLeft" activeCell="D11" sqref="D11"/>
      <selection pane="bottomRight" activeCell="B6" sqref="B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242</v>
      </c>
      <c r="B1" s="151" t="s">
        <v>242</v>
      </c>
      <c r="C1" s="151" t="s">
        <v>242</v>
      </c>
      <c r="D1" s="151" t="s">
        <v>242</v>
      </c>
      <c r="E1" s="151" t="s">
        <v>242</v>
      </c>
      <c r="F1" s="151" t="s">
        <v>242</v>
      </c>
      <c r="G1" s="151" t="s">
        <v>242</v>
      </c>
      <c r="H1" s="151" t="s">
        <v>242</v>
      </c>
      <c r="I1" s="151" t="s">
        <v>242</v>
      </c>
      <c r="J1" s="151" t="s">
        <v>242</v>
      </c>
      <c r="K1" s="151" t="s">
        <v>242</v>
      </c>
      <c r="L1" s="151" t="s">
        <v>242</v>
      </c>
      <c r="M1" s="151" t="s">
        <v>242</v>
      </c>
      <c r="N1" s="151" t="s">
        <v>242</v>
      </c>
      <c r="O1" s="151" t="s">
        <v>242</v>
      </c>
      <c r="P1" s="151" t="s">
        <v>242</v>
      </c>
      <c r="Q1" s="151" t="s">
        <v>242</v>
      </c>
      <c r="R1" s="151" t="s">
        <v>242</v>
      </c>
      <c r="S1" s="151" t="s">
        <v>242</v>
      </c>
      <c r="T1" s="151" t="s">
        <v>242</v>
      </c>
      <c r="U1" s="151" t="s">
        <v>242</v>
      </c>
      <c r="V1" s="151" t="s">
        <v>242</v>
      </c>
      <c r="W1" s="151" t="s">
        <v>242</v>
      </c>
      <c r="X1" s="151" t="s">
        <v>242</v>
      </c>
      <c r="Y1" s="151" t="s">
        <v>242</v>
      </c>
      <c r="Z1" s="151" t="s">
        <v>242</v>
      </c>
      <c r="AA1" s="151" t="s">
        <v>242</v>
      </c>
      <c r="AB1" s="151" t="s">
        <v>242</v>
      </c>
      <c r="AC1" s="151" t="s">
        <v>242</v>
      </c>
      <c r="AD1" s="151" t="s">
        <v>242</v>
      </c>
      <c r="AE1" s="151" t="s">
        <v>242</v>
      </c>
      <c r="AF1" s="151" t="s">
        <v>242</v>
      </c>
      <c r="AG1" s="151" t="s">
        <v>242</v>
      </c>
      <c r="AH1" s="151" t="s">
        <v>242</v>
      </c>
      <c r="AI1" s="151" t="s">
        <v>242</v>
      </c>
      <c r="AJ1" s="151" t="s">
        <v>242</v>
      </c>
      <c r="AK1" s="151" t="s">
        <v>242</v>
      </c>
      <c r="AL1" s="151" t="s">
        <v>242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142</v>
      </c>
      <c r="B3" s="153" t="s">
        <v>142</v>
      </c>
      <c r="C3" s="153" t="s">
        <v>142</v>
      </c>
      <c r="D3" s="153" t="s">
        <v>142</v>
      </c>
      <c r="E3" s="153" t="s">
        <v>142</v>
      </c>
      <c r="F3" s="153" t="s">
        <v>142</v>
      </c>
      <c r="G3" s="153" t="s">
        <v>142</v>
      </c>
      <c r="H3" s="153" t="s">
        <v>142</v>
      </c>
      <c r="I3" s="153" t="s">
        <v>142</v>
      </c>
      <c r="J3" s="153" t="s">
        <v>142</v>
      </c>
      <c r="K3" s="153" t="s">
        <v>142</v>
      </c>
      <c r="L3" s="153" t="s">
        <v>142</v>
      </c>
      <c r="M3" s="153" t="s">
        <v>142</v>
      </c>
      <c r="N3" s="153" t="s">
        <v>142</v>
      </c>
      <c r="O3" s="153" t="s">
        <v>142</v>
      </c>
      <c r="P3" s="153" t="s">
        <v>142</v>
      </c>
      <c r="Q3" s="153" t="s">
        <v>142</v>
      </c>
      <c r="R3" s="153" t="s">
        <v>142</v>
      </c>
      <c r="S3" s="153" t="s">
        <v>142</v>
      </c>
      <c r="T3" s="153" t="s">
        <v>142</v>
      </c>
      <c r="U3" s="153" t="s">
        <v>142</v>
      </c>
      <c r="V3" s="153" t="s">
        <v>142</v>
      </c>
      <c r="W3" s="153" t="s">
        <v>142</v>
      </c>
      <c r="X3" s="153" t="s">
        <v>142</v>
      </c>
      <c r="Y3" s="153" t="s">
        <v>142</v>
      </c>
      <c r="Z3" s="153" t="s">
        <v>142</v>
      </c>
      <c r="AA3" s="153" t="s">
        <v>142</v>
      </c>
      <c r="AB3" s="153" t="s">
        <v>142</v>
      </c>
      <c r="AC3" s="153" t="s">
        <v>142</v>
      </c>
      <c r="AD3" s="153" t="s">
        <v>142</v>
      </c>
      <c r="AE3" s="153" t="s">
        <v>142</v>
      </c>
      <c r="AF3" s="153" t="s">
        <v>142</v>
      </c>
      <c r="AG3" s="153" t="s">
        <v>142</v>
      </c>
      <c r="AH3" s="153" t="s">
        <v>142</v>
      </c>
      <c r="AI3" s="153" t="s">
        <v>142</v>
      </c>
      <c r="AJ3" s="153" t="s">
        <v>142</v>
      </c>
      <c r="AK3" s="153" t="s">
        <v>142</v>
      </c>
      <c r="AL3" s="153" t="s">
        <v>142</v>
      </c>
    </row>
    <row r="5" spans="1:38" ht="15.75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236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243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6</v>
      </c>
      <c r="AA5" s="155" t="s">
        <v>2</v>
      </c>
      <c r="AB5" s="154" t="s">
        <v>7</v>
      </c>
      <c r="AC5" s="155" t="s">
        <v>2</v>
      </c>
      <c r="AD5" s="156" t="s">
        <v>8</v>
      </c>
      <c r="AE5" s="157" t="s">
        <v>2</v>
      </c>
      <c r="AF5" s="143" t="s">
        <v>9</v>
      </c>
      <c r="AG5" s="154" t="s">
        <v>10</v>
      </c>
      <c r="AH5" s="155" t="s">
        <v>2</v>
      </c>
      <c r="AI5" s="156" t="s">
        <v>11</v>
      </c>
      <c r="AJ5" s="157" t="s">
        <v>2</v>
      </c>
      <c r="AK5" s="156" t="s">
        <v>12</v>
      </c>
      <c r="AL5" s="157" t="s">
        <v>2</v>
      </c>
    </row>
    <row r="6" spans="1:38" ht="16.5" customHeight="1" x14ac:dyDescent="0.25">
      <c r="A6" s="1" t="s">
        <v>13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13</v>
      </c>
      <c r="B7" s="115">
        <v>23146.28</v>
      </c>
      <c r="C7" s="116">
        <f>IFERROR(B7/B148, "NA")</f>
        <v>1</v>
      </c>
      <c r="D7" s="115">
        <v>25422.050000000007</v>
      </c>
      <c r="E7" s="116">
        <f>IFERROR(D7/D148, "NA")</f>
        <v>1.0000000000000002</v>
      </c>
      <c r="F7" s="115">
        <v>24506.450000000004</v>
      </c>
      <c r="G7" s="116">
        <f>IFERROR(F7/F148, "NA")</f>
        <v>1.0000000000000002</v>
      </c>
      <c r="H7" s="115">
        <v>25844.799999999996</v>
      </c>
      <c r="I7" s="116">
        <f>IFERROR(H7/H148, "NA")</f>
        <v>0.99999999999999989</v>
      </c>
      <c r="J7" s="115">
        <v>28469.190000000002</v>
      </c>
      <c r="K7" s="116">
        <f>IFERROR(J7/J148, "NA")</f>
        <v>1.0000000000000002</v>
      </c>
      <c r="L7" s="115">
        <v>24574.080000000002</v>
      </c>
      <c r="M7" s="116">
        <f>IFERROR(L7/L148, "NA")</f>
        <v>1</v>
      </c>
      <c r="N7" s="115">
        <v>21459.17</v>
      </c>
      <c r="O7" s="116">
        <f>IFERROR(N7/N148, "NA")</f>
        <v>1</v>
      </c>
      <c r="P7" s="115">
        <v>48009.27</v>
      </c>
      <c r="Q7" s="116">
        <f>IFERROR(P7/P148, "NA")</f>
        <v>1</v>
      </c>
      <c r="R7" s="115">
        <v>27262.400000000001</v>
      </c>
      <c r="S7" s="116">
        <f>IFERROR(R7/R148, "NA")</f>
        <v>1</v>
      </c>
      <c r="T7" s="115">
        <v>30731.63</v>
      </c>
      <c r="U7" s="116">
        <f>IFERROR(T7/T148, "NA")</f>
        <v>1</v>
      </c>
      <c r="V7" s="115">
        <v>26888.239999999998</v>
      </c>
      <c r="W7" s="116">
        <f>IFERROR(V7/V148, "NA")</f>
        <v>0.99999999999999989</v>
      </c>
      <c r="X7" s="115">
        <v>24496.26</v>
      </c>
      <c r="Y7" s="116">
        <f>IFERROR(X7/X148, "NA")</f>
        <v>1</v>
      </c>
      <c r="Z7" s="115">
        <v>82116.129999999976</v>
      </c>
      <c r="AA7" s="116">
        <f>IFERROR(Z7/Z148, "NA")</f>
        <v>0.99999999999999967</v>
      </c>
      <c r="AB7" s="117">
        <f>IFERROR((R7+T7+V7+X7)/4, "NA")</f>
        <v>27344.632499999996</v>
      </c>
      <c r="AC7" s="116">
        <f>IFERROR(AB7/AB148, "NA")</f>
        <v>0.99999999999999989</v>
      </c>
      <c r="AD7" s="118">
        <f>IFERROR(X7-AB7, "NA")</f>
        <v>-2848.3724999999977</v>
      </c>
      <c r="AE7" s="119">
        <f>IFERROR(AD7/AD148, "NA")</f>
        <v>0.99999999999999867</v>
      </c>
      <c r="AF7" s="118">
        <f>IFERROR((X7-AB7)/AB7, "NA")</f>
        <v>-0.10416568955534503</v>
      </c>
      <c r="AG7" s="117">
        <f>IFERROR((J7+L7+N7+P7+R7+T7+V7+X7)/8, "NA")</f>
        <v>28986.28</v>
      </c>
      <c r="AH7" s="116">
        <f>IFERROR(AG7/AG148, "NA")</f>
        <v>1</v>
      </c>
      <c r="AI7" s="118">
        <f>IFERROR(X7-AG7, "NA")</f>
        <v>-4490.0200000000004</v>
      </c>
      <c r="AJ7" s="119">
        <f>IFERROR(AI7/AI148, "NA")</f>
        <v>1</v>
      </c>
      <c r="AK7" s="118">
        <f>IFERROR((X7-AG7)/AG7, "NA")</f>
        <v>-0.15490156032440178</v>
      </c>
      <c r="AL7" s="119">
        <f>IFERROR(AK7/AK148, "NA")</f>
        <v>1</v>
      </c>
    </row>
    <row r="8" spans="1:38" ht="30.75" hidden="1" customHeight="1" x14ac:dyDescent="0.25">
      <c r="A8" s="2" t="s">
        <v>14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15</v>
      </c>
      <c r="B9" s="121">
        <f>IFERROR(B7+B8, "NA")</f>
        <v>23146.28</v>
      </c>
      <c r="C9" s="122">
        <f>IFERROR(B9/B148, "NA")</f>
        <v>1</v>
      </c>
      <c r="D9" s="121">
        <f>IFERROR(D7+D8, "NA")</f>
        <v>25422.050000000007</v>
      </c>
      <c r="E9" s="122">
        <f>IFERROR(D9/D148, "NA")</f>
        <v>1.0000000000000002</v>
      </c>
      <c r="F9" s="121">
        <f>IFERROR(F7+F8, "NA")</f>
        <v>24506.450000000004</v>
      </c>
      <c r="G9" s="122">
        <f>IFERROR(F9/F148, "NA")</f>
        <v>1.0000000000000002</v>
      </c>
      <c r="H9" s="121">
        <f>IFERROR(H7+H8, "NA")</f>
        <v>25844.799999999996</v>
      </c>
      <c r="I9" s="122">
        <f>IFERROR(H9/H148, "NA")</f>
        <v>0.99999999999999989</v>
      </c>
      <c r="J9" s="121">
        <f>IFERROR(J7+J8, "NA")</f>
        <v>28469.190000000002</v>
      </c>
      <c r="K9" s="122">
        <f>IFERROR(J9/J148, "NA")</f>
        <v>1.0000000000000002</v>
      </c>
      <c r="L9" s="121">
        <f>IFERROR(L7+L8, "NA")</f>
        <v>24574.080000000002</v>
      </c>
      <c r="M9" s="122">
        <f>IFERROR(L9/L148, "NA")</f>
        <v>1</v>
      </c>
      <c r="N9" s="121">
        <f>IFERROR(N7+N8, "NA")</f>
        <v>21459.17</v>
      </c>
      <c r="O9" s="122">
        <f>IFERROR(N9/N148, "NA")</f>
        <v>1</v>
      </c>
      <c r="P9" s="121">
        <f>IFERROR(P7+P8, "NA")</f>
        <v>48009.27</v>
      </c>
      <c r="Q9" s="122">
        <f>IFERROR(P9/P148, "NA")</f>
        <v>1</v>
      </c>
      <c r="R9" s="121">
        <f>IFERROR(R7+R8, "NA")</f>
        <v>27262.400000000001</v>
      </c>
      <c r="S9" s="122">
        <f>IFERROR(R9/R148, "NA")</f>
        <v>1</v>
      </c>
      <c r="T9" s="121">
        <f>IFERROR(T7+T8, "NA")</f>
        <v>30731.63</v>
      </c>
      <c r="U9" s="122">
        <f>IFERROR(T9/T148, "NA")</f>
        <v>1</v>
      </c>
      <c r="V9" s="121">
        <f>IFERROR(V7+V8, "NA")</f>
        <v>26888.239999999998</v>
      </c>
      <c r="W9" s="122">
        <f>IFERROR(V9/V148, "NA")</f>
        <v>0.99999999999999989</v>
      </c>
      <c r="X9" s="121">
        <f>IFERROR(X7+X8, "NA")</f>
        <v>24496.26</v>
      </c>
      <c r="Y9" s="122">
        <f>IFERROR(X9/X148, "NA")</f>
        <v>1</v>
      </c>
      <c r="Z9" s="121">
        <f>IFERROR(Z7+Z8, "NA")</f>
        <v>82116.129999999976</v>
      </c>
      <c r="AA9" s="122">
        <f>IFERROR(Z9/Z148, "NA")</f>
        <v>0.99999999999999967</v>
      </c>
      <c r="AB9" s="121">
        <f>IFERROR((R9+T9+V9+X9)/4, "NA")</f>
        <v>27344.632499999996</v>
      </c>
      <c r="AC9" s="122">
        <f>IFERROR(AB9/AB148, "NA")</f>
        <v>0.99999999999999989</v>
      </c>
      <c r="AD9" s="123">
        <f>IFERROR(X9-AB9, "NA")</f>
        <v>-2848.3724999999977</v>
      </c>
      <c r="AE9" s="124">
        <f>IFERROR(AD9/AD148, "NA")</f>
        <v>0.99999999999999867</v>
      </c>
      <c r="AF9" s="123">
        <f>IFERROR((X9-AB9)/AB9, "NA")</f>
        <v>-0.10416568955534503</v>
      </c>
      <c r="AG9" s="121">
        <f>IFERROR((J9+L9+N9+P9+R9+T9+V9+X9)/8, "NA")</f>
        <v>28986.28</v>
      </c>
      <c r="AH9" s="122">
        <f>IFERROR(AG9/AG148, "NA")</f>
        <v>1</v>
      </c>
      <c r="AI9" s="123">
        <f>IFERROR(X9-AG9, "NA")</f>
        <v>-4490.0200000000004</v>
      </c>
      <c r="AJ9" s="124">
        <f>IFERROR(AI9/AI148, "NA")</f>
        <v>1</v>
      </c>
      <c r="AK9" s="123">
        <f>IFERROR((X9-AG9)/AG9, "NA")</f>
        <v>-0.15490156032440178</v>
      </c>
      <c r="AL9" s="124">
        <f>IFERROR(AK9/AK148, "NA")</f>
        <v>1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16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17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18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19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20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21</v>
      </c>
      <c r="B16" s="115">
        <v>843.49</v>
      </c>
      <c r="C16" s="116">
        <f>IFERROR(B16/B148, "NA")</f>
        <v>3.6441708991682469E-2</v>
      </c>
      <c r="D16" s="115">
        <v>1074.76</v>
      </c>
      <c r="E16" s="116">
        <f>IFERROR(D16/D148, "NA")</f>
        <v>4.2276685003766419E-2</v>
      </c>
      <c r="F16" s="115">
        <v>1065.3399999999999</v>
      </c>
      <c r="G16" s="116">
        <f>IFERROR(F16/F148, "NA")</f>
        <v>4.3471820683942383E-2</v>
      </c>
      <c r="H16" s="115">
        <v>931.84</v>
      </c>
      <c r="I16" s="116">
        <f>IFERROR(H16/H148, "NA")</f>
        <v>3.605522194019687E-2</v>
      </c>
      <c r="J16" s="115">
        <v>923.91</v>
      </c>
      <c r="K16" s="116">
        <f>IFERROR(J16/J148, "NA")</f>
        <v>3.2452978114235073E-2</v>
      </c>
      <c r="L16" s="115">
        <v>883.45</v>
      </c>
      <c r="M16" s="116">
        <f>IFERROR(L16/L148, "NA")</f>
        <v>3.5950481157382086E-2</v>
      </c>
      <c r="N16" s="115">
        <v>1021.44</v>
      </c>
      <c r="O16" s="116">
        <f>IFERROR(N16/N148, "NA")</f>
        <v>4.7599231470741882E-2</v>
      </c>
      <c r="P16" s="115">
        <v>1429.32</v>
      </c>
      <c r="Q16" s="116">
        <f>IFERROR(P16/P148, "NA")</f>
        <v>2.977175033071738E-2</v>
      </c>
      <c r="R16" s="115">
        <v>848.55</v>
      </c>
      <c r="S16" s="116">
        <f>IFERROR(R16/R148, "NA")</f>
        <v>3.1125286108339686E-2</v>
      </c>
      <c r="T16" s="115">
        <v>1337.8</v>
      </c>
      <c r="U16" s="116">
        <f>IFERROR(T16/T148, "NA")</f>
        <v>4.3531696821808664E-2</v>
      </c>
      <c r="V16" s="115">
        <v>955.86</v>
      </c>
      <c r="W16" s="116">
        <f>IFERROR(V16/V148, "NA")</f>
        <v>3.5549370282324168E-2</v>
      </c>
      <c r="X16" s="115">
        <v>1107.32</v>
      </c>
      <c r="Y16" s="116">
        <f>IFERROR(X16/X148, "NA")</f>
        <v>4.5203635167164295E-2</v>
      </c>
      <c r="Z16" s="115">
        <v>3400.98</v>
      </c>
      <c r="AA16" s="116">
        <f>IFERROR(Z16/Z148, "NA")</f>
        <v>4.1416710699834491E-2</v>
      </c>
      <c r="AB16" s="117">
        <f t="shared" si="0"/>
        <v>1062.3824999999999</v>
      </c>
      <c r="AC16" s="116">
        <f>IFERROR(AB16/AB148, "NA")</f>
        <v>3.8851591806911279E-2</v>
      </c>
      <c r="AD16" s="118">
        <f t="shared" si="1"/>
        <v>44.9375</v>
      </c>
      <c r="AE16" s="119">
        <f>IFERROR(AD16/AD148, "NA")</f>
        <v>-1.5776553101815152E-2</v>
      </c>
      <c r="AF16" s="118">
        <f t="shared" si="2"/>
        <v>4.2298795396196756E-2</v>
      </c>
      <c r="AG16" s="117">
        <f t="shared" si="3"/>
        <v>1063.45625</v>
      </c>
      <c r="AH16" s="116">
        <f>IFERROR(AG16/AG148, "NA")</f>
        <v>3.6688262515921326E-2</v>
      </c>
      <c r="AI16" s="118">
        <f t="shared" si="4"/>
        <v>43.863749999999982</v>
      </c>
      <c r="AJ16" s="119">
        <f>IFERROR(AI16/AI148, "NA")</f>
        <v>-9.7691658389049436E-3</v>
      </c>
      <c r="AK16" s="118">
        <f t="shared" si="5"/>
        <v>4.1246407644884298E-2</v>
      </c>
      <c r="AL16" s="119">
        <f>IFERROR(AK16/AK148, "NA")</f>
        <v>-0.26627496558784963</v>
      </c>
    </row>
    <row r="17" spans="1:38" ht="16.5" customHeight="1" x14ac:dyDescent="0.25">
      <c r="A17" s="7" t="s">
        <v>22</v>
      </c>
      <c r="B17" s="115">
        <v>392.89</v>
      </c>
      <c r="C17" s="116">
        <f>IFERROR(B17/B148, "NA")</f>
        <v>1.6974217887280374E-2</v>
      </c>
      <c r="D17" s="115">
        <v>605.05999999999995</v>
      </c>
      <c r="E17" s="116">
        <f>IFERROR(D17/D148, "NA")</f>
        <v>2.3800598299507709E-2</v>
      </c>
      <c r="F17" s="115">
        <v>741.04</v>
      </c>
      <c r="G17" s="116">
        <f>IFERROR(F17/F148, "NA")</f>
        <v>3.0238569845897709E-2</v>
      </c>
      <c r="H17" s="115">
        <v>553.62</v>
      </c>
      <c r="I17" s="116">
        <f>IFERROR(H17/H148, "NA")</f>
        <v>2.1420943477991707E-2</v>
      </c>
      <c r="J17" s="115">
        <v>715.58</v>
      </c>
      <c r="K17" s="116">
        <f>IFERROR(J17/J148, "NA")</f>
        <v>2.5135242695700163E-2</v>
      </c>
      <c r="L17" s="115">
        <v>564.22</v>
      </c>
      <c r="M17" s="116">
        <f>IFERROR(L17/L148, "NA")</f>
        <v>2.2959964320129176E-2</v>
      </c>
      <c r="N17" s="115">
        <v>677.4</v>
      </c>
      <c r="O17" s="116">
        <f>IFERROR(N17/N148, "NA")</f>
        <v>3.1566924536223909E-2</v>
      </c>
      <c r="P17" s="115">
        <v>1162.08</v>
      </c>
      <c r="Q17" s="116">
        <f>IFERROR(P17/P148, "NA")</f>
        <v>2.4205325346542451E-2</v>
      </c>
      <c r="R17" s="115">
        <v>817.37</v>
      </c>
      <c r="S17" s="116">
        <f>IFERROR(R17/R148, "NA")</f>
        <v>2.9981586360701917E-2</v>
      </c>
      <c r="T17" s="115">
        <v>850.03</v>
      </c>
      <c r="U17" s="116">
        <f>IFERROR(T17/T148, "NA")</f>
        <v>2.7659775937690253E-2</v>
      </c>
      <c r="V17" s="115">
        <v>610.26</v>
      </c>
      <c r="W17" s="116">
        <f>IFERROR(V17/V148, "NA")</f>
        <v>2.2696167543877918E-2</v>
      </c>
      <c r="X17" s="115">
        <v>744.89</v>
      </c>
      <c r="Y17" s="116">
        <f>IFERROR(X17/X148, "NA")</f>
        <v>3.0408315391818999E-2</v>
      </c>
      <c r="Z17" s="115">
        <v>2205.1799999999998</v>
      </c>
      <c r="AA17" s="116">
        <f>IFERROR(Z17/Z148, "NA")</f>
        <v>2.6854407288799408E-2</v>
      </c>
      <c r="AB17" s="117">
        <f t="shared" si="0"/>
        <v>755.63749999999993</v>
      </c>
      <c r="AC17" s="116">
        <f>IFERROR(AB17/AB148, "NA")</f>
        <v>2.7633850994340476E-2</v>
      </c>
      <c r="AD17" s="118">
        <f t="shared" si="1"/>
        <v>-10.747499999999945</v>
      </c>
      <c r="AE17" s="119">
        <f>IFERROR(AD17/AD148, "NA")</f>
        <v>3.7732073315551039E-3</v>
      </c>
      <c r="AF17" s="118">
        <f t="shared" si="2"/>
        <v>-1.4223089775189752E-2</v>
      </c>
      <c r="AG17" s="117">
        <f t="shared" si="3"/>
        <v>767.7287500000001</v>
      </c>
      <c r="AH17" s="116">
        <f>IFERROR(AG17/AG148, "NA")</f>
        <v>2.6485935759952645E-2</v>
      </c>
      <c r="AI17" s="118">
        <f t="shared" si="4"/>
        <v>-22.838750000000118</v>
      </c>
      <c r="AJ17" s="119">
        <f>IFERROR(AI17/AI148, "NA")</f>
        <v>5.086558634482723E-3</v>
      </c>
      <c r="AK17" s="118">
        <f t="shared" si="5"/>
        <v>-2.9748462591768401E-2</v>
      </c>
      <c r="AL17" s="119">
        <f>IFERROR(AK17/AK148, "NA")</f>
        <v>0.19204753347524608</v>
      </c>
    </row>
    <row r="18" spans="1:38" ht="16.5" customHeight="1" x14ac:dyDescent="0.25">
      <c r="A18" s="7" t="s">
        <v>23</v>
      </c>
      <c r="B18" s="115">
        <v>756.24</v>
      </c>
      <c r="C18" s="116">
        <f>IFERROR(B18/B148, "NA")</f>
        <v>3.2672204777614372E-2</v>
      </c>
      <c r="D18" s="115">
        <v>711.53</v>
      </c>
      <c r="E18" s="116">
        <f>IFERROR(D18/D148, "NA")</f>
        <v>2.798869485348349E-2</v>
      </c>
      <c r="F18" s="115">
        <v>884.66</v>
      </c>
      <c r="G18" s="116">
        <f>IFERROR(F18/F148, "NA")</f>
        <v>3.6099067796437262E-2</v>
      </c>
      <c r="H18" s="115">
        <v>680.62</v>
      </c>
      <c r="I18" s="116">
        <f>IFERROR(H18/H148, "NA")</f>
        <v>2.6334891351451745E-2</v>
      </c>
      <c r="J18" s="115">
        <v>834.53</v>
      </c>
      <c r="K18" s="116">
        <f>IFERROR(J18/J148, "NA")</f>
        <v>2.9313443761483905E-2</v>
      </c>
      <c r="L18" s="115">
        <v>875.36</v>
      </c>
      <c r="M18" s="116">
        <f>IFERROR(L18/L148, "NA")</f>
        <v>3.5621272495247019E-2</v>
      </c>
      <c r="N18" s="115">
        <v>687.61</v>
      </c>
      <c r="O18" s="116">
        <f>IFERROR(N18/N148, "NA")</f>
        <v>3.2042711810382228E-2</v>
      </c>
      <c r="P18" s="115">
        <v>1193.1500000000001</v>
      </c>
      <c r="Q18" s="116">
        <f>IFERROR(P18/P148, "NA")</f>
        <v>2.4852492029143542E-2</v>
      </c>
      <c r="R18" s="115">
        <v>857.98</v>
      </c>
      <c r="S18" s="116">
        <f>IFERROR(R18/R148, "NA")</f>
        <v>3.1471183754915193E-2</v>
      </c>
      <c r="T18" s="115">
        <v>1059.1600000000001</v>
      </c>
      <c r="U18" s="116">
        <f>IFERROR(T18/T148, "NA")</f>
        <v>3.4464816867832912E-2</v>
      </c>
      <c r="V18" s="115">
        <v>997.35</v>
      </c>
      <c r="W18" s="116">
        <f>IFERROR(V18/V148, "NA")</f>
        <v>3.7092424048580347E-2</v>
      </c>
      <c r="X18" s="115">
        <v>845.62</v>
      </c>
      <c r="Y18" s="116">
        <f>IFERROR(X18/X148, "NA")</f>
        <v>3.4520371681228075E-2</v>
      </c>
      <c r="Z18" s="115">
        <v>2902.13</v>
      </c>
      <c r="AA18" s="116">
        <f>IFERROR(Z18/Z148, "NA")</f>
        <v>3.5341777553326001E-2</v>
      </c>
      <c r="AB18" s="117">
        <f t="shared" si="0"/>
        <v>940.02750000000003</v>
      </c>
      <c r="AC18" s="116">
        <f>IFERROR(AB18/AB148, "NA")</f>
        <v>3.4377039077047387E-2</v>
      </c>
      <c r="AD18" s="118">
        <f t="shared" si="1"/>
        <v>-94.407500000000027</v>
      </c>
      <c r="AE18" s="119">
        <f>IFERROR(AD18/AD148, "NA")</f>
        <v>3.3144365773788362E-2</v>
      </c>
      <c r="AF18" s="118">
        <f t="shared" si="2"/>
        <v>-0.10043057250984681</v>
      </c>
      <c r="AG18" s="117">
        <f t="shared" si="3"/>
        <v>918.84500000000003</v>
      </c>
      <c r="AH18" s="116">
        <f>IFERROR(AG18/AG148, "NA")</f>
        <v>3.1699307396464815E-2</v>
      </c>
      <c r="AI18" s="118">
        <f t="shared" si="4"/>
        <v>-73.225000000000023</v>
      </c>
      <c r="AJ18" s="119">
        <f>IFERROR(AI18/AI148, "NA")</f>
        <v>1.6308390608505089E-2</v>
      </c>
      <c r="AK18" s="118">
        <f t="shared" si="5"/>
        <v>-7.9692439965391354E-2</v>
      </c>
      <c r="AL18" s="119">
        <f>IFERROR(AK18/AK148, "NA")</f>
        <v>0.5144715120912654</v>
      </c>
    </row>
    <row r="19" spans="1:38" ht="16.5" customHeight="1" x14ac:dyDescent="0.25">
      <c r="A19" s="7" t="s">
        <v>24</v>
      </c>
      <c r="B19" s="115">
        <v>423.57</v>
      </c>
      <c r="C19" s="116">
        <f>IFERROR(B19/B148, "NA")</f>
        <v>1.8299700859058129E-2</v>
      </c>
      <c r="D19" s="115">
        <v>417</v>
      </c>
      <c r="E19" s="116">
        <f>IFERROR(D19/D148, "NA")</f>
        <v>1.6403083150257357E-2</v>
      </c>
      <c r="F19" s="115">
        <v>469.09</v>
      </c>
      <c r="G19" s="116">
        <f>IFERROR(F19/F148, "NA")</f>
        <v>1.9141491321672456E-2</v>
      </c>
      <c r="H19" s="115">
        <v>454</v>
      </c>
      <c r="I19" s="116">
        <f>IFERROR(H19/H148, "NA")</f>
        <v>1.7566396335046121E-2</v>
      </c>
      <c r="J19" s="115">
        <v>604.47</v>
      </c>
      <c r="K19" s="116">
        <f>IFERROR(J19/J148, "NA")</f>
        <v>2.1232427055353525E-2</v>
      </c>
      <c r="L19" s="115">
        <v>471.45</v>
      </c>
      <c r="M19" s="116">
        <f>IFERROR(L19/L148, "NA")</f>
        <v>1.9184848425658253E-2</v>
      </c>
      <c r="N19" s="115">
        <v>427.59</v>
      </c>
      <c r="O19" s="116">
        <f>IFERROR(N19/N148, "NA")</f>
        <v>1.9925747361151432E-2</v>
      </c>
      <c r="P19" s="115">
        <v>997.42</v>
      </c>
      <c r="Q19" s="116">
        <f>IFERROR(P19/P148, "NA")</f>
        <v>2.0775571051174075E-2</v>
      </c>
      <c r="R19" s="115">
        <v>599.05999999999995</v>
      </c>
      <c r="S19" s="116">
        <f>IFERROR(R19/R148, "NA")</f>
        <v>2.1973854099418978E-2</v>
      </c>
      <c r="T19" s="115">
        <v>618.95000000000005</v>
      </c>
      <c r="U19" s="116">
        <f>IFERROR(T19/T148, "NA")</f>
        <v>2.0140487178844729E-2</v>
      </c>
      <c r="V19" s="115">
        <v>601.52</v>
      </c>
      <c r="W19" s="116">
        <f>IFERROR(V19/V148, "NA")</f>
        <v>2.2371118377402164E-2</v>
      </c>
      <c r="X19" s="115">
        <v>344.35</v>
      </c>
      <c r="Y19" s="116">
        <f>IFERROR(X19/X148, "NA")</f>
        <v>1.4057247922744126E-2</v>
      </c>
      <c r="Z19" s="115">
        <v>1564.82</v>
      </c>
      <c r="AA19" s="116">
        <f>IFERROR(Z19/Z148, "NA")</f>
        <v>1.9056182993523924E-2</v>
      </c>
      <c r="AB19" s="117">
        <f t="shared" si="0"/>
        <v>540.97</v>
      </c>
      <c r="AC19" s="116">
        <f>IFERROR(AB19/AB148, "NA")</f>
        <v>1.978340721894873E-2</v>
      </c>
      <c r="AD19" s="118">
        <f t="shared" si="1"/>
        <v>-196.62</v>
      </c>
      <c r="AE19" s="119">
        <f>IFERROR(AD19/AD148, "NA")</f>
        <v>6.9028892815107545E-2</v>
      </c>
      <c r="AF19" s="118">
        <f t="shared" si="2"/>
        <v>-0.3634582324343309</v>
      </c>
      <c r="AG19" s="117">
        <f t="shared" si="3"/>
        <v>583.10124999999994</v>
      </c>
      <c r="AH19" s="116">
        <f>IFERROR(AG19/AG148, "NA")</f>
        <v>2.0116456820261169E-2</v>
      </c>
      <c r="AI19" s="118">
        <f t="shared" si="4"/>
        <v>-238.75124999999991</v>
      </c>
      <c r="AJ19" s="119">
        <f>IFERROR(AI19/AI148, "NA")</f>
        <v>5.3173760918659579E-2</v>
      </c>
      <c r="AK19" s="118">
        <f t="shared" si="5"/>
        <v>-0.40945076005239217</v>
      </c>
      <c r="AL19" s="119">
        <f>IFERROR(AK19/AK148, "NA")</f>
        <v>2.6432965503698096</v>
      </c>
    </row>
    <row r="20" spans="1:38" ht="16.5" customHeight="1" x14ac:dyDescent="0.25">
      <c r="A20" s="7" t="s">
        <v>25</v>
      </c>
      <c r="B20" s="115">
        <v>323.17</v>
      </c>
      <c r="C20" s="116">
        <f>IFERROR(B20/B148, "NA")</f>
        <v>1.3962070794961439E-2</v>
      </c>
      <c r="D20" s="115">
        <v>279.8</v>
      </c>
      <c r="E20" s="116">
        <f>IFERROR(D20/D148, "NA")</f>
        <v>1.1006193442306975E-2</v>
      </c>
      <c r="F20" s="115">
        <v>286.86</v>
      </c>
      <c r="G20" s="116">
        <f>IFERROR(F20/F148, "NA")</f>
        <v>1.1705489779221388E-2</v>
      </c>
      <c r="H20" s="115">
        <v>337.28</v>
      </c>
      <c r="I20" s="116">
        <f>IFERROR(H20/H148, "NA")</f>
        <v>1.3050207391815762E-2</v>
      </c>
      <c r="J20" s="115">
        <v>336.91</v>
      </c>
      <c r="K20" s="116">
        <f>IFERROR(J20/J148, "NA")</f>
        <v>1.1834196898471648E-2</v>
      </c>
      <c r="L20" s="115">
        <v>252.24</v>
      </c>
      <c r="M20" s="116">
        <f>IFERROR(L20/L148, "NA")</f>
        <v>1.0264473787014609E-2</v>
      </c>
      <c r="N20" s="115">
        <v>291.58999999999997</v>
      </c>
      <c r="O20" s="116">
        <f>IFERROR(N20/N148, "NA")</f>
        <v>1.3588130389013181E-2</v>
      </c>
      <c r="P20" s="115">
        <v>411.28</v>
      </c>
      <c r="Q20" s="116">
        <f>IFERROR(P20/P148, "NA")</f>
        <v>8.5666788934720319E-3</v>
      </c>
      <c r="R20" s="115">
        <v>268.52</v>
      </c>
      <c r="S20" s="116">
        <f>IFERROR(R20/R148, "NA")</f>
        <v>9.8494629966547325E-3</v>
      </c>
      <c r="T20" s="115">
        <v>421.84</v>
      </c>
      <c r="U20" s="116">
        <f>IFERROR(T20/T148, "NA")</f>
        <v>1.3726574216857353E-2</v>
      </c>
      <c r="V20" s="115">
        <v>295.64999999999998</v>
      </c>
      <c r="W20" s="116">
        <f>IFERROR(V20/V148, "NA")</f>
        <v>1.0995513280155189E-2</v>
      </c>
      <c r="X20" s="115">
        <v>295.04000000000002</v>
      </c>
      <c r="Y20" s="116">
        <f>IFERROR(X20/X148, "NA")</f>
        <v>1.204428757696073E-2</v>
      </c>
      <c r="Z20" s="115">
        <v>1012.53</v>
      </c>
      <c r="AA20" s="116">
        <f>IFERROR(Z20/Z148, "NA")</f>
        <v>1.2330464185294654E-2</v>
      </c>
      <c r="AB20" s="117">
        <f t="shared" si="0"/>
        <v>320.26249999999999</v>
      </c>
      <c r="AC20" s="116">
        <f>IFERROR(AB20/AB148, "NA")</f>
        <v>1.1712079143868546E-2</v>
      </c>
      <c r="AD20" s="118">
        <f t="shared" si="1"/>
        <v>-25.222499999999968</v>
      </c>
      <c r="AE20" s="119">
        <f>IFERROR(AD20/AD148, "NA")</f>
        <v>8.8550567034332613E-3</v>
      </c>
      <c r="AF20" s="118">
        <f t="shared" si="2"/>
        <v>-7.8755708208110439E-2</v>
      </c>
      <c r="AG20" s="117">
        <f t="shared" si="3"/>
        <v>321.63374999999996</v>
      </c>
      <c r="AH20" s="116">
        <f>IFERROR(AG20/AG148, "NA")</f>
        <v>1.1096068553812354E-2</v>
      </c>
      <c r="AI20" s="118">
        <f t="shared" si="4"/>
        <v>-26.593749999999943</v>
      </c>
      <c r="AJ20" s="119">
        <f>IFERROR(AI20/AI148, "NA")</f>
        <v>5.9228578046422826E-3</v>
      </c>
      <c r="AK20" s="118">
        <f t="shared" si="5"/>
        <v>-8.2683331584449543E-2</v>
      </c>
      <c r="AL20" s="119">
        <f>IFERROR(AK20/AK148, "NA")</f>
        <v>0.53377984967543524</v>
      </c>
    </row>
    <row r="21" spans="1:38" ht="16.5" customHeight="1" x14ac:dyDescent="0.25">
      <c r="A21" s="7" t="s">
        <v>26</v>
      </c>
      <c r="B21" s="115">
        <v>126.38</v>
      </c>
      <c r="C21" s="116">
        <f>IFERROR(B21/B148, "NA")</f>
        <v>5.4600566484117536E-3</v>
      </c>
      <c r="D21" s="115">
        <v>211.05</v>
      </c>
      <c r="E21" s="116">
        <f>IFERROR(D21/D148, "NA")</f>
        <v>8.301848198709388E-3</v>
      </c>
      <c r="F21" s="115">
        <v>149.55000000000001</v>
      </c>
      <c r="G21" s="116">
        <f>IFERROR(F21/F148, "NA")</f>
        <v>6.1024750626875787E-3</v>
      </c>
      <c r="H21" s="115">
        <v>112.44</v>
      </c>
      <c r="I21" s="116">
        <f>IFERROR(H21/H148, "NA")</f>
        <v>4.3505850306444624E-3</v>
      </c>
      <c r="J21" s="115">
        <v>158.71</v>
      </c>
      <c r="K21" s="116">
        <f>IFERROR(J21/J148, "NA")</f>
        <v>5.5747985805005345E-3</v>
      </c>
      <c r="L21" s="115">
        <v>101.46</v>
      </c>
      <c r="M21" s="116">
        <f>IFERROR(L21/L148, "NA")</f>
        <v>4.1287405266036406E-3</v>
      </c>
      <c r="N21" s="115">
        <v>304.02</v>
      </c>
      <c r="O21" s="116">
        <f>IFERROR(N21/N148, "NA")</f>
        <v>1.41673699402167E-2</v>
      </c>
      <c r="P21" s="115">
        <v>694.01</v>
      </c>
      <c r="Q21" s="116">
        <f>IFERROR(P21/P148, "NA")</f>
        <v>1.4455749899967237E-2</v>
      </c>
      <c r="R21" s="115">
        <v>155.43</v>
      </c>
      <c r="S21" s="116">
        <f>IFERROR(R21/R148, "NA")</f>
        <v>5.7012588766946421E-3</v>
      </c>
      <c r="T21" s="115">
        <v>305.67</v>
      </c>
      <c r="U21" s="116">
        <f>IFERROR(T21/T148, "NA")</f>
        <v>9.946429785859065E-3</v>
      </c>
      <c r="V21" s="115">
        <v>58.37</v>
      </c>
      <c r="W21" s="116">
        <f>IFERROR(V21/V148, "NA")</f>
        <v>2.170837511120103E-3</v>
      </c>
      <c r="X21" s="115">
        <v>188.2</v>
      </c>
      <c r="Y21" s="116">
        <f>IFERROR(X21/X148, "NA")</f>
        <v>7.682805456833002E-3</v>
      </c>
      <c r="Z21" s="115">
        <v>552.24</v>
      </c>
      <c r="AA21" s="116">
        <f>IFERROR(Z21/Z148, "NA")</f>
        <v>6.7251099144589495E-3</v>
      </c>
      <c r="AB21" s="117">
        <f t="shared" si="0"/>
        <v>176.91750000000002</v>
      </c>
      <c r="AC21" s="116">
        <f>IFERROR(AB21/AB148, "NA")</f>
        <v>6.4699169023390611E-3</v>
      </c>
      <c r="AD21" s="118">
        <f t="shared" si="1"/>
        <v>11.28249999999997</v>
      </c>
      <c r="AE21" s="119">
        <f>IFERROR(AD21/AD148, "NA")</f>
        <v>-3.9610338886504363E-3</v>
      </c>
      <c r="AF21" s="118">
        <f t="shared" si="2"/>
        <v>6.3772662399140673E-2</v>
      </c>
      <c r="AG21" s="117">
        <f t="shared" si="3"/>
        <v>245.73375000000001</v>
      </c>
      <c r="AH21" s="116">
        <f>IFERROR(AG21/AG148, "NA")</f>
        <v>8.4775883624942563E-3</v>
      </c>
      <c r="AI21" s="118">
        <f t="shared" si="4"/>
        <v>-57.533750000000026</v>
      </c>
      <c r="AJ21" s="119">
        <f>IFERROR(AI21/AI148, "NA")</f>
        <v>1.2813695707368792E-2</v>
      </c>
      <c r="AK21" s="118">
        <f t="shared" si="5"/>
        <v>-0.23413043588843627</v>
      </c>
      <c r="AL21" s="119">
        <f>IFERROR(AK21/AK148, "NA")</f>
        <v>1.5114788734090854</v>
      </c>
    </row>
    <row r="22" spans="1:38" ht="16.5" hidden="1" customHeight="1" x14ac:dyDescent="0.25">
      <c r="A22" s="7" t="s">
        <v>27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-3</v>
      </c>
      <c r="W22" s="116">
        <f>IFERROR(V22/V148, "NA")</f>
        <v>-1.1157294043790147E-4</v>
      </c>
      <c r="X22" s="115">
        <v>0</v>
      </c>
      <c r="Y22" s="116">
        <f>IFERROR(X22/X148, "NA")</f>
        <v>0</v>
      </c>
      <c r="Z22" s="115">
        <v>-3</v>
      </c>
      <c r="AA22" s="116">
        <f>IFERROR(Z22/Z148, "NA")</f>
        <v>-3.6533626219355441E-5</v>
      </c>
      <c r="AB22" s="117">
        <f t="shared" si="0"/>
        <v>-0.75</v>
      </c>
      <c r="AC22" s="116">
        <f>IFERROR(AB22/AB148, "NA")</f>
        <v>-2.7427686219589897E-5</v>
      </c>
      <c r="AD22" s="118">
        <f t="shared" si="1"/>
        <v>0.75</v>
      </c>
      <c r="AE22" s="119">
        <f>IFERROR(AD22/AD148, "NA")</f>
        <v>-2.633082576102668E-4</v>
      </c>
      <c r="AF22" s="118">
        <f t="shared" si="2"/>
        <v>-1</v>
      </c>
      <c r="AG22" s="117">
        <f t="shared" si="3"/>
        <v>-0.375</v>
      </c>
      <c r="AH22" s="116">
        <f>IFERROR(AG22/AG148, "NA")</f>
        <v>-1.2937155095445155E-5</v>
      </c>
      <c r="AI22" s="118">
        <f t="shared" si="4"/>
        <v>0.375</v>
      </c>
      <c r="AJ22" s="119">
        <f>IFERROR(AI22/AI148, "NA")</f>
        <v>-8.3518558937376657E-5</v>
      </c>
      <c r="AK22" s="118">
        <f t="shared" si="5"/>
        <v>-1</v>
      </c>
      <c r="AL22" s="119">
        <f>IFERROR(AK22/AK148, "NA")</f>
        <v>6.4557128921474725</v>
      </c>
    </row>
    <row r="23" spans="1:38" ht="16.5" customHeight="1" x14ac:dyDescent="0.25">
      <c r="A23" s="7" t="s">
        <v>28</v>
      </c>
      <c r="B23" s="115">
        <v>210.88</v>
      </c>
      <c r="C23" s="116">
        <f>IFERROR(B23/B148, "NA")</f>
        <v>9.1107512740708236E-3</v>
      </c>
      <c r="D23" s="115">
        <v>131.51</v>
      </c>
      <c r="E23" s="116">
        <f>IFERROR(D23/D148, "NA")</f>
        <v>5.1730682616075415E-3</v>
      </c>
      <c r="F23" s="115">
        <v>273.24</v>
      </c>
      <c r="G23" s="116">
        <f>IFERROR(F23/F148, "NA")</f>
        <v>1.1149717727373814E-2</v>
      </c>
      <c r="H23" s="115">
        <v>79.84</v>
      </c>
      <c r="I23" s="116">
        <f>IFERROR(H23/H148, "NA")</f>
        <v>3.0892094347799172E-3</v>
      </c>
      <c r="J23" s="115">
        <v>-619.03</v>
      </c>
      <c r="K23" s="116">
        <f>IFERROR(J23/J148, "NA")</f>
        <v>-2.1743857131165306E-2</v>
      </c>
      <c r="L23" s="115">
        <v>960.83</v>
      </c>
      <c r="M23" s="116">
        <f>IFERROR(L23/L148, "NA")</f>
        <v>3.909932742141313E-2</v>
      </c>
      <c r="N23" s="115">
        <v>163.1</v>
      </c>
      <c r="O23" s="116">
        <f>IFERROR(N23/N148, "NA")</f>
        <v>7.6004803540863884E-3</v>
      </c>
      <c r="P23" s="115">
        <v>183.46</v>
      </c>
      <c r="Q23" s="116">
        <f>IFERROR(P23/P148, "NA")</f>
        <v>3.8213453360153157E-3</v>
      </c>
      <c r="R23" s="115">
        <v>202.85</v>
      </c>
      <c r="S23" s="116">
        <f>IFERROR(R23/R148, "NA")</f>
        <v>7.4406508597922409E-3</v>
      </c>
      <c r="T23" s="115">
        <v>284.17</v>
      </c>
      <c r="U23" s="116">
        <f>IFERROR(T23/T148, "NA")</f>
        <v>9.2468248511387123E-3</v>
      </c>
      <c r="V23" s="115">
        <v>137.5</v>
      </c>
      <c r="W23" s="116">
        <f>IFERROR(V23/V148, "NA")</f>
        <v>5.1137597700704838E-3</v>
      </c>
      <c r="X23" s="115">
        <v>302.10000000000002</v>
      </c>
      <c r="Y23" s="116">
        <f>IFERROR(X23/X148, "NA")</f>
        <v>1.2332494837987516E-2</v>
      </c>
      <c r="Z23" s="115">
        <v>723.77</v>
      </c>
      <c r="AA23" s="116">
        <f>IFERROR(Z23/Z148, "NA")</f>
        <v>8.8139808829276294E-3</v>
      </c>
      <c r="AB23" s="117">
        <f t="shared" si="0"/>
        <v>231.655</v>
      </c>
      <c r="AC23" s="116">
        <f>IFERROR(AB23/AB148, "NA")</f>
        <v>8.4716808682654635E-3</v>
      </c>
      <c r="AD23" s="118">
        <f t="shared" si="1"/>
        <v>70.445000000000022</v>
      </c>
      <c r="AE23" s="119">
        <f>IFERROR(AD23/AD148, "NA")</f>
        <v>-2.4731666943140333E-2</v>
      </c>
      <c r="AF23" s="118">
        <f t="shared" si="2"/>
        <v>0.30409445079968067</v>
      </c>
      <c r="AG23" s="117">
        <f t="shared" si="3"/>
        <v>201.8725</v>
      </c>
      <c r="AH23" s="116">
        <f>IFERROR(AG23/AG148, "NA")</f>
        <v>6.9644155786806727E-3</v>
      </c>
      <c r="AI23" s="118">
        <f t="shared" si="4"/>
        <v>100.22750000000002</v>
      </c>
      <c r="AJ23" s="119">
        <f>IFERROR(AI23/AI148, "NA")</f>
        <v>-2.2322283642389123E-2</v>
      </c>
      <c r="AK23" s="118">
        <f t="shared" si="5"/>
        <v>0.49648912060830486</v>
      </c>
      <c r="AL23" s="119">
        <f>IFERROR(AK23/AK148, "NA")</f>
        <v>-3.2051912167219951</v>
      </c>
    </row>
    <row r="24" spans="1:38" ht="16.5" customHeight="1" x14ac:dyDescent="0.25">
      <c r="A24" s="7" t="s">
        <v>29</v>
      </c>
      <c r="B24" s="115">
        <v>1182.8399999999999</v>
      </c>
      <c r="C24" s="116">
        <f>IFERROR(B24/B148, "NA")</f>
        <v>5.1102812201355895E-2</v>
      </c>
      <c r="D24" s="115">
        <v>2097.35</v>
      </c>
      <c r="E24" s="116">
        <f>IFERROR(D24/D148, "NA")</f>
        <v>8.2501214496863942E-2</v>
      </c>
      <c r="F24" s="115">
        <v>1372.72</v>
      </c>
      <c r="G24" s="116">
        <f>IFERROR(F24/F148, "NA")</f>
        <v>5.601464104348039E-2</v>
      </c>
      <c r="H24" s="115">
        <v>1390.86</v>
      </c>
      <c r="I24" s="116">
        <f>IFERROR(H24/H148, "NA")</f>
        <v>5.3815854640004948E-2</v>
      </c>
      <c r="J24" s="115">
        <v>1680.19</v>
      </c>
      <c r="K24" s="116">
        <f>IFERROR(J24/J148, "NA")</f>
        <v>5.901783647515086E-2</v>
      </c>
      <c r="L24" s="115">
        <v>1205.08</v>
      </c>
      <c r="M24" s="116">
        <f>IFERROR(L24/L148, "NA")</f>
        <v>4.9038661874625612E-2</v>
      </c>
      <c r="N24" s="115">
        <v>891.25</v>
      </c>
      <c r="O24" s="116">
        <f>IFERROR(N24/N148, "NA")</f>
        <v>4.1532361223663362E-2</v>
      </c>
      <c r="P24" s="115">
        <v>2749.89</v>
      </c>
      <c r="Q24" s="116">
        <f>IFERROR(P24/P148, "NA")</f>
        <v>5.7278313125777587E-2</v>
      </c>
      <c r="R24" s="115">
        <v>1630</v>
      </c>
      <c r="S24" s="116">
        <f>IFERROR(R24/R148, "NA")</f>
        <v>5.9789306884206819E-2</v>
      </c>
      <c r="T24" s="115">
        <v>1662.22</v>
      </c>
      <c r="U24" s="116">
        <f>IFERROR(T24/T148, "NA")</f>
        <v>5.4088247190272692E-2</v>
      </c>
      <c r="V24" s="115">
        <v>1173.7</v>
      </c>
      <c r="W24" s="116">
        <f>IFERROR(V24/V148, "NA")</f>
        <v>4.3651053397321657E-2</v>
      </c>
      <c r="X24" s="115">
        <v>975.77</v>
      </c>
      <c r="Y24" s="116">
        <f>IFERROR(X24/X148, "NA")</f>
        <v>3.9833427633442824E-2</v>
      </c>
      <c r="Z24" s="115">
        <v>3811.69</v>
      </c>
      <c r="AA24" s="116">
        <f>IFERROR(Z24/Z148, "NA")</f>
        <v>4.641828590801831E-2</v>
      </c>
      <c r="AB24" s="117">
        <f t="shared" si="0"/>
        <v>1360.4225000000001</v>
      </c>
      <c r="AC24" s="116">
        <f>IFERROR(AB24/AB148, "NA")</f>
        <v>4.9750988608093384E-2</v>
      </c>
      <c r="AD24" s="118">
        <f t="shared" si="1"/>
        <v>-384.65250000000015</v>
      </c>
      <c r="AE24" s="119">
        <f>IFERROR(AD24/AD148, "NA")</f>
        <v>0.13504290608057759</v>
      </c>
      <c r="AF24" s="118">
        <f t="shared" si="2"/>
        <v>-0.28274488256405644</v>
      </c>
      <c r="AG24" s="117">
        <f t="shared" si="3"/>
        <v>1496.0125</v>
      </c>
      <c r="AH24" s="116">
        <f>IFERROR(AG24/AG148, "NA")</f>
        <v>5.1611055299265726E-2</v>
      </c>
      <c r="AI24" s="118">
        <f t="shared" si="4"/>
        <v>-520.24250000000006</v>
      </c>
      <c r="AJ24" s="119">
        <f>IFERROR(AI24/AI148, "NA")</f>
        <v>0.11586641039460849</v>
      </c>
      <c r="AK24" s="118">
        <f t="shared" si="5"/>
        <v>-0.34775277612987865</v>
      </c>
      <c r="AL24" s="119">
        <f>IFERROR(AK24/AK148, "NA")</f>
        <v>2.2449920801417313</v>
      </c>
    </row>
    <row r="25" spans="1:38" ht="16.5" hidden="1" customHeight="1" x14ac:dyDescent="0.25">
      <c r="A25" s="7" t="s">
        <v>30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31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32</v>
      </c>
      <c r="B27" s="121">
        <f>IFERROR(B15+B16+B17+B18+B19+B20+B21+B22+B23+B24+B25+B26, "NA")</f>
        <v>4259.46</v>
      </c>
      <c r="C27" s="122">
        <f>IFERROR(B27/B148, "NA")</f>
        <v>0.18402352343443526</v>
      </c>
      <c r="D27" s="121">
        <f>IFERROR(D15+D16+D17+D18+D19+D20+D21+D22+D23+D24+D25+D26, "NA")</f>
        <v>5528.0599999999995</v>
      </c>
      <c r="E27" s="122">
        <f>IFERROR(D27/D148, "NA")</f>
        <v>0.2174513857065028</v>
      </c>
      <c r="F27" s="121">
        <f>IFERROR(F15+F16+F17+F18+F19+F20+F21+F22+F23+F24+F25+F26, "NA")</f>
        <v>5242.5000000000009</v>
      </c>
      <c r="G27" s="122">
        <f>IFERROR(F27/F148, "NA")</f>
        <v>0.21392327326071303</v>
      </c>
      <c r="H27" s="121">
        <f>IFERROR(H15+H16+H17+H18+H19+H20+H21+H22+H23+H24+H25+H26, "NA")</f>
        <v>4540.5</v>
      </c>
      <c r="I27" s="122">
        <f>IFERROR(H27/H148, "NA")</f>
        <v>0.17568330960193154</v>
      </c>
      <c r="J27" s="121">
        <f>IFERROR(J15+J16+J17+J18+J19+J20+J21+J22+J23+J24+J25+J26, "NA")</f>
        <v>4635.2700000000004</v>
      </c>
      <c r="K27" s="122">
        <f>IFERROR(J27/J148, "NA")</f>
        <v>0.1628170664497304</v>
      </c>
      <c r="L27" s="121">
        <f>IFERROR(L15+L16+L17+L18+L19+L20+L21+L22+L23+L24+L25+L26, "NA")</f>
        <v>5314.09</v>
      </c>
      <c r="M27" s="122">
        <f>IFERROR(L27/L148, "NA")</f>
        <v>0.21624777000807355</v>
      </c>
      <c r="N27" s="121">
        <f>IFERROR(N15+N16+N17+N18+N19+N20+N21+N22+N23+N24+N25+N26, "NA")</f>
        <v>4464</v>
      </c>
      <c r="O27" s="122">
        <f>IFERROR(N27/N148, "NA")</f>
        <v>0.2080229570854791</v>
      </c>
      <c r="P27" s="121">
        <f>IFERROR(P15+P16+P17+P18+P19+P20+P21+P22+P23+P24+P25+P26, "NA")</f>
        <v>8820.6099999999988</v>
      </c>
      <c r="Q27" s="122">
        <f>IFERROR(P27/P148, "NA")</f>
        <v>0.18372722601280961</v>
      </c>
      <c r="R27" s="121">
        <f>IFERROR(R15+R16+R17+R18+R19+R20+R21+R22+R23+R24+R25+R26, "NA")</f>
        <v>5379.76</v>
      </c>
      <c r="S27" s="122">
        <f>IFERROR(R27/R148, "NA")</f>
        <v>0.19733258994072422</v>
      </c>
      <c r="T27" s="121">
        <f>IFERROR(T15+T16+T17+T18+T19+T20+T21+T22+T23+T24+T25+T26, "NA")</f>
        <v>6539.84</v>
      </c>
      <c r="U27" s="122">
        <f>IFERROR(T27/T148, "NA")</f>
        <v>0.2128048528503044</v>
      </c>
      <c r="V27" s="121">
        <f>IFERROR(V15+V16+V17+V18+V19+V20+V21+V22+V23+V24+V25+V26, "NA")</f>
        <v>4827.21</v>
      </c>
      <c r="W27" s="122">
        <f>IFERROR(V27/V148, "NA")</f>
        <v>0.17952867127041411</v>
      </c>
      <c r="X27" s="121">
        <f>IFERROR(X15+X16+X17+X18+X19+X20+X21+X22+X23+X24+X25+X26, "NA")</f>
        <v>4803.2899999999991</v>
      </c>
      <c r="Y27" s="122">
        <f>IFERROR(X27/X148, "NA")</f>
        <v>0.19608258566817952</v>
      </c>
      <c r="Z27" s="121">
        <f>IFERROR(Z15+Z16+Z17+Z18+Z19+Z20+Z21+Z22+Z23+Z24+Z25+Z26, "NA")</f>
        <v>16170.340000000002</v>
      </c>
      <c r="AA27" s="122">
        <f>IFERROR(Z27/Z148, "NA")</f>
        <v>0.19692038579996404</v>
      </c>
      <c r="AB27" s="121">
        <f t="shared" si="0"/>
        <v>5387.5249999999996</v>
      </c>
      <c r="AC27" s="122">
        <f>IFERROR(AB27/AB148, "NA")</f>
        <v>0.19702312693359472</v>
      </c>
      <c r="AD27" s="123">
        <f t="shared" si="1"/>
        <v>-584.23500000000058</v>
      </c>
      <c r="AE27" s="124">
        <f>IFERROR(AD27/AD148, "NA")</f>
        <v>0.20511186651324584</v>
      </c>
      <c r="AF27" s="123">
        <f t="shared" si="2"/>
        <v>-0.10844218820330312</v>
      </c>
      <c r="AG27" s="121">
        <f t="shared" si="3"/>
        <v>5598.0087500000009</v>
      </c>
      <c r="AH27" s="122">
        <f>IFERROR(AG27/AG148, "NA")</f>
        <v>0.19312615313175754</v>
      </c>
      <c r="AI27" s="123">
        <f t="shared" si="4"/>
        <v>-794.71875000000182</v>
      </c>
      <c r="AJ27" s="124">
        <f>IFERROR(AI27/AI148, "NA")</f>
        <v>0.17699670602803591</v>
      </c>
      <c r="AK27" s="123">
        <f t="shared" si="5"/>
        <v>-0.1419645423026539</v>
      </c>
      <c r="AL27" s="124">
        <f>IFERROR(AK27/AK148, "NA")</f>
        <v>0.91648232597105805</v>
      </c>
    </row>
    <row r="28" spans="1:38" ht="16.5" customHeight="1" x14ac:dyDescent="0.25">
      <c r="A28" s="6" t="s">
        <v>33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34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35</v>
      </c>
      <c r="B30" s="115">
        <v>180.23</v>
      </c>
      <c r="C30" s="116">
        <f>IFERROR(B30/B148, "NA")</f>
        <v>7.7865644068938937E-3</v>
      </c>
      <c r="D30" s="115">
        <v>229.29</v>
      </c>
      <c r="E30" s="116">
        <f>IFERROR(D30/D148, "NA")</f>
        <v>9.0193355767925875E-3</v>
      </c>
      <c r="F30" s="115">
        <v>250.72</v>
      </c>
      <c r="G30" s="116">
        <f>IFERROR(F30/F148, "NA")</f>
        <v>1.0230775979385019E-2</v>
      </c>
      <c r="H30" s="115">
        <v>436.78</v>
      </c>
      <c r="I30" s="116">
        <f>IFERROR(H30/H148, "NA")</f>
        <v>1.690011143440847E-2</v>
      </c>
      <c r="J30" s="115">
        <v>322.70999999999998</v>
      </c>
      <c r="K30" s="116">
        <f>IFERROR(J30/J148, "NA")</f>
        <v>1.1335412071787079E-2</v>
      </c>
      <c r="L30" s="115">
        <v>-68.47</v>
      </c>
      <c r="M30" s="116">
        <f>IFERROR(L30/L148, "NA")</f>
        <v>-2.7862691095658513E-3</v>
      </c>
      <c r="N30" s="115">
        <v>218.86</v>
      </c>
      <c r="O30" s="116">
        <f>IFERROR(N30/N148, "NA")</f>
        <v>1.0198903312663073E-2</v>
      </c>
      <c r="P30" s="115">
        <v>331.45</v>
      </c>
      <c r="Q30" s="116">
        <f>IFERROR(P30/P148, "NA")</f>
        <v>6.9038750224696193E-3</v>
      </c>
      <c r="R30" s="115">
        <v>243.36</v>
      </c>
      <c r="S30" s="116">
        <f>IFERROR(R30/R148, "NA")</f>
        <v>8.9265801983684483E-3</v>
      </c>
      <c r="T30" s="115">
        <v>-19.3</v>
      </c>
      <c r="U30" s="116">
        <f>IFERROR(T30/T148, "NA")</f>
        <v>-6.2801745302803655E-4</v>
      </c>
      <c r="V30" s="115">
        <v>177.08</v>
      </c>
      <c r="W30" s="116">
        <f>IFERROR(V30/V148, "NA")</f>
        <v>6.5857787642478642E-3</v>
      </c>
      <c r="X30" s="115">
        <v>296.17</v>
      </c>
      <c r="Y30" s="116">
        <f>IFERROR(X30/X148, "NA")</f>
        <v>1.2090417067748303E-2</v>
      </c>
      <c r="Z30" s="115">
        <v>453.95</v>
      </c>
      <c r="AA30" s="116">
        <f>IFERROR(Z30/Z148, "NA")</f>
        <v>5.5281465407588009E-3</v>
      </c>
      <c r="AB30" s="117">
        <f t="shared" si="6"/>
        <v>174.32749999999999</v>
      </c>
      <c r="AC30" s="116">
        <f>IFERROR(AB30/AB148, "NA")</f>
        <v>6.3751999592607427E-3</v>
      </c>
      <c r="AD30" s="118">
        <f t="shared" si="7"/>
        <v>121.84250000000003</v>
      </c>
      <c r="AE30" s="119">
        <f>IFERROR(AD30/AD148, "NA")</f>
        <v>-4.2776181837171919E-2</v>
      </c>
      <c r="AF30" s="118">
        <f t="shared" si="8"/>
        <v>0.69892874044542619</v>
      </c>
      <c r="AG30" s="117">
        <f t="shared" si="9"/>
        <v>187.73249999999999</v>
      </c>
      <c r="AH30" s="116">
        <f>IFERROR(AG30/AG148, "NA")</f>
        <v>6.4765985838817538E-3</v>
      </c>
      <c r="AI30" s="118">
        <f t="shared" si="10"/>
        <v>108.43750000000003</v>
      </c>
      <c r="AJ30" s="119">
        <f>IFERROR(AI30/AI148, "NA")</f>
        <v>-2.415078329272476E-2</v>
      </c>
      <c r="AK30" s="118">
        <f t="shared" si="11"/>
        <v>0.5776170881440349</v>
      </c>
      <c r="AL30" s="119">
        <f>IFERROR(AK30/AK148, "NA")</f>
        <v>-3.7289300826561291</v>
      </c>
    </row>
    <row r="31" spans="1:38" ht="16.5" customHeight="1" x14ac:dyDescent="0.25">
      <c r="A31" s="7" t="s">
        <v>36</v>
      </c>
      <c r="B31" s="115">
        <v>30.18</v>
      </c>
      <c r="C31" s="116">
        <f>IFERROR(B31/B148, "NA")</f>
        <v>1.3038812284306594E-3</v>
      </c>
      <c r="D31" s="115">
        <v>7.66</v>
      </c>
      <c r="E31" s="116">
        <f>IFERROR(D31/D148, "NA")</f>
        <v>3.0131323005029098E-4</v>
      </c>
      <c r="F31" s="115">
        <v>16.420000000000002</v>
      </c>
      <c r="G31" s="116">
        <f>IFERROR(F31/F148, "NA")</f>
        <v>6.7002768658863286E-4</v>
      </c>
      <c r="H31" s="115">
        <v>12.38</v>
      </c>
      <c r="I31" s="116">
        <f>IFERROR(H31/H148, "NA")</f>
        <v>4.790131864050022E-4</v>
      </c>
      <c r="J31" s="115">
        <v>27.36</v>
      </c>
      <c r="K31" s="116">
        <f>IFERROR(J31/J148, "NA")</f>
        <v>9.6103893366829198E-4</v>
      </c>
      <c r="L31" s="115">
        <v>7.3</v>
      </c>
      <c r="M31" s="116">
        <f>IFERROR(L31/L148, "NA")</f>
        <v>2.9706096830481543E-4</v>
      </c>
      <c r="N31" s="115">
        <v>2.44</v>
      </c>
      <c r="O31" s="116">
        <f>IFERROR(N31/N148, "NA")</f>
        <v>1.1370430450012746E-4</v>
      </c>
      <c r="P31" s="115">
        <v>2.4300000000000002</v>
      </c>
      <c r="Q31" s="116">
        <f>IFERROR(P31/P148, "NA")</f>
        <v>5.0615224934684494E-5</v>
      </c>
      <c r="R31" s="115">
        <v>2.44</v>
      </c>
      <c r="S31" s="116">
        <f>IFERROR(R31/R148, "NA")</f>
        <v>8.9500557544456831E-5</v>
      </c>
      <c r="T31" s="115">
        <v>-8.23</v>
      </c>
      <c r="U31" s="116">
        <f>IFERROR(T31/T148, "NA")</f>
        <v>-2.6780226105806951E-4</v>
      </c>
      <c r="V31" s="115">
        <v>21.16</v>
      </c>
      <c r="W31" s="116">
        <f>IFERROR(V31/V148, "NA")</f>
        <v>7.8696113988866508E-4</v>
      </c>
      <c r="X31" s="115">
        <v>14.05</v>
      </c>
      <c r="Y31" s="116">
        <f>IFERROR(X31/X148, "NA")</f>
        <v>5.7355694297823426E-4</v>
      </c>
      <c r="Z31" s="115">
        <v>26.98</v>
      </c>
      <c r="AA31" s="116">
        <f>IFERROR(Z31/Z148, "NA")</f>
        <v>3.2855907846606993E-4</v>
      </c>
      <c r="AB31" s="117">
        <f t="shared" si="6"/>
        <v>7.3550000000000004</v>
      </c>
      <c r="AC31" s="116">
        <f>IFERROR(AB31/AB148, "NA")</f>
        <v>2.6897417619344493E-4</v>
      </c>
      <c r="AD31" s="118">
        <f t="shared" si="7"/>
        <v>6.6950000000000003</v>
      </c>
      <c r="AE31" s="119">
        <f>IFERROR(AD31/AD148, "NA")</f>
        <v>-2.3504650462676485E-3</v>
      </c>
      <c r="AF31" s="118">
        <f t="shared" si="8"/>
        <v>0.9102651257647858</v>
      </c>
      <c r="AG31" s="117">
        <f t="shared" si="9"/>
        <v>8.6187499999999986</v>
      </c>
      <c r="AH31" s="116">
        <f>IFERROR(AG31/AG148, "NA")</f>
        <v>2.973389479436478E-4</v>
      </c>
      <c r="AI31" s="118">
        <f t="shared" si="10"/>
        <v>5.4312500000000021</v>
      </c>
      <c r="AJ31" s="119">
        <f>IFERROR(AI31/AI148, "NA")</f>
        <v>-1.2096271286096724E-3</v>
      </c>
      <c r="AK31" s="118">
        <f t="shared" si="11"/>
        <v>0.63016678752719402</v>
      </c>
      <c r="AL31" s="119">
        <f>IFERROR(AK31/AK148, "NA")</f>
        <v>-4.0681758544424635</v>
      </c>
    </row>
    <row r="32" spans="1:38" ht="16.5" hidden="1" customHeight="1" x14ac:dyDescent="0.25">
      <c r="A32" s="7" t="s">
        <v>37</v>
      </c>
      <c r="B32" s="115">
        <v>0</v>
      </c>
      <c r="C32" s="116">
        <f>IFERROR(B32/B148, "NA")</f>
        <v>0</v>
      </c>
      <c r="D32" s="115">
        <v>0</v>
      </c>
      <c r="E32" s="116">
        <f>IFERROR(D32/D148, "NA")</f>
        <v>0</v>
      </c>
      <c r="F32" s="115">
        <v>0</v>
      </c>
      <c r="G32" s="116">
        <f>IFERROR(F32/F148, "NA")</f>
        <v>0</v>
      </c>
      <c r="H32" s="115">
        <v>0</v>
      </c>
      <c r="I32" s="116">
        <f>IFERROR(H32/H148, "NA")</f>
        <v>0</v>
      </c>
      <c r="J32" s="115">
        <v>0</v>
      </c>
      <c r="K32" s="116">
        <f>IFERROR(J32/J148, "NA")</f>
        <v>0</v>
      </c>
      <c r="L32" s="115">
        <v>0</v>
      </c>
      <c r="M32" s="116">
        <f>IFERROR(L32/L148, "NA")</f>
        <v>0</v>
      </c>
      <c r="N32" s="115">
        <v>0</v>
      </c>
      <c r="O32" s="116">
        <f>IFERROR(N32/N148, "NA")</f>
        <v>0</v>
      </c>
      <c r="P32" s="115">
        <v>0</v>
      </c>
      <c r="Q32" s="116">
        <f>IFERROR(P32/P148, "NA")</f>
        <v>0</v>
      </c>
      <c r="R32" s="115">
        <v>0</v>
      </c>
      <c r="S32" s="116">
        <f>IFERROR(R32/R148, "NA")</f>
        <v>0</v>
      </c>
      <c r="T32" s="115">
        <v>0</v>
      </c>
      <c r="U32" s="116">
        <f>IFERROR(T32/T148, "NA")</f>
        <v>0</v>
      </c>
      <c r="V32" s="115">
        <v>0</v>
      </c>
      <c r="W32" s="116">
        <f>IFERROR(V32/V148, "NA")</f>
        <v>0</v>
      </c>
      <c r="X32" s="115">
        <v>0</v>
      </c>
      <c r="Y32" s="116">
        <f>IFERROR(X32/X148, "NA")</f>
        <v>0</v>
      </c>
      <c r="Z32" s="115">
        <v>0</v>
      </c>
      <c r="AA32" s="116">
        <f>IFERROR(Z32/Z148, "NA")</f>
        <v>0</v>
      </c>
      <c r="AB32" s="117">
        <f t="shared" si="6"/>
        <v>0</v>
      </c>
      <c r="AC32" s="116">
        <f>IFERROR(AB32/AB148, "NA")</f>
        <v>0</v>
      </c>
      <c r="AD32" s="118">
        <f t="shared" si="7"/>
        <v>0</v>
      </c>
      <c r="AE32" s="119">
        <f>IFERROR(AD32/AD148, "NA")</f>
        <v>0</v>
      </c>
      <c r="AF32" s="118" t="str">
        <f t="shared" si="8"/>
        <v>NA</v>
      </c>
      <c r="AG32" s="117">
        <f t="shared" si="9"/>
        <v>0</v>
      </c>
      <c r="AH32" s="116">
        <f>IFERROR(AG32/AG148, "NA")</f>
        <v>0</v>
      </c>
      <c r="AI32" s="118">
        <f t="shared" si="10"/>
        <v>0</v>
      </c>
      <c r="AJ32" s="119">
        <f>IFERROR(AI32/AI148, "NA")</f>
        <v>0</v>
      </c>
      <c r="AK32" s="118" t="str">
        <f t="shared" si="11"/>
        <v>NA</v>
      </c>
      <c r="AL32" s="119" t="str">
        <f>IFERROR(AK32/AK148, "NA")</f>
        <v>NA</v>
      </c>
    </row>
    <row r="33" spans="1:38" ht="16.5" hidden="1" customHeight="1" x14ac:dyDescent="0.25">
      <c r="A33" s="7" t="s">
        <v>38</v>
      </c>
      <c r="B33" s="115">
        <v>0</v>
      </c>
      <c r="C33" s="116">
        <f>IFERROR(B33/B148, "NA")</f>
        <v>0</v>
      </c>
      <c r="D33" s="115">
        <v>0</v>
      </c>
      <c r="E33" s="116">
        <f>IFERROR(D33/D148, "NA")</f>
        <v>0</v>
      </c>
      <c r="F33" s="115">
        <v>0</v>
      </c>
      <c r="G33" s="116">
        <f>IFERROR(F33/F148, "NA")</f>
        <v>0</v>
      </c>
      <c r="H33" s="115">
        <v>0</v>
      </c>
      <c r="I33" s="116">
        <f>IFERROR(H33/H148, "NA")</f>
        <v>0</v>
      </c>
      <c r="J33" s="115">
        <v>0</v>
      </c>
      <c r="K33" s="116">
        <f>IFERROR(J33/J148, "NA")</f>
        <v>0</v>
      </c>
      <c r="L33" s="115">
        <v>0</v>
      </c>
      <c r="M33" s="116">
        <f>IFERROR(L33/L148, "NA")</f>
        <v>0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0</v>
      </c>
      <c r="S33" s="116">
        <f>IFERROR(R33/R148, "NA")</f>
        <v>0</v>
      </c>
      <c r="T33" s="115">
        <v>0</v>
      </c>
      <c r="U33" s="116">
        <f>IFERROR(T33/T148, "NA")</f>
        <v>0</v>
      </c>
      <c r="V33" s="115">
        <v>0</v>
      </c>
      <c r="W33" s="116">
        <f>IFERROR(V33/V148, "NA")</f>
        <v>0</v>
      </c>
      <c r="X33" s="115">
        <v>0</v>
      </c>
      <c r="Y33" s="116">
        <f>IFERROR(X33/X148, "NA")</f>
        <v>0</v>
      </c>
      <c r="Z33" s="115">
        <v>0</v>
      </c>
      <c r="AA33" s="116">
        <f>IFERROR(Z33/Z148, "NA")</f>
        <v>0</v>
      </c>
      <c r="AB33" s="117">
        <f t="shared" si="6"/>
        <v>0</v>
      </c>
      <c r="AC33" s="116">
        <f>IFERROR(AB33/AB148, "NA")</f>
        <v>0</v>
      </c>
      <c r="AD33" s="118">
        <f t="shared" si="7"/>
        <v>0</v>
      </c>
      <c r="AE33" s="119">
        <f>IFERROR(AD33/AD148, "NA")</f>
        <v>0</v>
      </c>
      <c r="AF33" s="118" t="str">
        <f t="shared" si="8"/>
        <v>NA</v>
      </c>
      <c r="AG33" s="117">
        <f t="shared" si="9"/>
        <v>0</v>
      </c>
      <c r="AH33" s="116">
        <f>IFERROR(AG33/AG148, "NA")</f>
        <v>0</v>
      </c>
      <c r="AI33" s="118">
        <f t="shared" si="10"/>
        <v>0</v>
      </c>
      <c r="AJ33" s="119">
        <f>IFERROR(AI33/AI148, "NA")</f>
        <v>0</v>
      </c>
      <c r="AK33" s="118" t="str">
        <f t="shared" si="11"/>
        <v>NA</v>
      </c>
      <c r="AL33" s="119" t="str">
        <f>IFERROR(AK33/AK148, "NA")</f>
        <v>NA</v>
      </c>
    </row>
    <row r="34" spans="1:38" ht="16.5" customHeight="1" x14ac:dyDescent="0.25">
      <c r="A34" s="129" t="s">
        <v>39</v>
      </c>
      <c r="B34" s="121">
        <f>IFERROR(B29+B30+B31+B32+B33, "NA")</f>
        <v>210.41</v>
      </c>
      <c r="C34" s="122">
        <f>IFERROR(B34/B148, "NA")</f>
        <v>9.0904456353245542E-3</v>
      </c>
      <c r="D34" s="121">
        <f>IFERROR(D29+D30+D31+D32+D33, "NA")</f>
        <v>236.95</v>
      </c>
      <c r="E34" s="122">
        <f>IFERROR(D34/D148, "NA")</f>
        <v>9.3206488068428781E-3</v>
      </c>
      <c r="F34" s="121">
        <f>IFERROR(F29+F30+F31+F32+F33, "NA")</f>
        <v>267.14</v>
      </c>
      <c r="G34" s="122">
        <f>IFERROR(F34/F148, "NA")</f>
        <v>1.0900803665973652E-2</v>
      </c>
      <c r="H34" s="121">
        <f>IFERROR(H29+H30+H31+H32+H33, "NA")</f>
        <v>449.15999999999997</v>
      </c>
      <c r="I34" s="122">
        <f>IFERROR(H34/H148, "NA")</f>
        <v>1.7379124620813469E-2</v>
      </c>
      <c r="J34" s="121">
        <f>IFERROR(J29+J30+J31+J32+J33, "NA")</f>
        <v>350.07</v>
      </c>
      <c r="K34" s="122">
        <f>IFERROR(J34/J148, "NA")</f>
        <v>1.2296451005455372E-2</v>
      </c>
      <c r="L34" s="121">
        <f>IFERROR(L29+L30+L31+L32+L33, "NA")</f>
        <v>-61.17</v>
      </c>
      <c r="M34" s="122">
        <f>IFERROR(L34/L148, "NA")</f>
        <v>-2.489208141261036E-3</v>
      </c>
      <c r="N34" s="121">
        <f>IFERROR(N29+N30+N31+N32+N33, "NA")</f>
        <v>221.3</v>
      </c>
      <c r="O34" s="122">
        <f>IFERROR(N34/N148, "NA")</f>
        <v>1.03126076171632E-2</v>
      </c>
      <c r="P34" s="121">
        <f>IFERROR(P29+P30+P31+P32+P33, "NA")</f>
        <v>333.88</v>
      </c>
      <c r="Q34" s="122">
        <f>IFERROR(P34/P148, "NA")</f>
        <v>6.9544902474043034E-3</v>
      </c>
      <c r="R34" s="121">
        <f>IFERROR(R29+R30+R31+R32+R33, "NA")</f>
        <v>245.8</v>
      </c>
      <c r="S34" s="122">
        <f>IFERROR(R34/R148, "NA")</f>
        <v>9.0160807559129062E-3</v>
      </c>
      <c r="T34" s="121">
        <f>IFERROR(T29+T30+T31+T32+T33, "NA")</f>
        <v>-27.53</v>
      </c>
      <c r="U34" s="122">
        <f>IFERROR(T34/T148, "NA")</f>
        <v>-8.9581971408610607E-4</v>
      </c>
      <c r="V34" s="121">
        <f>IFERROR(V29+V30+V31+V32+V33, "NA")</f>
        <v>198.24</v>
      </c>
      <c r="W34" s="122">
        <f>IFERROR(V34/V148, "NA")</f>
        <v>7.3727399041365292E-3</v>
      </c>
      <c r="X34" s="121">
        <f>IFERROR(X29+X30+X31+X32+X33, "NA")</f>
        <v>310.22000000000003</v>
      </c>
      <c r="Y34" s="122">
        <f>IFERROR(X34/X148, "NA")</f>
        <v>1.2663974010726537E-2</v>
      </c>
      <c r="Z34" s="121">
        <f>IFERROR(Z29+Z30+Z31+Z32+Z33, "NA")</f>
        <v>480.93</v>
      </c>
      <c r="AA34" s="122">
        <f>IFERROR(Z34/Z148, "NA")</f>
        <v>5.8567056192248704E-3</v>
      </c>
      <c r="AB34" s="121">
        <f t="shared" si="6"/>
        <v>181.6825</v>
      </c>
      <c r="AC34" s="122">
        <f>IFERROR(AB34/AB148, "NA")</f>
        <v>6.6441741354541888E-3</v>
      </c>
      <c r="AD34" s="123">
        <f t="shared" si="7"/>
        <v>128.53750000000002</v>
      </c>
      <c r="AE34" s="124">
        <f>IFERROR(AD34/AD148, "NA")</f>
        <v>-4.5126646883439564E-2</v>
      </c>
      <c r="AF34" s="123">
        <f t="shared" si="8"/>
        <v>0.70748421009178108</v>
      </c>
      <c r="AG34" s="121">
        <f t="shared" si="9"/>
        <v>196.35124999999999</v>
      </c>
      <c r="AH34" s="122">
        <f>IFERROR(AG34/AG148, "NA")</f>
        <v>6.7739375318254013E-3</v>
      </c>
      <c r="AI34" s="123">
        <f t="shared" si="10"/>
        <v>113.86875000000003</v>
      </c>
      <c r="AJ34" s="124">
        <f>IFERROR(AI34/AI148, "NA")</f>
        <v>-2.5360410421334433E-2</v>
      </c>
      <c r="AK34" s="123">
        <f t="shared" si="11"/>
        <v>0.57992373361514138</v>
      </c>
      <c r="AL34" s="124">
        <f>IFERROR(AK34/AK148, "NA")</f>
        <v>-3.743821123561565</v>
      </c>
    </row>
    <row r="35" spans="1:38" ht="16.5" customHeight="1" x14ac:dyDescent="0.25">
      <c r="A35" s="130" t="s">
        <v>40</v>
      </c>
      <c r="B35" s="121">
        <f>IFERROR(B13+B15+B16+B17+B18+B19+B20+B21+B22+B23+B24+B25+B26+B29+B30+B31+B32+B33, "NA")</f>
        <v>4469.87</v>
      </c>
      <c r="C35" s="122">
        <f>IFERROR(B35/B148, "NA")</f>
        <v>0.19311396906975981</v>
      </c>
      <c r="D35" s="121">
        <f>IFERROR(D13+D15+D16+D17+D18+D19+D20+D21+D22+D23+D24+D25+D26+D29+D30+D31+D32+D33, "NA")</f>
        <v>5765.0099999999993</v>
      </c>
      <c r="E35" s="122">
        <f>IFERROR(D35/D148, "NA")</f>
        <v>0.22677203451334568</v>
      </c>
      <c r="F35" s="121">
        <f>IFERROR(F13+F15+F16+F17+F18+F19+F20+F21+F22+F23+F24+F25+F26+F29+F30+F31+F32+F33, "NA")</f>
        <v>5509.6400000000012</v>
      </c>
      <c r="G35" s="122">
        <f>IFERROR(F35/F148, "NA")</f>
        <v>0.22482407692668668</v>
      </c>
      <c r="H35" s="121">
        <f>IFERROR(H13+H15+H16+H17+H18+H19+H20+H21+H22+H23+H24+H25+H26+H29+H30+H31+H32+H33, "NA")</f>
        <v>4989.66</v>
      </c>
      <c r="I35" s="122">
        <f>IFERROR(H35/H148, "NA")</f>
        <v>0.19306243422274499</v>
      </c>
      <c r="J35" s="121">
        <f>IFERROR(J13+J15+J16+J17+J18+J19+J20+J21+J22+J23+J24+J25+J26+J29+J30+J31+J32+J33, "NA")</f>
        <v>4985.34</v>
      </c>
      <c r="K35" s="122">
        <f>IFERROR(J35/J148, "NA")</f>
        <v>0.17511351745518577</v>
      </c>
      <c r="L35" s="121">
        <f>IFERROR(L13+L15+L16+L17+L18+L19+L20+L21+L22+L23+L24+L25+L26+L29+L30+L31+L32+L33, "NA")</f>
        <v>5252.92</v>
      </c>
      <c r="M35" s="122">
        <f>IFERROR(L35/L148, "NA")</f>
        <v>0.2137585618668125</v>
      </c>
      <c r="N35" s="121">
        <f>IFERROR(N13+N15+N16+N17+N18+N19+N20+N21+N22+N23+N24+N25+N26+N29+N30+N31+N32+N33, "NA")</f>
        <v>4685.2999999999993</v>
      </c>
      <c r="O35" s="122">
        <f>IFERROR(N35/N148, "NA")</f>
        <v>0.21833556470264226</v>
      </c>
      <c r="P35" s="121">
        <f>IFERROR(P13+P15+P16+P17+P18+P19+P20+P21+P22+P23+P24+P25+P26+P29+P30+P31+P32+P33, "NA")</f>
        <v>9154.49</v>
      </c>
      <c r="Q35" s="122">
        <f>IFERROR(P35/P148, "NA")</f>
        <v>0.19068171626021393</v>
      </c>
      <c r="R35" s="121">
        <f>IFERROR(R13+R15+R16+R17+R18+R19+R20+R21+R22+R23+R24+R25+R26+R29+R30+R31+R32+R33, "NA")</f>
        <v>5625.5599999999995</v>
      </c>
      <c r="S35" s="122">
        <f>IFERROR(R35/R148, "NA")</f>
        <v>0.20634867069663709</v>
      </c>
      <c r="T35" s="121">
        <f>IFERROR(T13+T15+T16+T17+T18+T19+T20+T21+T22+T23+T24+T25+T26+T29+T30+T31+T32+T33, "NA")</f>
        <v>6512.31</v>
      </c>
      <c r="U35" s="122">
        <f>IFERROR(T35/T148, "NA")</f>
        <v>0.21190903313621828</v>
      </c>
      <c r="V35" s="121">
        <f>IFERROR(V13+V15+V16+V17+V18+V19+V20+V21+V22+V23+V24+V25+V26+V29+V30+V31+V32+V33, "NA")</f>
        <v>5025.45</v>
      </c>
      <c r="W35" s="122">
        <f>IFERROR(V35/V148, "NA")</f>
        <v>0.18690141117455064</v>
      </c>
      <c r="X35" s="121">
        <f>IFERROR(X13+X15+X16+X17+X18+X19+X20+X21+X22+X23+X24+X25+X26+X29+X30+X31+X32+X33, "NA")</f>
        <v>5113.5099999999993</v>
      </c>
      <c r="Y35" s="122">
        <f>IFERROR(X35/X148, "NA")</f>
        <v>0.20874655967890607</v>
      </c>
      <c r="Z35" s="121">
        <f>IFERROR(Z13+Z15+Z16+Z17+Z18+Z19+Z20+Z21+Z22+Z23+Z24+Z25+Z26+Z29+Z30+Z31+Z32+Z33, "NA")</f>
        <v>16651.27</v>
      </c>
      <c r="AA35" s="122">
        <f>IFERROR(Z35/Z148, "NA")</f>
        <v>0.2027770914191889</v>
      </c>
      <c r="AB35" s="121">
        <f t="shared" si="6"/>
        <v>5569.2074999999995</v>
      </c>
      <c r="AC35" s="122">
        <f>IFERROR(AB35/AB148, "NA")</f>
        <v>0.2036673010690489</v>
      </c>
      <c r="AD35" s="123">
        <f t="shared" si="7"/>
        <v>-455.69750000000022</v>
      </c>
      <c r="AE35" s="124">
        <f>IFERROR(AD35/AD148, "NA")</f>
        <v>0.15998521962980614</v>
      </c>
      <c r="AF35" s="123">
        <f t="shared" si="8"/>
        <v>-8.1824478617469401E-2</v>
      </c>
      <c r="AG35" s="121">
        <f t="shared" si="9"/>
        <v>5794.36</v>
      </c>
      <c r="AH35" s="122">
        <f>IFERROR(AG35/AG148, "NA")</f>
        <v>0.19990009066358291</v>
      </c>
      <c r="AI35" s="123">
        <f t="shared" si="10"/>
        <v>-680.85000000000036</v>
      </c>
      <c r="AJ35" s="124">
        <f>IFERROR(AI35/AI148, "NA")</f>
        <v>0.15163629560670114</v>
      </c>
      <c r="AK35" s="123">
        <f t="shared" si="11"/>
        <v>-0.1175021917864959</v>
      </c>
      <c r="AL35" s="124">
        <f>IFERROR(AK35/AK148, "NA")</f>
        <v>0.75856041437166644</v>
      </c>
    </row>
    <row r="36" spans="1:38" ht="16.5" customHeight="1" x14ac:dyDescent="0.25">
      <c r="A36" s="4" t="s">
        <v>41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42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43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44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45</v>
      </c>
      <c r="B40" s="115">
        <v>734.82</v>
      </c>
      <c r="C40" s="116">
        <f>IFERROR(B40/B148, "NA")</f>
        <v>3.1746786092624824E-2</v>
      </c>
      <c r="D40" s="115">
        <v>881.41</v>
      </c>
      <c r="E40" s="116">
        <f>IFERROR(D40/D148, "NA")</f>
        <v>3.4671082780499608E-2</v>
      </c>
      <c r="F40" s="115">
        <v>571.04999999999995</v>
      </c>
      <c r="G40" s="116">
        <f>IFERROR(F40/F148, "NA")</f>
        <v>2.3302028649600407E-2</v>
      </c>
      <c r="H40" s="115">
        <v>677.31</v>
      </c>
      <c r="I40" s="116">
        <f>IFERROR(H40/H148, "NA")</f>
        <v>2.6206819166718257E-2</v>
      </c>
      <c r="J40" s="115">
        <v>782.3</v>
      </c>
      <c r="K40" s="116">
        <f>IFERROR(J40/J148, "NA")</f>
        <v>2.7478828867277223E-2</v>
      </c>
      <c r="L40" s="115">
        <v>734.01</v>
      </c>
      <c r="M40" s="116">
        <f>IFERROR(L40/L148, "NA")</f>
        <v>2.9869276896632546E-2</v>
      </c>
      <c r="N40" s="115">
        <v>764.65</v>
      </c>
      <c r="O40" s="116">
        <f>IFERROR(N40/N148, "NA")</f>
        <v>3.563278542459937E-2</v>
      </c>
      <c r="P40" s="115">
        <v>757.66</v>
      </c>
      <c r="Q40" s="116">
        <f>IFERROR(P40/P148, "NA")</f>
        <v>1.5781535524285205E-2</v>
      </c>
      <c r="R40" s="115">
        <v>568.55999999999995</v>
      </c>
      <c r="S40" s="116">
        <f>IFERROR(R40/R148, "NA")</f>
        <v>2.0855097130113267E-2</v>
      </c>
      <c r="T40" s="115">
        <v>643.66</v>
      </c>
      <c r="U40" s="116">
        <f>IFERROR(T40/T148, "NA")</f>
        <v>2.0944544757307046E-2</v>
      </c>
      <c r="V40" s="115">
        <v>807.02</v>
      </c>
      <c r="W40" s="116">
        <f>IFERROR(V40/V148, "NA")</f>
        <v>3.0013864797398412E-2</v>
      </c>
      <c r="X40" s="115">
        <v>534.9</v>
      </c>
      <c r="Y40" s="116">
        <f>IFERROR(X40/X148, "NA")</f>
        <v>2.1835986391391993E-2</v>
      </c>
      <c r="Z40" s="115">
        <v>1985.58</v>
      </c>
      <c r="AA40" s="116">
        <f>IFERROR(Z40/Z148, "NA")</f>
        <v>2.4180145849542589E-2</v>
      </c>
      <c r="AB40" s="117">
        <f t="shared" si="12"/>
        <v>638.53499999999997</v>
      </c>
      <c r="AC40" s="116">
        <f>IFERROR(AB40/AB148, "NA")</f>
        <v>2.3351383493634446E-2</v>
      </c>
      <c r="AD40" s="118">
        <f t="shared" si="13"/>
        <v>-103.63499999999999</v>
      </c>
      <c r="AE40" s="119">
        <f>IFERROR(AD40/AD148, "NA")</f>
        <v>3.6383935036586663E-2</v>
      </c>
      <c r="AF40" s="118">
        <f t="shared" si="14"/>
        <v>-0.16230120510230447</v>
      </c>
      <c r="AG40" s="117">
        <f t="shared" si="15"/>
        <v>699.09500000000003</v>
      </c>
      <c r="AH40" s="116">
        <f>IFERROR(AG40/AG148, "NA")</f>
        <v>2.4118134510533951E-2</v>
      </c>
      <c r="AI40" s="118">
        <f t="shared" si="16"/>
        <v>-164.19500000000005</v>
      </c>
      <c r="AJ40" s="119">
        <f>IFERROR(AI40/AI148, "NA")</f>
        <v>3.6568879425926841E-2</v>
      </c>
      <c r="AK40" s="118">
        <f t="shared" si="17"/>
        <v>-0.23486793640349315</v>
      </c>
      <c r="AL40" s="119">
        <f>IFERROR(AK40/AK148, "NA")</f>
        <v>1.5162399649921035</v>
      </c>
    </row>
    <row r="41" spans="1:38" ht="16.5" customHeight="1" x14ac:dyDescent="0.25">
      <c r="A41" s="7" t="s">
        <v>46</v>
      </c>
      <c r="B41" s="115">
        <v>253.91</v>
      </c>
      <c r="C41" s="116">
        <f>IFERROR(B41/B148, "NA")</f>
        <v>1.0969797306521825E-2</v>
      </c>
      <c r="D41" s="115">
        <v>13.55</v>
      </c>
      <c r="E41" s="116">
        <f>IFERROR(D41/D148, "NA")</f>
        <v>5.3300186255632418E-4</v>
      </c>
      <c r="F41" s="115">
        <v>369.73</v>
      </c>
      <c r="G41" s="116">
        <f>IFERROR(F41/F148, "NA")</f>
        <v>1.5087048511718344E-2</v>
      </c>
      <c r="H41" s="115">
        <v>358.32</v>
      </c>
      <c r="I41" s="116">
        <f>IFERROR(H41/H148, "NA")</f>
        <v>1.3864297653686622E-2</v>
      </c>
      <c r="J41" s="115">
        <v>432.75</v>
      </c>
      <c r="K41" s="116">
        <f>IFERROR(J41/J148, "NA")</f>
        <v>1.5200643221672272E-2</v>
      </c>
      <c r="L41" s="115">
        <v>-26.63</v>
      </c>
      <c r="M41" s="116">
        <f>IFERROR(L41/L148, "NA")</f>
        <v>-1.0836621350626349E-3</v>
      </c>
      <c r="N41" s="115">
        <v>445.11</v>
      </c>
      <c r="O41" s="116">
        <f>IFERROR(N41/N148, "NA")</f>
        <v>2.0742181547562185E-2</v>
      </c>
      <c r="P41" s="115">
        <v>839.31</v>
      </c>
      <c r="Q41" s="116">
        <f>IFERROR(P41/P148, "NA")</f>
        <v>1.7482248740711949E-2</v>
      </c>
      <c r="R41" s="115">
        <v>235.28</v>
      </c>
      <c r="S41" s="116">
        <f>IFERROR(R41/R148, "NA")</f>
        <v>8.630201302893362E-3</v>
      </c>
      <c r="T41" s="115">
        <v>579.44000000000005</v>
      </c>
      <c r="U41" s="116">
        <f>IFERROR(T41/T148, "NA")</f>
        <v>1.8854841087179563E-2</v>
      </c>
      <c r="V41" s="115">
        <v>454.29</v>
      </c>
      <c r="W41" s="116">
        <f>IFERROR(V41/V148, "NA")</f>
        <v>1.6895490370511419E-2</v>
      </c>
      <c r="X41" s="115">
        <v>320.32</v>
      </c>
      <c r="Y41" s="116">
        <f>IFERROR(X41/X148, "NA")</f>
        <v>1.3076281848739359E-2</v>
      </c>
      <c r="Z41" s="115">
        <v>1354.05</v>
      </c>
      <c r="AA41" s="116">
        <f>IFERROR(Z41/Z148, "NA")</f>
        <v>1.6489452194106077E-2</v>
      </c>
      <c r="AB41" s="117">
        <f t="shared" si="12"/>
        <v>397.33249999999998</v>
      </c>
      <c r="AC41" s="116">
        <f>IFERROR(AB41/AB148, "NA")</f>
        <v>1.4530548179793603E-2</v>
      </c>
      <c r="AD41" s="118">
        <f t="shared" si="13"/>
        <v>-77.012499999999989</v>
      </c>
      <c r="AE41" s="119">
        <f>IFERROR(AD41/AD148, "NA")</f>
        <v>2.7037369585614226E-2</v>
      </c>
      <c r="AF41" s="118">
        <f t="shared" si="14"/>
        <v>-0.19382381254994241</v>
      </c>
      <c r="AG41" s="117">
        <f t="shared" si="15"/>
        <v>409.98375000000004</v>
      </c>
      <c r="AH41" s="116">
        <f>IFERROR(AG41/AG148, "NA")</f>
        <v>1.4144062294299237E-2</v>
      </c>
      <c r="AI41" s="118">
        <f t="shared" si="16"/>
        <v>-89.66375000000005</v>
      </c>
      <c r="AJ41" s="119">
        <f>IFERROR(AI41/AI148, "NA")</f>
        <v>1.996956583712323E-2</v>
      </c>
      <c r="AK41" s="118">
        <f t="shared" si="17"/>
        <v>-0.21870074118791302</v>
      </c>
      <c r="AL41" s="119">
        <f>IFERROR(AK41/AK148, "NA")</f>
        <v>1.4118691944090178</v>
      </c>
    </row>
    <row r="42" spans="1:38" ht="16.5" customHeight="1" x14ac:dyDescent="0.25">
      <c r="A42" s="7" t="s">
        <v>47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77.14</v>
      </c>
      <c r="S42" s="116">
        <f>IFERROR(R42/R148, "NA")</f>
        <v>2.8295381184341804E-3</v>
      </c>
      <c r="T42" s="115">
        <v>0</v>
      </c>
      <c r="U42" s="116">
        <f>IFERROR(T42/T148, "NA")</f>
        <v>0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7.0525723832638818E-4</v>
      </c>
      <c r="AD42" s="118">
        <f t="shared" si="13"/>
        <v>-19.285</v>
      </c>
      <c r="AE42" s="119">
        <f>IFERROR(AD42/AD148, "NA")</f>
        <v>6.7705329973519936E-3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3.3265738135421311E-4</v>
      </c>
      <c r="AI42" s="118">
        <f t="shared" si="16"/>
        <v>-9.6425000000000001</v>
      </c>
      <c r="AJ42" s="119">
        <f>IFERROR(AI42/AI148, "NA")</f>
        <v>2.1475405454764117E-3</v>
      </c>
      <c r="AK42" s="118">
        <f t="shared" si="17"/>
        <v>-1</v>
      </c>
      <c r="AL42" s="119">
        <f>IFERROR(AK42/AK148, "NA")</f>
        <v>6.4557128921474725</v>
      </c>
    </row>
    <row r="43" spans="1:38" ht="16.5" hidden="1" customHeight="1" x14ac:dyDescent="0.25">
      <c r="A43" s="7" t="s">
        <v>48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49</v>
      </c>
      <c r="B44" s="121">
        <f>IFERROR(B39+B40+B41+B42+B43, "NA")</f>
        <v>988.73</v>
      </c>
      <c r="C44" s="122">
        <f>IFERROR(B44/B148, "NA")</f>
        <v>4.2716583399146649E-2</v>
      </c>
      <c r="D44" s="121">
        <f>IFERROR(D39+D40+D41+D42+D43, "NA")</f>
        <v>894.95999999999992</v>
      </c>
      <c r="E44" s="122">
        <f>IFERROR(D44/D148, "NA")</f>
        <v>3.5204084643055925E-2</v>
      </c>
      <c r="F44" s="121">
        <f>IFERROR(F39+F40+F41+F42+F43, "NA")</f>
        <v>940.78</v>
      </c>
      <c r="G44" s="122">
        <f>IFERROR(F44/F148, "NA")</f>
        <v>3.8389077161318751E-2</v>
      </c>
      <c r="H44" s="121">
        <f>IFERROR(H39+H40+H41+H42+H43, "NA")</f>
        <v>1035.6299999999999</v>
      </c>
      <c r="I44" s="122">
        <f>IFERROR(H44/H148, "NA")</f>
        <v>4.0071116820404873E-2</v>
      </c>
      <c r="J44" s="121">
        <f>IFERROR(J39+J40+J41+J42+J43, "NA")</f>
        <v>1215.05</v>
      </c>
      <c r="K44" s="122">
        <f>IFERROR(J44/J148, "NA")</f>
        <v>4.267947208894949E-2</v>
      </c>
      <c r="L44" s="121">
        <f>IFERROR(L39+L40+L41+L42+L43, "NA")</f>
        <v>707.38</v>
      </c>
      <c r="M44" s="122">
        <f>IFERROR(L44/L148, "NA")</f>
        <v>2.8785614761569912E-2</v>
      </c>
      <c r="N44" s="121">
        <f>IFERROR(N39+N40+N41+N42+N43, "NA")</f>
        <v>1209.76</v>
      </c>
      <c r="O44" s="122">
        <f>IFERROR(N44/N148, "NA")</f>
        <v>5.6374966972161558E-2</v>
      </c>
      <c r="P44" s="121">
        <f>IFERROR(P39+P40+P41+P42+P43, "NA")</f>
        <v>1596.9699999999998</v>
      </c>
      <c r="Q44" s="122">
        <f>IFERROR(P44/P148, "NA")</f>
        <v>3.3263784264997154E-2</v>
      </c>
      <c r="R44" s="121">
        <f>IFERROR(R39+R40+R41+R42+R43, "NA")</f>
        <v>880.9799999999999</v>
      </c>
      <c r="S44" s="122">
        <f>IFERROR(R44/R148, "NA")</f>
        <v>3.2314836551440809E-2</v>
      </c>
      <c r="T44" s="121">
        <f>IFERROR(T39+T40+T41+T42+T43, "NA")</f>
        <v>1223.0999999999999</v>
      </c>
      <c r="U44" s="122">
        <f>IFERROR(T44/T148, "NA")</f>
        <v>3.9799385844486605E-2</v>
      </c>
      <c r="V44" s="121">
        <f>IFERROR(V39+V40+V41+V42+V43, "NA")</f>
        <v>1261.31</v>
      </c>
      <c r="W44" s="122">
        <f>IFERROR(V44/V148, "NA")</f>
        <v>4.6909355167909832E-2</v>
      </c>
      <c r="X44" s="121">
        <f>IFERROR(X39+X40+X41+X42+X43, "NA")</f>
        <v>855.22</v>
      </c>
      <c r="Y44" s="122">
        <f>IFERROR(X44/X148, "NA")</f>
        <v>3.4912268240131356E-2</v>
      </c>
      <c r="Z44" s="121">
        <f>IFERROR(Z39+Z40+Z41+Z42+Z43, "NA")</f>
        <v>3339.63</v>
      </c>
      <c r="AA44" s="122">
        <f>IFERROR(Z44/Z148, "NA")</f>
        <v>4.0669598043648669E-2</v>
      </c>
      <c r="AB44" s="121">
        <f t="shared" si="12"/>
        <v>1055.1524999999999</v>
      </c>
      <c r="AC44" s="122">
        <f>IFERROR(AB44/AB148, "NA")</f>
        <v>3.8587188911754437E-2</v>
      </c>
      <c r="AD44" s="123">
        <f t="shared" si="13"/>
        <v>-199.93249999999989</v>
      </c>
      <c r="AE44" s="124">
        <f>IFERROR(AD44/AD148, "NA")</f>
        <v>7.0191837619552847E-2</v>
      </c>
      <c r="AF44" s="123">
        <f t="shared" si="14"/>
        <v>-0.18948208908190986</v>
      </c>
      <c r="AG44" s="121">
        <f t="shared" si="15"/>
        <v>1118.7212499999998</v>
      </c>
      <c r="AH44" s="122">
        <f>IFERROR(AG44/AG148, "NA")</f>
        <v>3.859485418618739E-2</v>
      </c>
      <c r="AI44" s="123">
        <f t="shared" si="16"/>
        <v>-263.5012499999998</v>
      </c>
      <c r="AJ44" s="124">
        <f>IFERROR(AI44/AI148, "NA")</f>
        <v>5.8685985808526415E-2</v>
      </c>
      <c r="AK44" s="123">
        <f t="shared" si="17"/>
        <v>-0.23553789650460277</v>
      </c>
      <c r="AL44" s="124">
        <f>IFERROR(AK44/AK148, "NA")</f>
        <v>1.5205650350540612</v>
      </c>
    </row>
    <row r="45" spans="1:38" ht="16.5" customHeight="1" x14ac:dyDescent="0.25">
      <c r="A45" s="6" t="s">
        <v>50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51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52</v>
      </c>
      <c r="B47" s="115">
        <v>86.97</v>
      </c>
      <c r="C47" s="116">
        <f>IFERROR(B47/B148, "NA")</f>
        <v>3.7574072377937191E-3</v>
      </c>
      <c r="D47" s="115">
        <v>81.34</v>
      </c>
      <c r="E47" s="116">
        <f>IFERROR(D47/D148, "NA")</f>
        <v>3.1995846125705838E-3</v>
      </c>
      <c r="F47" s="115">
        <v>62.41</v>
      </c>
      <c r="G47" s="116">
        <f>IFERROR(F47/F148, "NA")</f>
        <v>2.5466764872105097E-3</v>
      </c>
      <c r="H47" s="115">
        <v>50.71</v>
      </c>
      <c r="I47" s="116">
        <f>IFERROR(H47/H148, "NA")</f>
        <v>1.9620968241193587E-3</v>
      </c>
      <c r="J47" s="115">
        <v>46.74</v>
      </c>
      <c r="K47" s="116">
        <f>IFERROR(J47/J148, "NA")</f>
        <v>1.6417748450166655E-3</v>
      </c>
      <c r="L47" s="115">
        <v>55.01</v>
      </c>
      <c r="M47" s="116">
        <f>IFERROR(L47/L148, "NA")</f>
        <v>2.2385375159517666E-3</v>
      </c>
      <c r="N47" s="115">
        <v>56.3</v>
      </c>
      <c r="O47" s="116">
        <f>IFERROR(N47/N148, "NA")</f>
        <v>2.6235870259660554E-3</v>
      </c>
      <c r="P47" s="115">
        <v>60.39</v>
      </c>
      <c r="Q47" s="116">
        <f>IFERROR(P47/P148, "NA")</f>
        <v>1.2578820715249369E-3</v>
      </c>
      <c r="R47" s="115">
        <v>55.43</v>
      </c>
      <c r="S47" s="116">
        <f>IFERROR(R47/R148, "NA")</f>
        <v>2.0332032396267385E-3</v>
      </c>
      <c r="T47" s="115">
        <v>42.37</v>
      </c>
      <c r="U47" s="116">
        <f>IFERROR(T47/T148, "NA")</f>
        <v>1.3787098178651765E-3</v>
      </c>
      <c r="V47" s="115">
        <v>165.79</v>
      </c>
      <c r="W47" s="116">
        <f>IFERROR(V47/V148, "NA")</f>
        <v>6.1658925983998948E-3</v>
      </c>
      <c r="X47" s="115">
        <v>64.97</v>
      </c>
      <c r="Y47" s="116">
        <f>IFERROR(X47/X148, "NA")</f>
        <v>2.6522416074943687E-3</v>
      </c>
      <c r="Z47" s="115">
        <v>273.13</v>
      </c>
      <c r="AA47" s="116">
        <f>IFERROR(Z47/Z148, "NA")</f>
        <v>3.3261431097641836E-3</v>
      </c>
      <c r="AB47" s="117">
        <f t="shared" si="18"/>
        <v>82.139999999999986</v>
      </c>
      <c r="AC47" s="116">
        <f>IFERROR(AB47/AB148, "NA")</f>
        <v>3.0038801947694848E-3</v>
      </c>
      <c r="AD47" s="118">
        <f t="shared" si="19"/>
        <v>-17.169999999999987</v>
      </c>
      <c r="AE47" s="119">
        <f>IFERROR(AD47/AD148, "NA")</f>
        <v>6.0280037108910367E-3</v>
      </c>
      <c r="AF47" s="118">
        <f t="shared" si="20"/>
        <v>-0.2090333576820062</v>
      </c>
      <c r="AG47" s="117">
        <f t="shared" si="21"/>
        <v>68.375</v>
      </c>
      <c r="AH47" s="116">
        <f>IFERROR(AG47/AG148, "NA")</f>
        <v>2.3588746124028333E-3</v>
      </c>
      <c r="AI47" s="118">
        <f t="shared" si="22"/>
        <v>-3.4050000000000011</v>
      </c>
      <c r="AJ47" s="119">
        <f>IFERROR(AI47/AI148, "NA")</f>
        <v>7.5834851515138037E-4</v>
      </c>
      <c r="AK47" s="118">
        <f t="shared" si="23"/>
        <v>-4.979890310786108E-2</v>
      </c>
      <c r="AL47" s="119">
        <f>IFERROR(AK47/AK148, "NA")</f>
        <v>0.32148742080822162</v>
      </c>
    </row>
    <row r="48" spans="1:38" ht="16.5" hidden="1" customHeight="1" x14ac:dyDescent="0.25">
      <c r="A48" s="7" t="s">
        <v>53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54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55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56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57</v>
      </c>
      <c r="B52" s="121">
        <f>IFERROR(B46+B47+B48+B49+B50+B51, "NA")</f>
        <v>86.97</v>
      </c>
      <c r="C52" s="122">
        <f>IFERROR(B52/B148, "NA")</f>
        <v>3.7574072377937191E-3</v>
      </c>
      <c r="D52" s="121">
        <f>IFERROR(D46+D47+D48+D49+D50+D51, "NA")</f>
        <v>81.34</v>
      </c>
      <c r="E52" s="122">
        <f>IFERROR(D52/D148, "NA")</f>
        <v>3.1995846125705838E-3</v>
      </c>
      <c r="F52" s="121">
        <f>IFERROR(F46+F47+F48+F49+F50+F51, "NA")</f>
        <v>62.41</v>
      </c>
      <c r="G52" s="122">
        <f>IFERROR(F52/F148, "NA")</f>
        <v>2.5466764872105097E-3</v>
      </c>
      <c r="H52" s="121">
        <f>IFERROR(H46+H47+H48+H49+H50+H51, "NA")</f>
        <v>50.71</v>
      </c>
      <c r="I52" s="122">
        <f>IFERROR(H52/H148, "NA")</f>
        <v>1.9620968241193587E-3</v>
      </c>
      <c r="J52" s="121">
        <f>IFERROR(J46+J47+J48+J49+J50+J51, "NA")</f>
        <v>46.74</v>
      </c>
      <c r="K52" s="122">
        <f>IFERROR(J52/J148, "NA")</f>
        <v>1.6417748450166655E-3</v>
      </c>
      <c r="L52" s="121">
        <f>IFERROR(L46+L47+L48+L49+L50+L51, "NA")</f>
        <v>55.01</v>
      </c>
      <c r="M52" s="122">
        <f>IFERROR(L52/L148, "NA")</f>
        <v>2.2385375159517666E-3</v>
      </c>
      <c r="N52" s="121">
        <f>IFERROR(N46+N47+N48+N49+N50+N51, "NA")</f>
        <v>56.3</v>
      </c>
      <c r="O52" s="122">
        <f>IFERROR(N52/N148, "NA")</f>
        <v>2.6235870259660554E-3</v>
      </c>
      <c r="P52" s="121">
        <f>IFERROR(P46+P47+P48+P49+P50+P51, "NA")</f>
        <v>60.39</v>
      </c>
      <c r="Q52" s="122">
        <f>IFERROR(P52/P148, "NA")</f>
        <v>1.2578820715249369E-3</v>
      </c>
      <c r="R52" s="121">
        <f>IFERROR(R46+R47+R48+R49+R50+R51, "NA")</f>
        <v>55.43</v>
      </c>
      <c r="S52" s="122">
        <f>IFERROR(R52/R148, "NA")</f>
        <v>2.0332032396267385E-3</v>
      </c>
      <c r="T52" s="121">
        <f>IFERROR(T46+T47+T48+T49+T50+T51, "NA")</f>
        <v>42.37</v>
      </c>
      <c r="U52" s="122">
        <f>IFERROR(T52/T148, "NA")</f>
        <v>1.3787098178651765E-3</v>
      </c>
      <c r="V52" s="121">
        <f>IFERROR(V46+V47+V48+V49+V50+V51, "NA")</f>
        <v>165.79</v>
      </c>
      <c r="W52" s="122">
        <f>IFERROR(V52/V148, "NA")</f>
        <v>6.1658925983998948E-3</v>
      </c>
      <c r="X52" s="121">
        <f>IFERROR(X46+X47+X48+X49+X50+X51, "NA")</f>
        <v>64.97</v>
      </c>
      <c r="Y52" s="122">
        <f>IFERROR(X52/X148, "NA")</f>
        <v>2.6522416074943687E-3</v>
      </c>
      <c r="Z52" s="121">
        <f>IFERROR(Z46+Z47+Z48+Z49+Z50+Z51, "NA")</f>
        <v>273.13</v>
      </c>
      <c r="AA52" s="122">
        <f>IFERROR(Z52/Z148, "NA")</f>
        <v>3.3261431097641836E-3</v>
      </c>
      <c r="AB52" s="121">
        <f t="shared" si="18"/>
        <v>82.139999999999986</v>
      </c>
      <c r="AC52" s="122">
        <f>IFERROR(AB52/AB148, "NA")</f>
        <v>3.0038801947694848E-3</v>
      </c>
      <c r="AD52" s="123">
        <f t="shared" si="19"/>
        <v>-17.169999999999987</v>
      </c>
      <c r="AE52" s="124">
        <f>IFERROR(AD52/AD148, "NA")</f>
        <v>6.0280037108910367E-3</v>
      </c>
      <c r="AF52" s="123">
        <f t="shared" si="20"/>
        <v>-0.2090333576820062</v>
      </c>
      <c r="AG52" s="121">
        <f t="shared" si="21"/>
        <v>68.375</v>
      </c>
      <c r="AH52" s="122">
        <f>IFERROR(AG52/AG148, "NA")</f>
        <v>2.3588746124028333E-3</v>
      </c>
      <c r="AI52" s="123">
        <f t="shared" si="22"/>
        <v>-3.4050000000000011</v>
      </c>
      <c r="AJ52" s="124">
        <f>IFERROR(AI52/AI148, "NA")</f>
        <v>7.5834851515138037E-4</v>
      </c>
      <c r="AK52" s="123">
        <f t="shared" si="23"/>
        <v>-4.979890310786108E-2</v>
      </c>
      <c r="AL52" s="124">
        <f>IFERROR(AK52/AK148, "NA")</f>
        <v>0.32148742080822162</v>
      </c>
    </row>
    <row r="53" spans="1:38" ht="16.5" customHeight="1" x14ac:dyDescent="0.25">
      <c r="A53" s="5" t="s">
        <v>58</v>
      </c>
      <c r="B53" s="115">
        <v>77.37</v>
      </c>
      <c r="C53" s="116">
        <f>IFERROR(B53/B148, "NA")</f>
        <v>3.3426537655294936E-3</v>
      </c>
      <c r="D53" s="115">
        <v>126.33</v>
      </c>
      <c r="E53" s="116">
        <f>IFERROR(D53/D148, "NA")</f>
        <v>4.9693081399808433E-3</v>
      </c>
      <c r="F53" s="115">
        <v>69.64</v>
      </c>
      <c r="G53" s="116">
        <f>IFERROR(F53/F148, "NA")</f>
        <v>2.8417008583454559E-3</v>
      </c>
      <c r="H53" s="115">
        <v>58.31</v>
      </c>
      <c r="I53" s="116">
        <f>IFERROR(H53/H148, "NA")</f>
        <v>2.2561598464681484E-3</v>
      </c>
      <c r="J53" s="115">
        <v>134.18</v>
      </c>
      <c r="K53" s="116">
        <f>IFERROR(J53/J148, "NA")</f>
        <v>4.7131653552489553E-3</v>
      </c>
      <c r="L53" s="115">
        <v>67.97</v>
      </c>
      <c r="M53" s="116">
        <f>IFERROR(L53/L148, "NA")</f>
        <v>2.7659224679011381E-3</v>
      </c>
      <c r="N53" s="115">
        <v>84.04</v>
      </c>
      <c r="O53" s="116">
        <f>IFERROR(N53/N148, "NA")</f>
        <v>3.9162744877830787E-3</v>
      </c>
      <c r="P53" s="115">
        <v>93.85</v>
      </c>
      <c r="Q53" s="116">
        <f>IFERROR(P53/P148, "NA")</f>
        <v>1.9548308066338021E-3</v>
      </c>
      <c r="R53" s="115">
        <v>86.77</v>
      </c>
      <c r="S53" s="116">
        <f>IFERROR(R53/R148, "NA")</f>
        <v>3.182771876283819E-3</v>
      </c>
      <c r="T53" s="115">
        <v>144.27000000000001</v>
      </c>
      <c r="U53" s="116">
        <f>IFERROR(T53/T148, "NA")</f>
        <v>4.694511810795588E-3</v>
      </c>
      <c r="V53" s="115">
        <v>74.010000000000005</v>
      </c>
      <c r="W53" s="116">
        <f>IFERROR(V53/V148, "NA")</f>
        <v>2.7525044406030296E-3</v>
      </c>
      <c r="X53" s="115">
        <v>100.56</v>
      </c>
      <c r="Y53" s="116">
        <f>IFERROR(X53/X148, "NA")</f>
        <v>4.1051164545118316E-3</v>
      </c>
      <c r="Z53" s="115">
        <v>318.83999999999997</v>
      </c>
      <c r="AA53" s="116">
        <f>IFERROR(Z53/Z148, "NA")</f>
        <v>3.882793794593096E-3</v>
      </c>
      <c r="AB53" s="117">
        <f t="shared" si="18"/>
        <v>101.4025</v>
      </c>
      <c r="AC53" s="116">
        <f>IFERROR(AB53/AB148, "NA")</f>
        <v>3.7083146025092858E-3</v>
      </c>
      <c r="AD53" s="118">
        <f t="shared" si="19"/>
        <v>-0.84250000000000114</v>
      </c>
      <c r="AE53" s="119">
        <f>IFERROR(AD53/AD148, "NA")</f>
        <v>2.9578294271553343E-4</v>
      </c>
      <c r="AF53" s="118">
        <f t="shared" si="20"/>
        <v>-8.3084736569611316E-3</v>
      </c>
      <c r="AG53" s="117">
        <f t="shared" si="21"/>
        <v>98.206249999999983</v>
      </c>
      <c r="AH53" s="116">
        <f>IFERROR(AG53/AG148, "NA")</f>
        <v>3.3880253002454949E-3</v>
      </c>
      <c r="AI53" s="118">
        <f t="shared" si="22"/>
        <v>2.3537500000000193</v>
      </c>
      <c r="AJ53" s="119">
        <f>IFERROR(AI53/AI148, "NA")</f>
        <v>-5.2421815493027186E-4</v>
      </c>
      <c r="AK53" s="118">
        <f t="shared" si="23"/>
        <v>2.3967415515815133E-2</v>
      </c>
      <c r="AL53" s="119">
        <f>IFERROR(AK53/AK148, "NA")</f>
        <v>-0.15472675333690311</v>
      </c>
    </row>
    <row r="54" spans="1:38" ht="16.5" customHeight="1" x14ac:dyDescent="0.25">
      <c r="A54" s="5" t="s">
        <v>59</v>
      </c>
      <c r="B54" s="115">
        <v>25</v>
      </c>
      <c r="C54" s="116">
        <f>IFERROR(B54/B148, "NA")</f>
        <v>1.0800871673547542E-3</v>
      </c>
      <c r="D54" s="115">
        <v>27</v>
      </c>
      <c r="E54" s="116">
        <f>IFERROR(D54/D148, "NA")</f>
        <v>1.0620701320310519E-3</v>
      </c>
      <c r="F54" s="115">
        <v>21</v>
      </c>
      <c r="G54" s="116">
        <f>IFERROR(F54/F148, "NA")</f>
        <v>8.5691726055793472E-4</v>
      </c>
      <c r="H54" s="115">
        <v>37</v>
      </c>
      <c r="I54" s="116">
        <f>IFERROR(H54/H148, "NA")</f>
        <v>1.4316226088033183E-3</v>
      </c>
      <c r="J54" s="115">
        <v>24</v>
      </c>
      <c r="K54" s="116">
        <f>IFERROR(J54/J148, "NA")</f>
        <v>8.4301660848095782E-4</v>
      </c>
      <c r="L54" s="115">
        <v>24.75</v>
      </c>
      <c r="M54" s="116">
        <f>IFERROR(L54/L148, "NA")</f>
        <v>1.0071587624033128E-3</v>
      </c>
      <c r="N54" s="115">
        <v>31</v>
      </c>
      <c r="O54" s="116">
        <f>IFERROR(N54/N148, "NA")</f>
        <v>1.4446038686491604E-3</v>
      </c>
      <c r="P54" s="115">
        <v>30.5</v>
      </c>
      <c r="Q54" s="116">
        <f>IFERROR(P54/P148, "NA")</f>
        <v>6.3529397551764484E-4</v>
      </c>
      <c r="R54" s="115">
        <v>36.25</v>
      </c>
      <c r="S54" s="116">
        <f>IFERROR(R54/R148, "NA")</f>
        <v>1.3296701684371148E-3</v>
      </c>
      <c r="T54" s="115">
        <v>49</v>
      </c>
      <c r="U54" s="116">
        <f>IFERROR(T54/T148, "NA")</f>
        <v>1.5944484558742898E-3</v>
      </c>
      <c r="V54" s="115">
        <v>32</v>
      </c>
      <c r="W54" s="116">
        <f>IFERROR(V54/V148, "NA")</f>
        <v>1.190111364670949E-3</v>
      </c>
      <c r="X54" s="115">
        <v>34.25</v>
      </c>
      <c r="Y54" s="116">
        <f>IFERROR(X54/X148, "NA")</f>
        <v>1.3981726190038807E-3</v>
      </c>
      <c r="Z54" s="115">
        <v>115.25</v>
      </c>
      <c r="AA54" s="116">
        <f>IFERROR(Z54/Z148, "NA")</f>
        <v>1.4035001405935715E-3</v>
      </c>
      <c r="AB54" s="117">
        <f t="shared" si="18"/>
        <v>37.875</v>
      </c>
      <c r="AC54" s="116">
        <f>IFERROR(AB54/AB148, "NA")</f>
        <v>1.3850981540892897E-3</v>
      </c>
      <c r="AD54" s="118">
        <f t="shared" si="19"/>
        <v>-3.625</v>
      </c>
      <c r="AE54" s="119">
        <f>IFERROR(AD54/AD148, "NA")</f>
        <v>1.2726565784496229E-3</v>
      </c>
      <c r="AF54" s="118">
        <f t="shared" si="20"/>
        <v>-9.5709570957095716E-2</v>
      </c>
      <c r="AG54" s="117">
        <f t="shared" si="21"/>
        <v>32.71875</v>
      </c>
      <c r="AH54" s="116">
        <f>IFERROR(AG54/AG148, "NA")</f>
        <v>1.1287667820775898E-3</v>
      </c>
      <c r="AI54" s="118">
        <f t="shared" si="22"/>
        <v>1.53125</v>
      </c>
      <c r="AJ54" s="119">
        <f>IFERROR(AI54/AI148, "NA")</f>
        <v>-3.4103411566095471E-4</v>
      </c>
      <c r="AK54" s="118">
        <f t="shared" si="23"/>
        <v>4.6800382043935052E-2</v>
      </c>
      <c r="AL54" s="119">
        <f>IFERROR(AK54/AK148, "NA")</f>
        <v>-0.30212982971845859</v>
      </c>
    </row>
    <row r="55" spans="1:38" ht="16.5" customHeight="1" x14ac:dyDescent="0.25">
      <c r="A55" s="5" t="s">
        <v>60</v>
      </c>
      <c r="B55" s="115">
        <v>-226.58</v>
      </c>
      <c r="C55" s="116">
        <f>IFERROR(B55/B148, "NA")</f>
        <v>-9.7890460151696095E-3</v>
      </c>
      <c r="D55" s="115">
        <v>-276.54000000000002</v>
      </c>
      <c r="E55" s="116">
        <f>IFERROR(D55/D148, "NA")</f>
        <v>-1.0877958307846929E-2</v>
      </c>
      <c r="F55" s="115">
        <v>-465.05</v>
      </c>
      <c r="G55" s="116">
        <f>IFERROR(F55/F148, "NA")</f>
        <v>-1.8976636762974647E-2</v>
      </c>
      <c r="H55" s="115">
        <v>-310.23</v>
      </c>
      <c r="I55" s="116">
        <f>IFERROR(H55/H148, "NA")</f>
        <v>-1.2003575187271714E-2</v>
      </c>
      <c r="J55" s="115">
        <v>-342.19</v>
      </c>
      <c r="K55" s="116">
        <f>IFERROR(J55/J148, "NA")</f>
        <v>-1.2019660552337457E-2</v>
      </c>
      <c r="L55" s="115">
        <v>-374.35</v>
      </c>
      <c r="M55" s="116">
        <f>IFERROR(L55/L148, "NA")</f>
        <v>-1.5233530614370914E-2</v>
      </c>
      <c r="N55" s="115">
        <v>-355.21</v>
      </c>
      <c r="O55" s="116">
        <f>IFERROR(N55/N148, "NA")</f>
        <v>-1.655283032847962E-2</v>
      </c>
      <c r="P55" s="115">
        <v>-321.97000000000003</v>
      </c>
      <c r="Q55" s="116">
        <f>IFERROR(P55/P148, "NA")</f>
        <v>-6.7064131572923324E-3</v>
      </c>
      <c r="R55" s="115">
        <v>-334.82</v>
      </c>
      <c r="S55" s="116">
        <f>IFERROR(R55/R148, "NA")</f>
        <v>-1.2281383884030751E-2</v>
      </c>
      <c r="T55" s="115">
        <v>0</v>
      </c>
      <c r="U55" s="116">
        <f>IFERROR(T55/T148, "NA")</f>
        <v>0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-83.704999999999998</v>
      </c>
      <c r="AC55" s="116">
        <f>IFERROR(AB55/AB148, "NA")</f>
        <v>-3.0611126333476963E-3</v>
      </c>
      <c r="AD55" s="118">
        <f t="shared" si="19"/>
        <v>83.704999999999998</v>
      </c>
      <c r="AE55" s="119">
        <f>IFERROR(AD55/AD148, "NA")</f>
        <v>-2.9386956937689841E-2</v>
      </c>
      <c r="AF55" s="118">
        <f t="shared" si="20"/>
        <v>-1</v>
      </c>
      <c r="AG55" s="117">
        <f t="shared" si="21"/>
        <v>-216.0675</v>
      </c>
      <c r="AH55" s="116">
        <f>IFERROR(AG55/AG148, "NA")</f>
        <v>-7.4541300228935896E-3</v>
      </c>
      <c r="AI55" s="118">
        <f t="shared" si="22"/>
        <v>216.0675</v>
      </c>
      <c r="AJ55" s="119">
        <f>IFERROR(AI55/AI148, "NA")</f>
        <v>-4.8121723288537685E-2</v>
      </c>
      <c r="AK55" s="118">
        <f t="shared" si="23"/>
        <v>-1</v>
      </c>
      <c r="AL55" s="119">
        <f>IFERROR(AK55/AK148, "NA")</f>
        <v>6.4557128921474725</v>
      </c>
    </row>
    <row r="56" spans="1:38" ht="16.5" customHeight="1" x14ac:dyDescent="0.25">
      <c r="A56" s="130" t="s">
        <v>61</v>
      </c>
      <c r="B56" s="121">
        <f>IFERROR(B37+B39+B40+B41+B42+B43+B46+B47+B48+B49+B50+B51+B53+B54+B55, "NA")</f>
        <v>951.49000000000012</v>
      </c>
      <c r="C56" s="122">
        <f>IFERROR(B56/B148, "NA")</f>
        <v>4.1107685554655007E-2</v>
      </c>
      <c r="D56" s="121">
        <f>IFERROR(D37+D39+D40+D41+D42+D43+D46+D47+D48+D49+D50+D51+D53+D54+D55, "NA")</f>
        <v>853.08999999999992</v>
      </c>
      <c r="E56" s="122">
        <f>IFERROR(D56/D148, "NA")</f>
        <v>3.3557089219791475E-2</v>
      </c>
      <c r="F56" s="121">
        <f>IFERROR(F37+F39+F40+F41+F42+F43+F46+F47+F48+F49+F50+F51+F53+F54+F55, "NA")</f>
        <v>628.78</v>
      </c>
      <c r="G56" s="122">
        <f>IFERROR(F56/F148, "NA")</f>
        <v>2.5657735004458008E-2</v>
      </c>
      <c r="H56" s="121">
        <f>IFERROR(H37+H39+H40+H41+H42+H43+H46+H47+H48+H49+H50+H51+H53+H54+H55, "NA")</f>
        <v>871.41999999999985</v>
      </c>
      <c r="I56" s="122">
        <f>IFERROR(H56/H148, "NA")</f>
        <v>3.3717420912523985E-2</v>
      </c>
      <c r="J56" s="121">
        <f>IFERROR(J37+J39+J40+J41+J42+J43+J46+J47+J48+J49+J50+J51+J53+J54+J55, "NA")</f>
        <v>1077.78</v>
      </c>
      <c r="K56" s="122">
        <f>IFERROR(J56/J148, "NA")</f>
        <v>3.7857768345358617E-2</v>
      </c>
      <c r="L56" s="121">
        <f>IFERROR(L37+L39+L40+L41+L42+L43+L46+L47+L48+L49+L50+L51+L53+L54+L55, "NA")</f>
        <v>480.76</v>
      </c>
      <c r="M56" s="122">
        <f>IFERROR(L56/L148, "NA")</f>
        <v>1.9563702893455215E-2</v>
      </c>
      <c r="N56" s="121">
        <f>IFERROR(N37+N39+N40+N41+N42+N43+N46+N47+N48+N49+N50+N51+N53+N54+N55, "NA")</f>
        <v>1025.8899999999999</v>
      </c>
      <c r="O56" s="122">
        <f>IFERROR(N56/N148, "NA")</f>
        <v>4.7806602026080225E-2</v>
      </c>
      <c r="P56" s="121">
        <f>IFERROR(P37+P39+P40+P41+P42+P43+P46+P47+P48+P49+P50+P51+P53+P54+P55, "NA")</f>
        <v>1459.7399999999998</v>
      </c>
      <c r="Q56" s="122">
        <f>IFERROR(P56/P148, "NA")</f>
        <v>3.0405377961381205E-2</v>
      </c>
      <c r="R56" s="121">
        <f>IFERROR(R37+R39+R40+R41+R42+R43+R46+R47+R48+R49+R50+R51+R53+R54+R55, "NA")</f>
        <v>724.6099999999999</v>
      </c>
      <c r="S56" s="122">
        <f>IFERROR(R56/R148, "NA")</f>
        <v>2.6579097951757728E-2</v>
      </c>
      <c r="T56" s="121">
        <f>IFERROR(T37+T39+T40+T41+T42+T43+T46+T47+T48+T49+T50+T51+T53+T54+T55, "NA")</f>
        <v>1458.7399999999998</v>
      </c>
      <c r="U56" s="122">
        <f>IFERROR(T56/T148, "NA")</f>
        <v>4.7467055929021652E-2</v>
      </c>
      <c r="V56" s="121">
        <f>IFERROR(V37+V39+V40+V41+V42+V43+V46+V47+V48+V49+V50+V51+V53+V54+V55, "NA")</f>
        <v>1533.11</v>
      </c>
      <c r="W56" s="122">
        <f>IFERROR(V56/V148, "NA")</f>
        <v>5.7017863571583706E-2</v>
      </c>
      <c r="X56" s="121">
        <f>IFERROR(X37+X39+X40+X41+X42+X43+X46+X47+X48+X49+X50+X51+X53+X54+X55, "NA")</f>
        <v>1055</v>
      </c>
      <c r="Y56" s="122">
        <f>IFERROR(X56/X148, "NA")</f>
        <v>4.3067798921141431E-2</v>
      </c>
      <c r="Z56" s="121">
        <f>IFERROR(Z37+Z39+Z40+Z41+Z42+Z43+Z46+Z47+Z48+Z49+Z50+Z51+Z53+Z54+Z55, "NA")</f>
        <v>4046.8500000000004</v>
      </c>
      <c r="AA56" s="122">
        <f>IFERROR(Z56/Z148, "NA")</f>
        <v>4.9282035088599525E-2</v>
      </c>
      <c r="AB56" s="121">
        <f t="shared" si="18"/>
        <v>1192.8649999999998</v>
      </c>
      <c r="AC56" s="122">
        <f>IFERROR(AB56/AB148, "NA")</f>
        <v>4.3623369229774792E-2</v>
      </c>
      <c r="AD56" s="123">
        <f t="shared" si="19"/>
        <v>-137.86499999999978</v>
      </c>
      <c r="AE56" s="124">
        <f>IFERROR(AD56/AD148, "NA")</f>
        <v>4.8401323913919166E-2</v>
      </c>
      <c r="AF56" s="123">
        <f t="shared" si="20"/>
        <v>-0.11557468783139735</v>
      </c>
      <c r="AG56" s="121">
        <f t="shared" si="21"/>
        <v>1101.9537499999999</v>
      </c>
      <c r="AH56" s="122">
        <f>IFERROR(AG56/AG148, "NA")</f>
        <v>3.8016390858019722E-2</v>
      </c>
      <c r="AI56" s="123">
        <f t="shared" si="22"/>
        <v>-46.9537499999999</v>
      </c>
      <c r="AJ56" s="124">
        <f>IFERROR(AI56/AI148, "NA")</f>
        <v>1.045735876454891E-2</v>
      </c>
      <c r="AK56" s="123">
        <f t="shared" si="23"/>
        <v>-4.2609546907027541E-2</v>
      </c>
      <c r="AL56" s="124">
        <f>IFERROR(AK56/AK148, "NA")</f>
        <v>0.27507500129626017</v>
      </c>
    </row>
    <row r="57" spans="1:38" ht="16.5" customHeight="1" x14ac:dyDescent="0.25">
      <c r="A57" s="120" t="s">
        <v>62</v>
      </c>
      <c r="B57" s="131">
        <f>IFERROR(B13+B15+B16+B17+B18+B19+B20+B21+B22+B23+B24+B25+B26+B29+B30+B31+B32+B33+B37+B39+B40+B41+B42+B43+B46+B47+B48+B49+B50+B51+B53+B54+B55, "NA")</f>
        <v>5421.36</v>
      </c>
      <c r="C57" s="132">
        <f>IFERROR(B57/B148, "NA")</f>
        <v>0.2342216546244148</v>
      </c>
      <c r="D57" s="131">
        <f>IFERROR(D13+D15+D16+D17+D18+D19+D20+D21+D22+D23+D24+D25+D26+D29+D30+D31+D32+D33+D37+D39+D40+D41+D42+D43+D46+D47+D48+D49+D50+D51+D53+D54+D55, "NA")</f>
        <v>6618.0999999999995</v>
      </c>
      <c r="E57" s="132">
        <f>IFERROR(D57/D148, "NA")</f>
        <v>0.26032912373313716</v>
      </c>
      <c r="F57" s="131">
        <f>IFERROR(F13+F15+F16+F17+F18+F19+F20+F21+F22+F23+F24+F25+F26+F29+F30+F31+F32+F33+F37+F39+F40+F41+F42+F43+F46+F47+F48+F49+F50+F51+F53+F54+F55, "NA")</f>
        <v>6138.4200000000019</v>
      </c>
      <c r="G57" s="132">
        <f>IFERROR(F57/F148, "NA")</f>
        <v>0.25048181193114472</v>
      </c>
      <c r="H57" s="131">
        <f>IFERROR(H13+H15+H16+H17+H18+H19+H20+H21+H22+H23+H24+H25+H26+H29+H30+H31+H32+H33+H37+H39+H40+H41+H42+H43+H46+H47+H48+H49+H50+H51+H53+H54+H55, "NA")</f>
        <v>5861.08</v>
      </c>
      <c r="I57" s="132">
        <f>IFERROR(H57/H148, "NA")</f>
        <v>0.22677985513526899</v>
      </c>
      <c r="J57" s="131">
        <f>IFERROR(J13+J15+J16+J17+J18+J19+J20+J21+J22+J23+J24+J25+J26+J29+J30+J31+J32+J33+J37+J39+J40+J41+J42+J43+J46+J47+J48+J49+J50+J51+J53+J54+J55, "NA")</f>
        <v>6063.1200000000008</v>
      </c>
      <c r="K57" s="132">
        <f>IFERROR(J57/J148, "NA")</f>
        <v>0.21297128580054442</v>
      </c>
      <c r="L57" s="131">
        <f>IFERROR(L13+L15+L16+L17+L18+L19+L20+L21+L22+L23+L24+L25+L26+L29+L30+L31+L32+L33+L37+L39+L40+L41+L42+L43+L46+L47+L48+L49+L50+L51+L53+L54+L55, "NA")</f>
        <v>5733.68</v>
      </c>
      <c r="M57" s="132">
        <f>IFERROR(L57/L148, "NA")</f>
        <v>0.23332226476026771</v>
      </c>
      <c r="N57" s="131">
        <f>IFERROR(N13+N15+N16+N17+N18+N19+N20+N21+N22+N23+N24+N25+N26+N29+N30+N31+N32+N33+N37+N39+N40+N41+N42+N43+N46+N47+N48+N49+N50+N51+N53+N54+N55, "NA")</f>
        <v>5711.1899999999987</v>
      </c>
      <c r="O57" s="132">
        <f>IFERROR(N57/N148, "NA")</f>
        <v>0.26614216672872248</v>
      </c>
      <c r="P57" s="131">
        <f>IFERROR(P13+P15+P16+P17+P18+P19+P20+P21+P22+P23+P24+P25+P26+P29+P30+P31+P32+P33+P37+P39+P40+P41+P42+P43+P46+P47+P48+P49+P50+P51+P53+P54+P55, "NA")</f>
        <v>10614.23</v>
      </c>
      <c r="Q57" s="132">
        <f>IFERROR(P57/P148, "NA")</f>
        <v>0.22108709422159512</v>
      </c>
      <c r="R57" s="131">
        <f>IFERROR(R13+R15+R16+R17+R18+R19+R20+R21+R22+R23+R24+R25+R26+R29+R30+R31+R32+R33+R37+R39+R40+R41+R42+R43+R46+R47+R48+R49+R50+R51+R53+R54+R55, "NA")</f>
        <v>6350.17</v>
      </c>
      <c r="S57" s="132">
        <f>IFERROR(R57/R148, "NA")</f>
        <v>0.23292776864839485</v>
      </c>
      <c r="T57" s="131">
        <f>IFERROR(T13+T15+T16+T17+T18+T19+T20+T21+T22+T23+T24+T25+T26+T29+T30+T31+T32+T33+T37+T39+T40+T41+T42+T43+T46+T47+T48+T49+T50+T51+T53+T54+T55, "NA")</f>
        <v>7971.05</v>
      </c>
      <c r="U57" s="132">
        <f>IFERROR(T57/T148, "NA")</f>
        <v>0.25937608906523996</v>
      </c>
      <c r="V57" s="131">
        <f>IFERROR(V13+V15+V16+V17+V18+V19+V20+V21+V22+V23+V24+V25+V26+V29+V30+V31+V32+V33+V37+V39+V40+V41+V42+V43+V46+V47+V48+V49+V50+V51+V53+V54+V55, "NA")</f>
        <v>6558.5599999999995</v>
      </c>
      <c r="W57" s="132">
        <f>IFERROR(V57/V148, "NA")</f>
        <v>0.24391927474613434</v>
      </c>
      <c r="X57" s="131">
        <f>IFERROR(X13+X15+X16+X17+X18+X19+X20+X21+X22+X23+X24+X25+X26+X29+X30+X31+X32+X33+X37+X39+X40+X41+X42+X43+X46+X47+X48+X49+X50+X51+X53+X54+X55, "NA")</f>
        <v>6168.5099999999993</v>
      </c>
      <c r="Y57" s="132">
        <f>IFERROR(X57/X148, "NA")</f>
        <v>0.25181435860004753</v>
      </c>
      <c r="Z57" s="131">
        <f>IFERROR(Z13+Z15+Z16+Z17+Z18+Z19+Z20+Z21+Z22+Z23+Z24+Z25+Z26+Z29+Z30+Z31+Z32+Z33+Z37+Z39+Z40+Z41+Z42+Z43+Z46+Z47+Z48+Z49+Z50+Z51+Z53+Z54+Z55, "NA")</f>
        <v>20698.12</v>
      </c>
      <c r="AA57" s="132">
        <f>IFERROR(Z57/Z148, "NA")</f>
        <v>0.25205912650778839</v>
      </c>
      <c r="AB57" s="131">
        <f t="shared" si="18"/>
        <v>6762.0724999999993</v>
      </c>
      <c r="AC57" s="132">
        <f>IFERROR(AB57/AB148, "NA")</f>
        <v>0.24729067029882371</v>
      </c>
      <c r="AD57" s="133">
        <f t="shared" si="19"/>
        <v>-593.5625</v>
      </c>
      <c r="AE57" s="134">
        <f>IFERROR(AD57/AD148, "NA")</f>
        <v>0.20838654354372532</v>
      </c>
      <c r="AF57" s="133">
        <f t="shared" si="20"/>
        <v>-8.7778192262801091E-2</v>
      </c>
      <c r="AG57" s="131">
        <f t="shared" si="21"/>
        <v>6896.3137500000003</v>
      </c>
      <c r="AH57" s="132">
        <f>IFERROR(AG57/AG148, "NA")</f>
        <v>0.23791648152160266</v>
      </c>
      <c r="AI57" s="133">
        <f t="shared" si="22"/>
        <v>-727.80375000000095</v>
      </c>
      <c r="AJ57" s="134">
        <f>IFERROR(AI57/AI148, "NA")</f>
        <v>0.1620936543712502</v>
      </c>
      <c r="AK57" s="133">
        <f t="shared" si="23"/>
        <v>-0.10553518537349042</v>
      </c>
      <c r="AL57" s="134">
        <f>IFERROR(AK57/AK148, "NA")</f>
        <v>0.68130485679081554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63</v>
      </c>
      <c r="B59" s="136">
        <f>IFERROR(B9-B57, "NA")</f>
        <v>17724.919999999998</v>
      </c>
      <c r="C59" s="137">
        <f>IFERROR(B59/B148, "NA")</f>
        <v>0.7657783453755852</v>
      </c>
      <c r="D59" s="136">
        <f>IFERROR(D9-D57, "NA")</f>
        <v>18803.950000000008</v>
      </c>
      <c r="E59" s="137">
        <f>IFERROR(D59/D148, "NA")</f>
        <v>0.73967087626686312</v>
      </c>
      <c r="F59" s="136">
        <f>IFERROR(F9-F57, "NA")</f>
        <v>18368.030000000002</v>
      </c>
      <c r="G59" s="137">
        <f>IFERROR(F59/F148, "NA")</f>
        <v>0.7495181880688554</v>
      </c>
      <c r="H59" s="136">
        <f>IFERROR(H9-H57, "NA")</f>
        <v>19983.719999999994</v>
      </c>
      <c r="I59" s="137">
        <f>IFERROR(H59/H148, "NA")</f>
        <v>0.77322014486473079</v>
      </c>
      <c r="J59" s="136">
        <f>IFERROR(J9-J57, "NA")</f>
        <v>22406.07</v>
      </c>
      <c r="K59" s="137">
        <f>IFERROR(J59/J148, "NA")</f>
        <v>0.78702871419945564</v>
      </c>
      <c r="L59" s="136">
        <f>IFERROR(L9-L57, "NA")</f>
        <v>18840.400000000001</v>
      </c>
      <c r="M59" s="137">
        <f>IFERROR(L59/L148, "NA")</f>
        <v>0.76667773523973226</v>
      </c>
      <c r="N59" s="136">
        <f>IFERROR(N9-N57, "NA")</f>
        <v>15747.98</v>
      </c>
      <c r="O59" s="137">
        <f>IFERROR(N59/N148, "NA")</f>
        <v>0.73385783327127752</v>
      </c>
      <c r="P59" s="136">
        <f>IFERROR(P9-P57, "NA")</f>
        <v>37395.039999999994</v>
      </c>
      <c r="Q59" s="137">
        <f>IFERROR(P59/P148, "NA")</f>
        <v>0.77891290577840477</v>
      </c>
      <c r="R59" s="136">
        <f>IFERROR(R9-R57, "NA")</f>
        <v>20912.230000000003</v>
      </c>
      <c r="S59" s="137">
        <f>IFERROR(R59/R148, "NA")</f>
        <v>0.76707223135160518</v>
      </c>
      <c r="T59" s="136">
        <f>IFERROR(T9-T57, "NA")</f>
        <v>22760.58</v>
      </c>
      <c r="U59" s="137">
        <f>IFERROR(T59/T148, "NA")</f>
        <v>0.7406239109347601</v>
      </c>
      <c r="V59" s="136">
        <f>IFERROR(V9-V57, "NA")</f>
        <v>20329.68</v>
      </c>
      <c r="W59" s="137">
        <f>IFERROR(V59/V148, "NA")</f>
        <v>0.7560807252538656</v>
      </c>
      <c r="X59" s="136">
        <f>IFERROR(X9-X57, "NA")</f>
        <v>18327.75</v>
      </c>
      <c r="Y59" s="137">
        <f>IFERROR(X59/X148, "NA")</f>
        <v>0.74818564139995258</v>
      </c>
      <c r="Z59" s="136">
        <f>IFERROR(Z9-Z57, "NA")</f>
        <v>61418.00999999998</v>
      </c>
      <c r="AA59" s="137">
        <f>IFERROR(Z59/Z148, "NA")</f>
        <v>0.74794087349221128</v>
      </c>
      <c r="AB59" s="136">
        <f>IFERROR((R59+T59+V59+X59)/4, "NA")</f>
        <v>20582.560000000001</v>
      </c>
      <c r="AC59" s="137">
        <f>IFERROR(AB59/AB148, "NA")</f>
        <v>0.75270932970117632</v>
      </c>
      <c r="AD59" s="123">
        <f>IFERROR(X59-AB59, "NA")</f>
        <v>-2254.8100000000013</v>
      </c>
      <c r="AE59" s="124">
        <f>IFERROR(AD59/AD148, "NA")</f>
        <v>0.79161345645627468</v>
      </c>
      <c r="AF59" s="123">
        <f>IFERROR((X59-AB59)/AB59, "NA")</f>
        <v>-0.10954954097060818</v>
      </c>
      <c r="AG59" s="136">
        <f>IFERROR((J59+L59+N59+P59+R59+T59+V59+X59)/8, "NA")</f>
        <v>22089.966249999998</v>
      </c>
      <c r="AH59" s="137">
        <f>IFERROR(AG59/AG148, "NA")</f>
        <v>0.76208351847839728</v>
      </c>
      <c r="AI59" s="123">
        <f>IFERROR(X59-AG59, "NA")</f>
        <v>-3762.2162499999977</v>
      </c>
      <c r="AJ59" s="124">
        <f>IFERROR(AI59/AI148, "NA")</f>
        <v>0.83790634562874944</v>
      </c>
      <c r="AK59" s="123">
        <f>IFERROR((X59-AG59)/AG59, "NA")</f>
        <v>-0.1703133543719198</v>
      </c>
      <c r="AL59" s="124">
        <f>IFERROR(AK59/AK148, "NA")</f>
        <v>1.0994941175236839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64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64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65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66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67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68</v>
      </c>
      <c r="B66" s="115">
        <v>1410</v>
      </c>
      <c r="C66" s="116">
        <f>IFERROR(B66/B148, "NA")</f>
        <v>6.0916916238808141E-2</v>
      </c>
      <c r="D66" s="115">
        <v>1410</v>
      </c>
      <c r="E66" s="116">
        <f>IFERROR(D66/D148, "NA")</f>
        <v>5.5463662450510487E-2</v>
      </c>
      <c r="F66" s="115">
        <v>1410</v>
      </c>
      <c r="G66" s="116">
        <f>IFERROR(F66/F148, "NA")</f>
        <v>5.75358732088899E-2</v>
      </c>
      <c r="H66" s="115">
        <v>1410</v>
      </c>
      <c r="I66" s="116">
        <f>IFERROR(H66/H148, "NA")</f>
        <v>5.4556429146288617E-2</v>
      </c>
      <c r="J66" s="115">
        <v>1410</v>
      </c>
      <c r="K66" s="116">
        <f>IFERROR(J66/J148, "NA")</f>
        <v>4.9527225748256277E-2</v>
      </c>
      <c r="L66" s="115">
        <v>1410</v>
      </c>
      <c r="M66" s="116">
        <f>IFERROR(L66/L148, "NA")</f>
        <v>5.737752949449175E-2</v>
      </c>
      <c r="N66" s="115">
        <v>1410</v>
      </c>
      <c r="O66" s="116">
        <f>IFERROR(N66/N148, "NA")</f>
        <v>6.5706175961139229E-2</v>
      </c>
      <c r="P66" s="115">
        <v>1410</v>
      </c>
      <c r="Q66" s="116">
        <f>IFERROR(P66/P148, "NA")</f>
        <v>2.9369328048520632E-2</v>
      </c>
      <c r="R66" s="115">
        <v>1410</v>
      </c>
      <c r="S66" s="116">
        <f>IFERROR(R66/R148, "NA")</f>
        <v>5.1719584482657427E-2</v>
      </c>
      <c r="T66" s="115">
        <v>1410</v>
      </c>
      <c r="U66" s="116">
        <f>IFERROR(T66/T148, "NA")</f>
        <v>4.5881067811892828E-2</v>
      </c>
      <c r="V66" s="115">
        <v>1410</v>
      </c>
      <c r="W66" s="116">
        <f>IFERROR(V66/V148, "NA")</f>
        <v>5.2439282005813694E-2</v>
      </c>
      <c r="X66" s="115">
        <v>1410</v>
      </c>
      <c r="Y66" s="116">
        <f>IFERROR(X66/X148, "NA")</f>
        <v>5.7559807088918884E-2</v>
      </c>
      <c r="Z66" s="115">
        <v>4230</v>
      </c>
      <c r="AA66" s="116">
        <f>IFERROR(Z66/Z148, "NA")</f>
        <v>5.1512412969291169E-2</v>
      </c>
      <c r="AB66" s="117">
        <f t="shared" si="24"/>
        <v>1410</v>
      </c>
      <c r="AC66" s="116">
        <f>IFERROR(AB66/AB148, "NA")</f>
        <v>5.1564050092829002E-2</v>
      </c>
      <c r="AD66" s="118">
        <f t="shared" si="25"/>
        <v>0</v>
      </c>
      <c r="AE66" s="119">
        <f>IFERROR(AD66/AD148, "NA")</f>
        <v>0</v>
      </c>
      <c r="AF66" s="118">
        <f t="shared" si="26"/>
        <v>0</v>
      </c>
      <c r="AG66" s="117">
        <f t="shared" si="27"/>
        <v>1410</v>
      </c>
      <c r="AH66" s="116">
        <f>IFERROR(AG66/AG148, "NA")</f>
        <v>4.8643703158873786E-2</v>
      </c>
      <c r="AI66" s="118">
        <f t="shared" si="28"/>
        <v>0</v>
      </c>
      <c r="AJ66" s="119">
        <f>IFERROR(AI66/AI148, "NA")</f>
        <v>0</v>
      </c>
      <c r="AK66" s="118">
        <f t="shared" si="29"/>
        <v>0</v>
      </c>
      <c r="AL66" s="119">
        <f>IFERROR(AK66/AK148, "NA")</f>
        <v>0</v>
      </c>
    </row>
    <row r="67" spans="1:38" ht="16.5" hidden="1" customHeight="1" x14ac:dyDescent="0.25">
      <c r="A67" s="7" t="s">
        <v>69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70</v>
      </c>
      <c r="B68" s="115">
        <v>4972.3999999999996</v>
      </c>
      <c r="C68" s="116">
        <f>IFERROR(B68/B148, "NA")</f>
        <v>0.2148250172381912</v>
      </c>
      <c r="D68" s="115">
        <v>5985.88</v>
      </c>
      <c r="E68" s="116">
        <f>IFERROR(D68/D148, "NA")</f>
        <v>0.23546016155266788</v>
      </c>
      <c r="F68" s="115">
        <v>5854.73</v>
      </c>
      <c r="G68" s="116">
        <f>IFERROR(F68/F148, "NA")</f>
        <v>0.23890567585268366</v>
      </c>
      <c r="H68" s="115">
        <v>5414.05</v>
      </c>
      <c r="I68" s="116">
        <f>IFERROR(H68/H148, "NA")</f>
        <v>0.20948314554571906</v>
      </c>
      <c r="J68" s="115">
        <v>5049.22</v>
      </c>
      <c r="K68" s="116">
        <f>IFERROR(J68/J148, "NA")</f>
        <v>0.17735734666142594</v>
      </c>
      <c r="L68" s="115">
        <v>5517.43</v>
      </c>
      <c r="M68" s="116">
        <f>IFERROR(L68/L148, "NA")</f>
        <v>0.22452234224027917</v>
      </c>
      <c r="N68" s="115">
        <v>4474.8599999999997</v>
      </c>
      <c r="O68" s="116">
        <f>IFERROR(N68/N148, "NA")</f>
        <v>0.20852903444075424</v>
      </c>
      <c r="P68" s="115">
        <v>6865.76</v>
      </c>
      <c r="Q68" s="116">
        <f>IFERROR(P68/P148, "NA")</f>
        <v>0.14300904804426312</v>
      </c>
      <c r="R68" s="115">
        <v>5823.84</v>
      </c>
      <c r="S68" s="116">
        <f>IFERROR(R68/R148, "NA")</f>
        <v>0.21362169141381535</v>
      </c>
      <c r="T68" s="115">
        <v>6072.27</v>
      </c>
      <c r="U68" s="116">
        <f>IFERROR(T68/T148, "NA")</f>
        <v>0.19759023520717905</v>
      </c>
      <c r="V68" s="115">
        <v>6060.67</v>
      </c>
      <c r="W68" s="116">
        <f>IFERROR(V68/V148, "NA")</f>
        <v>0.22540225764125876</v>
      </c>
      <c r="X68" s="115">
        <v>5512.16</v>
      </c>
      <c r="Y68" s="116">
        <f>IFERROR(X68/X148, "NA")</f>
        <v>0.22502047251294688</v>
      </c>
      <c r="Z68" s="115">
        <v>17645.099999999999</v>
      </c>
      <c r="AA68" s="116">
        <f>IFERROR(Z68/Z148, "NA")</f>
        <v>0.21487982933438288</v>
      </c>
      <c r="AB68" s="117">
        <f t="shared" si="24"/>
        <v>5867.2349999999997</v>
      </c>
      <c r="AC68" s="116">
        <f>IFERROR(AB68/AB148, "NA")</f>
        <v>0.21456624074212735</v>
      </c>
      <c r="AD68" s="118">
        <f t="shared" si="25"/>
        <v>-355.07499999999982</v>
      </c>
      <c r="AE68" s="119">
        <f>IFERROR(AD68/AD148, "NA")</f>
        <v>0.12465890609462058</v>
      </c>
      <c r="AF68" s="118">
        <f t="shared" si="26"/>
        <v>-6.0518285018411541E-2</v>
      </c>
      <c r="AG68" s="117">
        <f t="shared" si="27"/>
        <v>5672.0262500000008</v>
      </c>
      <c r="AH68" s="116">
        <f>IFERROR(AG68/AG148, "NA")</f>
        <v>0.19567968880449652</v>
      </c>
      <c r="AI68" s="118">
        <f t="shared" si="28"/>
        <v>-159.86625000000095</v>
      </c>
      <c r="AJ68" s="119">
        <f>IFERROR(AI68/AI148, "NA")</f>
        <v>3.5604796860593257E-2</v>
      </c>
      <c r="AK68" s="118">
        <f t="shared" si="29"/>
        <v>-2.8185033523073156E-2</v>
      </c>
      <c r="AL68" s="119">
        <f>IFERROR(AK68/AK148, "NA")</f>
        <v>0.18195448428051209</v>
      </c>
    </row>
    <row r="69" spans="1:38" ht="16.5" customHeight="1" x14ac:dyDescent="0.25">
      <c r="A69" s="7" t="s">
        <v>71</v>
      </c>
      <c r="B69" s="115">
        <v>0</v>
      </c>
      <c r="C69" s="116">
        <f>IFERROR(B69/B148, "NA")</f>
        <v>0</v>
      </c>
      <c r="D69" s="115">
        <v>0</v>
      </c>
      <c r="E69" s="116">
        <f>IFERROR(D69/D148, "NA")</f>
        <v>0</v>
      </c>
      <c r="F69" s="115">
        <v>0</v>
      </c>
      <c r="G69" s="116">
        <f>IFERROR(F69/F148, "NA")</f>
        <v>0</v>
      </c>
      <c r="H69" s="115">
        <v>0</v>
      </c>
      <c r="I69" s="116">
        <f>IFERROR(H69/H148, "NA")</f>
        <v>0</v>
      </c>
      <c r="J69" s="115">
        <v>0</v>
      </c>
      <c r="K69" s="116">
        <f>IFERROR(J69/J148, "NA")</f>
        <v>0</v>
      </c>
      <c r="L69" s="115">
        <v>0</v>
      </c>
      <c r="M69" s="116">
        <f>IFERROR(L69/L148, "NA")</f>
        <v>0</v>
      </c>
      <c r="N69" s="115">
        <v>0</v>
      </c>
      <c r="O69" s="116">
        <f>IFERROR(N69/N148, "NA")</f>
        <v>0</v>
      </c>
      <c r="P69" s="115">
        <v>189.97</v>
      </c>
      <c r="Q69" s="116">
        <f>IFERROR(P69/P148, "NA")</f>
        <v>3.9569441484946554E-3</v>
      </c>
      <c r="R69" s="115">
        <v>0</v>
      </c>
      <c r="S69" s="116">
        <f>IFERROR(R69/R148, "NA")</f>
        <v>0</v>
      </c>
      <c r="T69" s="115">
        <v>0</v>
      </c>
      <c r="U69" s="116">
        <f>IFERROR(T69/T148, "NA")</f>
        <v>0</v>
      </c>
      <c r="V69" s="115">
        <v>0</v>
      </c>
      <c r="W69" s="116">
        <f>IFERROR(V69/V148, "NA")</f>
        <v>0</v>
      </c>
      <c r="X69" s="115">
        <v>12.97</v>
      </c>
      <c r="Y69" s="116">
        <f>IFERROR(X69/X148, "NA")</f>
        <v>5.2946858010161557E-4</v>
      </c>
      <c r="Z69" s="115">
        <v>12.97</v>
      </c>
      <c r="AA69" s="116">
        <f>IFERROR(Z69/Z148, "NA")</f>
        <v>1.5794704402168002E-4</v>
      </c>
      <c r="AB69" s="117">
        <f t="shared" si="24"/>
        <v>3.2425000000000002</v>
      </c>
      <c r="AC69" s="116">
        <f>IFERROR(AB69/AB148, "NA")</f>
        <v>1.1857903008936033E-4</v>
      </c>
      <c r="AD69" s="118">
        <f t="shared" si="25"/>
        <v>9.7275000000000009</v>
      </c>
      <c r="AE69" s="119">
        <f>IFERROR(AD69/AD148, "NA")</f>
        <v>-3.4151081012051606E-3</v>
      </c>
      <c r="AF69" s="118">
        <f t="shared" si="26"/>
        <v>3</v>
      </c>
      <c r="AG69" s="117">
        <f t="shared" si="27"/>
        <v>25.3675</v>
      </c>
      <c r="AH69" s="116">
        <f>IFERROR(AG69/AG148, "NA")</f>
        <v>8.7515541835654664E-4</v>
      </c>
      <c r="AI69" s="118">
        <f t="shared" si="28"/>
        <v>-12.397499999999999</v>
      </c>
      <c r="AJ69" s="119">
        <f>IFERROR(AI69/AI148, "NA")</f>
        <v>2.7611235584696723E-3</v>
      </c>
      <c r="AK69" s="118">
        <f t="shared" si="29"/>
        <v>-0.48871587661377747</v>
      </c>
      <c r="AL69" s="119">
        <f>IFERROR(AK69/AK148, "NA")</f>
        <v>3.1550093852527166</v>
      </c>
    </row>
    <row r="70" spans="1:38" ht="16.5" customHeight="1" x14ac:dyDescent="0.25">
      <c r="A70" s="129" t="s">
        <v>72</v>
      </c>
      <c r="B70" s="121">
        <f>IFERROR(B65+B66+B67+B68+B69, "NA")</f>
        <v>6382.4</v>
      </c>
      <c r="C70" s="122">
        <f>IFERROR(B70/B148, "NA")</f>
        <v>0.27574193347699932</v>
      </c>
      <c r="D70" s="121">
        <f>IFERROR(D65+D66+D67+D68+D69, "NA")</f>
        <v>7395.88</v>
      </c>
      <c r="E70" s="122">
        <f>IFERROR(D70/D148, "NA")</f>
        <v>0.29092382400317834</v>
      </c>
      <c r="F70" s="121">
        <f>IFERROR(F65+F66+F67+F68+F69, "NA")</f>
        <v>7264.73</v>
      </c>
      <c r="G70" s="122">
        <f>IFERROR(F70/F148, "NA")</f>
        <v>0.29644154906157355</v>
      </c>
      <c r="H70" s="121">
        <f>IFERROR(H65+H66+H67+H68+H69, "NA")</f>
        <v>6824.05</v>
      </c>
      <c r="I70" s="122">
        <f>IFERROR(H70/H148, "NA")</f>
        <v>0.26403957469200767</v>
      </c>
      <c r="J70" s="121">
        <f>IFERROR(J65+J66+J67+J68+J69, "NA")</f>
        <v>6459.22</v>
      </c>
      <c r="K70" s="122">
        <f>IFERROR(J70/J148, "NA")</f>
        <v>0.22688457240968221</v>
      </c>
      <c r="L70" s="121">
        <f>IFERROR(L65+L66+L67+L68+L69, "NA")</f>
        <v>6927.43</v>
      </c>
      <c r="M70" s="122">
        <f>IFERROR(L70/L148, "NA")</f>
        <v>0.28189987173477093</v>
      </c>
      <c r="N70" s="121">
        <f>IFERROR(N65+N66+N67+N68+N69, "NA")</f>
        <v>5884.86</v>
      </c>
      <c r="O70" s="122">
        <f>IFERROR(N70/N148, "NA")</f>
        <v>0.27423521040189347</v>
      </c>
      <c r="P70" s="121">
        <f>IFERROR(P65+P66+P67+P68+P69, "NA")</f>
        <v>8465.73</v>
      </c>
      <c r="Q70" s="122">
        <f>IFERROR(P70/P148, "NA")</f>
        <v>0.1763353202412784</v>
      </c>
      <c r="R70" s="121">
        <f>IFERROR(R65+R66+R67+R68+R69, "NA")</f>
        <v>7233.84</v>
      </c>
      <c r="S70" s="122">
        <f>IFERROR(R70/R148, "NA")</f>
        <v>0.26534127589647277</v>
      </c>
      <c r="T70" s="121">
        <f>IFERROR(T65+T66+T67+T68+T69, "NA")</f>
        <v>7482.27</v>
      </c>
      <c r="U70" s="122">
        <f>IFERROR(T70/T148, "NA")</f>
        <v>0.24347130301907188</v>
      </c>
      <c r="V70" s="121">
        <f>IFERROR(V65+V66+V67+V68+V69, "NA")</f>
        <v>7470.67</v>
      </c>
      <c r="W70" s="122">
        <f>IFERROR(V70/V148, "NA")</f>
        <v>0.27784153964707248</v>
      </c>
      <c r="X70" s="121">
        <f>IFERROR(X65+X66+X67+X68+X69, "NA")</f>
        <v>6935.13</v>
      </c>
      <c r="Y70" s="122">
        <f>IFERROR(X70/X148, "NA")</f>
        <v>0.28310974818196738</v>
      </c>
      <c r="Z70" s="121">
        <f>IFERROR(Z65+Z66+Z67+Z68+Z69, "NA")</f>
        <v>21888.07</v>
      </c>
      <c r="AA70" s="122">
        <f>IFERROR(Z70/Z148, "NA")</f>
        <v>0.26655018934769575</v>
      </c>
      <c r="AB70" s="121">
        <f t="shared" si="24"/>
        <v>7280.4775</v>
      </c>
      <c r="AC70" s="122">
        <f>IFERROR(AB70/AB148, "NA")</f>
        <v>0.2662488698650457</v>
      </c>
      <c r="AD70" s="123">
        <f t="shared" si="25"/>
        <v>-345.34749999999985</v>
      </c>
      <c r="AE70" s="124">
        <f>IFERROR(AD70/AD148, "NA")</f>
        <v>0.12124379799341543</v>
      </c>
      <c r="AF70" s="123">
        <f t="shared" si="26"/>
        <v>-4.7434732131237251E-2</v>
      </c>
      <c r="AG70" s="121">
        <f t="shared" si="27"/>
        <v>7107.3937500000002</v>
      </c>
      <c r="AH70" s="122">
        <f>IFERROR(AG70/AG148, "NA")</f>
        <v>0.24519854738172681</v>
      </c>
      <c r="AI70" s="123">
        <f t="shared" si="28"/>
        <v>-172.26375000000007</v>
      </c>
      <c r="AJ70" s="124">
        <f>IFERROR(AI70/AI148, "NA")</f>
        <v>3.8365920419062734E-2</v>
      </c>
      <c r="AK70" s="123">
        <f t="shared" si="29"/>
        <v>-2.4237259966074072E-2</v>
      </c>
      <c r="AL70" s="124">
        <f>IFERROR(AK70/AK148, "NA")</f>
        <v>0.1564687916333142</v>
      </c>
    </row>
    <row r="71" spans="1:38" ht="16.5" hidden="1" customHeight="1" x14ac:dyDescent="0.25">
      <c r="A71" s="5" t="s">
        <v>73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74</v>
      </c>
      <c r="B72" s="115">
        <v>0</v>
      </c>
      <c r="C72" s="116">
        <f>IFERROR(B72/B148, "NA")</f>
        <v>0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293</v>
      </c>
      <c r="I72" s="116">
        <f>IFERROR(H72/H148, "NA")</f>
        <v>1.1336903361604657E-2</v>
      </c>
      <c r="J72" s="115">
        <v>0</v>
      </c>
      <c r="K72" s="116">
        <f>IFERROR(J72/J148, "NA")</f>
        <v>0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423</v>
      </c>
      <c r="S72" s="116">
        <f>IFERROR(R72/R148, "NA")</f>
        <v>1.5515875344797229E-2</v>
      </c>
      <c r="T72" s="115">
        <v>0</v>
      </c>
      <c r="U72" s="116">
        <f>IFERROR(T72/T148, "NA")</f>
        <v>0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105.75</v>
      </c>
      <c r="AC72" s="116">
        <f>IFERROR(AB72/AB148, "NA")</f>
        <v>3.8673037569621756E-3</v>
      </c>
      <c r="AD72" s="118">
        <f t="shared" si="25"/>
        <v>-105.75</v>
      </c>
      <c r="AE72" s="119">
        <f>IFERROR(AD72/AD148, "NA")</f>
        <v>3.7126464323047621E-2</v>
      </c>
      <c r="AF72" s="118">
        <f t="shared" si="26"/>
        <v>-1</v>
      </c>
      <c r="AG72" s="117">
        <f t="shared" si="27"/>
        <v>52.875</v>
      </c>
      <c r="AH72" s="116">
        <f>IFERROR(AG72/AG148, "NA")</f>
        <v>1.824138868457767E-3</v>
      </c>
      <c r="AI72" s="118">
        <f t="shared" si="28"/>
        <v>-52.875</v>
      </c>
      <c r="AJ72" s="119">
        <f>IFERROR(AI72/AI148, "NA")</f>
        <v>1.1776116810170109E-2</v>
      </c>
      <c r="AK72" s="118">
        <f t="shared" si="29"/>
        <v>-1</v>
      </c>
      <c r="AL72" s="119">
        <f>IFERROR(AK72/AK148, "NA")</f>
        <v>6.4557128921474725</v>
      </c>
    </row>
    <row r="73" spans="1:38" ht="16.5" customHeight="1" x14ac:dyDescent="0.25">
      <c r="A73" s="6" t="s">
        <v>75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76</v>
      </c>
      <c r="B74" s="115">
        <v>558.29</v>
      </c>
      <c r="C74" s="116">
        <f>IFERROR(B74/B148, "NA")</f>
        <v>2.4120074586499427E-2</v>
      </c>
      <c r="D74" s="115">
        <v>656.84</v>
      </c>
      <c r="E74" s="116">
        <f>IFERROR(D74/D148, "NA")</f>
        <v>2.5837412797158375E-2</v>
      </c>
      <c r="F74" s="115">
        <v>625.05999999999995</v>
      </c>
      <c r="G74" s="116">
        <f>IFERROR(F74/F148, "NA")</f>
        <v>2.5505938232587743E-2</v>
      </c>
      <c r="H74" s="115">
        <v>599.94000000000005</v>
      </c>
      <c r="I74" s="116">
        <f>IFERROR(H74/H148, "NA")</f>
        <v>2.3213180214201698E-2</v>
      </c>
      <c r="J74" s="115">
        <v>539.61</v>
      </c>
      <c r="K74" s="116">
        <f>IFERROR(J74/J148, "NA")</f>
        <v>1.8954174670933736E-2</v>
      </c>
      <c r="L74" s="115">
        <v>589.16</v>
      </c>
      <c r="M74" s="116">
        <f>IFERROR(L74/L148, "NA")</f>
        <v>2.3974854806365079E-2</v>
      </c>
      <c r="N74" s="115">
        <v>482.91</v>
      </c>
      <c r="O74" s="116">
        <f>IFERROR(N74/N148, "NA")</f>
        <v>2.250366626481826E-2</v>
      </c>
      <c r="P74" s="115">
        <v>780.24</v>
      </c>
      <c r="Q74" s="116">
        <f>IFERROR(P74/P148, "NA")</f>
        <v>1.6251861359274991E-2</v>
      </c>
      <c r="R74" s="115">
        <v>645.54</v>
      </c>
      <c r="S74" s="116">
        <f>IFERROR(R74/R148, "NA")</f>
        <v>2.367876635952814E-2</v>
      </c>
      <c r="T74" s="115">
        <v>625.76</v>
      </c>
      <c r="U74" s="116">
        <f>IFERROR(T74/T148, "NA")</f>
        <v>2.0362082974446846E-2</v>
      </c>
      <c r="V74" s="115">
        <v>671.28</v>
      </c>
      <c r="W74" s="116">
        <f>IFERROR(V74/V148, "NA")</f>
        <v>2.4965561152384831E-2</v>
      </c>
      <c r="X74" s="115">
        <v>589.74</v>
      </c>
      <c r="Y74" s="116">
        <f>IFERROR(X74/X148, "NA")</f>
        <v>2.4074695484126968E-2</v>
      </c>
      <c r="Z74" s="115">
        <v>1886.78</v>
      </c>
      <c r="AA74" s="116">
        <f>IFERROR(Z74/Z148, "NA")</f>
        <v>2.2976971759385151E-2</v>
      </c>
      <c r="AB74" s="117">
        <f t="shared" ref="AB74:AB85" si="30">IFERROR((R74+T74+V74+X74)/4, "NA")</f>
        <v>633.07999999999993</v>
      </c>
      <c r="AC74" s="116">
        <f>IFERROR(AB74/AB148, "NA")</f>
        <v>2.3151892789197291E-2</v>
      </c>
      <c r="AD74" s="118">
        <f t="shared" ref="AD74:AD85" si="31">IFERROR(X74-AB74, "NA")</f>
        <v>-43.339999999999918</v>
      </c>
      <c r="AE74" s="119">
        <f>IFERROR(AD74/AD148, "NA")</f>
        <v>1.5215706513105255E-2</v>
      </c>
      <c r="AF74" s="118">
        <f t="shared" ref="AF74:AF85" si="32">IFERROR((X74-AB74)/AB74, "NA")</f>
        <v>-6.8458962532381248E-2</v>
      </c>
      <c r="AG74" s="117">
        <f t="shared" ref="AG74:AG85" si="33">IFERROR((J74+L74+N74+P74+R74+T74+V74+X74)/8, "NA")</f>
        <v>615.53</v>
      </c>
      <c r="AH74" s="116">
        <f>IFERROR(AG74/AG148, "NA")</f>
        <v>2.1235218869064952E-2</v>
      </c>
      <c r="AI74" s="118">
        <f t="shared" ref="AI74:AI85" si="34">IFERROR(X74-AG74, "NA")</f>
        <v>-25.789999999999964</v>
      </c>
      <c r="AJ74" s="119">
        <f>IFERROR(AI74/AI148, "NA")</f>
        <v>5.743849693319843E-3</v>
      </c>
      <c r="AK74" s="118">
        <f t="shared" ref="AK74:AK85" si="35">IFERROR((X74-AG74)/AG74, "NA")</f>
        <v>-4.1898851396357552E-2</v>
      </c>
      <c r="AL74" s="119">
        <f>IFERROR(AK74/AK148, "NA")</f>
        <v>0.27048695512563659</v>
      </c>
    </row>
    <row r="75" spans="1:38" ht="16.5" hidden="1" customHeight="1" x14ac:dyDescent="0.25">
      <c r="A75" s="7" t="s">
        <v>77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78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79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80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81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82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83</v>
      </c>
      <c r="B81" s="121">
        <f>IFERROR(B74+B75+B76+B77+B78+B79+B80, "NA")</f>
        <v>558.29</v>
      </c>
      <c r="C81" s="122">
        <f>IFERROR(B81/B148, "NA")</f>
        <v>2.4120074586499427E-2</v>
      </c>
      <c r="D81" s="121">
        <f>IFERROR(D74+D75+D76+D77+D78+D79+D80, "NA")</f>
        <v>656.84</v>
      </c>
      <c r="E81" s="122">
        <f>IFERROR(D81/D148, "NA")</f>
        <v>2.5837412797158375E-2</v>
      </c>
      <c r="F81" s="121">
        <f>IFERROR(F74+F75+F76+F77+F78+F79+F80, "NA")</f>
        <v>625.05999999999995</v>
      </c>
      <c r="G81" s="122">
        <f>IFERROR(F81/F148, "NA")</f>
        <v>2.5505938232587743E-2</v>
      </c>
      <c r="H81" s="121">
        <f>IFERROR(H74+H75+H76+H77+H78+H79+H80, "NA")</f>
        <v>599.94000000000005</v>
      </c>
      <c r="I81" s="122">
        <f>IFERROR(H81/H148, "NA")</f>
        <v>2.3213180214201698E-2</v>
      </c>
      <c r="J81" s="121">
        <f>IFERROR(J74+J75+J76+J77+J78+J79+J80, "NA")</f>
        <v>539.61</v>
      </c>
      <c r="K81" s="122">
        <f>IFERROR(J81/J148, "NA")</f>
        <v>1.8954174670933736E-2</v>
      </c>
      <c r="L81" s="121">
        <f>IFERROR(L74+L75+L76+L77+L78+L79+L80, "NA")</f>
        <v>589.16</v>
      </c>
      <c r="M81" s="122">
        <f>IFERROR(L81/L148, "NA")</f>
        <v>2.3974854806365079E-2</v>
      </c>
      <c r="N81" s="121">
        <f>IFERROR(N74+N75+N76+N77+N78+N79+N80, "NA")</f>
        <v>482.91</v>
      </c>
      <c r="O81" s="122">
        <f>IFERROR(N81/N148, "NA")</f>
        <v>2.250366626481826E-2</v>
      </c>
      <c r="P81" s="121">
        <f>IFERROR(P74+P75+P76+P77+P78+P79+P80, "NA")</f>
        <v>780.24</v>
      </c>
      <c r="Q81" s="122">
        <f>IFERROR(P81/P148, "NA")</f>
        <v>1.6251861359274991E-2</v>
      </c>
      <c r="R81" s="121">
        <f>IFERROR(R74+R75+R76+R77+R78+R79+R80, "NA")</f>
        <v>645.54</v>
      </c>
      <c r="S81" s="122">
        <f>IFERROR(R81/R148, "NA")</f>
        <v>2.367876635952814E-2</v>
      </c>
      <c r="T81" s="121">
        <f>IFERROR(T74+T75+T76+T77+T78+T79+T80, "NA")</f>
        <v>625.76</v>
      </c>
      <c r="U81" s="122">
        <f>IFERROR(T81/T148, "NA")</f>
        <v>2.0362082974446846E-2</v>
      </c>
      <c r="V81" s="121">
        <f>IFERROR(V74+V75+V76+V77+V78+V79+V80, "NA")</f>
        <v>671.28</v>
      </c>
      <c r="W81" s="122">
        <f>IFERROR(V81/V148, "NA")</f>
        <v>2.4965561152384831E-2</v>
      </c>
      <c r="X81" s="121">
        <f>IFERROR(X74+X75+X76+X77+X78+X79+X80, "NA")</f>
        <v>589.74</v>
      </c>
      <c r="Y81" s="122">
        <f>IFERROR(X81/X148, "NA")</f>
        <v>2.4074695484126968E-2</v>
      </c>
      <c r="Z81" s="121">
        <f>IFERROR(Z74+Z75+Z76+Z77+Z78+Z79+Z80, "NA")</f>
        <v>1886.78</v>
      </c>
      <c r="AA81" s="122">
        <f>IFERROR(Z81/Z148, "NA")</f>
        <v>2.2976971759385151E-2</v>
      </c>
      <c r="AB81" s="121">
        <f t="shared" si="30"/>
        <v>633.07999999999993</v>
      </c>
      <c r="AC81" s="122">
        <f>IFERROR(AB81/AB148, "NA")</f>
        <v>2.3151892789197291E-2</v>
      </c>
      <c r="AD81" s="123">
        <f t="shared" si="31"/>
        <v>-43.339999999999918</v>
      </c>
      <c r="AE81" s="124">
        <f>IFERROR(AD81/AD148, "NA")</f>
        <v>1.5215706513105255E-2</v>
      </c>
      <c r="AF81" s="123">
        <f t="shared" si="32"/>
        <v>-6.8458962532381248E-2</v>
      </c>
      <c r="AG81" s="121">
        <f t="shared" si="33"/>
        <v>615.53</v>
      </c>
      <c r="AH81" s="122">
        <f>IFERROR(AG81/AG148, "NA")</f>
        <v>2.1235218869064952E-2</v>
      </c>
      <c r="AI81" s="123">
        <f t="shared" si="34"/>
        <v>-25.789999999999964</v>
      </c>
      <c r="AJ81" s="124">
        <f>IFERROR(AI81/AI148, "NA")</f>
        <v>5.743849693319843E-3</v>
      </c>
      <c r="AK81" s="123">
        <f t="shared" si="35"/>
        <v>-4.1898851396357552E-2</v>
      </c>
      <c r="AL81" s="124">
        <f>IFERROR(AK81/AK148, "NA")</f>
        <v>0.27048695512563659</v>
      </c>
    </row>
    <row r="82" spans="1:38" ht="16.5" customHeight="1" x14ac:dyDescent="0.25">
      <c r="A82" s="5" t="s">
        <v>84</v>
      </c>
      <c r="B82" s="115">
        <v>308</v>
      </c>
      <c r="C82" s="116">
        <f>IFERROR(B82/B148, "NA")</f>
        <v>1.3306673901810572E-2</v>
      </c>
      <c r="D82" s="115">
        <v>0</v>
      </c>
      <c r="E82" s="116">
        <f>IFERROR(D82/D148, "NA")</f>
        <v>0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308</v>
      </c>
      <c r="M82" s="116">
        <f>IFERROR(L82/L148, "NA")</f>
        <v>1.2533531265463447E-2</v>
      </c>
      <c r="N82" s="115">
        <v>0</v>
      </c>
      <c r="O82" s="116">
        <f>IFERROR(N82/N148, "NA")</f>
        <v>0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296</v>
      </c>
      <c r="U82" s="116">
        <f>IFERROR(T82/T148, "NA")</f>
        <v>9.6317702640569339E-3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296</v>
      </c>
      <c r="AA82" s="116">
        <f>IFERROR(Z82/Z148, "NA")</f>
        <v>3.6046511203097369E-3</v>
      </c>
      <c r="AB82" s="117">
        <f t="shared" si="30"/>
        <v>74</v>
      </c>
      <c r="AC82" s="116">
        <f>IFERROR(AB82/AB148, "NA")</f>
        <v>2.706198373666203E-3</v>
      </c>
      <c r="AD82" s="118">
        <f t="shared" si="31"/>
        <v>-74</v>
      </c>
      <c r="AE82" s="119">
        <f>IFERROR(AD82/AD148, "NA")</f>
        <v>2.5979748084212991E-2</v>
      </c>
      <c r="AF82" s="118">
        <f t="shared" si="32"/>
        <v>-1</v>
      </c>
      <c r="AG82" s="117">
        <f t="shared" si="33"/>
        <v>75.5</v>
      </c>
      <c r="AH82" s="116">
        <f>IFERROR(AG82/AG148, "NA")</f>
        <v>2.6046805592162916E-3</v>
      </c>
      <c r="AI82" s="118">
        <f t="shared" si="34"/>
        <v>-75.5</v>
      </c>
      <c r="AJ82" s="119">
        <f>IFERROR(AI82/AI148, "NA")</f>
        <v>1.6815069866058501E-2</v>
      </c>
      <c r="AK82" s="118">
        <f t="shared" si="35"/>
        <v>-1</v>
      </c>
      <c r="AL82" s="119">
        <f>IFERROR(AK82/AK148, "NA")</f>
        <v>6.4557128921474725</v>
      </c>
    </row>
    <row r="83" spans="1:38" ht="16.5" customHeight="1" x14ac:dyDescent="0.25">
      <c r="A83" s="5" t="s">
        <v>85</v>
      </c>
      <c r="B83" s="115">
        <v>-6.64</v>
      </c>
      <c r="C83" s="116">
        <f>IFERROR(B83/B148, "NA")</f>
        <v>-2.8687115164942274E-4</v>
      </c>
      <c r="D83" s="115">
        <v>-1.66</v>
      </c>
      <c r="E83" s="116">
        <f>IFERROR(D83/D148, "NA")</f>
        <v>-6.5297645154501703E-5</v>
      </c>
      <c r="F83" s="115">
        <v>5.54</v>
      </c>
      <c r="G83" s="116">
        <f>IFERROR(F83/F148, "NA")</f>
        <v>2.2606293445195041E-4</v>
      </c>
      <c r="H83" s="115">
        <v>-1.66</v>
      </c>
      <c r="I83" s="116">
        <f>IFERROR(H83/H148, "NA")</f>
        <v>-6.4229554881446168E-5</v>
      </c>
      <c r="J83" s="115">
        <v>-1.66</v>
      </c>
      <c r="K83" s="116">
        <f>IFERROR(J83/J148, "NA")</f>
        <v>-5.8308648753266248E-5</v>
      </c>
      <c r="L83" s="115">
        <v>-1.66</v>
      </c>
      <c r="M83" s="116">
        <f>IFERROR(L83/L148, "NA")</f>
        <v>-6.7550850326848446E-5</v>
      </c>
      <c r="N83" s="115">
        <v>-1.66</v>
      </c>
      <c r="O83" s="116">
        <f>IFERROR(N83/N148, "NA")</f>
        <v>-7.735620715992277E-5</v>
      </c>
      <c r="P83" s="115">
        <v>5.54</v>
      </c>
      <c r="Q83" s="116">
        <f>IFERROR(P83/P148, "NA")</f>
        <v>1.1539438112681156E-4</v>
      </c>
      <c r="R83" s="115">
        <v>-1.66</v>
      </c>
      <c r="S83" s="116">
        <f>IFERROR(R83/R148, "NA")</f>
        <v>-6.0889723575327184E-5</v>
      </c>
      <c r="T83" s="115">
        <v>-1.66</v>
      </c>
      <c r="U83" s="116">
        <f>IFERROR(T83/T148, "NA")</f>
        <v>-5.4016008913292263E-5</v>
      </c>
      <c r="V83" s="115">
        <v>-1.66</v>
      </c>
      <c r="W83" s="116">
        <f>IFERROR(V83/V148, "NA")</f>
        <v>-6.1737027042305483E-5</v>
      </c>
      <c r="X83" s="115">
        <v>-1.66</v>
      </c>
      <c r="Y83" s="116">
        <f>IFERROR(X83/X148, "NA")</f>
        <v>-6.776544664369173E-5</v>
      </c>
      <c r="Z83" s="115">
        <v>-4.9800000000000004</v>
      </c>
      <c r="AA83" s="116">
        <f>IFERROR(Z83/Z148, "NA")</f>
        <v>-6.0645819524130035E-5</v>
      </c>
      <c r="AB83" s="117">
        <f t="shared" si="30"/>
        <v>-1.66</v>
      </c>
      <c r="AC83" s="116">
        <f>IFERROR(AB83/AB148, "NA")</f>
        <v>-6.0706612166025632E-5</v>
      </c>
      <c r="AD83" s="118">
        <f t="shared" si="31"/>
        <v>0</v>
      </c>
      <c r="AE83" s="119">
        <f>IFERROR(AD83/AD148, "NA")</f>
        <v>0</v>
      </c>
      <c r="AF83" s="118">
        <f t="shared" si="32"/>
        <v>0</v>
      </c>
      <c r="AG83" s="117">
        <f t="shared" si="33"/>
        <v>-0.7599999999999999</v>
      </c>
      <c r="AH83" s="116">
        <f>IFERROR(AG83/AG148, "NA")</f>
        <v>-2.6219300993435513E-5</v>
      </c>
      <c r="AI83" s="118">
        <f t="shared" si="34"/>
        <v>-0.9</v>
      </c>
      <c r="AJ83" s="119">
        <f>IFERROR(AI83/AI148, "NA")</f>
        <v>2.0044454144970401E-4</v>
      </c>
      <c r="AK83" s="118">
        <f t="shared" si="35"/>
        <v>1.1842105263157896</v>
      </c>
      <c r="AL83" s="119">
        <f>IFERROR(AK83/AK148, "NA")</f>
        <v>-7.6449231617535869</v>
      </c>
    </row>
    <row r="84" spans="1:38" ht="16.5" customHeight="1" x14ac:dyDescent="0.25">
      <c r="A84" s="130" t="s">
        <v>86</v>
      </c>
      <c r="B84" s="121">
        <f>IFERROR(B63+B65+B66+B67+B68+B69+B71+B72+B74+B75+B76+B77+B78+B79+B80+B82+B83, "NA")</f>
        <v>7242.0499999999993</v>
      </c>
      <c r="C84" s="122">
        <f>IFERROR(B84/B148, "NA")</f>
        <v>0.3128818108136599</v>
      </c>
      <c r="D84" s="121">
        <f>IFERROR(D63+D65+D66+D67+D68+D69+D71+D72+D74+D75+D76+D77+D78+D79+D80+D82+D83, "NA")</f>
        <v>8051.06</v>
      </c>
      <c r="E84" s="122">
        <f>IFERROR(D84/D148, "NA")</f>
        <v>0.31669593915518224</v>
      </c>
      <c r="F84" s="121">
        <f>IFERROR(F63+F65+F66+F67+F68+F69+F71+F72+F74+F75+F76+F77+F78+F79+F80+F82+F83, "NA")</f>
        <v>7895.329999999999</v>
      </c>
      <c r="G84" s="122">
        <f>IFERROR(F84/F148, "NA")</f>
        <v>0.32217355022861321</v>
      </c>
      <c r="H84" s="121">
        <f>IFERROR(H63+H65+H66+H67+H68+H69+H71+H72+H74+H75+H76+H77+H78+H79+H80+H82+H83, "NA")</f>
        <v>7715.33</v>
      </c>
      <c r="I84" s="122">
        <f>IFERROR(H84/H148, "NA")</f>
        <v>0.29852542871293258</v>
      </c>
      <c r="J84" s="121">
        <f>IFERROR(J63+J65+J66+J67+J68+J69+J71+J72+J74+J75+J76+J77+J78+J79+J80+J82+J83, "NA")</f>
        <v>6997.17</v>
      </c>
      <c r="K84" s="122">
        <f>IFERROR(J84/J148, "NA")</f>
        <v>0.24578043843186267</v>
      </c>
      <c r="L84" s="121">
        <f>IFERROR(L63+L65+L66+L67+L68+L69+L71+L72+L74+L75+L76+L77+L78+L79+L80+L82+L83, "NA")</f>
        <v>7822.93</v>
      </c>
      <c r="M84" s="122">
        <f>IFERROR(L84/L148, "NA")</f>
        <v>0.31834070695627259</v>
      </c>
      <c r="N84" s="121">
        <f>IFERROR(N63+N65+N66+N67+N68+N69+N71+N72+N74+N75+N76+N77+N78+N79+N80+N82+N83, "NA")</f>
        <v>6366.11</v>
      </c>
      <c r="O84" s="122">
        <f>IFERROR(N84/N148, "NA")</f>
        <v>0.2966615204595518</v>
      </c>
      <c r="P84" s="121">
        <f>IFERROR(P63+P65+P66+P67+P68+P69+P71+P72+P74+P75+P76+P77+P78+P79+P80+P82+P83, "NA")</f>
        <v>9251.51</v>
      </c>
      <c r="Q84" s="122">
        <f>IFERROR(P84/P148, "NA")</f>
        <v>0.19270257598168022</v>
      </c>
      <c r="R84" s="121">
        <f>IFERROR(R63+R65+R66+R67+R68+R69+R71+R72+R74+R75+R76+R77+R78+R79+R80+R82+R83, "NA")</f>
        <v>8300.7200000000012</v>
      </c>
      <c r="S84" s="122">
        <f>IFERROR(R84/R148, "NA")</f>
        <v>0.30447502787722286</v>
      </c>
      <c r="T84" s="121">
        <f>IFERROR(T63+T65+T66+T67+T68+T69+T71+T72+T74+T75+T76+T77+T78+T79+T80+T82+T83, "NA")</f>
        <v>8402.3700000000008</v>
      </c>
      <c r="U84" s="122">
        <f>IFERROR(T84/T148, "NA")</f>
        <v>0.27341114024866237</v>
      </c>
      <c r="V84" s="121">
        <f>IFERROR(V63+V65+V66+V67+V68+V69+V71+V72+V74+V75+V76+V77+V78+V79+V80+V82+V83, "NA")</f>
        <v>8140.29</v>
      </c>
      <c r="W84" s="122">
        <f>IFERROR(V84/V148, "NA")</f>
        <v>0.30274536377241501</v>
      </c>
      <c r="X84" s="121">
        <f>IFERROR(X63+X65+X66+X67+X68+X69+X71+X72+X74+X75+X76+X77+X78+X79+X80+X82+X83, "NA")</f>
        <v>7523.21</v>
      </c>
      <c r="Y84" s="122">
        <f>IFERROR(X84/X148, "NA")</f>
        <v>0.30711667821945066</v>
      </c>
      <c r="Z84" s="121">
        <f>IFERROR(Z63+Z65+Z66+Z67+Z68+Z69+Z71+Z72+Z74+Z75+Z76+Z77+Z78+Z79+Z80+Z82+Z83, "NA")</f>
        <v>24065.87</v>
      </c>
      <c r="AA84" s="122">
        <f>IFERROR(Z84/Z148, "NA")</f>
        <v>0.29307116640786651</v>
      </c>
      <c r="AB84" s="121">
        <f t="shared" si="30"/>
        <v>8091.6475000000009</v>
      </c>
      <c r="AC84" s="122">
        <f>IFERROR(AB84/AB148, "NA")</f>
        <v>0.29591355817270543</v>
      </c>
      <c r="AD84" s="123">
        <f t="shared" si="31"/>
        <v>-568.43750000000091</v>
      </c>
      <c r="AE84" s="124">
        <f>IFERROR(AD84/AD148, "NA")</f>
        <v>0.19956571691378169</v>
      </c>
      <c r="AF84" s="123">
        <f t="shared" si="32"/>
        <v>-7.0249908933872965E-2</v>
      </c>
      <c r="AG84" s="121">
        <f t="shared" si="33"/>
        <v>7850.5387500000006</v>
      </c>
      <c r="AH84" s="122">
        <f>IFERROR(AG84/AG148, "NA")</f>
        <v>0.27083636637747238</v>
      </c>
      <c r="AI84" s="123">
        <f t="shared" si="34"/>
        <v>-327.32875000000058</v>
      </c>
      <c r="AJ84" s="124">
        <f>IFERROR(AI84/AI148, "NA")</f>
        <v>7.2901401330061011E-2</v>
      </c>
      <c r="AK84" s="123">
        <f t="shared" si="35"/>
        <v>-4.1695068379861262E-2</v>
      </c>
      <c r="AL84" s="124">
        <f>IFERROR(AK84/AK148, "NA")</f>
        <v>0.26917139047884081</v>
      </c>
    </row>
    <row r="85" spans="1:38" ht="16.5" customHeight="1" x14ac:dyDescent="0.25">
      <c r="A85" s="120" t="s">
        <v>86</v>
      </c>
      <c r="B85" s="131">
        <f>IFERROR(B63+B65+B66+B67+B68+B69+B71+B72+B74+B75+B76+B77+B78+B79+B80+B82+B83, "NA")</f>
        <v>7242.0499999999993</v>
      </c>
      <c r="C85" s="132">
        <f>IFERROR(B85/B148, "NA")</f>
        <v>0.3128818108136599</v>
      </c>
      <c r="D85" s="131">
        <f>IFERROR(D63+D65+D66+D67+D68+D69+D71+D72+D74+D75+D76+D77+D78+D79+D80+D82+D83, "NA")</f>
        <v>8051.06</v>
      </c>
      <c r="E85" s="132">
        <f>IFERROR(D85/D148, "NA")</f>
        <v>0.31669593915518224</v>
      </c>
      <c r="F85" s="131">
        <f>IFERROR(F63+F65+F66+F67+F68+F69+F71+F72+F74+F75+F76+F77+F78+F79+F80+F82+F83, "NA")</f>
        <v>7895.329999999999</v>
      </c>
      <c r="G85" s="132">
        <f>IFERROR(F85/F148, "NA")</f>
        <v>0.32217355022861321</v>
      </c>
      <c r="H85" s="131">
        <f>IFERROR(H63+H65+H66+H67+H68+H69+H71+H72+H74+H75+H76+H77+H78+H79+H80+H82+H83, "NA")</f>
        <v>7715.33</v>
      </c>
      <c r="I85" s="132">
        <f>IFERROR(H85/H148, "NA")</f>
        <v>0.29852542871293258</v>
      </c>
      <c r="J85" s="131">
        <f>IFERROR(J63+J65+J66+J67+J68+J69+J71+J72+J74+J75+J76+J77+J78+J79+J80+J82+J83, "NA")</f>
        <v>6997.17</v>
      </c>
      <c r="K85" s="132">
        <f>IFERROR(J85/J148, "NA")</f>
        <v>0.24578043843186267</v>
      </c>
      <c r="L85" s="131">
        <f>IFERROR(L63+L65+L66+L67+L68+L69+L71+L72+L74+L75+L76+L77+L78+L79+L80+L82+L83, "NA")</f>
        <v>7822.93</v>
      </c>
      <c r="M85" s="132">
        <f>IFERROR(L85/L148, "NA")</f>
        <v>0.31834070695627259</v>
      </c>
      <c r="N85" s="131">
        <f>IFERROR(N63+N65+N66+N67+N68+N69+N71+N72+N74+N75+N76+N77+N78+N79+N80+N82+N83, "NA")</f>
        <v>6366.11</v>
      </c>
      <c r="O85" s="132">
        <f>IFERROR(N85/N148, "NA")</f>
        <v>0.2966615204595518</v>
      </c>
      <c r="P85" s="131">
        <f>IFERROR(P63+P65+P66+P67+P68+P69+P71+P72+P74+P75+P76+P77+P78+P79+P80+P82+P83, "NA")</f>
        <v>9251.51</v>
      </c>
      <c r="Q85" s="132">
        <f>IFERROR(P85/P148, "NA")</f>
        <v>0.19270257598168022</v>
      </c>
      <c r="R85" s="131">
        <f>IFERROR(R63+R65+R66+R67+R68+R69+R71+R72+R74+R75+R76+R77+R78+R79+R80+R82+R83, "NA")</f>
        <v>8300.7200000000012</v>
      </c>
      <c r="S85" s="132">
        <f>IFERROR(R85/R148, "NA")</f>
        <v>0.30447502787722286</v>
      </c>
      <c r="T85" s="131">
        <f>IFERROR(T63+T65+T66+T67+T68+T69+T71+T72+T74+T75+T76+T77+T78+T79+T80+T82+T83, "NA")</f>
        <v>8402.3700000000008</v>
      </c>
      <c r="U85" s="132">
        <f>IFERROR(T85/T148, "NA")</f>
        <v>0.27341114024866237</v>
      </c>
      <c r="V85" s="131">
        <f>IFERROR(V63+V65+V66+V67+V68+V69+V71+V72+V74+V75+V76+V77+V78+V79+V80+V82+V83, "NA")</f>
        <v>8140.29</v>
      </c>
      <c r="W85" s="132">
        <f>IFERROR(V85/V148, "NA")</f>
        <v>0.30274536377241501</v>
      </c>
      <c r="X85" s="131">
        <f>IFERROR(X63+X65+X66+X67+X68+X69+X71+X72+X74+X75+X76+X77+X78+X79+X80+X82+X83, "NA")</f>
        <v>7523.21</v>
      </c>
      <c r="Y85" s="132">
        <f>IFERROR(X85/X148, "NA")</f>
        <v>0.30711667821945066</v>
      </c>
      <c r="Z85" s="131">
        <f>IFERROR(Z63+Z65+Z66+Z67+Z68+Z69+Z71+Z72+Z74+Z75+Z76+Z77+Z78+Z79+Z80+Z82+Z83, "NA")</f>
        <v>24065.87</v>
      </c>
      <c r="AA85" s="132">
        <f>IFERROR(Z85/Z148, "NA")</f>
        <v>0.29307116640786651</v>
      </c>
      <c r="AB85" s="131">
        <f t="shared" si="30"/>
        <v>8091.6475000000009</v>
      </c>
      <c r="AC85" s="132">
        <f>IFERROR(AB85/AB148, "NA")</f>
        <v>0.29591355817270543</v>
      </c>
      <c r="AD85" s="133">
        <f t="shared" si="31"/>
        <v>-568.43750000000091</v>
      </c>
      <c r="AE85" s="134">
        <f>IFERROR(AD85/AD148, "NA")</f>
        <v>0.19956571691378169</v>
      </c>
      <c r="AF85" s="133">
        <f t="shared" si="32"/>
        <v>-7.0249908933872965E-2</v>
      </c>
      <c r="AG85" s="131">
        <f t="shared" si="33"/>
        <v>7850.5387500000006</v>
      </c>
      <c r="AH85" s="132">
        <f>IFERROR(AG85/AG148, "NA")</f>
        <v>0.27083636637747238</v>
      </c>
      <c r="AI85" s="133">
        <f t="shared" si="34"/>
        <v>-327.32875000000058</v>
      </c>
      <c r="AJ85" s="134">
        <f>IFERROR(AI85/AI148, "NA")</f>
        <v>7.2901401330061011E-2</v>
      </c>
      <c r="AK85" s="133">
        <f t="shared" si="35"/>
        <v>-4.1695068379861262E-2</v>
      </c>
      <c r="AL85" s="134">
        <f>IFERROR(AK85/AK148, "NA")</f>
        <v>0.26917139047884081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87</v>
      </c>
      <c r="B87" s="136">
        <f>IFERROR(B59-B85, "NA")</f>
        <v>10482.869999999999</v>
      </c>
      <c r="C87" s="137">
        <f>IFERROR(B87/B148, "NA")</f>
        <v>0.45289653456192525</v>
      </c>
      <c r="D87" s="136">
        <f>IFERROR(D59-D85, "NA")</f>
        <v>10752.890000000007</v>
      </c>
      <c r="E87" s="137">
        <f>IFERROR(D87/D148, "NA")</f>
        <v>0.42297493711168088</v>
      </c>
      <c r="F87" s="136">
        <f>IFERROR(F59-F85, "NA")</f>
        <v>10472.700000000004</v>
      </c>
      <c r="G87" s="137">
        <f>IFERROR(F87/F148, "NA")</f>
        <v>0.42734463784024224</v>
      </c>
      <c r="H87" s="136">
        <f>IFERROR(H59-H85, "NA")</f>
        <v>12268.389999999994</v>
      </c>
      <c r="I87" s="137">
        <f>IFERROR(H87/H148, "NA")</f>
        <v>0.4746947161517982</v>
      </c>
      <c r="J87" s="136">
        <f>IFERROR(J59-J85, "NA")</f>
        <v>15408.9</v>
      </c>
      <c r="K87" s="137">
        <f>IFERROR(J87/J148, "NA")</f>
        <v>0.54124827576759293</v>
      </c>
      <c r="L87" s="136">
        <f>IFERROR(L59-L85, "NA")</f>
        <v>11017.470000000001</v>
      </c>
      <c r="M87" s="137">
        <f>IFERROR(L87/L148, "NA")</f>
        <v>0.44833702828345967</v>
      </c>
      <c r="N87" s="136">
        <f>IFERROR(N59-N85, "NA")</f>
        <v>9381.869999999999</v>
      </c>
      <c r="O87" s="137">
        <f>IFERROR(N87/N148, "NA")</f>
        <v>0.43719631281172572</v>
      </c>
      <c r="P87" s="136">
        <f>IFERROR(P59-P85, "NA")</f>
        <v>28143.529999999992</v>
      </c>
      <c r="Q87" s="137">
        <f>IFERROR(P87/P148, "NA")</f>
        <v>0.58621032979672449</v>
      </c>
      <c r="R87" s="136">
        <f>IFERROR(R59-R85, "NA")</f>
        <v>12611.510000000002</v>
      </c>
      <c r="S87" s="137">
        <f>IFERROR(R87/R148, "NA")</f>
        <v>0.46259720347438232</v>
      </c>
      <c r="T87" s="136">
        <f>IFERROR(T59-T85, "NA")</f>
        <v>14358.210000000001</v>
      </c>
      <c r="U87" s="137">
        <f>IFERROR(T87/T148, "NA")</f>
        <v>0.46721277068609768</v>
      </c>
      <c r="V87" s="136">
        <f>IFERROR(V59-V85, "NA")</f>
        <v>12189.39</v>
      </c>
      <c r="W87" s="137">
        <f>IFERROR(V87/V148, "NA")</f>
        <v>0.45333536148145059</v>
      </c>
      <c r="X87" s="136">
        <f>IFERROR(X59-X85, "NA")</f>
        <v>10804.54</v>
      </c>
      <c r="Y87" s="137">
        <f>IFERROR(X87/X148, "NA")</f>
        <v>0.44106896318050193</v>
      </c>
      <c r="Z87" s="136">
        <f>IFERROR(Z59-Z85, "NA")</f>
        <v>37352.139999999985</v>
      </c>
      <c r="AA87" s="137">
        <f>IFERROR(Z87/Z148, "NA")</f>
        <v>0.45486970708434488</v>
      </c>
      <c r="AB87" s="136">
        <f>IFERROR((R87+T87+V87+X87)/4, "NA")</f>
        <v>12490.9125</v>
      </c>
      <c r="AC87" s="137">
        <f>IFERROR(AB87/AB148, "NA")</f>
        <v>0.4567957715284709</v>
      </c>
      <c r="AD87" s="123">
        <f>IFERROR(X87-AB87, "NA")</f>
        <v>-1686.3724999999995</v>
      </c>
      <c r="AE87" s="124">
        <f>IFERROR(AD87/AD148, "NA")</f>
        <v>0.59204773954249268</v>
      </c>
      <c r="AF87" s="123">
        <f>IFERROR((X87-AB87)/AB87, "NA")</f>
        <v>-0.13500795078021718</v>
      </c>
      <c r="AG87" s="136">
        <f>IFERROR((J87+L87+N87+P87+R87+T87+V87+X87)/8, "NA")</f>
        <v>14239.427500000002</v>
      </c>
      <c r="AH87" s="137">
        <f>IFERROR(AG87/AG148, "NA")</f>
        <v>0.49124715210092507</v>
      </c>
      <c r="AI87" s="123">
        <f>IFERROR(X87-AG87, "NA")</f>
        <v>-3434.8875000000007</v>
      </c>
      <c r="AJ87" s="124">
        <f>IFERROR(AI87/AI148, "NA")</f>
        <v>0.76500494429868915</v>
      </c>
      <c r="AK87" s="123">
        <f>IFERROR((X87-AG87)/AG87, "NA")</f>
        <v>-0.24122370790539158</v>
      </c>
      <c r="AL87" s="124">
        <f>IFERROR(AK87/AK148, "NA")</f>
        <v>1.5572710010164525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88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89</v>
      </c>
      <c r="B90" s="115">
        <v>544.99</v>
      </c>
      <c r="C90" s="116">
        <f>IFERROR(B90/B148, "NA")</f>
        <v>2.3545468213466703E-2</v>
      </c>
      <c r="D90" s="115">
        <v>797.51</v>
      </c>
      <c r="E90" s="116">
        <f>IFERROR(D90/D148, "NA")</f>
        <v>3.1370798185040155E-2</v>
      </c>
      <c r="F90" s="115">
        <v>548.75</v>
      </c>
      <c r="G90" s="116">
        <f>IFERROR(F90/F148, "NA")</f>
        <v>2.2392064130055556E-2</v>
      </c>
      <c r="H90" s="115">
        <v>396.12</v>
      </c>
      <c r="I90" s="116">
        <f>IFERROR(H90/H148, "NA")</f>
        <v>1.5326874264842446E-2</v>
      </c>
      <c r="J90" s="115">
        <v>559.89</v>
      </c>
      <c r="K90" s="116">
        <f>IFERROR(J90/J148, "NA")</f>
        <v>1.9666523705100147E-2</v>
      </c>
      <c r="L90" s="115">
        <v>622.83000000000004</v>
      </c>
      <c r="M90" s="116">
        <f>IFERROR(L90/L148, "NA")</f>
        <v>2.5344997656066879E-2</v>
      </c>
      <c r="N90" s="115">
        <v>619.07000000000005</v>
      </c>
      <c r="O90" s="116">
        <f>IFERROR(N90/N148, "NA")</f>
        <v>2.8848739256923734E-2</v>
      </c>
      <c r="P90" s="115">
        <v>563.7399999999999</v>
      </c>
      <c r="Q90" s="116">
        <f>IFERROR(P90/P148, "NA")</f>
        <v>1.1742315598633346E-2</v>
      </c>
      <c r="R90" s="115">
        <v>704.67</v>
      </c>
      <c r="S90" s="116">
        <f>IFERROR(R90/R148, "NA")</f>
        <v>2.5847687657726388E-2</v>
      </c>
      <c r="T90" s="115">
        <v>338.72999999999996</v>
      </c>
      <c r="U90" s="116">
        <f>IFERROR(T90/T148, "NA")</f>
        <v>1.1022194397108125E-2</v>
      </c>
      <c r="V90" s="115">
        <v>606.46</v>
      </c>
      <c r="W90" s="116">
        <f>IFERROR(V90/V148, "NA")</f>
        <v>2.2554841819323244E-2</v>
      </c>
      <c r="X90" s="115">
        <v>661.21999999999991</v>
      </c>
      <c r="Y90" s="116">
        <f>IFERROR(X90/X148, "NA")</f>
        <v>2.6992691945627617E-2</v>
      </c>
      <c r="Z90" s="115">
        <v>1606.4099999999999</v>
      </c>
      <c r="AA90" s="116">
        <f>IFERROR(Z90/Z148, "NA")</f>
        <v>1.9562660831678257E-2</v>
      </c>
      <c r="AB90" s="117">
        <f t="shared" ref="AB90:AB99" si="36">IFERROR((R90+T90+V90+X90)/4, "NA")</f>
        <v>577.77</v>
      </c>
      <c r="AC90" s="116">
        <f>IFERROR(AB90/AB148, "NA")</f>
        <v>2.1129192356123271E-2</v>
      </c>
      <c r="AD90" s="118">
        <f t="shared" ref="AD90:AD99" si="37">IFERROR(X90-AB90, "NA")</f>
        <v>83.449999999999932</v>
      </c>
      <c r="AE90" s="119">
        <f>IFERROR(AD90/AD148, "NA")</f>
        <v>-2.9297432130102326E-2</v>
      </c>
      <c r="AF90" s="118">
        <f t="shared" ref="AF90:AF99" si="38">IFERROR((X90-AB90)/AB90, "NA")</f>
        <v>0.14443463662010825</v>
      </c>
      <c r="AG90" s="117">
        <f t="shared" ref="AG90:AG99" si="39">IFERROR((J90+L90+N90+P90+R90+T90+V90+X90)/8, "NA")</f>
        <v>584.57624999999996</v>
      </c>
      <c r="AH90" s="116">
        <f>IFERROR(AG90/AG148, "NA")</f>
        <v>2.0167342963636588E-2</v>
      </c>
      <c r="AI90" s="118">
        <f t="shared" ref="AI90:AI99" si="40">IFERROR(X90-AG90, "NA")</f>
        <v>76.643749999999955</v>
      </c>
      <c r="AJ90" s="119">
        <f>IFERROR(AI90/AI148, "NA")</f>
        <v>-1.7069801470817492E-2</v>
      </c>
      <c r="AK90" s="118">
        <f t="shared" ref="AK90:AK99" si="41">IFERROR((X90-AG90)/AG90, "NA")</f>
        <v>0.13110992791787207</v>
      </c>
      <c r="AL90" s="119">
        <f>IFERROR(AK90/AK148, "NA")</f>
        <v>-0.84640805194793256</v>
      </c>
    </row>
    <row r="91" spans="1:38" ht="16.5" hidden="1" customHeight="1" x14ac:dyDescent="0.25">
      <c r="A91" s="2" t="s">
        <v>90</v>
      </c>
      <c r="B91" s="115">
        <v>725.99</v>
      </c>
      <c r="C91" s="116">
        <f>IFERROR(B91/B148, "NA")</f>
        <v>3.136529930511512E-2</v>
      </c>
      <c r="D91" s="115">
        <v>330.69</v>
      </c>
      <c r="E91" s="116">
        <f>IFERROR(D91/D148, "NA")</f>
        <v>1.3007998961531427E-2</v>
      </c>
      <c r="F91" s="115">
        <v>1771.0700000000002</v>
      </c>
      <c r="G91" s="116">
        <f>IFERROR(F91/F148, "NA")</f>
        <v>7.2269545364587698E-2</v>
      </c>
      <c r="H91" s="115">
        <v>1499.21</v>
      </c>
      <c r="I91" s="116">
        <f>IFERROR(H91/H148, "NA")</f>
        <v>5.8008187333622244E-2</v>
      </c>
      <c r="J91" s="115">
        <v>1259.99</v>
      </c>
      <c r="K91" s="116">
        <f>IFERROR(J91/J148, "NA")</f>
        <v>4.4258020688330089E-2</v>
      </c>
      <c r="L91" s="115">
        <v>615.48</v>
      </c>
      <c r="M91" s="116">
        <f>IFERROR(L91/L148, "NA")</f>
        <v>2.5045902023595593E-2</v>
      </c>
      <c r="N91" s="115">
        <v>315.45999999999998</v>
      </c>
      <c r="O91" s="116">
        <f>IFERROR(N91/N148, "NA")</f>
        <v>1.4700475367873035E-2</v>
      </c>
      <c r="P91" s="115">
        <v>272.12</v>
      </c>
      <c r="Q91" s="116">
        <f>IFERROR(P91/P148, "NA")</f>
        <v>5.6680720202577552E-3</v>
      </c>
      <c r="R91" s="115">
        <v>357.81</v>
      </c>
      <c r="S91" s="116">
        <f>IFERROR(R91/R148, "NA")</f>
        <v>1.3124669874992664E-2</v>
      </c>
      <c r="T91" s="115">
        <v>420.1</v>
      </c>
      <c r="U91" s="116">
        <f>IFERROR(T91/T148, "NA")</f>
        <v>1.3669955026791615E-2</v>
      </c>
      <c r="V91" s="115">
        <v>284.74</v>
      </c>
      <c r="W91" s="116">
        <f>IFERROR(V91/V148, "NA")</f>
        <v>1.0589759686762689E-2</v>
      </c>
      <c r="X91" s="115">
        <v>467.26</v>
      </c>
      <c r="Y91" s="116">
        <f>IFERROR(X91/X148, "NA")</f>
        <v>1.9074748553452651E-2</v>
      </c>
      <c r="Z91" s="115">
        <v>1172.0999999999999</v>
      </c>
      <c r="AA91" s="116">
        <f>IFERROR(Z91/Z148, "NA")</f>
        <v>1.4273687763902169E-2</v>
      </c>
      <c r="AB91" s="117">
        <f t="shared" si="36"/>
        <v>382.47750000000002</v>
      </c>
      <c r="AC91" s="116">
        <f>IFERROR(AB91/AB148, "NA")</f>
        <v>1.3987297141404261E-2</v>
      </c>
      <c r="AD91" s="118">
        <f t="shared" si="37"/>
        <v>84.78249999999997</v>
      </c>
      <c r="AE91" s="119">
        <f>IFERROR(AD91/AD148, "NA")</f>
        <v>-2.9765243134456582E-2</v>
      </c>
      <c r="AF91" s="118">
        <f t="shared" si="38"/>
        <v>0.22166663398500555</v>
      </c>
      <c r="AG91" s="117">
        <f t="shared" si="39"/>
        <v>499.12</v>
      </c>
      <c r="AH91" s="116">
        <f>IFERROR(AG91/AG148, "NA")</f>
        <v>1.7219180936636231E-2</v>
      </c>
      <c r="AI91" s="118">
        <f t="shared" si="40"/>
        <v>-31.860000000000014</v>
      </c>
      <c r="AJ91" s="119">
        <f>IFERROR(AI91/AI148, "NA")</f>
        <v>7.0957367673195239E-3</v>
      </c>
      <c r="AK91" s="118">
        <f t="shared" si="41"/>
        <v>-6.3832344927071669E-2</v>
      </c>
      <c r="AL91" s="119">
        <f>IFERROR(AK91/AK148, "NA")</f>
        <v>0.41208329208170091</v>
      </c>
    </row>
    <row r="92" spans="1:38" ht="16.5" hidden="1" customHeight="1" x14ac:dyDescent="0.25">
      <c r="A92" s="2" t="s">
        <v>91</v>
      </c>
      <c r="B92" s="115">
        <v>401.33</v>
      </c>
      <c r="C92" s="116">
        <f>IFERROR(B92/B148, "NA")</f>
        <v>1.7338855314979341E-2</v>
      </c>
      <c r="D92" s="115">
        <v>380.75</v>
      </c>
      <c r="E92" s="116">
        <f>IFERROR(D92/D148, "NA")</f>
        <v>1.4977155658178629E-2</v>
      </c>
      <c r="F92" s="115">
        <v>341.36</v>
      </c>
      <c r="G92" s="116">
        <f>IFERROR(F92/F148, "NA")</f>
        <v>1.392939409828841E-2</v>
      </c>
      <c r="H92" s="115">
        <v>276.73</v>
      </c>
      <c r="I92" s="116">
        <f>IFERROR(H92/H148, "NA")</f>
        <v>1.0707376338760602E-2</v>
      </c>
      <c r="J92" s="115">
        <v>498.69</v>
      </c>
      <c r="K92" s="116">
        <f>IFERROR(J92/J148, "NA")</f>
        <v>1.7516831353473702E-2</v>
      </c>
      <c r="L92" s="115">
        <v>140.03</v>
      </c>
      <c r="M92" s="116">
        <f>IFERROR(L92/L148, "NA")</f>
        <v>5.698280464619631E-3</v>
      </c>
      <c r="N92" s="115">
        <v>215.72</v>
      </c>
      <c r="O92" s="116">
        <f>IFERROR(N92/N148, "NA")</f>
        <v>1.0052578920806351E-2</v>
      </c>
      <c r="P92" s="115">
        <v>514.02</v>
      </c>
      <c r="Q92" s="116">
        <f>IFERROR(P92/P148, "NA")</f>
        <v>1.0706682271986224E-2</v>
      </c>
      <c r="R92" s="115">
        <v>404.4</v>
      </c>
      <c r="S92" s="116">
        <f>IFERROR(R92/R148, "NA")</f>
        <v>1.4833616996302599E-2</v>
      </c>
      <c r="T92" s="115">
        <v>5.96</v>
      </c>
      <c r="U92" s="116">
        <f>IFERROR(T92/T148, "NA")</f>
        <v>1.9393699585736258E-4</v>
      </c>
      <c r="V92" s="115">
        <v>10.43</v>
      </c>
      <c r="W92" s="116">
        <f>IFERROR(V92/V148, "NA")</f>
        <v>3.8790192292243743E-4</v>
      </c>
      <c r="X92" s="115">
        <v>20.86</v>
      </c>
      <c r="Y92" s="116">
        <f>IFERROR(X92/X148, "NA")</f>
        <v>8.5155856445024672E-4</v>
      </c>
      <c r="Z92" s="115">
        <v>37.25</v>
      </c>
      <c r="AA92" s="116">
        <f>IFERROR(Z92/Z148, "NA")</f>
        <v>4.5362585889033004E-4</v>
      </c>
      <c r="AB92" s="117">
        <f t="shared" si="36"/>
        <v>110.41249999999999</v>
      </c>
      <c r="AC92" s="116">
        <f>IFERROR(AB92/AB148, "NA")</f>
        <v>4.0378125396272925E-3</v>
      </c>
      <c r="AD92" s="118">
        <f t="shared" si="37"/>
        <v>-89.552499999999995</v>
      </c>
      <c r="AE92" s="119">
        <f>IFERROR(AD92/AD148, "NA")</f>
        <v>3.1439883652857888E-2</v>
      </c>
      <c r="AF92" s="118">
        <f t="shared" si="38"/>
        <v>-0.81107211592890294</v>
      </c>
      <c r="AG92" s="117">
        <f t="shared" si="39"/>
        <v>226.26375000000002</v>
      </c>
      <c r="AH92" s="116">
        <f>IFERROR(AG92/AG148, "NA")</f>
        <v>7.8058912699387447E-3</v>
      </c>
      <c r="AI92" s="118">
        <f t="shared" si="40"/>
        <v>-205.40375</v>
      </c>
      <c r="AJ92" s="119">
        <f>IFERROR(AI92/AI148, "NA")</f>
        <v>4.574673386755515E-2</v>
      </c>
      <c r="AK92" s="118">
        <f t="shared" si="41"/>
        <v>-0.90780670787963158</v>
      </c>
      <c r="AL92" s="119">
        <f>IFERROR(AK92/AK148, "NA")</f>
        <v>5.8605394676364924</v>
      </c>
    </row>
    <row r="93" spans="1:38" ht="16.5" hidden="1" customHeight="1" x14ac:dyDescent="0.25">
      <c r="A93" s="2" t="s">
        <v>92</v>
      </c>
      <c r="B93" s="115">
        <v>2166.89</v>
      </c>
      <c r="C93" s="116">
        <f>IFERROR(B93/B148, "NA")</f>
        <v>9.3617203282773731E-2</v>
      </c>
      <c r="D93" s="115">
        <v>1797.3700000000003</v>
      </c>
      <c r="E93" s="116">
        <f>IFERROR(D93/D148, "NA")</f>
        <v>7.0701221970690814E-2</v>
      </c>
      <c r="F93" s="115">
        <v>3280.2299999999996</v>
      </c>
      <c r="G93" s="116">
        <f>IFERROR(F93/F148, "NA")</f>
        <v>0.13385170026666446</v>
      </c>
      <c r="H93" s="115">
        <v>2470.8999999999996</v>
      </c>
      <c r="I93" s="116">
        <f>IFERROR(H93/H148, "NA")</f>
        <v>9.5605305516003214E-2</v>
      </c>
      <c r="J93" s="115">
        <v>3291.93</v>
      </c>
      <c r="K93" s="116">
        <f>IFERROR(J93/J148, "NA")</f>
        <v>0.11563131933152998</v>
      </c>
      <c r="L93" s="115">
        <v>3366.4300000000003</v>
      </c>
      <c r="M93" s="116">
        <f>IFERROR(L93/L148, "NA")</f>
        <v>0.13699108979868219</v>
      </c>
      <c r="N93" s="115">
        <v>2021.12</v>
      </c>
      <c r="O93" s="116">
        <f>IFERROR(N93/N148, "NA")</f>
        <v>9.4184444225941646E-2</v>
      </c>
      <c r="P93" s="115">
        <v>3826.1</v>
      </c>
      <c r="Q93" s="116">
        <f>IFERROR(P93/P148, "NA")</f>
        <v>7.9695025564854458E-2</v>
      </c>
      <c r="R93" s="115">
        <v>3177.74</v>
      </c>
      <c r="S93" s="116">
        <f>IFERROR(R93/R148, "NA")</f>
        <v>0.11656127120136157</v>
      </c>
      <c r="T93" s="115">
        <v>2829.74</v>
      </c>
      <c r="U93" s="116">
        <f>IFERROR(T93/T148, "NA")</f>
        <v>9.2079072929096173E-2</v>
      </c>
      <c r="V93" s="115">
        <v>1848.1699999999998</v>
      </c>
      <c r="W93" s="116">
        <f>IFERROR(V93/V148, "NA")</f>
        <v>6.8735253776372116E-2</v>
      </c>
      <c r="X93" s="115">
        <v>3927.48</v>
      </c>
      <c r="Y93" s="116">
        <f>IFERROR(X93/X148, "NA")</f>
        <v>0.16032978095431713</v>
      </c>
      <c r="Z93" s="115">
        <v>8605.39</v>
      </c>
      <c r="AA93" s="116">
        <f>IFERROR(Z93/Z148, "NA")</f>
        <v>0.10479536724392637</v>
      </c>
      <c r="AB93" s="117">
        <f t="shared" si="36"/>
        <v>2945.7824999999998</v>
      </c>
      <c r="AC93" s="116">
        <f>IFERROR(AB93/AB148, "NA")</f>
        <v>0.10772799744154542</v>
      </c>
      <c r="AD93" s="118">
        <f t="shared" si="37"/>
        <v>981.69750000000022</v>
      </c>
      <c r="AE93" s="119">
        <f>IFERROR(AD93/AD148, "NA")</f>
        <v>-0.34465207763380662</v>
      </c>
      <c r="AF93" s="118">
        <f t="shared" si="38"/>
        <v>0.33325525560695685</v>
      </c>
      <c r="AG93" s="117">
        <f t="shared" si="39"/>
        <v>3036.0887499999994</v>
      </c>
      <c r="AH93" s="116">
        <f>IFERROR(AG93/AG148, "NA")</f>
        <v>0.10474226944609655</v>
      </c>
      <c r="AI93" s="118">
        <f t="shared" si="40"/>
        <v>891.39125000000058</v>
      </c>
      <c r="AJ93" s="119">
        <f>IFERROR(AI93/AI148, "NA")</f>
        <v>-0.19852723373169842</v>
      </c>
      <c r="AK93" s="118">
        <f t="shared" si="41"/>
        <v>0.29359854846140476</v>
      </c>
      <c r="AL93" s="119">
        <f>IFERROR(AK93/AK148, "NA")</f>
        <v>-1.8953879344180753</v>
      </c>
    </row>
    <row r="94" spans="1:38" ht="16.5" hidden="1" customHeight="1" x14ac:dyDescent="0.25">
      <c r="A94" s="2" t="s">
        <v>93</v>
      </c>
      <c r="B94" s="115">
        <v>687</v>
      </c>
      <c r="C94" s="116">
        <f>IFERROR(B94/B148, "NA")</f>
        <v>2.9680795358908645E-2</v>
      </c>
      <c r="D94" s="115">
        <v>611.67999999999995</v>
      </c>
      <c r="E94" s="116">
        <f>IFERROR(D94/D148, "NA")</f>
        <v>2.4061002161509398E-2</v>
      </c>
      <c r="F94" s="115">
        <v>674.1</v>
      </c>
      <c r="G94" s="116">
        <f>IFERROR(F94/F148, "NA")</f>
        <v>2.7507044063909705E-2</v>
      </c>
      <c r="H94" s="115">
        <v>713.69</v>
      </c>
      <c r="I94" s="116">
        <f>IFERROR(H94/H148, "NA")</f>
        <v>2.7614452423698387E-2</v>
      </c>
      <c r="J94" s="115">
        <v>754.3</v>
      </c>
      <c r="K94" s="116">
        <f>IFERROR(J94/J148, "NA")</f>
        <v>2.6495309490716105E-2</v>
      </c>
      <c r="L94" s="115">
        <v>586.76</v>
      </c>
      <c r="M94" s="116">
        <f>IFERROR(L94/L148, "NA")</f>
        <v>2.3877190926374456E-2</v>
      </c>
      <c r="N94" s="115">
        <v>606.69000000000005</v>
      </c>
      <c r="O94" s="116">
        <f>IFERROR(N94/N148, "NA")</f>
        <v>2.8271829711959972E-2</v>
      </c>
      <c r="P94" s="115">
        <v>868.92</v>
      </c>
      <c r="Q94" s="116">
        <f>IFERROR(P94/P148, "NA")</f>
        <v>1.8099004629730884E-2</v>
      </c>
      <c r="R94" s="115">
        <v>650.03</v>
      </c>
      <c r="S94" s="116">
        <f>IFERROR(R94/R148, "NA")</f>
        <v>2.3843462057632488E-2</v>
      </c>
      <c r="T94" s="115">
        <v>785.61</v>
      </c>
      <c r="U94" s="116">
        <f>IFERROR(T94/T148, "NA")</f>
        <v>2.5563564314681649E-2</v>
      </c>
      <c r="V94" s="115">
        <v>573.84</v>
      </c>
      <c r="W94" s="116">
        <f>IFERROR(V94/V148, "NA")</f>
        <v>2.1341672046961795E-2</v>
      </c>
      <c r="X94" s="115">
        <v>617.75</v>
      </c>
      <c r="Y94" s="116">
        <f>IFERROR(X94/X148, "NA")</f>
        <v>2.5218135339843718E-2</v>
      </c>
      <c r="Z94" s="115">
        <v>1977.2</v>
      </c>
      <c r="AA94" s="116">
        <f>IFERROR(Z94/Z148, "NA")</f>
        <v>2.4078095253636526E-2</v>
      </c>
      <c r="AB94" s="117">
        <f t="shared" si="36"/>
        <v>656.8075</v>
      </c>
      <c r="AC94" s="116">
        <f>IFERROR(AB94/AB148, "NA")</f>
        <v>2.4019613355564389E-2</v>
      </c>
      <c r="AD94" s="118">
        <f t="shared" si="37"/>
        <v>-39.057500000000005</v>
      </c>
      <c r="AE94" s="119">
        <f>IFERROR(AD94/AD148, "NA")</f>
        <v>1.3712216362150661E-2</v>
      </c>
      <c r="AF94" s="118">
        <f t="shared" si="38"/>
        <v>-5.9465672971152135E-2</v>
      </c>
      <c r="AG94" s="117">
        <f t="shared" si="39"/>
        <v>680.48749999999995</v>
      </c>
      <c r="AH94" s="116">
        <f>IFERROR(AG94/AG148, "NA")</f>
        <v>2.347619287469796E-2</v>
      </c>
      <c r="AI94" s="118">
        <f t="shared" si="40"/>
        <v>-62.737499999999955</v>
      </c>
      <c r="AJ94" s="119">
        <f>IFERROR(AI94/AI148, "NA")</f>
        <v>1.3972654910223106E-2</v>
      </c>
      <c r="AK94" s="118">
        <f t="shared" si="41"/>
        <v>-9.2194933779092131E-2</v>
      </c>
      <c r="AL94" s="119">
        <f>IFERROR(AK94/AK148, "NA")</f>
        <v>0.59518402258836756</v>
      </c>
    </row>
    <row r="95" spans="1:38" ht="16.5" hidden="1" customHeight="1" x14ac:dyDescent="0.25">
      <c r="A95" s="2" t="s">
        <v>94</v>
      </c>
      <c r="B95" s="115">
        <v>0</v>
      </c>
      <c r="C95" s="116">
        <f>IFERROR(B95/B148, "NA")</f>
        <v>0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1524.04</v>
      </c>
      <c r="I95" s="116">
        <f>IFERROR(H95/H148, "NA")</f>
        <v>5.8968922181638087E-2</v>
      </c>
      <c r="J95" s="115">
        <v>0</v>
      </c>
      <c r="K95" s="116">
        <f>IFERROR(J95/J148, "NA")</f>
        <v>0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-41</v>
      </c>
      <c r="Q95" s="116">
        <f>IFERROR(P95/P148, "NA")</f>
        <v>-8.5400173758109642E-4</v>
      </c>
      <c r="R95" s="115">
        <v>1524.04</v>
      </c>
      <c r="S95" s="116">
        <f>IFERROR(R95/R148, "NA")</f>
        <v>5.5902635131169665E-2</v>
      </c>
      <c r="T95" s="115">
        <v>0</v>
      </c>
      <c r="U95" s="116">
        <f>IFERROR(T95/T148, "NA")</f>
        <v>0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381.01</v>
      </c>
      <c r="AC95" s="116">
        <f>IFERROR(AB95/AB148, "NA")</f>
        <v>1.3933630302034594E-2</v>
      </c>
      <c r="AD95" s="118">
        <f t="shared" si="37"/>
        <v>-381.01</v>
      </c>
      <c r="AE95" s="119">
        <f>IFERROR(AD95/AD148, "NA")</f>
        <v>0.13376410564278365</v>
      </c>
      <c r="AF95" s="118">
        <f t="shared" si="38"/>
        <v>-1</v>
      </c>
      <c r="AG95" s="117">
        <f t="shared" si="39"/>
        <v>185.38</v>
      </c>
      <c r="AH95" s="116">
        <f>IFERROR(AG95/AG148, "NA")</f>
        <v>6.3954394975829949E-3</v>
      </c>
      <c r="AI95" s="118">
        <f t="shared" si="40"/>
        <v>-185.38</v>
      </c>
      <c r="AJ95" s="119">
        <f>IFERROR(AI95/AI148, "NA")</f>
        <v>4.1287121215495694E-2</v>
      </c>
      <c r="AK95" s="118">
        <f t="shared" si="41"/>
        <v>-1</v>
      </c>
      <c r="AL95" s="119">
        <f>IFERROR(AK95/AK148, "NA")</f>
        <v>6.4557128921474725</v>
      </c>
    </row>
    <row r="96" spans="1:38" ht="16.5" hidden="1" customHeight="1" x14ac:dyDescent="0.25">
      <c r="A96" s="2" t="s">
        <v>95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0</v>
      </c>
      <c r="Y96" s="116">
        <f>IFERROR(X96/X148, "NA")</f>
        <v>0</v>
      </c>
      <c r="Z96" s="115">
        <v>0</v>
      </c>
      <c r="AA96" s="116">
        <f>IFERROR(Z96/Z148, "NA")</f>
        <v>0</v>
      </c>
      <c r="AB96" s="117">
        <f t="shared" si="36"/>
        <v>0</v>
      </c>
      <c r="AC96" s="116">
        <f>IFERROR(AB96/AB148, "NA")</f>
        <v>0</v>
      </c>
      <c r="AD96" s="118">
        <f t="shared" si="37"/>
        <v>0</v>
      </c>
      <c r="AE96" s="119">
        <f>IFERROR(AD96/AD148, "NA")</f>
        <v>0</v>
      </c>
      <c r="AF96" s="118" t="str">
        <f t="shared" si="38"/>
        <v>NA</v>
      </c>
      <c r="AG96" s="117">
        <f t="shared" si="39"/>
        <v>0</v>
      </c>
      <c r="AH96" s="116">
        <f>IFERROR(AG96/AG148, "NA")</f>
        <v>0</v>
      </c>
      <c r="AI96" s="118">
        <f t="shared" si="40"/>
        <v>0</v>
      </c>
      <c r="AJ96" s="119">
        <f>IFERROR(AI96/AI148, "NA")</f>
        <v>0</v>
      </c>
      <c r="AK96" s="118" t="str">
        <f t="shared" si="41"/>
        <v>NA</v>
      </c>
      <c r="AL96" s="119" t="str">
        <f>IFERROR(AK96/AK148, "NA")</f>
        <v>NA</v>
      </c>
    </row>
    <row r="97" spans="1:38" ht="16.5" hidden="1" customHeight="1" x14ac:dyDescent="0.25">
      <c r="A97" s="2" t="s">
        <v>96</v>
      </c>
      <c r="B97" s="115">
        <v>31.62</v>
      </c>
      <c r="C97" s="116">
        <f>IFERROR(B97/B148, "NA")</f>
        <v>1.3660942492702932E-3</v>
      </c>
      <c r="D97" s="115">
        <v>0</v>
      </c>
      <c r="E97" s="116">
        <f>IFERROR(D97/D148, "NA")</f>
        <v>0</v>
      </c>
      <c r="F97" s="115">
        <v>661.26</v>
      </c>
      <c r="G97" s="116">
        <f>IFERROR(F97/F148, "NA")</f>
        <v>2.6983100367454282E-2</v>
      </c>
      <c r="H97" s="115">
        <v>700.49</v>
      </c>
      <c r="I97" s="116">
        <f>IFERROR(H97/H148, "NA")</f>
        <v>2.7103711384882066E-2</v>
      </c>
      <c r="J97" s="115">
        <v>200</v>
      </c>
      <c r="K97" s="116">
        <f>IFERROR(J97/J148, "NA")</f>
        <v>7.0251384040079827E-3</v>
      </c>
      <c r="L97" s="115">
        <v>2343.3599999999997</v>
      </c>
      <c r="M97" s="116">
        <f>IFERROR(L97/L148, "NA")</f>
        <v>9.5359012422845515E-2</v>
      </c>
      <c r="N97" s="115">
        <v>177.07</v>
      </c>
      <c r="O97" s="116">
        <f>IFERROR(N97/N148, "NA")</f>
        <v>8.2514840974744139E-3</v>
      </c>
      <c r="P97" s="115">
        <v>251.81</v>
      </c>
      <c r="Q97" s="116">
        <f>IFERROR(P97/P148, "NA")</f>
        <v>5.2450287204950218E-3</v>
      </c>
      <c r="R97" s="115">
        <v>632.67000000000007</v>
      </c>
      <c r="S97" s="116">
        <f>IFERROR(R97/R148, "NA")</f>
        <v>2.3206687599037504E-2</v>
      </c>
      <c r="T97" s="115">
        <v>0</v>
      </c>
      <c r="U97" s="116">
        <f>IFERROR(T97/T148, "NA")</f>
        <v>0</v>
      </c>
      <c r="V97" s="115">
        <v>0</v>
      </c>
      <c r="W97" s="116">
        <f>IFERROR(V97/V148, "NA")</f>
        <v>0</v>
      </c>
      <c r="X97" s="115">
        <v>0</v>
      </c>
      <c r="Y97" s="116">
        <f>IFERROR(X97/X148, "NA")</f>
        <v>0</v>
      </c>
      <c r="Z97" s="115">
        <v>0</v>
      </c>
      <c r="AA97" s="116">
        <f>IFERROR(Z97/Z148, "NA")</f>
        <v>0</v>
      </c>
      <c r="AB97" s="117">
        <f t="shared" si="36"/>
        <v>158.16750000000002</v>
      </c>
      <c r="AC97" s="116">
        <f>IFERROR(AB97/AB148, "NA")</f>
        <v>5.7842247468493134E-3</v>
      </c>
      <c r="AD97" s="118">
        <f t="shared" si="37"/>
        <v>-158.16750000000002</v>
      </c>
      <c r="AE97" s="119">
        <f>IFERROR(AD97/AD148, "NA")</f>
        <v>5.5529078447429173E-2</v>
      </c>
      <c r="AF97" s="118">
        <f t="shared" si="38"/>
        <v>-1</v>
      </c>
      <c r="AG97" s="117">
        <f t="shared" si="39"/>
        <v>450.61374999999998</v>
      </c>
      <c r="AH97" s="116">
        <f>IFERROR(AG97/AG148, "NA")</f>
        <v>1.5545759925040398E-2</v>
      </c>
      <c r="AI97" s="118">
        <f t="shared" si="40"/>
        <v>-450.61374999999998</v>
      </c>
      <c r="AJ97" s="119">
        <f>IFERROR(AI97/AI148, "NA")</f>
        <v>0.10035896276631283</v>
      </c>
      <c r="AK97" s="118">
        <f t="shared" si="41"/>
        <v>-1</v>
      </c>
      <c r="AL97" s="119">
        <f>IFERROR(AK97/AK148, "NA")</f>
        <v>6.4557128921474725</v>
      </c>
    </row>
    <row r="98" spans="1:38" ht="16.5" hidden="1" customHeight="1" x14ac:dyDescent="0.25">
      <c r="A98" s="2" t="s">
        <v>97</v>
      </c>
      <c r="B98" s="115">
        <v>226.58</v>
      </c>
      <c r="C98" s="116">
        <f>IFERROR(B98/B148, "NA")</f>
        <v>9.7890460151696095E-3</v>
      </c>
      <c r="D98" s="115">
        <v>369.12</v>
      </c>
      <c r="E98" s="116">
        <f>IFERROR(D98/D148, "NA")</f>
        <v>1.4519678782788958E-2</v>
      </c>
      <c r="F98" s="115">
        <v>2109.83</v>
      </c>
      <c r="G98" s="116">
        <f>IFERROR(F98/F148, "NA")</f>
        <v>8.6092844944902255E-2</v>
      </c>
      <c r="H98" s="115">
        <v>1068.45</v>
      </c>
      <c r="I98" s="116">
        <f>IFERROR(H98/H148, "NA")</f>
        <v>4.1341004766916364E-2</v>
      </c>
      <c r="J98" s="115">
        <v>417.2</v>
      </c>
      <c r="K98" s="116">
        <f>IFERROR(J98/J148, "NA")</f>
        <v>1.4654438710760651E-2</v>
      </c>
      <c r="L98" s="115">
        <v>788.34000000000015</v>
      </c>
      <c r="M98" s="116">
        <f>IFERROR(L98/L148, "NA")</f>
        <v>3.2080142979920311E-2</v>
      </c>
      <c r="N98" s="115">
        <v>518.96</v>
      </c>
      <c r="O98" s="116">
        <f>IFERROR(N98/N148, "NA")</f>
        <v>2.4183600763682849E-2</v>
      </c>
      <c r="P98" s="115">
        <v>2006.97</v>
      </c>
      <c r="Q98" s="116">
        <f>IFERROR(P98/P148, "NA")</f>
        <v>4.1803801640808123E-2</v>
      </c>
      <c r="R98" s="115">
        <v>1089.45</v>
      </c>
      <c r="S98" s="116">
        <f>IFERROR(R98/R148, "NA")</f>
        <v>3.9961632138036267E-2</v>
      </c>
      <c r="T98" s="115">
        <v>469.4</v>
      </c>
      <c r="U98" s="116">
        <f>IFERROR(T98/T148, "NA")</f>
        <v>1.5274165411987582E-2</v>
      </c>
      <c r="V98" s="115">
        <v>50.1</v>
      </c>
      <c r="W98" s="116">
        <f>IFERROR(V98/V148, "NA")</f>
        <v>1.8632681053129547E-3</v>
      </c>
      <c r="X98" s="115">
        <v>318.74</v>
      </c>
      <c r="Y98" s="116">
        <f>IFERROR(X98/X148, "NA")</f>
        <v>1.3011782206753196E-2</v>
      </c>
      <c r="Z98" s="115">
        <v>838.24</v>
      </c>
      <c r="AA98" s="116">
        <f>IFERROR(Z98/Z148, "NA")</f>
        <v>1.0207982280704167E-2</v>
      </c>
      <c r="AB98" s="117">
        <f t="shared" si="36"/>
        <v>481.92249999999996</v>
      </c>
      <c r="AC98" s="116">
        <f>IFERROR(AB98/AB148, "NA")</f>
        <v>1.7624025482880414E-2</v>
      </c>
      <c r="AD98" s="118">
        <f t="shared" si="37"/>
        <v>-163.18249999999995</v>
      </c>
      <c r="AE98" s="119">
        <f>IFERROR(AD98/AD148, "NA")</f>
        <v>5.7289732996649793E-2</v>
      </c>
      <c r="AF98" s="118">
        <f t="shared" si="38"/>
        <v>-0.33860734869195763</v>
      </c>
      <c r="AG98" s="117">
        <f t="shared" si="39"/>
        <v>707.39499999999998</v>
      </c>
      <c r="AH98" s="116">
        <f>IFERROR(AG98/AG148, "NA")</f>
        <v>2.4404476876646469E-2</v>
      </c>
      <c r="AI98" s="118">
        <f t="shared" si="40"/>
        <v>-388.65499999999997</v>
      </c>
      <c r="AJ98" s="119">
        <f>IFERROR(AI98/AI148, "NA")</f>
        <v>8.6559748063483002E-2</v>
      </c>
      <c r="AK98" s="118">
        <f t="shared" si="41"/>
        <v>-0.54941722799850157</v>
      </c>
      <c r="AL98" s="119">
        <f>IFERROR(AK98/AK148, "NA")</f>
        <v>3.546879881957854</v>
      </c>
    </row>
    <row r="99" spans="1:38" ht="16.5" hidden="1" customHeight="1" x14ac:dyDescent="0.25">
      <c r="A99" s="120" t="s">
        <v>98</v>
      </c>
      <c r="B99" s="121">
        <f>IFERROR(B90+B91+B92+B93+B94+B95+B96+B97+B98, "NA")</f>
        <v>4784.3999999999996</v>
      </c>
      <c r="C99" s="122">
        <f>IFERROR(B99/B148, "NA")</f>
        <v>0.20670276173968344</v>
      </c>
      <c r="D99" s="121">
        <f>IFERROR(D90+D91+D92+D93+D94+D95+D96+D97+D98, "NA")</f>
        <v>4287.1200000000008</v>
      </c>
      <c r="E99" s="122">
        <f>IFERROR(D99/D148, "NA")</f>
        <v>0.16863785571973941</v>
      </c>
      <c r="F99" s="121">
        <f>IFERROR(F90+F91+F92+F93+F94+F95+F96+F97+F98, "NA")</f>
        <v>9386.6</v>
      </c>
      <c r="G99" s="122">
        <f>IFERROR(F99/F148, "NA")</f>
        <v>0.38302569323586239</v>
      </c>
      <c r="H99" s="121">
        <f>IFERROR(H90+H91+H92+H93+H94+H95+H96+H97+H98, "NA")</f>
        <v>8649.6299999999992</v>
      </c>
      <c r="I99" s="122">
        <f>IFERROR(H99/H148, "NA")</f>
        <v>0.3346758342103634</v>
      </c>
      <c r="J99" s="121">
        <f>IFERROR(J90+J91+J92+J93+J94+J95+J96+J97+J98, "NA")</f>
        <v>6982</v>
      </c>
      <c r="K99" s="122">
        <f>IFERROR(J99/J148, "NA")</f>
        <v>0.24524758168391866</v>
      </c>
      <c r="L99" s="121">
        <f>IFERROR(L90+L91+L92+L93+L94+L95+L96+L97+L98, "NA")</f>
        <v>8463.23</v>
      </c>
      <c r="M99" s="122">
        <f>IFERROR(L99/L148, "NA")</f>
        <v>0.34439661627210455</v>
      </c>
      <c r="N99" s="121">
        <f>IFERROR(N90+N91+N92+N93+N94+N95+N96+N97+N98, "NA")</f>
        <v>4474.09</v>
      </c>
      <c r="O99" s="122">
        <f>IFERROR(N99/N148, "NA")</f>
        <v>0.20849315234466201</v>
      </c>
      <c r="P99" s="121">
        <f>IFERROR(P90+P91+P92+P93+P94+P95+P96+P97+P98, "NA")</f>
        <v>8262.68</v>
      </c>
      <c r="Q99" s="122">
        <f>IFERROR(P99/P148, "NA")</f>
        <v>0.17210592870918473</v>
      </c>
      <c r="R99" s="121">
        <f>IFERROR(R90+R91+R92+R93+R94+R95+R96+R97+R98, "NA")</f>
        <v>8540.81</v>
      </c>
      <c r="S99" s="122">
        <f>IFERROR(R99/R148, "NA")</f>
        <v>0.31328166265625912</v>
      </c>
      <c r="T99" s="121">
        <f>IFERROR(T90+T91+T92+T93+T94+T95+T96+T97+T98, "NA")</f>
        <v>4849.5399999999991</v>
      </c>
      <c r="U99" s="122">
        <f>IFERROR(T99/T148, "NA")</f>
        <v>0.15780288907552248</v>
      </c>
      <c r="V99" s="121">
        <f>IFERROR(V90+V91+V92+V93+V94+V95+V96+V97+V98, "NA")</f>
        <v>3373.74</v>
      </c>
      <c r="W99" s="122">
        <f>IFERROR(V99/V148, "NA")</f>
        <v>0.12547269735765523</v>
      </c>
      <c r="X99" s="121">
        <f>IFERROR(X90+X91+X92+X93+X94+X95+X96+X97+X98, "NA")</f>
        <v>6013.3099999999995</v>
      </c>
      <c r="Y99" s="122">
        <f>IFERROR(X99/X148, "NA")</f>
        <v>0.24547869756444451</v>
      </c>
      <c r="Z99" s="121">
        <f>IFERROR(Z90+Z91+Z92+Z93+Z94+Z95+Z96+Z97+Z98, "NA")</f>
        <v>14236.59</v>
      </c>
      <c r="AA99" s="122">
        <f>IFERROR(Z99/Z148, "NA")</f>
        <v>0.17337141923273783</v>
      </c>
      <c r="AB99" s="121">
        <f t="shared" si="36"/>
        <v>5694.3499999999985</v>
      </c>
      <c r="AC99" s="122">
        <f>IFERROR(AB99/AB148, "NA")</f>
        <v>0.20824379336602891</v>
      </c>
      <c r="AD99" s="123">
        <f t="shared" si="37"/>
        <v>318.96000000000095</v>
      </c>
      <c r="AE99" s="124">
        <f>IFERROR(AD99/AD148, "NA")</f>
        <v>-0.11197973579649459</v>
      </c>
      <c r="AF99" s="123">
        <f t="shared" si="38"/>
        <v>5.6013416807888704E-2</v>
      </c>
      <c r="AG99" s="121">
        <f t="shared" si="39"/>
        <v>6369.9249999999993</v>
      </c>
      <c r="AH99" s="122">
        <f>IFERROR(AG99/AG148, "NA")</f>
        <v>0.21975655379027592</v>
      </c>
      <c r="AI99" s="123">
        <f t="shared" si="40"/>
        <v>-356.61499999999978</v>
      </c>
      <c r="AJ99" s="124">
        <f>IFERROR(AI99/AI148, "NA")</f>
        <v>7.9423922387873491E-2</v>
      </c>
      <c r="AK99" s="123">
        <f t="shared" si="41"/>
        <v>-5.5984175637860699E-2</v>
      </c>
      <c r="AL99" s="124">
        <f>IFERROR(AK99/AK148, "NA")</f>
        <v>0.3614177644215858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99</v>
      </c>
      <c r="B101" s="136">
        <f>IFERROR(B87-B99, "NA")</f>
        <v>5698.4699999999993</v>
      </c>
      <c r="C101" s="137">
        <f>IFERROR(B101/B148, "NA")</f>
        <v>0.24619377282224184</v>
      </c>
      <c r="D101" s="136">
        <f>IFERROR(D87-D99, "NA")</f>
        <v>6465.7700000000059</v>
      </c>
      <c r="E101" s="137">
        <f>IFERROR(D101/D148, "NA")</f>
        <v>0.2543370813919415</v>
      </c>
      <c r="F101" s="136">
        <f>IFERROR(F87-F99, "NA")</f>
        <v>1086.100000000004</v>
      </c>
      <c r="G101" s="137">
        <f>IFERROR(F101/F148, "NA")</f>
        <v>4.4318944604379823E-2</v>
      </c>
      <c r="H101" s="136">
        <f>IFERROR(H87-H99, "NA")</f>
        <v>3618.7599999999948</v>
      </c>
      <c r="I101" s="137">
        <f>IFERROR(H101/H148, "NA")</f>
        <v>0.14001888194143483</v>
      </c>
      <c r="J101" s="136">
        <f>IFERROR(J87-J99, "NA")</f>
        <v>8426.9</v>
      </c>
      <c r="K101" s="137">
        <f>IFERROR(J101/J148, "NA")</f>
        <v>0.2960006940836743</v>
      </c>
      <c r="L101" s="136">
        <f>IFERROR(L87-L99, "NA")</f>
        <v>2554.2400000000016</v>
      </c>
      <c r="M101" s="137">
        <f>IFERROR(L101/L148, "NA")</f>
        <v>0.10394041201135511</v>
      </c>
      <c r="N101" s="136">
        <f>IFERROR(N87-N99, "NA")</f>
        <v>4907.7799999999988</v>
      </c>
      <c r="O101" s="137">
        <f>IFERROR(N101/N148, "NA")</f>
        <v>0.22870316046706368</v>
      </c>
      <c r="P101" s="136">
        <f>IFERROR(P87-P99, "NA")</f>
        <v>19880.849999999991</v>
      </c>
      <c r="Q101" s="137">
        <f>IFERROR(P101/P148, "NA")</f>
        <v>0.41410440108753982</v>
      </c>
      <c r="R101" s="136">
        <f>IFERROR(R87-R99, "NA")</f>
        <v>4070.7000000000025</v>
      </c>
      <c r="S101" s="137">
        <f>IFERROR(R101/R148, "NA")</f>
        <v>0.1493155408181232</v>
      </c>
      <c r="T101" s="136">
        <f>IFERROR(T87-T99, "NA")</f>
        <v>9508.6700000000019</v>
      </c>
      <c r="U101" s="137">
        <f>IFERROR(T101/T148, "NA")</f>
        <v>0.3094098816105752</v>
      </c>
      <c r="V101" s="136">
        <f>IFERROR(V87-V99, "NA")</f>
        <v>8815.65</v>
      </c>
      <c r="W101" s="137">
        <f>IFERROR(V101/V148, "NA")</f>
        <v>0.32786266412379533</v>
      </c>
      <c r="X101" s="136">
        <f>IFERROR(X87-X99, "NA")</f>
        <v>4791.2300000000014</v>
      </c>
      <c r="Y101" s="137">
        <f>IFERROR(X101/X148, "NA")</f>
        <v>0.19559026561605738</v>
      </c>
      <c r="Z101" s="136">
        <f>IFERROR(Z87-Z99, "NA")</f>
        <v>23115.549999999985</v>
      </c>
      <c r="AA101" s="137">
        <f>IFERROR(Z101/Z148, "NA")</f>
        <v>0.28149828785160702</v>
      </c>
      <c r="AB101" s="136">
        <f>IFERROR((R101+T101+V101+X101)/4, "NA")</f>
        <v>6796.5625000000018</v>
      </c>
      <c r="AC101" s="137">
        <f>IFERROR(AB101/AB148, "NA")</f>
        <v>0.24855197816244201</v>
      </c>
      <c r="AD101" s="123">
        <f>IFERROR(X101-AB101, "NA")</f>
        <v>-2005.3325000000004</v>
      </c>
      <c r="AE101" s="124">
        <f>IFERROR(AD101/AD148, "NA")</f>
        <v>0.70402747533898724</v>
      </c>
      <c r="AF101" s="123">
        <f>IFERROR((X101-AB101)/AB101, "NA")</f>
        <v>-0.29505099085015402</v>
      </c>
      <c r="AG101" s="136">
        <f>IFERROR((J101+L101+N101+P101+R101+T101+V101+X101)/8, "NA")</f>
        <v>7869.5025000000005</v>
      </c>
      <c r="AH101" s="137">
        <f>IFERROR(AG101/AG148, "NA")</f>
        <v>0.27149059831064909</v>
      </c>
      <c r="AI101" s="123">
        <f>IFERROR(X101-AG101, "NA")</f>
        <v>-3078.2724999999991</v>
      </c>
      <c r="AJ101" s="124">
        <f>IFERROR(AI101/AI148, "NA")</f>
        <v>0.68558102191081527</v>
      </c>
      <c r="AK101" s="123">
        <f>IFERROR((X101-AG101)/AG101, "NA")</f>
        <v>-0.39116481632733441</v>
      </c>
      <c r="AL101" s="124">
        <f>IFERROR(AK101/AK148, "NA")</f>
        <v>2.5252477477188711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100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101</v>
      </c>
      <c r="B104" s="140">
        <v>0</v>
      </c>
      <c r="C104" s="137">
        <f>IFERROR(B104/B148, "NA")</f>
        <v>0</v>
      </c>
      <c r="D104" s="140">
        <v>0</v>
      </c>
      <c r="E104" s="137">
        <f>IFERROR(D104/D148, "NA")</f>
        <v>0</v>
      </c>
      <c r="F104" s="140">
        <v>2799.69</v>
      </c>
      <c r="G104" s="137">
        <f>IFERROR(F104/F148, "NA")</f>
        <v>0.11424298501006877</v>
      </c>
      <c r="H104" s="140">
        <v>12842.849999999999</v>
      </c>
      <c r="I104" s="137">
        <f>IFERROR(H104/H148, "NA")</f>
        <v>0.49692201139107284</v>
      </c>
      <c r="J104" s="140">
        <v>0</v>
      </c>
      <c r="K104" s="137">
        <f>IFERROR(J104/J148, "NA")</f>
        <v>0</v>
      </c>
      <c r="L104" s="140">
        <v>0</v>
      </c>
      <c r="M104" s="137">
        <f>IFERROR(L104/L148, "NA")</f>
        <v>0</v>
      </c>
      <c r="N104" s="140">
        <v>0</v>
      </c>
      <c r="O104" s="137">
        <f>IFERROR(N104/N148, "NA")</f>
        <v>0</v>
      </c>
      <c r="P104" s="140">
        <v>2328.81</v>
      </c>
      <c r="Q104" s="137">
        <f>IFERROR(P104/P148, "NA")</f>
        <v>4.8507506987713001E-2</v>
      </c>
      <c r="R104" s="140">
        <v>15561.58</v>
      </c>
      <c r="S104" s="137">
        <f>IFERROR(R104/R148, "NA")</f>
        <v>0.5708074124068313</v>
      </c>
      <c r="T104" s="140">
        <v>0</v>
      </c>
      <c r="U104" s="137">
        <f>IFERROR(T104/T148, "NA")</f>
        <v>0</v>
      </c>
      <c r="V104" s="140">
        <v>0</v>
      </c>
      <c r="W104" s="137">
        <f>IFERROR(V104/V148, "NA")</f>
        <v>0</v>
      </c>
      <c r="X104" s="140">
        <v>1683.3</v>
      </c>
      <c r="Y104" s="137">
        <f>IFERROR(X104/X148, "NA")</f>
        <v>6.8716612250196568E-2</v>
      </c>
      <c r="Z104" s="140">
        <v>1683.3</v>
      </c>
      <c r="AA104" s="137">
        <f>IFERROR(Z104/Z148, "NA")</f>
        <v>2.0499017671680338E-2</v>
      </c>
      <c r="AB104" s="136">
        <f>IFERROR((R104+T104+V104+X104)/4, "NA")</f>
        <v>4311.22</v>
      </c>
      <c r="AC104" s="137">
        <f>IFERROR(AB104/AB148, "NA")</f>
        <v>0.15766238584482714</v>
      </c>
      <c r="AD104" s="123">
        <f>IFERROR(X104-AB104, "NA")</f>
        <v>-2627.92</v>
      </c>
      <c r="AE104" s="124">
        <f>IFERROR(AD104/AD148, "NA")</f>
        <v>0.92260404845222976</v>
      </c>
      <c r="AF104" s="123">
        <f>IFERROR((X104-AB104)/AB104, "NA")</f>
        <v>-0.60955367622157997</v>
      </c>
      <c r="AG104" s="136">
        <f>IFERROR((J104+L104+N104+P104+R104+T104+V104+X104)/8, "NA")</f>
        <v>2446.7112499999998</v>
      </c>
      <c r="AH104" s="137">
        <f>IFERROR(AG104/AG148, "NA")</f>
        <v>8.4409287773387964E-2</v>
      </c>
      <c r="AI104" s="123">
        <f>IFERROR(X104-AG104, "NA")</f>
        <v>-763.41124999999988</v>
      </c>
      <c r="AJ104" s="124">
        <f>IFERROR(AI104/AI148, "NA")</f>
        <v>0.17002401993755034</v>
      </c>
      <c r="AK104" s="123">
        <f>IFERROR((X104-AG104)/AG104, "NA")</f>
        <v>-0.3120152613022889</v>
      </c>
      <c r="AL104" s="124">
        <f>IFERROR(AK104/AK148, "NA")</f>
        <v>2.0142809449359489</v>
      </c>
    </row>
    <row r="105" spans="1:38" ht="16.5" hidden="1" customHeight="1" x14ac:dyDescent="0.25">
      <c r="A105" s="120" t="s">
        <v>102</v>
      </c>
      <c r="B105" s="121">
        <f>IFERROR(B104, "NA")</f>
        <v>0</v>
      </c>
      <c r="C105" s="122">
        <f>IFERROR(B105/B148, "NA")</f>
        <v>0</v>
      </c>
      <c r="D105" s="121">
        <f>IFERROR(D104, "NA")</f>
        <v>0</v>
      </c>
      <c r="E105" s="122">
        <f>IFERROR(D105/D148, "NA")</f>
        <v>0</v>
      </c>
      <c r="F105" s="121">
        <f>IFERROR(F104, "NA")</f>
        <v>2799.69</v>
      </c>
      <c r="G105" s="122">
        <f>IFERROR(F105/F148, "NA")</f>
        <v>0.11424298501006877</v>
      </c>
      <c r="H105" s="121">
        <f>IFERROR(H104, "NA")</f>
        <v>12842.849999999999</v>
      </c>
      <c r="I105" s="122">
        <f>IFERROR(H105/H148, "NA")</f>
        <v>0.49692201139107284</v>
      </c>
      <c r="J105" s="121">
        <f>IFERROR(J104, "NA")</f>
        <v>0</v>
      </c>
      <c r="K105" s="122">
        <f>IFERROR(J105/J148, "NA")</f>
        <v>0</v>
      </c>
      <c r="L105" s="121">
        <f>IFERROR(L104, "NA")</f>
        <v>0</v>
      </c>
      <c r="M105" s="122">
        <f>IFERROR(L105/L148, "NA")</f>
        <v>0</v>
      </c>
      <c r="N105" s="121">
        <f>IFERROR(N104, "NA")</f>
        <v>0</v>
      </c>
      <c r="O105" s="122">
        <f>IFERROR(N105/N148, "NA")</f>
        <v>0</v>
      </c>
      <c r="P105" s="121">
        <f>IFERROR(P104, "NA")</f>
        <v>2328.81</v>
      </c>
      <c r="Q105" s="122">
        <f>IFERROR(P105/P148, "NA")</f>
        <v>4.8507506987713001E-2</v>
      </c>
      <c r="R105" s="121">
        <f>IFERROR(R104, "NA")</f>
        <v>15561.58</v>
      </c>
      <c r="S105" s="122">
        <f>IFERROR(R105/R148, "NA")</f>
        <v>0.5708074124068313</v>
      </c>
      <c r="T105" s="121">
        <f>IFERROR(T104, "NA")</f>
        <v>0</v>
      </c>
      <c r="U105" s="122">
        <f>IFERROR(T105/T148, "NA")</f>
        <v>0</v>
      </c>
      <c r="V105" s="121">
        <f>IFERROR(V104, "NA")</f>
        <v>0</v>
      </c>
      <c r="W105" s="122">
        <f>IFERROR(V105/V148, "NA")</f>
        <v>0</v>
      </c>
      <c r="X105" s="121">
        <f>IFERROR(X104, "NA")</f>
        <v>1683.3</v>
      </c>
      <c r="Y105" s="122">
        <f>IFERROR(X105/X148, "NA")</f>
        <v>6.8716612250196568E-2</v>
      </c>
      <c r="Z105" s="121">
        <f>IFERROR(Z104, "NA")</f>
        <v>1683.3</v>
      </c>
      <c r="AA105" s="122">
        <f>IFERROR(Z105/Z148, "NA")</f>
        <v>2.0499017671680338E-2</v>
      </c>
      <c r="AB105" s="121">
        <f>IFERROR((R105+T105+V105+X105)/4, "NA")</f>
        <v>4311.22</v>
      </c>
      <c r="AC105" s="122">
        <f>IFERROR(AB105/AB148, "NA")</f>
        <v>0.15766238584482714</v>
      </c>
      <c r="AD105" s="123">
        <f>IFERROR(X105-AB105, "NA")</f>
        <v>-2627.92</v>
      </c>
      <c r="AE105" s="124">
        <f>IFERROR(AD105/AD148, "NA")</f>
        <v>0.92260404845222976</v>
      </c>
      <c r="AF105" s="123">
        <f>IFERROR((X105-AB105)/AB105, "NA")</f>
        <v>-0.60955367622157997</v>
      </c>
      <c r="AG105" s="121">
        <f>IFERROR((J105+L105+N105+P105+R105+T105+V105+X105)/8, "NA")</f>
        <v>2446.7112499999998</v>
      </c>
      <c r="AH105" s="122">
        <f>IFERROR(AG105/AG148, "NA")</f>
        <v>8.4409287773387964E-2</v>
      </c>
      <c r="AI105" s="123">
        <f>IFERROR(X105-AG105, "NA")</f>
        <v>-763.41124999999988</v>
      </c>
      <c r="AJ105" s="124">
        <f>IFERROR(AI105/AI148, "NA")</f>
        <v>0.17002401993755034</v>
      </c>
      <c r="AK105" s="123">
        <f>IFERROR((X105-AG105)/AG105, "NA")</f>
        <v>-0.3120152613022889</v>
      </c>
      <c r="AL105" s="124">
        <f>IFERROR(AK105/AK148, "NA")</f>
        <v>2.0142809449359489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103</v>
      </c>
      <c r="B107" s="136">
        <f>IFERROR(B87-B99-B105, "NA")</f>
        <v>5698.4699999999993</v>
      </c>
      <c r="C107" s="137">
        <f>IFERROR(B107/B148, "NA")</f>
        <v>0.24619377282224184</v>
      </c>
      <c r="D107" s="136">
        <f>IFERROR(D87-D99-D105, "NA")</f>
        <v>6465.7700000000059</v>
      </c>
      <c r="E107" s="137">
        <f>IFERROR(D107/D148, "NA")</f>
        <v>0.2543370813919415</v>
      </c>
      <c r="F107" s="136">
        <f>IFERROR(F87-F99-F105, "NA")</f>
        <v>-1713.5899999999961</v>
      </c>
      <c r="G107" s="137">
        <f>IFERROR(F107/F148, "NA")</f>
        <v>-6.9924040405688948E-2</v>
      </c>
      <c r="H107" s="136">
        <f>IFERROR(H87-H99-H105, "NA")</f>
        <v>-9224.0900000000038</v>
      </c>
      <c r="I107" s="137">
        <f>IFERROR(H107/H148, "NA")</f>
        <v>-0.35690312944963798</v>
      </c>
      <c r="J107" s="136">
        <f>IFERROR(J87-J99-J105, "NA")</f>
        <v>8426.9</v>
      </c>
      <c r="K107" s="137">
        <f>IFERROR(J107/J148, "NA")</f>
        <v>0.2960006940836743</v>
      </c>
      <c r="L107" s="136">
        <f>IFERROR(L87-L99-L105, "NA")</f>
        <v>2554.2400000000016</v>
      </c>
      <c r="M107" s="137">
        <f>IFERROR(L107/L148, "NA")</f>
        <v>0.10394041201135511</v>
      </c>
      <c r="N107" s="136">
        <f>IFERROR(N87-N99-N105, "NA")</f>
        <v>4907.7799999999988</v>
      </c>
      <c r="O107" s="137">
        <f>IFERROR(N107/N148, "NA")</f>
        <v>0.22870316046706368</v>
      </c>
      <c r="P107" s="136">
        <f>IFERROR(P87-P99-P105, "NA")</f>
        <v>17552.03999999999</v>
      </c>
      <c r="Q107" s="137">
        <f>IFERROR(P107/P148, "NA")</f>
        <v>0.36559689409982676</v>
      </c>
      <c r="R107" s="136">
        <f>IFERROR(R87-R99-R105, "NA")</f>
        <v>-11490.879999999997</v>
      </c>
      <c r="S107" s="137">
        <f>IFERROR(R107/R148, "NA")</f>
        <v>-0.42149187158870816</v>
      </c>
      <c r="T107" s="136">
        <f>IFERROR(T87-T99-T105, "NA")</f>
        <v>9508.6700000000019</v>
      </c>
      <c r="U107" s="137">
        <f>IFERROR(T107/T148, "NA")</f>
        <v>0.3094098816105752</v>
      </c>
      <c r="V107" s="136">
        <f>IFERROR(V87-V99-V105, "NA")</f>
        <v>8815.65</v>
      </c>
      <c r="W107" s="137">
        <f>IFERROR(V107/V148, "NA")</f>
        <v>0.32786266412379533</v>
      </c>
      <c r="X107" s="136">
        <f>IFERROR(X87-X99-X105, "NA")</f>
        <v>3107.9300000000012</v>
      </c>
      <c r="Y107" s="137">
        <f>IFERROR(X107/X148, "NA")</f>
        <v>0.12687365336586082</v>
      </c>
      <c r="Z107" s="136">
        <f>IFERROR(Z87-Z99-Z105, "NA")</f>
        <v>21432.249999999985</v>
      </c>
      <c r="AA107" s="137">
        <f>IFERROR(Z107/Z148, "NA")</f>
        <v>0.26099927017992669</v>
      </c>
      <c r="AB107" s="136">
        <f>IFERROR((R107+T107+V107+X107)/4, "NA")</f>
        <v>2485.3425000000016</v>
      </c>
      <c r="AC107" s="137">
        <f>IFERROR(AB107/AB148, "NA")</f>
        <v>9.0889592317614856E-2</v>
      </c>
      <c r="AD107" s="123">
        <f>IFERROR(X107-AB107, "NA")</f>
        <v>622.58749999999964</v>
      </c>
      <c r="AE107" s="124">
        <f>IFERROR(AD107/AD148, "NA")</f>
        <v>-0.21857657311324252</v>
      </c>
      <c r="AF107" s="123">
        <f>IFERROR((X107-AB107)/AB107, "NA")</f>
        <v>0.25050370321193127</v>
      </c>
      <c r="AG107" s="136">
        <f>IFERROR((J107+L107+N107+P107+R107+T107+V107+X107)/8, "NA")</f>
        <v>5422.7912499999993</v>
      </c>
      <c r="AH107" s="137">
        <f>IFERROR(AG107/AG148, "NA")</f>
        <v>0.18708131053726107</v>
      </c>
      <c r="AI107" s="123">
        <f>IFERROR(X107-AG107, "NA")</f>
        <v>-2314.8612499999981</v>
      </c>
      <c r="AJ107" s="124">
        <f>IFERROR(AI107/AI148, "NA")</f>
        <v>0.51555700197326471</v>
      </c>
      <c r="AK107" s="123">
        <f>IFERROR((X107-AG107)/AG107, "NA")</f>
        <v>-0.42687633421256965</v>
      </c>
      <c r="AL107" s="124">
        <f>IFERROR(AK107/AK148, "NA")</f>
        <v>2.7557910541287391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104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105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106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107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108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109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110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111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112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113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114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115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116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117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118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119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120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121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122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123</v>
      </c>
      <c r="B128" s="115">
        <v>320.27000000000004</v>
      </c>
      <c r="C128" s="116">
        <f>IFERROR(B128/B148, "NA")</f>
        <v>1.3836780683548287E-2</v>
      </c>
      <c r="D128" s="115">
        <v>238.57999999999998</v>
      </c>
      <c r="E128" s="116">
        <f>IFERROR(D128/D148, "NA")</f>
        <v>9.3847663740729004E-3</v>
      </c>
      <c r="F128" s="115">
        <v>346.92999999999995</v>
      </c>
      <c r="G128" s="116">
        <f>IFERROR(F128/F148, "NA")</f>
        <v>1.415668120025544E-2</v>
      </c>
      <c r="H128" s="115">
        <v>-905.78000000000009</v>
      </c>
      <c r="I128" s="116">
        <f>IFERROR(H128/H148, "NA")</f>
        <v>-3.5046895313564051E-2</v>
      </c>
      <c r="J128" s="115">
        <v>460.27</v>
      </c>
      <c r="K128" s="116">
        <f>IFERROR(J128/J148, "NA")</f>
        <v>1.616730226606377E-2</v>
      </c>
      <c r="L128" s="115">
        <v>527.48</v>
      </c>
      <c r="M128" s="116">
        <f>IFERROR(L128/L148, "NA")</f>
        <v>2.1464893090606035E-2</v>
      </c>
      <c r="N128" s="115">
        <v>541.63</v>
      </c>
      <c r="O128" s="116">
        <f>IFERROR(N128/N148, "NA")</f>
        <v>2.524002559278854E-2</v>
      </c>
      <c r="P128" s="115">
        <v>505.65000000000003</v>
      </c>
      <c r="Q128" s="116">
        <f>IFERROR(P128/P148, "NA")</f>
        <v>1.0532340941655643E-2</v>
      </c>
      <c r="R128" s="115">
        <v>-2035.03</v>
      </c>
      <c r="S128" s="116">
        <f>IFERROR(R128/R148, "NA")</f>
        <v>-7.4646032631022943E-2</v>
      </c>
      <c r="T128" s="115">
        <v>795.28</v>
      </c>
      <c r="U128" s="116">
        <f>IFERROR(T128/T148, "NA")</f>
        <v>2.5878223836483777E-2</v>
      </c>
      <c r="V128" s="115">
        <v>723.45999999999992</v>
      </c>
      <c r="W128" s="116">
        <f>IFERROR(V128/V148, "NA")</f>
        <v>2.6906186496401398E-2</v>
      </c>
      <c r="X128" s="115">
        <v>686.2</v>
      </c>
      <c r="Y128" s="116">
        <f>IFERROR(X128/X148, "NA")</f>
        <v>2.8012439449940526E-2</v>
      </c>
      <c r="Z128" s="115">
        <v>2204.94</v>
      </c>
      <c r="AA128" s="116">
        <f>IFERROR(Z128/Z148, "NA")</f>
        <v>2.6851484598701861E-2</v>
      </c>
      <c r="AB128" s="117">
        <f t="shared" si="42"/>
        <v>42.477499999999992</v>
      </c>
      <c r="AC128" s="116">
        <f>IFERROR(AB128/AB148, "NA")</f>
        <v>1.5534127218568394E-3</v>
      </c>
      <c r="AD128" s="118">
        <f t="shared" si="43"/>
        <v>643.72250000000008</v>
      </c>
      <c r="AE128" s="119">
        <f>IFERROR(AD128/AD148, "NA")</f>
        <v>-0.22599659981269998</v>
      </c>
      <c r="AF128" s="118">
        <f t="shared" si="44"/>
        <v>15.154434700723918</v>
      </c>
      <c r="AG128" s="117">
        <f t="shared" si="45"/>
        <v>275.61750000000006</v>
      </c>
      <c r="AH128" s="116">
        <f>IFERROR(AG128/AG148, "NA")</f>
        <v>9.5085502520502827E-3</v>
      </c>
      <c r="AI128" s="118">
        <f t="shared" si="46"/>
        <v>410.58249999999998</v>
      </c>
      <c r="AJ128" s="119">
        <f>IFERROR(AI128/AI148, "NA")</f>
        <v>-9.1443356599747866E-2</v>
      </c>
      <c r="AK128" s="118">
        <f t="shared" si="47"/>
        <v>1.4896822589276801</v>
      </c>
      <c r="AL128" s="119">
        <f>IFERROR(AK128/AK148, "NA")</f>
        <v>-9.6169609641627947</v>
      </c>
    </row>
    <row r="129" spans="1:38" ht="16.5" hidden="1" customHeight="1" x14ac:dyDescent="0.25">
      <c r="A129" s="2" t="s">
        <v>124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125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126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127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128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129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130</v>
      </c>
      <c r="B135" s="121">
        <f>IFERROR(B110+B111+B112+B113+B114+B115+B116+B117+B118+B119+B120+B121+B122+B123+B124+B125+B126+B127+B128+B129+B130+B131+B132+B133+B134, "NA")</f>
        <v>320.27000000000004</v>
      </c>
      <c r="C135" s="122">
        <f>IFERROR(B135/B148, "NA")</f>
        <v>1.3836780683548287E-2</v>
      </c>
      <c r="D135" s="121">
        <f>IFERROR(D110+D111+D112+D113+D114+D115+D116+D117+D118+D119+D120+D121+D122+D123+D124+D125+D126+D127+D128+D129+D130+D131+D132+D133+D134, "NA")</f>
        <v>238.57999999999998</v>
      </c>
      <c r="E135" s="122">
        <f>IFERROR(D135/D148, "NA")</f>
        <v>9.3847663740729004E-3</v>
      </c>
      <c r="F135" s="121">
        <f>IFERROR(F110+F111+F112+F113+F114+F115+F116+F117+F118+F119+F120+F121+F122+F123+F124+F125+F126+F127+F128+F129+F130+F131+F132+F133+F134, "NA")</f>
        <v>346.92999999999995</v>
      </c>
      <c r="G135" s="122">
        <f>IFERROR(F135/F148, "NA")</f>
        <v>1.415668120025544E-2</v>
      </c>
      <c r="H135" s="121">
        <f>IFERROR(H110+H111+H112+H113+H114+H115+H116+H117+H118+H119+H120+H121+H122+H123+H124+H125+H126+H127+H128+H129+H130+H131+H132+H133+H134, "NA")</f>
        <v>-905.78000000000009</v>
      </c>
      <c r="I135" s="122">
        <f>IFERROR(H135/H148, "NA")</f>
        <v>-3.5046895313564051E-2</v>
      </c>
      <c r="J135" s="121">
        <f>IFERROR(J110+J111+J112+J113+J114+J115+J116+J117+J118+J119+J120+J121+J122+J123+J124+J125+J126+J127+J128+J129+J130+J131+J132+J133+J134, "NA")</f>
        <v>460.27</v>
      </c>
      <c r="K135" s="122">
        <f>IFERROR(J135/J148, "NA")</f>
        <v>1.616730226606377E-2</v>
      </c>
      <c r="L135" s="121">
        <f>IFERROR(L110+L111+L112+L113+L114+L115+L116+L117+L118+L119+L120+L121+L122+L123+L124+L125+L126+L127+L128+L129+L130+L131+L132+L133+L134, "NA")</f>
        <v>527.48</v>
      </c>
      <c r="M135" s="122">
        <f>IFERROR(L135/L148, "NA")</f>
        <v>2.1464893090606035E-2</v>
      </c>
      <c r="N135" s="121">
        <f>IFERROR(N110+N111+N112+N113+N114+N115+N116+N117+N118+N119+N120+N121+N122+N123+N124+N125+N126+N127+N128+N129+N130+N131+N132+N133+N134, "NA")</f>
        <v>541.63</v>
      </c>
      <c r="O135" s="122">
        <f>IFERROR(N135/N148, "NA")</f>
        <v>2.524002559278854E-2</v>
      </c>
      <c r="P135" s="121">
        <f>IFERROR(P110+P111+P112+P113+P114+P115+P116+P117+P118+P119+P120+P121+P122+P123+P124+P125+P126+P127+P128+P129+P130+P131+P132+P133+P134, "NA")</f>
        <v>505.65000000000003</v>
      </c>
      <c r="Q135" s="122">
        <f>IFERROR(P135/P148, "NA")</f>
        <v>1.0532340941655643E-2</v>
      </c>
      <c r="R135" s="121">
        <f>IFERROR(R110+R111+R112+R113+R114+R115+R116+R117+R118+R119+R120+R121+R122+R123+R124+R125+R126+R127+R128+R129+R130+R131+R132+R133+R134, "NA")</f>
        <v>-2035.03</v>
      </c>
      <c r="S135" s="122">
        <f>IFERROR(R135/R148, "NA")</f>
        <v>-7.4646032631022943E-2</v>
      </c>
      <c r="T135" s="121">
        <f>IFERROR(T110+T111+T112+T113+T114+T115+T116+T117+T118+T119+T120+T121+T122+T123+T124+T125+T126+T127+T128+T129+T130+T131+T132+T133+T134, "NA")</f>
        <v>795.28</v>
      </c>
      <c r="U135" s="122">
        <f>IFERROR(T135/T148, "NA")</f>
        <v>2.5878223836483777E-2</v>
      </c>
      <c r="V135" s="121">
        <f>IFERROR(V110+V111+V112+V113+V114+V115+V116+V117+V118+V119+V120+V121+V122+V123+V124+V125+V126+V127+V128+V129+V130+V131+V132+V133+V134, "NA")</f>
        <v>723.45999999999992</v>
      </c>
      <c r="W135" s="122">
        <f>IFERROR(V135/V148, "NA")</f>
        <v>2.6906186496401398E-2</v>
      </c>
      <c r="X135" s="121">
        <f>IFERROR(X110+X111+X112+X113+X114+X115+X116+X117+X118+X119+X120+X121+X122+X123+X124+X125+X126+X127+X128+X129+X130+X131+X132+X133+X134, "NA")</f>
        <v>686.2</v>
      </c>
      <c r="Y135" s="122">
        <f>IFERROR(X135/X148, "NA")</f>
        <v>2.8012439449940526E-2</v>
      </c>
      <c r="Z135" s="121">
        <f>IFERROR(Z110+Z111+Z112+Z113+Z114+Z115+Z116+Z117+Z118+Z119+Z120+Z121+Z122+Z123+Z124+Z125+Z126+Z127+Z128+Z129+Z130+Z131+Z132+Z133+Z134, "NA")</f>
        <v>2204.94</v>
      </c>
      <c r="AA135" s="122">
        <f>IFERROR(Z135/Z148, "NA")</f>
        <v>2.6851484598701861E-2</v>
      </c>
      <c r="AB135" s="121">
        <f t="shared" si="42"/>
        <v>42.477499999999992</v>
      </c>
      <c r="AC135" s="122">
        <f>IFERROR(AB135/AB148, "NA")</f>
        <v>1.5534127218568394E-3</v>
      </c>
      <c r="AD135" s="123">
        <f t="shared" si="43"/>
        <v>643.72250000000008</v>
      </c>
      <c r="AE135" s="124">
        <f>IFERROR(AD135/AD148, "NA")</f>
        <v>-0.22599659981269998</v>
      </c>
      <c r="AF135" s="123">
        <f t="shared" si="44"/>
        <v>15.154434700723918</v>
      </c>
      <c r="AG135" s="121">
        <f t="shared" si="45"/>
        <v>275.61750000000006</v>
      </c>
      <c r="AH135" s="122">
        <f>IFERROR(AG135/AG148, "NA")</f>
        <v>9.5085502520502827E-3</v>
      </c>
      <c r="AI135" s="123">
        <f t="shared" si="46"/>
        <v>410.58249999999998</v>
      </c>
      <c r="AJ135" s="124">
        <f>IFERROR(AI135/AI148, "NA")</f>
        <v>-9.1443356599747866E-2</v>
      </c>
      <c r="AK135" s="123">
        <f t="shared" si="47"/>
        <v>1.4896822589276801</v>
      </c>
      <c r="AL135" s="124">
        <f>IFERROR(AK135/AK148, "NA")</f>
        <v>-9.6169609641627947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131</v>
      </c>
      <c r="B137" s="136">
        <f>IFERROR(B107-B135, "NA")</f>
        <v>5378.1999999999989</v>
      </c>
      <c r="C137" s="137">
        <f>IFERROR(B137/B148, "NA")</f>
        <v>0.23235699213869351</v>
      </c>
      <c r="D137" s="136">
        <f>IFERROR(D107-D135, "NA")</f>
        <v>6227.190000000006</v>
      </c>
      <c r="E137" s="137">
        <f>IFERROR(D137/D148, "NA")</f>
        <v>0.2449523150178686</v>
      </c>
      <c r="F137" s="136">
        <f>IFERROR(F107-F135, "NA")</f>
        <v>-2060.5199999999959</v>
      </c>
      <c r="G137" s="137">
        <f>IFERROR(F137/F148, "NA")</f>
        <v>-8.4080721605944389E-2</v>
      </c>
      <c r="H137" s="136">
        <f>IFERROR(H107-H135, "NA")</f>
        <v>-8318.3100000000031</v>
      </c>
      <c r="I137" s="137">
        <f>IFERROR(H137/H148, "NA")</f>
        <v>-0.32185623413607395</v>
      </c>
      <c r="J137" s="136">
        <f>IFERROR(J107-J135, "NA")</f>
        <v>7966.6299999999992</v>
      </c>
      <c r="K137" s="137">
        <f>IFERROR(J137/J148, "NA")</f>
        <v>0.27983339181761052</v>
      </c>
      <c r="L137" s="136">
        <f>IFERROR(L107-L135, "NA")</f>
        <v>2026.7600000000016</v>
      </c>
      <c r="M137" s="137">
        <f>IFERROR(L137/L148, "NA")</f>
        <v>8.2475518920749072E-2</v>
      </c>
      <c r="N137" s="136">
        <f>IFERROR(N107-N135, "NA")</f>
        <v>4366.1499999999987</v>
      </c>
      <c r="O137" s="137">
        <f>IFERROR(N137/N148, "NA")</f>
        <v>0.20346313487427514</v>
      </c>
      <c r="P137" s="136">
        <f>IFERROR(P107-P135, "NA")</f>
        <v>17046.389999999989</v>
      </c>
      <c r="Q137" s="137">
        <f>IFERROR(P137/P148, "NA")</f>
        <v>0.35506455315817109</v>
      </c>
      <c r="R137" s="136">
        <f>IFERROR(R107-R135, "NA")</f>
        <v>-9455.8499999999967</v>
      </c>
      <c r="S137" s="137">
        <f>IFERROR(R137/R148, "NA")</f>
        <v>-0.34684583895768517</v>
      </c>
      <c r="T137" s="136">
        <f>IFERROR(T107-T135, "NA")</f>
        <v>8713.3900000000012</v>
      </c>
      <c r="U137" s="137">
        <f>IFERROR(T137/T148, "NA")</f>
        <v>0.28353165777409139</v>
      </c>
      <c r="V137" s="136">
        <f>IFERROR(V107-V135, "NA")</f>
        <v>8092.19</v>
      </c>
      <c r="W137" s="137">
        <f>IFERROR(V137/V148, "NA")</f>
        <v>0.30095647762739397</v>
      </c>
      <c r="X137" s="136">
        <f>IFERROR(X107-X135, "NA")</f>
        <v>2421.7300000000014</v>
      </c>
      <c r="Y137" s="137">
        <f>IFERROR(X137/X148, "NA")</f>
        <v>9.8861213915920287E-2</v>
      </c>
      <c r="Z137" s="136">
        <f>IFERROR(Z107-Z135, "NA")</f>
        <v>19227.309999999987</v>
      </c>
      <c r="AA137" s="137">
        <f>IFERROR(Z137/Z148, "NA")</f>
        <v>0.23414778558122484</v>
      </c>
      <c r="AB137" s="136">
        <f>IFERROR((R137+T137+V137+X137)/4, "NA")</f>
        <v>2442.8650000000016</v>
      </c>
      <c r="AC137" s="137">
        <f>IFERROR(AB137/AB148, "NA")</f>
        <v>8.9336179595758014E-2</v>
      </c>
      <c r="AD137" s="123">
        <f>IFERROR(X137-AB137, "NA")</f>
        <v>-21.135000000000218</v>
      </c>
      <c r="AE137" s="124">
        <f>IFERROR(AD137/AD148, "NA")</f>
        <v>7.4200266994573945E-3</v>
      </c>
      <c r="AF137" s="123">
        <f>IFERROR((X137-AB137)/AB137, "NA")</f>
        <v>-8.65172655877431E-3</v>
      </c>
      <c r="AG137" s="136">
        <f>IFERROR((J137+L137+N137+P137+R137+T137+V137+X137)/8, "NA")</f>
        <v>5147.1737499999999</v>
      </c>
      <c r="AH137" s="137">
        <f>IFERROR(AG137/AG148, "NA")</f>
        <v>0.1775727602852108</v>
      </c>
      <c r="AI137" s="123">
        <f>IFERROR(X137-AG137, "NA")</f>
        <v>-2725.4437499999985</v>
      </c>
      <c r="AJ137" s="124">
        <f>IFERROR(AI137/AI148, "NA")</f>
        <v>0.6070003585730126</v>
      </c>
      <c r="AK137" s="123">
        <f>IFERROR((X137-AG137)/AG137, "NA")</f>
        <v>-0.52950296266956187</v>
      </c>
      <c r="AL137" s="124">
        <f>IFERROR(AK137/AK148, "NA")</f>
        <v>3.4183191025361723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132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133</v>
      </c>
      <c r="B140" s="115">
        <v>0</v>
      </c>
      <c r="C140" s="116">
        <f>IFERROR(B140/B148, "NA")</f>
        <v>0</v>
      </c>
      <c r="D140" s="115">
        <v>0</v>
      </c>
      <c r="E140" s="116">
        <f>IFERROR(D140/D148, "NA")</f>
        <v>0</v>
      </c>
      <c r="F140" s="115">
        <v>0</v>
      </c>
      <c r="G140" s="116">
        <f>IFERROR(F140/F148, "NA")</f>
        <v>0</v>
      </c>
      <c r="H140" s="115">
        <v>3305.3500000000004</v>
      </c>
      <c r="I140" s="116">
        <f>IFERROR(H140/H148, "NA")</f>
        <v>0.12789226459481212</v>
      </c>
      <c r="J140" s="115">
        <v>0</v>
      </c>
      <c r="K140" s="116">
        <f>IFERROR(J140/J148, "NA")</f>
        <v>0</v>
      </c>
      <c r="L140" s="115">
        <v>0</v>
      </c>
      <c r="M140" s="116">
        <f>IFERROR(L140/L148, "NA")</f>
        <v>0</v>
      </c>
      <c r="N140" s="115">
        <v>0</v>
      </c>
      <c r="O140" s="116">
        <f>IFERROR(N140/N148, "NA")</f>
        <v>0</v>
      </c>
      <c r="P140" s="115">
        <v>166.54</v>
      </c>
      <c r="Q140" s="116">
        <f>IFERROR(P140/P148, "NA")</f>
        <v>3.4689133994330679E-3</v>
      </c>
      <c r="R140" s="115">
        <v>3298.51</v>
      </c>
      <c r="S140" s="116">
        <f>IFERROR(R140/R148, "NA")</f>
        <v>0.12099118199424849</v>
      </c>
      <c r="T140" s="115">
        <v>0</v>
      </c>
      <c r="U140" s="116">
        <f>IFERROR(T140/T148, "NA")</f>
        <v>0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824.62750000000005</v>
      </c>
      <c r="AC140" s="116">
        <f>IFERROR(AB140/AB148, "NA")</f>
        <v>3.0156832424059823E-2</v>
      </c>
      <c r="AD140" s="118">
        <f>IFERROR(X140-AB140, "NA")</f>
        <v>-824.62750000000005</v>
      </c>
      <c r="AE140" s="119">
        <f>IFERROR(AD140/AD148, "NA")</f>
        <v>0.28950830693668039</v>
      </c>
      <c r="AF140" s="118">
        <f>IFERROR((X140-AB140)/AB140, "NA")</f>
        <v>-1</v>
      </c>
      <c r="AG140" s="117">
        <f>IFERROR((J140+L140+N140+P140+R140+T140+V140+X140)/8, "NA")</f>
        <v>433.13125000000002</v>
      </c>
      <c r="AH140" s="116">
        <f>IFERROR(AG140/AG148, "NA")</f>
        <v>1.4942629754490747E-2</v>
      </c>
      <c r="AI140" s="118">
        <f>IFERROR(X140-AG140, "NA")</f>
        <v>-433.13125000000002</v>
      </c>
      <c r="AJ140" s="119">
        <f>IFERROR(AI140/AI148, "NA")</f>
        <v>9.6465327548652335E-2</v>
      </c>
      <c r="AK140" s="118">
        <f>IFERROR((X140-AG140)/AG140, "NA")</f>
        <v>-1</v>
      </c>
      <c r="AL140" s="119">
        <f>IFERROR(AK140/AK148, "NA")</f>
        <v>6.4557128921474725</v>
      </c>
    </row>
    <row r="141" spans="1:38" ht="16.5" hidden="1" customHeight="1" x14ac:dyDescent="0.25">
      <c r="A141" s="120" t="s">
        <v>134</v>
      </c>
      <c r="B141" s="121">
        <f>IFERROR(B140, "NA")</f>
        <v>0</v>
      </c>
      <c r="C141" s="122">
        <f>IFERROR(B141/B148, "NA")</f>
        <v>0</v>
      </c>
      <c r="D141" s="121">
        <f>IFERROR(D140, "NA")</f>
        <v>0</v>
      </c>
      <c r="E141" s="122">
        <f>IFERROR(D141/D148, "NA")</f>
        <v>0</v>
      </c>
      <c r="F141" s="121">
        <f>IFERROR(F140, "NA")</f>
        <v>0</v>
      </c>
      <c r="G141" s="122">
        <f>IFERROR(F141/F148, "NA")</f>
        <v>0</v>
      </c>
      <c r="H141" s="121">
        <f>IFERROR(H140, "NA")</f>
        <v>3305.3500000000004</v>
      </c>
      <c r="I141" s="122">
        <f>IFERROR(H141/H148, "NA")</f>
        <v>0.12789226459481212</v>
      </c>
      <c r="J141" s="121">
        <f>IFERROR(J140, "NA")</f>
        <v>0</v>
      </c>
      <c r="K141" s="122">
        <f>IFERROR(J141/J148, "NA")</f>
        <v>0</v>
      </c>
      <c r="L141" s="121">
        <f>IFERROR(L140, "NA")</f>
        <v>0</v>
      </c>
      <c r="M141" s="122">
        <f>IFERROR(L141/L148, "NA")</f>
        <v>0</v>
      </c>
      <c r="N141" s="121">
        <f>IFERROR(N140, "NA")</f>
        <v>0</v>
      </c>
      <c r="O141" s="122">
        <f>IFERROR(N141/N148, "NA")</f>
        <v>0</v>
      </c>
      <c r="P141" s="121">
        <f>IFERROR(P140, "NA")</f>
        <v>166.54</v>
      </c>
      <c r="Q141" s="122">
        <f>IFERROR(P141/P148, "NA")</f>
        <v>3.4689133994330679E-3</v>
      </c>
      <c r="R141" s="121">
        <f>IFERROR(R140, "NA")</f>
        <v>3298.51</v>
      </c>
      <c r="S141" s="122">
        <f>IFERROR(R141/R148, "NA")</f>
        <v>0.12099118199424849</v>
      </c>
      <c r="T141" s="121">
        <f>IFERROR(T140, "NA")</f>
        <v>0</v>
      </c>
      <c r="U141" s="122">
        <f>IFERROR(T141/T148, "NA")</f>
        <v>0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824.62750000000005</v>
      </c>
      <c r="AC141" s="122">
        <f>IFERROR(AB141/AB148, "NA")</f>
        <v>3.0156832424059823E-2</v>
      </c>
      <c r="AD141" s="123">
        <f>IFERROR(X141-AB141, "NA")</f>
        <v>-824.62750000000005</v>
      </c>
      <c r="AE141" s="124">
        <f>IFERROR(AD141/AD148, "NA")</f>
        <v>0.28950830693668039</v>
      </c>
      <c r="AF141" s="123">
        <f>IFERROR((X141-AB141)/AB141, "NA")</f>
        <v>-1</v>
      </c>
      <c r="AG141" s="121">
        <f>IFERROR((J141+L141+N141+P141+R141+T141+V141+X141)/8, "NA")</f>
        <v>433.13125000000002</v>
      </c>
      <c r="AH141" s="122">
        <f>IFERROR(AG141/AG148, "NA")</f>
        <v>1.4942629754490747E-2</v>
      </c>
      <c r="AI141" s="123">
        <f>IFERROR(X141-AG141, "NA")</f>
        <v>-433.13125000000002</v>
      </c>
      <c r="AJ141" s="124">
        <f>IFERROR(AI141/AI148, "NA")</f>
        <v>9.6465327548652335E-2</v>
      </c>
      <c r="AK141" s="123">
        <f>IFERROR((X141-AG141)/AG141, "NA")</f>
        <v>-1</v>
      </c>
      <c r="AL141" s="124">
        <f>IFERROR(AK141/AK148, "NA")</f>
        <v>6.4557128921474725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135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136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137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138</v>
      </c>
      <c r="B147" s="136">
        <f>IFERROR(B137-B141-B145, "NA")</f>
        <v>5378.1999999999989</v>
      </c>
      <c r="C147" s="137">
        <f>IFERROR(B147/B148, "NA")</f>
        <v>0.23235699213869351</v>
      </c>
      <c r="D147" s="136">
        <f>IFERROR(D137-D141-D145, "NA")</f>
        <v>6227.190000000006</v>
      </c>
      <c r="E147" s="137">
        <f>IFERROR(D147/D148, "NA")</f>
        <v>0.2449523150178686</v>
      </c>
      <c r="F147" s="136">
        <f>IFERROR(F137-F141-F145, "NA")</f>
        <v>-2060.5199999999959</v>
      </c>
      <c r="G147" s="137">
        <f>IFERROR(F147/F148, "NA")</f>
        <v>-8.4080721605944389E-2</v>
      </c>
      <c r="H147" s="136">
        <f>IFERROR(H137-H141-H145, "NA")</f>
        <v>-11623.660000000003</v>
      </c>
      <c r="I147" s="137">
        <f>IFERROR(H147/H148, "NA")</f>
        <v>-0.44974849873088607</v>
      </c>
      <c r="J147" s="136">
        <f>IFERROR(J137-J141-J145, "NA")</f>
        <v>7966.6299999999992</v>
      </c>
      <c r="K147" s="137">
        <f>IFERROR(J147/J148, "NA")</f>
        <v>0.27983339181761052</v>
      </c>
      <c r="L147" s="136">
        <f>IFERROR(L137-L141-L145, "NA")</f>
        <v>2026.7600000000016</v>
      </c>
      <c r="M147" s="137">
        <f>IFERROR(L147/L148, "NA")</f>
        <v>8.2475518920749072E-2</v>
      </c>
      <c r="N147" s="136">
        <f>IFERROR(N137-N141-N145, "NA")</f>
        <v>4366.1499999999987</v>
      </c>
      <c r="O147" s="137">
        <f>IFERROR(N147/N148, "NA")</f>
        <v>0.20346313487427514</v>
      </c>
      <c r="P147" s="136">
        <f>IFERROR(P137-P141-P145, "NA")</f>
        <v>16879.849999999988</v>
      </c>
      <c r="Q147" s="137">
        <f>IFERROR(P147/P148, "NA")</f>
        <v>0.35159563975873803</v>
      </c>
      <c r="R147" s="136">
        <f>IFERROR(R137-R141-R145, "NA")</f>
        <v>-12754.359999999997</v>
      </c>
      <c r="S147" s="137">
        <f>IFERROR(R147/R148, "NA")</f>
        <v>-0.46783702095193364</v>
      </c>
      <c r="T147" s="136">
        <f>IFERROR(T137-T141-T145, "NA")</f>
        <v>8713.3900000000012</v>
      </c>
      <c r="U147" s="137">
        <f>IFERROR(T147/T148, "NA")</f>
        <v>0.28353165777409139</v>
      </c>
      <c r="V147" s="136">
        <f>IFERROR(V137-V141-V145, "NA")</f>
        <v>8092.19</v>
      </c>
      <c r="W147" s="137">
        <f>IFERROR(V147/V148, "NA")</f>
        <v>0.30095647762739397</v>
      </c>
      <c r="X147" s="136">
        <f>IFERROR(X137-X141-X145, "NA")</f>
        <v>2421.7300000000014</v>
      </c>
      <c r="Y147" s="137">
        <f>IFERROR(X147/X148, "NA")</f>
        <v>9.8861213915920287E-2</v>
      </c>
      <c r="Z147" s="136">
        <f>IFERROR(Z137-Z141-Z145, "NA")</f>
        <v>19227.309999999987</v>
      </c>
      <c r="AA147" s="137">
        <f>IFERROR(Z147/Z148, "NA")</f>
        <v>0.23414778558122484</v>
      </c>
      <c r="AB147" s="136">
        <f>IFERROR((R147+T147+V147+X147)/4, "NA")</f>
        <v>1618.2375000000013</v>
      </c>
      <c r="AC147" s="137">
        <f>IFERROR(AB147/AB148, "NA")</f>
        <v>5.9179347171698191E-2</v>
      </c>
      <c r="AD147" s="123">
        <f>IFERROR(X147-AB147, "NA")</f>
        <v>803.49250000000006</v>
      </c>
      <c r="AE147" s="124">
        <f>IFERROR(AD147/AD148, "NA")</f>
        <v>-0.2820882802372231</v>
      </c>
      <c r="AF147" s="123">
        <f>IFERROR((X147-AB147)/AB147, "NA")</f>
        <v>0.49652322356885153</v>
      </c>
      <c r="AG147" s="136">
        <f>IFERROR((J147+L147+N147+P147+R147+T147+V147+X147)/8, "NA")</f>
        <v>4714.0424999999996</v>
      </c>
      <c r="AH147" s="137">
        <f>IFERROR(AG147/AG148, "NA")</f>
        <v>0.16263013053072004</v>
      </c>
      <c r="AI147" s="123">
        <f>IFERROR(X147-AG147, "NA")</f>
        <v>-2292.3124999999982</v>
      </c>
      <c r="AJ147" s="124">
        <f>IFERROR(AI147/AI148, "NA")</f>
        <v>0.51053503102436026</v>
      </c>
      <c r="AK147" s="123">
        <f>IFERROR((X147-AG147)/AG147, "NA")</f>
        <v>-0.48627319333671648</v>
      </c>
      <c r="AL147" s="124">
        <f>IFERROR(AK147/AK148, "NA")</f>
        <v>3.1392401233295613</v>
      </c>
    </row>
    <row r="148" spans="1:38" ht="15.75" hidden="1" x14ac:dyDescent="0.25">
      <c r="A148" s="10" t="s">
        <v>15</v>
      </c>
      <c r="B148" s="115">
        <v>23146.28</v>
      </c>
      <c r="C148" s="141"/>
      <c r="D148" s="115">
        <v>25422.05</v>
      </c>
      <c r="E148" s="141"/>
      <c r="F148" s="115">
        <v>24506.45</v>
      </c>
      <c r="G148" s="141"/>
      <c r="H148" s="115">
        <v>25844.799999999999</v>
      </c>
      <c r="I148" s="141"/>
      <c r="J148" s="115">
        <v>28469.19</v>
      </c>
      <c r="K148" s="141"/>
      <c r="L148" s="115">
        <v>24574.080000000002</v>
      </c>
      <c r="M148" s="141"/>
      <c r="N148" s="115">
        <v>21459.17</v>
      </c>
      <c r="O148" s="141"/>
      <c r="P148" s="115">
        <v>48009.27</v>
      </c>
      <c r="Q148" s="141"/>
      <c r="R148" s="115">
        <v>27262.400000000001</v>
      </c>
      <c r="S148" s="141"/>
      <c r="T148" s="115">
        <v>30731.63</v>
      </c>
      <c r="U148" s="141"/>
      <c r="V148" s="115">
        <v>26888.240000000002</v>
      </c>
      <c r="W148" s="141"/>
      <c r="X148" s="115">
        <v>24496.26</v>
      </c>
      <c r="Y148" s="141"/>
      <c r="Z148" s="115">
        <v>82116.13</v>
      </c>
      <c r="AA148" s="141"/>
      <c r="AB148" s="117">
        <f>IFERROR((R148+T148+V148+X148)/4, "NA")</f>
        <v>27344.6325</v>
      </c>
      <c r="AC148" s="141"/>
      <c r="AD148" s="118">
        <f>IFERROR(X148-AB148, "NA")</f>
        <v>-2848.3725000000013</v>
      </c>
      <c r="AE148" s="142"/>
      <c r="AF148" s="118">
        <f>IFERROR((X148-AB148)/AB148, "NA")</f>
        <v>-0.10416568955534514</v>
      </c>
      <c r="AG148" s="117">
        <f>IFERROR((J148+L148+N148+P148+R148+T148+V148+X148)/8, "NA")</f>
        <v>28986.28</v>
      </c>
      <c r="AH148" s="141"/>
      <c r="AI148" s="118">
        <f>IFERROR(X148-AG148, "NA")</f>
        <v>-4490.0200000000004</v>
      </c>
      <c r="AJ148" s="142"/>
      <c r="AK148" s="118">
        <f>IFERROR((X148-AG148)/AG148, "NA")</f>
        <v>-0.15490156032440178</v>
      </c>
      <c r="AL148" s="142"/>
    </row>
    <row r="151" spans="1:38" ht="15.75" x14ac:dyDescent="0.25">
      <c r="A151" s="11" t="s">
        <v>139</v>
      </c>
    </row>
    <row r="152" spans="1:38" ht="15.75" x14ac:dyDescent="0.25">
      <c r="A152" s="11" t="s">
        <v>140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M57" activePane="bottomRight" state="frozen"/>
      <selection activeCell="D11" sqref="D11"/>
      <selection pane="topRight" activeCell="D11" sqref="D11"/>
      <selection pane="bottomLeft" activeCell="D11" sqref="D11"/>
      <selection pane="bottomRight" activeCell="V57" sqref="V57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242</v>
      </c>
      <c r="B1" s="151" t="s">
        <v>242</v>
      </c>
      <c r="C1" s="151" t="s">
        <v>242</v>
      </c>
      <c r="D1" s="151" t="s">
        <v>242</v>
      </c>
      <c r="E1" s="151" t="s">
        <v>242</v>
      </c>
      <c r="F1" s="151" t="s">
        <v>242</v>
      </c>
      <c r="G1" s="151" t="s">
        <v>242</v>
      </c>
      <c r="H1" s="151" t="s">
        <v>242</v>
      </c>
      <c r="I1" s="151" t="s">
        <v>242</v>
      </c>
      <c r="J1" s="151" t="s">
        <v>242</v>
      </c>
      <c r="K1" s="151" t="s">
        <v>242</v>
      </c>
      <c r="L1" s="151" t="s">
        <v>242</v>
      </c>
      <c r="M1" s="151" t="s">
        <v>242</v>
      </c>
      <c r="N1" s="151" t="s">
        <v>242</v>
      </c>
      <c r="O1" s="151" t="s">
        <v>242</v>
      </c>
      <c r="P1" s="151" t="s">
        <v>242</v>
      </c>
      <c r="Q1" s="151" t="s">
        <v>242</v>
      </c>
      <c r="R1" s="151" t="s">
        <v>242</v>
      </c>
      <c r="S1" s="151" t="s">
        <v>242</v>
      </c>
      <c r="T1" s="151" t="s">
        <v>242</v>
      </c>
      <c r="U1" s="151" t="s">
        <v>242</v>
      </c>
      <c r="V1" s="151" t="s">
        <v>242</v>
      </c>
      <c r="W1" s="151" t="s">
        <v>242</v>
      </c>
      <c r="X1" s="151" t="s">
        <v>242</v>
      </c>
      <c r="Y1" s="151" t="s">
        <v>242</v>
      </c>
      <c r="Z1" s="151" t="s">
        <v>242</v>
      </c>
      <c r="AA1" s="151" t="s">
        <v>242</v>
      </c>
      <c r="AB1" s="151" t="s">
        <v>242</v>
      </c>
      <c r="AC1" s="151" t="s">
        <v>242</v>
      </c>
      <c r="AD1" s="151" t="s">
        <v>242</v>
      </c>
      <c r="AE1" s="151" t="s">
        <v>242</v>
      </c>
      <c r="AF1" s="151" t="s">
        <v>242</v>
      </c>
      <c r="AG1" s="151" t="s">
        <v>242</v>
      </c>
      <c r="AH1" s="151" t="s">
        <v>242</v>
      </c>
      <c r="AI1" s="151" t="s">
        <v>242</v>
      </c>
      <c r="AJ1" s="151" t="s">
        <v>242</v>
      </c>
      <c r="AK1" s="151" t="s">
        <v>242</v>
      </c>
      <c r="AL1" s="151" t="s">
        <v>242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143</v>
      </c>
      <c r="B3" s="153" t="s">
        <v>143</v>
      </c>
      <c r="C3" s="153" t="s">
        <v>143</v>
      </c>
      <c r="D3" s="153" t="s">
        <v>143</v>
      </c>
      <c r="E3" s="153" t="s">
        <v>143</v>
      </c>
      <c r="F3" s="153" t="s">
        <v>143</v>
      </c>
      <c r="G3" s="153" t="s">
        <v>143</v>
      </c>
      <c r="H3" s="153" t="s">
        <v>143</v>
      </c>
      <c r="I3" s="153" t="s">
        <v>143</v>
      </c>
      <c r="J3" s="153" t="s">
        <v>143</v>
      </c>
      <c r="K3" s="153" t="s">
        <v>143</v>
      </c>
      <c r="L3" s="153" t="s">
        <v>143</v>
      </c>
      <c r="M3" s="153" t="s">
        <v>143</v>
      </c>
      <c r="N3" s="153" t="s">
        <v>143</v>
      </c>
      <c r="O3" s="153" t="s">
        <v>143</v>
      </c>
      <c r="P3" s="153" t="s">
        <v>143</v>
      </c>
      <c r="Q3" s="153" t="s">
        <v>143</v>
      </c>
      <c r="R3" s="153" t="s">
        <v>143</v>
      </c>
      <c r="S3" s="153" t="s">
        <v>143</v>
      </c>
      <c r="T3" s="153" t="s">
        <v>143</v>
      </c>
      <c r="U3" s="153" t="s">
        <v>143</v>
      </c>
      <c r="V3" s="153" t="s">
        <v>143</v>
      </c>
      <c r="W3" s="153" t="s">
        <v>143</v>
      </c>
      <c r="X3" s="153" t="s">
        <v>143</v>
      </c>
      <c r="Y3" s="153" t="s">
        <v>143</v>
      </c>
      <c r="Z3" s="153" t="s">
        <v>143</v>
      </c>
      <c r="AA3" s="153" t="s">
        <v>143</v>
      </c>
      <c r="AB3" s="153" t="s">
        <v>143</v>
      </c>
      <c r="AC3" s="153" t="s">
        <v>143</v>
      </c>
      <c r="AD3" s="153" t="s">
        <v>143</v>
      </c>
      <c r="AE3" s="153" t="s">
        <v>143</v>
      </c>
      <c r="AF3" s="153" t="s">
        <v>143</v>
      </c>
      <c r="AG3" s="153" t="s">
        <v>143</v>
      </c>
      <c r="AH3" s="153" t="s">
        <v>143</v>
      </c>
      <c r="AI3" s="153" t="s">
        <v>143</v>
      </c>
      <c r="AJ3" s="153" t="s">
        <v>143</v>
      </c>
      <c r="AK3" s="153" t="s">
        <v>143</v>
      </c>
      <c r="AL3" s="153" t="s">
        <v>143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236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243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6</v>
      </c>
      <c r="AA5" s="155" t="s">
        <v>2</v>
      </c>
      <c r="AB5" s="154" t="s">
        <v>7</v>
      </c>
      <c r="AC5" s="155" t="s">
        <v>2</v>
      </c>
      <c r="AD5" s="156" t="s">
        <v>8</v>
      </c>
      <c r="AE5" s="157" t="s">
        <v>2</v>
      </c>
      <c r="AF5" s="143" t="s">
        <v>9</v>
      </c>
      <c r="AG5" s="154" t="s">
        <v>10</v>
      </c>
      <c r="AH5" s="155" t="s">
        <v>2</v>
      </c>
      <c r="AI5" s="156" t="s">
        <v>11</v>
      </c>
      <c r="AJ5" s="157" t="s">
        <v>2</v>
      </c>
      <c r="AK5" s="156" t="s">
        <v>12</v>
      </c>
      <c r="AL5" s="157" t="s">
        <v>2</v>
      </c>
    </row>
    <row r="6" spans="1:38" ht="16.5" customHeight="1" x14ac:dyDescent="0.25">
      <c r="A6" s="1" t="s">
        <v>13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13</v>
      </c>
      <c r="B7" s="115">
        <v>25879.01</v>
      </c>
      <c r="C7" s="116">
        <f>IFERROR(B7/B148, "NA")</f>
        <v>1</v>
      </c>
      <c r="D7" s="115">
        <v>25696.730000000003</v>
      </c>
      <c r="E7" s="116">
        <f>IFERROR(D7/D148, "NA")</f>
        <v>1.0000000000000002</v>
      </c>
      <c r="F7" s="115">
        <v>25164.289999999997</v>
      </c>
      <c r="G7" s="116">
        <f>IFERROR(F7/F148, "NA")</f>
        <v>0.99999999999999989</v>
      </c>
      <c r="H7" s="115">
        <v>28633.51999999999</v>
      </c>
      <c r="I7" s="116">
        <f>IFERROR(H7/H148, "NA")</f>
        <v>0.99999999999999967</v>
      </c>
      <c r="J7" s="115">
        <v>28061.539999999997</v>
      </c>
      <c r="K7" s="116">
        <f>IFERROR(J7/J148, "NA")</f>
        <v>0.99999999999999989</v>
      </c>
      <c r="L7" s="115">
        <v>26457.17</v>
      </c>
      <c r="M7" s="116">
        <f>IFERROR(L7/L148, "NA")</f>
        <v>1</v>
      </c>
      <c r="N7" s="115">
        <v>20609.28</v>
      </c>
      <c r="O7" s="116">
        <f>IFERROR(N7/N148, "NA")</f>
        <v>1</v>
      </c>
      <c r="P7" s="115">
        <v>24521.89</v>
      </c>
      <c r="Q7" s="116">
        <f>IFERROR(P7/P148, "NA")</f>
        <v>1</v>
      </c>
      <c r="R7" s="115">
        <v>26663.340000000004</v>
      </c>
      <c r="S7" s="116">
        <f>IFERROR(R7/R148, "NA")</f>
        <v>1.0000000000000002</v>
      </c>
      <c r="T7" s="115">
        <v>23999.200000000001</v>
      </c>
      <c r="U7" s="116">
        <f>IFERROR(T7/T148, "NA")</f>
        <v>1</v>
      </c>
      <c r="V7" s="115">
        <v>34612.369999999988</v>
      </c>
      <c r="W7" s="116">
        <f>IFERROR(V7/V148, "NA")</f>
        <v>0.99999999999999956</v>
      </c>
      <c r="X7" s="115">
        <v>21804.35</v>
      </c>
      <c r="Y7" s="116">
        <f>IFERROR(X7/X148, "NA")</f>
        <v>1</v>
      </c>
      <c r="Z7" s="115">
        <v>80415.920000000013</v>
      </c>
      <c r="AA7" s="116">
        <f>IFERROR(Z7/Z148, "NA")</f>
        <v>1.0000000000000002</v>
      </c>
      <c r="AB7" s="117">
        <f>IFERROR((R7+T7+V7+X7)/4, "NA")</f>
        <v>26769.815000000002</v>
      </c>
      <c r="AC7" s="116">
        <f>IFERROR(AB7/AB148, "NA")</f>
        <v>1</v>
      </c>
      <c r="AD7" s="118">
        <f>IFERROR(X7-AB7, "NA")</f>
        <v>-4965.4650000000038</v>
      </c>
      <c r="AE7" s="119">
        <f>IFERROR(AD7/AD148, "NA")</f>
        <v>1</v>
      </c>
      <c r="AF7" s="118">
        <f>IFERROR((X7-AB7)/AB7, "NA")</f>
        <v>-0.18548746041016731</v>
      </c>
      <c r="AG7" s="117">
        <f>IFERROR((J7+L7+N7+P7+R7+T7+V7+X7)/8, "NA")</f>
        <v>25841.142500000002</v>
      </c>
      <c r="AH7" s="116">
        <f>IFERROR(AG7/AG148, "NA")</f>
        <v>1.0000000000000002</v>
      </c>
      <c r="AI7" s="118">
        <f>IFERROR(X7-AG7, "NA")</f>
        <v>-4036.7925000000032</v>
      </c>
      <c r="AJ7" s="119">
        <f>IFERROR(AI7/AI148, "NA")</f>
        <v>1.0000000000000009</v>
      </c>
      <c r="AK7" s="118">
        <f>IFERROR((X7-AG7)/AG7, "NA")</f>
        <v>-0.1562157129856005</v>
      </c>
      <c r="AL7" s="119">
        <f>IFERROR(AK7/AK148, "NA")</f>
        <v>1.0000000000000007</v>
      </c>
    </row>
    <row r="8" spans="1:38" ht="30.75" hidden="1" customHeight="1" x14ac:dyDescent="0.25">
      <c r="A8" s="2" t="s">
        <v>14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15</v>
      </c>
      <c r="B9" s="121">
        <f>IFERROR(B7+B8, "NA")</f>
        <v>25879.01</v>
      </c>
      <c r="C9" s="122">
        <f>IFERROR(B9/B148, "NA")</f>
        <v>1</v>
      </c>
      <c r="D9" s="121">
        <f>IFERROR(D7+D8, "NA")</f>
        <v>25696.730000000003</v>
      </c>
      <c r="E9" s="122">
        <f>IFERROR(D9/D148, "NA")</f>
        <v>1.0000000000000002</v>
      </c>
      <c r="F9" s="121">
        <f>IFERROR(F7+F8, "NA")</f>
        <v>25164.289999999997</v>
      </c>
      <c r="G9" s="122">
        <f>IFERROR(F9/F148, "NA")</f>
        <v>0.99999999999999989</v>
      </c>
      <c r="H9" s="121">
        <f>IFERROR(H7+H8, "NA")</f>
        <v>28633.51999999999</v>
      </c>
      <c r="I9" s="122">
        <f>IFERROR(H9/H148, "NA")</f>
        <v>0.99999999999999967</v>
      </c>
      <c r="J9" s="121">
        <f>IFERROR(J7+J8, "NA")</f>
        <v>28061.539999999997</v>
      </c>
      <c r="K9" s="122">
        <f>IFERROR(J9/J148, "NA")</f>
        <v>0.99999999999999989</v>
      </c>
      <c r="L9" s="121">
        <f>IFERROR(L7+L8, "NA")</f>
        <v>26457.17</v>
      </c>
      <c r="M9" s="122">
        <f>IFERROR(L9/L148, "NA")</f>
        <v>1</v>
      </c>
      <c r="N9" s="121">
        <f>IFERROR(N7+N8, "NA")</f>
        <v>20609.28</v>
      </c>
      <c r="O9" s="122">
        <f>IFERROR(N9/N148, "NA")</f>
        <v>1</v>
      </c>
      <c r="P9" s="121">
        <f>IFERROR(P7+P8, "NA")</f>
        <v>24521.89</v>
      </c>
      <c r="Q9" s="122">
        <f>IFERROR(P9/P148, "NA")</f>
        <v>1</v>
      </c>
      <c r="R9" s="121">
        <f>IFERROR(R7+R8, "NA")</f>
        <v>26663.340000000004</v>
      </c>
      <c r="S9" s="122">
        <f>IFERROR(R9/R148, "NA")</f>
        <v>1.0000000000000002</v>
      </c>
      <c r="T9" s="121">
        <f>IFERROR(T7+T8, "NA")</f>
        <v>23999.200000000001</v>
      </c>
      <c r="U9" s="122">
        <f>IFERROR(T9/T148, "NA")</f>
        <v>1</v>
      </c>
      <c r="V9" s="121">
        <f>IFERROR(V7+V8, "NA")</f>
        <v>34612.369999999988</v>
      </c>
      <c r="W9" s="122">
        <f>IFERROR(V9/V148, "NA")</f>
        <v>0.99999999999999956</v>
      </c>
      <c r="X9" s="121">
        <f>IFERROR(X7+X8, "NA")</f>
        <v>21804.35</v>
      </c>
      <c r="Y9" s="122">
        <f>IFERROR(X9/X148, "NA")</f>
        <v>1</v>
      </c>
      <c r="Z9" s="121">
        <f>IFERROR(Z7+Z8, "NA")</f>
        <v>80415.920000000013</v>
      </c>
      <c r="AA9" s="122">
        <f>IFERROR(Z9/Z148, "NA")</f>
        <v>1.0000000000000002</v>
      </c>
      <c r="AB9" s="121">
        <f>IFERROR((R9+T9+V9+X9)/4, "NA")</f>
        <v>26769.815000000002</v>
      </c>
      <c r="AC9" s="122">
        <f>IFERROR(AB9/AB148, "NA")</f>
        <v>1</v>
      </c>
      <c r="AD9" s="123">
        <f>IFERROR(X9-AB9, "NA")</f>
        <v>-4965.4650000000038</v>
      </c>
      <c r="AE9" s="124">
        <f>IFERROR(AD9/AD148, "NA")</f>
        <v>1</v>
      </c>
      <c r="AF9" s="123">
        <f>IFERROR((X9-AB9)/AB9, "NA")</f>
        <v>-0.18548746041016731</v>
      </c>
      <c r="AG9" s="121">
        <f>IFERROR((J9+L9+N9+P9+R9+T9+V9+X9)/8, "NA")</f>
        <v>25841.142500000002</v>
      </c>
      <c r="AH9" s="122">
        <f>IFERROR(AG9/AG148, "NA")</f>
        <v>1.0000000000000002</v>
      </c>
      <c r="AI9" s="123">
        <f>IFERROR(X9-AG9, "NA")</f>
        <v>-4036.7925000000032</v>
      </c>
      <c r="AJ9" s="124">
        <f>IFERROR(AI9/AI148, "NA")</f>
        <v>1.0000000000000009</v>
      </c>
      <c r="AK9" s="123">
        <f>IFERROR((X9-AG9)/AG9, "NA")</f>
        <v>-0.1562157129856005</v>
      </c>
      <c r="AL9" s="124">
        <f>IFERROR(AK9/AK148, "NA")</f>
        <v>1.0000000000000007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16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17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18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19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20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21</v>
      </c>
      <c r="B16" s="115">
        <v>1373.17</v>
      </c>
      <c r="C16" s="116">
        <f>IFERROR(B16/B148, "NA")</f>
        <v>5.3061148784285028E-2</v>
      </c>
      <c r="D16" s="115">
        <v>1250.25</v>
      </c>
      <c r="E16" s="116">
        <f>IFERROR(D16/D148, "NA")</f>
        <v>4.8654050534834591E-2</v>
      </c>
      <c r="F16" s="115">
        <v>1005.87</v>
      </c>
      <c r="G16" s="116">
        <f>IFERROR(F16/F148, "NA")</f>
        <v>3.9972119221325139E-2</v>
      </c>
      <c r="H16" s="115">
        <v>1408</v>
      </c>
      <c r="I16" s="116">
        <f>IFERROR(H16/H148, "NA")</f>
        <v>4.9173136938804589E-2</v>
      </c>
      <c r="J16" s="115">
        <v>950.71</v>
      </c>
      <c r="K16" s="116">
        <f>IFERROR(J16/J148, "NA")</f>
        <v>3.3879466344327501E-2</v>
      </c>
      <c r="L16" s="115">
        <v>896.3</v>
      </c>
      <c r="M16" s="116">
        <f>IFERROR(L16/L148, "NA")</f>
        <v>3.3877395050188663E-2</v>
      </c>
      <c r="N16" s="115">
        <v>864.22</v>
      </c>
      <c r="O16" s="116">
        <f>IFERROR(N16/N148, "NA")</f>
        <v>4.1933536736848645E-2</v>
      </c>
      <c r="P16" s="115">
        <v>1025.67</v>
      </c>
      <c r="Q16" s="116">
        <f>IFERROR(P16/P148, "NA")</f>
        <v>4.1826710747010123E-2</v>
      </c>
      <c r="R16" s="115">
        <v>972.44</v>
      </c>
      <c r="S16" s="116">
        <f>IFERROR(R16/R148, "NA")</f>
        <v>3.6471049763457997E-2</v>
      </c>
      <c r="T16" s="115">
        <v>853.23</v>
      </c>
      <c r="U16" s="116">
        <f>IFERROR(T16/T148, "NA")</f>
        <v>3.555243508116937E-2</v>
      </c>
      <c r="V16" s="115">
        <v>1415.11</v>
      </c>
      <c r="W16" s="116">
        <f>IFERROR(V16/V148, "NA")</f>
        <v>4.0884516142639174E-2</v>
      </c>
      <c r="X16" s="115">
        <v>872.09</v>
      </c>
      <c r="Y16" s="116">
        <f>IFERROR(X16/X148, "NA")</f>
        <v>3.9996147557712115E-2</v>
      </c>
      <c r="Z16" s="115">
        <v>3140.43</v>
      </c>
      <c r="AA16" s="116">
        <f>IFERROR(Z16/Z148, "NA")</f>
        <v>3.9052341874593985E-2</v>
      </c>
      <c r="AB16" s="117">
        <f t="shared" si="0"/>
        <v>1028.2175</v>
      </c>
      <c r="AC16" s="116">
        <f>IFERROR(AB16/AB148, "NA")</f>
        <v>3.8409585572406826E-2</v>
      </c>
      <c r="AD16" s="118">
        <f t="shared" si="1"/>
        <v>-156.12749999999994</v>
      </c>
      <c r="AE16" s="119">
        <f>IFERROR(AD16/AD148, "NA")</f>
        <v>3.144267455313849E-2</v>
      </c>
      <c r="AF16" s="118">
        <f t="shared" si="2"/>
        <v>-0.15184287371105817</v>
      </c>
      <c r="AG16" s="117">
        <f t="shared" si="3"/>
        <v>981.22124999999994</v>
      </c>
      <c r="AH16" s="116">
        <f>IFERROR(AG16/AG148, "NA")</f>
        <v>3.7971279714122549E-2</v>
      </c>
      <c r="AI16" s="118">
        <f t="shared" si="4"/>
        <v>-109.13124999999991</v>
      </c>
      <c r="AJ16" s="119">
        <f>IFERROR(AI16/AI148, "NA")</f>
        <v>2.7034149018063208E-2</v>
      </c>
      <c r="AK16" s="118">
        <f t="shared" si="5"/>
        <v>-0.11121981917941536</v>
      </c>
      <c r="AL16" s="119">
        <f>IFERROR(AK16/AK148, "NA")</f>
        <v>0.71196307371248468</v>
      </c>
    </row>
    <row r="17" spans="1:38" ht="16.5" customHeight="1" x14ac:dyDescent="0.25">
      <c r="A17" s="7" t="s">
        <v>22</v>
      </c>
      <c r="B17" s="115">
        <v>878.91</v>
      </c>
      <c r="C17" s="116">
        <f>IFERROR(B17/B148, "NA")</f>
        <v>3.3962272899929327E-2</v>
      </c>
      <c r="D17" s="115">
        <v>782.46</v>
      </c>
      <c r="E17" s="116">
        <f>IFERROR(D17/D148, "NA")</f>
        <v>3.0449788747439852E-2</v>
      </c>
      <c r="F17" s="115">
        <v>900.14</v>
      </c>
      <c r="G17" s="116">
        <f>IFERROR(F17/F148, "NA")</f>
        <v>3.5770530382538114E-2</v>
      </c>
      <c r="H17" s="115">
        <v>926.87</v>
      </c>
      <c r="I17" s="116">
        <f>IFERROR(H17/H148, "NA")</f>
        <v>3.2370103291526856E-2</v>
      </c>
      <c r="J17" s="115">
        <v>841.1</v>
      </c>
      <c r="K17" s="116">
        <f>IFERROR(J17/J148, "NA")</f>
        <v>2.9973408444440325E-2</v>
      </c>
      <c r="L17" s="115">
        <v>665.91</v>
      </c>
      <c r="M17" s="116">
        <f>IFERROR(L17/L148, "NA")</f>
        <v>2.5169358627547846E-2</v>
      </c>
      <c r="N17" s="115">
        <v>725.28</v>
      </c>
      <c r="O17" s="116">
        <f>IFERROR(N17/N148, "NA")</f>
        <v>3.5191913545742498E-2</v>
      </c>
      <c r="P17" s="115">
        <v>756.06</v>
      </c>
      <c r="Q17" s="116">
        <f>IFERROR(P17/P148, "NA")</f>
        <v>3.0832044348946999E-2</v>
      </c>
      <c r="R17" s="115">
        <v>896.14</v>
      </c>
      <c r="S17" s="116">
        <f>IFERROR(R17/R148, "NA")</f>
        <v>3.3609442777986553E-2</v>
      </c>
      <c r="T17" s="115">
        <v>827.76</v>
      </c>
      <c r="U17" s="116">
        <f>IFERROR(T17/T148, "NA")</f>
        <v>3.4491149704990162E-2</v>
      </c>
      <c r="V17" s="115">
        <v>895.53</v>
      </c>
      <c r="W17" s="116">
        <f>IFERROR(V17/V148, "NA")</f>
        <v>2.5873119927933275E-2</v>
      </c>
      <c r="X17" s="115">
        <v>669.04</v>
      </c>
      <c r="Y17" s="116">
        <f>IFERROR(X17/X148, "NA")</f>
        <v>3.0683785574896753E-2</v>
      </c>
      <c r="Z17" s="115">
        <v>2392.33</v>
      </c>
      <c r="AA17" s="116">
        <f>IFERROR(Z17/Z148, "NA")</f>
        <v>2.9749457570093087E-2</v>
      </c>
      <c r="AB17" s="117">
        <f t="shared" si="0"/>
        <v>822.11750000000006</v>
      </c>
      <c r="AC17" s="116">
        <f>IFERROR(AB17/AB148, "NA")</f>
        <v>3.071061566917814E-2</v>
      </c>
      <c r="AD17" s="118">
        <f t="shared" si="1"/>
        <v>-153.0775000000001</v>
      </c>
      <c r="AE17" s="119">
        <f>IFERROR(AD17/AD148, "NA")</f>
        <v>3.0828431979683671E-2</v>
      </c>
      <c r="AF17" s="118">
        <f t="shared" si="2"/>
        <v>-0.18619905305506826</v>
      </c>
      <c r="AG17" s="117">
        <f t="shared" si="3"/>
        <v>784.60249999999996</v>
      </c>
      <c r="AH17" s="116">
        <f>IFERROR(AG17/AG148, "NA")</f>
        <v>3.0362531378014732E-2</v>
      </c>
      <c r="AI17" s="118">
        <f t="shared" si="4"/>
        <v>-115.5625</v>
      </c>
      <c r="AJ17" s="119">
        <f>IFERROR(AI17/AI148, "NA")</f>
        <v>2.8627307447682784E-2</v>
      </c>
      <c r="AK17" s="118">
        <f t="shared" si="5"/>
        <v>-0.14728795791499519</v>
      </c>
      <c r="AL17" s="119">
        <f>IFERROR(AK17/AK148, "NA")</f>
        <v>0.94284982669170969</v>
      </c>
    </row>
    <row r="18" spans="1:38" ht="16.5" customHeight="1" x14ac:dyDescent="0.25">
      <c r="A18" s="7" t="s">
        <v>23</v>
      </c>
      <c r="B18" s="115">
        <v>1133.23</v>
      </c>
      <c r="C18" s="116">
        <f>IFERROR(B18/B148, "NA")</f>
        <v>4.3789542181095806E-2</v>
      </c>
      <c r="D18" s="115">
        <v>739.44</v>
      </c>
      <c r="E18" s="116">
        <f>IFERROR(D18/D148, "NA")</f>
        <v>2.8775645772827908E-2</v>
      </c>
      <c r="F18" s="115">
        <v>861.57</v>
      </c>
      <c r="G18" s="116">
        <f>IFERROR(F18/F148, "NA")</f>
        <v>3.4237802854759664E-2</v>
      </c>
      <c r="H18" s="115">
        <v>912.62</v>
      </c>
      <c r="I18" s="116">
        <f>IFERROR(H18/H148, "NA")</f>
        <v>3.1872434824639091E-2</v>
      </c>
      <c r="J18" s="115">
        <v>944.58</v>
      </c>
      <c r="K18" s="116">
        <f>IFERROR(J18/J148, "NA")</f>
        <v>3.3661017891391566E-2</v>
      </c>
      <c r="L18" s="115">
        <v>956.61</v>
      </c>
      <c r="M18" s="116">
        <f>IFERROR(L18/L148, "NA")</f>
        <v>3.6156928348723617E-2</v>
      </c>
      <c r="N18" s="115">
        <v>736.21</v>
      </c>
      <c r="O18" s="116">
        <f>IFERROR(N18/N148, "NA")</f>
        <v>3.5722257157940501E-2</v>
      </c>
      <c r="P18" s="115">
        <v>761.84</v>
      </c>
      <c r="Q18" s="116">
        <f>IFERROR(P18/P148, "NA")</f>
        <v>3.1067752118617287E-2</v>
      </c>
      <c r="R18" s="115">
        <v>910.24</v>
      </c>
      <c r="S18" s="116">
        <f>IFERROR(R18/R148, "NA")</f>
        <v>3.4138258747778788E-2</v>
      </c>
      <c r="T18" s="115">
        <v>879.69</v>
      </c>
      <c r="U18" s="116">
        <f>IFERROR(T18/T148, "NA")</f>
        <v>3.6654971832394412E-2</v>
      </c>
      <c r="V18" s="115">
        <v>1074.3599999999999</v>
      </c>
      <c r="W18" s="116">
        <f>IFERROR(V18/V148, "NA")</f>
        <v>3.1039769885737378E-2</v>
      </c>
      <c r="X18" s="115">
        <v>822.94</v>
      </c>
      <c r="Y18" s="116">
        <f>IFERROR(X18/X148, "NA")</f>
        <v>3.7742010195213345E-2</v>
      </c>
      <c r="Z18" s="115">
        <v>2776.99</v>
      </c>
      <c r="AA18" s="116">
        <f>IFERROR(Z18/Z148, "NA")</f>
        <v>3.4532838771228383E-2</v>
      </c>
      <c r="AB18" s="117">
        <f t="shared" si="0"/>
        <v>921.8075</v>
      </c>
      <c r="AC18" s="116">
        <f>IFERROR(AB18/AB148, "NA")</f>
        <v>3.4434586118731111E-2</v>
      </c>
      <c r="AD18" s="118">
        <f t="shared" si="1"/>
        <v>-98.86749999999995</v>
      </c>
      <c r="AE18" s="119">
        <f>IFERROR(AD18/AD148, "NA")</f>
        <v>1.9911025452802482E-2</v>
      </c>
      <c r="AF18" s="118">
        <f t="shared" si="2"/>
        <v>-0.10725395486584775</v>
      </c>
      <c r="AG18" s="117">
        <f t="shared" si="3"/>
        <v>885.80874999999992</v>
      </c>
      <c r="AH18" s="116">
        <f>IFERROR(AG18/AG148, "NA")</f>
        <v>3.4279008755127606E-2</v>
      </c>
      <c r="AI18" s="118">
        <f t="shared" si="4"/>
        <v>-62.868749999999864</v>
      </c>
      <c r="AJ18" s="119">
        <f>IFERROR(AI18/AI148, "NA")</f>
        <v>1.5573936485464604E-2</v>
      </c>
      <c r="AK18" s="118">
        <f t="shared" si="5"/>
        <v>-7.0973277245229144E-2</v>
      </c>
      <c r="AL18" s="119">
        <f>IFERROR(AK18/AK148, "NA")</f>
        <v>0.45432867084101392</v>
      </c>
    </row>
    <row r="19" spans="1:38" ht="16.5" customHeight="1" x14ac:dyDescent="0.25">
      <c r="A19" s="7" t="s">
        <v>24</v>
      </c>
      <c r="B19" s="115">
        <v>669.18</v>
      </c>
      <c r="C19" s="116">
        <f>IFERROR(B19/B148, "NA")</f>
        <v>2.5858021616746545E-2</v>
      </c>
      <c r="D19" s="115">
        <v>550.16</v>
      </c>
      <c r="E19" s="116">
        <f>IFERROR(D19/D148, "NA")</f>
        <v>2.1409728008194039E-2</v>
      </c>
      <c r="F19" s="115">
        <v>576.92999999999995</v>
      </c>
      <c r="G19" s="116">
        <f>IFERROR(F19/F148, "NA")</f>
        <v>2.2926535976178941E-2</v>
      </c>
      <c r="H19" s="115">
        <v>685.73</v>
      </c>
      <c r="I19" s="116">
        <f>IFERROR(H19/H148, "NA")</f>
        <v>2.3948505108697778E-2</v>
      </c>
      <c r="J19" s="115">
        <v>706.48</v>
      </c>
      <c r="K19" s="116">
        <f>IFERROR(J19/J148, "NA")</f>
        <v>2.5176095110959699E-2</v>
      </c>
      <c r="L19" s="115">
        <v>473.67</v>
      </c>
      <c r="M19" s="116">
        <f>IFERROR(L19/L148, "NA")</f>
        <v>1.7903275369209937E-2</v>
      </c>
      <c r="N19" s="115">
        <v>494.15</v>
      </c>
      <c r="O19" s="116">
        <f>IFERROR(N19/N148, "NA")</f>
        <v>2.3977062760077016E-2</v>
      </c>
      <c r="P19" s="115">
        <v>678.58</v>
      </c>
      <c r="Q19" s="116">
        <f>IFERROR(P19/P148, "NA")</f>
        <v>2.7672418398418722E-2</v>
      </c>
      <c r="R19" s="115">
        <v>537.6</v>
      </c>
      <c r="S19" s="116">
        <f>IFERROR(R19/R148, "NA")</f>
        <v>2.0162515273780404E-2</v>
      </c>
      <c r="T19" s="115">
        <v>531.28</v>
      </c>
      <c r="U19" s="116">
        <f>IFERROR(T19/T148, "NA")</f>
        <v>2.2137404580152668E-2</v>
      </c>
      <c r="V19" s="115">
        <v>454.89</v>
      </c>
      <c r="W19" s="116">
        <f>IFERROR(V19/V148, "NA")</f>
        <v>1.3142411224657542E-2</v>
      </c>
      <c r="X19" s="115">
        <v>570.96</v>
      </c>
      <c r="Y19" s="116">
        <f>IFERROR(X19/X148, "NA")</f>
        <v>2.6185600579700843E-2</v>
      </c>
      <c r="Z19" s="115">
        <v>1557.13</v>
      </c>
      <c r="AA19" s="116">
        <f>IFERROR(Z19/Z148, "NA")</f>
        <v>1.9363454400571432E-2</v>
      </c>
      <c r="AB19" s="117">
        <f t="shared" si="0"/>
        <v>523.6825</v>
      </c>
      <c r="AC19" s="116">
        <f>IFERROR(AB19/AB148, "NA")</f>
        <v>1.9562425067188548E-2</v>
      </c>
      <c r="AD19" s="118">
        <f t="shared" si="1"/>
        <v>47.277500000000032</v>
      </c>
      <c r="AE19" s="119">
        <f>IFERROR(AD19/AD148, "NA")</f>
        <v>-9.5212633660694407E-3</v>
      </c>
      <c r="AF19" s="118">
        <f t="shared" si="2"/>
        <v>9.027893809703405E-2</v>
      </c>
      <c r="AG19" s="117">
        <f t="shared" si="3"/>
        <v>555.95125000000007</v>
      </c>
      <c r="AH19" s="116">
        <f>IFERROR(AG19/AG148, "NA")</f>
        <v>2.1514190016946818E-2</v>
      </c>
      <c r="AI19" s="118">
        <f t="shared" si="4"/>
        <v>15.008749999999964</v>
      </c>
      <c r="AJ19" s="119">
        <f>IFERROR(AI19/AI148, "NA")</f>
        <v>-3.7179889726806532E-3</v>
      </c>
      <c r="AK19" s="118">
        <f t="shared" si="5"/>
        <v>2.6996521727399591E-2</v>
      </c>
      <c r="AL19" s="119">
        <f>IFERROR(AK19/AK148, "NA")</f>
        <v>-0.1728156611869644</v>
      </c>
    </row>
    <row r="20" spans="1:38" ht="16.5" customHeight="1" x14ac:dyDescent="0.25">
      <c r="A20" s="7" t="s">
        <v>25</v>
      </c>
      <c r="B20" s="115">
        <v>329.62</v>
      </c>
      <c r="C20" s="116">
        <f>IFERROR(B20/B148, "NA")</f>
        <v>1.2736963276415908E-2</v>
      </c>
      <c r="D20" s="115">
        <v>322.23</v>
      </c>
      <c r="E20" s="116">
        <f>IFERROR(D20/D148, "NA")</f>
        <v>1.2539727817508299E-2</v>
      </c>
      <c r="F20" s="115">
        <v>329.17</v>
      </c>
      <c r="G20" s="116">
        <f>IFERROR(F20/F148, "NA")</f>
        <v>1.308083796522771E-2</v>
      </c>
      <c r="H20" s="115">
        <v>268.38</v>
      </c>
      <c r="I20" s="116">
        <f>IFERROR(H20/H148, "NA")</f>
        <v>9.3729307469008344E-3</v>
      </c>
      <c r="J20" s="115">
        <v>342.37</v>
      </c>
      <c r="K20" s="116">
        <f>IFERROR(J20/J148, "NA")</f>
        <v>1.220068463812036E-2</v>
      </c>
      <c r="L20" s="115">
        <v>247.43</v>
      </c>
      <c r="M20" s="116">
        <f>IFERROR(L20/L148, "NA")</f>
        <v>9.3520962370502968E-3</v>
      </c>
      <c r="N20" s="115">
        <v>319.86</v>
      </c>
      <c r="O20" s="116">
        <f>IFERROR(N20/N148, "NA")</f>
        <v>1.5520192845164898E-2</v>
      </c>
      <c r="P20" s="115">
        <v>338.51</v>
      </c>
      <c r="Q20" s="116">
        <f>IFERROR(P20/P148, "NA")</f>
        <v>1.3804400884271156E-2</v>
      </c>
      <c r="R20" s="115">
        <v>320.17</v>
      </c>
      <c r="S20" s="116">
        <f>IFERROR(R20/R148, "NA")</f>
        <v>1.2007872982154524E-2</v>
      </c>
      <c r="T20" s="115">
        <v>333.65</v>
      </c>
      <c r="U20" s="116">
        <f>IFERROR(T20/T148, "NA")</f>
        <v>1.3902546751558383E-2</v>
      </c>
      <c r="V20" s="115">
        <v>373.77</v>
      </c>
      <c r="W20" s="116">
        <f>IFERROR(V20/V148, "NA")</f>
        <v>1.0798740450307216E-2</v>
      </c>
      <c r="X20" s="115">
        <v>334.35</v>
      </c>
      <c r="Y20" s="116">
        <f>IFERROR(X20/X148, "NA")</f>
        <v>1.5334096178056216E-2</v>
      </c>
      <c r="Z20" s="115">
        <v>1041.77</v>
      </c>
      <c r="AA20" s="116">
        <f>IFERROR(Z20/Z148, "NA")</f>
        <v>1.2954773134473871E-2</v>
      </c>
      <c r="AB20" s="117">
        <f t="shared" si="0"/>
        <v>340.48500000000001</v>
      </c>
      <c r="AC20" s="116">
        <f>IFERROR(AB20/AB148, "NA")</f>
        <v>1.2718989653085013E-2</v>
      </c>
      <c r="AD20" s="118">
        <f t="shared" si="1"/>
        <v>-6.1349999999999909</v>
      </c>
      <c r="AE20" s="119">
        <f>IFERROR(AD20/AD148, "NA")</f>
        <v>1.2355338321788567E-3</v>
      </c>
      <c r="AF20" s="118">
        <f t="shared" si="2"/>
        <v>-1.8018414908145704E-2</v>
      </c>
      <c r="AG20" s="117">
        <f t="shared" si="3"/>
        <v>326.26375000000002</v>
      </c>
      <c r="AH20" s="116">
        <f>IFERROR(AG20/AG148, "NA")</f>
        <v>1.2625747874731159E-2</v>
      </c>
      <c r="AI20" s="118">
        <f t="shared" si="4"/>
        <v>8.0862500000000068</v>
      </c>
      <c r="AJ20" s="119">
        <f>IFERROR(AI20/AI148, "NA")</f>
        <v>-2.0031373918773404E-3</v>
      </c>
      <c r="AK20" s="118">
        <f t="shared" si="5"/>
        <v>2.4784396059936192E-2</v>
      </c>
      <c r="AL20" s="119">
        <f>IFERROR(AK20/AK148, "NA")</f>
        <v>-0.15865494953264248</v>
      </c>
    </row>
    <row r="21" spans="1:38" ht="16.5" customHeight="1" x14ac:dyDescent="0.25">
      <c r="A21" s="7" t="s">
        <v>26</v>
      </c>
      <c r="B21" s="115">
        <v>209.26</v>
      </c>
      <c r="C21" s="116">
        <f>IFERROR(B21/B148, "NA")</f>
        <v>8.0860898465590463E-3</v>
      </c>
      <c r="D21" s="115">
        <v>150.63</v>
      </c>
      <c r="E21" s="116">
        <f>IFERROR(D21/D148, "NA")</f>
        <v>5.8618353385819907E-3</v>
      </c>
      <c r="F21" s="115">
        <v>131.27000000000001</v>
      </c>
      <c r="G21" s="116">
        <f>IFERROR(F21/F148, "NA")</f>
        <v>5.2165191229317422E-3</v>
      </c>
      <c r="H21" s="115">
        <v>139</v>
      </c>
      <c r="I21" s="116">
        <f>IFERROR(H21/H148, "NA")</f>
        <v>4.8544503085893734E-3</v>
      </c>
      <c r="J21" s="115">
        <v>167.84</v>
      </c>
      <c r="K21" s="116">
        <f>IFERROR(J21/J148, "NA")</f>
        <v>5.9811400229638143E-3</v>
      </c>
      <c r="L21" s="115">
        <v>228.5</v>
      </c>
      <c r="M21" s="116">
        <f>IFERROR(L21/L148, "NA")</f>
        <v>8.6366002108313172E-3</v>
      </c>
      <c r="N21" s="115">
        <v>92.61</v>
      </c>
      <c r="O21" s="116">
        <f>IFERROR(N21/N148, "NA")</f>
        <v>4.4936067635550593E-3</v>
      </c>
      <c r="P21" s="115">
        <v>195</v>
      </c>
      <c r="Q21" s="116">
        <f>IFERROR(P21/P148, "NA")</f>
        <v>7.952078734551048E-3</v>
      </c>
      <c r="R21" s="115">
        <v>-10.86</v>
      </c>
      <c r="S21" s="116">
        <f>IFERROR(R21/R148, "NA")</f>
        <v>-4.0730081077614428E-4</v>
      </c>
      <c r="T21" s="115">
        <v>86.37</v>
      </c>
      <c r="U21" s="116">
        <f>IFERROR(T21/T148, "NA")</f>
        <v>3.5988699623320779E-3</v>
      </c>
      <c r="V21" s="115">
        <v>275.08999999999997</v>
      </c>
      <c r="W21" s="116">
        <f>IFERROR(V21/V148, "NA")</f>
        <v>7.9477366039944659E-3</v>
      </c>
      <c r="X21" s="115">
        <v>189.48</v>
      </c>
      <c r="Y21" s="116">
        <f>IFERROR(X21/X148, "NA")</f>
        <v>8.6900091036880255E-3</v>
      </c>
      <c r="Z21" s="115">
        <v>550.94000000000005</v>
      </c>
      <c r="AA21" s="116">
        <f>IFERROR(Z21/Z148, "NA")</f>
        <v>6.8511309700865211E-3</v>
      </c>
      <c r="AB21" s="117">
        <f t="shared" si="0"/>
        <v>135.01999999999998</v>
      </c>
      <c r="AC21" s="116">
        <f>IFERROR(AB21/AB148, "NA")</f>
        <v>5.0437404965256562E-3</v>
      </c>
      <c r="AD21" s="118">
        <f t="shared" si="1"/>
        <v>54.460000000000008</v>
      </c>
      <c r="AE21" s="119">
        <f>IFERROR(AD21/AD148, "NA")</f>
        <v>-1.096775427880369E-2</v>
      </c>
      <c r="AF21" s="118">
        <f t="shared" si="2"/>
        <v>0.40334765219967422</v>
      </c>
      <c r="AG21" s="117">
        <f t="shared" si="3"/>
        <v>153.00375</v>
      </c>
      <c r="AH21" s="116">
        <f>IFERROR(AG21/AG148, "NA")</f>
        <v>5.9209359648088322E-3</v>
      </c>
      <c r="AI21" s="118">
        <f t="shared" si="4"/>
        <v>36.476249999999993</v>
      </c>
      <c r="AJ21" s="119">
        <f>IFERROR(AI21/AI148, "NA")</f>
        <v>-9.0359487142328953E-3</v>
      </c>
      <c r="AK21" s="118">
        <f t="shared" si="5"/>
        <v>0.23840101958285331</v>
      </c>
      <c r="AL21" s="119">
        <f>IFERROR(AK21/AK148, "NA")</f>
        <v>-1.5261014082804114</v>
      </c>
    </row>
    <row r="22" spans="1:38" ht="16.5" hidden="1" customHeight="1" x14ac:dyDescent="0.25">
      <c r="A22" s="7" t="s">
        <v>27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28</v>
      </c>
      <c r="B23" s="115">
        <v>165.64</v>
      </c>
      <c r="C23" s="116">
        <f>IFERROR(B23/B148, "NA")</f>
        <v>6.4005539624583784E-3</v>
      </c>
      <c r="D23" s="115">
        <v>208.2</v>
      </c>
      <c r="E23" s="116">
        <f>IFERROR(D23/D148, "NA")</f>
        <v>8.1021982174385616E-3</v>
      </c>
      <c r="F23" s="115">
        <v>55.83</v>
      </c>
      <c r="G23" s="116">
        <f>IFERROR(F23/F148, "NA")</f>
        <v>2.2186201160453961E-3</v>
      </c>
      <c r="H23" s="115">
        <v>266.02999999999997</v>
      </c>
      <c r="I23" s="116">
        <f>IFERROR(H23/H148, "NA")</f>
        <v>9.2908591049930284E-3</v>
      </c>
      <c r="J23" s="115">
        <v>60.71</v>
      </c>
      <c r="K23" s="116">
        <f>IFERROR(J23/J148, "NA")</f>
        <v>2.1634593112138537E-3</v>
      </c>
      <c r="L23" s="115">
        <v>249.34</v>
      </c>
      <c r="M23" s="116">
        <f>IFERROR(L23/L148, "NA")</f>
        <v>9.4242883876091057E-3</v>
      </c>
      <c r="N23" s="115">
        <v>-68.25</v>
      </c>
      <c r="O23" s="116">
        <f>IFERROR(N23/N148, "NA")</f>
        <v>-3.3116149618036147E-3</v>
      </c>
      <c r="P23" s="115">
        <v>353.82</v>
      </c>
      <c r="Q23" s="116">
        <f>IFERROR(P23/P148, "NA")</f>
        <v>1.4428741014660778E-2</v>
      </c>
      <c r="R23" s="115">
        <v>188.36</v>
      </c>
      <c r="S23" s="116">
        <f>IFERROR(R23/R148, "NA")</f>
        <v>7.0643812815648754E-3</v>
      </c>
      <c r="T23" s="115">
        <v>316.47000000000003</v>
      </c>
      <c r="U23" s="116">
        <f>IFERROR(T23/T148, "NA")</f>
        <v>1.3186689556318545E-2</v>
      </c>
      <c r="V23" s="115">
        <v>-27.16</v>
      </c>
      <c r="W23" s="116">
        <f>IFERROR(V23/V148, "NA")</f>
        <v>-7.8469056005121861E-4</v>
      </c>
      <c r="X23" s="115">
        <v>217.84</v>
      </c>
      <c r="Y23" s="116">
        <f>IFERROR(X23/X148, "NA")</f>
        <v>9.9906669999335011E-3</v>
      </c>
      <c r="Z23" s="115">
        <v>507.15</v>
      </c>
      <c r="AA23" s="116">
        <f>IFERROR(Z23/Z148, "NA")</f>
        <v>6.3065870539067391E-3</v>
      </c>
      <c r="AB23" s="117">
        <f t="shared" si="0"/>
        <v>173.8775</v>
      </c>
      <c r="AC23" s="116">
        <f>IFERROR(AB23/AB148, "NA")</f>
        <v>6.495282092909495E-3</v>
      </c>
      <c r="AD23" s="118">
        <f t="shared" si="1"/>
        <v>43.962500000000006</v>
      </c>
      <c r="AE23" s="119">
        <f>IFERROR(AD23/AD148, "NA")</f>
        <v>-8.8536521755767025E-3</v>
      </c>
      <c r="AF23" s="118">
        <f t="shared" si="2"/>
        <v>0.2528360483673851</v>
      </c>
      <c r="AG23" s="117">
        <f t="shared" si="3"/>
        <v>161.39124999999999</v>
      </c>
      <c r="AH23" s="116">
        <f>IFERROR(AG23/AG148, "NA")</f>
        <v>6.2455152669817129E-3</v>
      </c>
      <c r="AI23" s="118">
        <f t="shared" si="4"/>
        <v>56.448750000000018</v>
      </c>
      <c r="AJ23" s="119">
        <f>IFERROR(AI23/AI148, "NA")</f>
        <v>-1.398356492190273E-2</v>
      </c>
      <c r="AK23" s="118">
        <f t="shared" si="5"/>
        <v>0.34976338556148506</v>
      </c>
      <c r="AL23" s="119">
        <f>IFERROR(AK23/AK148, "NA")</f>
        <v>-2.2389769817439906</v>
      </c>
    </row>
    <row r="24" spans="1:38" ht="16.5" customHeight="1" x14ac:dyDescent="0.25">
      <c r="A24" s="7" t="s">
        <v>29</v>
      </c>
      <c r="B24" s="115">
        <v>1722.85</v>
      </c>
      <c r="C24" s="116">
        <f>IFERROR(B24/B148, "NA")</f>
        <v>6.6573257632343744E-2</v>
      </c>
      <c r="D24" s="115">
        <v>1643.39</v>
      </c>
      <c r="E24" s="116">
        <f>IFERROR(D24/D148, "NA")</f>
        <v>6.395327343206704E-2</v>
      </c>
      <c r="F24" s="115">
        <v>1560.27</v>
      </c>
      <c r="G24" s="116">
        <f>IFERROR(F24/F148, "NA")</f>
        <v>6.200333885835841E-2</v>
      </c>
      <c r="H24" s="115">
        <v>1768.26</v>
      </c>
      <c r="I24" s="116">
        <f>IFERROR(H24/H148, "NA")</f>
        <v>6.1754894263785942E-2</v>
      </c>
      <c r="J24" s="115">
        <v>1812.67</v>
      </c>
      <c r="K24" s="116">
        <f>IFERROR(J24/J148, "NA")</f>
        <v>6.4596240976083283E-2</v>
      </c>
      <c r="L24" s="115">
        <v>1590.86</v>
      </c>
      <c r="M24" s="116">
        <f>IFERROR(L24/L148, "NA")</f>
        <v>6.0129635936118642E-2</v>
      </c>
      <c r="N24" s="115">
        <v>1533.11</v>
      </c>
      <c r="O24" s="116">
        <f>IFERROR(N24/N148, "NA")</f>
        <v>7.4389304235761747E-2</v>
      </c>
      <c r="P24" s="115">
        <v>1367.67</v>
      </c>
      <c r="Q24" s="116">
        <f>IFERROR(P24/P148, "NA")</f>
        <v>5.5773433450684272E-2</v>
      </c>
      <c r="R24" s="115">
        <v>1764.64</v>
      </c>
      <c r="S24" s="116">
        <f>IFERROR(R24/R148, "NA")</f>
        <v>6.6182256236465509E-2</v>
      </c>
      <c r="T24" s="115">
        <v>1420.08</v>
      </c>
      <c r="U24" s="116">
        <f>IFERROR(T24/T148, "NA")</f>
        <v>5.9171972399079967E-2</v>
      </c>
      <c r="V24" s="115">
        <v>1991.26</v>
      </c>
      <c r="W24" s="116">
        <f>IFERROR(V24/V148, "NA")</f>
        <v>5.7530299138718322E-2</v>
      </c>
      <c r="X24" s="115">
        <v>1234.3399999999999</v>
      </c>
      <c r="Y24" s="116">
        <f>IFERROR(X24/X148, "NA")</f>
        <v>5.6609804924246769E-2</v>
      </c>
      <c r="Z24" s="115">
        <v>4645.68</v>
      </c>
      <c r="AA24" s="116">
        <f>IFERROR(Z24/Z148, "NA")</f>
        <v>5.7770650388629517E-2</v>
      </c>
      <c r="AB24" s="117">
        <f t="shared" si="0"/>
        <v>1602.5800000000002</v>
      </c>
      <c r="AC24" s="116">
        <f>IFERROR(AB24/AB148, "NA")</f>
        <v>5.9865187712354384E-2</v>
      </c>
      <c r="AD24" s="118">
        <f t="shared" si="1"/>
        <v>-368.24000000000024</v>
      </c>
      <c r="AE24" s="119">
        <f>IFERROR(AD24/AD148, "NA")</f>
        <v>7.4160224671808175E-2</v>
      </c>
      <c r="AF24" s="118">
        <f t="shared" si="2"/>
        <v>-0.22977948058755271</v>
      </c>
      <c r="AG24" s="117">
        <f t="shared" si="3"/>
        <v>1589.3287499999999</v>
      </c>
      <c r="AH24" s="116">
        <f>IFERROR(AG24/AG148, "NA")</f>
        <v>6.1503811218873161E-2</v>
      </c>
      <c r="AI24" s="118">
        <f t="shared" si="4"/>
        <v>-354.98874999999998</v>
      </c>
      <c r="AJ24" s="119">
        <f>IFERROR(AI24/AI148, "NA")</f>
        <v>8.7938319841805099E-2</v>
      </c>
      <c r="AK24" s="118">
        <f t="shared" si="5"/>
        <v>-0.22335765964090187</v>
      </c>
      <c r="AL24" s="119">
        <f>IFERROR(AK24/AK148, "NA")</f>
        <v>1.4298027731787166</v>
      </c>
    </row>
    <row r="25" spans="1:38" ht="16.5" hidden="1" customHeight="1" x14ac:dyDescent="0.25">
      <c r="A25" s="7" t="s">
        <v>30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31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32</v>
      </c>
      <c r="B27" s="121">
        <f>IFERROR(B15+B16+B17+B18+B19+B20+B21+B22+B23+B24+B25+B26, "NA")</f>
        <v>6481.8600000000006</v>
      </c>
      <c r="C27" s="122">
        <f>IFERROR(B27/B148, "NA")</f>
        <v>0.25046785019983381</v>
      </c>
      <c r="D27" s="121">
        <f>IFERROR(D15+D16+D17+D18+D19+D20+D21+D22+D23+D24+D25+D26, "NA")</f>
        <v>5646.76</v>
      </c>
      <c r="E27" s="122">
        <f>IFERROR(D27/D148, "NA")</f>
        <v>0.21974624786889227</v>
      </c>
      <c r="F27" s="121">
        <f>IFERROR(F15+F16+F17+F18+F19+F20+F21+F22+F23+F24+F25+F26, "NA")</f>
        <v>5421.0499999999993</v>
      </c>
      <c r="G27" s="122">
        <f>IFERROR(F27/F148, "NA")</f>
        <v>0.21542630449736508</v>
      </c>
      <c r="H27" s="121">
        <f>IFERROR(H15+H16+H17+H18+H19+H20+H21+H22+H23+H24+H25+H26, "NA")</f>
        <v>6374.8899999999994</v>
      </c>
      <c r="I27" s="122">
        <f>IFERROR(H27/H148, "NA")</f>
        <v>0.22263731458793748</v>
      </c>
      <c r="J27" s="121">
        <f>IFERROR(J15+J16+J17+J18+J19+J20+J21+J22+J23+J24+J25+J26, "NA")</f>
        <v>5826.46</v>
      </c>
      <c r="K27" s="122">
        <f>IFERROR(J27/J148, "NA")</f>
        <v>0.2076315127395004</v>
      </c>
      <c r="L27" s="121">
        <f>IFERROR(L15+L16+L17+L18+L19+L20+L21+L22+L23+L24+L25+L26, "NA")</f>
        <v>5308.62</v>
      </c>
      <c r="M27" s="122">
        <f>IFERROR(L27/L148, "NA")</f>
        <v>0.20064957816727944</v>
      </c>
      <c r="N27" s="121">
        <f>IFERROR(N15+N16+N17+N18+N19+N20+N21+N22+N23+N24+N25+N26, "NA")</f>
        <v>4697.1900000000005</v>
      </c>
      <c r="O27" s="122">
        <f>IFERROR(N27/N148, "NA")</f>
        <v>0.22791625908328678</v>
      </c>
      <c r="P27" s="121">
        <f>IFERROR(P15+P16+P17+P18+P19+P20+P21+P22+P23+P24+P25+P26, "NA")</f>
        <v>5477.15</v>
      </c>
      <c r="Q27" s="122">
        <f>IFERROR(P27/P148, "NA")</f>
        <v>0.22335757969716036</v>
      </c>
      <c r="R27" s="121">
        <f>IFERROR(R15+R16+R17+R18+R19+R20+R21+R22+R23+R24+R25+R26, "NA")</f>
        <v>5578.73</v>
      </c>
      <c r="S27" s="122">
        <f>IFERROR(R27/R148, "NA")</f>
        <v>0.20922847625241248</v>
      </c>
      <c r="T27" s="121">
        <f>IFERROR(T15+T16+T17+T18+T19+T20+T21+T22+T23+T24+T25+T26, "NA")</f>
        <v>5248.53</v>
      </c>
      <c r="U27" s="122">
        <f>IFERROR(T27/T148, "NA")</f>
        <v>0.21869603986799557</v>
      </c>
      <c r="V27" s="121">
        <f>IFERROR(V15+V16+V17+V18+V19+V20+V21+V22+V23+V24+V25+V26, "NA")</f>
        <v>6452.85</v>
      </c>
      <c r="W27" s="122">
        <f>IFERROR(V27/V148, "NA")</f>
        <v>0.18643190281393618</v>
      </c>
      <c r="X27" s="121">
        <f>IFERROR(X15+X16+X17+X18+X19+X20+X21+X22+X23+X24+X25+X26, "NA")</f>
        <v>4911.04</v>
      </c>
      <c r="Y27" s="122">
        <f>IFERROR(X27/X148, "NA")</f>
        <v>0.22523212111344756</v>
      </c>
      <c r="Z27" s="121">
        <f>IFERROR(Z15+Z16+Z17+Z18+Z19+Z20+Z21+Z22+Z23+Z24+Z25+Z26, "NA")</f>
        <v>16612.420000000002</v>
      </c>
      <c r="AA27" s="122">
        <f>IFERROR(Z27/Z148, "NA")</f>
        <v>0.20658123416358357</v>
      </c>
      <c r="AB27" s="121">
        <f t="shared" si="0"/>
        <v>5547.7875000000004</v>
      </c>
      <c r="AC27" s="122">
        <f>IFERROR(AB27/AB148, "NA")</f>
        <v>0.20724041238237917</v>
      </c>
      <c r="AD27" s="123">
        <f t="shared" si="1"/>
        <v>-636.7475000000004</v>
      </c>
      <c r="AE27" s="124">
        <f>IFERROR(AD27/AD148, "NA")</f>
        <v>0.12823522066916188</v>
      </c>
      <c r="AF27" s="123">
        <f t="shared" si="2"/>
        <v>-0.11477503419155841</v>
      </c>
      <c r="AG27" s="121">
        <f t="shared" si="3"/>
        <v>5437.57125</v>
      </c>
      <c r="AH27" s="122">
        <f>IFERROR(AG27/AG148, "NA")</f>
        <v>0.21042302018960657</v>
      </c>
      <c r="AI27" s="123">
        <f t="shared" si="4"/>
        <v>-526.53125</v>
      </c>
      <c r="AJ27" s="124">
        <f>IFERROR(AI27/AI148, "NA")</f>
        <v>0.13043307279232214</v>
      </c>
      <c r="AK27" s="123">
        <f t="shared" si="5"/>
        <v>-9.6832064499384723E-2</v>
      </c>
      <c r="AL27" s="124">
        <f>IFERROR(AK27/AK148, "NA")</f>
        <v>0.61986123321864861</v>
      </c>
    </row>
    <row r="28" spans="1:38" ht="16.5" customHeight="1" x14ac:dyDescent="0.25">
      <c r="A28" s="6" t="s">
        <v>33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34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35</v>
      </c>
      <c r="B30" s="115">
        <v>422.15</v>
      </c>
      <c r="C30" s="116">
        <f>IFERROR(B30/B148, "NA")</f>
        <v>1.6312447810020555E-2</v>
      </c>
      <c r="D30" s="115">
        <v>333.37</v>
      </c>
      <c r="E30" s="116">
        <f>IFERROR(D30/D148, "NA")</f>
        <v>1.2973246012235798E-2</v>
      </c>
      <c r="F30" s="115">
        <v>228.5</v>
      </c>
      <c r="G30" s="116">
        <f>IFERROR(F30/F148, "NA")</f>
        <v>9.0803277183659856E-3</v>
      </c>
      <c r="H30" s="115">
        <v>313.14999999999998</v>
      </c>
      <c r="I30" s="116">
        <f>IFERROR(H30/H148, "NA")</f>
        <v>1.0936482835501886E-2</v>
      </c>
      <c r="J30" s="115">
        <v>295.60000000000002</v>
      </c>
      <c r="K30" s="116">
        <f>IFERROR(J30/J148, "NA")</f>
        <v>1.0533990650548759E-2</v>
      </c>
      <c r="L30" s="115">
        <v>254.86</v>
      </c>
      <c r="M30" s="116">
        <f>IFERROR(L30/L148, "NA")</f>
        <v>9.63292748241781E-3</v>
      </c>
      <c r="N30" s="115">
        <v>340.59</v>
      </c>
      <c r="O30" s="116">
        <f>IFERROR(N30/N148, "NA")</f>
        <v>1.6526050400596237E-2</v>
      </c>
      <c r="P30" s="115">
        <v>255.24</v>
      </c>
      <c r="Q30" s="116">
        <f>IFERROR(P30/P148, "NA")</f>
        <v>1.0408659365163126E-2</v>
      </c>
      <c r="R30" s="115">
        <v>252.34</v>
      </c>
      <c r="S30" s="116">
        <f>IFERROR(R30/R148, "NA")</f>
        <v>9.4639306253455121E-3</v>
      </c>
      <c r="T30" s="115">
        <v>210.65</v>
      </c>
      <c r="U30" s="116">
        <f>IFERROR(T30/T148, "NA")</f>
        <v>8.777375912530418E-3</v>
      </c>
      <c r="V30" s="115">
        <v>285.58999999999997</v>
      </c>
      <c r="W30" s="116">
        <f>IFERROR(V30/V148, "NA")</f>
        <v>8.2510963565915873E-3</v>
      </c>
      <c r="X30" s="115">
        <v>217.84</v>
      </c>
      <c r="Y30" s="116">
        <f>IFERROR(X30/X148, "NA")</f>
        <v>9.9906669999335011E-3</v>
      </c>
      <c r="Z30" s="115">
        <v>714.08</v>
      </c>
      <c r="AA30" s="116">
        <f>IFERROR(Z30/Z148, "NA")</f>
        <v>8.8798337443630575E-3</v>
      </c>
      <c r="AB30" s="117">
        <f t="shared" si="6"/>
        <v>241.60499999999999</v>
      </c>
      <c r="AC30" s="116">
        <f>IFERROR(AB30/AB148, "NA")</f>
        <v>9.0252771638504019E-3</v>
      </c>
      <c r="AD30" s="118">
        <f t="shared" si="7"/>
        <v>-23.764999999999986</v>
      </c>
      <c r="AE30" s="119">
        <f>IFERROR(AD30/AD148, "NA")</f>
        <v>4.7860572977555917E-3</v>
      </c>
      <c r="AF30" s="118">
        <f t="shared" si="8"/>
        <v>-9.8363030566420345E-2</v>
      </c>
      <c r="AG30" s="117">
        <f t="shared" si="9"/>
        <v>264.08875</v>
      </c>
      <c r="AH30" s="116">
        <f>IFERROR(AG30/AG148, "NA")</f>
        <v>1.0219701005866905E-2</v>
      </c>
      <c r="AI30" s="118">
        <f t="shared" si="10"/>
        <v>-46.248750000000001</v>
      </c>
      <c r="AJ30" s="119">
        <f>IFERROR(AI30/AI148, "NA")</f>
        <v>1.1456806362972584E-2</v>
      </c>
      <c r="AK30" s="118">
        <f t="shared" si="11"/>
        <v>-0.17512578631236658</v>
      </c>
      <c r="AL30" s="119">
        <f>IFERROR(AK30/AK148, "NA")</f>
        <v>1.1210510323536358</v>
      </c>
    </row>
    <row r="31" spans="1:38" ht="16.5" customHeight="1" x14ac:dyDescent="0.25">
      <c r="A31" s="7" t="s">
        <v>36</v>
      </c>
      <c r="B31" s="115">
        <v>7.31</v>
      </c>
      <c r="C31" s="116">
        <f>IFERROR(B31/B148, "NA")</f>
        <v>2.8246830153085456E-4</v>
      </c>
      <c r="D31" s="115">
        <v>24.35</v>
      </c>
      <c r="E31" s="116">
        <f>IFERROR(D31/D148, "NA")</f>
        <v>9.475913861413496E-4</v>
      </c>
      <c r="F31" s="115">
        <v>12.18</v>
      </c>
      <c r="G31" s="116">
        <f>IFERROR(F31/F148, "NA")</f>
        <v>4.8401921929845822E-4</v>
      </c>
      <c r="H31" s="115">
        <v>14.61</v>
      </c>
      <c r="I31" s="116">
        <f>IFERROR(H31/H148, "NA")</f>
        <v>5.1024114394597659E-4</v>
      </c>
      <c r="J31" s="115">
        <v>-4.87</v>
      </c>
      <c r="K31" s="116">
        <f>IFERROR(J31/J148, "NA")</f>
        <v>-1.7354713960816121E-4</v>
      </c>
      <c r="L31" s="115">
        <v>17.05</v>
      </c>
      <c r="M31" s="116">
        <f>IFERROR(L31/L148, "NA")</f>
        <v>6.4443778378413122E-4</v>
      </c>
      <c r="N31" s="115">
        <v>12.18</v>
      </c>
      <c r="O31" s="116">
        <f>IFERROR(N31/N148, "NA")</f>
        <v>5.9099590087572198E-4</v>
      </c>
      <c r="P31" s="115">
        <v>14.61</v>
      </c>
      <c r="Q31" s="116">
        <f>IFERROR(P31/P148, "NA")</f>
        <v>5.9579420672713234E-4</v>
      </c>
      <c r="R31" s="115">
        <v>14.61</v>
      </c>
      <c r="S31" s="116">
        <f>IFERROR(R31/R148, "NA")</f>
        <v>5.4794335593365273E-4</v>
      </c>
      <c r="T31" s="115">
        <v>2.44</v>
      </c>
      <c r="U31" s="116">
        <f>IFERROR(T31/T148, "NA")</f>
        <v>1.0167005566852228E-4</v>
      </c>
      <c r="V31" s="115">
        <v>9.74</v>
      </c>
      <c r="W31" s="116">
        <f>IFERROR(V31/V148, "NA")</f>
        <v>2.8140228479009091E-4</v>
      </c>
      <c r="X31" s="115">
        <v>2.4300000000000002</v>
      </c>
      <c r="Y31" s="116">
        <f>IFERROR(X31/X148, "NA")</f>
        <v>1.1144565189973562E-4</v>
      </c>
      <c r="Z31" s="115">
        <v>14.61</v>
      </c>
      <c r="AA31" s="116">
        <f>IFERROR(Z31/Z148, "NA")</f>
        <v>1.8168044337489391E-4</v>
      </c>
      <c r="AB31" s="117">
        <f t="shared" si="6"/>
        <v>7.3049999999999997</v>
      </c>
      <c r="AC31" s="116">
        <f>IFERROR(AB31/AB148, "NA")</f>
        <v>2.728819754637826E-4</v>
      </c>
      <c r="AD31" s="118">
        <f t="shared" si="7"/>
        <v>-4.875</v>
      </c>
      <c r="AE31" s="119">
        <f>IFERROR(AD31/AD148, "NA")</f>
        <v>9.8178116248931295E-4</v>
      </c>
      <c r="AF31" s="118">
        <f t="shared" si="8"/>
        <v>-0.66735112936344976</v>
      </c>
      <c r="AG31" s="117">
        <f t="shared" si="9"/>
        <v>8.5237499999999997</v>
      </c>
      <c r="AH31" s="116">
        <f>IFERROR(AG31/AG148, "NA")</f>
        <v>3.298519018654071E-4</v>
      </c>
      <c r="AI31" s="118">
        <f t="shared" si="10"/>
        <v>-6.09375</v>
      </c>
      <c r="AJ31" s="119">
        <f>IFERROR(AI31/AI148, "NA")</f>
        <v>1.5095524478902496E-3</v>
      </c>
      <c r="AK31" s="118">
        <f t="shared" si="11"/>
        <v>-0.71491421029476465</v>
      </c>
      <c r="AL31" s="119">
        <f>IFERROR(AK31/AK148, "NA")</f>
        <v>4.5764551889902636</v>
      </c>
    </row>
    <row r="32" spans="1:38" ht="16.5" customHeight="1" x14ac:dyDescent="0.25">
      <c r="A32" s="7" t="s">
        <v>37</v>
      </c>
      <c r="B32" s="115">
        <v>0</v>
      </c>
      <c r="C32" s="116">
        <f>IFERROR(B32/B148, "NA")</f>
        <v>0</v>
      </c>
      <c r="D32" s="115">
        <v>-26.9</v>
      </c>
      <c r="E32" s="116">
        <f>IFERROR(D32/D148, "NA")</f>
        <v>-1.0468258023491705E-3</v>
      </c>
      <c r="F32" s="115">
        <v>26.9</v>
      </c>
      <c r="G32" s="116">
        <f>IFERROR(F32/F148, "NA")</f>
        <v>1.0689751230811599E-3</v>
      </c>
      <c r="H32" s="115">
        <v>3</v>
      </c>
      <c r="I32" s="116">
        <f>IFERROR(H32/H148, "NA")</f>
        <v>1.0477230881847568E-4</v>
      </c>
      <c r="J32" s="115">
        <v>-29.9</v>
      </c>
      <c r="K32" s="116">
        <f>IFERROR(J32/J148, "NA")</f>
        <v>-1.0655152924607843E-3</v>
      </c>
      <c r="L32" s="115">
        <v>1.99</v>
      </c>
      <c r="M32" s="116">
        <f>IFERROR(L32/L148, "NA")</f>
        <v>7.5215905556036424E-5</v>
      </c>
      <c r="N32" s="115">
        <v>27.91</v>
      </c>
      <c r="O32" s="116">
        <f>IFERROR(N32/N148, "NA")</f>
        <v>1.3542443015961741E-3</v>
      </c>
      <c r="P32" s="115">
        <v>0</v>
      </c>
      <c r="Q32" s="116">
        <f>IFERROR(P32/P148, "NA")</f>
        <v>0</v>
      </c>
      <c r="R32" s="115">
        <v>-27.91</v>
      </c>
      <c r="S32" s="116">
        <f>IFERROR(R32/R148, "NA")</f>
        <v>-1.0467555827589491E-3</v>
      </c>
      <c r="T32" s="115">
        <v>29.9</v>
      </c>
      <c r="U32" s="116">
        <f>IFERROR(T32/T148, "NA")</f>
        <v>1.2458748624954163E-3</v>
      </c>
      <c r="V32" s="115">
        <v>0</v>
      </c>
      <c r="W32" s="116">
        <f>IFERROR(V32/V148, "NA")</f>
        <v>0</v>
      </c>
      <c r="X32" s="115">
        <v>0</v>
      </c>
      <c r="Y32" s="116">
        <f>IFERROR(X32/X148, "NA")</f>
        <v>0</v>
      </c>
      <c r="Z32" s="115">
        <v>29.9</v>
      </c>
      <c r="AA32" s="116">
        <f>IFERROR(Z32/Z148, "NA")</f>
        <v>3.718169238130957E-4</v>
      </c>
      <c r="AB32" s="117">
        <f t="shared" si="6"/>
        <v>0.49749999999999961</v>
      </c>
      <c r="AC32" s="116">
        <f>IFERROR(AB32/AB148, "NA")</f>
        <v>1.8584364516527274E-5</v>
      </c>
      <c r="AD32" s="118">
        <f t="shared" si="7"/>
        <v>-0.49749999999999961</v>
      </c>
      <c r="AE32" s="119">
        <f>IFERROR(AD32/AD148, "NA")</f>
        <v>1.0019202632583238E-4</v>
      </c>
      <c r="AF32" s="118">
        <f t="shared" si="8"/>
        <v>-1</v>
      </c>
      <c r="AG32" s="117">
        <f t="shared" si="9"/>
        <v>0.2487499999999998</v>
      </c>
      <c r="AH32" s="116">
        <f>IFERROR(AG32/AG148, "NA")</f>
        <v>9.6261223744267429E-6</v>
      </c>
      <c r="AI32" s="118">
        <f t="shared" si="10"/>
        <v>-0.2487499999999998</v>
      </c>
      <c r="AJ32" s="119">
        <f>IFERROR(AI32/AI148, "NA")</f>
        <v>6.16207050523404E-5</v>
      </c>
      <c r="AK32" s="118">
        <f t="shared" si="11"/>
        <v>-1</v>
      </c>
      <c r="AL32" s="119">
        <f>IFERROR(AK32/AK148, "NA")</f>
        <v>6.4014047043537659</v>
      </c>
    </row>
    <row r="33" spans="1:38" ht="16.5" customHeight="1" x14ac:dyDescent="0.25">
      <c r="A33" s="7" t="s">
        <v>38</v>
      </c>
      <c r="B33" s="115">
        <v>0</v>
      </c>
      <c r="C33" s="116">
        <f>IFERROR(B33/B148, "NA")</f>
        <v>0</v>
      </c>
      <c r="D33" s="115">
        <v>7.35</v>
      </c>
      <c r="E33" s="116">
        <f>IFERROR(D33/D148, "NA")</f>
        <v>2.8602861142254288E-4</v>
      </c>
      <c r="F33" s="115">
        <v>-7.01</v>
      </c>
      <c r="G33" s="116">
        <f>IFERROR(F33/F148, "NA")</f>
        <v>-2.7856935363564794E-4</v>
      </c>
      <c r="H33" s="115">
        <v>7.01</v>
      </c>
      <c r="I33" s="116">
        <f>IFERROR(H33/H148, "NA")</f>
        <v>2.4481796160583818E-4</v>
      </c>
      <c r="J33" s="115">
        <v>0</v>
      </c>
      <c r="K33" s="116">
        <f>IFERROR(J33/J148, "NA")</f>
        <v>0</v>
      </c>
      <c r="L33" s="115">
        <v>0</v>
      </c>
      <c r="M33" s="116">
        <f>IFERROR(L33/L148, "NA")</f>
        <v>0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7.35</v>
      </c>
      <c r="S33" s="116">
        <f>IFERROR(R33/R148, "NA")</f>
        <v>2.7565938850871645E-4</v>
      </c>
      <c r="T33" s="115">
        <v>-7.35</v>
      </c>
      <c r="U33" s="116">
        <f>IFERROR(T33/T148, "NA")</f>
        <v>-3.0626020867362242E-4</v>
      </c>
      <c r="V33" s="115">
        <v>0</v>
      </c>
      <c r="W33" s="116">
        <f>IFERROR(V33/V148, "NA")</f>
        <v>0</v>
      </c>
      <c r="X33" s="115">
        <v>0</v>
      </c>
      <c r="Y33" s="116">
        <f>IFERROR(X33/X148, "NA")</f>
        <v>0</v>
      </c>
      <c r="Z33" s="115">
        <v>-7.35</v>
      </c>
      <c r="AA33" s="116">
        <f>IFERROR(Z33/Z148, "NA")</f>
        <v>-9.1399812375459976E-5</v>
      </c>
      <c r="AB33" s="117">
        <f t="shared" si="6"/>
        <v>0</v>
      </c>
      <c r="AC33" s="116">
        <f>IFERROR(AB33/AB148, "NA")</f>
        <v>0</v>
      </c>
      <c r="AD33" s="118">
        <f t="shared" si="7"/>
        <v>0</v>
      </c>
      <c r="AE33" s="119">
        <f>IFERROR(AD33/AD148, "NA")</f>
        <v>0</v>
      </c>
      <c r="AF33" s="118" t="str">
        <f t="shared" si="8"/>
        <v>NA</v>
      </c>
      <c r="AG33" s="117">
        <f t="shared" si="9"/>
        <v>0</v>
      </c>
      <c r="AH33" s="116">
        <f>IFERROR(AG33/AG148, "NA")</f>
        <v>0</v>
      </c>
      <c r="AI33" s="118">
        <f t="shared" si="10"/>
        <v>0</v>
      </c>
      <c r="AJ33" s="119">
        <f>IFERROR(AI33/AI148, "NA")</f>
        <v>0</v>
      </c>
      <c r="AK33" s="118" t="str">
        <f t="shared" si="11"/>
        <v>NA</v>
      </c>
      <c r="AL33" s="119" t="str">
        <f>IFERROR(AK33/AK148, "NA")</f>
        <v>NA</v>
      </c>
    </row>
    <row r="34" spans="1:38" ht="16.5" customHeight="1" x14ac:dyDescent="0.25">
      <c r="A34" s="129" t="s">
        <v>39</v>
      </c>
      <c r="B34" s="121">
        <f>IFERROR(B29+B30+B31+B32+B33, "NA")</f>
        <v>429.46</v>
      </c>
      <c r="C34" s="122">
        <f>IFERROR(B34/B148, "NA")</f>
        <v>1.6594916111551408E-2</v>
      </c>
      <c r="D34" s="121">
        <f>IFERROR(D29+D30+D31+D32+D33, "NA")</f>
        <v>338.17000000000007</v>
      </c>
      <c r="E34" s="122">
        <f>IFERROR(D34/D148, "NA")</f>
        <v>1.3160040207450523E-2</v>
      </c>
      <c r="F34" s="121">
        <f>IFERROR(F29+F30+F31+F32+F33, "NA")</f>
        <v>260.57</v>
      </c>
      <c r="G34" s="122">
        <f>IFERROR(F34/F148, "NA")</f>
        <v>1.0354752707109956E-2</v>
      </c>
      <c r="H34" s="121">
        <f>IFERROR(H29+H30+H31+H32+H33, "NA")</f>
        <v>337.77</v>
      </c>
      <c r="I34" s="122">
        <f>IFERROR(H34/H148, "NA")</f>
        <v>1.1796314249872177E-2</v>
      </c>
      <c r="J34" s="121">
        <f>IFERROR(J29+J30+J31+J32+J33, "NA")</f>
        <v>260.83000000000004</v>
      </c>
      <c r="K34" s="122">
        <f>IFERROR(J34/J148, "NA")</f>
        <v>9.2949282184798133E-3</v>
      </c>
      <c r="L34" s="121">
        <f>IFERROR(L29+L30+L31+L32+L33, "NA")</f>
        <v>273.90000000000003</v>
      </c>
      <c r="M34" s="122">
        <f>IFERROR(L34/L148, "NA")</f>
        <v>1.0352581171757979E-2</v>
      </c>
      <c r="N34" s="121">
        <f>IFERROR(N29+N30+N31+N32+N33, "NA")</f>
        <v>380.68</v>
      </c>
      <c r="O34" s="122">
        <f>IFERROR(N34/N148, "NA")</f>
        <v>1.8471290603068135E-2</v>
      </c>
      <c r="P34" s="121">
        <f>IFERROR(P29+P30+P31+P32+P33, "NA")</f>
        <v>269.85000000000002</v>
      </c>
      <c r="Q34" s="122">
        <f>IFERROR(P34/P148, "NA")</f>
        <v>1.100445357189026E-2</v>
      </c>
      <c r="R34" s="121">
        <f>IFERROR(R29+R30+R31+R32+R33, "NA")</f>
        <v>246.39</v>
      </c>
      <c r="S34" s="122">
        <f>IFERROR(R34/R148, "NA")</f>
        <v>9.240777787028932E-3</v>
      </c>
      <c r="T34" s="121">
        <f>IFERROR(T29+T30+T31+T32+T33, "NA")</f>
        <v>235.64000000000001</v>
      </c>
      <c r="U34" s="122">
        <f>IFERROR(T34/T148, "NA")</f>
        <v>9.8186606220207352E-3</v>
      </c>
      <c r="V34" s="121">
        <f>IFERROR(V29+V30+V31+V32+V33, "NA")</f>
        <v>295.33</v>
      </c>
      <c r="W34" s="122">
        <f>IFERROR(V34/V148, "NA")</f>
        <v>8.5324986413816781E-3</v>
      </c>
      <c r="X34" s="121">
        <f>IFERROR(X29+X30+X31+X32+X33, "NA")</f>
        <v>220.27</v>
      </c>
      <c r="Y34" s="122">
        <f>IFERROR(X34/X148, "NA")</f>
        <v>1.0102112651833237E-2</v>
      </c>
      <c r="Z34" s="121">
        <f>IFERROR(Z29+Z30+Z31+Z32+Z33, "NA")</f>
        <v>751.24</v>
      </c>
      <c r="AA34" s="122">
        <f>IFERROR(Z34/Z148, "NA")</f>
        <v>9.3419312991755866E-3</v>
      </c>
      <c r="AB34" s="121">
        <f t="shared" si="6"/>
        <v>249.40749999999997</v>
      </c>
      <c r="AC34" s="122">
        <f>IFERROR(AB34/AB148, "NA")</f>
        <v>9.3167435038307121E-3</v>
      </c>
      <c r="AD34" s="123">
        <f t="shared" si="7"/>
        <v>-29.13749999999996</v>
      </c>
      <c r="AE34" s="124">
        <f>IFERROR(AD34/AD148, "NA")</f>
        <v>5.8680304865707314E-3</v>
      </c>
      <c r="AF34" s="123">
        <f t="shared" si="8"/>
        <v>-0.11682687970490047</v>
      </c>
      <c r="AG34" s="121">
        <f t="shared" si="9"/>
        <v>272.86125000000004</v>
      </c>
      <c r="AH34" s="122">
        <f>IFERROR(AG34/AG148, "NA")</f>
        <v>1.055917903010674E-2</v>
      </c>
      <c r="AI34" s="123">
        <f t="shared" si="10"/>
        <v>-52.591250000000031</v>
      </c>
      <c r="AJ34" s="124">
        <f>IFERROR(AI34/AI148, "NA")</f>
        <v>1.3027979515915182E-2</v>
      </c>
      <c r="AK34" s="123">
        <f t="shared" si="11"/>
        <v>-0.1927398998575284</v>
      </c>
      <c r="AL34" s="124">
        <f>IFERROR(AK34/AK148, "NA")</f>
        <v>1.233806101664656</v>
      </c>
    </row>
    <row r="35" spans="1:38" ht="16.5" customHeight="1" x14ac:dyDescent="0.25">
      <c r="A35" s="130" t="s">
        <v>40</v>
      </c>
      <c r="B35" s="121">
        <f>IFERROR(B13+B15+B16+B17+B18+B19+B20+B21+B22+B23+B24+B25+B26+B29+B30+B31+B32+B33, "NA")</f>
        <v>6911.3200000000006</v>
      </c>
      <c r="C35" s="122">
        <f>IFERROR(B35/B148, "NA")</f>
        <v>0.2670627663113852</v>
      </c>
      <c r="D35" s="121">
        <f>IFERROR(D13+D15+D16+D17+D18+D19+D20+D21+D22+D23+D24+D25+D26+D29+D30+D31+D32+D33, "NA")</f>
        <v>5984.9300000000012</v>
      </c>
      <c r="E35" s="122">
        <f>IFERROR(D35/D148, "NA")</f>
        <v>0.23290628807634284</v>
      </c>
      <c r="F35" s="121">
        <f>IFERROR(F13+F15+F16+F17+F18+F19+F20+F21+F22+F23+F24+F25+F26+F29+F30+F31+F32+F33, "NA")</f>
        <v>5681.619999999999</v>
      </c>
      <c r="G35" s="122">
        <f>IFERROR(F35/F148, "NA")</f>
        <v>0.22578105720447503</v>
      </c>
      <c r="H35" s="121">
        <f>IFERROR(H13+H15+H16+H17+H18+H19+H20+H21+H22+H23+H24+H25+H26+H29+H30+H31+H32+H33, "NA")</f>
        <v>6712.6599999999989</v>
      </c>
      <c r="I35" s="122">
        <f>IFERROR(H35/H148, "NA")</f>
        <v>0.23443362883780963</v>
      </c>
      <c r="J35" s="121">
        <f>IFERROR(J13+J15+J16+J17+J18+J19+J20+J21+J22+J23+J24+J25+J26+J29+J30+J31+J32+J33, "NA")</f>
        <v>6087.2900000000009</v>
      </c>
      <c r="K35" s="122">
        <f>IFERROR(J35/J148, "NA")</f>
        <v>0.21692644095798025</v>
      </c>
      <c r="L35" s="121">
        <f>IFERROR(L13+L15+L16+L17+L18+L19+L20+L21+L22+L23+L24+L25+L26+L29+L30+L31+L32+L33, "NA")</f>
        <v>5582.5199999999995</v>
      </c>
      <c r="M35" s="122">
        <f>IFERROR(L35/L148, "NA")</f>
        <v>0.2110021593390374</v>
      </c>
      <c r="N35" s="121">
        <f>IFERROR(N13+N15+N16+N17+N18+N19+N20+N21+N22+N23+N24+N25+N26+N29+N30+N31+N32+N33, "NA")</f>
        <v>5077.8700000000008</v>
      </c>
      <c r="O35" s="122">
        <f>IFERROR(N35/N148, "NA")</f>
        <v>0.24638754968635493</v>
      </c>
      <c r="P35" s="121">
        <f>IFERROR(P13+P15+P16+P17+P18+P19+P20+P21+P22+P23+P24+P25+P26+P29+P30+P31+P32+P33, "NA")</f>
        <v>5746.9999999999991</v>
      </c>
      <c r="Q35" s="122">
        <f>IFERROR(P35/P148, "NA")</f>
        <v>0.23436203326905061</v>
      </c>
      <c r="R35" s="121">
        <f>IFERROR(R13+R15+R16+R17+R18+R19+R20+R21+R22+R23+R24+R25+R26+R29+R30+R31+R32+R33, "NA")</f>
        <v>5825.12</v>
      </c>
      <c r="S35" s="122">
        <f>IFERROR(R35/R148, "NA")</f>
        <v>0.21846925403944142</v>
      </c>
      <c r="T35" s="121">
        <f>IFERROR(T13+T15+T16+T17+T18+T19+T20+T21+T22+T23+T24+T25+T26+T29+T30+T31+T32+T33, "NA")</f>
        <v>5484.1699999999983</v>
      </c>
      <c r="U35" s="122">
        <f>IFERROR(T35/T148, "NA")</f>
        <v>0.22851470049001626</v>
      </c>
      <c r="V35" s="121">
        <f>IFERROR(V13+V15+V16+V17+V18+V19+V20+V21+V22+V23+V24+V25+V26+V29+V30+V31+V32+V33, "NA")</f>
        <v>6748.18</v>
      </c>
      <c r="W35" s="122">
        <f>IFERROR(V35/V148, "NA")</f>
        <v>0.19496440145531785</v>
      </c>
      <c r="X35" s="121">
        <f>IFERROR(X13+X15+X16+X17+X18+X19+X20+X21+X22+X23+X24+X25+X26+X29+X30+X31+X32+X33, "NA")</f>
        <v>5131.3100000000004</v>
      </c>
      <c r="Y35" s="122">
        <f>IFERROR(X35/X148, "NA")</f>
        <v>0.23533423376528081</v>
      </c>
      <c r="Z35" s="121">
        <f>IFERROR(Z13+Z15+Z16+Z17+Z18+Z19+Z20+Z21+Z22+Z23+Z24+Z25+Z26+Z29+Z30+Z31+Z32+Z33, "NA")</f>
        <v>17363.660000000007</v>
      </c>
      <c r="AA35" s="122">
        <f>IFERROR(Z35/Z148, "NA")</f>
        <v>0.21592316546275922</v>
      </c>
      <c r="AB35" s="121">
        <f t="shared" si="6"/>
        <v>5797.1949999999997</v>
      </c>
      <c r="AC35" s="122">
        <f>IFERROR(AB35/AB148, "NA")</f>
        <v>0.21655715588620986</v>
      </c>
      <c r="AD35" s="123">
        <f t="shared" si="7"/>
        <v>-665.88499999999931</v>
      </c>
      <c r="AE35" s="124">
        <f>IFERROR(AD35/AD148, "NA")</f>
        <v>0.13410325115573241</v>
      </c>
      <c r="AF35" s="123">
        <f t="shared" si="8"/>
        <v>-0.11486330889335263</v>
      </c>
      <c r="AG35" s="121">
        <f t="shared" si="9"/>
        <v>5710.4324999999999</v>
      </c>
      <c r="AH35" s="122">
        <f>IFERROR(AG35/AG148, "NA")</f>
        <v>0.22098219921971329</v>
      </c>
      <c r="AI35" s="123">
        <f t="shared" si="10"/>
        <v>-579.12249999999949</v>
      </c>
      <c r="AJ35" s="124">
        <f>IFERROR(AI35/AI148, "NA")</f>
        <v>0.14346105230823719</v>
      </c>
      <c r="AK35" s="123">
        <f t="shared" si="11"/>
        <v>-0.10141482278268757</v>
      </c>
      <c r="AL35" s="124">
        <f>IFERROR(AK35/AK148, "NA")</f>
        <v>0.64919732365229965</v>
      </c>
    </row>
    <row r="36" spans="1:38" ht="16.5" customHeight="1" x14ac:dyDescent="0.25">
      <c r="A36" s="4" t="s">
        <v>41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42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43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44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45</v>
      </c>
      <c r="B40" s="115">
        <v>538.86</v>
      </c>
      <c r="C40" s="116">
        <f>IFERROR(B40/B148, "NA")</f>
        <v>2.0822280295884583E-2</v>
      </c>
      <c r="D40" s="115">
        <v>1029.03</v>
      </c>
      <c r="E40" s="116">
        <f>IFERROR(D40/D148, "NA")</f>
        <v>4.0045173062876097E-2</v>
      </c>
      <c r="F40" s="115">
        <v>636.66</v>
      </c>
      <c r="G40" s="116">
        <f>IFERROR(F40/F148, "NA")</f>
        <v>2.5300137615645025E-2</v>
      </c>
      <c r="H40" s="115">
        <v>845.14</v>
      </c>
      <c r="I40" s="116">
        <f>IFERROR(H40/H148, "NA")</f>
        <v>2.9515756358282179E-2</v>
      </c>
      <c r="J40" s="115">
        <v>745.4</v>
      </c>
      <c r="K40" s="116">
        <f>IFERROR(J40/J148, "NA")</f>
        <v>2.6563046789306644E-2</v>
      </c>
      <c r="L40" s="115">
        <v>628.85</v>
      </c>
      <c r="M40" s="116">
        <f>IFERROR(L40/L148, "NA")</f>
        <v>2.3768604125082162E-2</v>
      </c>
      <c r="N40" s="115">
        <v>504.33</v>
      </c>
      <c r="O40" s="116">
        <f>IFERROR(N40/N148, "NA")</f>
        <v>2.4471014999068383E-2</v>
      </c>
      <c r="P40" s="115">
        <v>680.87</v>
      </c>
      <c r="Q40" s="116">
        <f>IFERROR(P40/P148, "NA")</f>
        <v>2.7765804348686012E-2</v>
      </c>
      <c r="R40" s="115">
        <v>878.65</v>
      </c>
      <c r="S40" s="116">
        <f>IFERROR(R40/R148, "NA")</f>
        <v>3.2953485947371935E-2</v>
      </c>
      <c r="T40" s="115">
        <v>681.34</v>
      </c>
      <c r="U40" s="116">
        <f>IFERROR(T40/T148, "NA")</f>
        <v>2.8390113003766794E-2</v>
      </c>
      <c r="V40" s="115">
        <v>736.15</v>
      </c>
      <c r="W40" s="116">
        <f>IFERROR(V40/V148, "NA")</f>
        <v>2.1268407797559077E-2</v>
      </c>
      <c r="X40" s="115">
        <v>537.76</v>
      </c>
      <c r="Y40" s="116">
        <f>IFERROR(X40/X148, "NA")</f>
        <v>2.4662968627819679E-2</v>
      </c>
      <c r="Z40" s="115">
        <v>1955.25</v>
      </c>
      <c r="AA40" s="116">
        <f>IFERROR(Z40/Z148, "NA")</f>
        <v>2.4314215394165731E-2</v>
      </c>
      <c r="AB40" s="117">
        <f t="shared" si="12"/>
        <v>708.47499999999991</v>
      </c>
      <c r="AC40" s="116">
        <f>IFERROR(AB40/AB148, "NA")</f>
        <v>2.6465442514264661E-2</v>
      </c>
      <c r="AD40" s="118">
        <f t="shared" si="13"/>
        <v>-170.71499999999992</v>
      </c>
      <c r="AE40" s="119">
        <f>IFERROR(AD40/AD148, "NA")</f>
        <v>3.4380465877818046E-2</v>
      </c>
      <c r="AF40" s="118">
        <f t="shared" si="14"/>
        <v>-0.24096121952080163</v>
      </c>
      <c r="AG40" s="117">
        <f t="shared" si="15"/>
        <v>674.16874999999993</v>
      </c>
      <c r="AH40" s="116">
        <f>IFERROR(AG40/AG148, "NA")</f>
        <v>2.6088968396037443E-2</v>
      </c>
      <c r="AI40" s="118">
        <f t="shared" si="16"/>
        <v>-136.40874999999994</v>
      </c>
      <c r="AJ40" s="119">
        <f>IFERROR(AI40/AI148, "NA")</f>
        <v>3.3791370252496247E-2</v>
      </c>
      <c r="AK40" s="118">
        <f t="shared" si="17"/>
        <v>-0.20233621033309532</v>
      </c>
      <c r="AL40" s="119">
        <f>IFERROR(AK40/AK148, "NA")</f>
        <v>1.2952359686873895</v>
      </c>
    </row>
    <row r="41" spans="1:38" ht="16.5" customHeight="1" x14ac:dyDescent="0.25">
      <c r="A41" s="7" t="s">
        <v>46</v>
      </c>
      <c r="B41" s="115">
        <v>341.4</v>
      </c>
      <c r="C41" s="116">
        <f>IFERROR(B41/B148, "NA")</f>
        <v>1.3192158432644834E-2</v>
      </c>
      <c r="D41" s="115">
        <v>102.98</v>
      </c>
      <c r="E41" s="116">
        <f>IFERROR(D41/D148, "NA")</f>
        <v>4.0075137965025123E-3</v>
      </c>
      <c r="F41" s="115">
        <v>240.27</v>
      </c>
      <c r="G41" s="116">
        <f>IFERROR(F41/F148, "NA")</f>
        <v>9.5480540082791918E-3</v>
      </c>
      <c r="H41" s="115">
        <v>298.58</v>
      </c>
      <c r="I41" s="116">
        <f>IFERROR(H41/H148, "NA")</f>
        <v>1.0427638655673489E-2</v>
      </c>
      <c r="J41" s="115">
        <v>282.13</v>
      </c>
      <c r="K41" s="116">
        <f>IFERROR(J41/J148, "NA")</f>
        <v>1.0053974229497026E-2</v>
      </c>
      <c r="L41" s="115">
        <v>268.93</v>
      </c>
      <c r="M41" s="116">
        <f>IFERROR(L41/L148, "NA")</f>
        <v>1.0164730392555214E-2</v>
      </c>
      <c r="N41" s="115">
        <v>224.37</v>
      </c>
      <c r="O41" s="116">
        <f>IFERROR(N41/N148, "NA")</f>
        <v>1.0886843208496368E-2</v>
      </c>
      <c r="P41" s="115">
        <v>208.56</v>
      </c>
      <c r="Q41" s="116">
        <f>IFERROR(P41/P148, "NA")</f>
        <v>8.5050540557844445E-3</v>
      </c>
      <c r="R41" s="115">
        <v>366.58</v>
      </c>
      <c r="S41" s="116">
        <f>IFERROR(R41/R148, "NA")</f>
        <v>1.3748465121023847E-2</v>
      </c>
      <c r="T41" s="115">
        <v>200.61</v>
      </c>
      <c r="U41" s="116">
        <f>IFERROR(T41/T148, "NA")</f>
        <v>8.3590286342878108E-3</v>
      </c>
      <c r="V41" s="115">
        <v>12.16</v>
      </c>
      <c r="W41" s="116">
        <f>IFERROR(V41/V148, "NA")</f>
        <v>3.5131948491247492E-4</v>
      </c>
      <c r="X41" s="115">
        <v>358.59</v>
      </c>
      <c r="Y41" s="116">
        <f>IFERROR(X41/X148, "NA")</f>
        <v>1.6445800952562217E-2</v>
      </c>
      <c r="Z41" s="115">
        <v>571.36</v>
      </c>
      <c r="AA41" s="116">
        <f>IFERROR(Z41/Z148, "NA")</f>
        <v>7.1050607889582068E-3</v>
      </c>
      <c r="AB41" s="117">
        <f t="shared" si="12"/>
        <v>234.48500000000001</v>
      </c>
      <c r="AC41" s="116">
        <f>IFERROR(AB41/AB148, "NA")</f>
        <v>8.7593059571013099E-3</v>
      </c>
      <c r="AD41" s="118">
        <f t="shared" si="13"/>
        <v>124.10499999999996</v>
      </c>
      <c r="AE41" s="119">
        <f>IFERROR(AD41/AD148, "NA")</f>
        <v>-2.4993631009381772E-2</v>
      </c>
      <c r="AF41" s="118">
        <f t="shared" si="14"/>
        <v>0.52926626436659041</v>
      </c>
      <c r="AG41" s="117">
        <f t="shared" si="15"/>
        <v>240.24124999999998</v>
      </c>
      <c r="AH41" s="116">
        <f>IFERROR(AG41/AG148, "NA")</f>
        <v>9.2968509422522629E-3</v>
      </c>
      <c r="AI41" s="118">
        <f t="shared" si="16"/>
        <v>118.34875</v>
      </c>
      <c r="AJ41" s="119">
        <f>IFERROR(AI41/AI148, "NA")</f>
        <v>-2.9317521274625835E-2</v>
      </c>
      <c r="AK41" s="118">
        <f t="shared" si="17"/>
        <v>0.49262460131222263</v>
      </c>
      <c r="AL41" s="119">
        <f>IFERROR(AK41/AK148, "NA")</f>
        <v>-3.1534894403204605</v>
      </c>
    </row>
    <row r="42" spans="1:38" ht="16.5" customHeight="1" x14ac:dyDescent="0.25">
      <c r="A42" s="7" t="s">
        <v>47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77.14</v>
      </c>
      <c r="S42" s="116">
        <f>IFERROR(R42/R148, "NA")</f>
        <v>2.8931109155867192E-3</v>
      </c>
      <c r="T42" s="115">
        <v>0</v>
      </c>
      <c r="U42" s="116">
        <f>IFERROR(T42/T148, "NA")</f>
        <v>0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7.2040094412307285E-4</v>
      </c>
      <c r="AD42" s="118">
        <f t="shared" si="13"/>
        <v>-19.285</v>
      </c>
      <c r="AE42" s="119">
        <f>IFERROR(AD42/AD148, "NA")</f>
        <v>3.883825583303877E-3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3.7314526631320583E-4</v>
      </c>
      <c r="AI42" s="118">
        <f t="shared" si="16"/>
        <v>-9.6425000000000001</v>
      </c>
      <c r="AJ42" s="119">
        <f>IFERROR(AI42/AI148, "NA")</f>
        <v>2.3886538631846944E-3</v>
      </c>
      <c r="AK42" s="118">
        <f t="shared" si="17"/>
        <v>-1</v>
      </c>
      <c r="AL42" s="119">
        <f>IFERROR(AK42/AK148, "NA")</f>
        <v>6.4014047043537659</v>
      </c>
    </row>
    <row r="43" spans="1:38" ht="16.5" hidden="1" customHeight="1" x14ac:dyDescent="0.25">
      <c r="A43" s="7" t="s">
        <v>48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49</v>
      </c>
      <c r="B44" s="121">
        <f>IFERROR(B39+B40+B41+B42+B43, "NA")</f>
        <v>880.26</v>
      </c>
      <c r="C44" s="122">
        <f>IFERROR(B44/B148, "NA")</f>
        <v>3.4014438728529418E-2</v>
      </c>
      <c r="D44" s="121">
        <f>IFERROR(D39+D40+D41+D42+D43, "NA")</f>
        <v>1132.01</v>
      </c>
      <c r="E44" s="122">
        <f>IFERROR(D44/D148, "NA")</f>
        <v>4.4052686859378604E-2</v>
      </c>
      <c r="F44" s="121">
        <f>IFERROR(F39+F40+F41+F42+F43, "NA")</f>
        <v>876.93</v>
      </c>
      <c r="G44" s="122">
        <f>IFERROR(F44/F148, "NA")</f>
        <v>3.4848191623924218E-2</v>
      </c>
      <c r="H44" s="121">
        <f>IFERROR(H39+H40+H41+H42+H43, "NA")</f>
        <v>1143.72</v>
      </c>
      <c r="I44" s="122">
        <f>IFERROR(H44/H148, "NA")</f>
        <v>3.994339501395567E-2</v>
      </c>
      <c r="J44" s="121">
        <f>IFERROR(J39+J40+J41+J42+J43, "NA")</f>
        <v>1027.53</v>
      </c>
      <c r="K44" s="122">
        <f>IFERROR(J44/J148, "NA")</f>
        <v>3.6617021018803673E-2</v>
      </c>
      <c r="L44" s="121">
        <f>IFERROR(L39+L40+L41+L42+L43, "NA")</f>
        <v>897.78</v>
      </c>
      <c r="M44" s="122">
        <f>IFERROR(L44/L148, "NA")</f>
        <v>3.3933334517637373E-2</v>
      </c>
      <c r="N44" s="121">
        <f>IFERROR(N39+N40+N41+N42+N43, "NA")</f>
        <v>728.7</v>
      </c>
      <c r="O44" s="122">
        <f>IFERROR(N44/N148, "NA")</f>
        <v>3.5357858207564749E-2</v>
      </c>
      <c r="P44" s="121">
        <f>IFERROR(P39+P40+P41+P42+P43, "NA")</f>
        <v>889.43000000000006</v>
      </c>
      <c r="Q44" s="122">
        <f>IFERROR(P44/P148, "NA")</f>
        <v>3.627085840447046E-2</v>
      </c>
      <c r="R44" s="121">
        <f>IFERROR(R39+R40+R41+R42+R43, "NA")</f>
        <v>1322.3700000000001</v>
      </c>
      <c r="S44" s="122">
        <f>IFERROR(R44/R148, "NA")</f>
        <v>4.9595061983982509E-2</v>
      </c>
      <c r="T44" s="121">
        <f>IFERROR(T39+T40+T41+T42+T43, "NA")</f>
        <v>881.95</v>
      </c>
      <c r="U44" s="122">
        <f>IFERROR(T44/T148, "NA")</f>
        <v>3.6749141638054601E-2</v>
      </c>
      <c r="V44" s="121">
        <f>IFERROR(V39+V40+V41+V42+V43, "NA")</f>
        <v>748.31</v>
      </c>
      <c r="W44" s="122">
        <f>IFERROR(V44/V148, "NA")</f>
        <v>2.1619727282471551E-2</v>
      </c>
      <c r="X44" s="121">
        <f>IFERROR(X39+X40+X41+X42+X43, "NA")</f>
        <v>896.34999999999991</v>
      </c>
      <c r="Y44" s="122">
        <f>IFERROR(X44/X148, "NA")</f>
        <v>4.1108769580381892E-2</v>
      </c>
      <c r="Z44" s="121">
        <f>IFERROR(Z39+Z40+Z41+Z42+Z43, "NA")</f>
        <v>2526.61</v>
      </c>
      <c r="AA44" s="122">
        <f>IFERROR(Z44/Z148, "NA")</f>
        <v>3.1419276183123943E-2</v>
      </c>
      <c r="AB44" s="121">
        <f t="shared" si="12"/>
        <v>962.245</v>
      </c>
      <c r="AC44" s="122">
        <f>IFERROR(AB44/AB148, "NA")</f>
        <v>3.5945149415489049E-2</v>
      </c>
      <c r="AD44" s="123">
        <f t="shared" si="13"/>
        <v>-65.895000000000095</v>
      </c>
      <c r="AE44" s="124">
        <f>IFERROR(AD44/AD148, "NA")</f>
        <v>1.3270660451740178E-2</v>
      </c>
      <c r="AF44" s="123">
        <f t="shared" si="14"/>
        <v>-6.8480480542897182E-2</v>
      </c>
      <c r="AG44" s="121">
        <f t="shared" si="15"/>
        <v>924.05250000000001</v>
      </c>
      <c r="AH44" s="122">
        <f>IFERROR(AG44/AG148, "NA")</f>
        <v>3.5758964604602914E-2</v>
      </c>
      <c r="AI44" s="123">
        <f t="shared" si="16"/>
        <v>-27.7025000000001</v>
      </c>
      <c r="AJ44" s="124">
        <f>IFERROR(AI44/AI148, "NA")</f>
        <v>6.8625028410551452E-3</v>
      </c>
      <c r="AK44" s="123">
        <f t="shared" si="17"/>
        <v>-2.9979357233490628E-2</v>
      </c>
      <c r="AL44" s="124">
        <f>IFERROR(AK44/AK148, "NA")</f>
        <v>0.19190999842796902</v>
      </c>
    </row>
    <row r="45" spans="1:38" ht="16.5" customHeight="1" x14ac:dyDescent="0.25">
      <c r="A45" s="6" t="s">
        <v>50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51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52</v>
      </c>
      <c r="B47" s="115">
        <v>93.55</v>
      </c>
      <c r="C47" s="116">
        <f>IFERROR(B47/B148, "NA")</f>
        <v>3.6148987152136037E-3</v>
      </c>
      <c r="D47" s="115">
        <v>135.35</v>
      </c>
      <c r="E47" s="116">
        <f>IFERROR(D47/D148, "NA")</f>
        <v>5.2672071504817923E-3</v>
      </c>
      <c r="F47" s="115">
        <v>114.13</v>
      </c>
      <c r="G47" s="116">
        <f>IFERROR(F47/F148, "NA")</f>
        <v>4.535395196923895E-3</v>
      </c>
      <c r="H47" s="115">
        <v>113.14</v>
      </c>
      <c r="I47" s="116">
        <f>IFERROR(H47/H148, "NA")</f>
        <v>3.9513130065741133E-3</v>
      </c>
      <c r="J47" s="115">
        <v>138.27000000000001</v>
      </c>
      <c r="K47" s="116">
        <f>IFERROR(J47/J148, "NA")</f>
        <v>4.9273845982793531E-3</v>
      </c>
      <c r="L47" s="115">
        <v>62.77</v>
      </c>
      <c r="M47" s="116">
        <f>IFERROR(L47/L148, "NA")</f>
        <v>2.3725137646997017E-3</v>
      </c>
      <c r="N47" s="115">
        <v>53.26</v>
      </c>
      <c r="O47" s="116">
        <f>IFERROR(N47/N148, "NA")</f>
        <v>2.5842727159803738E-3</v>
      </c>
      <c r="P47" s="115">
        <v>7.09</v>
      </c>
      <c r="Q47" s="116">
        <f>IFERROR(P47/P148, "NA")</f>
        <v>2.8912942681008684E-4</v>
      </c>
      <c r="R47" s="115">
        <v>48.68</v>
      </c>
      <c r="S47" s="116">
        <f>IFERROR(R47/R148, "NA")</f>
        <v>1.8257277595380025E-3</v>
      </c>
      <c r="T47" s="115">
        <v>45.02</v>
      </c>
      <c r="U47" s="116">
        <f>IFERROR(T47/T148, "NA")</f>
        <v>1.8758958631954399E-3</v>
      </c>
      <c r="V47" s="115">
        <v>53.76</v>
      </c>
      <c r="W47" s="116">
        <f>IFERROR(V47/V148, "NA")</f>
        <v>1.5532019332972573E-3</v>
      </c>
      <c r="X47" s="115">
        <v>31.25</v>
      </c>
      <c r="Y47" s="116">
        <f>IFERROR(X47/X148, "NA")</f>
        <v>1.4332002559122377E-3</v>
      </c>
      <c r="Z47" s="115">
        <v>130.03</v>
      </c>
      <c r="AA47" s="116">
        <f>IFERROR(Z47/Z148, "NA")</f>
        <v>1.6169683813851785E-3</v>
      </c>
      <c r="AB47" s="117">
        <f t="shared" si="18"/>
        <v>44.677500000000002</v>
      </c>
      <c r="AC47" s="116">
        <f>IFERROR(AB47/AB148, "NA")</f>
        <v>1.6689506445972824E-3</v>
      </c>
      <c r="AD47" s="118">
        <f t="shared" si="19"/>
        <v>-13.427500000000002</v>
      </c>
      <c r="AE47" s="119">
        <f>IFERROR(AD47/AD148, "NA")</f>
        <v>2.704177755759026E-3</v>
      </c>
      <c r="AF47" s="118">
        <f t="shared" si="20"/>
        <v>-0.30054277880364838</v>
      </c>
      <c r="AG47" s="117">
        <f t="shared" si="21"/>
        <v>55.012499999999996</v>
      </c>
      <c r="AH47" s="116">
        <f>IFERROR(AG47/AG148, "NA")</f>
        <v>2.1288725914498556E-3</v>
      </c>
      <c r="AI47" s="118">
        <f t="shared" si="22"/>
        <v>-23.762499999999996</v>
      </c>
      <c r="AJ47" s="119">
        <f>IFERROR(AI47/AI148, "NA")</f>
        <v>5.8864804173115164E-3</v>
      </c>
      <c r="AK47" s="118">
        <f t="shared" si="23"/>
        <v>-0.43194728470802085</v>
      </c>
      <c r="AL47" s="119">
        <f>IFERROR(AK47/AK148, "NA")</f>
        <v>2.7650693803627604</v>
      </c>
    </row>
    <row r="48" spans="1:38" ht="16.5" hidden="1" customHeight="1" x14ac:dyDescent="0.25">
      <c r="A48" s="7" t="s">
        <v>53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54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55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56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57</v>
      </c>
      <c r="B52" s="121">
        <f>IFERROR(B46+B47+B48+B49+B50+B51, "NA")</f>
        <v>93.55</v>
      </c>
      <c r="C52" s="122">
        <f>IFERROR(B52/B148, "NA")</f>
        <v>3.6148987152136037E-3</v>
      </c>
      <c r="D52" s="121">
        <f>IFERROR(D46+D47+D48+D49+D50+D51, "NA")</f>
        <v>135.35</v>
      </c>
      <c r="E52" s="122">
        <f>IFERROR(D52/D148, "NA")</f>
        <v>5.2672071504817923E-3</v>
      </c>
      <c r="F52" s="121">
        <f>IFERROR(F46+F47+F48+F49+F50+F51, "NA")</f>
        <v>114.13</v>
      </c>
      <c r="G52" s="122">
        <f>IFERROR(F52/F148, "NA")</f>
        <v>4.535395196923895E-3</v>
      </c>
      <c r="H52" s="121">
        <f>IFERROR(H46+H47+H48+H49+H50+H51, "NA")</f>
        <v>113.14</v>
      </c>
      <c r="I52" s="122">
        <f>IFERROR(H52/H148, "NA")</f>
        <v>3.9513130065741133E-3</v>
      </c>
      <c r="J52" s="121">
        <f>IFERROR(J46+J47+J48+J49+J50+J51, "NA")</f>
        <v>138.27000000000001</v>
      </c>
      <c r="K52" s="122">
        <f>IFERROR(J52/J148, "NA")</f>
        <v>4.9273845982793531E-3</v>
      </c>
      <c r="L52" s="121">
        <f>IFERROR(L46+L47+L48+L49+L50+L51, "NA")</f>
        <v>62.77</v>
      </c>
      <c r="M52" s="122">
        <f>IFERROR(L52/L148, "NA")</f>
        <v>2.3725137646997017E-3</v>
      </c>
      <c r="N52" s="121">
        <f>IFERROR(N46+N47+N48+N49+N50+N51, "NA")</f>
        <v>53.26</v>
      </c>
      <c r="O52" s="122">
        <f>IFERROR(N52/N148, "NA")</f>
        <v>2.5842727159803738E-3</v>
      </c>
      <c r="P52" s="121">
        <f>IFERROR(P46+P47+P48+P49+P50+P51, "NA")</f>
        <v>7.09</v>
      </c>
      <c r="Q52" s="122">
        <f>IFERROR(P52/P148, "NA")</f>
        <v>2.8912942681008684E-4</v>
      </c>
      <c r="R52" s="121">
        <f>IFERROR(R46+R47+R48+R49+R50+R51, "NA")</f>
        <v>48.68</v>
      </c>
      <c r="S52" s="122">
        <f>IFERROR(R52/R148, "NA")</f>
        <v>1.8257277595380025E-3</v>
      </c>
      <c r="T52" s="121">
        <f>IFERROR(T46+T47+T48+T49+T50+T51, "NA")</f>
        <v>45.02</v>
      </c>
      <c r="U52" s="122">
        <f>IFERROR(T52/T148, "NA")</f>
        <v>1.8758958631954399E-3</v>
      </c>
      <c r="V52" s="121">
        <f>IFERROR(V46+V47+V48+V49+V50+V51, "NA")</f>
        <v>53.76</v>
      </c>
      <c r="W52" s="122">
        <f>IFERROR(V52/V148, "NA")</f>
        <v>1.5532019332972573E-3</v>
      </c>
      <c r="X52" s="121">
        <f>IFERROR(X46+X47+X48+X49+X50+X51, "NA")</f>
        <v>31.25</v>
      </c>
      <c r="Y52" s="122">
        <f>IFERROR(X52/X148, "NA")</f>
        <v>1.4332002559122377E-3</v>
      </c>
      <c r="Z52" s="121">
        <f>IFERROR(Z46+Z47+Z48+Z49+Z50+Z51, "NA")</f>
        <v>130.03</v>
      </c>
      <c r="AA52" s="122">
        <f>IFERROR(Z52/Z148, "NA")</f>
        <v>1.6169683813851785E-3</v>
      </c>
      <c r="AB52" s="121">
        <f t="shared" si="18"/>
        <v>44.677500000000002</v>
      </c>
      <c r="AC52" s="122">
        <f>IFERROR(AB52/AB148, "NA")</f>
        <v>1.6689506445972824E-3</v>
      </c>
      <c r="AD52" s="123">
        <f t="shared" si="19"/>
        <v>-13.427500000000002</v>
      </c>
      <c r="AE52" s="124">
        <f>IFERROR(AD52/AD148, "NA")</f>
        <v>2.704177755759026E-3</v>
      </c>
      <c r="AF52" s="123">
        <f t="shared" si="20"/>
        <v>-0.30054277880364838</v>
      </c>
      <c r="AG52" s="121">
        <f t="shared" si="21"/>
        <v>55.012499999999996</v>
      </c>
      <c r="AH52" s="122">
        <f>IFERROR(AG52/AG148, "NA")</f>
        <v>2.1288725914498556E-3</v>
      </c>
      <c r="AI52" s="123">
        <f t="shared" si="22"/>
        <v>-23.762499999999996</v>
      </c>
      <c r="AJ52" s="124">
        <f>IFERROR(AI52/AI148, "NA")</f>
        <v>5.8864804173115164E-3</v>
      </c>
      <c r="AK52" s="123">
        <f t="shared" si="23"/>
        <v>-0.43194728470802085</v>
      </c>
      <c r="AL52" s="124">
        <f>IFERROR(AK52/AK148, "NA")</f>
        <v>2.7650693803627604</v>
      </c>
    </row>
    <row r="53" spans="1:38" s="164" customFormat="1" ht="16.5" customHeight="1" x14ac:dyDescent="0.25">
      <c r="A53" s="158" t="s">
        <v>58</v>
      </c>
      <c r="B53" s="159">
        <v>19.510000000000002</v>
      </c>
      <c r="C53" s="160">
        <f>IFERROR(B53/B148, "NA")</f>
        <v>7.5389282665758867E-4</v>
      </c>
      <c r="D53" s="159">
        <v>27.95</v>
      </c>
      <c r="E53" s="160">
        <f>IFERROR(D53/D148, "NA")</f>
        <v>1.0876870325523908E-3</v>
      </c>
      <c r="F53" s="159">
        <v>27.83</v>
      </c>
      <c r="G53" s="160">
        <f>IFERROR(F53/F148, "NA")</f>
        <v>1.1059322555891701E-3</v>
      </c>
      <c r="H53" s="159">
        <v>19.600000000000001</v>
      </c>
      <c r="I53" s="160">
        <f>IFERROR(H53/H148, "NA")</f>
        <v>6.8451241761404119E-4</v>
      </c>
      <c r="J53" s="159">
        <v>14.28</v>
      </c>
      <c r="K53" s="160">
        <f>IFERROR(J53/J148, "NA")</f>
        <v>5.0888155104816053E-4</v>
      </c>
      <c r="L53" s="159">
        <v>54.53</v>
      </c>
      <c r="M53" s="160">
        <f>IFERROR(L53/L148, "NA")</f>
        <v>2.0610669999852594E-3</v>
      </c>
      <c r="N53" s="159">
        <v>21.2</v>
      </c>
      <c r="O53" s="160">
        <f>IFERROR(N53/N148, "NA")</f>
        <v>1.0286628159741631E-3</v>
      </c>
      <c r="P53" s="159">
        <v>20.41</v>
      </c>
      <c r="Q53" s="160">
        <f>IFERROR(P53/P148, "NA")</f>
        <v>8.3231757421634305E-4</v>
      </c>
      <c r="R53" s="159">
        <v>26.37</v>
      </c>
      <c r="S53" s="160">
        <f>IFERROR(R53/R148, "NA")</f>
        <v>9.8899837754759913E-4</v>
      </c>
      <c r="T53" s="159">
        <v>26.55</v>
      </c>
      <c r="U53" s="160">
        <f>IFERROR(T53/T148, "NA")</f>
        <v>1.1062868762292076E-3</v>
      </c>
      <c r="V53" s="159">
        <v>20.7</v>
      </c>
      <c r="W53" s="160">
        <f>IFERROR(V53/V148, "NA")</f>
        <v>5.9805208369146626E-4</v>
      </c>
      <c r="X53" s="159">
        <v>41.8</v>
      </c>
      <c r="Y53" s="160">
        <f>IFERROR(X53/X148, "NA")</f>
        <v>1.9170486623082091E-3</v>
      </c>
      <c r="Z53" s="159">
        <v>89.05</v>
      </c>
      <c r="AA53" s="160">
        <f>IFERROR(Z53/Z148, "NA")</f>
        <v>1.1073677948346546E-3</v>
      </c>
      <c r="AB53" s="161">
        <f t="shared" si="18"/>
        <v>28.855</v>
      </c>
      <c r="AC53" s="160">
        <f>IFERROR(AB53/AB148, "NA")</f>
        <v>1.0778931419585828E-3</v>
      </c>
      <c r="AD53" s="162">
        <f t="shared" si="19"/>
        <v>12.944999999999997</v>
      </c>
      <c r="AE53" s="163">
        <f>IFERROR(AD53/AD148, "NA")</f>
        <v>-2.6070065945485443E-3</v>
      </c>
      <c r="AF53" s="162">
        <f t="shared" si="20"/>
        <v>0.44862242245711303</v>
      </c>
      <c r="AG53" s="161">
        <f t="shared" si="21"/>
        <v>28.229999999999997</v>
      </c>
      <c r="AH53" s="160">
        <f>IFERROR(AG53/AG148, "NA")</f>
        <v>1.0924439583118277E-3</v>
      </c>
      <c r="AI53" s="162">
        <f t="shared" si="22"/>
        <v>13.57</v>
      </c>
      <c r="AJ53" s="163">
        <f>IFERROR(AI53/AI148, "NA")</f>
        <v>-3.361579769086472E-3</v>
      </c>
      <c r="AK53" s="162">
        <f t="shared" si="23"/>
        <v>0.48069429684732562</v>
      </c>
      <c r="AL53" s="163">
        <f>IFERROR(AK53/AK148, "NA")</f>
        <v>-3.0771187331944958</v>
      </c>
    </row>
    <row r="54" spans="1:38" ht="16.5" customHeight="1" x14ac:dyDescent="0.25">
      <c r="A54" s="5" t="s">
        <v>59</v>
      </c>
      <c r="B54" s="115">
        <v>31</v>
      </c>
      <c r="C54" s="116">
        <f>IFERROR(B54/B148, "NA")</f>
        <v>1.1978819900761275E-3</v>
      </c>
      <c r="D54" s="115">
        <v>34</v>
      </c>
      <c r="E54" s="116">
        <f>IFERROR(D54/D148, "NA")</f>
        <v>1.3231255494376133E-3</v>
      </c>
      <c r="F54" s="115">
        <v>31</v>
      </c>
      <c r="G54" s="116">
        <f>IFERROR(F54/F148, "NA")</f>
        <v>1.2319044169336786E-3</v>
      </c>
      <c r="H54" s="115">
        <v>43</v>
      </c>
      <c r="I54" s="116">
        <f>IFERROR(H54/H148, "NA")</f>
        <v>1.5017364263981514E-3</v>
      </c>
      <c r="J54" s="115">
        <v>36</v>
      </c>
      <c r="K54" s="116">
        <f>IFERROR(J54/J148, "NA")</f>
        <v>1.2828946665079679E-3</v>
      </c>
      <c r="L54" s="115">
        <v>34.75</v>
      </c>
      <c r="M54" s="116">
        <f>IFERROR(L54/L148, "NA")</f>
        <v>1.3134435769207365E-3</v>
      </c>
      <c r="N54" s="115">
        <v>31.75</v>
      </c>
      <c r="O54" s="116">
        <f>IFERROR(N54/N148, "NA")</f>
        <v>1.5405681324141358E-3</v>
      </c>
      <c r="P54" s="115">
        <v>45</v>
      </c>
      <c r="Q54" s="116">
        <f>IFERROR(P54/P148, "NA")</f>
        <v>1.8350950925887035E-3</v>
      </c>
      <c r="R54" s="115">
        <v>42.25</v>
      </c>
      <c r="S54" s="116">
        <f>IFERROR(R54/R148, "NA")</f>
        <v>1.5845726754412613E-3</v>
      </c>
      <c r="T54" s="115">
        <v>48</v>
      </c>
      <c r="U54" s="116">
        <f>IFERROR(T54/T148, "NA")</f>
        <v>2.0000666688889629E-3</v>
      </c>
      <c r="V54" s="115">
        <v>41</v>
      </c>
      <c r="W54" s="116">
        <f>IFERROR(V54/V148, "NA")</f>
        <v>1.1845476053792328E-3</v>
      </c>
      <c r="X54" s="115">
        <v>36.25</v>
      </c>
      <c r="Y54" s="116">
        <f>IFERROR(X54/X148, "NA")</f>
        <v>1.6625122968581959E-3</v>
      </c>
      <c r="Z54" s="115">
        <v>125.25</v>
      </c>
      <c r="AA54" s="116">
        <f>IFERROR(Z54/Z148, "NA")</f>
        <v>1.5575274149695732E-3</v>
      </c>
      <c r="AB54" s="117">
        <f t="shared" si="18"/>
        <v>41.875</v>
      </c>
      <c r="AC54" s="116">
        <f>IFERROR(AB54/AB148, "NA")</f>
        <v>1.5642618374463923E-3</v>
      </c>
      <c r="AD54" s="118">
        <f t="shared" si="19"/>
        <v>-5.625</v>
      </c>
      <c r="AE54" s="119">
        <f>IFERROR(AD54/AD148, "NA")</f>
        <v>1.1328244182568995E-3</v>
      </c>
      <c r="AF54" s="118">
        <f t="shared" si="20"/>
        <v>-0.13432835820895522</v>
      </c>
      <c r="AG54" s="117">
        <f t="shared" si="21"/>
        <v>39.375</v>
      </c>
      <c r="AH54" s="116">
        <f>IFERROR(AG54/AG148, "NA")</f>
        <v>1.523732938665541E-3</v>
      </c>
      <c r="AI54" s="118">
        <f t="shared" si="22"/>
        <v>-3.125</v>
      </c>
      <c r="AJ54" s="119">
        <f>IFERROR(AI54/AI148, "NA")</f>
        <v>7.7412946045653827E-4</v>
      </c>
      <c r="AK54" s="118">
        <f t="shared" si="23"/>
        <v>-7.9365079365079361E-2</v>
      </c>
      <c r="AL54" s="119">
        <f>IFERROR(AK54/AK148, "NA")</f>
        <v>0.50804799240902898</v>
      </c>
    </row>
    <row r="55" spans="1:38" ht="16.5" customHeight="1" x14ac:dyDescent="0.25">
      <c r="A55" s="5" t="s">
        <v>60</v>
      </c>
      <c r="B55" s="115">
        <v>-255.33</v>
      </c>
      <c r="C55" s="116">
        <f>IFERROR(B55/B148, "NA")</f>
        <v>-9.8662970492302462E-3</v>
      </c>
      <c r="D55" s="115">
        <v>-184.1</v>
      </c>
      <c r="E55" s="116">
        <f>IFERROR(D55/D148, "NA")</f>
        <v>-7.1643356956313121E-3</v>
      </c>
      <c r="F55" s="115">
        <v>-311.56</v>
      </c>
      <c r="G55" s="116">
        <f>IFERROR(F55/F148, "NA")</f>
        <v>-1.2381036778705062E-2</v>
      </c>
      <c r="H55" s="115">
        <v>-369.55</v>
      </c>
      <c r="I55" s="116">
        <f>IFERROR(H55/H148, "NA")</f>
        <v>-1.290620224128923E-2</v>
      </c>
      <c r="J55" s="115">
        <v>-335.54</v>
      </c>
      <c r="K55" s="116">
        <f>IFERROR(J55/J148, "NA")</f>
        <v>-1.1957291011113431E-2</v>
      </c>
      <c r="L55" s="115">
        <v>-370.21</v>
      </c>
      <c r="M55" s="116">
        <f>IFERROR(L55/L148, "NA")</f>
        <v>-1.3992804219045347E-2</v>
      </c>
      <c r="N55" s="115">
        <v>-285.99</v>
      </c>
      <c r="O55" s="116">
        <f>IFERROR(N55/N148, "NA")</f>
        <v>-1.3876758431153345E-2</v>
      </c>
      <c r="P55" s="115">
        <v>-409.34</v>
      </c>
      <c r="Q55" s="116">
        <f>IFERROR(P55/P148, "NA")</f>
        <v>-1.6692840560005775E-2</v>
      </c>
      <c r="R55" s="115">
        <v>-273.76</v>
      </c>
      <c r="S55" s="116">
        <f>IFERROR(R55/R148, "NA")</f>
        <v>-1.0267280843285199E-2</v>
      </c>
      <c r="T55" s="115">
        <v>0</v>
      </c>
      <c r="U55" s="116">
        <f>IFERROR(T55/T148, "NA")</f>
        <v>0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-68.44</v>
      </c>
      <c r="AC55" s="116">
        <f>IFERROR(AB55/AB148, "NA")</f>
        <v>-2.5566108693691005E-3</v>
      </c>
      <c r="AD55" s="118">
        <f t="shared" si="19"/>
        <v>68.44</v>
      </c>
      <c r="AE55" s="119">
        <f>IFERROR(AD55/AD148, "NA")</f>
        <v>-1.3783200566311502E-2</v>
      </c>
      <c r="AF55" s="118">
        <f t="shared" si="20"/>
        <v>-1</v>
      </c>
      <c r="AG55" s="117">
        <f t="shared" si="21"/>
        <v>-209.35499999999999</v>
      </c>
      <c r="AH55" s="116">
        <f>IFERROR(AG55/AG148, "NA")</f>
        <v>-8.1016154761733156E-3</v>
      </c>
      <c r="AI55" s="118">
        <f t="shared" si="22"/>
        <v>209.35499999999999</v>
      </c>
      <c r="AJ55" s="119">
        <f>IFERROR(AI55/AI148, "NA")</f>
        <v>-5.1861719422041139E-2</v>
      </c>
      <c r="AK55" s="118">
        <f t="shared" si="23"/>
        <v>-1</v>
      </c>
      <c r="AL55" s="119">
        <f>IFERROR(AK55/AK148, "NA")</f>
        <v>6.4014047043537659</v>
      </c>
    </row>
    <row r="56" spans="1:38" ht="16.5" customHeight="1" x14ac:dyDescent="0.25">
      <c r="A56" s="130" t="s">
        <v>61</v>
      </c>
      <c r="B56" s="121">
        <f>IFERROR(B37+B39+B40+B41+B42+B43+B46+B47+B48+B49+B50+B51+B53+B54+B55, "NA")</f>
        <v>768.9899999999999</v>
      </c>
      <c r="C56" s="122">
        <f>IFERROR(B56/B148, "NA")</f>
        <v>2.9714815211246488E-2</v>
      </c>
      <c r="D56" s="121">
        <f>IFERROR(D37+D39+D40+D41+D42+D43+D46+D47+D48+D49+D50+D51+D53+D54+D55, "NA")</f>
        <v>1145.21</v>
      </c>
      <c r="E56" s="122">
        <f>IFERROR(D56/D148, "NA")</f>
        <v>4.4566370896219093E-2</v>
      </c>
      <c r="F56" s="121">
        <f>IFERROR(F37+F39+F40+F41+F42+F43+F46+F47+F48+F49+F50+F51+F53+F54+F55, "NA")</f>
        <v>738.32999999999993</v>
      </c>
      <c r="G56" s="122">
        <f>IFERROR(F56/F148, "NA")</f>
        <v>2.9340386714665899E-2</v>
      </c>
      <c r="H56" s="121">
        <f>IFERROR(H37+H39+H40+H41+H42+H43+H46+H47+H48+H49+H50+H51+H53+H54+H55, "NA")</f>
        <v>949.91000000000008</v>
      </c>
      <c r="I56" s="122">
        <f>IFERROR(H56/H148, "NA")</f>
        <v>3.3174754623252749E-2</v>
      </c>
      <c r="J56" s="121">
        <f>IFERROR(J37+J39+J40+J41+J42+J43+J46+J47+J48+J49+J50+J51+J53+J54+J55, "NA")</f>
        <v>880.54</v>
      </c>
      <c r="K56" s="122">
        <f>IFERROR(J56/J148, "NA")</f>
        <v>3.1378890823525719E-2</v>
      </c>
      <c r="L56" s="121">
        <f>IFERROR(L37+L39+L40+L41+L42+L43+L46+L47+L48+L49+L50+L51+L53+L54+L55, "NA")</f>
        <v>679.61999999999989</v>
      </c>
      <c r="M56" s="122">
        <f>IFERROR(L56/L148, "NA")</f>
        <v>2.5687554640197723E-2</v>
      </c>
      <c r="N56" s="121">
        <f>IFERROR(N37+N39+N40+N41+N42+N43+N46+N47+N48+N49+N50+N51+N53+N54+N55, "NA")</f>
        <v>548.92000000000007</v>
      </c>
      <c r="O56" s="122">
        <f>IFERROR(N56/N148, "NA")</f>
        <v>2.6634603440780082E-2</v>
      </c>
      <c r="P56" s="121">
        <f>IFERROR(P37+P39+P40+P41+P42+P43+P46+P47+P48+P49+P50+P51+P53+P54+P55, "NA")</f>
        <v>552.59000000000015</v>
      </c>
      <c r="Q56" s="122">
        <f>IFERROR(P56/P148, "NA")</f>
        <v>2.2534559938079821E-2</v>
      </c>
      <c r="R56" s="121">
        <f>IFERROR(R37+R39+R40+R41+R42+R43+R46+R47+R48+R49+R50+R51+R53+R54+R55, "NA")</f>
        <v>1165.9100000000001</v>
      </c>
      <c r="S56" s="122">
        <f>IFERROR(R56/R148, "NA")</f>
        <v>4.3727079953224168E-2</v>
      </c>
      <c r="T56" s="121">
        <f>IFERROR(T37+T39+T40+T41+T42+T43+T46+T47+T48+T49+T50+T51+T53+T54+T55, "NA")</f>
        <v>1001.52</v>
      </c>
      <c r="U56" s="122">
        <f>IFERROR(T56/T148, "NA")</f>
        <v>4.1731391046368208E-2</v>
      </c>
      <c r="V56" s="121">
        <f>IFERROR(V37+V39+V40+V41+V42+V43+V46+V47+V48+V49+V50+V51+V53+V54+V55, "NA")</f>
        <v>863.77</v>
      </c>
      <c r="W56" s="122">
        <f>IFERROR(V56/V148, "NA")</f>
        <v>2.495552890483951E-2</v>
      </c>
      <c r="X56" s="121">
        <f>IFERROR(X37+X39+X40+X41+X42+X43+X46+X47+X48+X49+X50+X51+X53+X54+X55, "NA")</f>
        <v>1005.6499999999999</v>
      </c>
      <c r="Y56" s="122">
        <f>IFERROR(X56/X148, "NA")</f>
        <v>4.6121530795460539E-2</v>
      </c>
      <c r="Z56" s="121">
        <f>IFERROR(Z37+Z39+Z40+Z41+Z42+Z43+Z46+Z47+Z48+Z49+Z50+Z51+Z53+Z54+Z55, "NA")</f>
        <v>2870.9400000000005</v>
      </c>
      <c r="AA56" s="122">
        <f>IFERROR(Z56/Z148, "NA")</f>
        <v>3.5701139774313349E-2</v>
      </c>
      <c r="AB56" s="121">
        <f t="shared" si="18"/>
        <v>1009.2125000000001</v>
      </c>
      <c r="AC56" s="122">
        <f>IFERROR(AB56/AB148, "NA")</f>
        <v>3.7699644170122205E-2</v>
      </c>
      <c r="AD56" s="123">
        <f t="shared" si="19"/>
        <v>-3.5625000000002274</v>
      </c>
      <c r="AE56" s="124">
        <f>IFERROR(AD56/AD148, "NA")</f>
        <v>7.1745546489608222E-4</v>
      </c>
      <c r="AF56" s="123">
        <f t="shared" si="20"/>
        <v>-3.5299800587093671E-3</v>
      </c>
      <c r="AG56" s="121">
        <f t="shared" si="21"/>
        <v>837.31500000000005</v>
      </c>
      <c r="AH56" s="122">
        <f>IFERROR(AG56/AG148, "NA")</f>
        <v>3.2402398616856828E-2</v>
      </c>
      <c r="AI56" s="123">
        <f t="shared" si="22"/>
        <v>168.33499999999981</v>
      </c>
      <c r="AJ56" s="124">
        <f>IFERROR(AI56/AI148, "NA")</f>
        <v>-4.170018647230439E-2</v>
      </c>
      <c r="AK56" s="123">
        <f t="shared" si="23"/>
        <v>0.20104142407576575</v>
      </c>
      <c r="AL56" s="124">
        <f>IFERROR(AK56/AK148, "NA")</f>
        <v>-1.2869475178485874</v>
      </c>
    </row>
    <row r="57" spans="1:38" ht="16.5" customHeight="1" x14ac:dyDescent="0.25">
      <c r="A57" s="120" t="s">
        <v>62</v>
      </c>
      <c r="B57" s="131">
        <f>IFERROR(B13+B15+B16+B17+B18+B19+B20+B21+B22+B23+B24+B25+B26+B29+B30+B31+B32+B33+B37+B39+B40+B41+B42+B43+B46+B47+B48+B49+B50+B51+B53+B54+B55, "NA")</f>
        <v>7680.31</v>
      </c>
      <c r="C57" s="132">
        <f>IFERROR(B57/B148, "NA")</f>
        <v>0.29677758152263167</v>
      </c>
      <c r="D57" s="131">
        <f>IFERROR(D13+D15+D16+D17+D18+D19+D20+D21+D22+D23+D24+D25+D26+D29+D30+D31+D32+D33+D37+D39+D40+D41+D42+D43+D46+D47+D48+D49+D50+D51+D53+D54+D55, "NA")</f>
        <v>7130.14</v>
      </c>
      <c r="E57" s="132">
        <f>IFERROR(D57/D148, "NA")</f>
        <v>0.2774726589725619</v>
      </c>
      <c r="F57" s="131">
        <f>IFERROR(F13+F15+F16+F17+F18+F19+F20+F21+F22+F23+F24+F25+F26+F29+F30+F31+F32+F33+F37+F39+F40+F41+F42+F43+F46+F47+F48+F49+F50+F51+F53+F54+F55, "NA")</f>
        <v>6419.9499999999989</v>
      </c>
      <c r="G57" s="132">
        <f>IFERROR(F57/F148, "NA")</f>
        <v>0.25512144391914093</v>
      </c>
      <c r="H57" s="131">
        <f>IFERROR(H13+H15+H16+H17+H18+H19+H20+H21+H22+H23+H24+H25+H26+H29+H30+H31+H32+H33+H37+H39+H40+H41+H42+H43+H46+H47+H48+H49+H50+H51+H53+H54+H55, "NA")</f>
        <v>7662.57</v>
      </c>
      <c r="I57" s="132">
        <f>IFERROR(H57/H148, "NA")</f>
        <v>0.26760838346106242</v>
      </c>
      <c r="J57" s="131">
        <f>IFERROR(J13+J15+J16+J17+J18+J19+J20+J21+J22+J23+J24+J25+J26+J29+J30+J31+J32+J33+J37+J39+J40+J41+J42+J43+J46+J47+J48+J49+J50+J51+J53+J54+J55, "NA")</f>
        <v>6967.8300000000008</v>
      </c>
      <c r="K57" s="132">
        <f>IFERROR(J57/J148, "NA")</f>
        <v>0.24830533178150596</v>
      </c>
      <c r="L57" s="131">
        <f>IFERROR(L13+L15+L16+L17+L18+L19+L20+L21+L22+L23+L24+L25+L26+L29+L30+L31+L32+L33+L37+L39+L40+L41+L42+L43+L46+L47+L48+L49+L50+L51+L53+L54+L55, "NA")</f>
        <v>6262.14</v>
      </c>
      <c r="M57" s="132">
        <f>IFERROR(L57/L148, "NA")</f>
        <v>0.23668971397923513</v>
      </c>
      <c r="N57" s="131">
        <f>IFERROR(N13+N15+N16+N17+N18+N19+N20+N21+N22+N23+N24+N25+N26+N29+N30+N31+N32+N33+N37+N39+N40+N41+N42+N43+N46+N47+N48+N49+N50+N51+N53+N54+N55, "NA")</f>
        <v>5626.7900000000009</v>
      </c>
      <c r="O57" s="132">
        <f>IFERROR(N57/N148, "NA")</f>
        <v>0.27302215312713501</v>
      </c>
      <c r="P57" s="131">
        <f>IFERROR(P13+P15+P16+P17+P18+P19+P20+P21+P22+P23+P24+P25+P26+P29+P30+P31+P32+P33+P37+P39+P40+P41+P42+P43+P46+P47+P48+P49+P50+P51+P53+P54+P55, "NA")</f>
        <v>6299.5899999999992</v>
      </c>
      <c r="Q57" s="132">
        <f>IFERROR(P57/P148, "NA")</f>
        <v>0.25689659320713043</v>
      </c>
      <c r="R57" s="131">
        <f>IFERROR(R13+R15+R16+R17+R18+R19+R20+R21+R22+R23+R24+R25+R26+R29+R30+R31+R32+R33+R37+R39+R40+R41+R42+R43+R46+R47+R48+R49+R50+R51+R53+R54+R55, "NA")</f>
        <v>6991.03</v>
      </c>
      <c r="S57" s="132">
        <f>IFERROR(R57/R148, "NA")</f>
        <v>0.26219633399266556</v>
      </c>
      <c r="T57" s="131">
        <f>IFERROR(T13+T15+T16+T17+T18+T19+T20+T21+T22+T23+T24+T25+T26+T29+T30+T31+T32+T33+T37+T39+T40+T41+T42+T43+T46+T47+T48+T49+T50+T51+T53+T54+T55, "NA")</f>
        <v>6485.6899999999987</v>
      </c>
      <c r="U57" s="132">
        <f>IFERROR(T57/T148, "NA")</f>
        <v>0.27024609153638446</v>
      </c>
      <c r="V57" s="131">
        <f>IFERROR(V13+V15+V16+V17+V18+V19+V20+V21+V22+V23+V24+V25+V26+V29+V30+V31+V32+V33+V37+V39+V40+V41+V42+V43+V46+V47+V48+V49+V50+V51+V53+V54+V55, "NA")</f>
        <v>7611.95</v>
      </c>
      <c r="W57" s="132">
        <f>IFERROR(V57/V148, "NA")</f>
        <v>0.21991993036015733</v>
      </c>
      <c r="X57" s="131">
        <f>IFERROR(X13+X15+X16+X17+X18+X19+X20+X21+X22+X23+X24+X25+X26+X29+X30+X31+X32+X33+X37+X39+X40+X41+X42+X43+X46+X47+X48+X49+X50+X51+X53+X54+X55, "NA")</f>
        <v>6136.9600000000009</v>
      </c>
      <c r="Y57" s="132">
        <f>IFERROR(X57/X148, "NA")</f>
        <v>0.28145576456074139</v>
      </c>
      <c r="Z57" s="131">
        <f>IFERROR(Z13+Z15+Z16+Z17+Z18+Z19+Z20+Z21+Z22+Z23+Z24+Z25+Z26+Z29+Z30+Z31+Z32+Z33+Z37+Z39+Z40+Z41+Z42+Z43+Z46+Z47+Z48+Z49+Z50+Z51+Z53+Z54+Z55, "NA")</f>
        <v>20234.600000000006</v>
      </c>
      <c r="AA57" s="132">
        <f>IFERROR(Z57/Z148, "NA")</f>
        <v>0.25162430523707252</v>
      </c>
      <c r="AB57" s="131">
        <f t="shared" si="18"/>
        <v>6806.4074999999993</v>
      </c>
      <c r="AC57" s="132">
        <f>IFERROR(AB57/AB148, "NA")</f>
        <v>0.25425680005633206</v>
      </c>
      <c r="AD57" s="133">
        <f t="shared" si="19"/>
        <v>-669.4474999999984</v>
      </c>
      <c r="AE57" s="134">
        <f>IFERROR(AD57/AD148, "NA")</f>
        <v>0.13482070662062826</v>
      </c>
      <c r="AF57" s="133">
        <f t="shared" si="20"/>
        <v>-9.8355483417647049E-2</v>
      </c>
      <c r="AG57" s="131">
        <f t="shared" si="21"/>
        <v>6547.7474999999995</v>
      </c>
      <c r="AH57" s="132">
        <f>IFERROR(AG57/AG148, "NA")</f>
        <v>0.25338459783657014</v>
      </c>
      <c r="AI57" s="133">
        <f t="shared" si="22"/>
        <v>-410.78749999999854</v>
      </c>
      <c r="AJ57" s="134">
        <f>IFERROR(AI57/AI148, "NA")</f>
        <v>0.10176086583593251</v>
      </c>
      <c r="AK57" s="133">
        <f t="shared" si="23"/>
        <v>-6.2737223755191932E-2</v>
      </c>
      <c r="AL57" s="134">
        <f>IFERROR(AK57/AK148, "NA")</f>
        <v>0.40160635928458049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63</v>
      </c>
      <c r="B59" s="136">
        <f>IFERROR(B9-B57, "NA")</f>
        <v>18198.699999999997</v>
      </c>
      <c r="C59" s="137">
        <f>IFERROR(B59/B148, "NA")</f>
        <v>0.70322241847736822</v>
      </c>
      <c r="D59" s="136">
        <f>IFERROR(D9-D57, "NA")</f>
        <v>18566.590000000004</v>
      </c>
      <c r="E59" s="137">
        <f>IFERROR(D59/D148, "NA")</f>
        <v>0.72252734102743832</v>
      </c>
      <c r="F59" s="136">
        <f>IFERROR(F9-F57, "NA")</f>
        <v>18744.339999999997</v>
      </c>
      <c r="G59" s="137">
        <f>IFERROR(F59/F148, "NA")</f>
        <v>0.74487855608085884</v>
      </c>
      <c r="H59" s="136">
        <f>IFERROR(H9-H57, "NA")</f>
        <v>20970.94999999999</v>
      </c>
      <c r="I59" s="137">
        <f>IFERROR(H59/H148, "NA")</f>
        <v>0.73239161653893725</v>
      </c>
      <c r="J59" s="136">
        <f>IFERROR(J9-J57, "NA")</f>
        <v>21093.709999999995</v>
      </c>
      <c r="K59" s="137">
        <f>IFERROR(J59/J148, "NA")</f>
        <v>0.75169466821849384</v>
      </c>
      <c r="L59" s="136">
        <f>IFERROR(L9-L57, "NA")</f>
        <v>20195.03</v>
      </c>
      <c r="M59" s="137">
        <f>IFERROR(L59/L148, "NA")</f>
        <v>0.76331028602076489</v>
      </c>
      <c r="N59" s="136">
        <f>IFERROR(N9-N57, "NA")</f>
        <v>14982.489999999998</v>
      </c>
      <c r="O59" s="137">
        <f>IFERROR(N59/N148, "NA")</f>
        <v>0.72697784687286493</v>
      </c>
      <c r="P59" s="136">
        <f>IFERROR(P9-P57, "NA")</f>
        <v>18222.3</v>
      </c>
      <c r="Q59" s="137">
        <f>IFERROR(P59/P148, "NA")</f>
        <v>0.74310340679286957</v>
      </c>
      <c r="R59" s="136">
        <f>IFERROR(R9-R57, "NA")</f>
        <v>19672.310000000005</v>
      </c>
      <c r="S59" s="137">
        <f>IFERROR(R59/R148, "NA")</f>
        <v>0.7378036660073346</v>
      </c>
      <c r="T59" s="136">
        <f>IFERROR(T9-T57, "NA")</f>
        <v>17513.510000000002</v>
      </c>
      <c r="U59" s="137">
        <f>IFERROR(T59/T148, "NA")</f>
        <v>0.72975390846361554</v>
      </c>
      <c r="V59" s="136">
        <f>IFERROR(V9-V57, "NA")</f>
        <v>27000.419999999987</v>
      </c>
      <c r="W59" s="137">
        <f>IFERROR(V59/V148, "NA")</f>
        <v>0.78008006963984222</v>
      </c>
      <c r="X59" s="136">
        <f>IFERROR(X9-X57, "NA")</f>
        <v>15667.389999999998</v>
      </c>
      <c r="Y59" s="137">
        <f>IFERROR(X59/X148, "NA")</f>
        <v>0.71854423543925861</v>
      </c>
      <c r="Z59" s="136">
        <f>IFERROR(Z9-Z57, "NA")</f>
        <v>60181.320000000007</v>
      </c>
      <c r="AA59" s="137">
        <f>IFERROR(Z59/Z148, "NA")</f>
        <v>0.74837569476292765</v>
      </c>
      <c r="AB59" s="136">
        <f>IFERROR((R59+T59+V59+X59)/4, "NA")</f>
        <v>19963.407499999998</v>
      </c>
      <c r="AC59" s="137">
        <f>IFERROR(AB59/AB148, "NA")</f>
        <v>0.74574319994366778</v>
      </c>
      <c r="AD59" s="123">
        <f>IFERROR(X59-AB59, "NA")</f>
        <v>-4296.0174999999999</v>
      </c>
      <c r="AE59" s="124">
        <f>IFERROR(AD59/AD148, "NA")</f>
        <v>0.86517929337937061</v>
      </c>
      <c r="AF59" s="123">
        <f>IFERROR((X59-AB59)/AB59, "NA")</f>
        <v>-0.21519460042079491</v>
      </c>
      <c r="AG59" s="136">
        <f>IFERROR((J59+L59+N59+P59+R59+T59+V59+X59)/8, "NA")</f>
        <v>19293.394999999997</v>
      </c>
      <c r="AH59" s="137">
        <f>IFERROR(AG59/AG148, "NA")</f>
        <v>0.74661540216342981</v>
      </c>
      <c r="AI59" s="123">
        <f>IFERROR(X59-AG59, "NA")</f>
        <v>-3626.0049999999992</v>
      </c>
      <c r="AJ59" s="124">
        <f>IFERROR(AI59/AI148, "NA")</f>
        <v>0.89823913416406709</v>
      </c>
      <c r="AK59" s="123">
        <f>IFERROR((X59-AG59)/AG59, "NA")</f>
        <v>-0.18794022513922509</v>
      </c>
      <c r="AL59" s="124">
        <f>IFERROR(AK59/AK148, "NA")</f>
        <v>1.2030814413435413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64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64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65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66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67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68</v>
      </c>
      <c r="B66" s="115">
        <v>1461.54</v>
      </c>
      <c r="C66" s="116">
        <f>IFERROR(B66/B148, "NA")</f>
        <v>5.6475885283092359E-2</v>
      </c>
      <c r="D66" s="115">
        <v>1461.54</v>
      </c>
      <c r="E66" s="116">
        <f>IFERROR(D66/D148, "NA")</f>
        <v>5.6876497515442624E-2</v>
      </c>
      <c r="F66" s="115">
        <v>1461.54</v>
      </c>
      <c r="G66" s="116">
        <f>IFERROR(F66/F148, "NA")</f>
        <v>5.8079921984685437E-2</v>
      </c>
      <c r="H66" s="115">
        <v>1461.54</v>
      </c>
      <c r="I66" s="116">
        <f>IFERROR(H66/H148, "NA")</f>
        <v>5.1042973410184982E-2</v>
      </c>
      <c r="J66" s="115">
        <v>1461.54</v>
      </c>
      <c r="K66" s="116">
        <f>IFERROR(J66/J148, "NA")</f>
        <v>5.2083385302445981E-2</v>
      </c>
      <c r="L66" s="115">
        <v>1461.54</v>
      </c>
      <c r="M66" s="116">
        <f>IFERROR(L66/L148, "NA")</f>
        <v>5.5241735983100233E-2</v>
      </c>
      <c r="N66" s="115">
        <v>1461.54</v>
      </c>
      <c r="O66" s="116">
        <f>IFERROR(N66/N148, "NA")</f>
        <v>7.0916596795230116E-2</v>
      </c>
      <c r="P66" s="115">
        <v>1461.54</v>
      </c>
      <c r="Q66" s="116">
        <f>IFERROR(P66/P148, "NA")</f>
        <v>5.9601441813824305E-2</v>
      </c>
      <c r="R66" s="115">
        <v>1461.54</v>
      </c>
      <c r="S66" s="116">
        <f>IFERROR(R66/R148, "NA")</f>
        <v>5.4814588119867953E-2</v>
      </c>
      <c r="T66" s="115">
        <v>1461.54</v>
      </c>
      <c r="U66" s="116">
        <f>IFERROR(T66/T148, "NA")</f>
        <v>6.0899529984332811E-2</v>
      </c>
      <c r="V66" s="115">
        <v>1461.54</v>
      </c>
      <c r="W66" s="116">
        <f>IFERROR(V66/V148, "NA")</f>
        <v>4.2225944077218629E-2</v>
      </c>
      <c r="X66" s="115">
        <v>1461.54</v>
      </c>
      <c r="Y66" s="116">
        <f>IFERROR(X66/X148, "NA")</f>
        <v>6.7029744064831101E-2</v>
      </c>
      <c r="Z66" s="115">
        <v>4384.62</v>
      </c>
      <c r="AA66" s="116">
        <f>IFERROR(Z66/Z148, "NA")</f>
        <v>5.4524278277236646E-2</v>
      </c>
      <c r="AB66" s="117">
        <f t="shared" si="24"/>
        <v>1461.54</v>
      </c>
      <c r="AC66" s="116">
        <f>IFERROR(AB66/AB148, "NA")</f>
        <v>5.4596567066302094E-2</v>
      </c>
      <c r="AD66" s="118">
        <f t="shared" si="25"/>
        <v>0</v>
      </c>
      <c r="AE66" s="119">
        <f>IFERROR(AD66/AD148, "NA")</f>
        <v>0</v>
      </c>
      <c r="AF66" s="118">
        <f t="shared" si="26"/>
        <v>0</v>
      </c>
      <c r="AG66" s="117">
        <f t="shared" si="27"/>
        <v>1461.54</v>
      </c>
      <c r="AH66" s="116">
        <f>IFERROR(AG66/AG148, "NA")</f>
        <v>5.65586448045012E-2</v>
      </c>
      <c r="AI66" s="118">
        <f t="shared" si="28"/>
        <v>0</v>
      </c>
      <c r="AJ66" s="119">
        <f>IFERROR(AI66/AI148, "NA")</f>
        <v>0</v>
      </c>
      <c r="AK66" s="118">
        <f t="shared" si="29"/>
        <v>0</v>
      </c>
      <c r="AL66" s="119">
        <f>IFERROR(AK66/AK148, "NA")</f>
        <v>0</v>
      </c>
    </row>
    <row r="67" spans="1:38" ht="16.5" hidden="1" customHeight="1" x14ac:dyDescent="0.25">
      <c r="A67" s="7" t="s">
        <v>69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70</v>
      </c>
      <c r="B68" s="115">
        <v>4700.25</v>
      </c>
      <c r="C68" s="116">
        <f>IFERROR(B68/B148, "NA")</f>
        <v>0.18162402657597798</v>
      </c>
      <c r="D68" s="115">
        <v>4553.26</v>
      </c>
      <c r="E68" s="116">
        <f>IFERROR(D68/D148, "NA")</f>
        <v>0.17719219527153846</v>
      </c>
      <c r="F68" s="115">
        <v>4447.0200000000004</v>
      </c>
      <c r="G68" s="116">
        <f>IFERROR(F68/F148, "NA")</f>
        <v>0.17671947032878735</v>
      </c>
      <c r="H68" s="115">
        <v>4779.2</v>
      </c>
      <c r="I68" s="116">
        <f>IFERROR(H68/H148, "NA")</f>
        <v>0.16690927276841966</v>
      </c>
      <c r="J68" s="115">
        <v>5852.11</v>
      </c>
      <c r="K68" s="116">
        <f>IFERROR(J68/J148, "NA")</f>
        <v>0.20854557518938729</v>
      </c>
      <c r="L68" s="115">
        <v>4749.5200000000004</v>
      </c>
      <c r="M68" s="116">
        <f>IFERROR(L68/L148, "NA")</f>
        <v>0.17951731043040509</v>
      </c>
      <c r="N68" s="115">
        <v>4878.03</v>
      </c>
      <c r="O68" s="116">
        <f>IFERROR(N68/N148, "NA")</f>
        <v>0.23669094699087012</v>
      </c>
      <c r="P68" s="115">
        <v>3908.49</v>
      </c>
      <c r="Q68" s="116">
        <f>IFERROR(P68/P148, "NA")</f>
        <v>0.15938779596515604</v>
      </c>
      <c r="R68" s="115">
        <v>4308.75</v>
      </c>
      <c r="S68" s="116">
        <f>IFERROR(R68/R148, "NA")</f>
        <v>0.16159828438597715</v>
      </c>
      <c r="T68" s="115">
        <v>4443.47</v>
      </c>
      <c r="U68" s="116">
        <f>IFERROR(T68/T148, "NA")</f>
        <v>0.18515075502516751</v>
      </c>
      <c r="V68" s="115">
        <v>4373.3500000000004</v>
      </c>
      <c r="W68" s="116">
        <f>IFERROR(V68/V148, "NA")</f>
        <v>0.12635222609720168</v>
      </c>
      <c r="X68" s="115">
        <v>3991.7</v>
      </c>
      <c r="Y68" s="116">
        <f>IFERROR(X68/X148, "NA")</f>
        <v>0.18306897476879613</v>
      </c>
      <c r="Z68" s="115">
        <v>12808.52</v>
      </c>
      <c r="AA68" s="116">
        <f>IFERROR(Z68/Z148, "NA")</f>
        <v>0.1592784115384118</v>
      </c>
      <c r="AB68" s="117">
        <f t="shared" si="24"/>
        <v>4279.3175000000001</v>
      </c>
      <c r="AC68" s="116">
        <f>IFERROR(AB68/AB148, "NA")</f>
        <v>0.15985607296875229</v>
      </c>
      <c r="AD68" s="118">
        <f t="shared" si="25"/>
        <v>-287.61750000000029</v>
      </c>
      <c r="AE68" s="119">
        <f>IFERROR(AD68/AD148, "NA")</f>
        <v>5.7923578154311844E-2</v>
      </c>
      <c r="AF68" s="118">
        <f t="shared" si="26"/>
        <v>-6.7211068120091644E-2</v>
      </c>
      <c r="AG68" s="117">
        <f t="shared" si="27"/>
        <v>4563.1774999999998</v>
      </c>
      <c r="AH68" s="116">
        <f>IFERROR(AG68/AG148, "NA")</f>
        <v>0.17658574886926923</v>
      </c>
      <c r="AI68" s="118">
        <f t="shared" si="28"/>
        <v>-571.47749999999996</v>
      </c>
      <c r="AJ68" s="119">
        <f>IFERROR(AI68/AI148, "NA")</f>
        <v>0.14156722199617641</v>
      </c>
      <c r="AK68" s="118">
        <f t="shared" si="29"/>
        <v>-0.12523674566680784</v>
      </c>
      <c r="AL68" s="119">
        <f>IFERROR(AK68/AK148, "NA")</f>
        <v>0.80169109286945983</v>
      </c>
    </row>
    <row r="69" spans="1:38" ht="16.5" customHeight="1" x14ac:dyDescent="0.25">
      <c r="A69" s="7" t="s">
        <v>71</v>
      </c>
      <c r="B69" s="115">
        <v>31.69</v>
      </c>
      <c r="C69" s="116">
        <f>IFERROR(B69/B148, "NA")</f>
        <v>1.224544524693951E-3</v>
      </c>
      <c r="D69" s="115">
        <v>247.91</v>
      </c>
      <c r="E69" s="116">
        <f>IFERROR(D69/D148, "NA")</f>
        <v>9.6475310282670215E-3</v>
      </c>
      <c r="F69" s="115">
        <v>16.97</v>
      </c>
      <c r="G69" s="116">
        <f>IFERROR(F69/F148, "NA")</f>
        <v>6.743683211407911E-4</v>
      </c>
      <c r="H69" s="115">
        <v>21.02</v>
      </c>
      <c r="I69" s="116">
        <f>IFERROR(H69/H148, "NA")</f>
        <v>7.3410464378811967E-4</v>
      </c>
      <c r="J69" s="115">
        <v>72.989999999999995</v>
      </c>
      <c r="K69" s="116">
        <f>IFERROR(J69/J148, "NA")</f>
        <v>2.6010689363449046E-3</v>
      </c>
      <c r="L69" s="115">
        <v>242.18</v>
      </c>
      <c r="M69" s="116">
        <f>IFERROR(L69/L148, "NA")</f>
        <v>9.1536623153572368E-3</v>
      </c>
      <c r="N69" s="115">
        <v>226.46</v>
      </c>
      <c r="O69" s="116">
        <f>IFERROR(N69/N148, "NA")</f>
        <v>1.0988253835165518E-2</v>
      </c>
      <c r="P69" s="115">
        <v>0</v>
      </c>
      <c r="Q69" s="116">
        <f>IFERROR(P69/P148, "NA")</f>
        <v>0</v>
      </c>
      <c r="R69" s="115">
        <v>31.68</v>
      </c>
      <c r="S69" s="116">
        <f>IFERROR(R69/R148, "NA")</f>
        <v>1.1881482214906309E-3</v>
      </c>
      <c r="T69" s="115">
        <v>0</v>
      </c>
      <c r="U69" s="116">
        <f>IFERROR(T69/T148, "NA")</f>
        <v>0</v>
      </c>
      <c r="V69" s="115">
        <v>52.89</v>
      </c>
      <c r="W69" s="116">
        <f>IFERROR(V69/V148, "NA")</f>
        <v>1.5280664109392104E-3</v>
      </c>
      <c r="X69" s="115">
        <v>0</v>
      </c>
      <c r="Y69" s="116">
        <f>IFERROR(X69/X148, "NA")</f>
        <v>0</v>
      </c>
      <c r="Z69" s="115">
        <v>52.89</v>
      </c>
      <c r="AA69" s="116">
        <f>IFERROR(Z69/Z148, "NA")</f>
        <v>6.5770558864463658E-4</v>
      </c>
      <c r="AB69" s="117">
        <f t="shared" si="24"/>
        <v>21.142499999999998</v>
      </c>
      <c r="AC69" s="116">
        <f>IFERROR(AB69/AB148, "NA")</f>
        <v>7.8978879756920234E-4</v>
      </c>
      <c r="AD69" s="118">
        <f t="shared" si="25"/>
        <v>-21.142499999999998</v>
      </c>
      <c r="AE69" s="119">
        <f>IFERROR(AD69/AD148, "NA")</f>
        <v>4.2579093800882662E-3</v>
      </c>
      <c r="AF69" s="118">
        <f t="shared" si="26"/>
        <v>-1</v>
      </c>
      <c r="AG69" s="117">
        <f t="shared" si="27"/>
        <v>78.274999999999991</v>
      </c>
      <c r="AH69" s="116">
        <f>IFERROR(AG69/AG148, "NA")</f>
        <v>3.0290843371186082E-3</v>
      </c>
      <c r="AI69" s="118">
        <f t="shared" si="28"/>
        <v>-78.274999999999991</v>
      </c>
      <c r="AJ69" s="119">
        <f>IFERROR(AI69/AI148, "NA")</f>
        <v>1.9390394725515368E-2</v>
      </c>
      <c r="AK69" s="118">
        <f t="shared" si="29"/>
        <v>-1</v>
      </c>
      <c r="AL69" s="119">
        <f>IFERROR(AK69/AK148, "NA")</f>
        <v>6.4014047043537659</v>
      </c>
    </row>
    <row r="70" spans="1:38" ht="16.5" customHeight="1" x14ac:dyDescent="0.25">
      <c r="A70" s="129" t="s">
        <v>72</v>
      </c>
      <c r="B70" s="121">
        <f>IFERROR(B65+B66+B67+B68+B69, "NA")</f>
        <v>6193.48</v>
      </c>
      <c r="C70" s="122">
        <f>IFERROR(B70/B148, "NA")</f>
        <v>0.23932445638376429</v>
      </c>
      <c r="D70" s="121">
        <f>IFERROR(D65+D66+D67+D68+D69, "NA")</f>
        <v>6262.71</v>
      </c>
      <c r="E70" s="122">
        <f>IFERROR(D70/D148, "NA")</f>
        <v>0.2437162238152481</v>
      </c>
      <c r="F70" s="121">
        <f>IFERROR(F65+F66+F67+F68+F69, "NA")</f>
        <v>5925.5300000000007</v>
      </c>
      <c r="G70" s="122">
        <f>IFERROR(F70/F148, "NA")</f>
        <v>0.23547376063461359</v>
      </c>
      <c r="H70" s="121">
        <f>IFERROR(H65+H66+H67+H68+H69, "NA")</f>
        <v>6261.76</v>
      </c>
      <c r="I70" s="122">
        <f>IFERROR(H70/H148, "NA")</f>
        <v>0.21868635082239277</v>
      </c>
      <c r="J70" s="121">
        <f>IFERROR(J65+J66+J67+J68+J69, "NA")</f>
        <v>7386.6399999999994</v>
      </c>
      <c r="K70" s="122">
        <f>IFERROR(J70/J148, "NA")</f>
        <v>0.26323002942817819</v>
      </c>
      <c r="L70" s="121">
        <f>IFERROR(L65+L66+L67+L68+L69, "NA")</f>
        <v>6453.2400000000007</v>
      </c>
      <c r="M70" s="122">
        <f>IFERROR(L70/L148, "NA")</f>
        <v>0.24391270872886259</v>
      </c>
      <c r="N70" s="121">
        <f>IFERROR(N65+N66+N67+N68+N69, "NA")</f>
        <v>6566.03</v>
      </c>
      <c r="O70" s="122">
        <f>IFERROR(N70/N148, "NA")</f>
        <v>0.31859579762126577</v>
      </c>
      <c r="P70" s="121">
        <f>IFERROR(P65+P66+P67+P68+P69, "NA")</f>
        <v>5370.03</v>
      </c>
      <c r="Q70" s="122">
        <f>IFERROR(P70/P148, "NA")</f>
        <v>0.21898923777898033</v>
      </c>
      <c r="R70" s="121">
        <f>IFERROR(R65+R66+R67+R68+R69, "NA")</f>
        <v>5801.97</v>
      </c>
      <c r="S70" s="122">
        <f>IFERROR(R70/R148, "NA")</f>
        <v>0.21760102072733575</v>
      </c>
      <c r="T70" s="121">
        <f>IFERROR(T65+T66+T67+T68+T69, "NA")</f>
        <v>5905.01</v>
      </c>
      <c r="U70" s="122">
        <f>IFERROR(T70/T148, "NA")</f>
        <v>0.24605028500950032</v>
      </c>
      <c r="V70" s="121">
        <f>IFERROR(V65+V66+V67+V68+V69, "NA")</f>
        <v>5887.7800000000007</v>
      </c>
      <c r="W70" s="122">
        <f>IFERROR(V70/V148, "NA")</f>
        <v>0.1701062365853595</v>
      </c>
      <c r="X70" s="121">
        <f>IFERROR(X65+X66+X67+X68+X69, "NA")</f>
        <v>5453.24</v>
      </c>
      <c r="Y70" s="122">
        <f>IFERROR(X70/X148, "NA")</f>
        <v>0.25009871883362722</v>
      </c>
      <c r="Z70" s="121">
        <f>IFERROR(Z65+Z66+Z67+Z68+Z69, "NA")</f>
        <v>17246.03</v>
      </c>
      <c r="AA70" s="122">
        <f>IFERROR(Z70/Z148, "NA")</f>
        <v>0.21446039540429307</v>
      </c>
      <c r="AB70" s="121">
        <f t="shared" si="24"/>
        <v>5762</v>
      </c>
      <c r="AC70" s="122">
        <f>IFERROR(AB70/AB148, "NA")</f>
        <v>0.21524242883262359</v>
      </c>
      <c r="AD70" s="123">
        <f t="shared" si="25"/>
        <v>-308.76000000000022</v>
      </c>
      <c r="AE70" s="124">
        <f>IFERROR(AD70/AD148, "NA")</f>
        <v>6.2181487534400101E-2</v>
      </c>
      <c r="AF70" s="123">
        <f t="shared" si="26"/>
        <v>-5.3585560569246828E-2</v>
      </c>
      <c r="AG70" s="121">
        <f t="shared" si="27"/>
        <v>6102.9924999999994</v>
      </c>
      <c r="AH70" s="122">
        <f>IFERROR(AG70/AG148, "NA")</f>
        <v>0.23617347801088903</v>
      </c>
      <c r="AI70" s="123">
        <f t="shared" si="28"/>
        <v>-649.7524999999996</v>
      </c>
      <c r="AJ70" s="124">
        <f>IFERROR(AI70/AI148, "NA")</f>
        <v>0.1609576167216917</v>
      </c>
      <c r="AK70" s="123">
        <f t="shared" si="29"/>
        <v>-0.10646457455092721</v>
      </c>
      <c r="AL70" s="124">
        <f>IFERROR(AK70/AK148, "NA")</f>
        <v>0.68152282837732769</v>
      </c>
    </row>
    <row r="71" spans="1:38" ht="16.5" hidden="1" customHeight="1" x14ac:dyDescent="0.25">
      <c r="A71" s="5" t="s">
        <v>73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74</v>
      </c>
      <c r="B72" s="115">
        <v>0</v>
      </c>
      <c r="C72" s="116">
        <f>IFERROR(B72/B148, "NA")</f>
        <v>0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350</v>
      </c>
      <c r="I72" s="116">
        <f>IFERROR(H72/H148, "NA")</f>
        <v>1.2223436028822164E-2</v>
      </c>
      <c r="J72" s="115">
        <v>0</v>
      </c>
      <c r="K72" s="116">
        <f>IFERROR(J72/J148, "NA")</f>
        <v>0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525</v>
      </c>
      <c r="S72" s="116">
        <f>IFERROR(R72/R148, "NA")</f>
        <v>1.9689956322051175E-2</v>
      </c>
      <c r="T72" s="115">
        <v>0</v>
      </c>
      <c r="U72" s="116">
        <f>IFERROR(T72/T148, "NA")</f>
        <v>0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131.25</v>
      </c>
      <c r="AC72" s="116">
        <f>IFERROR(AB72/AB148, "NA")</f>
        <v>4.9029102367722744E-3</v>
      </c>
      <c r="AD72" s="118">
        <f t="shared" si="25"/>
        <v>-131.25</v>
      </c>
      <c r="AE72" s="119">
        <f>IFERROR(AD72/AD148, "NA")</f>
        <v>2.6432569759327656E-2</v>
      </c>
      <c r="AF72" s="118">
        <f t="shared" si="26"/>
        <v>-1</v>
      </c>
      <c r="AG72" s="117">
        <f t="shared" si="27"/>
        <v>65.625</v>
      </c>
      <c r="AH72" s="116">
        <f>IFERROR(AG72/AG148, "NA")</f>
        <v>2.5395548977759017E-3</v>
      </c>
      <c r="AI72" s="118">
        <f t="shared" si="28"/>
        <v>-65.625</v>
      </c>
      <c r="AJ72" s="119">
        <f>IFERROR(AI72/AI148, "NA")</f>
        <v>1.6256718669587306E-2</v>
      </c>
      <c r="AK72" s="118">
        <f t="shared" si="29"/>
        <v>-1</v>
      </c>
      <c r="AL72" s="119">
        <f>IFERROR(AK72/AK148, "NA")</f>
        <v>6.4014047043537659</v>
      </c>
    </row>
    <row r="73" spans="1:38" ht="16.5" customHeight="1" x14ac:dyDescent="0.25">
      <c r="A73" s="6" t="s">
        <v>75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76</v>
      </c>
      <c r="B74" s="115">
        <v>566.77</v>
      </c>
      <c r="C74" s="116">
        <f>IFERROR(B74/B148, "NA")</f>
        <v>2.190076050049828E-2</v>
      </c>
      <c r="D74" s="115">
        <v>539.84</v>
      </c>
      <c r="E74" s="116">
        <f>IFERROR(D74/D148, "NA")</f>
        <v>2.1008120488482388E-2</v>
      </c>
      <c r="F74" s="115">
        <v>522.09</v>
      </c>
      <c r="G74" s="116">
        <f>IFERROR(F74/F148, "NA")</f>
        <v>2.0747257323771105E-2</v>
      </c>
      <c r="H74" s="115">
        <v>557.29</v>
      </c>
      <c r="I74" s="116">
        <f>IFERROR(H74/H148, "NA")</f>
        <v>1.9462853327149438E-2</v>
      </c>
      <c r="J74" s="115">
        <v>652.52</v>
      </c>
      <c r="K74" s="116">
        <f>IFERROR(J74/J148, "NA")</f>
        <v>2.3253178549716088E-2</v>
      </c>
      <c r="L74" s="115">
        <v>564.16</v>
      </c>
      <c r="M74" s="116">
        <f>IFERROR(L74/L148, "NA")</f>
        <v>2.1323520240448996E-2</v>
      </c>
      <c r="N74" s="115">
        <v>577.20000000000005</v>
      </c>
      <c r="O74" s="116">
        <f>IFERROR(N74/N148, "NA")</f>
        <v>2.8006800819824859E-2</v>
      </c>
      <c r="P74" s="115">
        <v>464.37</v>
      </c>
      <c r="Q74" s="116">
        <f>IFERROR(P74/P148, "NA")</f>
        <v>1.8936957958787026E-2</v>
      </c>
      <c r="R74" s="115">
        <v>513.91999999999996</v>
      </c>
      <c r="S74" s="116">
        <f>IFERROR(R74/R148, "NA")</f>
        <v>1.9274404481959124E-2</v>
      </c>
      <c r="T74" s="115">
        <v>494.2</v>
      </c>
      <c r="U74" s="116">
        <f>IFERROR(T74/T148, "NA")</f>
        <v>2.0592353078435946E-2</v>
      </c>
      <c r="V74" s="115">
        <v>517.99</v>
      </c>
      <c r="W74" s="116">
        <f>IFERROR(V74/V148, "NA")</f>
        <v>1.4965458880741191E-2</v>
      </c>
      <c r="X74" s="115">
        <v>495.85</v>
      </c>
      <c r="Y74" s="116">
        <f>IFERROR(X74/X148, "NA")</f>
        <v>2.2740875100610659E-2</v>
      </c>
      <c r="Z74" s="115">
        <v>1508.04</v>
      </c>
      <c r="AA74" s="116">
        <f>IFERROR(Z74/Z148, "NA")</f>
        <v>1.8753003136692335E-2</v>
      </c>
      <c r="AB74" s="117">
        <f t="shared" ref="AB74:AB85" si="30">IFERROR((R74+T74+V74+X74)/4, "NA")</f>
        <v>505.49</v>
      </c>
      <c r="AC74" s="116">
        <f>IFERROR(AB74/AB148, "NA")</f>
        <v>1.8882835013988703E-2</v>
      </c>
      <c r="AD74" s="118">
        <f t="shared" ref="AD74:AD85" si="31">IFERROR(X74-AB74, "NA")</f>
        <v>-9.6399999999999864</v>
      </c>
      <c r="AE74" s="119">
        <f>IFERROR(AD74/AD148, "NA")</f>
        <v>1.9414093141327104E-3</v>
      </c>
      <c r="AF74" s="118">
        <f t="shared" ref="AF74:AF85" si="32">IFERROR((X74-AB74)/AB74, "NA")</f>
        <v>-1.9070604759738048E-2</v>
      </c>
      <c r="AG74" s="117">
        <f t="shared" ref="AG74:AG85" si="33">IFERROR((J74+L74+N74+P74+R74+T74+V74+X74)/8, "NA")</f>
        <v>535.02625</v>
      </c>
      <c r="AH74" s="116">
        <f>IFERROR(AG74/AG148, "NA")</f>
        <v>2.0704434798113128E-2</v>
      </c>
      <c r="AI74" s="118">
        <f t="shared" ref="AI74:AI85" si="34">IFERROR(X74-AG74, "NA")</f>
        <v>-39.176249999999982</v>
      </c>
      <c r="AJ74" s="119">
        <f>IFERROR(AI74/AI148, "NA")</f>
        <v>9.7047965680673413E-3</v>
      </c>
      <c r="AK74" s="118">
        <f t="shared" ref="AK74:AK85" si="35">IFERROR((X74-AG74)/AG74, "NA")</f>
        <v>-7.3223042794629198E-2</v>
      </c>
      <c r="AL74" s="119">
        <f>IFERROR(AK74/AK148, "NA")</f>
        <v>0.46873033061263647</v>
      </c>
    </row>
    <row r="75" spans="1:38" ht="16.5" hidden="1" customHeight="1" x14ac:dyDescent="0.25">
      <c r="A75" s="7" t="s">
        <v>77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78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79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80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81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82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83</v>
      </c>
      <c r="B81" s="121">
        <f>IFERROR(B74+B75+B76+B77+B78+B79+B80, "NA")</f>
        <v>566.77</v>
      </c>
      <c r="C81" s="122">
        <f>IFERROR(B81/B148, "NA")</f>
        <v>2.190076050049828E-2</v>
      </c>
      <c r="D81" s="121">
        <f>IFERROR(D74+D75+D76+D77+D78+D79+D80, "NA")</f>
        <v>539.84</v>
      </c>
      <c r="E81" s="122">
        <f>IFERROR(D81/D148, "NA")</f>
        <v>2.1008120488482388E-2</v>
      </c>
      <c r="F81" s="121">
        <f>IFERROR(F74+F75+F76+F77+F78+F79+F80, "NA")</f>
        <v>522.09</v>
      </c>
      <c r="G81" s="122">
        <f>IFERROR(F81/F148, "NA")</f>
        <v>2.0747257323771105E-2</v>
      </c>
      <c r="H81" s="121">
        <f>IFERROR(H74+H75+H76+H77+H78+H79+H80, "NA")</f>
        <v>557.29</v>
      </c>
      <c r="I81" s="122">
        <f>IFERROR(H81/H148, "NA")</f>
        <v>1.9462853327149438E-2</v>
      </c>
      <c r="J81" s="121">
        <f>IFERROR(J74+J75+J76+J77+J78+J79+J80, "NA")</f>
        <v>652.52</v>
      </c>
      <c r="K81" s="122">
        <f>IFERROR(J81/J148, "NA")</f>
        <v>2.3253178549716088E-2</v>
      </c>
      <c r="L81" s="121">
        <f>IFERROR(L74+L75+L76+L77+L78+L79+L80, "NA")</f>
        <v>564.16</v>
      </c>
      <c r="M81" s="122">
        <f>IFERROR(L81/L148, "NA")</f>
        <v>2.1323520240448996E-2</v>
      </c>
      <c r="N81" s="121">
        <f>IFERROR(N74+N75+N76+N77+N78+N79+N80, "NA")</f>
        <v>577.20000000000005</v>
      </c>
      <c r="O81" s="122">
        <f>IFERROR(N81/N148, "NA")</f>
        <v>2.8006800819824859E-2</v>
      </c>
      <c r="P81" s="121">
        <f>IFERROR(P74+P75+P76+P77+P78+P79+P80, "NA")</f>
        <v>464.37</v>
      </c>
      <c r="Q81" s="122">
        <f>IFERROR(P81/P148, "NA")</f>
        <v>1.8936957958787026E-2</v>
      </c>
      <c r="R81" s="121">
        <f>IFERROR(R74+R75+R76+R77+R78+R79+R80, "NA")</f>
        <v>513.91999999999996</v>
      </c>
      <c r="S81" s="122">
        <f>IFERROR(R81/R148, "NA")</f>
        <v>1.9274404481959124E-2</v>
      </c>
      <c r="T81" s="121">
        <f>IFERROR(T74+T75+T76+T77+T78+T79+T80, "NA")</f>
        <v>494.2</v>
      </c>
      <c r="U81" s="122">
        <f>IFERROR(T81/T148, "NA")</f>
        <v>2.0592353078435946E-2</v>
      </c>
      <c r="V81" s="121">
        <f>IFERROR(V74+V75+V76+V77+V78+V79+V80, "NA")</f>
        <v>517.99</v>
      </c>
      <c r="W81" s="122">
        <f>IFERROR(V81/V148, "NA")</f>
        <v>1.4965458880741191E-2</v>
      </c>
      <c r="X81" s="121">
        <f>IFERROR(X74+X75+X76+X77+X78+X79+X80, "NA")</f>
        <v>495.85</v>
      </c>
      <c r="Y81" s="122">
        <f>IFERROR(X81/X148, "NA")</f>
        <v>2.2740875100610659E-2</v>
      </c>
      <c r="Z81" s="121">
        <f>IFERROR(Z74+Z75+Z76+Z77+Z78+Z79+Z80, "NA")</f>
        <v>1508.04</v>
      </c>
      <c r="AA81" s="122">
        <f>IFERROR(Z81/Z148, "NA")</f>
        <v>1.8753003136692335E-2</v>
      </c>
      <c r="AB81" s="121">
        <f t="shared" si="30"/>
        <v>505.49</v>
      </c>
      <c r="AC81" s="122">
        <f>IFERROR(AB81/AB148, "NA")</f>
        <v>1.8882835013988703E-2</v>
      </c>
      <c r="AD81" s="123">
        <f t="shared" si="31"/>
        <v>-9.6399999999999864</v>
      </c>
      <c r="AE81" s="124">
        <f>IFERROR(AD81/AD148, "NA")</f>
        <v>1.9414093141327104E-3</v>
      </c>
      <c r="AF81" s="123">
        <f t="shared" si="32"/>
        <v>-1.9070604759738048E-2</v>
      </c>
      <c r="AG81" s="121">
        <f t="shared" si="33"/>
        <v>535.02625</v>
      </c>
      <c r="AH81" s="122">
        <f>IFERROR(AG81/AG148, "NA")</f>
        <v>2.0704434798113128E-2</v>
      </c>
      <c r="AI81" s="123">
        <f t="shared" si="34"/>
        <v>-39.176249999999982</v>
      </c>
      <c r="AJ81" s="124">
        <f>IFERROR(AI81/AI148, "NA")</f>
        <v>9.7047965680673413E-3</v>
      </c>
      <c r="AK81" s="123">
        <f t="shared" si="35"/>
        <v>-7.3223042794629198E-2</v>
      </c>
      <c r="AL81" s="124">
        <f>IFERROR(AK81/AK148, "NA")</f>
        <v>0.46873033061263647</v>
      </c>
    </row>
    <row r="82" spans="1:38" ht="16.5" customHeight="1" x14ac:dyDescent="0.25">
      <c r="A82" s="5" t="s">
        <v>84</v>
      </c>
      <c r="B82" s="115">
        <v>248</v>
      </c>
      <c r="C82" s="116">
        <f>IFERROR(B82/B148, "NA")</f>
        <v>9.5830559206090196E-3</v>
      </c>
      <c r="D82" s="115">
        <v>0</v>
      </c>
      <c r="E82" s="116">
        <f>IFERROR(D82/D148, "NA")</f>
        <v>0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248</v>
      </c>
      <c r="M82" s="116">
        <f>IFERROR(L82/L148, "NA")</f>
        <v>9.3736404914055438E-3</v>
      </c>
      <c r="N82" s="115">
        <v>0</v>
      </c>
      <c r="O82" s="116">
        <f>IFERROR(N82/N148, "NA")</f>
        <v>0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224</v>
      </c>
      <c r="U82" s="116">
        <f>IFERROR(T82/T148, "NA")</f>
        <v>9.3336444548151598E-3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224</v>
      </c>
      <c r="AA82" s="116">
        <f>IFERROR(Z82/Z148, "NA")</f>
        <v>2.7855180914425899E-3</v>
      </c>
      <c r="AB82" s="117">
        <f t="shared" si="30"/>
        <v>56</v>
      </c>
      <c r="AC82" s="116">
        <f>IFERROR(AB82/AB148, "NA")</f>
        <v>2.0919083676895038E-3</v>
      </c>
      <c r="AD82" s="118">
        <f t="shared" si="31"/>
        <v>-56</v>
      </c>
      <c r="AE82" s="119">
        <f>IFERROR(AD82/AD148, "NA")</f>
        <v>1.1277896430646467E-2</v>
      </c>
      <c r="AF82" s="118">
        <f t="shared" si="32"/>
        <v>-1</v>
      </c>
      <c r="AG82" s="117">
        <f t="shared" si="33"/>
        <v>59</v>
      </c>
      <c r="AH82" s="116">
        <f>IFERROR(AG82/AG148, "NA")</f>
        <v>2.2831807842861439E-3</v>
      </c>
      <c r="AI82" s="118">
        <f t="shared" si="34"/>
        <v>-59</v>
      </c>
      <c r="AJ82" s="119">
        <f>IFERROR(AI82/AI148, "NA")</f>
        <v>1.4615564213419443E-2</v>
      </c>
      <c r="AK82" s="118">
        <f t="shared" si="35"/>
        <v>-1</v>
      </c>
      <c r="AL82" s="119">
        <f>IFERROR(AK82/AK148, "NA")</f>
        <v>6.4014047043537659</v>
      </c>
    </row>
    <row r="83" spans="1:38" ht="16.5" customHeight="1" x14ac:dyDescent="0.25">
      <c r="A83" s="5" t="s">
        <v>85</v>
      </c>
      <c r="B83" s="115">
        <v>-159.66</v>
      </c>
      <c r="C83" s="116">
        <f>IFERROR(B83/B148, "NA")</f>
        <v>-6.1694786624372422E-3</v>
      </c>
      <c r="D83" s="115">
        <v>-159.66</v>
      </c>
      <c r="E83" s="116">
        <f>IFERROR(D83/D148, "NA")</f>
        <v>-6.2132419183296862E-3</v>
      </c>
      <c r="F83" s="115">
        <v>1214.48</v>
      </c>
      <c r="G83" s="116">
        <f>IFERROR(F83/F148, "NA")</f>
        <v>4.8262041170245615E-2</v>
      </c>
      <c r="H83" s="115">
        <v>-159.66</v>
      </c>
      <c r="I83" s="116">
        <f>IFERROR(H83/H148, "NA")</f>
        <v>-5.5759822753192762E-3</v>
      </c>
      <c r="J83" s="115">
        <v>-159.66</v>
      </c>
      <c r="K83" s="116">
        <f>IFERROR(J83/J148, "NA")</f>
        <v>-5.6896378459628371E-3</v>
      </c>
      <c r="L83" s="115">
        <v>-159.66</v>
      </c>
      <c r="M83" s="116">
        <f>IFERROR(L83/L148, "NA")</f>
        <v>-6.0346590357169723E-3</v>
      </c>
      <c r="N83" s="115">
        <v>-159.66</v>
      </c>
      <c r="O83" s="116">
        <f>IFERROR(N83/N148, "NA")</f>
        <v>-7.7469955282280607E-3</v>
      </c>
      <c r="P83" s="115">
        <v>1252.95</v>
      </c>
      <c r="Q83" s="116">
        <f>IFERROR(P83/P148, "NA")</f>
        <v>5.1095164361311465E-2</v>
      </c>
      <c r="R83" s="115">
        <v>-159.66</v>
      </c>
      <c r="S83" s="116">
        <f>IFERROR(R83/R148, "NA")</f>
        <v>-5.9879970026260774E-3</v>
      </c>
      <c r="T83" s="115">
        <v>-159.66</v>
      </c>
      <c r="U83" s="116">
        <f>IFERROR(T83/T148, "NA")</f>
        <v>-6.6527217573919125E-3</v>
      </c>
      <c r="V83" s="115">
        <v>-159.66</v>
      </c>
      <c r="W83" s="116">
        <f>IFERROR(V83/V148, "NA")</f>
        <v>-4.6128017237767882E-3</v>
      </c>
      <c r="X83" s="115">
        <v>1290.8599999999999</v>
      </c>
      <c r="Y83" s="116">
        <f>IFERROR(X83/X148, "NA")</f>
        <v>5.9201948235099874E-2</v>
      </c>
      <c r="Z83" s="115">
        <v>971.54</v>
      </c>
      <c r="AA83" s="116">
        <f>IFERROR(Z83/Z148, "NA")</f>
        <v>1.2081438600714884E-2</v>
      </c>
      <c r="AB83" s="117">
        <f t="shared" si="30"/>
        <v>202.96999999999997</v>
      </c>
      <c r="AC83" s="116">
        <f>IFERROR(AB83/AB148, "NA")</f>
        <v>7.5820471676774741E-3</v>
      </c>
      <c r="AD83" s="118">
        <f t="shared" si="31"/>
        <v>1087.8899999999999</v>
      </c>
      <c r="AE83" s="119">
        <f>IFERROR(AD83/AD148, "NA")</f>
        <v>-0.21909126335599971</v>
      </c>
      <c r="AF83" s="118">
        <f t="shared" si="32"/>
        <v>5.3598561363748338</v>
      </c>
      <c r="AG83" s="117">
        <f t="shared" si="33"/>
        <v>198.23124999999999</v>
      </c>
      <c r="AH83" s="116">
        <f>IFERROR(AG83/AG148, "NA")</f>
        <v>7.6711488278817398E-3</v>
      </c>
      <c r="AI83" s="118">
        <f t="shared" si="34"/>
        <v>1092.6287499999999</v>
      </c>
      <c r="AJ83" s="119">
        <f>IFERROR(AI83/AI148, "NA")</f>
        <v>-0.27066755350937655</v>
      </c>
      <c r="AK83" s="118">
        <f t="shared" si="35"/>
        <v>5.5118895229687546</v>
      </c>
      <c r="AL83" s="119">
        <f>IFERROR(AK83/AK148, "NA")</f>
        <v>-35.283835522210424</v>
      </c>
    </row>
    <row r="84" spans="1:38" ht="16.5" customHeight="1" x14ac:dyDescent="0.25">
      <c r="A84" s="130" t="s">
        <v>86</v>
      </c>
      <c r="B84" s="121">
        <f>IFERROR(B63+B65+B66+B67+B68+B69+B71+B72+B74+B75+B76+B77+B78+B79+B80+B82+B83, "NA")</f>
        <v>6848.59</v>
      </c>
      <c r="C84" s="122">
        <f>IFERROR(B84/B148, "NA")</f>
        <v>0.26463879414243435</v>
      </c>
      <c r="D84" s="121">
        <f>IFERROR(D63+D65+D66+D67+D68+D69+D71+D72+D74+D75+D76+D77+D78+D79+D80+D82+D83, "NA")</f>
        <v>6642.89</v>
      </c>
      <c r="E84" s="122">
        <f>IFERROR(D84/D148, "NA")</f>
        <v>0.25851110238540081</v>
      </c>
      <c r="F84" s="121">
        <f>IFERROR(F63+F65+F66+F67+F68+F69+F71+F72+F74+F75+F76+F77+F78+F79+F80+F82+F83, "NA")</f>
        <v>7662.1</v>
      </c>
      <c r="G84" s="122">
        <f>IFERROR(F84/F148, "NA")</f>
        <v>0.30448305912863027</v>
      </c>
      <c r="H84" s="121">
        <f>IFERROR(H63+H65+H66+H67+H68+H69+H71+H72+H74+H75+H76+H77+H78+H79+H80+H82+H83, "NA")</f>
        <v>7009.39</v>
      </c>
      <c r="I84" s="122">
        <f>IFERROR(H84/H148, "NA")</f>
        <v>0.24479665790304511</v>
      </c>
      <c r="J84" s="121">
        <f>IFERROR(J63+J65+J66+J67+J68+J69+J71+J72+J74+J75+J76+J77+J78+J79+J80+J82+J83, "NA")</f>
        <v>7879.5</v>
      </c>
      <c r="K84" s="122">
        <f>IFERROR(J84/J148, "NA")</f>
        <v>0.28079357013193146</v>
      </c>
      <c r="L84" s="121">
        <f>IFERROR(L63+L65+L66+L67+L68+L69+L71+L72+L74+L75+L76+L77+L78+L79+L80+L82+L83, "NA")</f>
        <v>7105.7400000000007</v>
      </c>
      <c r="M84" s="122">
        <f>IFERROR(L84/L148, "NA")</f>
        <v>0.26857521042500015</v>
      </c>
      <c r="N84" s="121">
        <f>IFERROR(N63+N65+N66+N67+N68+N69+N71+N72+N74+N75+N76+N77+N78+N79+N80+N82+N83, "NA")</f>
        <v>6983.57</v>
      </c>
      <c r="O84" s="122">
        <f>IFERROR(N84/N148, "NA")</f>
        <v>0.33885560291286254</v>
      </c>
      <c r="P84" s="121">
        <f>IFERROR(P63+P65+P66+P67+P68+P69+P71+P72+P74+P75+P76+P77+P78+P79+P80+P82+P83, "NA")</f>
        <v>7087.3499999999995</v>
      </c>
      <c r="Q84" s="122">
        <f>IFERROR(P84/P148, "NA")</f>
        <v>0.28902136009907881</v>
      </c>
      <c r="R84" s="121">
        <f>IFERROR(R63+R65+R66+R67+R68+R69+R71+R72+R74+R75+R76+R77+R78+R79+R80+R82+R83, "NA")</f>
        <v>6681.2300000000005</v>
      </c>
      <c r="S84" s="122">
        <f>IFERROR(R84/R148, "NA")</f>
        <v>0.25057738452871997</v>
      </c>
      <c r="T84" s="121">
        <f>IFERROR(T63+T65+T66+T67+T68+T69+T71+T72+T74+T75+T76+T77+T78+T79+T80+T82+T83, "NA")</f>
        <v>6463.55</v>
      </c>
      <c r="U84" s="122">
        <f>IFERROR(T84/T148, "NA")</f>
        <v>0.26932356078535952</v>
      </c>
      <c r="V84" s="121">
        <f>IFERROR(V63+V65+V66+V67+V68+V69+V71+V72+V74+V75+V76+V77+V78+V79+V80+V82+V83, "NA")</f>
        <v>6246.1100000000006</v>
      </c>
      <c r="W84" s="122">
        <f>IFERROR(V84/V148, "NA")</f>
        <v>0.18045889374232391</v>
      </c>
      <c r="X84" s="121">
        <f>IFERROR(X63+X65+X66+X67+X68+X69+X71+X72+X74+X75+X76+X77+X78+X79+X80+X82+X83, "NA")</f>
        <v>7239.95</v>
      </c>
      <c r="Y84" s="122">
        <f>IFERROR(X84/X148, "NA")</f>
        <v>0.33204154216933779</v>
      </c>
      <c r="Z84" s="121">
        <f>IFERROR(Z63+Z65+Z66+Z67+Z68+Z69+Z71+Z72+Z74+Z75+Z76+Z77+Z78+Z79+Z80+Z82+Z83, "NA")</f>
        <v>19949.61</v>
      </c>
      <c r="AA84" s="122">
        <f>IFERROR(Z84/Z148, "NA")</f>
        <v>0.2480803552331429</v>
      </c>
      <c r="AB84" s="121">
        <f t="shared" si="30"/>
        <v>6657.71</v>
      </c>
      <c r="AC84" s="122">
        <f>IFERROR(AB84/AB148, "NA")</f>
        <v>0.24870212961875154</v>
      </c>
      <c r="AD84" s="123">
        <f t="shared" si="31"/>
        <v>582.23999999999978</v>
      </c>
      <c r="AE84" s="124">
        <f>IFERROR(AD84/AD148, "NA")</f>
        <v>-0.11725790031749279</v>
      </c>
      <c r="AF84" s="123">
        <f t="shared" si="32"/>
        <v>8.7453493768878454E-2</v>
      </c>
      <c r="AG84" s="121">
        <f t="shared" si="33"/>
        <v>6960.875</v>
      </c>
      <c r="AH84" s="122">
        <f>IFERROR(AG84/AG148, "NA")</f>
        <v>0.26937179731894595</v>
      </c>
      <c r="AI84" s="123">
        <f t="shared" si="34"/>
        <v>279.07499999999982</v>
      </c>
      <c r="AJ84" s="124">
        <f>IFERROR(AI84/AI148, "NA")</f>
        <v>-6.9132857336610648E-2</v>
      </c>
      <c r="AK84" s="123">
        <f t="shared" si="35"/>
        <v>4.0091942464129844E-2</v>
      </c>
      <c r="AL84" s="124">
        <f>IFERROR(AK84/AK148, "NA")</f>
        <v>-0.25664474909656132</v>
      </c>
    </row>
    <row r="85" spans="1:38" ht="16.5" customHeight="1" x14ac:dyDescent="0.25">
      <c r="A85" s="120" t="s">
        <v>86</v>
      </c>
      <c r="B85" s="131">
        <f>IFERROR(B63+B65+B66+B67+B68+B69+B71+B72+B74+B75+B76+B77+B78+B79+B80+B82+B83, "NA")</f>
        <v>6848.59</v>
      </c>
      <c r="C85" s="132">
        <f>IFERROR(B85/B148, "NA")</f>
        <v>0.26463879414243435</v>
      </c>
      <c r="D85" s="131">
        <f>IFERROR(D63+D65+D66+D67+D68+D69+D71+D72+D74+D75+D76+D77+D78+D79+D80+D82+D83, "NA")</f>
        <v>6642.89</v>
      </c>
      <c r="E85" s="132">
        <f>IFERROR(D85/D148, "NA")</f>
        <v>0.25851110238540081</v>
      </c>
      <c r="F85" s="131">
        <f>IFERROR(F63+F65+F66+F67+F68+F69+F71+F72+F74+F75+F76+F77+F78+F79+F80+F82+F83, "NA")</f>
        <v>7662.1</v>
      </c>
      <c r="G85" s="132">
        <f>IFERROR(F85/F148, "NA")</f>
        <v>0.30448305912863027</v>
      </c>
      <c r="H85" s="131">
        <f>IFERROR(H63+H65+H66+H67+H68+H69+H71+H72+H74+H75+H76+H77+H78+H79+H80+H82+H83, "NA")</f>
        <v>7009.39</v>
      </c>
      <c r="I85" s="132">
        <f>IFERROR(H85/H148, "NA")</f>
        <v>0.24479665790304511</v>
      </c>
      <c r="J85" s="131">
        <f>IFERROR(J63+J65+J66+J67+J68+J69+J71+J72+J74+J75+J76+J77+J78+J79+J80+J82+J83, "NA")</f>
        <v>7879.5</v>
      </c>
      <c r="K85" s="132">
        <f>IFERROR(J85/J148, "NA")</f>
        <v>0.28079357013193146</v>
      </c>
      <c r="L85" s="131">
        <f>IFERROR(L63+L65+L66+L67+L68+L69+L71+L72+L74+L75+L76+L77+L78+L79+L80+L82+L83, "NA")</f>
        <v>7105.7400000000007</v>
      </c>
      <c r="M85" s="132">
        <f>IFERROR(L85/L148, "NA")</f>
        <v>0.26857521042500015</v>
      </c>
      <c r="N85" s="131">
        <f>IFERROR(N63+N65+N66+N67+N68+N69+N71+N72+N74+N75+N76+N77+N78+N79+N80+N82+N83, "NA")</f>
        <v>6983.57</v>
      </c>
      <c r="O85" s="132">
        <f>IFERROR(N85/N148, "NA")</f>
        <v>0.33885560291286254</v>
      </c>
      <c r="P85" s="131">
        <f>IFERROR(P63+P65+P66+P67+P68+P69+P71+P72+P74+P75+P76+P77+P78+P79+P80+P82+P83, "NA")</f>
        <v>7087.3499999999995</v>
      </c>
      <c r="Q85" s="132">
        <f>IFERROR(P85/P148, "NA")</f>
        <v>0.28902136009907881</v>
      </c>
      <c r="R85" s="131">
        <f>IFERROR(R63+R65+R66+R67+R68+R69+R71+R72+R74+R75+R76+R77+R78+R79+R80+R82+R83, "NA")</f>
        <v>6681.2300000000005</v>
      </c>
      <c r="S85" s="132">
        <f>IFERROR(R85/R148, "NA")</f>
        <v>0.25057738452871997</v>
      </c>
      <c r="T85" s="131">
        <f>IFERROR(T63+T65+T66+T67+T68+T69+T71+T72+T74+T75+T76+T77+T78+T79+T80+T82+T83, "NA")</f>
        <v>6463.55</v>
      </c>
      <c r="U85" s="132">
        <f>IFERROR(T85/T148, "NA")</f>
        <v>0.26932356078535952</v>
      </c>
      <c r="V85" s="131">
        <f>IFERROR(V63+V65+V66+V67+V68+V69+V71+V72+V74+V75+V76+V77+V78+V79+V80+V82+V83, "NA")</f>
        <v>6246.1100000000006</v>
      </c>
      <c r="W85" s="132">
        <f>IFERROR(V85/V148, "NA")</f>
        <v>0.18045889374232391</v>
      </c>
      <c r="X85" s="131">
        <f>IFERROR(X63+X65+X66+X67+X68+X69+X71+X72+X74+X75+X76+X77+X78+X79+X80+X82+X83, "NA")</f>
        <v>7239.95</v>
      </c>
      <c r="Y85" s="132">
        <f>IFERROR(X85/X148, "NA")</f>
        <v>0.33204154216933779</v>
      </c>
      <c r="Z85" s="131">
        <f>IFERROR(Z63+Z65+Z66+Z67+Z68+Z69+Z71+Z72+Z74+Z75+Z76+Z77+Z78+Z79+Z80+Z82+Z83, "NA")</f>
        <v>19949.61</v>
      </c>
      <c r="AA85" s="132">
        <f>IFERROR(Z85/Z148, "NA")</f>
        <v>0.2480803552331429</v>
      </c>
      <c r="AB85" s="131">
        <f t="shared" si="30"/>
        <v>6657.71</v>
      </c>
      <c r="AC85" s="132">
        <f>IFERROR(AB85/AB148, "NA")</f>
        <v>0.24870212961875154</v>
      </c>
      <c r="AD85" s="133">
        <f t="shared" si="31"/>
        <v>582.23999999999978</v>
      </c>
      <c r="AE85" s="134">
        <f>IFERROR(AD85/AD148, "NA")</f>
        <v>-0.11725790031749279</v>
      </c>
      <c r="AF85" s="133">
        <f t="shared" si="32"/>
        <v>8.7453493768878454E-2</v>
      </c>
      <c r="AG85" s="131">
        <f t="shared" si="33"/>
        <v>6960.875</v>
      </c>
      <c r="AH85" s="132">
        <f>IFERROR(AG85/AG148, "NA")</f>
        <v>0.26937179731894595</v>
      </c>
      <c r="AI85" s="133">
        <f t="shared" si="34"/>
        <v>279.07499999999982</v>
      </c>
      <c r="AJ85" s="134">
        <f>IFERROR(AI85/AI148, "NA")</f>
        <v>-6.9132857336610648E-2</v>
      </c>
      <c r="AK85" s="133">
        <f t="shared" si="35"/>
        <v>4.0091942464129844E-2</v>
      </c>
      <c r="AL85" s="134">
        <f>IFERROR(AK85/AK148, "NA")</f>
        <v>-0.25664474909656132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87</v>
      </c>
      <c r="B87" s="136">
        <f>IFERROR(B59-B85, "NA")</f>
        <v>11350.109999999997</v>
      </c>
      <c r="C87" s="137">
        <f>IFERROR(B87/B148, "NA")</f>
        <v>0.43858362433493392</v>
      </c>
      <c r="D87" s="136">
        <f>IFERROR(D59-D85, "NA")</f>
        <v>11923.700000000004</v>
      </c>
      <c r="E87" s="137">
        <f>IFERROR(D87/D148, "NA")</f>
        <v>0.4640162386420375</v>
      </c>
      <c r="F87" s="136">
        <f>IFERROR(F59-F85, "NA")</f>
        <v>11082.239999999996</v>
      </c>
      <c r="G87" s="137">
        <f>IFERROR(F87/F148, "NA")</f>
        <v>0.44039549695222857</v>
      </c>
      <c r="H87" s="136">
        <f>IFERROR(H59-H85, "NA")</f>
        <v>13961.55999999999</v>
      </c>
      <c r="I87" s="137">
        <f>IFERROR(H87/H148, "NA")</f>
        <v>0.48759495863589214</v>
      </c>
      <c r="J87" s="136">
        <f>IFERROR(J59-J85, "NA")</f>
        <v>13214.209999999995</v>
      </c>
      <c r="K87" s="137">
        <f>IFERROR(J87/J148, "NA")</f>
        <v>0.47090109808656244</v>
      </c>
      <c r="L87" s="136">
        <f>IFERROR(L59-L85, "NA")</f>
        <v>13089.289999999997</v>
      </c>
      <c r="M87" s="137">
        <f>IFERROR(L87/L148, "NA")</f>
        <v>0.49473507559576468</v>
      </c>
      <c r="N87" s="136">
        <f>IFERROR(N59-N85, "NA")</f>
        <v>7998.9199999999983</v>
      </c>
      <c r="O87" s="137">
        <f>IFERROR(N87/N148, "NA")</f>
        <v>0.38812224396000244</v>
      </c>
      <c r="P87" s="136">
        <f>IFERROR(P59-P85, "NA")</f>
        <v>11134.95</v>
      </c>
      <c r="Q87" s="137">
        <f>IFERROR(P87/P148, "NA")</f>
        <v>0.45408204669379076</v>
      </c>
      <c r="R87" s="136">
        <f>IFERROR(R59-R85, "NA")</f>
        <v>12991.080000000005</v>
      </c>
      <c r="S87" s="137">
        <f>IFERROR(R87/R148, "NA")</f>
        <v>0.48722628147861463</v>
      </c>
      <c r="T87" s="136">
        <f>IFERROR(T59-T85, "NA")</f>
        <v>11049.960000000003</v>
      </c>
      <c r="U87" s="137">
        <f>IFERROR(T87/T148, "NA")</f>
        <v>0.46043034767825602</v>
      </c>
      <c r="V87" s="136">
        <f>IFERROR(V59-V85, "NA")</f>
        <v>20754.309999999987</v>
      </c>
      <c r="W87" s="137">
        <f>IFERROR(V87/V148, "NA")</f>
        <v>0.59962117589751829</v>
      </c>
      <c r="X87" s="136">
        <f>IFERROR(X59-X85, "NA")</f>
        <v>8427.4399999999987</v>
      </c>
      <c r="Y87" s="137">
        <f>IFERROR(X87/X148, "NA")</f>
        <v>0.38650269326992087</v>
      </c>
      <c r="Z87" s="136">
        <f>IFERROR(Z59-Z85, "NA")</f>
        <v>40231.710000000006</v>
      </c>
      <c r="AA87" s="137">
        <f>IFERROR(Z87/Z148, "NA")</f>
        <v>0.50029533952978478</v>
      </c>
      <c r="AB87" s="136">
        <f>IFERROR((R87+T87+V87+X87)/4, "NA")</f>
        <v>13305.697499999998</v>
      </c>
      <c r="AC87" s="137">
        <f>IFERROR(AB87/AB148, "NA")</f>
        <v>0.49704107032491623</v>
      </c>
      <c r="AD87" s="123">
        <f>IFERROR(X87-AB87, "NA")</f>
        <v>-4878.2574999999997</v>
      </c>
      <c r="AE87" s="124">
        <f>IFERROR(AD87/AD148, "NA")</f>
        <v>0.98243719369686344</v>
      </c>
      <c r="AF87" s="123">
        <f>IFERROR((X87-AB87)/AB87, "NA")</f>
        <v>-0.36662922030205486</v>
      </c>
      <c r="AG87" s="136">
        <f>IFERROR((J87+L87+N87+P87+R87+T87+V87+X87)/8, "NA")</f>
        <v>12332.519999999999</v>
      </c>
      <c r="AH87" s="137">
        <f>IFERROR(AG87/AG148, "NA")</f>
        <v>0.47724360484448392</v>
      </c>
      <c r="AI87" s="123">
        <f>IFERROR(X87-AG87, "NA")</f>
        <v>-3905.08</v>
      </c>
      <c r="AJ87" s="124">
        <f>IFERROR(AI87/AI148, "NA")</f>
        <v>0.96737199150067787</v>
      </c>
      <c r="AK87" s="123">
        <f>IFERROR((X87-AG87)/AG87, "NA")</f>
        <v>-0.31664898982527501</v>
      </c>
      <c r="AL87" s="124">
        <f>IFERROR(AK87/AK148, "NA")</f>
        <v>2.0269983330963832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88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89</v>
      </c>
      <c r="B90" s="115">
        <v>807.9</v>
      </c>
      <c r="C90" s="116">
        <f>IFERROR(B90/B148, "NA")</f>
        <v>3.1218350315564622E-2</v>
      </c>
      <c r="D90" s="115">
        <v>327.81000000000006</v>
      </c>
      <c r="E90" s="116">
        <f>IFERROR(D90/D148, "NA")</f>
        <v>1.2756876069445415E-2</v>
      </c>
      <c r="F90" s="115">
        <v>568.85</v>
      </c>
      <c r="G90" s="116">
        <f>IFERROR(F90/F148, "NA")</f>
        <v>2.2605446050733002E-2</v>
      </c>
      <c r="H90" s="115">
        <v>535.33000000000004</v>
      </c>
      <c r="I90" s="116">
        <f>IFERROR(H90/H148, "NA")</f>
        <v>1.8695920026598197E-2</v>
      </c>
      <c r="J90" s="115">
        <v>639.74</v>
      </c>
      <c r="K90" s="116">
        <f>IFERROR(J90/J148, "NA")</f>
        <v>2.2797750943105759E-2</v>
      </c>
      <c r="L90" s="115">
        <v>924.3</v>
      </c>
      <c r="M90" s="116">
        <f>IFERROR(L90/L148, "NA")</f>
        <v>3.4935709299218319E-2</v>
      </c>
      <c r="N90" s="115">
        <v>742.31999999999994</v>
      </c>
      <c r="O90" s="116">
        <f>IFERROR(N90/N148, "NA")</f>
        <v>3.6018725544997202E-2</v>
      </c>
      <c r="P90" s="115">
        <v>524.73</v>
      </c>
      <c r="Q90" s="116">
        <f>IFERROR(P90/P148, "NA")</f>
        <v>2.1398432176312675E-2</v>
      </c>
      <c r="R90" s="115">
        <v>1062.0500000000002</v>
      </c>
      <c r="S90" s="116">
        <f>IFERROR(R90/R148, "NA")</f>
        <v>3.9831844022541821E-2</v>
      </c>
      <c r="T90" s="115">
        <v>689.56000000000006</v>
      </c>
      <c r="U90" s="116">
        <f>IFERROR(T90/T148, "NA")</f>
        <v>2.8732624420814028E-2</v>
      </c>
      <c r="V90" s="115">
        <v>338.78999999999996</v>
      </c>
      <c r="W90" s="116">
        <f>IFERROR(V90/V148, "NA")</f>
        <v>9.7881191030836645E-3</v>
      </c>
      <c r="X90" s="115">
        <v>544.56000000000006</v>
      </c>
      <c r="Y90" s="116">
        <f>IFERROR(X90/X148, "NA")</f>
        <v>2.4974833003506187E-2</v>
      </c>
      <c r="Z90" s="115">
        <v>1572.91</v>
      </c>
      <c r="AA90" s="116">
        <f>IFERROR(Z90/Z148, "NA")</f>
        <v>1.9559684201834664E-2</v>
      </c>
      <c r="AB90" s="117">
        <f t="shared" ref="AB90:AB99" si="36">IFERROR((R90+T90+V90+X90)/4, "NA")</f>
        <v>658.74</v>
      </c>
      <c r="AC90" s="116">
        <f>IFERROR(AB90/AB148, "NA")</f>
        <v>2.4607566395210424E-2</v>
      </c>
      <c r="AD90" s="118">
        <f t="shared" ref="AD90:AD99" si="37">IFERROR(X90-AB90, "NA")</f>
        <v>-114.17999999999995</v>
      </c>
      <c r="AE90" s="119">
        <f>IFERROR(AD90/AD148, "NA")</f>
        <v>2.2994825258057374E-2</v>
      </c>
      <c r="AF90" s="118">
        <f t="shared" ref="AF90:AF99" si="38">IFERROR((X90-AB90)/AB90, "NA")</f>
        <v>-0.17333090445395749</v>
      </c>
      <c r="AG90" s="117">
        <f t="shared" ref="AG90:AG99" si="39">IFERROR((J90+L90+N90+P90+R90+T90+V90+X90)/8, "NA")</f>
        <v>683.25625000000002</v>
      </c>
      <c r="AH90" s="116">
        <f>IFERROR(AG90/AG148, "NA")</f>
        <v>2.6440636283786605E-2</v>
      </c>
      <c r="AI90" s="118">
        <f t="shared" ref="AI90:AI99" si="40">IFERROR(X90-AG90, "NA")</f>
        <v>-138.69624999999996</v>
      </c>
      <c r="AJ90" s="119">
        <f>IFERROR(AI90/AI148, "NA")</f>
        <v>3.4358033017550436E-2</v>
      </c>
      <c r="AK90" s="118">
        <f t="shared" ref="AK90:AK99" si="41">IFERROR((X90-AG90)/AG90, "NA")</f>
        <v>-0.20299302055414781</v>
      </c>
      <c r="AL90" s="119">
        <f>IFERROR(AK90/AK148, "NA")</f>
        <v>1.2994404767263026</v>
      </c>
    </row>
    <row r="91" spans="1:38" ht="16.5" hidden="1" customHeight="1" x14ac:dyDescent="0.25">
      <c r="A91" s="2" t="s">
        <v>90</v>
      </c>
      <c r="B91" s="115">
        <v>1082.6399999999999</v>
      </c>
      <c r="C91" s="116">
        <f>IFERROR(B91/B148, "NA")</f>
        <v>4.1834676056000594E-2</v>
      </c>
      <c r="D91" s="115">
        <v>1519.56</v>
      </c>
      <c r="E91" s="116">
        <f>IFERROR(D91/D148, "NA")</f>
        <v>5.9134372350100578E-2</v>
      </c>
      <c r="F91" s="115">
        <v>1691.7400000000002</v>
      </c>
      <c r="G91" s="116">
        <f>IFERROR(F91/F148, "NA")</f>
        <v>6.7227805751721992E-2</v>
      </c>
      <c r="H91" s="115">
        <v>1378.79</v>
      </c>
      <c r="I91" s="116">
        <f>IFERROR(H91/H148, "NA")</f>
        <v>4.8153003891942027E-2</v>
      </c>
      <c r="J91" s="115">
        <v>1062.1199999999999</v>
      </c>
      <c r="K91" s="116">
        <f>IFERROR(J91/J148, "NA")</f>
        <v>3.7849668977540073E-2</v>
      </c>
      <c r="L91" s="115">
        <v>492.55</v>
      </c>
      <c r="M91" s="116">
        <f>IFERROR(L91/L148, "NA")</f>
        <v>1.8616881548555647E-2</v>
      </c>
      <c r="N91" s="115">
        <v>221.31</v>
      </c>
      <c r="O91" s="116">
        <f>IFERROR(N91/N148, "NA")</f>
        <v>1.0738366405813304E-2</v>
      </c>
      <c r="P91" s="115">
        <v>242.42</v>
      </c>
      <c r="Q91" s="116">
        <f>IFERROR(P91/P148, "NA")</f>
        <v>9.8858611632300763E-3</v>
      </c>
      <c r="R91" s="115">
        <v>385.49</v>
      </c>
      <c r="S91" s="116">
        <f>IFERROR(R91/R148, "NA")</f>
        <v>1.4457678595404777E-2</v>
      </c>
      <c r="T91" s="115">
        <v>349.33</v>
      </c>
      <c r="U91" s="116">
        <f>IFERROR(T91/T148, "NA")</f>
        <v>1.4555901863395445E-2</v>
      </c>
      <c r="V91" s="115">
        <v>384.32</v>
      </c>
      <c r="W91" s="116">
        <f>IFERROR(V91/V148, "NA")</f>
        <v>1.1103544773154799E-2</v>
      </c>
      <c r="X91" s="115">
        <v>417.65000000000003</v>
      </c>
      <c r="Y91" s="116">
        <f>IFERROR(X91/X148, "NA")</f>
        <v>1.9154434780215876E-2</v>
      </c>
      <c r="Z91" s="115">
        <v>1151.3</v>
      </c>
      <c r="AA91" s="116">
        <f>IFERROR(Z91/Z148, "NA")</f>
        <v>1.4316816869097561E-2</v>
      </c>
      <c r="AB91" s="117">
        <f t="shared" si="36"/>
        <v>384.19749999999999</v>
      </c>
      <c r="AC91" s="116">
        <f>IFERROR(AB91/AB148, "NA")</f>
        <v>1.4351892233846216E-2</v>
      </c>
      <c r="AD91" s="118">
        <f t="shared" si="37"/>
        <v>33.452500000000043</v>
      </c>
      <c r="AE91" s="119">
        <f>IFERROR(AD91/AD148, "NA")</f>
        <v>-6.7370326847535963E-3</v>
      </c>
      <c r="AF91" s="118">
        <f t="shared" si="38"/>
        <v>8.7071102753141408E-2</v>
      </c>
      <c r="AG91" s="117">
        <f t="shared" si="39"/>
        <v>444.39875000000001</v>
      </c>
      <c r="AH91" s="116">
        <f>IFERROR(AG91/AG148, "NA")</f>
        <v>1.7197333670521727E-2</v>
      </c>
      <c r="AI91" s="118">
        <f t="shared" si="40"/>
        <v>-26.748749999999973</v>
      </c>
      <c r="AJ91" s="119">
        <f>IFERROR(AI91/AI148, "NA")</f>
        <v>6.6262385297237783E-3</v>
      </c>
      <c r="AK91" s="118">
        <f t="shared" si="41"/>
        <v>-6.019087587442578E-2</v>
      </c>
      <c r="AL91" s="119">
        <f>IFERROR(AK91/AK148, "NA")</f>
        <v>0.3853061559817228</v>
      </c>
    </row>
    <row r="92" spans="1:38" ht="16.5" hidden="1" customHeight="1" x14ac:dyDescent="0.25">
      <c r="A92" s="2" t="s">
        <v>91</v>
      </c>
      <c r="B92" s="115">
        <v>334.09</v>
      </c>
      <c r="C92" s="116">
        <f>IFERROR(B92/B148, "NA")</f>
        <v>1.290969013111398E-2</v>
      </c>
      <c r="D92" s="115">
        <v>187.85999999999999</v>
      </c>
      <c r="E92" s="116">
        <f>IFERROR(D92/D148, "NA")</f>
        <v>7.3106578152161766E-3</v>
      </c>
      <c r="F92" s="115">
        <v>306.83</v>
      </c>
      <c r="G92" s="116">
        <f>IFERROR(F92/F148, "NA")</f>
        <v>1.2193072007992276E-2</v>
      </c>
      <c r="H92" s="115">
        <v>210.22</v>
      </c>
      <c r="I92" s="116">
        <f>IFERROR(H92/H148, "NA")</f>
        <v>7.341744919939986E-3</v>
      </c>
      <c r="J92" s="115">
        <v>237.22</v>
      </c>
      <c r="K92" s="116">
        <f>IFERROR(J92/J148, "NA")</f>
        <v>8.4535631330283374E-3</v>
      </c>
      <c r="L92" s="115">
        <v>349.69</v>
      </c>
      <c r="M92" s="116">
        <f>IFERROR(L92/L148, "NA")</f>
        <v>1.321721106225647E-2</v>
      </c>
      <c r="N92" s="115">
        <v>120.5</v>
      </c>
      <c r="O92" s="116">
        <f>IFERROR(N92/N148, "NA")</f>
        <v>5.8468806285323898E-3</v>
      </c>
      <c r="P92" s="115">
        <v>307.68</v>
      </c>
      <c r="Q92" s="116">
        <f>IFERROR(P92/P148, "NA")</f>
        <v>1.2547156846393162E-2</v>
      </c>
      <c r="R92" s="115">
        <v>240.28</v>
      </c>
      <c r="S92" s="116">
        <f>IFERROR(R92/R148, "NA")</f>
        <v>9.0116242001189641E-3</v>
      </c>
      <c r="T92" s="115">
        <v>13.41</v>
      </c>
      <c r="U92" s="116">
        <f>IFERROR(T92/T148, "NA")</f>
        <v>5.5876862562085402E-4</v>
      </c>
      <c r="V92" s="115">
        <v>10.43</v>
      </c>
      <c r="W92" s="116">
        <f>IFERROR(V92/V148, "NA")</f>
        <v>3.0133735424647313E-4</v>
      </c>
      <c r="X92" s="115">
        <v>11.92</v>
      </c>
      <c r="Y92" s="116">
        <f>IFERROR(X92/X148, "NA")</f>
        <v>5.4667990561516402E-4</v>
      </c>
      <c r="Z92" s="115">
        <v>35.76</v>
      </c>
      <c r="AA92" s="116">
        <f>IFERROR(Z92/Z148, "NA")</f>
        <v>4.4468806674101348E-4</v>
      </c>
      <c r="AB92" s="117">
        <f t="shared" si="36"/>
        <v>69.010000000000005</v>
      </c>
      <c r="AC92" s="116">
        <f>IFERROR(AB92/AB148, "NA")</f>
        <v>2.5779035081116546E-3</v>
      </c>
      <c r="AD92" s="118">
        <f t="shared" si="37"/>
        <v>-57.09</v>
      </c>
      <c r="AE92" s="119">
        <f>IFERROR(AD92/AD148, "NA")</f>
        <v>1.1497412629028694E-2</v>
      </c>
      <c r="AF92" s="118">
        <f t="shared" si="38"/>
        <v>-0.82727140994058834</v>
      </c>
      <c r="AG92" s="117">
        <f t="shared" si="39"/>
        <v>161.39125000000001</v>
      </c>
      <c r="AH92" s="116">
        <f>IFERROR(AG92/AG148, "NA")</f>
        <v>6.2455152669817146E-3</v>
      </c>
      <c r="AI92" s="118">
        <f t="shared" si="40"/>
        <v>-149.47125000000003</v>
      </c>
      <c r="AJ92" s="119">
        <f>IFERROR(AI92/AI148, "NA")</f>
        <v>3.7027231397204596E-2</v>
      </c>
      <c r="AK92" s="118">
        <f t="shared" si="41"/>
        <v>-0.9261422165080202</v>
      </c>
      <c r="AL92" s="119">
        <f>IFERROR(AK92/AK148, "NA")</f>
        <v>5.9286111416550646</v>
      </c>
    </row>
    <row r="93" spans="1:38" ht="16.5" hidden="1" customHeight="1" x14ac:dyDescent="0.25">
      <c r="A93" s="2" t="s">
        <v>92</v>
      </c>
      <c r="B93" s="115">
        <v>1160.69</v>
      </c>
      <c r="C93" s="116">
        <f>IFERROR(B93/B148, "NA")</f>
        <v>4.4850633776176138E-2</v>
      </c>
      <c r="D93" s="115">
        <v>1401.12</v>
      </c>
      <c r="E93" s="116">
        <f>IFERROR(D93/D148, "NA")</f>
        <v>5.4525225583177309E-2</v>
      </c>
      <c r="F93" s="115">
        <v>1238.4000000000001</v>
      </c>
      <c r="G93" s="116">
        <f>IFERROR(F93/F148, "NA")</f>
        <v>4.9212594513892503E-2</v>
      </c>
      <c r="H93" s="115">
        <v>1823.9299999999998</v>
      </c>
      <c r="I93" s="116">
        <f>IFERROR(H93/H148, "NA")</f>
        <v>6.3699119074427449E-2</v>
      </c>
      <c r="J93" s="115">
        <v>1550.31</v>
      </c>
      <c r="K93" s="116">
        <f>IFERROR(J93/J148, "NA")</f>
        <v>5.5246789734276873E-2</v>
      </c>
      <c r="L93" s="115">
        <v>2255.71</v>
      </c>
      <c r="M93" s="116">
        <f>IFERROR(L93/L148, "NA")</f>
        <v>8.5258929809953227E-2</v>
      </c>
      <c r="N93" s="115">
        <v>906.67</v>
      </c>
      <c r="O93" s="116">
        <f>IFERROR(N93/N148, "NA")</f>
        <v>4.3993288460344081E-2</v>
      </c>
      <c r="P93" s="115">
        <v>1572.87</v>
      </c>
      <c r="Q93" s="116">
        <f>IFERROR(P93/P148, "NA")</f>
        <v>6.4141467072888744E-2</v>
      </c>
      <c r="R93" s="115">
        <v>1912.9599999999998</v>
      </c>
      <c r="S93" s="116">
        <f>IFERROR(R93/R148, "NA")</f>
        <v>7.1744950182535266E-2</v>
      </c>
      <c r="T93" s="115">
        <v>1354.49</v>
      </c>
      <c r="U93" s="116">
        <f>IFERROR(T93/T148, "NA")</f>
        <v>5.6438964632154406E-2</v>
      </c>
      <c r="V93" s="115">
        <v>2765.26</v>
      </c>
      <c r="W93" s="116">
        <f>IFERROR(V93/V148, "NA")</f>
        <v>7.9892246615877502E-2</v>
      </c>
      <c r="X93" s="115">
        <v>1155.2299999999998</v>
      </c>
      <c r="Y93" s="116">
        <f>IFERROR(X93/X148, "NA")</f>
        <v>5.2981629812399816E-2</v>
      </c>
      <c r="Z93" s="115">
        <v>5274.98</v>
      </c>
      <c r="AA93" s="116">
        <f>IFERROR(Z93/Z148, "NA")</f>
        <v>6.5596215276776032E-2</v>
      </c>
      <c r="AB93" s="117">
        <f t="shared" si="36"/>
        <v>1796.9849999999999</v>
      </c>
      <c r="AC93" s="116">
        <f>IFERROR(AB93/AB148, "NA")</f>
        <v>6.7127284966295053E-2</v>
      </c>
      <c r="AD93" s="118">
        <f t="shared" si="37"/>
        <v>-641.75500000000011</v>
      </c>
      <c r="AE93" s="119">
        <f>IFERROR(AD93/AD148, "NA")</f>
        <v>0.12924368614017007</v>
      </c>
      <c r="AF93" s="118">
        <f t="shared" si="38"/>
        <v>-0.35712874620544977</v>
      </c>
      <c r="AG93" s="117">
        <f t="shared" si="39"/>
        <v>1684.1874999999998</v>
      </c>
      <c r="AH93" s="116">
        <f>IFERROR(AG93/AG148, "NA")</f>
        <v>6.5174653171778299E-2</v>
      </c>
      <c r="AI93" s="118">
        <f t="shared" si="40"/>
        <v>-528.95749999999998</v>
      </c>
      <c r="AJ93" s="119">
        <f>IFERROR(AI93/AI148, "NA")</f>
        <v>0.13103410690542058</v>
      </c>
      <c r="AK93" s="118">
        <f t="shared" si="41"/>
        <v>-0.31407280958919365</v>
      </c>
      <c r="AL93" s="119">
        <f>IFERROR(AK93/AK148, "NA")</f>
        <v>2.0105071608138689</v>
      </c>
    </row>
    <row r="94" spans="1:38" ht="16.5" hidden="1" customHeight="1" x14ac:dyDescent="0.25">
      <c r="A94" s="2" t="s">
        <v>93</v>
      </c>
      <c r="B94" s="115">
        <v>790.1</v>
      </c>
      <c r="C94" s="116">
        <f>IFERROR(B94/B148, "NA")</f>
        <v>3.0530534205133814E-2</v>
      </c>
      <c r="D94" s="115">
        <v>718.73</v>
      </c>
      <c r="E94" s="116">
        <f>IFERROR(D94/D148, "NA")</f>
        <v>2.7969706651391053E-2</v>
      </c>
      <c r="F94" s="115">
        <v>650.54</v>
      </c>
      <c r="G94" s="116">
        <f>IFERROR(F94/F148, "NA")</f>
        <v>2.5851712883614038E-2</v>
      </c>
      <c r="H94" s="115">
        <v>744.94</v>
      </c>
      <c r="I94" s="116">
        <f>IFERROR(H94/H148, "NA")</f>
        <v>2.6016361243745095E-2</v>
      </c>
      <c r="J94" s="115">
        <v>770.65</v>
      </c>
      <c r="K94" s="116">
        <f>IFERROR(J94/J148, "NA")</f>
        <v>2.7462854854010149E-2</v>
      </c>
      <c r="L94" s="115">
        <v>697.05</v>
      </c>
      <c r="M94" s="116">
        <f>IFERROR(L94/L148, "NA")</f>
        <v>2.6346355260218685E-2</v>
      </c>
      <c r="N94" s="115">
        <v>528.79999999999995</v>
      </c>
      <c r="O94" s="116">
        <f>IFERROR(N94/N148, "NA")</f>
        <v>2.5658344202223463E-2</v>
      </c>
      <c r="P94" s="115">
        <v>659.75</v>
      </c>
      <c r="Q94" s="116">
        <f>IFERROR(P94/P148, "NA")</f>
        <v>2.6904533051897713E-2</v>
      </c>
      <c r="R94" s="115">
        <v>818.91</v>
      </c>
      <c r="S94" s="116">
        <f>IFERROR(R94/R148, "NA")</f>
        <v>3.0712956441316053E-2</v>
      </c>
      <c r="T94" s="115">
        <v>597.38</v>
      </c>
      <c r="U94" s="116">
        <f>IFERROR(T94/T148, "NA")</f>
        <v>2.4891663055435179E-2</v>
      </c>
      <c r="V94" s="115">
        <v>946.34</v>
      </c>
      <c r="W94" s="116">
        <f>IFERROR(V94/V148, "NA")</f>
        <v>2.7341092216453249E-2</v>
      </c>
      <c r="X94" s="115">
        <v>625.29999999999995</v>
      </c>
      <c r="Y94" s="116">
        <f>IFERROR(X94/X148, "NA")</f>
        <v>2.867776384070151E-2</v>
      </c>
      <c r="Z94" s="115">
        <v>2169.02</v>
      </c>
      <c r="AA94" s="116">
        <f>IFERROR(Z94/Z148, "NA")</f>
        <v>2.6972519869200028E-2</v>
      </c>
      <c r="AB94" s="117">
        <f t="shared" si="36"/>
        <v>746.98250000000007</v>
      </c>
      <c r="AC94" s="116">
        <f>IFERROR(AB94/AB148, "NA")</f>
        <v>2.7903909683350447E-2</v>
      </c>
      <c r="AD94" s="118">
        <f t="shared" si="37"/>
        <v>-121.68250000000012</v>
      </c>
      <c r="AE94" s="119">
        <f>IFERROR(AD94/AD148, "NA")</f>
        <v>2.45057612932525E-2</v>
      </c>
      <c r="AF94" s="118">
        <f t="shared" si="38"/>
        <v>-0.16289872922056423</v>
      </c>
      <c r="AG94" s="117">
        <f t="shared" si="39"/>
        <v>705.52250000000004</v>
      </c>
      <c r="AH94" s="116">
        <f>IFERROR(AG94/AG148, "NA")</f>
        <v>2.7302295167483406E-2</v>
      </c>
      <c r="AI94" s="118">
        <f t="shared" si="40"/>
        <v>-80.222500000000082</v>
      </c>
      <c r="AJ94" s="119">
        <f>IFERROR(AI94/AI148, "NA")</f>
        <v>1.9872832205271907E-2</v>
      </c>
      <c r="AK94" s="118">
        <f t="shared" si="41"/>
        <v>-0.11370650829704237</v>
      </c>
      <c r="AL94" s="119">
        <f>IFERROR(AK94/AK148, "NA")</f>
        <v>0.72788137712832757</v>
      </c>
    </row>
    <row r="95" spans="1:38" ht="16.5" hidden="1" customHeight="1" x14ac:dyDescent="0.25">
      <c r="A95" s="2" t="s">
        <v>94</v>
      </c>
      <c r="B95" s="115">
        <v>0</v>
      </c>
      <c r="C95" s="116">
        <f>IFERROR(B95/B148, "NA")</f>
        <v>0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1204.99</v>
      </c>
      <c r="I95" s="116">
        <f>IFERROR(H95/H148, "NA")</f>
        <v>4.2083194801058342E-2</v>
      </c>
      <c r="J95" s="115">
        <v>0</v>
      </c>
      <c r="K95" s="116">
        <f>IFERROR(J95/J148, "NA")</f>
        <v>0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1204.99</v>
      </c>
      <c r="S95" s="116">
        <f>IFERROR(R95/R148, "NA")</f>
        <v>4.5192762797158947E-2</v>
      </c>
      <c r="T95" s="115">
        <v>0</v>
      </c>
      <c r="U95" s="116">
        <f>IFERROR(T95/T148, "NA")</f>
        <v>0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301.2475</v>
      </c>
      <c r="AC95" s="116">
        <f>IFERROR(AB95/AB148, "NA")</f>
        <v>1.125325296420614E-2</v>
      </c>
      <c r="AD95" s="118">
        <f t="shared" si="37"/>
        <v>-301.2475</v>
      </c>
      <c r="AE95" s="119">
        <f>IFERROR(AD95/AD148, "NA")</f>
        <v>6.066853758912806E-2</v>
      </c>
      <c r="AF95" s="118">
        <f t="shared" si="38"/>
        <v>-1</v>
      </c>
      <c r="AG95" s="117">
        <f t="shared" si="39"/>
        <v>150.62375</v>
      </c>
      <c r="AH95" s="116">
        <f>IFERROR(AG95/AG148, "NA")</f>
        <v>5.8288347738494929E-3</v>
      </c>
      <c r="AI95" s="118">
        <f t="shared" si="40"/>
        <v>-150.62375</v>
      </c>
      <c r="AJ95" s="119">
        <f>IFERROR(AI95/AI148, "NA")</f>
        <v>3.7312730342220962E-2</v>
      </c>
      <c r="AK95" s="118">
        <f t="shared" si="41"/>
        <v>-1</v>
      </c>
      <c r="AL95" s="119">
        <f>IFERROR(AK95/AK148, "NA")</f>
        <v>6.4014047043537659</v>
      </c>
    </row>
    <row r="96" spans="1:38" ht="16.5" hidden="1" customHeight="1" x14ac:dyDescent="0.25">
      <c r="A96" s="2" t="s">
        <v>95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0</v>
      </c>
      <c r="Y96" s="116">
        <f>IFERROR(X96/X148, "NA")</f>
        <v>0</v>
      </c>
      <c r="Z96" s="115">
        <v>0</v>
      </c>
      <c r="AA96" s="116">
        <f>IFERROR(Z96/Z148, "NA")</f>
        <v>0</v>
      </c>
      <c r="AB96" s="117">
        <f t="shared" si="36"/>
        <v>0</v>
      </c>
      <c r="AC96" s="116">
        <f>IFERROR(AB96/AB148, "NA")</f>
        <v>0</v>
      </c>
      <c r="AD96" s="118">
        <f t="shared" si="37"/>
        <v>0</v>
      </c>
      <c r="AE96" s="119">
        <f>IFERROR(AD96/AD148, "NA")</f>
        <v>0</v>
      </c>
      <c r="AF96" s="118" t="str">
        <f t="shared" si="38"/>
        <v>NA</v>
      </c>
      <c r="AG96" s="117">
        <f t="shared" si="39"/>
        <v>0</v>
      </c>
      <c r="AH96" s="116">
        <f>IFERROR(AG96/AG148, "NA")</f>
        <v>0</v>
      </c>
      <c r="AI96" s="118">
        <f t="shared" si="40"/>
        <v>0</v>
      </c>
      <c r="AJ96" s="119">
        <f>IFERROR(AI96/AI148, "NA")</f>
        <v>0</v>
      </c>
      <c r="AK96" s="118" t="str">
        <f t="shared" si="41"/>
        <v>NA</v>
      </c>
      <c r="AL96" s="119" t="str">
        <f>IFERROR(AK96/AK148, "NA")</f>
        <v>NA</v>
      </c>
    </row>
    <row r="97" spans="1:38" ht="16.5" hidden="1" customHeight="1" x14ac:dyDescent="0.25">
      <c r="A97" s="2" t="s">
        <v>96</v>
      </c>
      <c r="B97" s="115">
        <v>381.01</v>
      </c>
      <c r="C97" s="116">
        <f>IFERROR(B97/B148, "NA")</f>
        <v>1.4722742485125976E-2</v>
      </c>
      <c r="D97" s="115">
        <v>683.54</v>
      </c>
      <c r="E97" s="116">
        <f>IFERROR(D97/D148, "NA")</f>
        <v>2.6600271707723121E-2</v>
      </c>
      <c r="F97" s="115">
        <v>538.83999999999992</v>
      </c>
      <c r="G97" s="116">
        <f>IFERROR(F97/F148, "NA")</f>
        <v>2.1412883097436879E-2</v>
      </c>
      <c r="H97" s="115">
        <v>1023.8900000000001</v>
      </c>
      <c r="I97" s="116">
        <f>IFERROR(H97/H148, "NA")</f>
        <v>3.5758439758716364E-2</v>
      </c>
      <c r="J97" s="115">
        <v>2428.29</v>
      </c>
      <c r="K97" s="116">
        <f>IFERROR(J97/J148, "NA")</f>
        <v>8.65344524926287E-2</v>
      </c>
      <c r="L97" s="115">
        <v>0</v>
      </c>
      <c r="M97" s="116">
        <f>IFERROR(L97/L148, "NA")</f>
        <v>0</v>
      </c>
      <c r="N97" s="115">
        <v>0</v>
      </c>
      <c r="O97" s="116">
        <f>IFERROR(N97/N148, "NA")</f>
        <v>0</v>
      </c>
      <c r="P97" s="115">
        <v>561.85</v>
      </c>
      <c r="Q97" s="116">
        <f>IFERROR(P97/P148, "NA")</f>
        <v>2.2912181728243625E-2</v>
      </c>
      <c r="R97" s="115">
        <v>300</v>
      </c>
      <c r="S97" s="116">
        <f>IFERROR(R97/R148, "NA")</f>
        <v>1.1251403612600672E-2</v>
      </c>
      <c r="T97" s="115">
        <v>0</v>
      </c>
      <c r="U97" s="116">
        <f>IFERROR(T97/T148, "NA")</f>
        <v>0</v>
      </c>
      <c r="V97" s="115">
        <v>1407.96</v>
      </c>
      <c r="W97" s="116">
        <f>IFERROR(V97/V148, "NA")</f>
        <v>4.0677942596823044E-2</v>
      </c>
      <c r="X97" s="115">
        <v>0</v>
      </c>
      <c r="Y97" s="116">
        <f>IFERROR(X97/X148, "NA")</f>
        <v>0</v>
      </c>
      <c r="Z97" s="115">
        <v>1407.96</v>
      </c>
      <c r="AA97" s="116">
        <f>IFERROR(Z97/Z148, "NA")</f>
        <v>1.7508473446551379E-2</v>
      </c>
      <c r="AB97" s="117">
        <f t="shared" si="36"/>
        <v>426.99</v>
      </c>
      <c r="AC97" s="116">
        <f>IFERROR(AB97/AB148, "NA")</f>
        <v>1.5950427748566809E-2</v>
      </c>
      <c r="AD97" s="118">
        <f t="shared" si="37"/>
        <v>-426.99</v>
      </c>
      <c r="AE97" s="119">
        <f>IFERROR(AD97/AD148, "NA")</f>
        <v>8.5991946373602413E-2</v>
      </c>
      <c r="AF97" s="118">
        <f t="shared" si="38"/>
        <v>-1</v>
      </c>
      <c r="AG97" s="117">
        <f t="shared" si="39"/>
        <v>587.26250000000005</v>
      </c>
      <c r="AH97" s="116">
        <f>IFERROR(AG97/AG148, "NA")</f>
        <v>2.2725872124268503E-2</v>
      </c>
      <c r="AI97" s="118">
        <f t="shared" si="40"/>
        <v>-587.26250000000005</v>
      </c>
      <c r="AJ97" s="119">
        <f>IFERROR(AI97/AI148, "NA")</f>
        <v>0.14547750472683452</v>
      </c>
      <c r="AK97" s="118">
        <f t="shared" si="41"/>
        <v>-1</v>
      </c>
      <c r="AL97" s="119">
        <f>IFERROR(AK97/AK148, "NA")</f>
        <v>6.4014047043537659</v>
      </c>
    </row>
    <row r="98" spans="1:38" ht="16.5" hidden="1" customHeight="1" x14ac:dyDescent="0.25">
      <c r="A98" s="2" t="s">
        <v>97</v>
      </c>
      <c r="B98" s="115">
        <v>299.10000000000002</v>
      </c>
      <c r="C98" s="116">
        <f>IFERROR(B98/B148, "NA")</f>
        <v>1.1557629136508702E-2</v>
      </c>
      <c r="D98" s="115">
        <v>204.31</v>
      </c>
      <c r="E98" s="116">
        <f>IFERROR(D98/D148, "NA")</f>
        <v>7.9508170883999633E-3</v>
      </c>
      <c r="F98" s="115">
        <v>2483.29</v>
      </c>
      <c r="G98" s="116">
        <f>IFERROR(F98/F148, "NA")</f>
        <v>9.8683094178297889E-2</v>
      </c>
      <c r="H98" s="115">
        <v>1510.3500000000001</v>
      </c>
      <c r="I98" s="116">
        <f>IFERROR(H98/H148, "NA")</f>
        <v>5.2747618874661589E-2</v>
      </c>
      <c r="J98" s="115">
        <v>662.74</v>
      </c>
      <c r="K98" s="116">
        <f>IFERROR(J98/J148, "NA")</f>
        <v>2.3617378091152517E-2</v>
      </c>
      <c r="L98" s="115">
        <v>574.82999999999993</v>
      </c>
      <c r="M98" s="116">
        <f>IFERROR(L98/L148, "NA")</f>
        <v>2.1726813563204227E-2</v>
      </c>
      <c r="N98" s="115">
        <v>497.22</v>
      </c>
      <c r="O98" s="116">
        <f>IFERROR(N98/N148, "NA")</f>
        <v>2.41260247810695E-2</v>
      </c>
      <c r="P98" s="115">
        <v>2396.7000000000003</v>
      </c>
      <c r="Q98" s="116">
        <f>IFERROR(P98/P148, "NA")</f>
        <v>9.7737164631274354E-2</v>
      </c>
      <c r="R98" s="115">
        <v>1395.5300000000002</v>
      </c>
      <c r="S98" s="116">
        <f>IFERROR(R98/R148, "NA")</f>
        <v>5.2338904278308729E-2</v>
      </c>
      <c r="T98" s="115">
        <v>324</v>
      </c>
      <c r="U98" s="116">
        <f>IFERROR(T98/T148, "NA")</f>
        <v>1.35004500150005E-2</v>
      </c>
      <c r="V98" s="115">
        <v>211.28</v>
      </c>
      <c r="W98" s="116">
        <f>IFERROR(V98/V148, "NA")</f>
        <v>6.1041760503542514E-3</v>
      </c>
      <c r="X98" s="115">
        <v>303.10000000000002</v>
      </c>
      <c r="Y98" s="116">
        <f>IFERROR(X98/X148, "NA")</f>
        <v>1.3900895922143977E-2</v>
      </c>
      <c r="Z98" s="115">
        <v>838.38000000000011</v>
      </c>
      <c r="AA98" s="116">
        <f>IFERROR(Z98/Z148, "NA")</f>
        <v>1.0425547578141245E-2</v>
      </c>
      <c r="AB98" s="117">
        <f t="shared" si="36"/>
        <v>558.47750000000008</v>
      </c>
      <c r="AC98" s="116">
        <f>IFERROR(AB98/AB148, "NA")</f>
        <v>2.0862209918148484E-2</v>
      </c>
      <c r="AD98" s="118">
        <f t="shared" si="37"/>
        <v>-255.37750000000005</v>
      </c>
      <c r="AE98" s="119">
        <f>IFERROR(AD98/AD148, "NA")</f>
        <v>5.1430732066382476E-2</v>
      </c>
      <c r="AF98" s="118">
        <f t="shared" si="38"/>
        <v>-0.45727446495158719</v>
      </c>
      <c r="AG98" s="117">
        <f t="shared" si="39"/>
        <v>795.67500000000007</v>
      </c>
      <c r="AH98" s="116">
        <f>IFERROR(AG98/AG148, "NA")</f>
        <v>3.0791014754862334E-2</v>
      </c>
      <c r="AI98" s="118">
        <f t="shared" si="40"/>
        <v>-492.57500000000005</v>
      </c>
      <c r="AJ98" s="119">
        <f>IFERROR(AI98/AI148, "NA")</f>
        <v>0.12202138207500141</v>
      </c>
      <c r="AK98" s="118">
        <f t="shared" si="41"/>
        <v>-0.61906557325541212</v>
      </c>
      <c r="AL98" s="119">
        <f>IFERROR(AK98/AK148, "NA")</f>
        <v>3.962889272940656</v>
      </c>
    </row>
    <row r="99" spans="1:38" ht="16.5" hidden="1" customHeight="1" x14ac:dyDescent="0.25">
      <c r="A99" s="120" t="s">
        <v>98</v>
      </c>
      <c r="B99" s="121">
        <f>IFERROR(B90+B91+B92+B93+B94+B95+B96+B97+B98, "NA")</f>
        <v>4855.5300000000007</v>
      </c>
      <c r="C99" s="122">
        <f>IFERROR(B99/B148, "NA")</f>
        <v>0.18762425610562386</v>
      </c>
      <c r="D99" s="121">
        <f>IFERROR(D90+D91+D92+D93+D94+D95+D96+D97+D98, "NA")</f>
        <v>5042.93</v>
      </c>
      <c r="E99" s="122">
        <f>IFERROR(D99/D148, "NA")</f>
        <v>0.19624792726545365</v>
      </c>
      <c r="F99" s="121">
        <f>IFERROR(F90+F91+F92+F93+F94+F95+F96+F97+F98, "NA")</f>
        <v>7478.4900000000007</v>
      </c>
      <c r="G99" s="122">
        <f>IFERROR(F99/F148, "NA")</f>
        <v>0.29718660848368861</v>
      </c>
      <c r="H99" s="121">
        <f>IFERROR(H90+H91+H92+H93+H94+H95+H96+H97+H98, "NA")</f>
        <v>8432.4399999999987</v>
      </c>
      <c r="I99" s="122">
        <f>IFERROR(H99/H148, "NA")</f>
        <v>0.29449540259108897</v>
      </c>
      <c r="J99" s="121">
        <f>IFERROR(J90+J91+J92+J93+J94+J95+J96+J97+J98, "NA")</f>
        <v>7351.07</v>
      </c>
      <c r="K99" s="122">
        <f>IFERROR(J99/J148, "NA")</f>
        <v>0.26196245822574238</v>
      </c>
      <c r="L99" s="121">
        <f>IFERROR(L90+L91+L92+L93+L94+L95+L96+L97+L98, "NA")</f>
        <v>5294.13</v>
      </c>
      <c r="M99" s="122">
        <f>IFERROR(L99/L148, "NA")</f>
        <v>0.2001019005434066</v>
      </c>
      <c r="N99" s="121">
        <f>IFERROR(N90+N91+N92+N93+N94+N95+N96+N97+N98, "NA")</f>
        <v>3016.8199999999997</v>
      </c>
      <c r="O99" s="122">
        <f>IFERROR(N99/N148, "NA")</f>
        <v>0.14638163002297994</v>
      </c>
      <c r="P99" s="121">
        <f>IFERROR(P90+P91+P92+P93+P94+P95+P96+P97+P98, "NA")</f>
        <v>6266</v>
      </c>
      <c r="Q99" s="122">
        <f>IFERROR(P99/P148, "NA")</f>
        <v>0.25552679667024036</v>
      </c>
      <c r="R99" s="121">
        <f>IFERROR(R90+R91+R92+R93+R94+R95+R96+R97+R98, "NA")</f>
        <v>7320.2099999999991</v>
      </c>
      <c r="S99" s="122">
        <f>IFERROR(R99/R148, "NA")</f>
        <v>0.27454212412998519</v>
      </c>
      <c r="T99" s="121">
        <f>IFERROR(T90+T91+T92+T93+T94+T95+T96+T97+T98, "NA")</f>
        <v>3328.17</v>
      </c>
      <c r="U99" s="122">
        <f>IFERROR(T99/T148, "NA")</f>
        <v>0.13867837261242041</v>
      </c>
      <c r="V99" s="121">
        <f>IFERROR(V90+V91+V92+V93+V94+V95+V96+V97+V98, "NA")</f>
        <v>6064.38</v>
      </c>
      <c r="W99" s="122">
        <f>IFERROR(V99/V148, "NA")</f>
        <v>0.17520845870999296</v>
      </c>
      <c r="X99" s="121">
        <f>IFERROR(X90+X91+X92+X93+X94+X95+X96+X97+X98, "NA")</f>
        <v>3057.7599999999998</v>
      </c>
      <c r="Y99" s="122">
        <f>IFERROR(X99/X148, "NA")</f>
        <v>0.14023623726458254</v>
      </c>
      <c r="Z99" s="121">
        <f>IFERROR(Z90+Z91+Z92+Z93+Z94+Z95+Z96+Z97+Z98, "NA")</f>
        <v>12450.310000000001</v>
      </c>
      <c r="AA99" s="122">
        <f>IFERROR(Z99/Z148, "NA")</f>
        <v>0.15482394530834195</v>
      </c>
      <c r="AB99" s="121">
        <f t="shared" si="36"/>
        <v>4942.6299999999992</v>
      </c>
      <c r="AC99" s="122">
        <f>IFERROR(AB99/AB148, "NA")</f>
        <v>0.18463444741773519</v>
      </c>
      <c r="AD99" s="123">
        <f t="shared" si="37"/>
        <v>-1884.8699999999994</v>
      </c>
      <c r="AE99" s="124">
        <f>IFERROR(AD99/AD148, "NA")</f>
        <v>0.37959586866486783</v>
      </c>
      <c r="AF99" s="123">
        <f t="shared" si="38"/>
        <v>-0.38134960537203871</v>
      </c>
      <c r="AG99" s="121">
        <f t="shared" si="39"/>
        <v>5212.3175000000001</v>
      </c>
      <c r="AH99" s="122">
        <f>IFERROR(AG99/AG148, "NA")</f>
        <v>0.20170615521353208</v>
      </c>
      <c r="AI99" s="123">
        <f t="shared" si="40"/>
        <v>-2154.5575000000003</v>
      </c>
      <c r="AJ99" s="124">
        <f>IFERROR(AI99/AI148, "NA")</f>
        <v>0.53373005919922822</v>
      </c>
      <c r="AK99" s="123">
        <f t="shared" si="41"/>
        <v>-0.41335883702403015</v>
      </c>
      <c r="AL99" s="124">
        <f>IFERROR(AK99/AK148, "NA")</f>
        <v>2.6460772039118283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99</v>
      </c>
      <c r="B101" s="136">
        <f>IFERROR(B87-B99, "NA")</f>
        <v>6494.5799999999963</v>
      </c>
      <c r="C101" s="137">
        <f>IFERROR(B101/B148, "NA")</f>
        <v>0.25095936822931003</v>
      </c>
      <c r="D101" s="136">
        <f>IFERROR(D87-D99, "NA")</f>
        <v>6880.7700000000041</v>
      </c>
      <c r="E101" s="137">
        <f>IFERROR(D101/D148, "NA")</f>
        <v>0.26776831137658386</v>
      </c>
      <c r="F101" s="136">
        <f>IFERROR(F87-F99, "NA")</f>
        <v>3603.7499999999955</v>
      </c>
      <c r="G101" s="137">
        <f>IFERROR(F101/F148, "NA")</f>
        <v>0.14320888846853996</v>
      </c>
      <c r="H101" s="136">
        <f>IFERROR(H87-H99, "NA")</f>
        <v>5529.1199999999917</v>
      </c>
      <c r="I101" s="137">
        <f>IFERROR(H101/H148, "NA")</f>
        <v>0.19309955604480314</v>
      </c>
      <c r="J101" s="136">
        <f>IFERROR(J87-J99, "NA")</f>
        <v>5863.1399999999958</v>
      </c>
      <c r="K101" s="137">
        <f>IFERROR(J101/J148, "NA")</f>
        <v>0.20893863986082004</v>
      </c>
      <c r="L101" s="136">
        <f>IFERROR(L87-L99, "NA")</f>
        <v>7795.1599999999971</v>
      </c>
      <c r="M101" s="137">
        <f>IFERROR(L101/L148, "NA")</f>
        <v>0.29463317505235814</v>
      </c>
      <c r="N101" s="136">
        <f>IFERROR(N87-N99, "NA")</f>
        <v>4982.0999999999985</v>
      </c>
      <c r="O101" s="137">
        <f>IFERROR(N101/N148, "NA")</f>
        <v>0.24174061393702248</v>
      </c>
      <c r="P101" s="136">
        <f>IFERROR(P87-P99, "NA")</f>
        <v>4868.9500000000007</v>
      </c>
      <c r="Q101" s="137">
        <f>IFERROR(P101/P148, "NA")</f>
        <v>0.19855525002355043</v>
      </c>
      <c r="R101" s="136">
        <f>IFERROR(R87-R99, "NA")</f>
        <v>5670.8700000000063</v>
      </c>
      <c r="S101" s="137">
        <f>IFERROR(R101/R148, "NA")</f>
        <v>0.21268415734862947</v>
      </c>
      <c r="T101" s="136">
        <f>IFERROR(T87-T99, "NA")</f>
        <v>7721.7900000000027</v>
      </c>
      <c r="U101" s="137">
        <f>IFERROR(T101/T148, "NA")</f>
        <v>0.32175197506583564</v>
      </c>
      <c r="V101" s="136">
        <f>IFERROR(V87-V99, "NA")</f>
        <v>14689.929999999986</v>
      </c>
      <c r="W101" s="137">
        <f>IFERROR(V101/V148, "NA")</f>
        <v>0.42441271718752527</v>
      </c>
      <c r="X101" s="136">
        <f>IFERROR(X87-X99, "NA")</f>
        <v>5369.6799999999985</v>
      </c>
      <c r="Y101" s="137">
        <f>IFERROR(X101/X148, "NA")</f>
        <v>0.24626645600533834</v>
      </c>
      <c r="Z101" s="136">
        <f>IFERROR(Z87-Z99, "NA")</f>
        <v>27781.400000000005</v>
      </c>
      <c r="AA101" s="137">
        <f>IFERROR(Z101/Z148, "NA")</f>
        <v>0.3454713942214428</v>
      </c>
      <c r="AB101" s="136">
        <f>IFERROR((R101+T101+V101+X101)/4, "NA")</f>
        <v>8363.0674999999992</v>
      </c>
      <c r="AC101" s="137">
        <f>IFERROR(AB101/AB148, "NA")</f>
        <v>0.31240662290718102</v>
      </c>
      <c r="AD101" s="123">
        <f>IFERROR(X101-AB101, "NA")</f>
        <v>-2993.3875000000007</v>
      </c>
      <c r="AE101" s="124">
        <f>IFERROR(AD101/AD148, "NA")</f>
        <v>0.60284132503199572</v>
      </c>
      <c r="AF101" s="123">
        <f>IFERROR((X101-AB101)/AB101, "NA")</f>
        <v>-0.35792937220702825</v>
      </c>
      <c r="AG101" s="136">
        <f>IFERROR((J101+L101+N101+P101+R101+T101+V101+X101)/8, "NA")</f>
        <v>7120.2024999999985</v>
      </c>
      <c r="AH101" s="137">
        <f>IFERROR(AG101/AG148, "NA")</f>
        <v>0.27553744963095184</v>
      </c>
      <c r="AI101" s="123">
        <f>IFERROR(X101-AG101, "NA")</f>
        <v>-1750.5225</v>
      </c>
      <c r="AJ101" s="124">
        <f>IFERROR(AI101/AI148, "NA")</f>
        <v>0.43364193230144976</v>
      </c>
      <c r="AK101" s="123">
        <f>IFERROR((X101-AG101)/AG101, "NA")</f>
        <v>-0.24585290938003523</v>
      </c>
      <c r="AL101" s="124">
        <f>IFERROR(AK101/AK148, "NA")</f>
        <v>1.5738039706844176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100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101</v>
      </c>
      <c r="B104" s="140">
        <v>-6233</v>
      </c>
      <c r="C104" s="137">
        <f>IFERROR(B104/B148, "NA")</f>
        <v>-0.24085156271433877</v>
      </c>
      <c r="D104" s="140">
        <v>0</v>
      </c>
      <c r="E104" s="137">
        <f>IFERROR(D104/D148, "NA")</f>
        <v>0</v>
      </c>
      <c r="F104" s="140">
        <v>827.97</v>
      </c>
      <c r="G104" s="137">
        <f>IFERROR(F104/F148, "NA")</f>
        <v>3.2902577422212191E-2</v>
      </c>
      <c r="H104" s="140">
        <v>23792.880000000001</v>
      </c>
      <c r="I104" s="137">
        <f>IFERROR(H104/H148, "NA")</f>
        <v>0.830944990346978</v>
      </c>
      <c r="J104" s="140">
        <v>-6611</v>
      </c>
      <c r="K104" s="137">
        <f>IFERROR(J104/J148, "NA")</f>
        <v>-0.23558935111900486</v>
      </c>
      <c r="L104" s="140">
        <v>0</v>
      </c>
      <c r="M104" s="137">
        <f>IFERROR(L104/L148, "NA")</f>
        <v>0</v>
      </c>
      <c r="N104" s="140">
        <v>0</v>
      </c>
      <c r="O104" s="137">
        <f>IFERROR(N104/N148, "NA")</f>
        <v>0</v>
      </c>
      <c r="P104" s="140">
        <v>808.23</v>
      </c>
      <c r="Q104" s="137">
        <f>IFERROR(P104/P148, "NA")</f>
        <v>3.2959531259621505E-2</v>
      </c>
      <c r="R104" s="140">
        <v>26548.949999999997</v>
      </c>
      <c r="S104" s="137">
        <f>IFERROR(R104/R148, "NA")</f>
        <v>0.99570983980251526</v>
      </c>
      <c r="T104" s="140">
        <v>-6989</v>
      </c>
      <c r="U104" s="137">
        <f>IFERROR(T104/T148, "NA")</f>
        <v>-0.29121804060135337</v>
      </c>
      <c r="V104" s="140">
        <v>343.58</v>
      </c>
      <c r="W104" s="137">
        <f>IFERROR(V104/V148, "NA")</f>
        <v>9.9265089330779713E-3</v>
      </c>
      <c r="X104" s="140">
        <v>489.63</v>
      </c>
      <c r="Y104" s="137">
        <f>IFERROR(X104/X148, "NA")</f>
        <v>2.2455610921673887E-2</v>
      </c>
      <c r="Z104" s="140">
        <v>-6155.79</v>
      </c>
      <c r="AA104" s="137">
        <f>IFERROR(Z104/Z148, "NA")</f>
        <v>-7.6549394696970446E-2</v>
      </c>
      <c r="AB104" s="136">
        <f>IFERROR((R104+T104+V104+X104)/4, "NA")</f>
        <v>5098.29</v>
      </c>
      <c r="AC104" s="137">
        <f>IFERROR(AB104/AB148, "NA")</f>
        <v>0.19044920556978073</v>
      </c>
      <c r="AD104" s="123">
        <f>IFERROR(X104-AB104, "NA")</f>
        <v>-4608.66</v>
      </c>
      <c r="AE104" s="124">
        <f>IFERROR(AD104/AD148, "NA")</f>
        <v>0.92814268150112755</v>
      </c>
      <c r="AF104" s="123">
        <f>IFERROR((X104-AB104)/AB104, "NA")</f>
        <v>-0.90396191664263903</v>
      </c>
      <c r="AG104" s="136">
        <f>IFERROR((J104+L104+N104+P104+R104+T104+V104+X104)/8, "NA")</f>
        <v>1823.7987499999995</v>
      </c>
      <c r="AH104" s="137">
        <f>IFERROR(AG104/AG148, "NA")</f>
        <v>7.0577326447543859E-2</v>
      </c>
      <c r="AI104" s="123">
        <f>IFERROR(X104-AG104, "NA")</f>
        <v>-1334.1687499999994</v>
      </c>
      <c r="AJ104" s="124">
        <f>IFERROR(AI104/AI148, "NA")</f>
        <v>0.33050218707055157</v>
      </c>
      <c r="AK104" s="123">
        <f>IFERROR((X104-AG104)/AG104, "NA")</f>
        <v>-0.73153287883325924</v>
      </c>
      <c r="AL104" s="124">
        <f>IFERROR(AK104/AK148, "NA")</f>
        <v>4.6828380119526791</v>
      </c>
    </row>
    <row r="105" spans="1:38" ht="16.5" hidden="1" customHeight="1" x14ac:dyDescent="0.25">
      <c r="A105" s="120" t="s">
        <v>102</v>
      </c>
      <c r="B105" s="121">
        <f>IFERROR(B104, "NA")</f>
        <v>-6233</v>
      </c>
      <c r="C105" s="122">
        <f>IFERROR(B105/B148, "NA")</f>
        <v>-0.24085156271433877</v>
      </c>
      <c r="D105" s="121">
        <f>IFERROR(D104, "NA")</f>
        <v>0</v>
      </c>
      <c r="E105" s="122">
        <f>IFERROR(D105/D148, "NA")</f>
        <v>0</v>
      </c>
      <c r="F105" s="121">
        <f>IFERROR(F104, "NA")</f>
        <v>827.97</v>
      </c>
      <c r="G105" s="122">
        <f>IFERROR(F105/F148, "NA")</f>
        <v>3.2902577422212191E-2</v>
      </c>
      <c r="H105" s="121">
        <f>IFERROR(H104, "NA")</f>
        <v>23792.880000000001</v>
      </c>
      <c r="I105" s="122">
        <f>IFERROR(H105/H148, "NA")</f>
        <v>0.830944990346978</v>
      </c>
      <c r="J105" s="121">
        <f>IFERROR(J104, "NA")</f>
        <v>-6611</v>
      </c>
      <c r="K105" s="122">
        <f>IFERROR(J105/J148, "NA")</f>
        <v>-0.23558935111900486</v>
      </c>
      <c r="L105" s="121">
        <f>IFERROR(L104, "NA")</f>
        <v>0</v>
      </c>
      <c r="M105" s="122">
        <f>IFERROR(L105/L148, "NA")</f>
        <v>0</v>
      </c>
      <c r="N105" s="121">
        <f>IFERROR(N104, "NA")</f>
        <v>0</v>
      </c>
      <c r="O105" s="122">
        <f>IFERROR(N105/N148, "NA")</f>
        <v>0</v>
      </c>
      <c r="P105" s="121">
        <f>IFERROR(P104, "NA")</f>
        <v>808.23</v>
      </c>
      <c r="Q105" s="122">
        <f>IFERROR(P105/P148, "NA")</f>
        <v>3.2959531259621505E-2</v>
      </c>
      <c r="R105" s="121">
        <f>IFERROR(R104, "NA")</f>
        <v>26548.949999999997</v>
      </c>
      <c r="S105" s="122">
        <f>IFERROR(R105/R148, "NA")</f>
        <v>0.99570983980251526</v>
      </c>
      <c r="T105" s="121">
        <f>IFERROR(T104, "NA")</f>
        <v>-6989</v>
      </c>
      <c r="U105" s="122">
        <f>IFERROR(T105/T148, "NA")</f>
        <v>-0.29121804060135337</v>
      </c>
      <c r="V105" s="121">
        <f>IFERROR(V104, "NA")</f>
        <v>343.58</v>
      </c>
      <c r="W105" s="122">
        <f>IFERROR(V105/V148, "NA")</f>
        <v>9.9265089330779713E-3</v>
      </c>
      <c r="X105" s="121">
        <f>IFERROR(X104, "NA")</f>
        <v>489.63</v>
      </c>
      <c r="Y105" s="122">
        <f>IFERROR(X105/X148, "NA")</f>
        <v>2.2455610921673887E-2</v>
      </c>
      <c r="Z105" s="121">
        <f>IFERROR(Z104, "NA")</f>
        <v>-6155.79</v>
      </c>
      <c r="AA105" s="122">
        <f>IFERROR(Z105/Z148, "NA")</f>
        <v>-7.6549394696970446E-2</v>
      </c>
      <c r="AB105" s="121">
        <f>IFERROR((R105+T105+V105+X105)/4, "NA")</f>
        <v>5098.29</v>
      </c>
      <c r="AC105" s="122">
        <f>IFERROR(AB105/AB148, "NA")</f>
        <v>0.19044920556978073</v>
      </c>
      <c r="AD105" s="123">
        <f>IFERROR(X105-AB105, "NA")</f>
        <v>-4608.66</v>
      </c>
      <c r="AE105" s="124">
        <f>IFERROR(AD105/AD148, "NA")</f>
        <v>0.92814268150112755</v>
      </c>
      <c r="AF105" s="123">
        <f>IFERROR((X105-AB105)/AB105, "NA")</f>
        <v>-0.90396191664263903</v>
      </c>
      <c r="AG105" s="121">
        <f>IFERROR((J105+L105+N105+P105+R105+T105+V105+X105)/8, "NA")</f>
        <v>1823.7987499999995</v>
      </c>
      <c r="AH105" s="122">
        <f>IFERROR(AG105/AG148, "NA")</f>
        <v>7.0577326447543859E-2</v>
      </c>
      <c r="AI105" s="123">
        <f>IFERROR(X105-AG105, "NA")</f>
        <v>-1334.1687499999994</v>
      </c>
      <c r="AJ105" s="124">
        <f>IFERROR(AI105/AI148, "NA")</f>
        <v>0.33050218707055157</v>
      </c>
      <c r="AK105" s="123">
        <f>IFERROR((X105-AG105)/AG105, "NA")</f>
        <v>-0.73153287883325924</v>
      </c>
      <c r="AL105" s="124">
        <f>IFERROR(AK105/AK148, "NA")</f>
        <v>4.6828380119526791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103</v>
      </c>
      <c r="B107" s="136">
        <f>IFERROR(B87-B99-B105, "NA")</f>
        <v>12727.579999999996</v>
      </c>
      <c r="C107" s="137">
        <f>IFERROR(B107/B148, "NA")</f>
        <v>0.49181093094364881</v>
      </c>
      <c r="D107" s="136">
        <f>IFERROR(D87-D99-D105, "NA")</f>
        <v>6880.7700000000041</v>
      </c>
      <c r="E107" s="137">
        <f>IFERROR(D107/D148, "NA")</f>
        <v>0.26776831137658386</v>
      </c>
      <c r="F107" s="136">
        <f>IFERROR(F87-F99-F105, "NA")</f>
        <v>2775.7799999999952</v>
      </c>
      <c r="G107" s="137">
        <f>IFERROR(F107/F148, "NA")</f>
        <v>0.11030631104632775</v>
      </c>
      <c r="H107" s="136">
        <f>IFERROR(H87-H99-H105, "NA")</f>
        <v>-18263.760000000009</v>
      </c>
      <c r="I107" s="137">
        <f>IFERROR(H107/H148, "NA")</f>
        <v>-0.63784543430217489</v>
      </c>
      <c r="J107" s="136">
        <f>IFERROR(J87-J99-J105, "NA")</f>
        <v>12474.139999999996</v>
      </c>
      <c r="K107" s="137">
        <f>IFERROR(J107/J148, "NA")</f>
        <v>0.44452799097982487</v>
      </c>
      <c r="L107" s="136">
        <f>IFERROR(L87-L99-L105, "NA")</f>
        <v>7795.1599999999971</v>
      </c>
      <c r="M107" s="137">
        <f>IFERROR(L107/L148, "NA")</f>
        <v>0.29463317505235814</v>
      </c>
      <c r="N107" s="136">
        <f>IFERROR(N87-N99-N105, "NA")</f>
        <v>4982.0999999999985</v>
      </c>
      <c r="O107" s="137">
        <f>IFERROR(N107/N148, "NA")</f>
        <v>0.24174061393702248</v>
      </c>
      <c r="P107" s="136">
        <f>IFERROR(P87-P99-P105, "NA")</f>
        <v>4060.7200000000007</v>
      </c>
      <c r="Q107" s="137">
        <f>IFERROR(P107/P148, "NA")</f>
        <v>0.16559571876392892</v>
      </c>
      <c r="R107" s="136">
        <f>IFERROR(R87-R99-R105, "NA")</f>
        <v>-20878.079999999991</v>
      </c>
      <c r="S107" s="137">
        <f>IFERROR(R107/R148, "NA")</f>
        <v>-0.78302568245388582</v>
      </c>
      <c r="T107" s="136">
        <f>IFERROR(T87-T99-T105, "NA")</f>
        <v>14710.790000000003</v>
      </c>
      <c r="U107" s="137">
        <f>IFERROR(T107/T148, "NA")</f>
        <v>0.61297001566718901</v>
      </c>
      <c r="V107" s="136">
        <f>IFERROR(V87-V99-V105, "NA")</f>
        <v>14346.349999999986</v>
      </c>
      <c r="W107" s="137">
        <f>IFERROR(V107/V148, "NA")</f>
        <v>0.41448620825444732</v>
      </c>
      <c r="X107" s="136">
        <f>IFERROR(X87-X99-X105, "NA")</f>
        <v>4880.0499999999984</v>
      </c>
      <c r="Y107" s="137">
        <f>IFERROR(X107/X148, "NA")</f>
        <v>0.22381084508366444</v>
      </c>
      <c r="Z107" s="136">
        <f>IFERROR(Z87-Z99-Z105, "NA")</f>
        <v>33937.19</v>
      </c>
      <c r="AA107" s="137">
        <f>IFERROR(Z107/Z148, "NA")</f>
        <v>0.42202078891841321</v>
      </c>
      <c r="AB107" s="136">
        <f>IFERROR((R107+T107+V107+X107)/4, "NA")</f>
        <v>3264.7774999999992</v>
      </c>
      <c r="AC107" s="137">
        <f>IFERROR(AB107/AB148, "NA")</f>
        <v>0.12195741733740031</v>
      </c>
      <c r="AD107" s="123">
        <f>IFERROR(X107-AB107, "NA")</f>
        <v>1615.2724999999991</v>
      </c>
      <c r="AE107" s="124">
        <f>IFERROR(AD107/AD148, "NA")</f>
        <v>-0.32530135646913189</v>
      </c>
      <c r="AF107" s="123">
        <f>IFERROR((X107-AB107)/AB107, "NA")</f>
        <v>0.49475729969347054</v>
      </c>
      <c r="AG107" s="136">
        <f>IFERROR((J107+L107+N107+P107+R107+T107+V107+X107)/8, "NA")</f>
        <v>5296.4037499999977</v>
      </c>
      <c r="AH107" s="137">
        <f>IFERROR(AG107/AG148, "NA")</f>
        <v>0.20496012318340792</v>
      </c>
      <c r="AI107" s="123">
        <f>IFERROR(X107-AG107, "NA")</f>
        <v>-416.35374999999931</v>
      </c>
      <c r="AJ107" s="124">
        <f>IFERROR(AI107/AI148, "NA")</f>
        <v>0.10313974523089789</v>
      </c>
      <c r="AK107" s="123">
        <f>IFERROR((X107-AG107)/AG107, "NA")</f>
        <v>-7.8610651614314617E-2</v>
      </c>
      <c r="AL107" s="124">
        <f>IFERROR(AK107/AK148, "NA")</f>
        <v>0.5032185950561886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104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105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106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107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108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109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110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111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112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113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114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115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116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117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118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119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120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121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122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123</v>
      </c>
      <c r="B128" s="115">
        <v>359.13</v>
      </c>
      <c r="C128" s="116">
        <f>IFERROR(B128/B148, "NA")</f>
        <v>1.3877269648259343E-2</v>
      </c>
      <c r="D128" s="115">
        <v>451.77</v>
      </c>
      <c r="E128" s="116">
        <f>IFERROR(D128/D148, "NA")</f>
        <v>1.7580836160865605E-2</v>
      </c>
      <c r="F128" s="115">
        <v>455.64000000000004</v>
      </c>
      <c r="G128" s="116">
        <f>IFERROR(F128/F148, "NA")</f>
        <v>1.8106610597795527E-2</v>
      </c>
      <c r="H128" s="115">
        <v>-1266.54</v>
      </c>
      <c r="I128" s="116">
        <f>IFERROR(H128/H148, "NA")</f>
        <v>-4.4232773336984062E-2</v>
      </c>
      <c r="J128" s="115">
        <v>467.43</v>
      </c>
      <c r="K128" s="116">
        <f>IFERROR(J128/J148, "NA")</f>
        <v>1.6657318165717205E-2</v>
      </c>
      <c r="L128" s="115">
        <v>455.22</v>
      </c>
      <c r="M128" s="116">
        <f>IFERROR(L128/L148, "NA")</f>
        <v>1.7205921872974324E-2</v>
      </c>
      <c r="N128" s="115">
        <v>527.9</v>
      </c>
      <c r="O128" s="116">
        <f>IFERROR(N128/N148, "NA")</f>
        <v>2.5614674554375504E-2</v>
      </c>
      <c r="P128" s="115">
        <v>546.08000000000004</v>
      </c>
      <c r="Q128" s="116">
        <f>IFERROR(P128/P148, "NA")</f>
        <v>2.2269082848018651E-2</v>
      </c>
      <c r="R128" s="115">
        <v>-1996.63</v>
      </c>
      <c r="S128" s="116">
        <f>IFERROR(R128/R148, "NA")</f>
        <v>-7.4882966650089602E-2</v>
      </c>
      <c r="T128" s="115">
        <v>426.2</v>
      </c>
      <c r="U128" s="116">
        <f>IFERROR(T128/T148, "NA")</f>
        <v>1.7758925297509914E-2</v>
      </c>
      <c r="V128" s="115">
        <v>421.28</v>
      </c>
      <c r="W128" s="116">
        <f>IFERROR(V128/V148, "NA")</f>
        <v>1.2171371102296663E-2</v>
      </c>
      <c r="X128" s="115">
        <v>426.02</v>
      </c>
      <c r="Y128" s="116">
        <f>IFERROR(X128/X148, "NA")</f>
        <v>1.9538303136759409E-2</v>
      </c>
      <c r="Z128" s="115">
        <v>1273.5</v>
      </c>
      <c r="AA128" s="116">
        <f>IFERROR(Z128/Z148, "NA")</f>
        <v>1.5836416470768475E-2</v>
      </c>
      <c r="AB128" s="117">
        <f t="shared" si="42"/>
        <v>-180.78250000000003</v>
      </c>
      <c r="AC128" s="116">
        <f>IFERROR(AB128/AB148, "NA")</f>
        <v>-6.7532218657469249E-3</v>
      </c>
      <c r="AD128" s="118">
        <f t="shared" si="43"/>
        <v>606.80250000000001</v>
      </c>
      <c r="AE128" s="119">
        <f>IFERROR(AD128/AD148, "NA")</f>
        <v>-0.12220456694388129</v>
      </c>
      <c r="AF128" s="118">
        <f t="shared" si="44"/>
        <v>-3.3565334033991117</v>
      </c>
      <c r="AG128" s="117">
        <f t="shared" si="45"/>
        <v>159.1875</v>
      </c>
      <c r="AH128" s="116">
        <f>IFERROR(AG128/AG148, "NA")</f>
        <v>6.1602345948906867E-3</v>
      </c>
      <c r="AI128" s="118">
        <f t="shared" si="46"/>
        <v>266.83249999999998</v>
      </c>
      <c r="AJ128" s="119">
        <f>IFERROR(AI128/AI148, "NA")</f>
        <v>-6.6100127762326155E-2</v>
      </c>
      <c r="AK128" s="118">
        <f t="shared" si="47"/>
        <v>1.6762151550844129</v>
      </c>
      <c r="AL128" s="119">
        <f>IFERROR(AK128/AK148, "NA")</f>
        <v>-10.730131579266438</v>
      </c>
    </row>
    <row r="129" spans="1:38" ht="16.5" hidden="1" customHeight="1" x14ac:dyDescent="0.25">
      <c r="A129" s="2" t="s">
        <v>124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125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126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127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128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129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130</v>
      </c>
      <c r="B135" s="121">
        <f>IFERROR(B110+B111+B112+B113+B114+B115+B116+B117+B118+B119+B120+B121+B122+B123+B124+B125+B126+B127+B128+B129+B130+B131+B132+B133+B134, "NA")</f>
        <v>359.13</v>
      </c>
      <c r="C135" s="122">
        <f>IFERROR(B135/B148, "NA")</f>
        <v>1.3877269648259343E-2</v>
      </c>
      <c r="D135" s="121">
        <f>IFERROR(D110+D111+D112+D113+D114+D115+D116+D117+D118+D119+D120+D121+D122+D123+D124+D125+D126+D127+D128+D129+D130+D131+D132+D133+D134, "NA")</f>
        <v>451.77</v>
      </c>
      <c r="E135" s="122">
        <f>IFERROR(D135/D148, "NA")</f>
        <v>1.7580836160865605E-2</v>
      </c>
      <c r="F135" s="121">
        <f>IFERROR(F110+F111+F112+F113+F114+F115+F116+F117+F118+F119+F120+F121+F122+F123+F124+F125+F126+F127+F128+F129+F130+F131+F132+F133+F134, "NA")</f>
        <v>455.64000000000004</v>
      </c>
      <c r="G135" s="122">
        <f>IFERROR(F135/F148, "NA")</f>
        <v>1.8106610597795527E-2</v>
      </c>
      <c r="H135" s="121">
        <f>IFERROR(H110+H111+H112+H113+H114+H115+H116+H117+H118+H119+H120+H121+H122+H123+H124+H125+H126+H127+H128+H129+H130+H131+H132+H133+H134, "NA")</f>
        <v>-1266.54</v>
      </c>
      <c r="I135" s="122">
        <f>IFERROR(H135/H148, "NA")</f>
        <v>-4.4232773336984062E-2</v>
      </c>
      <c r="J135" s="121">
        <f>IFERROR(J110+J111+J112+J113+J114+J115+J116+J117+J118+J119+J120+J121+J122+J123+J124+J125+J126+J127+J128+J129+J130+J131+J132+J133+J134, "NA")</f>
        <v>467.43</v>
      </c>
      <c r="K135" s="122">
        <f>IFERROR(J135/J148, "NA")</f>
        <v>1.6657318165717205E-2</v>
      </c>
      <c r="L135" s="121">
        <f>IFERROR(L110+L111+L112+L113+L114+L115+L116+L117+L118+L119+L120+L121+L122+L123+L124+L125+L126+L127+L128+L129+L130+L131+L132+L133+L134, "NA")</f>
        <v>455.22</v>
      </c>
      <c r="M135" s="122">
        <f>IFERROR(L135/L148, "NA")</f>
        <v>1.7205921872974324E-2</v>
      </c>
      <c r="N135" s="121">
        <f>IFERROR(N110+N111+N112+N113+N114+N115+N116+N117+N118+N119+N120+N121+N122+N123+N124+N125+N126+N127+N128+N129+N130+N131+N132+N133+N134, "NA")</f>
        <v>527.9</v>
      </c>
      <c r="O135" s="122">
        <f>IFERROR(N135/N148, "NA")</f>
        <v>2.5614674554375504E-2</v>
      </c>
      <c r="P135" s="121">
        <f>IFERROR(P110+P111+P112+P113+P114+P115+P116+P117+P118+P119+P120+P121+P122+P123+P124+P125+P126+P127+P128+P129+P130+P131+P132+P133+P134, "NA")</f>
        <v>546.08000000000004</v>
      </c>
      <c r="Q135" s="122">
        <f>IFERROR(P135/P148, "NA")</f>
        <v>2.2269082848018651E-2</v>
      </c>
      <c r="R135" s="121">
        <f>IFERROR(R110+R111+R112+R113+R114+R115+R116+R117+R118+R119+R120+R121+R122+R123+R124+R125+R126+R127+R128+R129+R130+R131+R132+R133+R134, "NA")</f>
        <v>-1996.63</v>
      </c>
      <c r="S135" s="122">
        <f>IFERROR(R135/R148, "NA")</f>
        <v>-7.4882966650089602E-2</v>
      </c>
      <c r="T135" s="121">
        <f>IFERROR(T110+T111+T112+T113+T114+T115+T116+T117+T118+T119+T120+T121+T122+T123+T124+T125+T126+T127+T128+T129+T130+T131+T132+T133+T134, "NA")</f>
        <v>426.2</v>
      </c>
      <c r="U135" s="122">
        <f>IFERROR(T135/T148, "NA")</f>
        <v>1.7758925297509914E-2</v>
      </c>
      <c r="V135" s="121">
        <f>IFERROR(V110+V111+V112+V113+V114+V115+V116+V117+V118+V119+V120+V121+V122+V123+V124+V125+V126+V127+V128+V129+V130+V131+V132+V133+V134, "NA")</f>
        <v>421.28</v>
      </c>
      <c r="W135" s="122">
        <f>IFERROR(V135/V148, "NA")</f>
        <v>1.2171371102296663E-2</v>
      </c>
      <c r="X135" s="121">
        <f>IFERROR(X110+X111+X112+X113+X114+X115+X116+X117+X118+X119+X120+X121+X122+X123+X124+X125+X126+X127+X128+X129+X130+X131+X132+X133+X134, "NA")</f>
        <v>426.02</v>
      </c>
      <c r="Y135" s="122">
        <f>IFERROR(X135/X148, "NA")</f>
        <v>1.9538303136759409E-2</v>
      </c>
      <c r="Z135" s="121">
        <f>IFERROR(Z110+Z111+Z112+Z113+Z114+Z115+Z116+Z117+Z118+Z119+Z120+Z121+Z122+Z123+Z124+Z125+Z126+Z127+Z128+Z129+Z130+Z131+Z132+Z133+Z134, "NA")</f>
        <v>1273.5</v>
      </c>
      <c r="AA135" s="122">
        <f>IFERROR(Z135/Z148, "NA")</f>
        <v>1.5836416470768475E-2</v>
      </c>
      <c r="AB135" s="121">
        <f t="shared" si="42"/>
        <v>-180.78250000000003</v>
      </c>
      <c r="AC135" s="122">
        <f>IFERROR(AB135/AB148, "NA")</f>
        <v>-6.7532218657469249E-3</v>
      </c>
      <c r="AD135" s="123">
        <f t="shared" si="43"/>
        <v>606.80250000000001</v>
      </c>
      <c r="AE135" s="124">
        <f>IFERROR(AD135/AD148, "NA")</f>
        <v>-0.12220456694388129</v>
      </c>
      <c r="AF135" s="123">
        <f t="shared" si="44"/>
        <v>-3.3565334033991117</v>
      </c>
      <c r="AG135" s="121">
        <f t="shared" si="45"/>
        <v>159.1875</v>
      </c>
      <c r="AH135" s="122">
        <f>IFERROR(AG135/AG148, "NA")</f>
        <v>6.1602345948906867E-3</v>
      </c>
      <c r="AI135" s="123">
        <f t="shared" si="46"/>
        <v>266.83249999999998</v>
      </c>
      <c r="AJ135" s="124">
        <f>IFERROR(AI135/AI148, "NA")</f>
        <v>-6.6100127762326155E-2</v>
      </c>
      <c r="AK135" s="123">
        <f t="shared" si="47"/>
        <v>1.6762151550844129</v>
      </c>
      <c r="AL135" s="124">
        <f>IFERROR(AK135/AK148, "NA")</f>
        <v>-10.730131579266438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131</v>
      </c>
      <c r="B137" s="136">
        <f>IFERROR(B107-B135, "NA")</f>
        <v>12368.449999999997</v>
      </c>
      <c r="C137" s="137">
        <f>IFERROR(B137/B148, "NA")</f>
        <v>0.4779336612953895</v>
      </c>
      <c r="D137" s="136">
        <f>IFERROR(D107-D135, "NA")</f>
        <v>6429.0000000000036</v>
      </c>
      <c r="E137" s="137">
        <f>IFERROR(D137/D148, "NA")</f>
        <v>0.25018747521571827</v>
      </c>
      <c r="F137" s="136">
        <f>IFERROR(F107-F135, "NA")</f>
        <v>2320.1399999999953</v>
      </c>
      <c r="G137" s="137">
        <f>IFERROR(F137/F148, "NA")</f>
        <v>9.2199700448532235E-2</v>
      </c>
      <c r="H137" s="136">
        <f>IFERROR(H107-H135, "NA")</f>
        <v>-16997.220000000008</v>
      </c>
      <c r="I137" s="137">
        <f>IFERROR(H137/H148, "NA")</f>
        <v>-0.59361266096519072</v>
      </c>
      <c r="J137" s="136">
        <f>IFERROR(J107-J135, "NA")</f>
        <v>12006.709999999995</v>
      </c>
      <c r="K137" s="137">
        <f>IFERROR(J137/J148, "NA")</f>
        <v>0.42787067281410768</v>
      </c>
      <c r="L137" s="136">
        <f>IFERROR(L107-L135, "NA")</f>
        <v>7339.9399999999969</v>
      </c>
      <c r="M137" s="137">
        <f>IFERROR(L137/L148, "NA")</f>
        <v>0.27742725317938377</v>
      </c>
      <c r="N137" s="136">
        <f>IFERROR(N107-N135, "NA")</f>
        <v>4454.1999999999989</v>
      </c>
      <c r="O137" s="137">
        <f>IFERROR(N137/N148, "NA")</f>
        <v>0.21612593938264699</v>
      </c>
      <c r="P137" s="136">
        <f>IFERROR(P107-P135, "NA")</f>
        <v>3514.6400000000008</v>
      </c>
      <c r="Q137" s="137">
        <f>IFERROR(P137/P148, "NA")</f>
        <v>0.14332663591591027</v>
      </c>
      <c r="R137" s="136">
        <f>IFERROR(R107-R135, "NA")</f>
        <v>-18881.44999999999</v>
      </c>
      <c r="S137" s="137">
        <f>IFERROR(R137/R148, "NA")</f>
        <v>-0.70814271580379617</v>
      </c>
      <c r="T137" s="136">
        <f>IFERROR(T107-T135, "NA")</f>
        <v>14284.590000000002</v>
      </c>
      <c r="U137" s="137">
        <f>IFERROR(T137/T148, "NA")</f>
        <v>0.59521109036967901</v>
      </c>
      <c r="V137" s="136">
        <f>IFERROR(V107-V135, "NA")</f>
        <v>13925.069999999985</v>
      </c>
      <c r="W137" s="137">
        <f>IFERROR(V137/V148, "NA")</f>
        <v>0.40231483715215066</v>
      </c>
      <c r="X137" s="136">
        <f>IFERROR(X107-X135, "NA")</f>
        <v>4454.0299999999988</v>
      </c>
      <c r="Y137" s="137">
        <f>IFERROR(X137/X148, "NA")</f>
        <v>0.20427254194690506</v>
      </c>
      <c r="Z137" s="136">
        <f>IFERROR(Z107-Z135, "NA")</f>
        <v>32663.690000000002</v>
      </c>
      <c r="AA137" s="137">
        <f>IFERROR(Z137/Z148, "NA")</f>
        <v>0.40618437244764471</v>
      </c>
      <c r="AB137" s="136">
        <f>IFERROR((R137+T137+V137+X137)/4, "NA")</f>
        <v>3445.559999999999</v>
      </c>
      <c r="AC137" s="137">
        <f>IFERROR(AB137/AB148, "NA")</f>
        <v>0.12871063920314724</v>
      </c>
      <c r="AD137" s="123">
        <f>IFERROR(X137-AB137, "NA")</f>
        <v>1008.4699999999998</v>
      </c>
      <c r="AE137" s="124">
        <f>IFERROR(AD137/AD148, "NA")</f>
        <v>-0.2030967895252507</v>
      </c>
      <c r="AF137" s="123">
        <f>IFERROR((X137-AB137)/AB137, "NA")</f>
        <v>0.29268682013954195</v>
      </c>
      <c r="AG137" s="136">
        <f>IFERROR((J137+L137+N137+P137+R137+T137+V137+X137)/8, "NA")</f>
        <v>5137.2162499999986</v>
      </c>
      <c r="AH137" s="137">
        <f>IFERROR(AG137/AG148, "NA")</f>
        <v>0.19879988858851727</v>
      </c>
      <c r="AI137" s="123">
        <f>IFERROR(X137-AG137, "NA")</f>
        <v>-683.18624999999975</v>
      </c>
      <c r="AJ137" s="124">
        <f>IFERROR(AI137/AI148, "NA")</f>
        <v>0.16923987299322416</v>
      </c>
      <c r="AK137" s="123">
        <f>IFERROR((X137-AG137)/AG137, "NA")</f>
        <v>-0.13298763703007441</v>
      </c>
      <c r="AL137" s="124">
        <f>IFERROR(AK137/AK148, "NA")</f>
        <v>0.85130768530520939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132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133</v>
      </c>
      <c r="B140" s="115">
        <v>0</v>
      </c>
      <c r="C140" s="116">
        <f>IFERROR(B140/B148, "NA")</f>
        <v>0</v>
      </c>
      <c r="D140" s="115">
        <v>0</v>
      </c>
      <c r="E140" s="116">
        <f>IFERROR(D140/D148, "NA")</f>
        <v>0</v>
      </c>
      <c r="F140" s="115">
        <v>0</v>
      </c>
      <c r="G140" s="116">
        <f>IFERROR(F140/F148, "NA")</f>
        <v>0</v>
      </c>
      <c r="H140" s="115">
        <v>8232.2100000000009</v>
      </c>
      <c r="I140" s="116">
        <f>IFERROR(H140/H148, "NA")</f>
        <v>0.28750254945951459</v>
      </c>
      <c r="J140" s="115">
        <v>0</v>
      </c>
      <c r="K140" s="116">
        <f>IFERROR(J140/J148, "NA")</f>
        <v>0</v>
      </c>
      <c r="L140" s="115">
        <v>0</v>
      </c>
      <c r="M140" s="116">
        <f>IFERROR(L140/L148, "NA")</f>
        <v>0</v>
      </c>
      <c r="N140" s="115">
        <v>0</v>
      </c>
      <c r="O140" s="116">
        <f>IFERROR(N140/N148, "NA")</f>
        <v>0</v>
      </c>
      <c r="P140" s="115">
        <v>-216.42000000000002</v>
      </c>
      <c r="Q140" s="116">
        <f>IFERROR(P140/P148, "NA")</f>
        <v>-8.8255839986232723E-3</v>
      </c>
      <c r="R140" s="115">
        <v>8552.1200000000008</v>
      </c>
      <c r="S140" s="116">
        <f>IFERROR(R140/R148, "NA")</f>
        <v>0.32074451287798156</v>
      </c>
      <c r="T140" s="115">
        <v>0</v>
      </c>
      <c r="U140" s="116">
        <f>IFERROR(T140/T148, "NA")</f>
        <v>0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2138.0300000000002</v>
      </c>
      <c r="AC140" s="116">
        <f>IFERROR(AB140/AB148, "NA")</f>
        <v>7.9867193703056963E-2</v>
      </c>
      <c r="AD140" s="118">
        <f>IFERROR(X140-AB140, "NA")</f>
        <v>-2138.0300000000002</v>
      </c>
      <c r="AE140" s="119">
        <f>IFERROR(AD140/AD148, "NA")</f>
        <v>0.43058001617169761</v>
      </c>
      <c r="AF140" s="118">
        <f>IFERROR((X140-AB140)/AB140, "NA")</f>
        <v>-1</v>
      </c>
      <c r="AG140" s="117">
        <f>IFERROR((J140+L140+N140+P140+R140+T140+V140+X140)/8, "NA")</f>
        <v>1041.9625000000001</v>
      </c>
      <c r="AH140" s="116">
        <f>IFERROR(AG140/AG148, "NA")</f>
        <v>4.0321843355029682E-2</v>
      </c>
      <c r="AI140" s="118">
        <f>IFERROR(X140-AG140, "NA")</f>
        <v>-1041.9625000000001</v>
      </c>
      <c r="AJ140" s="119">
        <f>IFERROR(AI140/AI148, "NA")</f>
        <v>0.25811643774110266</v>
      </c>
      <c r="AK140" s="118">
        <f>IFERROR((X140-AG140)/AG140, "NA")</f>
        <v>-1</v>
      </c>
      <c r="AL140" s="119">
        <f>IFERROR(AK140/AK148, "NA")</f>
        <v>6.4014047043537659</v>
      </c>
    </row>
    <row r="141" spans="1:38" ht="16.5" hidden="1" customHeight="1" x14ac:dyDescent="0.25">
      <c r="A141" s="120" t="s">
        <v>134</v>
      </c>
      <c r="B141" s="121">
        <f>IFERROR(B140, "NA")</f>
        <v>0</v>
      </c>
      <c r="C141" s="122">
        <f>IFERROR(B141/B148, "NA")</f>
        <v>0</v>
      </c>
      <c r="D141" s="121">
        <f>IFERROR(D140, "NA")</f>
        <v>0</v>
      </c>
      <c r="E141" s="122">
        <f>IFERROR(D141/D148, "NA")</f>
        <v>0</v>
      </c>
      <c r="F141" s="121">
        <f>IFERROR(F140, "NA")</f>
        <v>0</v>
      </c>
      <c r="G141" s="122">
        <f>IFERROR(F141/F148, "NA")</f>
        <v>0</v>
      </c>
      <c r="H141" s="121">
        <f>IFERROR(H140, "NA")</f>
        <v>8232.2100000000009</v>
      </c>
      <c r="I141" s="122">
        <f>IFERROR(H141/H148, "NA")</f>
        <v>0.28750254945951459</v>
      </c>
      <c r="J141" s="121">
        <f>IFERROR(J140, "NA")</f>
        <v>0</v>
      </c>
      <c r="K141" s="122">
        <f>IFERROR(J141/J148, "NA")</f>
        <v>0</v>
      </c>
      <c r="L141" s="121">
        <f>IFERROR(L140, "NA")</f>
        <v>0</v>
      </c>
      <c r="M141" s="122">
        <f>IFERROR(L141/L148, "NA")</f>
        <v>0</v>
      </c>
      <c r="N141" s="121">
        <f>IFERROR(N140, "NA")</f>
        <v>0</v>
      </c>
      <c r="O141" s="122">
        <f>IFERROR(N141/N148, "NA")</f>
        <v>0</v>
      </c>
      <c r="P141" s="121">
        <f>IFERROR(P140, "NA")</f>
        <v>-216.42000000000002</v>
      </c>
      <c r="Q141" s="122">
        <f>IFERROR(P141/P148, "NA")</f>
        <v>-8.8255839986232723E-3</v>
      </c>
      <c r="R141" s="121">
        <f>IFERROR(R140, "NA")</f>
        <v>8552.1200000000008</v>
      </c>
      <c r="S141" s="122">
        <f>IFERROR(R141/R148, "NA")</f>
        <v>0.32074451287798156</v>
      </c>
      <c r="T141" s="121">
        <f>IFERROR(T140, "NA")</f>
        <v>0</v>
      </c>
      <c r="U141" s="122">
        <f>IFERROR(T141/T148, "NA")</f>
        <v>0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2138.0300000000002</v>
      </c>
      <c r="AC141" s="122">
        <f>IFERROR(AB141/AB148, "NA")</f>
        <v>7.9867193703056963E-2</v>
      </c>
      <c r="AD141" s="123">
        <f>IFERROR(X141-AB141, "NA")</f>
        <v>-2138.0300000000002</v>
      </c>
      <c r="AE141" s="124">
        <f>IFERROR(AD141/AD148, "NA")</f>
        <v>0.43058001617169761</v>
      </c>
      <c r="AF141" s="123">
        <f>IFERROR((X141-AB141)/AB141, "NA")</f>
        <v>-1</v>
      </c>
      <c r="AG141" s="121">
        <f>IFERROR((J141+L141+N141+P141+R141+T141+V141+X141)/8, "NA")</f>
        <v>1041.9625000000001</v>
      </c>
      <c r="AH141" s="122">
        <f>IFERROR(AG141/AG148, "NA")</f>
        <v>4.0321843355029682E-2</v>
      </c>
      <c r="AI141" s="123">
        <f>IFERROR(X141-AG141, "NA")</f>
        <v>-1041.9625000000001</v>
      </c>
      <c r="AJ141" s="124">
        <f>IFERROR(AI141/AI148, "NA")</f>
        <v>0.25811643774110266</v>
      </c>
      <c r="AK141" s="123">
        <f>IFERROR((X141-AG141)/AG141, "NA")</f>
        <v>-1</v>
      </c>
      <c r="AL141" s="124">
        <f>IFERROR(AK141/AK148, "NA")</f>
        <v>6.4014047043537659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135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136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137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138</v>
      </c>
      <c r="B147" s="136">
        <f>IFERROR(B137-B141-B145, "NA")</f>
        <v>12368.449999999997</v>
      </c>
      <c r="C147" s="137">
        <f>IFERROR(B147/B148, "NA")</f>
        <v>0.4779336612953895</v>
      </c>
      <c r="D147" s="136">
        <f>IFERROR(D137-D141-D145, "NA")</f>
        <v>6429.0000000000036</v>
      </c>
      <c r="E147" s="137">
        <f>IFERROR(D147/D148, "NA")</f>
        <v>0.25018747521571827</v>
      </c>
      <c r="F147" s="136">
        <f>IFERROR(F137-F141-F145, "NA")</f>
        <v>2320.1399999999953</v>
      </c>
      <c r="G147" s="137">
        <f>IFERROR(F147/F148, "NA")</f>
        <v>9.2199700448532235E-2</v>
      </c>
      <c r="H147" s="136">
        <f>IFERROR(H137-H141-H145, "NA")</f>
        <v>-25229.430000000008</v>
      </c>
      <c r="I147" s="137">
        <f>IFERROR(H147/H148, "NA")</f>
        <v>-0.88111521042470531</v>
      </c>
      <c r="J147" s="136">
        <f>IFERROR(J137-J141-J145, "NA")</f>
        <v>12006.709999999995</v>
      </c>
      <c r="K147" s="137">
        <f>IFERROR(J147/J148, "NA")</f>
        <v>0.42787067281410768</v>
      </c>
      <c r="L147" s="136">
        <f>IFERROR(L137-L141-L145, "NA")</f>
        <v>7339.9399999999969</v>
      </c>
      <c r="M147" s="137">
        <f>IFERROR(L147/L148, "NA")</f>
        <v>0.27742725317938377</v>
      </c>
      <c r="N147" s="136">
        <f>IFERROR(N137-N141-N145, "NA")</f>
        <v>4454.1999999999989</v>
      </c>
      <c r="O147" s="137">
        <f>IFERROR(N147/N148, "NA")</f>
        <v>0.21612593938264699</v>
      </c>
      <c r="P147" s="136">
        <f>IFERROR(P137-P141-P145, "NA")</f>
        <v>3731.0600000000009</v>
      </c>
      <c r="Q147" s="137">
        <f>IFERROR(P147/P148, "NA")</f>
        <v>0.15215221991453354</v>
      </c>
      <c r="R147" s="136">
        <f>IFERROR(R137-R141-R145, "NA")</f>
        <v>-27433.569999999992</v>
      </c>
      <c r="S147" s="137">
        <f>IFERROR(R147/R148, "NA")</f>
        <v>-1.0288872286817778</v>
      </c>
      <c r="T147" s="136">
        <f>IFERROR(T137-T141-T145, "NA")</f>
        <v>14284.590000000002</v>
      </c>
      <c r="U147" s="137">
        <f>IFERROR(T147/T148, "NA")</f>
        <v>0.59521109036967901</v>
      </c>
      <c r="V147" s="136">
        <f>IFERROR(V137-V141-V145, "NA")</f>
        <v>13925.069999999985</v>
      </c>
      <c r="W147" s="137">
        <f>IFERROR(V147/V148, "NA")</f>
        <v>0.40231483715215066</v>
      </c>
      <c r="X147" s="136">
        <f>IFERROR(X137-X141-X145, "NA")</f>
        <v>4454.0299999999988</v>
      </c>
      <c r="Y147" s="137">
        <f>IFERROR(X147/X148, "NA")</f>
        <v>0.20427254194690506</v>
      </c>
      <c r="Z147" s="136">
        <f>IFERROR(Z137-Z141-Z145, "NA")</f>
        <v>32663.690000000002</v>
      </c>
      <c r="AA147" s="137">
        <f>IFERROR(Z147/Z148, "NA")</f>
        <v>0.40618437244764471</v>
      </c>
      <c r="AB147" s="136">
        <f>IFERROR((R147+T147+V147+X147)/4, "NA")</f>
        <v>1307.5299999999984</v>
      </c>
      <c r="AC147" s="137">
        <f>IFERROR(AB147/AB148, "NA")</f>
        <v>4.8843445500090239E-2</v>
      </c>
      <c r="AD147" s="123">
        <f>IFERROR(X147-AB147, "NA")</f>
        <v>3146.5000000000005</v>
      </c>
      <c r="AE147" s="124">
        <f>IFERROR(AD147/AD148, "NA")</f>
        <v>-0.6336768056969484</v>
      </c>
      <c r="AF147" s="123">
        <f>IFERROR((X147-AB147)/AB147, "NA")</f>
        <v>2.406445741206706</v>
      </c>
      <c r="AG147" s="136">
        <f>IFERROR((J147+L147+N147+P147+R147+T147+V147+X147)/8, "NA")</f>
        <v>4095.253749999998</v>
      </c>
      <c r="AH147" s="137">
        <f>IFERROR(AG147/AG148, "NA")</f>
        <v>0.15847804523348757</v>
      </c>
      <c r="AI147" s="123">
        <f>IFERROR(X147-AG147, "NA")</f>
        <v>358.7762500000008</v>
      </c>
      <c r="AJ147" s="124">
        <f>IFERROR(AI147/AI148, "NA")</f>
        <v>-8.8876564747878625E-2</v>
      </c>
      <c r="AK147" s="123">
        <f>IFERROR((X147-AG147)/AG147, "NA")</f>
        <v>8.7607819173598458E-2</v>
      </c>
      <c r="AL147" s="124">
        <f>IFERROR(AK147/AK148, "NA")</f>
        <v>-0.56081310579604726</v>
      </c>
    </row>
    <row r="148" spans="1:38" ht="15.75" hidden="1" x14ac:dyDescent="0.25">
      <c r="A148" s="10" t="s">
        <v>15</v>
      </c>
      <c r="B148" s="115">
        <v>25879.01</v>
      </c>
      <c r="C148" s="141"/>
      <c r="D148" s="115">
        <v>25696.73</v>
      </c>
      <c r="E148" s="141"/>
      <c r="F148" s="115">
        <v>25164.29</v>
      </c>
      <c r="G148" s="141"/>
      <c r="H148" s="115">
        <v>28633.52</v>
      </c>
      <c r="I148" s="141"/>
      <c r="J148" s="115">
        <v>28061.54</v>
      </c>
      <c r="K148" s="141"/>
      <c r="L148" s="115">
        <v>26457.17</v>
      </c>
      <c r="M148" s="141"/>
      <c r="N148" s="115">
        <v>20609.28</v>
      </c>
      <c r="O148" s="141"/>
      <c r="P148" s="115">
        <v>24521.89</v>
      </c>
      <c r="Q148" s="141"/>
      <c r="R148" s="115">
        <v>26663.34</v>
      </c>
      <c r="S148" s="141"/>
      <c r="T148" s="115">
        <v>23999.200000000001</v>
      </c>
      <c r="U148" s="141"/>
      <c r="V148" s="115">
        <v>34612.370000000003</v>
      </c>
      <c r="W148" s="141"/>
      <c r="X148" s="115">
        <v>21804.35</v>
      </c>
      <c r="Y148" s="141"/>
      <c r="Z148" s="115">
        <v>80415.92</v>
      </c>
      <c r="AA148" s="141"/>
      <c r="AB148" s="117">
        <f>IFERROR((R148+T148+V148+X148)/4, "NA")</f>
        <v>26769.815000000002</v>
      </c>
      <c r="AC148" s="141"/>
      <c r="AD148" s="118">
        <f>IFERROR(X148-AB148, "NA")</f>
        <v>-4965.4650000000038</v>
      </c>
      <c r="AE148" s="142"/>
      <c r="AF148" s="118">
        <f>IFERROR((X148-AB148)/AB148, "NA")</f>
        <v>-0.18548746041016731</v>
      </c>
      <c r="AG148" s="117">
        <f>IFERROR((J148+L148+N148+P148+R148+T148+V148+X148)/8, "NA")</f>
        <v>25841.142499999998</v>
      </c>
      <c r="AH148" s="141"/>
      <c r="AI148" s="118">
        <f>IFERROR(X148-AG148, "NA")</f>
        <v>-4036.7924999999996</v>
      </c>
      <c r="AJ148" s="142"/>
      <c r="AK148" s="118">
        <f>IFERROR((X148-AG148)/AG148, "NA")</f>
        <v>-0.15621571298560039</v>
      </c>
      <c r="AL148" s="142"/>
    </row>
    <row r="151" spans="1:38" ht="15.75" x14ac:dyDescent="0.25">
      <c r="A151" s="11" t="s">
        <v>139</v>
      </c>
    </row>
    <row r="152" spans="1:38" ht="15.75" x14ac:dyDescent="0.25">
      <c r="A152" s="11" t="s">
        <v>140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activeCell="D11" sqref="D11"/>
      <selection pane="topRight" activeCell="D11" sqref="D11"/>
      <selection pane="bottomLeft" activeCell="D11" sqref="D11"/>
      <selection pane="bottomRight" activeCell="B6" sqref="B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1" t="s">
        <v>242</v>
      </c>
      <c r="B1" s="151" t="s">
        <v>242</v>
      </c>
      <c r="C1" s="151" t="s">
        <v>242</v>
      </c>
      <c r="D1" s="151" t="s">
        <v>242</v>
      </c>
      <c r="E1" s="151" t="s">
        <v>242</v>
      </c>
      <c r="F1" s="151" t="s">
        <v>242</v>
      </c>
      <c r="G1" s="151" t="s">
        <v>242</v>
      </c>
      <c r="H1" s="151" t="s">
        <v>242</v>
      </c>
      <c r="I1" s="151" t="s">
        <v>242</v>
      </c>
      <c r="J1" s="151" t="s">
        <v>242</v>
      </c>
      <c r="K1" s="151" t="s">
        <v>242</v>
      </c>
      <c r="L1" s="151" t="s">
        <v>242</v>
      </c>
      <c r="M1" s="151" t="s">
        <v>242</v>
      </c>
      <c r="N1" s="151" t="s">
        <v>242</v>
      </c>
      <c r="O1" s="151" t="s">
        <v>242</v>
      </c>
      <c r="P1" s="151" t="s">
        <v>242</v>
      </c>
      <c r="Q1" s="151" t="s">
        <v>242</v>
      </c>
      <c r="R1" s="151" t="s">
        <v>242</v>
      </c>
      <c r="S1" s="151" t="s">
        <v>242</v>
      </c>
      <c r="T1" s="151" t="s">
        <v>242</v>
      </c>
      <c r="U1" s="151" t="s">
        <v>242</v>
      </c>
      <c r="V1" s="151" t="s">
        <v>242</v>
      </c>
      <c r="W1" s="151" t="s">
        <v>242</v>
      </c>
      <c r="X1" s="151" t="s">
        <v>242</v>
      </c>
      <c r="Y1" s="151" t="s">
        <v>242</v>
      </c>
      <c r="Z1" s="151" t="s">
        <v>242</v>
      </c>
      <c r="AA1" s="151" t="s">
        <v>242</v>
      </c>
      <c r="AB1" s="151" t="s">
        <v>242</v>
      </c>
      <c r="AC1" s="151" t="s">
        <v>242</v>
      </c>
      <c r="AD1" s="151" t="s">
        <v>242</v>
      </c>
      <c r="AE1" s="151" t="s">
        <v>242</v>
      </c>
      <c r="AF1" s="151" t="s">
        <v>242</v>
      </c>
      <c r="AG1" s="151" t="s">
        <v>242</v>
      </c>
      <c r="AH1" s="151" t="s">
        <v>242</v>
      </c>
      <c r="AI1" s="151" t="s">
        <v>242</v>
      </c>
      <c r="AJ1" s="151" t="s">
        <v>242</v>
      </c>
      <c r="AK1" s="151" t="s">
        <v>242</v>
      </c>
      <c r="AL1" s="151" t="s">
        <v>242</v>
      </c>
    </row>
    <row r="2" spans="1:38" ht="23.25" x14ac:dyDescent="0.25">
      <c r="A2" s="152" t="s">
        <v>246</v>
      </c>
      <c r="B2" s="152" t="s">
        <v>246</v>
      </c>
      <c r="C2" s="152" t="s">
        <v>246</v>
      </c>
      <c r="D2" s="152" t="s">
        <v>246</v>
      </c>
      <c r="E2" s="152" t="s">
        <v>246</v>
      </c>
      <c r="F2" s="152" t="s">
        <v>246</v>
      </c>
      <c r="G2" s="152" t="s">
        <v>246</v>
      </c>
      <c r="H2" s="152" t="s">
        <v>246</v>
      </c>
      <c r="I2" s="152" t="s">
        <v>246</v>
      </c>
      <c r="J2" s="152" t="s">
        <v>246</v>
      </c>
      <c r="K2" s="152" t="s">
        <v>246</v>
      </c>
      <c r="L2" s="152" t="s">
        <v>246</v>
      </c>
      <c r="M2" s="152" t="s">
        <v>246</v>
      </c>
      <c r="N2" s="152" t="s">
        <v>246</v>
      </c>
      <c r="O2" s="152" t="s">
        <v>246</v>
      </c>
      <c r="P2" s="152" t="s">
        <v>246</v>
      </c>
      <c r="Q2" s="152" t="s">
        <v>246</v>
      </c>
      <c r="R2" s="152" t="s">
        <v>246</v>
      </c>
      <c r="S2" s="152" t="s">
        <v>246</v>
      </c>
      <c r="T2" s="152" t="s">
        <v>246</v>
      </c>
      <c r="U2" s="152" t="s">
        <v>246</v>
      </c>
      <c r="V2" s="152" t="s">
        <v>246</v>
      </c>
      <c r="W2" s="152" t="s">
        <v>246</v>
      </c>
      <c r="X2" s="152" t="s">
        <v>246</v>
      </c>
      <c r="Y2" s="152" t="s">
        <v>246</v>
      </c>
      <c r="Z2" s="152" t="s">
        <v>246</v>
      </c>
      <c r="AA2" s="152" t="s">
        <v>246</v>
      </c>
      <c r="AB2" s="152" t="s">
        <v>246</v>
      </c>
      <c r="AC2" s="152" t="s">
        <v>246</v>
      </c>
      <c r="AD2" s="152" t="s">
        <v>246</v>
      </c>
      <c r="AE2" s="152" t="s">
        <v>246</v>
      </c>
      <c r="AF2" s="152" t="s">
        <v>246</v>
      </c>
      <c r="AG2" s="152" t="s">
        <v>246</v>
      </c>
      <c r="AH2" s="152" t="s">
        <v>246</v>
      </c>
      <c r="AI2" s="152" t="s">
        <v>246</v>
      </c>
      <c r="AJ2" s="152" t="s">
        <v>246</v>
      </c>
      <c r="AK2" s="152" t="s">
        <v>246</v>
      </c>
      <c r="AL2" s="152" t="s">
        <v>246</v>
      </c>
    </row>
    <row r="3" spans="1:38" ht="15.75" x14ac:dyDescent="0.25">
      <c r="A3" s="153" t="s">
        <v>144</v>
      </c>
      <c r="B3" s="153" t="s">
        <v>144</v>
      </c>
      <c r="C3" s="153" t="s">
        <v>144</v>
      </c>
      <c r="D3" s="153" t="s">
        <v>144</v>
      </c>
      <c r="E3" s="153" t="s">
        <v>144</v>
      </c>
      <c r="F3" s="153" t="s">
        <v>144</v>
      </c>
      <c r="G3" s="153" t="s">
        <v>144</v>
      </c>
      <c r="H3" s="153" t="s">
        <v>144</v>
      </c>
      <c r="I3" s="153" t="s">
        <v>144</v>
      </c>
      <c r="J3" s="153" t="s">
        <v>144</v>
      </c>
      <c r="K3" s="153" t="s">
        <v>144</v>
      </c>
      <c r="L3" s="153" t="s">
        <v>144</v>
      </c>
      <c r="M3" s="153" t="s">
        <v>144</v>
      </c>
      <c r="N3" s="153" t="s">
        <v>144</v>
      </c>
      <c r="O3" s="153" t="s">
        <v>144</v>
      </c>
      <c r="P3" s="153" t="s">
        <v>144</v>
      </c>
      <c r="Q3" s="153" t="s">
        <v>144</v>
      </c>
      <c r="R3" s="153" t="s">
        <v>144</v>
      </c>
      <c r="S3" s="153" t="s">
        <v>144</v>
      </c>
      <c r="T3" s="153" t="s">
        <v>144</v>
      </c>
      <c r="U3" s="153" t="s">
        <v>144</v>
      </c>
      <c r="V3" s="153" t="s">
        <v>144</v>
      </c>
      <c r="W3" s="153" t="s">
        <v>144</v>
      </c>
      <c r="X3" s="153" t="s">
        <v>144</v>
      </c>
      <c r="Y3" s="153" t="s">
        <v>144</v>
      </c>
      <c r="Z3" s="153" t="s">
        <v>144</v>
      </c>
      <c r="AA3" s="153" t="s">
        <v>144</v>
      </c>
      <c r="AB3" s="153" t="s">
        <v>144</v>
      </c>
      <c r="AC3" s="153" t="s">
        <v>144</v>
      </c>
      <c r="AD3" s="153" t="s">
        <v>144</v>
      </c>
      <c r="AE3" s="153" t="s">
        <v>144</v>
      </c>
      <c r="AF3" s="153" t="s">
        <v>144</v>
      </c>
      <c r="AG3" s="153" t="s">
        <v>144</v>
      </c>
      <c r="AH3" s="153" t="s">
        <v>144</v>
      </c>
      <c r="AI3" s="153" t="s">
        <v>144</v>
      </c>
      <c r="AJ3" s="153" t="s">
        <v>144</v>
      </c>
      <c r="AK3" s="153" t="s">
        <v>144</v>
      </c>
      <c r="AL3" s="153" t="s">
        <v>144</v>
      </c>
    </row>
    <row r="5" spans="1:38" ht="13.5" customHeight="1" x14ac:dyDescent="0.25">
      <c r="A5" s="110" t="s">
        <v>2</v>
      </c>
      <c r="B5" s="154" t="s">
        <v>3</v>
      </c>
      <c r="C5" s="155" t="s">
        <v>2</v>
      </c>
      <c r="D5" s="154" t="s">
        <v>4</v>
      </c>
      <c r="E5" s="155" t="s">
        <v>2</v>
      </c>
      <c r="F5" s="154" t="s">
        <v>5</v>
      </c>
      <c r="G5" s="155" t="s">
        <v>2</v>
      </c>
      <c r="H5" s="154" t="s">
        <v>236</v>
      </c>
      <c r="I5" s="155" t="s">
        <v>2</v>
      </c>
      <c r="J5" s="154" t="s">
        <v>237</v>
      </c>
      <c r="K5" s="155" t="s">
        <v>2</v>
      </c>
      <c r="L5" s="154" t="s">
        <v>238</v>
      </c>
      <c r="M5" s="155" t="s">
        <v>2</v>
      </c>
      <c r="N5" s="154" t="s">
        <v>239</v>
      </c>
      <c r="O5" s="155" t="s">
        <v>2</v>
      </c>
      <c r="P5" s="154" t="s">
        <v>240</v>
      </c>
      <c r="Q5" s="155" t="s">
        <v>2</v>
      </c>
      <c r="R5" s="154" t="s">
        <v>241</v>
      </c>
      <c r="S5" s="155" t="s">
        <v>2</v>
      </c>
      <c r="T5" s="154" t="s">
        <v>243</v>
      </c>
      <c r="U5" s="155" t="s">
        <v>2</v>
      </c>
      <c r="V5" s="154" t="s">
        <v>244</v>
      </c>
      <c r="W5" s="155" t="s">
        <v>2</v>
      </c>
      <c r="X5" s="154" t="s">
        <v>245</v>
      </c>
      <c r="Y5" s="155" t="s">
        <v>2</v>
      </c>
      <c r="Z5" s="154" t="s">
        <v>6</v>
      </c>
      <c r="AA5" s="155" t="s">
        <v>2</v>
      </c>
      <c r="AB5" s="154" t="s">
        <v>7</v>
      </c>
      <c r="AC5" s="155" t="s">
        <v>2</v>
      </c>
      <c r="AD5" s="156" t="s">
        <v>8</v>
      </c>
      <c r="AE5" s="157" t="s">
        <v>2</v>
      </c>
      <c r="AF5" s="143" t="s">
        <v>9</v>
      </c>
      <c r="AG5" s="154" t="s">
        <v>10</v>
      </c>
      <c r="AH5" s="155" t="s">
        <v>2</v>
      </c>
      <c r="AI5" s="156" t="s">
        <v>11</v>
      </c>
      <c r="AJ5" s="157" t="s">
        <v>2</v>
      </c>
      <c r="AK5" s="156" t="s">
        <v>12</v>
      </c>
      <c r="AL5" s="157" t="s">
        <v>2</v>
      </c>
    </row>
    <row r="6" spans="1:38" ht="16.5" customHeight="1" x14ac:dyDescent="0.25">
      <c r="A6" s="1" t="s">
        <v>13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13</v>
      </c>
      <c r="B7" s="115">
        <v>22852.069999999996</v>
      </c>
      <c r="C7" s="116">
        <f>IFERROR(B7/B148, "NA")</f>
        <v>0.99999999999999989</v>
      </c>
      <c r="D7" s="115">
        <v>26960.43</v>
      </c>
      <c r="E7" s="116">
        <f>IFERROR(D7/D148, "NA")</f>
        <v>1</v>
      </c>
      <c r="F7" s="115">
        <v>24051.489999999998</v>
      </c>
      <c r="G7" s="116">
        <f>IFERROR(F7/F148, "NA")</f>
        <v>0.99999999999999989</v>
      </c>
      <c r="H7" s="115">
        <v>25100.74</v>
      </c>
      <c r="I7" s="116">
        <f>IFERROR(H7/H148, "NA")</f>
        <v>1</v>
      </c>
      <c r="J7" s="115">
        <v>22601.940000000002</v>
      </c>
      <c r="K7" s="116">
        <f>IFERROR(J7/J148, "NA")</f>
        <v>1.0000000000000002</v>
      </c>
      <c r="L7" s="115">
        <v>27925.389999999996</v>
      </c>
      <c r="M7" s="116">
        <f>IFERROR(L7/L148, "NA")</f>
        <v>0.99999999999999989</v>
      </c>
      <c r="N7" s="115">
        <v>27652.5</v>
      </c>
      <c r="O7" s="116">
        <f>IFERROR(N7/N148, "NA")</f>
        <v>1</v>
      </c>
      <c r="P7" s="115">
        <v>23432.869999999995</v>
      </c>
      <c r="Q7" s="116">
        <f>IFERROR(P7/P148, "NA")</f>
        <v>0.99999999999999989</v>
      </c>
      <c r="R7" s="115">
        <v>31480.509999999991</v>
      </c>
      <c r="S7" s="116">
        <f>IFERROR(R7/R148, "NA")</f>
        <v>0.99999999999999978</v>
      </c>
      <c r="T7" s="115">
        <v>32858.490000000005</v>
      </c>
      <c r="U7" s="116">
        <f>IFERROR(T7/T148, "NA")</f>
        <v>1.0000000000000002</v>
      </c>
      <c r="V7" s="115">
        <v>34736.86</v>
      </c>
      <c r="W7" s="116">
        <f>IFERROR(V7/V148, "NA")</f>
        <v>1</v>
      </c>
      <c r="X7" s="115">
        <v>29074.81</v>
      </c>
      <c r="Y7" s="116">
        <f>IFERROR(X7/X148, "NA")</f>
        <v>1</v>
      </c>
      <c r="Z7" s="115">
        <v>96670.16</v>
      </c>
      <c r="AA7" s="116">
        <f>IFERROR(Z7/Z148, "NA")</f>
        <v>1</v>
      </c>
      <c r="AB7" s="117">
        <f>IFERROR((R7+T7+V7+X7)/4, "NA")</f>
        <v>32037.6675</v>
      </c>
      <c r="AC7" s="116">
        <f>IFERROR(AB7/AB148, "NA")</f>
        <v>1</v>
      </c>
      <c r="AD7" s="118">
        <f>IFERROR(X7-AB7, "NA")</f>
        <v>-2962.8574999999983</v>
      </c>
      <c r="AE7" s="119">
        <f>IFERROR(AD7/AD148, "NA")</f>
        <v>1</v>
      </c>
      <c r="AF7" s="118">
        <f>IFERROR((X7-AB7)/AB7, "NA")</f>
        <v>-9.2480437285267364E-2</v>
      </c>
      <c r="AG7" s="117">
        <f>IFERROR((J7+L7+N7+P7+R7+T7+V7+X7)/8, "NA")</f>
        <v>28720.421249999999</v>
      </c>
      <c r="AH7" s="116">
        <f>IFERROR(AG7/AG148, "NA")</f>
        <v>1</v>
      </c>
      <c r="AI7" s="118">
        <f>IFERROR(X7-AG7, "NA")</f>
        <v>354.38875000000189</v>
      </c>
      <c r="AJ7" s="119">
        <f>IFERROR(AI7/AI148, "NA")</f>
        <v>1</v>
      </c>
      <c r="AK7" s="118">
        <f>IFERROR((X7-AG7)/AG7, "NA")</f>
        <v>1.2339260170148162E-2</v>
      </c>
      <c r="AL7" s="119">
        <f>IFERROR(AK7/AK148, "NA")</f>
        <v>1</v>
      </c>
    </row>
    <row r="8" spans="1:38" ht="30.75" hidden="1" customHeight="1" x14ac:dyDescent="0.25">
      <c r="A8" s="2" t="s">
        <v>14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15</v>
      </c>
      <c r="B9" s="121">
        <f>IFERROR(B7+B8, "NA")</f>
        <v>22852.069999999996</v>
      </c>
      <c r="C9" s="122">
        <f>IFERROR(B9/B148, "NA")</f>
        <v>0.99999999999999989</v>
      </c>
      <c r="D9" s="121">
        <f>IFERROR(D7+D8, "NA")</f>
        <v>26960.43</v>
      </c>
      <c r="E9" s="122">
        <f>IFERROR(D9/D148, "NA")</f>
        <v>1</v>
      </c>
      <c r="F9" s="121">
        <f>IFERROR(F7+F8, "NA")</f>
        <v>24051.489999999998</v>
      </c>
      <c r="G9" s="122">
        <f>IFERROR(F9/F148, "NA")</f>
        <v>0.99999999999999989</v>
      </c>
      <c r="H9" s="121">
        <f>IFERROR(H7+H8, "NA")</f>
        <v>25100.74</v>
      </c>
      <c r="I9" s="122">
        <f>IFERROR(H9/H148, "NA")</f>
        <v>1</v>
      </c>
      <c r="J9" s="121">
        <f>IFERROR(J7+J8, "NA")</f>
        <v>22601.940000000002</v>
      </c>
      <c r="K9" s="122">
        <f>IFERROR(J9/J148, "NA")</f>
        <v>1.0000000000000002</v>
      </c>
      <c r="L9" s="121">
        <f>IFERROR(L7+L8, "NA")</f>
        <v>27925.389999999996</v>
      </c>
      <c r="M9" s="122">
        <f>IFERROR(L9/L148, "NA")</f>
        <v>0.99999999999999989</v>
      </c>
      <c r="N9" s="121">
        <f>IFERROR(N7+N8, "NA")</f>
        <v>27652.5</v>
      </c>
      <c r="O9" s="122">
        <f>IFERROR(N9/N148, "NA")</f>
        <v>1</v>
      </c>
      <c r="P9" s="121">
        <f>IFERROR(P7+P8, "NA")</f>
        <v>23432.869999999995</v>
      </c>
      <c r="Q9" s="122">
        <f>IFERROR(P9/P148, "NA")</f>
        <v>0.99999999999999989</v>
      </c>
      <c r="R9" s="121">
        <f>IFERROR(R7+R8, "NA")</f>
        <v>31480.509999999991</v>
      </c>
      <c r="S9" s="122">
        <f>IFERROR(R9/R148, "NA")</f>
        <v>0.99999999999999978</v>
      </c>
      <c r="T9" s="121">
        <f>IFERROR(T7+T8, "NA")</f>
        <v>32858.490000000005</v>
      </c>
      <c r="U9" s="122">
        <f>IFERROR(T9/T148, "NA")</f>
        <v>1.0000000000000002</v>
      </c>
      <c r="V9" s="121">
        <f>IFERROR(V7+V8, "NA")</f>
        <v>34736.86</v>
      </c>
      <c r="W9" s="122">
        <f>IFERROR(V9/V148, "NA")</f>
        <v>1</v>
      </c>
      <c r="X9" s="121">
        <f>IFERROR(X7+X8, "NA")</f>
        <v>29074.81</v>
      </c>
      <c r="Y9" s="122">
        <f>IFERROR(X9/X148, "NA")</f>
        <v>1</v>
      </c>
      <c r="Z9" s="121">
        <f>IFERROR(Z7+Z8, "NA")</f>
        <v>96670.16</v>
      </c>
      <c r="AA9" s="122">
        <f>IFERROR(Z9/Z148, "NA")</f>
        <v>1</v>
      </c>
      <c r="AB9" s="121">
        <f>IFERROR((R9+T9+V9+X9)/4, "NA")</f>
        <v>32037.6675</v>
      </c>
      <c r="AC9" s="122">
        <f>IFERROR(AB9/AB148, "NA")</f>
        <v>1</v>
      </c>
      <c r="AD9" s="123">
        <f>IFERROR(X9-AB9, "NA")</f>
        <v>-2962.8574999999983</v>
      </c>
      <c r="AE9" s="124">
        <f>IFERROR(AD9/AD148, "NA")</f>
        <v>1</v>
      </c>
      <c r="AF9" s="123">
        <f>IFERROR((X9-AB9)/AB9, "NA")</f>
        <v>-9.2480437285267364E-2</v>
      </c>
      <c r="AG9" s="121">
        <f>IFERROR((J9+L9+N9+P9+R9+T9+V9+X9)/8, "NA")</f>
        <v>28720.421249999999</v>
      </c>
      <c r="AH9" s="122">
        <f>IFERROR(AG9/AG148, "NA")</f>
        <v>1</v>
      </c>
      <c r="AI9" s="123">
        <f>IFERROR(X9-AG9, "NA")</f>
        <v>354.38875000000189</v>
      </c>
      <c r="AJ9" s="124">
        <f>IFERROR(AI9/AI148, "NA")</f>
        <v>1</v>
      </c>
      <c r="AK9" s="123">
        <f>IFERROR((X9-AG9)/AG9, "NA")</f>
        <v>1.2339260170148162E-2</v>
      </c>
      <c r="AL9" s="124">
        <f>IFERROR(AK9/AK148, "NA")</f>
        <v>1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16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17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18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19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20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21</v>
      </c>
      <c r="B16" s="115">
        <v>1390.83</v>
      </c>
      <c r="C16" s="116">
        <f>IFERROR(B16/B148, "NA")</f>
        <v>6.0862320131174111E-2</v>
      </c>
      <c r="D16" s="115">
        <v>937.83</v>
      </c>
      <c r="E16" s="116">
        <f>IFERROR(D16/D148, "NA")</f>
        <v>3.4785424416450335E-2</v>
      </c>
      <c r="F16" s="115">
        <v>1158.81</v>
      </c>
      <c r="G16" s="116">
        <f>IFERROR(F16/F148, "NA")</f>
        <v>4.8180383003298334E-2</v>
      </c>
      <c r="H16" s="115">
        <v>1233.2</v>
      </c>
      <c r="I16" s="116">
        <f>IFERROR(H16/H148, "NA")</f>
        <v>4.9130025648646214E-2</v>
      </c>
      <c r="J16" s="115">
        <v>620.80999999999995</v>
      </c>
      <c r="K16" s="116">
        <f>IFERROR(J16/J148, "NA")</f>
        <v>2.7467111230274923E-2</v>
      </c>
      <c r="L16" s="115">
        <v>1466.34</v>
      </c>
      <c r="M16" s="116">
        <f>IFERROR(L16/L148, "NA")</f>
        <v>5.2509203989630937E-2</v>
      </c>
      <c r="N16" s="115">
        <v>982.39</v>
      </c>
      <c r="O16" s="116">
        <f>IFERROR(N16/N148, "NA")</f>
        <v>3.5526263448151164E-2</v>
      </c>
      <c r="P16" s="115">
        <v>1042.76</v>
      </c>
      <c r="Q16" s="116">
        <f>IFERROR(P16/P148, "NA")</f>
        <v>4.4499884137111673E-2</v>
      </c>
      <c r="R16" s="115">
        <v>1512</v>
      </c>
      <c r="S16" s="116">
        <f>IFERROR(R16/R148, "NA")</f>
        <v>4.8029717434692136E-2</v>
      </c>
      <c r="T16" s="115">
        <v>1495.59</v>
      </c>
      <c r="U16" s="116">
        <f>IFERROR(T16/T148, "NA")</f>
        <v>4.5516090362034287E-2</v>
      </c>
      <c r="V16" s="115">
        <v>1276.68</v>
      </c>
      <c r="W16" s="116">
        <f>IFERROR(V16/V148, "NA")</f>
        <v>3.6752890157602039E-2</v>
      </c>
      <c r="X16" s="115">
        <v>1551.57</v>
      </c>
      <c r="Y16" s="116">
        <f>IFERROR(X16/X148, "NA")</f>
        <v>5.3364751136808802E-2</v>
      </c>
      <c r="Z16" s="115">
        <v>4323.84</v>
      </c>
      <c r="AA16" s="116">
        <f>IFERROR(Z16/Z148, "NA")</f>
        <v>4.4727762941532322E-2</v>
      </c>
      <c r="AB16" s="117">
        <f t="shared" si="0"/>
        <v>1458.96</v>
      </c>
      <c r="AC16" s="116">
        <f>IFERROR(AB16/AB148, "NA")</f>
        <v>4.5538895738898598E-2</v>
      </c>
      <c r="AD16" s="118">
        <f t="shared" si="1"/>
        <v>92.6099999999999</v>
      </c>
      <c r="AE16" s="119">
        <f>IFERROR(AD16/AD148, "NA")</f>
        <v>-3.1256987553400714E-2</v>
      </c>
      <c r="AF16" s="118">
        <f t="shared" si="2"/>
        <v>6.3476723145254085E-2</v>
      </c>
      <c r="AG16" s="117">
        <f t="shared" si="3"/>
        <v>1243.5174999999999</v>
      </c>
      <c r="AH16" s="116">
        <f>IFERROR(AG16/AG148, "NA")</f>
        <v>4.3297328029267675E-2</v>
      </c>
      <c r="AI16" s="118">
        <f t="shared" si="4"/>
        <v>308.05250000000001</v>
      </c>
      <c r="AJ16" s="119">
        <f>IFERROR(AI16/AI148, "NA")</f>
        <v>0.86925022309539557</v>
      </c>
      <c r="AK16" s="118">
        <f t="shared" si="5"/>
        <v>0.2477267107218033</v>
      </c>
      <c r="AL16" s="119">
        <f>IFERROR(AK16/AK148, "NA")</f>
        <v>20.076301764113687</v>
      </c>
    </row>
    <row r="17" spans="1:38" ht="16.5" customHeight="1" x14ac:dyDescent="0.25">
      <c r="A17" s="7" t="s">
        <v>22</v>
      </c>
      <c r="B17" s="115">
        <v>707.48</v>
      </c>
      <c r="C17" s="116">
        <f>IFERROR(B17/B148, "NA")</f>
        <v>3.0959120989914702E-2</v>
      </c>
      <c r="D17" s="115">
        <v>701.24</v>
      </c>
      <c r="E17" s="116">
        <f>IFERROR(D17/D148, "NA")</f>
        <v>2.6009970909217695E-2</v>
      </c>
      <c r="F17" s="115">
        <v>666.89</v>
      </c>
      <c r="G17" s="116">
        <f>IFERROR(F17/F148, "NA")</f>
        <v>2.7727596086562618E-2</v>
      </c>
      <c r="H17" s="115">
        <v>785.74</v>
      </c>
      <c r="I17" s="116">
        <f>IFERROR(H17/H148, "NA")</f>
        <v>3.1303459579279332E-2</v>
      </c>
      <c r="J17" s="115">
        <v>625.59</v>
      </c>
      <c r="K17" s="116">
        <f>IFERROR(J17/J148, "NA")</f>
        <v>2.767859750092249E-2</v>
      </c>
      <c r="L17" s="115">
        <v>794.19</v>
      </c>
      <c r="M17" s="116">
        <f>IFERROR(L17/L148, "NA")</f>
        <v>2.8439710242184623E-2</v>
      </c>
      <c r="N17" s="115">
        <v>747.69</v>
      </c>
      <c r="O17" s="116">
        <f>IFERROR(N17/N148, "NA")</f>
        <v>2.7038784919989154E-2</v>
      </c>
      <c r="P17" s="115">
        <v>766.17</v>
      </c>
      <c r="Q17" s="116">
        <f>IFERROR(P17/P148, "NA")</f>
        <v>3.2696379060695509E-2</v>
      </c>
      <c r="R17" s="115">
        <v>1112.42</v>
      </c>
      <c r="S17" s="116">
        <f>IFERROR(R17/R148, "NA")</f>
        <v>3.5336784569246181E-2</v>
      </c>
      <c r="T17" s="115">
        <v>891.07</v>
      </c>
      <c r="U17" s="116">
        <f>IFERROR(T17/T148, "NA")</f>
        <v>2.7118409884325182E-2</v>
      </c>
      <c r="V17" s="115">
        <v>922.39</v>
      </c>
      <c r="W17" s="116">
        <f>IFERROR(V17/V148, "NA")</f>
        <v>2.655363783600475E-2</v>
      </c>
      <c r="X17" s="115">
        <v>942.13</v>
      </c>
      <c r="Y17" s="116">
        <f>IFERROR(X17/X148, "NA")</f>
        <v>3.2403651133059853E-2</v>
      </c>
      <c r="Z17" s="115">
        <v>2755.59</v>
      </c>
      <c r="AA17" s="116">
        <f>IFERROR(Z17/Z148, "NA")</f>
        <v>2.8505073333901589E-2</v>
      </c>
      <c r="AB17" s="117">
        <f t="shared" si="0"/>
        <v>967.00250000000005</v>
      </c>
      <c r="AC17" s="116">
        <f>IFERROR(AB17/AB148, "NA")</f>
        <v>3.01832990806837E-2</v>
      </c>
      <c r="AD17" s="118">
        <f t="shared" si="1"/>
        <v>-24.872500000000059</v>
      </c>
      <c r="AE17" s="119">
        <f>IFERROR(AD17/AD148, "NA")</f>
        <v>8.3947675512575527E-3</v>
      </c>
      <c r="AF17" s="118">
        <f t="shared" si="2"/>
        <v>-2.5721236501456881E-2</v>
      </c>
      <c r="AG17" s="117">
        <f t="shared" si="3"/>
        <v>850.20625000000007</v>
      </c>
      <c r="AH17" s="116">
        <f>IFERROR(AG17/AG148, "NA")</f>
        <v>2.9602847486089712E-2</v>
      </c>
      <c r="AI17" s="118">
        <f t="shared" si="4"/>
        <v>91.923749999999927</v>
      </c>
      <c r="AJ17" s="119">
        <f>IFERROR(AI17/AI148, "NA")</f>
        <v>0.25938676100750779</v>
      </c>
      <c r="AK17" s="118">
        <f t="shared" si="5"/>
        <v>0.1081193533921915</v>
      </c>
      <c r="AL17" s="119">
        <f>IFERROR(AK17/AK148, "NA")</f>
        <v>8.7622233344070306</v>
      </c>
    </row>
    <row r="18" spans="1:38" ht="16.5" customHeight="1" x14ac:dyDescent="0.25">
      <c r="A18" s="7" t="s">
        <v>23</v>
      </c>
      <c r="B18" s="115">
        <v>1060.17</v>
      </c>
      <c r="C18" s="116">
        <f>IFERROR(B18/B148, "NA")</f>
        <v>4.6392733787354937E-2</v>
      </c>
      <c r="D18" s="115">
        <v>705.55</v>
      </c>
      <c r="E18" s="116">
        <f>IFERROR(D18/D148, "NA")</f>
        <v>2.6169834828302069E-2</v>
      </c>
      <c r="F18" s="115">
        <v>825.11</v>
      </c>
      <c r="G18" s="116">
        <f>IFERROR(F18/F148, "NA")</f>
        <v>3.4305982706268924E-2</v>
      </c>
      <c r="H18" s="115">
        <v>822.02</v>
      </c>
      <c r="I18" s="116">
        <f>IFERROR(H18/H148, "NA")</f>
        <v>3.2748835293302109E-2</v>
      </c>
      <c r="J18" s="115">
        <v>658.77</v>
      </c>
      <c r="K18" s="116">
        <f>IFERROR(J18/J148, "NA")</f>
        <v>2.9146613078346373E-2</v>
      </c>
      <c r="L18" s="115">
        <v>907.63</v>
      </c>
      <c r="M18" s="116">
        <f>IFERROR(L18/L148, "NA")</f>
        <v>3.2501963267119995E-2</v>
      </c>
      <c r="N18" s="115">
        <v>1039.69</v>
      </c>
      <c r="O18" s="116">
        <f>IFERROR(N18/N148, "NA")</f>
        <v>3.7598408823795317E-2</v>
      </c>
      <c r="P18" s="115">
        <v>669.6</v>
      </c>
      <c r="Q18" s="116">
        <f>IFERROR(P18/P148, "NA")</f>
        <v>2.8575244944387949E-2</v>
      </c>
      <c r="R18" s="115">
        <v>1149.94</v>
      </c>
      <c r="S18" s="116">
        <f>IFERROR(R18/R148, "NA")</f>
        <v>3.6528633112995951E-2</v>
      </c>
      <c r="T18" s="115">
        <v>1017.36</v>
      </c>
      <c r="U18" s="116">
        <f>IFERROR(T18/T148, "NA")</f>
        <v>3.0961860998481673E-2</v>
      </c>
      <c r="V18" s="115">
        <v>1674.82</v>
      </c>
      <c r="W18" s="116">
        <f>IFERROR(V18/V148, "NA")</f>
        <v>4.8214490313747409E-2</v>
      </c>
      <c r="X18" s="115">
        <v>1007.84</v>
      </c>
      <c r="Y18" s="116">
        <f>IFERROR(X18/X148, "NA")</f>
        <v>3.4663683098874937E-2</v>
      </c>
      <c r="Z18" s="115">
        <v>3700.02</v>
      </c>
      <c r="AA18" s="116">
        <f>IFERROR(Z18/Z148, "NA")</f>
        <v>3.827468579756152E-2</v>
      </c>
      <c r="AB18" s="117">
        <f t="shared" si="0"/>
        <v>1212.49</v>
      </c>
      <c r="AC18" s="116">
        <f>IFERROR(AB18/AB148, "NA")</f>
        <v>3.7845763896513375E-2</v>
      </c>
      <c r="AD18" s="118">
        <f t="shared" si="1"/>
        <v>-204.64999999999998</v>
      </c>
      <c r="AE18" s="119">
        <f>IFERROR(AD18/AD148, "NA")</f>
        <v>6.9071833525574583E-2</v>
      </c>
      <c r="AF18" s="118">
        <f t="shared" si="2"/>
        <v>-0.1687848971950284</v>
      </c>
      <c r="AG18" s="117">
        <f t="shared" si="3"/>
        <v>1015.70625</v>
      </c>
      <c r="AH18" s="116">
        <f>IFERROR(AG18/AG148, "NA")</f>
        <v>3.5365297784411852E-2</v>
      </c>
      <c r="AI18" s="118">
        <f t="shared" si="4"/>
        <v>-7.8662499999999227</v>
      </c>
      <c r="AJ18" s="119">
        <f>IFERROR(AI18/AI148, "NA")</f>
        <v>-2.2196669617757001E-2</v>
      </c>
      <c r="AK18" s="118">
        <f t="shared" si="5"/>
        <v>-7.7446112003346666E-3</v>
      </c>
      <c r="AL18" s="119">
        <f>IFERROR(AK18/AK148, "NA")</f>
        <v>-0.62763983363207376</v>
      </c>
    </row>
    <row r="19" spans="1:38" ht="16.5" customHeight="1" x14ac:dyDescent="0.25">
      <c r="A19" s="7" t="s">
        <v>24</v>
      </c>
      <c r="B19" s="115">
        <v>496.13</v>
      </c>
      <c r="C19" s="116">
        <f>IFERROR(B19/B148, "NA")</f>
        <v>2.1710505875397721E-2</v>
      </c>
      <c r="D19" s="115">
        <v>487.62</v>
      </c>
      <c r="E19" s="116">
        <f>IFERROR(D19/D148, "NA")</f>
        <v>1.8086506780492746E-2</v>
      </c>
      <c r="F19" s="115">
        <v>547.07000000000005</v>
      </c>
      <c r="G19" s="116">
        <f>IFERROR(F19/F148, "NA")</f>
        <v>2.274578414892383E-2</v>
      </c>
      <c r="H19" s="115">
        <v>522.16999999999996</v>
      </c>
      <c r="I19" s="116">
        <f>IFERROR(H19/H148, "NA")</f>
        <v>2.0802972342648062E-2</v>
      </c>
      <c r="J19" s="115">
        <v>634.34</v>
      </c>
      <c r="K19" s="116">
        <f>IFERROR(J19/J148, "NA")</f>
        <v>2.8065732410580687E-2</v>
      </c>
      <c r="L19" s="115">
        <v>536.92999999999995</v>
      </c>
      <c r="M19" s="116">
        <f>IFERROR(L19/L148, "NA")</f>
        <v>1.9227305330382135E-2</v>
      </c>
      <c r="N19" s="115">
        <v>559.58000000000004</v>
      </c>
      <c r="O19" s="116">
        <f>IFERROR(N19/N148, "NA")</f>
        <v>2.0236145014013201E-2</v>
      </c>
      <c r="P19" s="115">
        <v>510.75</v>
      </c>
      <c r="Q19" s="116">
        <f>IFERROR(P19/P148, "NA")</f>
        <v>2.1796305787553979E-2</v>
      </c>
      <c r="R19" s="115">
        <v>754.37</v>
      </c>
      <c r="S19" s="116">
        <f>IFERROR(R19/R148, "NA")</f>
        <v>2.3963080648947557E-2</v>
      </c>
      <c r="T19" s="115">
        <v>692.16</v>
      </c>
      <c r="U19" s="116">
        <f>IFERROR(T19/T148, "NA")</f>
        <v>2.1064875470540492E-2</v>
      </c>
      <c r="V19" s="115">
        <v>509.92</v>
      </c>
      <c r="W19" s="116">
        <f>IFERROR(V19/V148, "NA")</f>
        <v>1.4679507589344576E-2</v>
      </c>
      <c r="X19" s="115">
        <v>845.77</v>
      </c>
      <c r="Y19" s="116">
        <f>IFERROR(X19/X148, "NA")</f>
        <v>2.9089442029027874E-2</v>
      </c>
      <c r="Z19" s="115">
        <v>2047.85</v>
      </c>
      <c r="AA19" s="116">
        <f>IFERROR(Z19/Z148, "NA")</f>
        <v>2.1183889630471284E-2</v>
      </c>
      <c r="AB19" s="117">
        <f t="shared" si="0"/>
        <v>700.55500000000006</v>
      </c>
      <c r="AC19" s="116">
        <f>IFERROR(AB19/AB148, "NA")</f>
        <v>2.1866604365002543E-2</v>
      </c>
      <c r="AD19" s="118">
        <f t="shared" si="1"/>
        <v>145.21499999999992</v>
      </c>
      <c r="AE19" s="119">
        <f>IFERROR(AD19/AD148, "NA")</f>
        <v>-4.9011807014005905E-2</v>
      </c>
      <c r="AF19" s="118">
        <f t="shared" si="2"/>
        <v>0.20728565209012839</v>
      </c>
      <c r="AG19" s="117">
        <f t="shared" si="3"/>
        <v>630.47749999999996</v>
      </c>
      <c r="AH19" s="116">
        <f>IFERROR(AG19/AG148, "NA")</f>
        <v>2.1952237208219916E-2</v>
      </c>
      <c r="AI19" s="118">
        <f t="shared" si="4"/>
        <v>215.29250000000002</v>
      </c>
      <c r="AJ19" s="119">
        <f>IFERROR(AI19/AI148, "NA")</f>
        <v>0.60750376528599981</v>
      </c>
      <c r="AK19" s="118">
        <f t="shared" si="5"/>
        <v>0.3414753103798312</v>
      </c>
      <c r="AL19" s="119">
        <f>IFERROR(AK19/AK148, "NA")</f>
        <v>27.673888520962354</v>
      </c>
    </row>
    <row r="20" spans="1:38" ht="16.5" customHeight="1" x14ac:dyDescent="0.25">
      <c r="A20" s="7" t="s">
        <v>25</v>
      </c>
      <c r="B20" s="115">
        <v>255.21</v>
      </c>
      <c r="C20" s="116">
        <f>IFERROR(B20/B148, "NA")</f>
        <v>1.1167916079374866E-2</v>
      </c>
      <c r="D20" s="115">
        <v>360.39</v>
      </c>
      <c r="E20" s="116">
        <f>IFERROR(D20/D148, "NA")</f>
        <v>1.3367368398797793E-2</v>
      </c>
      <c r="F20" s="115">
        <v>336.44</v>
      </c>
      <c r="G20" s="116">
        <f>IFERROR(F20/F148, "NA")</f>
        <v>1.398832255298944E-2</v>
      </c>
      <c r="H20" s="115">
        <v>357.1</v>
      </c>
      <c r="I20" s="116">
        <f>IFERROR(H20/H148, "NA")</f>
        <v>1.4226672201696046E-2</v>
      </c>
      <c r="J20" s="115">
        <v>341.56</v>
      </c>
      <c r="K20" s="116">
        <f>IFERROR(J20/J148, "NA")</f>
        <v>1.5111977113469021E-2</v>
      </c>
      <c r="L20" s="115">
        <v>395.96</v>
      </c>
      <c r="M20" s="116">
        <f>IFERROR(L20/L148, "NA")</f>
        <v>1.4179211105019482E-2</v>
      </c>
      <c r="N20" s="115">
        <v>424.62</v>
      </c>
      <c r="O20" s="116">
        <f>IFERROR(N20/N148, "NA")</f>
        <v>1.5355573637103336E-2</v>
      </c>
      <c r="P20" s="115">
        <v>376.43</v>
      </c>
      <c r="Q20" s="116">
        <f>IFERROR(P20/P148, "NA")</f>
        <v>1.6064186759880458E-2</v>
      </c>
      <c r="R20" s="115">
        <v>333.62</v>
      </c>
      <c r="S20" s="116">
        <f>IFERROR(R20/R148, "NA")</f>
        <v>1.0597668208043644E-2</v>
      </c>
      <c r="T20" s="115">
        <v>511.69</v>
      </c>
      <c r="U20" s="116">
        <f>IFERROR(T20/T148, "NA")</f>
        <v>1.5572535439090476E-2</v>
      </c>
      <c r="V20" s="115">
        <v>388.52</v>
      </c>
      <c r="W20" s="116">
        <f>IFERROR(V20/V148, "NA")</f>
        <v>1.1184660904871654E-2</v>
      </c>
      <c r="X20" s="115">
        <v>319.86</v>
      </c>
      <c r="Y20" s="116">
        <f>IFERROR(X20/X148, "NA")</f>
        <v>1.1001275674716361E-2</v>
      </c>
      <c r="Z20" s="115">
        <v>1220.07</v>
      </c>
      <c r="AA20" s="116">
        <f>IFERROR(Z20/Z148, "NA")</f>
        <v>1.2620957697804575E-2</v>
      </c>
      <c r="AB20" s="117">
        <f t="shared" si="0"/>
        <v>388.42250000000001</v>
      </c>
      <c r="AC20" s="116">
        <f>IFERROR(AB20/AB148, "NA")</f>
        <v>1.2123931931062086E-2</v>
      </c>
      <c r="AD20" s="118">
        <f t="shared" si="1"/>
        <v>-68.5625</v>
      </c>
      <c r="AE20" s="119">
        <f>IFERROR(AD20/AD148, "NA")</f>
        <v>2.3140667413130749E-2</v>
      </c>
      <c r="AF20" s="118">
        <f t="shared" si="2"/>
        <v>-0.1765152636626354</v>
      </c>
      <c r="AG20" s="117">
        <f t="shared" si="3"/>
        <v>386.53250000000003</v>
      </c>
      <c r="AH20" s="116">
        <f>IFERROR(AG20/AG148, "NA")</f>
        <v>1.3458455105354697E-2</v>
      </c>
      <c r="AI20" s="118">
        <f t="shared" si="4"/>
        <v>-66.672500000000014</v>
      </c>
      <c r="AJ20" s="119">
        <f>IFERROR(AI20/AI148, "NA")</f>
        <v>-0.18813379375050607</v>
      </c>
      <c r="AK20" s="118">
        <f t="shared" si="5"/>
        <v>-0.17248872992568545</v>
      </c>
      <c r="AL20" s="119">
        <f>IFERROR(AK20/AK148, "NA")</f>
        <v>-13.978855097243185</v>
      </c>
    </row>
    <row r="21" spans="1:38" ht="16.5" customHeight="1" x14ac:dyDescent="0.25">
      <c r="A21" s="7" t="s">
        <v>26</v>
      </c>
      <c r="B21" s="115">
        <v>163.47999999999999</v>
      </c>
      <c r="C21" s="116">
        <f>IFERROR(B21/B148, "NA")</f>
        <v>7.1538377048556206E-3</v>
      </c>
      <c r="D21" s="115">
        <v>165.2</v>
      </c>
      <c r="E21" s="116">
        <f>IFERROR(D21/D148, "NA")</f>
        <v>6.1274987082921154E-3</v>
      </c>
      <c r="F21" s="115">
        <v>108.73</v>
      </c>
      <c r="G21" s="116">
        <f>IFERROR(F21/F148, "NA")</f>
        <v>4.5207178432604385E-3</v>
      </c>
      <c r="H21" s="115">
        <v>149.22999999999999</v>
      </c>
      <c r="I21" s="116">
        <f>IFERROR(H21/H148, "NA")</f>
        <v>5.9452430486113149E-3</v>
      </c>
      <c r="J21" s="115">
        <v>147.18</v>
      </c>
      <c r="K21" s="116">
        <f>IFERROR(J21/J148, "NA")</f>
        <v>6.5118304003992586E-3</v>
      </c>
      <c r="L21" s="115">
        <v>84.57</v>
      </c>
      <c r="M21" s="116">
        <f>IFERROR(L21/L148, "NA")</f>
        <v>3.0284268187480996E-3</v>
      </c>
      <c r="N21" s="115">
        <v>220.59</v>
      </c>
      <c r="O21" s="116">
        <f>IFERROR(N21/N148, "NA")</f>
        <v>7.9772172497965827E-3</v>
      </c>
      <c r="P21" s="115">
        <v>186.45</v>
      </c>
      <c r="Q21" s="116">
        <f>IFERROR(P21/P148, "NA")</f>
        <v>7.9567718337531842E-3</v>
      </c>
      <c r="R21" s="115">
        <v>166.98</v>
      </c>
      <c r="S21" s="116">
        <f>IFERROR(R21/R148, "NA")</f>
        <v>5.3042342706646111E-3</v>
      </c>
      <c r="T21" s="115">
        <v>68.06</v>
      </c>
      <c r="U21" s="116">
        <f>IFERROR(T21/T148, "NA")</f>
        <v>2.0713063807862139E-3</v>
      </c>
      <c r="V21" s="115">
        <v>330.28</v>
      </c>
      <c r="W21" s="116">
        <f>IFERROR(V21/V148, "NA")</f>
        <v>9.508055707971301E-3</v>
      </c>
      <c r="X21" s="115">
        <v>121.92</v>
      </c>
      <c r="Y21" s="116">
        <f>IFERROR(X21/X148, "NA")</f>
        <v>4.193320609833736E-3</v>
      </c>
      <c r="Z21" s="115">
        <v>520.26</v>
      </c>
      <c r="AA21" s="116">
        <f>IFERROR(Z21/Z148, "NA")</f>
        <v>5.3818055126835414E-3</v>
      </c>
      <c r="AB21" s="117">
        <f t="shared" si="0"/>
        <v>171.80999999999997</v>
      </c>
      <c r="AC21" s="116">
        <f>IFERROR(AB21/AB148, "NA")</f>
        <v>5.3627499567501279E-3</v>
      </c>
      <c r="AD21" s="118">
        <f t="shared" si="1"/>
        <v>-49.889999999999972</v>
      </c>
      <c r="AE21" s="119">
        <f>IFERROR(AD21/AD148, "NA")</f>
        <v>1.68384743444462E-2</v>
      </c>
      <c r="AF21" s="118">
        <f t="shared" si="2"/>
        <v>-0.29037890693207602</v>
      </c>
      <c r="AG21" s="117">
        <f t="shared" si="3"/>
        <v>165.75375</v>
      </c>
      <c r="AH21" s="116">
        <f>IFERROR(AG21/AG148, "NA")</f>
        <v>5.7712854751390532E-3</v>
      </c>
      <c r="AI21" s="118">
        <f t="shared" si="4"/>
        <v>-43.833749999999995</v>
      </c>
      <c r="AJ21" s="119">
        <f>IFERROR(AI21/AI148, "NA")</f>
        <v>-0.12368832249894998</v>
      </c>
      <c r="AK21" s="118">
        <f t="shared" si="5"/>
        <v>-0.26445103051967145</v>
      </c>
      <c r="AL21" s="119">
        <f>IFERROR(AK21/AK148, "NA")</f>
        <v>-21.431676362529934</v>
      </c>
    </row>
    <row r="22" spans="1:38" ht="16.5" hidden="1" customHeight="1" x14ac:dyDescent="0.25">
      <c r="A22" s="7" t="s">
        <v>27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28</v>
      </c>
      <c r="B23" s="115">
        <v>165.99</v>
      </c>
      <c r="C23" s="116">
        <f>IFERROR(B23/B148, "NA")</f>
        <v>7.2636745817774937E-3</v>
      </c>
      <c r="D23" s="115">
        <v>121.4</v>
      </c>
      <c r="E23" s="116">
        <f>IFERROR(D23/D148, "NA")</f>
        <v>4.5028955398708406E-3</v>
      </c>
      <c r="F23" s="115">
        <v>226.67</v>
      </c>
      <c r="G23" s="116">
        <f>IFERROR(F23/F148, "NA")</f>
        <v>9.4243641454230063E-3</v>
      </c>
      <c r="H23" s="115">
        <v>113.26</v>
      </c>
      <c r="I23" s="116">
        <f>IFERROR(H23/H148, "NA")</f>
        <v>4.512217568087634E-3</v>
      </c>
      <c r="J23" s="115">
        <v>92</v>
      </c>
      <c r="K23" s="116">
        <f>IFERROR(J23/J148, "NA")</f>
        <v>4.0704470501204768E-3</v>
      </c>
      <c r="L23" s="115">
        <v>48.15</v>
      </c>
      <c r="M23" s="116">
        <f>IFERROR(L23/L148, "NA")</f>
        <v>1.724237333838489E-3</v>
      </c>
      <c r="N23" s="115">
        <v>191.95</v>
      </c>
      <c r="O23" s="116">
        <f>IFERROR(N23/N148, "NA")</f>
        <v>6.9415061929301147E-3</v>
      </c>
      <c r="P23" s="115">
        <v>239.75</v>
      </c>
      <c r="Q23" s="116">
        <f>IFERROR(P23/P148, "NA")</f>
        <v>1.0231354503310948E-2</v>
      </c>
      <c r="R23" s="115">
        <v>211.05</v>
      </c>
      <c r="S23" s="116">
        <f>IFERROR(R23/R148, "NA")</f>
        <v>6.7041480585924443E-3</v>
      </c>
      <c r="T23" s="115">
        <v>158.66999999999999</v>
      </c>
      <c r="U23" s="116">
        <f>IFERROR(T23/T148, "NA")</f>
        <v>4.828888972073884E-3</v>
      </c>
      <c r="V23" s="115">
        <v>232.8</v>
      </c>
      <c r="W23" s="116">
        <f>IFERROR(V23/V148, "NA")</f>
        <v>6.7018147293681695E-3</v>
      </c>
      <c r="X23" s="115">
        <v>74.599999999999994</v>
      </c>
      <c r="Y23" s="116">
        <f>IFERROR(X23/X148, "NA")</f>
        <v>2.5657949269487913E-3</v>
      </c>
      <c r="Z23" s="115">
        <v>466.07</v>
      </c>
      <c r="AA23" s="116">
        <f>IFERROR(Z23/Z148, "NA")</f>
        <v>4.8212395634806022E-3</v>
      </c>
      <c r="AB23" s="117">
        <f t="shared" si="0"/>
        <v>169.28</v>
      </c>
      <c r="AC23" s="116">
        <f>IFERROR(AB23/AB148, "NA")</f>
        <v>5.2837804125409572E-3</v>
      </c>
      <c r="AD23" s="118">
        <f t="shared" si="1"/>
        <v>-94.68</v>
      </c>
      <c r="AE23" s="119">
        <f>IFERROR(AD23/AD148, "NA")</f>
        <v>3.1955637420969477E-2</v>
      </c>
      <c r="AF23" s="118">
        <f t="shared" si="2"/>
        <v>-0.55931001890359167</v>
      </c>
      <c r="AG23" s="117">
        <f t="shared" si="3"/>
        <v>156.12125</v>
      </c>
      <c r="AH23" s="116">
        <f>IFERROR(AG23/AG148, "NA")</f>
        <v>5.4358969404043819E-3</v>
      </c>
      <c r="AI23" s="118">
        <f t="shared" si="4"/>
        <v>-81.521250000000009</v>
      </c>
      <c r="AJ23" s="119">
        <f>IFERROR(AI23/AI148, "NA")</f>
        <v>-0.23003340258402552</v>
      </c>
      <c r="AK23" s="118">
        <f t="shared" si="5"/>
        <v>-0.52216626500236196</v>
      </c>
      <c r="AL23" s="119">
        <f>IFERROR(AK23/AK148, "NA")</f>
        <v>-42.317469427025792</v>
      </c>
    </row>
    <row r="24" spans="1:38" ht="16.5" customHeight="1" x14ac:dyDescent="0.25">
      <c r="A24" s="7" t="s">
        <v>29</v>
      </c>
      <c r="B24" s="115">
        <v>1387.28</v>
      </c>
      <c r="C24" s="116">
        <f>IFERROR(B24/B148, "NA")</f>
        <v>6.0706973153854336E-2</v>
      </c>
      <c r="D24" s="115">
        <v>2000.62</v>
      </c>
      <c r="E24" s="116">
        <f>IFERROR(D24/D148, "NA")</f>
        <v>7.4205789744451398E-2</v>
      </c>
      <c r="F24" s="115">
        <v>1487.37</v>
      </c>
      <c r="G24" s="116">
        <f>IFERROR(F24/F148, "NA")</f>
        <v>6.1841075126738504E-2</v>
      </c>
      <c r="H24" s="115">
        <v>1514.4</v>
      </c>
      <c r="I24" s="116">
        <f>IFERROR(H24/H148, "NA")</f>
        <v>6.033288261620972E-2</v>
      </c>
      <c r="J24" s="115">
        <v>1316.19</v>
      </c>
      <c r="K24" s="116">
        <f>IFERROR(J24/J148, "NA")</f>
        <v>5.82334967706312E-2</v>
      </c>
      <c r="L24" s="115">
        <v>1725.76</v>
      </c>
      <c r="M24" s="116">
        <f>IFERROR(L24/L148, "NA")</f>
        <v>6.179895786594207E-2</v>
      </c>
      <c r="N24" s="115">
        <v>1641.1</v>
      </c>
      <c r="O24" s="116">
        <f>IFERROR(N24/N148, "NA")</f>
        <v>5.9347256125124308E-2</v>
      </c>
      <c r="P24" s="115">
        <v>1478.17</v>
      </c>
      <c r="Q24" s="116">
        <f>IFERROR(P24/P148, "NA")</f>
        <v>6.3081048117452118E-2</v>
      </c>
      <c r="R24" s="115">
        <v>1935.11</v>
      </c>
      <c r="S24" s="116">
        <f>IFERROR(R24/R148, "NA")</f>
        <v>6.1470096894872414E-2</v>
      </c>
      <c r="T24" s="115">
        <v>1936.4</v>
      </c>
      <c r="U24" s="116">
        <f>IFERROR(T24/T148, "NA")</f>
        <v>5.8931496852107329E-2</v>
      </c>
      <c r="V24" s="115">
        <v>1984.17</v>
      </c>
      <c r="W24" s="116">
        <f>IFERROR(V24/V148, "NA")</f>
        <v>5.7120016029082656E-2</v>
      </c>
      <c r="X24" s="115">
        <v>1649.83</v>
      </c>
      <c r="Y24" s="116">
        <f>IFERROR(X24/X148, "NA")</f>
        <v>5.6744308905200061E-2</v>
      </c>
      <c r="Z24" s="115">
        <v>5570.4</v>
      </c>
      <c r="AA24" s="116">
        <f>IFERROR(Z24/Z148, "NA")</f>
        <v>5.7622745219414136E-2</v>
      </c>
      <c r="AB24" s="117">
        <f t="shared" si="0"/>
        <v>1876.3775000000001</v>
      </c>
      <c r="AC24" s="116">
        <f>IFERROR(AB24/AB148, "NA")</f>
        <v>5.8567856102508087E-2</v>
      </c>
      <c r="AD24" s="118">
        <f t="shared" si="1"/>
        <v>-226.54750000000013</v>
      </c>
      <c r="AE24" s="119">
        <f>IFERROR(AD24/AD148, "NA")</f>
        <v>7.6462502837210455E-2</v>
      </c>
      <c r="AF24" s="118">
        <f t="shared" si="2"/>
        <v>-0.12073663215424409</v>
      </c>
      <c r="AG24" s="117">
        <f t="shared" si="3"/>
        <v>1708.3412499999999</v>
      </c>
      <c r="AH24" s="116">
        <f>IFERROR(AG24/AG148, "NA")</f>
        <v>5.9481761605429097E-2</v>
      </c>
      <c r="AI24" s="118">
        <f t="shared" si="4"/>
        <v>-58.511250000000018</v>
      </c>
      <c r="AJ24" s="119">
        <f>IFERROR(AI24/AI148, "NA")</f>
        <v>-0.16510470493208293</v>
      </c>
      <c r="AK24" s="118">
        <f t="shared" si="5"/>
        <v>-3.425032908384084E-2</v>
      </c>
      <c r="AL24" s="119">
        <f>IFERROR(AK24/AK148, "NA")</f>
        <v>-2.7757198253021018</v>
      </c>
    </row>
    <row r="25" spans="1:38" ht="16.5" hidden="1" customHeight="1" x14ac:dyDescent="0.25">
      <c r="A25" s="7" t="s">
        <v>30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31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32</v>
      </c>
      <c r="B27" s="121">
        <f>IFERROR(B15+B16+B17+B18+B19+B20+B21+B22+B23+B24+B25+B26, "NA")</f>
        <v>5626.57</v>
      </c>
      <c r="C27" s="122">
        <f>IFERROR(B27/B148, "NA")</f>
        <v>0.24621708230370376</v>
      </c>
      <c r="D27" s="121">
        <f>IFERROR(D15+D16+D17+D18+D19+D20+D21+D22+D23+D24+D25+D26, "NA")</f>
        <v>5479.8499999999995</v>
      </c>
      <c r="E27" s="122">
        <f>IFERROR(D27/D148, "NA")</f>
        <v>0.20325528932587497</v>
      </c>
      <c r="F27" s="121">
        <f>IFERROR(F15+F16+F17+F18+F19+F20+F21+F22+F23+F24+F25+F26, "NA")</f>
        <v>5357.09</v>
      </c>
      <c r="G27" s="122">
        <f>IFERROR(F27/F148, "NA")</f>
        <v>0.22273422561346509</v>
      </c>
      <c r="H27" s="121">
        <f>IFERROR(H15+H16+H17+H18+H19+H20+H21+H22+H23+H24+H25+H26, "NA")</f>
        <v>5497.1200000000008</v>
      </c>
      <c r="I27" s="122">
        <f>IFERROR(H27/H148, "NA")</f>
        <v>0.21900230829848047</v>
      </c>
      <c r="J27" s="121">
        <f>IFERROR(J15+J16+J17+J18+J19+J20+J21+J22+J23+J24+J25+J26, "NA")</f>
        <v>4436.4400000000005</v>
      </c>
      <c r="K27" s="122">
        <f>IFERROR(J27/J148, "NA")</f>
        <v>0.19628580555474445</v>
      </c>
      <c r="L27" s="121">
        <f>IFERROR(L15+L16+L17+L18+L19+L20+L21+L22+L23+L24+L25+L26, "NA")</f>
        <v>5959.5299999999988</v>
      </c>
      <c r="M27" s="122">
        <f>IFERROR(L27/L148, "NA")</f>
        <v>0.21340901595286579</v>
      </c>
      <c r="N27" s="121">
        <f>IFERROR(N15+N16+N17+N18+N19+N20+N21+N22+N23+N24+N25+N26, "NA")</f>
        <v>5807.6100000000006</v>
      </c>
      <c r="O27" s="122">
        <f>IFERROR(N27/N148, "NA")</f>
        <v>0.21002115541090319</v>
      </c>
      <c r="P27" s="121">
        <f>IFERROR(P15+P16+P17+P18+P19+P20+P21+P22+P23+P24+P25+P26, "NA")</f>
        <v>5270.08</v>
      </c>
      <c r="Q27" s="122">
        <f>IFERROR(P27/P148, "NA")</f>
        <v>0.22490117514414582</v>
      </c>
      <c r="R27" s="121">
        <f>IFERROR(R15+R16+R17+R18+R19+R20+R21+R22+R23+R24+R25+R26, "NA")</f>
        <v>7175.49</v>
      </c>
      <c r="S27" s="122">
        <f>IFERROR(R27/R148, "NA")</f>
        <v>0.22793436319805493</v>
      </c>
      <c r="T27" s="121">
        <f>IFERROR(T15+T16+T17+T18+T19+T20+T21+T22+T23+T24+T25+T26, "NA")</f>
        <v>6771</v>
      </c>
      <c r="U27" s="122">
        <f>IFERROR(T27/T148, "NA")</f>
        <v>0.20606546435943954</v>
      </c>
      <c r="V27" s="121">
        <f>IFERROR(V15+V16+V17+V18+V19+V20+V21+V22+V23+V24+V25+V26, "NA")</f>
        <v>7319.58</v>
      </c>
      <c r="W27" s="122">
        <f>IFERROR(V27/V148, "NA")</f>
        <v>0.21071507326799255</v>
      </c>
      <c r="X27" s="121">
        <f>IFERROR(X15+X16+X17+X18+X19+X20+X21+X22+X23+X24+X25+X26, "NA")</f>
        <v>6513.5199999999995</v>
      </c>
      <c r="Y27" s="122">
        <f>IFERROR(X27/X148, "NA")</f>
        <v>0.22402622751447041</v>
      </c>
      <c r="Z27" s="121">
        <f>IFERROR(Z15+Z16+Z17+Z18+Z19+Z20+Z21+Z22+Z23+Z24+Z25+Z26, "NA")</f>
        <v>20604.099999999999</v>
      </c>
      <c r="AA27" s="122">
        <f>IFERROR(Z27/Z148, "NA")</f>
        <v>0.21313815969684954</v>
      </c>
      <c r="AB27" s="121">
        <f t="shared" si="0"/>
        <v>6944.8975</v>
      </c>
      <c r="AC27" s="122">
        <f>IFERROR(AB27/AB148, "NA")</f>
        <v>0.21677288148395948</v>
      </c>
      <c r="AD27" s="123">
        <f t="shared" si="1"/>
        <v>-431.37750000000051</v>
      </c>
      <c r="AE27" s="124">
        <f>IFERROR(AD27/AD148, "NA")</f>
        <v>0.14559508852518246</v>
      </c>
      <c r="AF27" s="123">
        <f t="shared" si="2"/>
        <v>-6.2114307662568168E-2</v>
      </c>
      <c r="AG27" s="121">
        <f t="shared" si="3"/>
        <v>6156.65625</v>
      </c>
      <c r="AH27" s="122">
        <f>IFERROR(AG27/AG148, "NA")</f>
        <v>0.21436510963431638</v>
      </c>
      <c r="AI27" s="123">
        <f t="shared" si="4"/>
        <v>356.86374999999953</v>
      </c>
      <c r="AJ27" s="124">
        <f>IFERROR(AI27/AI148, "NA")</f>
        <v>1.0069838560055804</v>
      </c>
      <c r="AK27" s="123">
        <f t="shared" si="5"/>
        <v>5.796389070771972E-2</v>
      </c>
      <c r="AL27" s="124">
        <f>IFERROR(AK27/AK148, "NA")</f>
        <v>4.6975175098381712</v>
      </c>
    </row>
    <row r="28" spans="1:38" ht="16.5" customHeight="1" x14ac:dyDescent="0.25">
      <c r="A28" s="6" t="s">
        <v>33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34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35</v>
      </c>
      <c r="B30" s="115">
        <v>209.55</v>
      </c>
      <c r="C30" s="116">
        <f>IFERROR(B30/B148, "NA")</f>
        <v>9.1698476330590618E-3</v>
      </c>
      <c r="D30" s="115">
        <v>282.5</v>
      </c>
      <c r="E30" s="116">
        <f>IFERROR(D30/D148, "NA")</f>
        <v>1.0478319522351832E-2</v>
      </c>
      <c r="F30" s="115">
        <v>223.03</v>
      </c>
      <c r="G30" s="116">
        <f>IFERROR(F30/F148, "NA")</f>
        <v>9.273022170352023E-3</v>
      </c>
      <c r="H30" s="115">
        <v>262.33</v>
      </c>
      <c r="I30" s="116">
        <f>IFERROR(H30/H148, "NA")</f>
        <v>1.0451086302634902E-2</v>
      </c>
      <c r="J30" s="115">
        <v>235.09</v>
      </c>
      <c r="K30" s="116">
        <f>IFERROR(J30/J148, "NA")</f>
        <v>1.0401319532748074E-2</v>
      </c>
      <c r="L30" s="115">
        <v>238.79</v>
      </c>
      <c r="M30" s="116">
        <f>IFERROR(L30/L148, "NA")</f>
        <v>8.5509996458420102E-3</v>
      </c>
      <c r="N30" s="115">
        <v>154.09</v>
      </c>
      <c r="O30" s="116">
        <f>IFERROR(N30/N148, "NA")</f>
        <v>5.5723713949914115E-3</v>
      </c>
      <c r="P30" s="115">
        <v>230.53</v>
      </c>
      <c r="Q30" s="116">
        <f>IFERROR(P30/P148, "NA")</f>
        <v>9.8378901090647453E-3</v>
      </c>
      <c r="R30" s="115">
        <v>300.41000000000003</v>
      </c>
      <c r="S30" s="116">
        <f>IFERROR(R30/R148, "NA")</f>
        <v>9.5427297715316561E-3</v>
      </c>
      <c r="T30" s="115">
        <v>375.38</v>
      </c>
      <c r="U30" s="116">
        <f>IFERROR(T30/T148, "NA")</f>
        <v>1.1424140305899633E-2</v>
      </c>
      <c r="V30" s="115">
        <v>197.85</v>
      </c>
      <c r="W30" s="116">
        <f>IFERROR(V30/V148, "NA")</f>
        <v>5.6956788840442111E-3</v>
      </c>
      <c r="X30" s="115">
        <v>-65.680000000000007</v>
      </c>
      <c r="Y30" s="116">
        <f>IFERROR(X30/X148, "NA")</f>
        <v>-2.2590001447988827E-3</v>
      </c>
      <c r="Z30" s="115">
        <v>507.55</v>
      </c>
      <c r="AA30" s="116">
        <f>IFERROR(Z30/Z148, "NA")</f>
        <v>5.2503275054060113E-3</v>
      </c>
      <c r="AB30" s="117">
        <f t="shared" si="6"/>
        <v>201.99</v>
      </c>
      <c r="AC30" s="116">
        <f>IFERROR(AB30/AB148, "NA")</f>
        <v>6.3047661007156657E-3</v>
      </c>
      <c r="AD30" s="118">
        <f t="shared" si="7"/>
        <v>-267.67</v>
      </c>
      <c r="AE30" s="119">
        <f>IFERROR(AD30/AD148, "NA")</f>
        <v>9.034184060488909E-2</v>
      </c>
      <c r="AF30" s="118">
        <f t="shared" si="8"/>
        <v>-1.3251646121095104</v>
      </c>
      <c r="AG30" s="117">
        <f t="shared" si="9"/>
        <v>208.30749999999998</v>
      </c>
      <c r="AH30" s="116">
        <f>IFERROR(AG30/AG148, "NA")</f>
        <v>7.2529402750316548E-3</v>
      </c>
      <c r="AI30" s="118">
        <f t="shared" si="10"/>
        <v>-273.98749999999995</v>
      </c>
      <c r="AJ30" s="119">
        <f>IFERROR(AI30/AI148, "NA")</f>
        <v>-0.77312696861849728</v>
      </c>
      <c r="AK30" s="118">
        <f t="shared" si="11"/>
        <v>-1.3153030975841005</v>
      </c>
      <c r="AL30" s="119">
        <f>IFERROR(AK30/AK148, "NA")</f>
        <v>-106.59497242518286</v>
      </c>
    </row>
    <row r="31" spans="1:38" ht="16.5" customHeight="1" x14ac:dyDescent="0.25">
      <c r="A31" s="7" t="s">
        <v>36</v>
      </c>
      <c r="B31" s="115">
        <v>2.79</v>
      </c>
      <c r="C31" s="116">
        <f>IFERROR(B31/B148, "NA")</f>
        <v>1.2208959625976991E-4</v>
      </c>
      <c r="D31" s="115">
        <v>8.42</v>
      </c>
      <c r="E31" s="116">
        <f>IFERROR(D31/D148, "NA")</f>
        <v>3.1230955886089352E-4</v>
      </c>
      <c r="F31" s="115">
        <v>8.42</v>
      </c>
      <c r="G31" s="116">
        <f>IFERROR(F31/F148, "NA")</f>
        <v>3.5008226101584559E-4</v>
      </c>
      <c r="H31" s="115">
        <v>6.93</v>
      </c>
      <c r="I31" s="116">
        <f>IFERROR(H31/H148, "NA")</f>
        <v>2.7608747789905795E-4</v>
      </c>
      <c r="J31" s="115">
        <v>9.98</v>
      </c>
      <c r="K31" s="116">
        <f>IFERROR(J31/J148, "NA")</f>
        <v>4.4155501695872126E-4</v>
      </c>
      <c r="L31" s="115">
        <v>4.1900000000000004</v>
      </c>
      <c r="M31" s="116">
        <f>IFERROR(L31/L148, "NA")</f>
        <v>1.5004266726445004E-4</v>
      </c>
      <c r="N31" s="115">
        <v>5.58</v>
      </c>
      <c r="O31" s="116">
        <f>IFERROR(N31/N148, "NA")</f>
        <v>2.0179007323026851E-4</v>
      </c>
      <c r="P31" s="115">
        <v>1.4</v>
      </c>
      <c r="Q31" s="116">
        <f>IFERROR(P31/P148, "NA")</f>
        <v>5.9745135785757358E-5</v>
      </c>
      <c r="R31" s="115">
        <v>2.87</v>
      </c>
      <c r="S31" s="116">
        <f>IFERROR(R31/R148, "NA")</f>
        <v>9.1167519204739698E-5</v>
      </c>
      <c r="T31" s="115">
        <v>1.4</v>
      </c>
      <c r="U31" s="116">
        <f>IFERROR(T31/T148, "NA")</f>
        <v>4.2606948767274453E-5</v>
      </c>
      <c r="V31" s="115">
        <v>7.06</v>
      </c>
      <c r="W31" s="116">
        <f>IFERROR(V31/V148, "NA")</f>
        <v>2.0324231954183536E-4</v>
      </c>
      <c r="X31" s="115">
        <v>7.16</v>
      </c>
      <c r="Y31" s="116">
        <f>IFERROR(X31/X148, "NA")</f>
        <v>2.4626128253288669E-4</v>
      </c>
      <c r="Z31" s="115">
        <v>15.62</v>
      </c>
      <c r="AA31" s="116">
        <f>IFERROR(Z31/Z148, "NA")</f>
        <v>1.6158036771636664E-4</v>
      </c>
      <c r="AB31" s="117">
        <f t="shared" si="6"/>
        <v>4.6224999999999996</v>
      </c>
      <c r="AC31" s="116">
        <f>IFERROR(AB31/AB148, "NA")</f>
        <v>1.442832877892874E-4</v>
      </c>
      <c r="AD31" s="118">
        <f t="shared" si="7"/>
        <v>2.5375000000000005</v>
      </c>
      <c r="AE31" s="119">
        <f>IFERROR(AD31/AD148, "NA")</f>
        <v>-8.5643673379499419E-4</v>
      </c>
      <c r="AF31" s="118">
        <f t="shared" si="8"/>
        <v>0.54894537587885361</v>
      </c>
      <c r="AG31" s="117">
        <f t="shared" si="9"/>
        <v>4.9550000000000001</v>
      </c>
      <c r="AH31" s="116">
        <f>IFERROR(AG31/AG148, "NA")</f>
        <v>1.7252532464160847E-4</v>
      </c>
      <c r="AI31" s="118">
        <f t="shared" si="10"/>
        <v>2.2050000000000001</v>
      </c>
      <c r="AJ31" s="119">
        <f>IFERROR(AI31/AI148, "NA")</f>
        <v>6.2219808049775518E-3</v>
      </c>
      <c r="AK31" s="118">
        <f t="shared" si="11"/>
        <v>0.44500504540867813</v>
      </c>
      <c r="AL31" s="119">
        <f>IFERROR(AK31/AK148, "NA")</f>
        <v>36.064159380094729</v>
      </c>
    </row>
    <row r="32" spans="1:38" ht="16.5" hidden="1" customHeight="1" x14ac:dyDescent="0.25">
      <c r="A32" s="7" t="s">
        <v>37</v>
      </c>
      <c r="B32" s="115">
        <v>0</v>
      </c>
      <c r="C32" s="116">
        <f>IFERROR(B32/B148, "NA")</f>
        <v>0</v>
      </c>
      <c r="D32" s="115">
        <v>0</v>
      </c>
      <c r="E32" s="116">
        <f>IFERROR(D32/D148, "NA")</f>
        <v>0</v>
      </c>
      <c r="F32" s="115">
        <v>0</v>
      </c>
      <c r="G32" s="116">
        <f>IFERROR(F32/F148, "NA")</f>
        <v>0</v>
      </c>
      <c r="H32" s="115">
        <v>0</v>
      </c>
      <c r="I32" s="116">
        <f>IFERROR(H32/H148, "NA")</f>
        <v>0</v>
      </c>
      <c r="J32" s="115">
        <v>0</v>
      </c>
      <c r="K32" s="116">
        <f>IFERROR(J32/J148, "NA")</f>
        <v>0</v>
      </c>
      <c r="L32" s="115">
        <v>0</v>
      </c>
      <c r="M32" s="116">
        <f>IFERROR(L32/L148, "NA")</f>
        <v>0</v>
      </c>
      <c r="N32" s="115">
        <v>0</v>
      </c>
      <c r="O32" s="116">
        <f>IFERROR(N32/N148, "NA")</f>
        <v>0</v>
      </c>
      <c r="P32" s="115">
        <v>0</v>
      </c>
      <c r="Q32" s="116">
        <f>IFERROR(P32/P148, "NA")</f>
        <v>0</v>
      </c>
      <c r="R32" s="115">
        <v>0</v>
      </c>
      <c r="S32" s="116">
        <f>IFERROR(R32/R148, "NA")</f>
        <v>0</v>
      </c>
      <c r="T32" s="115">
        <v>0</v>
      </c>
      <c r="U32" s="116">
        <f>IFERROR(T32/T148, "NA")</f>
        <v>0</v>
      </c>
      <c r="V32" s="115">
        <v>0</v>
      </c>
      <c r="W32" s="116">
        <f>IFERROR(V32/V148, "NA")</f>
        <v>0</v>
      </c>
      <c r="X32" s="115">
        <v>0</v>
      </c>
      <c r="Y32" s="116">
        <f>IFERROR(X32/X148, "NA")</f>
        <v>0</v>
      </c>
      <c r="Z32" s="115">
        <v>0</v>
      </c>
      <c r="AA32" s="116">
        <f>IFERROR(Z32/Z148, "NA")</f>
        <v>0</v>
      </c>
      <c r="AB32" s="117">
        <f t="shared" si="6"/>
        <v>0</v>
      </c>
      <c r="AC32" s="116">
        <f>IFERROR(AB32/AB148, "NA")</f>
        <v>0</v>
      </c>
      <c r="AD32" s="118">
        <f t="shared" si="7"/>
        <v>0</v>
      </c>
      <c r="AE32" s="119">
        <f>IFERROR(AD32/AD148, "NA")</f>
        <v>0</v>
      </c>
      <c r="AF32" s="118" t="str">
        <f t="shared" si="8"/>
        <v>NA</v>
      </c>
      <c r="AG32" s="117">
        <f t="shared" si="9"/>
        <v>0</v>
      </c>
      <c r="AH32" s="116">
        <f>IFERROR(AG32/AG148, "NA")</f>
        <v>0</v>
      </c>
      <c r="AI32" s="118">
        <f t="shared" si="10"/>
        <v>0</v>
      </c>
      <c r="AJ32" s="119">
        <f>IFERROR(AI32/AI148, "NA")</f>
        <v>0</v>
      </c>
      <c r="AK32" s="118" t="str">
        <f t="shared" si="11"/>
        <v>NA</v>
      </c>
      <c r="AL32" s="119" t="str">
        <f>IFERROR(AK32/AK148, "NA")</f>
        <v>NA</v>
      </c>
    </row>
    <row r="33" spans="1:38" ht="16.5" customHeight="1" x14ac:dyDescent="0.25">
      <c r="A33" s="7" t="s">
        <v>38</v>
      </c>
      <c r="B33" s="115">
        <v>0</v>
      </c>
      <c r="C33" s="116">
        <f>IFERROR(B33/B148, "NA")</f>
        <v>0</v>
      </c>
      <c r="D33" s="115">
        <v>-15.19</v>
      </c>
      <c r="E33" s="116">
        <f>IFERROR(D33/D148, "NA")</f>
        <v>-5.6341831343194445E-4</v>
      </c>
      <c r="F33" s="115">
        <v>15.19</v>
      </c>
      <c r="G33" s="116">
        <f>IFERROR(F33/F148, "NA")</f>
        <v>6.3156170366160261E-4</v>
      </c>
      <c r="H33" s="115">
        <v>0</v>
      </c>
      <c r="I33" s="116">
        <f>IFERROR(H33/H148, "NA")</f>
        <v>0</v>
      </c>
      <c r="J33" s="115">
        <v>0</v>
      </c>
      <c r="K33" s="116">
        <f>IFERROR(J33/J148, "NA")</f>
        <v>0</v>
      </c>
      <c r="L33" s="115">
        <v>0</v>
      </c>
      <c r="M33" s="116">
        <f>IFERROR(L33/L148, "NA")</f>
        <v>0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0</v>
      </c>
      <c r="S33" s="116">
        <f>IFERROR(R33/R148, "NA")</f>
        <v>0</v>
      </c>
      <c r="T33" s="115">
        <v>0</v>
      </c>
      <c r="U33" s="116">
        <f>IFERROR(T33/T148, "NA")</f>
        <v>0</v>
      </c>
      <c r="V33" s="115">
        <v>0</v>
      </c>
      <c r="W33" s="116">
        <f>IFERROR(V33/V148, "NA")</f>
        <v>0</v>
      </c>
      <c r="X33" s="115">
        <v>7.6</v>
      </c>
      <c r="Y33" s="116">
        <f>IFERROR(X33/X148, "NA")</f>
        <v>2.6139465743714229E-4</v>
      </c>
      <c r="Z33" s="115">
        <v>7.6</v>
      </c>
      <c r="AA33" s="116">
        <f>IFERROR(Z33/Z148, "NA")</f>
        <v>7.8617848568782756E-5</v>
      </c>
      <c r="AB33" s="117">
        <f t="shared" si="6"/>
        <v>1.9</v>
      </c>
      <c r="AC33" s="116">
        <f>IFERROR(AB33/AB148, "NA")</f>
        <v>5.9305191303330682E-5</v>
      </c>
      <c r="AD33" s="118">
        <f t="shared" si="7"/>
        <v>5.6999999999999993</v>
      </c>
      <c r="AE33" s="119">
        <f>IFERROR(AD33/AD148, "NA")</f>
        <v>-1.9238184759138779E-3</v>
      </c>
      <c r="AF33" s="118">
        <f t="shared" si="8"/>
        <v>2.9999999999999996</v>
      </c>
      <c r="AG33" s="117">
        <f t="shared" si="9"/>
        <v>0.95</v>
      </c>
      <c r="AH33" s="116">
        <f>IFERROR(AG33/AG148, "NA")</f>
        <v>3.3077509265293241E-5</v>
      </c>
      <c r="AI33" s="118">
        <f t="shared" si="10"/>
        <v>6.6499999999999995</v>
      </c>
      <c r="AJ33" s="119">
        <f>IFERROR(AI33/AI148, "NA")</f>
        <v>1.8764704015011662E-2</v>
      </c>
      <c r="AK33" s="118">
        <f t="shared" si="11"/>
        <v>7</v>
      </c>
      <c r="AL33" s="119">
        <f>IFERROR(AK33/AK148, "NA")</f>
        <v>567.29495151863296</v>
      </c>
    </row>
    <row r="34" spans="1:38" ht="16.5" customHeight="1" x14ac:dyDescent="0.25">
      <c r="A34" s="129" t="s">
        <v>39</v>
      </c>
      <c r="B34" s="121">
        <f>IFERROR(B29+B30+B31+B32+B33, "NA")</f>
        <v>212.34</v>
      </c>
      <c r="C34" s="122">
        <f>IFERROR(B34/B148, "NA")</f>
        <v>9.2919372293188314E-3</v>
      </c>
      <c r="D34" s="121">
        <f>IFERROR(D29+D30+D31+D32+D33, "NA")</f>
        <v>275.73</v>
      </c>
      <c r="E34" s="122">
        <f>IFERROR(D34/D148, "NA")</f>
        <v>1.0227210767780782E-2</v>
      </c>
      <c r="F34" s="121">
        <f>IFERROR(F29+F30+F31+F32+F33, "NA")</f>
        <v>246.64</v>
      </c>
      <c r="G34" s="122">
        <f>IFERROR(F34/F148, "NA")</f>
        <v>1.0254666135029471E-2</v>
      </c>
      <c r="H34" s="121">
        <f>IFERROR(H29+H30+H31+H32+H33, "NA")</f>
        <v>269.26</v>
      </c>
      <c r="I34" s="122">
        <f>IFERROR(H34/H148, "NA")</f>
        <v>1.072717378053396E-2</v>
      </c>
      <c r="J34" s="121">
        <f>IFERROR(J29+J30+J31+J32+J33, "NA")</f>
        <v>245.07</v>
      </c>
      <c r="K34" s="122">
        <f>IFERROR(J34/J148, "NA")</f>
        <v>1.0842874549706795E-2</v>
      </c>
      <c r="L34" s="121">
        <f>IFERROR(L29+L30+L31+L32+L33, "NA")</f>
        <v>242.98</v>
      </c>
      <c r="M34" s="122">
        <f>IFERROR(L34/L148, "NA")</f>
        <v>8.70104231310646E-3</v>
      </c>
      <c r="N34" s="121">
        <f>IFERROR(N29+N30+N31+N32+N33, "NA")</f>
        <v>159.67000000000002</v>
      </c>
      <c r="O34" s="122">
        <f>IFERROR(N34/N148, "NA")</f>
        <v>5.7741614682216801E-3</v>
      </c>
      <c r="P34" s="121">
        <f>IFERROR(P29+P30+P31+P32+P33, "NA")</f>
        <v>231.93</v>
      </c>
      <c r="Q34" s="122">
        <f>IFERROR(P34/P148, "NA")</f>
        <v>9.8976352448505028E-3</v>
      </c>
      <c r="R34" s="121">
        <f>IFERROR(R29+R30+R31+R32+R33, "NA")</f>
        <v>303.28000000000003</v>
      </c>
      <c r="S34" s="122">
        <f>IFERROR(R34/R148, "NA")</f>
        <v>9.6338972907363974E-3</v>
      </c>
      <c r="T34" s="121">
        <f>IFERROR(T29+T30+T31+T32+T33, "NA")</f>
        <v>376.78</v>
      </c>
      <c r="U34" s="122">
        <f>IFERROR(T34/T148, "NA")</f>
        <v>1.1466747254666907E-2</v>
      </c>
      <c r="V34" s="121">
        <f>IFERROR(V29+V30+V31+V32+V33, "NA")</f>
        <v>204.91</v>
      </c>
      <c r="W34" s="122">
        <f>IFERROR(V34/V148, "NA")</f>
        <v>5.8989212035860461E-3</v>
      </c>
      <c r="X34" s="121">
        <f>IFERROR(X29+X30+X31+X32+X33, "NA")</f>
        <v>-50.920000000000009</v>
      </c>
      <c r="Y34" s="122">
        <f>IFERROR(X34/X148, "NA")</f>
        <v>-1.7513442048288537E-3</v>
      </c>
      <c r="Z34" s="121">
        <f>IFERROR(Z29+Z30+Z31+Z32+Z33, "NA")</f>
        <v>530.77</v>
      </c>
      <c r="AA34" s="122">
        <f>IFERROR(Z34/Z148, "NA")</f>
        <v>5.4905257216911604E-3</v>
      </c>
      <c r="AB34" s="121">
        <f t="shared" si="6"/>
        <v>208.51249999999999</v>
      </c>
      <c r="AC34" s="122">
        <f>IFERROR(AB34/AB148, "NA")</f>
        <v>6.508354579808283E-3</v>
      </c>
      <c r="AD34" s="123">
        <f t="shared" si="7"/>
        <v>-259.4325</v>
      </c>
      <c r="AE34" s="124">
        <f>IFERROR(AD34/AD148, "NA")</f>
        <v>8.7561585395180219E-2</v>
      </c>
      <c r="AF34" s="123">
        <f t="shared" si="8"/>
        <v>-1.2442059828547449</v>
      </c>
      <c r="AG34" s="121">
        <f t="shared" si="9"/>
        <v>214.21250000000001</v>
      </c>
      <c r="AH34" s="122">
        <f>IFERROR(AG34/AG148, "NA")</f>
        <v>7.4585431089385576E-3</v>
      </c>
      <c r="AI34" s="123">
        <f t="shared" si="10"/>
        <v>-265.13249999999999</v>
      </c>
      <c r="AJ34" s="124">
        <f>IFERROR(AI34/AI148, "NA")</f>
        <v>-0.74814028379850817</v>
      </c>
      <c r="AK34" s="123">
        <f t="shared" si="11"/>
        <v>-1.2377078835268716</v>
      </c>
      <c r="AL34" s="124">
        <f>IFERROR(AK34/AK148, "NA")</f>
        <v>-100.30649053994377</v>
      </c>
    </row>
    <row r="35" spans="1:38" ht="16.5" customHeight="1" x14ac:dyDescent="0.25">
      <c r="A35" s="130" t="s">
        <v>40</v>
      </c>
      <c r="B35" s="121">
        <f>IFERROR(B13+B15+B16+B17+B18+B19+B20+B21+B22+B23+B24+B25+B26+B29+B30+B31+B32+B33, "NA")</f>
        <v>5838.91</v>
      </c>
      <c r="C35" s="122">
        <f>IFERROR(B35/B148, "NA")</f>
        <v>0.25550901953302263</v>
      </c>
      <c r="D35" s="121">
        <f>IFERROR(D13+D15+D16+D17+D18+D19+D20+D21+D22+D23+D24+D25+D26+D29+D30+D31+D32+D33, "NA")</f>
        <v>5755.58</v>
      </c>
      <c r="E35" s="122">
        <f>IFERROR(D35/D148, "NA")</f>
        <v>0.21348250009365577</v>
      </c>
      <c r="F35" s="121">
        <f>IFERROR(F13+F15+F16+F17+F18+F19+F20+F21+F22+F23+F24+F25+F26+F29+F30+F31+F32+F33, "NA")</f>
        <v>5603.73</v>
      </c>
      <c r="G35" s="122">
        <f>IFERROR(F35/F148, "NA")</f>
        <v>0.23298889174849455</v>
      </c>
      <c r="H35" s="121">
        <f>IFERROR(H13+H15+H16+H17+H18+H19+H20+H21+H22+H23+H24+H25+H26+H29+H30+H31+H32+H33, "NA")</f>
        <v>5766.380000000001</v>
      </c>
      <c r="I35" s="122">
        <f>IFERROR(H35/H148, "NA")</f>
        <v>0.22972948207901442</v>
      </c>
      <c r="J35" s="121">
        <f>IFERROR(J13+J15+J16+J17+J18+J19+J20+J21+J22+J23+J24+J25+J26+J29+J30+J31+J32+J33, "NA")</f>
        <v>4681.51</v>
      </c>
      <c r="K35" s="122">
        <f>IFERROR(J35/J148, "NA")</f>
        <v>0.20712868010445123</v>
      </c>
      <c r="L35" s="121">
        <f>IFERROR(L13+L15+L16+L17+L18+L19+L20+L21+L22+L23+L24+L25+L26+L29+L30+L31+L32+L33, "NA")</f>
        <v>6202.5099999999984</v>
      </c>
      <c r="M35" s="122">
        <f>IFERROR(L35/L148, "NA")</f>
        <v>0.22211005826597224</v>
      </c>
      <c r="N35" s="121">
        <f>IFERROR(N13+N15+N16+N17+N18+N19+N20+N21+N22+N23+N24+N25+N26+N29+N30+N31+N32+N33, "NA")</f>
        <v>5967.2800000000007</v>
      </c>
      <c r="O35" s="122">
        <f>IFERROR(N35/N148, "NA")</f>
        <v>0.21579531687912487</v>
      </c>
      <c r="P35" s="121">
        <f>IFERROR(P13+P15+P16+P17+P18+P19+P20+P21+P22+P23+P24+P25+P26+P29+P30+P31+P32+P33, "NA")</f>
        <v>5502.0099999999993</v>
      </c>
      <c r="Q35" s="122">
        <f>IFERROR(P35/P148, "NA")</f>
        <v>0.2347988103889963</v>
      </c>
      <c r="R35" s="121">
        <f>IFERROR(R13+R15+R16+R17+R18+R19+R20+R21+R22+R23+R24+R25+R26+R29+R30+R31+R32+R33, "NA")</f>
        <v>7478.7699999999995</v>
      </c>
      <c r="S35" s="122">
        <f>IFERROR(R35/R148, "NA")</f>
        <v>0.23756826048879132</v>
      </c>
      <c r="T35" s="121">
        <f>IFERROR(T13+T15+T16+T17+T18+T19+T20+T21+T22+T23+T24+T25+T26+T29+T30+T31+T32+T33, "NA")</f>
        <v>7147.78</v>
      </c>
      <c r="U35" s="122">
        <f>IFERROR(T35/T148, "NA")</f>
        <v>0.21753221161410644</v>
      </c>
      <c r="V35" s="121">
        <f>IFERROR(V13+V15+V16+V17+V18+V19+V20+V21+V22+V23+V24+V25+V26+V29+V30+V31+V32+V33, "NA")</f>
        <v>7524.4900000000007</v>
      </c>
      <c r="W35" s="122">
        <f>IFERROR(V35/V148, "NA")</f>
        <v>0.21661399447157861</v>
      </c>
      <c r="X35" s="121">
        <f>IFERROR(X13+X15+X16+X17+X18+X19+X20+X21+X22+X23+X24+X25+X26+X29+X30+X31+X32+X33, "NA")</f>
        <v>6462.5999999999995</v>
      </c>
      <c r="Y35" s="122">
        <f>IFERROR(X35/X148, "NA")</f>
        <v>0.22227488330964154</v>
      </c>
      <c r="Z35" s="121">
        <f>IFERROR(Z13+Z15+Z16+Z17+Z18+Z19+Z20+Z21+Z22+Z23+Z24+Z25+Z26+Z29+Z30+Z31+Z32+Z33, "NA")</f>
        <v>21134.869999999995</v>
      </c>
      <c r="AA35" s="122">
        <f>IFERROR(Z35/Z148, "NA")</f>
        <v>0.21862868541854069</v>
      </c>
      <c r="AB35" s="121">
        <f t="shared" si="6"/>
        <v>7153.41</v>
      </c>
      <c r="AC35" s="122">
        <f>IFERROR(AB35/AB148, "NA")</f>
        <v>0.22328123606376776</v>
      </c>
      <c r="AD35" s="123">
        <f t="shared" si="7"/>
        <v>-690.8100000000004</v>
      </c>
      <c r="AE35" s="124">
        <f>IFERROR(AD35/AD148, "NA")</f>
        <v>0.23315667392036263</v>
      </c>
      <c r="AF35" s="123">
        <f t="shared" si="8"/>
        <v>-9.6570726408803695E-2</v>
      </c>
      <c r="AG35" s="121">
        <f t="shared" si="9"/>
        <v>6370.8687499999996</v>
      </c>
      <c r="AH35" s="122">
        <f>IFERROR(AG35/AG148, "NA")</f>
        <v>0.22182365274325494</v>
      </c>
      <c r="AI35" s="123">
        <f t="shared" si="10"/>
        <v>91.731249999999818</v>
      </c>
      <c r="AJ35" s="124">
        <f>IFERROR(AI35/AI148, "NA")</f>
        <v>0.25884357220707294</v>
      </c>
      <c r="AK35" s="123">
        <f t="shared" si="11"/>
        <v>1.4398546509061236E-2</v>
      </c>
      <c r="AL35" s="124">
        <f>IFERROR(AK35/AK148, "NA")</f>
        <v>1.166888963399525</v>
      </c>
    </row>
    <row r="36" spans="1:38" ht="16.5" customHeight="1" x14ac:dyDescent="0.25">
      <c r="A36" s="4" t="s">
        <v>41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42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43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44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45</v>
      </c>
      <c r="B40" s="115">
        <v>773.49</v>
      </c>
      <c r="C40" s="116">
        <f>IFERROR(B40/B148, "NA")</f>
        <v>3.3847699573824164E-2</v>
      </c>
      <c r="D40" s="115">
        <v>632.12</v>
      </c>
      <c r="E40" s="116">
        <f>IFERROR(D40/D148, "NA")</f>
        <v>2.3446213580421382E-2</v>
      </c>
      <c r="F40" s="115">
        <v>793.98</v>
      </c>
      <c r="G40" s="116">
        <f>IFERROR(F40/F148, "NA")</f>
        <v>3.301167619968659E-2</v>
      </c>
      <c r="H40" s="115">
        <v>805.91</v>
      </c>
      <c r="I40" s="116">
        <f>IFERROR(H40/H148, "NA")</f>
        <v>3.2107021545978325E-2</v>
      </c>
      <c r="J40" s="115">
        <v>628.97</v>
      </c>
      <c r="K40" s="116">
        <f>IFERROR(J40/J148, "NA")</f>
        <v>2.7828142186024741E-2</v>
      </c>
      <c r="L40" s="115">
        <v>672.84</v>
      </c>
      <c r="M40" s="116">
        <f>IFERROR(L40/L148, "NA")</f>
        <v>2.4094202444442138E-2</v>
      </c>
      <c r="N40" s="115">
        <v>801.04</v>
      </c>
      <c r="O40" s="116">
        <f>IFERROR(N40/N148, "NA")</f>
        <v>2.8968086068167434E-2</v>
      </c>
      <c r="P40" s="115">
        <v>756.94</v>
      </c>
      <c r="Q40" s="116">
        <f>IFERROR(P40/P148, "NA")</f>
        <v>3.2302487915479412E-2</v>
      </c>
      <c r="R40" s="115">
        <v>883.57</v>
      </c>
      <c r="S40" s="116">
        <f>IFERROR(R40/R148, "NA")</f>
        <v>2.8067207297467547E-2</v>
      </c>
      <c r="T40" s="115">
        <v>878.67</v>
      </c>
      <c r="U40" s="116">
        <f>IFERROR(T40/T148, "NA")</f>
        <v>2.674103405238646E-2</v>
      </c>
      <c r="V40" s="115">
        <v>695.31</v>
      </c>
      <c r="W40" s="116">
        <f>IFERROR(V40/V148, "NA")</f>
        <v>2.0016489688475008E-2</v>
      </c>
      <c r="X40" s="115">
        <v>854.3</v>
      </c>
      <c r="Y40" s="116">
        <f>IFERROR(X40/X148, "NA")</f>
        <v>2.9382823137967192E-2</v>
      </c>
      <c r="Z40" s="115">
        <v>2428.2800000000002</v>
      </c>
      <c r="AA40" s="116">
        <f>IFERROR(Z40/Z148, "NA")</f>
        <v>2.5119230174026817E-2</v>
      </c>
      <c r="AB40" s="117">
        <f t="shared" si="12"/>
        <v>827.96250000000009</v>
      </c>
      <c r="AC40" s="116">
        <f>IFERROR(AB40/AB148, "NA")</f>
        <v>2.5843407607623124E-2</v>
      </c>
      <c r="AD40" s="118">
        <f t="shared" si="13"/>
        <v>26.337499999999864</v>
      </c>
      <c r="AE40" s="119">
        <f>IFERROR(AD40/AD148, "NA")</f>
        <v>-8.8892226507686842E-3</v>
      </c>
      <c r="AF40" s="118">
        <f t="shared" si="14"/>
        <v>3.1810015550221005E-2</v>
      </c>
      <c r="AG40" s="117">
        <f t="shared" si="15"/>
        <v>771.45500000000004</v>
      </c>
      <c r="AH40" s="116">
        <f>IFERROR(AG40/AG148, "NA")</f>
        <v>2.6860852537112425E-2</v>
      </c>
      <c r="AI40" s="118">
        <f t="shared" si="16"/>
        <v>82.844999999999914</v>
      </c>
      <c r="AJ40" s="119">
        <f>IFERROR(AI40/AI148, "NA")</f>
        <v>0.23376870738701347</v>
      </c>
      <c r="AK40" s="118">
        <f t="shared" si="17"/>
        <v>0.10738798763375687</v>
      </c>
      <c r="AL40" s="119">
        <f>IFERROR(AK40/AK148, "NA")</f>
        <v>8.7029518911965216</v>
      </c>
    </row>
    <row r="41" spans="1:38" ht="16.5" customHeight="1" x14ac:dyDescent="0.25">
      <c r="A41" s="7" t="s">
        <v>46</v>
      </c>
      <c r="B41" s="115">
        <v>139.15</v>
      </c>
      <c r="C41" s="116">
        <f>IFERROR(B41/B148, "NA")</f>
        <v>6.0891639138161225E-3</v>
      </c>
      <c r="D41" s="115">
        <v>118.1</v>
      </c>
      <c r="E41" s="116">
        <f>IFERROR(D41/D148, "NA")</f>
        <v>4.3804939312911554E-3</v>
      </c>
      <c r="F41" s="115">
        <v>140.34</v>
      </c>
      <c r="G41" s="116">
        <f>IFERROR(F41/F148, "NA")</f>
        <v>5.8349815333686187E-3</v>
      </c>
      <c r="H41" s="115">
        <v>34.340000000000003</v>
      </c>
      <c r="I41" s="116">
        <f>IFERROR(H41/H148, "NA")</f>
        <v>1.3680871559961978E-3</v>
      </c>
      <c r="J41" s="115">
        <v>154.06</v>
      </c>
      <c r="K41" s="116">
        <f>IFERROR(J41/J148, "NA")</f>
        <v>6.8162290493647892E-3</v>
      </c>
      <c r="L41" s="115">
        <v>358.94</v>
      </c>
      <c r="M41" s="116">
        <f>IFERROR(L41/L148, "NA")</f>
        <v>1.2853535796635248E-2</v>
      </c>
      <c r="N41" s="115">
        <v>319.52</v>
      </c>
      <c r="O41" s="116">
        <f>IFERROR(N41/N148, "NA")</f>
        <v>1.1554832293644336E-2</v>
      </c>
      <c r="P41" s="115">
        <v>213.8</v>
      </c>
      <c r="Q41" s="116">
        <f>IFERROR(P41/P148, "NA")</f>
        <v>9.123935736424945E-3</v>
      </c>
      <c r="R41" s="115">
        <v>152.63999999999999</v>
      </c>
      <c r="S41" s="116">
        <f>IFERROR(R41/R148, "NA")</f>
        <v>4.8487143315022532E-3</v>
      </c>
      <c r="T41" s="115">
        <v>318.49</v>
      </c>
      <c r="U41" s="116">
        <f>IFERROR(T41/T148, "NA")</f>
        <v>9.6927765092066024E-3</v>
      </c>
      <c r="V41" s="115">
        <v>730.67</v>
      </c>
      <c r="W41" s="116">
        <f>IFERROR(V41/V148, "NA")</f>
        <v>2.1034428558021651E-2</v>
      </c>
      <c r="X41" s="115">
        <v>164.81</v>
      </c>
      <c r="Y41" s="116">
        <f>IFERROR(X41/X148, "NA")</f>
        <v>5.6684807226599241E-3</v>
      </c>
      <c r="Z41" s="115">
        <v>1213.97</v>
      </c>
      <c r="AA41" s="116">
        <f>IFERROR(Z41/Z148, "NA")</f>
        <v>1.2557856529874369E-2</v>
      </c>
      <c r="AB41" s="117">
        <f t="shared" si="12"/>
        <v>341.65249999999997</v>
      </c>
      <c r="AC41" s="116">
        <f>IFERROR(AB41/AB148, "NA")</f>
        <v>1.0664087827242728E-2</v>
      </c>
      <c r="AD41" s="118">
        <f t="shared" si="13"/>
        <v>-176.84249999999997</v>
      </c>
      <c r="AE41" s="119">
        <f>IFERROR(AD41/AD148, "NA")</f>
        <v>5.9686468215228064E-2</v>
      </c>
      <c r="AF41" s="118">
        <f t="shared" si="14"/>
        <v>-0.51760926672569352</v>
      </c>
      <c r="AG41" s="117">
        <f t="shared" si="15"/>
        <v>301.61624999999998</v>
      </c>
      <c r="AH41" s="116">
        <f>IFERROR(AG41/AG148, "NA")</f>
        <v>1.0501804530461055E-2</v>
      </c>
      <c r="AI41" s="118">
        <f t="shared" si="16"/>
        <v>-136.80624999999998</v>
      </c>
      <c r="AJ41" s="119">
        <f>IFERROR(AI41/AI148, "NA")</f>
        <v>-0.38603440430882541</v>
      </c>
      <c r="AK41" s="118">
        <f t="shared" si="17"/>
        <v>-0.45357718624245208</v>
      </c>
      <c r="AL41" s="119">
        <f>IFERROR(AK41/AK148, "NA")</f>
        <v>-36.75886398276711</v>
      </c>
    </row>
    <row r="42" spans="1:38" ht="16.5" customHeight="1" x14ac:dyDescent="0.25">
      <c r="A42" s="7" t="s">
        <v>47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77.150000000000006</v>
      </c>
      <c r="S42" s="116">
        <f>IFERROR(R42/R148, "NA")</f>
        <v>2.450722685242393E-3</v>
      </c>
      <c r="T42" s="115">
        <v>0</v>
      </c>
      <c r="U42" s="116">
        <f>IFERROR(T42/T148, "NA")</f>
        <v>0</v>
      </c>
      <c r="V42" s="115">
        <v>0</v>
      </c>
      <c r="W42" s="116">
        <f>IFERROR(V42/V148, "NA")</f>
        <v>0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19.287500000000001</v>
      </c>
      <c r="AC42" s="116">
        <f>IFERROR(AB42/AB148, "NA")</f>
        <v>6.0202572487525819E-4</v>
      </c>
      <c r="AD42" s="118">
        <f t="shared" si="13"/>
        <v>-19.287500000000001</v>
      </c>
      <c r="AE42" s="119">
        <f>IFERROR(AD42/AD148, "NA")</f>
        <v>6.5097629568752506E-3</v>
      </c>
      <c r="AF42" s="118">
        <f t="shared" si="14"/>
        <v>-1</v>
      </c>
      <c r="AG42" s="117">
        <f t="shared" si="15"/>
        <v>9.6437500000000007</v>
      </c>
      <c r="AH42" s="116">
        <f>IFERROR(AG42/AG148, "NA")</f>
        <v>3.3578024208123341E-4</v>
      </c>
      <c r="AI42" s="118">
        <f t="shared" si="16"/>
        <v>-9.6437500000000007</v>
      </c>
      <c r="AJ42" s="119">
        <f>IFERROR(AI42/AI148, "NA")</f>
        <v>-2.7212348021769736E-2</v>
      </c>
      <c r="AK42" s="118">
        <f t="shared" si="17"/>
        <v>-1</v>
      </c>
      <c r="AL42" s="119">
        <f>IFERROR(AK42/AK148, "NA")</f>
        <v>-81.042135931233275</v>
      </c>
    </row>
    <row r="43" spans="1:38" ht="16.5" hidden="1" customHeight="1" x14ac:dyDescent="0.25">
      <c r="A43" s="7" t="s">
        <v>48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49</v>
      </c>
      <c r="B44" s="121">
        <f>IFERROR(B39+B40+B41+B42+B43, "NA")</f>
        <v>912.64</v>
      </c>
      <c r="C44" s="122">
        <f>IFERROR(B44/B148, "NA")</f>
        <v>3.9936863487640285E-2</v>
      </c>
      <c r="D44" s="121">
        <f>IFERROR(D39+D40+D41+D42+D43, "NA")</f>
        <v>750.22</v>
      </c>
      <c r="E44" s="122">
        <f>IFERROR(D44/D148, "NA")</f>
        <v>2.7826707511712536E-2</v>
      </c>
      <c r="F44" s="121">
        <f>IFERROR(F39+F40+F41+F42+F43, "NA")</f>
        <v>934.32</v>
      </c>
      <c r="G44" s="122">
        <f>IFERROR(F44/F148, "NA")</f>
        <v>3.8846657733055207E-2</v>
      </c>
      <c r="H44" s="121">
        <f>IFERROR(H39+H40+H41+H42+H43, "NA")</f>
        <v>840.25</v>
      </c>
      <c r="I44" s="122">
        <f>IFERROR(H44/H148, "NA")</f>
        <v>3.3475108701974524E-2</v>
      </c>
      <c r="J44" s="121">
        <f>IFERROR(J39+J40+J41+J42+J43, "NA")</f>
        <v>783.03</v>
      </c>
      <c r="K44" s="122">
        <f>IFERROR(J44/J148, "NA")</f>
        <v>3.4644371235389528E-2</v>
      </c>
      <c r="L44" s="121">
        <f>IFERROR(L39+L40+L41+L42+L43, "NA")</f>
        <v>1031.78</v>
      </c>
      <c r="M44" s="122">
        <f>IFERROR(L44/L148, "NA")</f>
        <v>3.6947738241077388E-2</v>
      </c>
      <c r="N44" s="121">
        <f>IFERROR(N39+N40+N41+N42+N43, "NA")</f>
        <v>1120.56</v>
      </c>
      <c r="O44" s="122">
        <f>IFERROR(N44/N148, "NA")</f>
        <v>4.0522918361811766E-2</v>
      </c>
      <c r="P44" s="121">
        <f>IFERROR(P39+P40+P41+P42+P43, "NA")</f>
        <v>970.74</v>
      </c>
      <c r="Q44" s="122">
        <f>IFERROR(P44/P148, "NA")</f>
        <v>4.1426423651904354E-2</v>
      </c>
      <c r="R44" s="121">
        <f>IFERROR(R39+R40+R41+R42+R43, "NA")</f>
        <v>1113.3600000000001</v>
      </c>
      <c r="S44" s="122">
        <f>IFERROR(R44/R148, "NA")</f>
        <v>3.5366644314212194E-2</v>
      </c>
      <c r="T44" s="121">
        <f>IFERROR(T39+T40+T41+T42+T43, "NA")</f>
        <v>1197.1599999999999</v>
      </c>
      <c r="U44" s="122">
        <f>IFERROR(T44/T148, "NA")</f>
        <v>3.6433810561593061E-2</v>
      </c>
      <c r="V44" s="121">
        <f>IFERROR(V39+V40+V41+V42+V43, "NA")</f>
        <v>1425.98</v>
      </c>
      <c r="W44" s="122">
        <f>IFERROR(V44/V148, "NA")</f>
        <v>4.1050918246496662E-2</v>
      </c>
      <c r="X44" s="121">
        <f>IFERROR(X39+X40+X41+X42+X43, "NA")</f>
        <v>1019.1099999999999</v>
      </c>
      <c r="Y44" s="122">
        <f>IFERROR(X44/X148, "NA")</f>
        <v>3.5051303860627117E-2</v>
      </c>
      <c r="Z44" s="121">
        <f>IFERROR(Z39+Z40+Z41+Z42+Z43, "NA")</f>
        <v>3642.25</v>
      </c>
      <c r="AA44" s="122">
        <f>IFERROR(Z44/Z148, "NA")</f>
        <v>3.7677086703901179E-2</v>
      </c>
      <c r="AB44" s="121">
        <f t="shared" si="12"/>
        <v>1188.9024999999999</v>
      </c>
      <c r="AC44" s="122">
        <f>IFERROR(AB44/AB148, "NA")</f>
        <v>3.7109521159741109E-2</v>
      </c>
      <c r="AD44" s="123">
        <f t="shared" si="13"/>
        <v>-169.79250000000002</v>
      </c>
      <c r="AE44" s="124">
        <f>IFERROR(AD44/AD148, "NA")</f>
        <v>5.7307008521334593E-2</v>
      </c>
      <c r="AF44" s="123">
        <f t="shared" si="14"/>
        <v>-0.14281448646966427</v>
      </c>
      <c r="AG44" s="121">
        <f t="shared" si="15"/>
        <v>1082.7149999999999</v>
      </c>
      <c r="AH44" s="122">
        <f>IFERROR(AG44/AG148, "NA")</f>
        <v>3.7698437309654706E-2</v>
      </c>
      <c r="AI44" s="123">
        <f t="shared" si="16"/>
        <v>-63.605000000000018</v>
      </c>
      <c r="AJ44" s="124">
        <f>IFERROR(AI44/AI148, "NA")</f>
        <v>-0.17947804494358152</v>
      </c>
      <c r="AK44" s="123">
        <f t="shared" si="17"/>
        <v>-5.8745838009079052E-2</v>
      </c>
      <c r="AL44" s="124">
        <f>IFERROR(AK44/AK148, "NA")</f>
        <v>-4.7608881893259944</v>
      </c>
    </row>
    <row r="45" spans="1:38" ht="16.5" customHeight="1" x14ac:dyDescent="0.25">
      <c r="A45" s="6" t="s">
        <v>50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51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52</v>
      </c>
      <c r="B47" s="115">
        <v>184.49</v>
      </c>
      <c r="C47" s="116">
        <f>IFERROR(B47/B148, "NA")</f>
        <v>8.0732292523171875E-3</v>
      </c>
      <c r="D47" s="115">
        <v>190.87</v>
      </c>
      <c r="E47" s="116">
        <f>IFERROR(D47/D148, "NA")</f>
        <v>7.0796348574559088E-3</v>
      </c>
      <c r="F47" s="115">
        <v>177.7</v>
      </c>
      <c r="G47" s="116">
        <f>IFERROR(F47/F148, "NA")</f>
        <v>7.3883156511301371E-3</v>
      </c>
      <c r="H47" s="115">
        <v>194.62</v>
      </c>
      <c r="I47" s="116">
        <f>IFERROR(H47/H148, "NA")</f>
        <v>7.7535562696557951E-3</v>
      </c>
      <c r="J47" s="115">
        <v>109.65</v>
      </c>
      <c r="K47" s="116">
        <f>IFERROR(J47/J148, "NA")</f>
        <v>4.8513534678881554E-3</v>
      </c>
      <c r="L47" s="115">
        <v>162.41999999999999</v>
      </c>
      <c r="M47" s="116">
        <f>IFERROR(L47/L148, "NA")</f>
        <v>5.8162124145804224E-3</v>
      </c>
      <c r="N47" s="115">
        <v>160.47</v>
      </c>
      <c r="O47" s="116">
        <f>IFERROR(N47/N148, "NA")</f>
        <v>5.8030919446704641E-3</v>
      </c>
      <c r="P47" s="115">
        <v>127.76</v>
      </c>
      <c r="Q47" s="116">
        <f>IFERROR(P47/P148, "NA")</f>
        <v>5.4521703914202574E-3</v>
      </c>
      <c r="R47" s="115">
        <v>184.95</v>
      </c>
      <c r="S47" s="116">
        <f>IFERROR(R47/R148, "NA")</f>
        <v>5.8750636504935911E-3</v>
      </c>
      <c r="T47" s="115">
        <v>162.41</v>
      </c>
      <c r="U47" s="116">
        <f>IFERROR(T47/T148, "NA")</f>
        <v>4.9427103923521745E-3</v>
      </c>
      <c r="V47" s="115">
        <v>180.05</v>
      </c>
      <c r="W47" s="116">
        <f>IFERROR(V47/V148, "NA")</f>
        <v>5.1832549055959576E-3</v>
      </c>
      <c r="X47" s="115">
        <v>179.94</v>
      </c>
      <c r="Y47" s="116">
        <f>IFERROR(X47/X148, "NA")</f>
        <v>6.1888624551630772E-3</v>
      </c>
      <c r="Z47" s="115">
        <v>522.4</v>
      </c>
      <c r="AA47" s="116">
        <f>IFERROR(Z47/Z148, "NA")</f>
        <v>5.4039426437279088E-3</v>
      </c>
      <c r="AB47" s="117">
        <f t="shared" si="18"/>
        <v>176.83750000000003</v>
      </c>
      <c r="AC47" s="116">
        <f>IFERROR(AB47/AB148, "NA")</f>
        <v>5.5196746142646006E-3</v>
      </c>
      <c r="AD47" s="118">
        <f t="shared" si="19"/>
        <v>3.1024999999999636</v>
      </c>
      <c r="AE47" s="119">
        <f>IFERROR(AD47/AD148, "NA")</f>
        <v>-1.0471310213197784E-3</v>
      </c>
      <c r="AF47" s="118">
        <f t="shared" si="20"/>
        <v>1.754435569378646E-2</v>
      </c>
      <c r="AG47" s="117">
        <f t="shared" si="21"/>
        <v>158.45625000000001</v>
      </c>
      <c r="AH47" s="116">
        <f>IFERROR(AG47/AG148, "NA")</f>
        <v>5.5171979763353925E-3</v>
      </c>
      <c r="AI47" s="118">
        <f t="shared" si="22"/>
        <v>21.483749999999986</v>
      </c>
      <c r="AJ47" s="119">
        <f>IFERROR(AI47/AI148, "NA")</f>
        <v>6.0621986448497228E-2</v>
      </c>
      <c r="AK47" s="118">
        <f t="shared" si="23"/>
        <v>0.13558158797775402</v>
      </c>
      <c r="AL47" s="119">
        <f>IFERROR(AK47/AK148, "NA")</f>
        <v>10.987821482665604</v>
      </c>
    </row>
    <row r="48" spans="1:38" ht="16.5" hidden="1" customHeight="1" x14ac:dyDescent="0.25">
      <c r="A48" s="7" t="s">
        <v>53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54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55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56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57</v>
      </c>
      <c r="B52" s="121">
        <f>IFERROR(B46+B47+B48+B49+B50+B51, "NA")</f>
        <v>184.49</v>
      </c>
      <c r="C52" s="122">
        <f>IFERROR(B52/B148, "NA")</f>
        <v>8.0732292523171875E-3</v>
      </c>
      <c r="D52" s="121">
        <f>IFERROR(D46+D47+D48+D49+D50+D51, "NA")</f>
        <v>190.87</v>
      </c>
      <c r="E52" s="122">
        <f>IFERROR(D52/D148, "NA")</f>
        <v>7.0796348574559088E-3</v>
      </c>
      <c r="F52" s="121">
        <f>IFERROR(F46+F47+F48+F49+F50+F51, "NA")</f>
        <v>177.7</v>
      </c>
      <c r="G52" s="122">
        <f>IFERROR(F52/F148, "NA")</f>
        <v>7.3883156511301371E-3</v>
      </c>
      <c r="H52" s="121">
        <f>IFERROR(H46+H47+H48+H49+H50+H51, "NA")</f>
        <v>194.62</v>
      </c>
      <c r="I52" s="122">
        <f>IFERROR(H52/H148, "NA")</f>
        <v>7.7535562696557951E-3</v>
      </c>
      <c r="J52" s="121">
        <f>IFERROR(J46+J47+J48+J49+J50+J51, "NA")</f>
        <v>109.65</v>
      </c>
      <c r="K52" s="122">
        <f>IFERROR(J52/J148, "NA")</f>
        <v>4.8513534678881554E-3</v>
      </c>
      <c r="L52" s="121">
        <f>IFERROR(L46+L47+L48+L49+L50+L51, "NA")</f>
        <v>162.41999999999999</v>
      </c>
      <c r="M52" s="122">
        <f>IFERROR(L52/L148, "NA")</f>
        <v>5.8162124145804224E-3</v>
      </c>
      <c r="N52" s="121">
        <f>IFERROR(N46+N47+N48+N49+N50+N51, "NA")</f>
        <v>160.47</v>
      </c>
      <c r="O52" s="122">
        <f>IFERROR(N52/N148, "NA")</f>
        <v>5.8030919446704641E-3</v>
      </c>
      <c r="P52" s="121">
        <f>IFERROR(P46+P47+P48+P49+P50+P51, "NA")</f>
        <v>127.76</v>
      </c>
      <c r="Q52" s="122">
        <f>IFERROR(P52/P148, "NA")</f>
        <v>5.4521703914202574E-3</v>
      </c>
      <c r="R52" s="121">
        <f>IFERROR(R46+R47+R48+R49+R50+R51, "NA")</f>
        <v>184.95</v>
      </c>
      <c r="S52" s="122">
        <f>IFERROR(R52/R148, "NA")</f>
        <v>5.8750636504935911E-3</v>
      </c>
      <c r="T52" s="121">
        <f>IFERROR(T46+T47+T48+T49+T50+T51, "NA")</f>
        <v>162.41</v>
      </c>
      <c r="U52" s="122">
        <f>IFERROR(T52/T148, "NA")</f>
        <v>4.9427103923521745E-3</v>
      </c>
      <c r="V52" s="121">
        <f>IFERROR(V46+V47+V48+V49+V50+V51, "NA")</f>
        <v>180.05</v>
      </c>
      <c r="W52" s="122">
        <f>IFERROR(V52/V148, "NA")</f>
        <v>5.1832549055959576E-3</v>
      </c>
      <c r="X52" s="121">
        <f>IFERROR(X46+X47+X48+X49+X50+X51, "NA")</f>
        <v>179.94</v>
      </c>
      <c r="Y52" s="122">
        <f>IFERROR(X52/X148, "NA")</f>
        <v>6.1888624551630772E-3</v>
      </c>
      <c r="Z52" s="121">
        <f>IFERROR(Z46+Z47+Z48+Z49+Z50+Z51, "NA")</f>
        <v>522.4</v>
      </c>
      <c r="AA52" s="122">
        <f>IFERROR(Z52/Z148, "NA")</f>
        <v>5.4039426437279088E-3</v>
      </c>
      <c r="AB52" s="121">
        <f t="shared" si="18"/>
        <v>176.83750000000003</v>
      </c>
      <c r="AC52" s="122">
        <f>IFERROR(AB52/AB148, "NA")</f>
        <v>5.5196746142646006E-3</v>
      </c>
      <c r="AD52" s="123">
        <f t="shared" si="19"/>
        <v>3.1024999999999636</v>
      </c>
      <c r="AE52" s="124">
        <f>IFERROR(AD52/AD148, "NA")</f>
        <v>-1.0471310213197784E-3</v>
      </c>
      <c r="AF52" s="123">
        <f t="shared" si="20"/>
        <v>1.754435569378646E-2</v>
      </c>
      <c r="AG52" s="121">
        <f t="shared" si="21"/>
        <v>158.45625000000001</v>
      </c>
      <c r="AH52" s="122">
        <f>IFERROR(AG52/AG148, "NA")</f>
        <v>5.5171979763353925E-3</v>
      </c>
      <c r="AI52" s="123">
        <f t="shared" si="22"/>
        <v>21.483749999999986</v>
      </c>
      <c r="AJ52" s="124">
        <f>IFERROR(AI52/AI148, "NA")</f>
        <v>6.0621986448497228E-2</v>
      </c>
      <c r="AK52" s="123">
        <f t="shared" si="23"/>
        <v>0.13558158797775402</v>
      </c>
      <c r="AL52" s="124">
        <f>IFERROR(AK52/AK148, "NA")</f>
        <v>10.987821482665604</v>
      </c>
    </row>
    <row r="53" spans="1:38" ht="16.5" customHeight="1" x14ac:dyDescent="0.25">
      <c r="A53" s="5" t="s">
        <v>58</v>
      </c>
      <c r="B53" s="115">
        <v>7.97</v>
      </c>
      <c r="C53" s="116">
        <f>IFERROR(B53/B148, "NA")</f>
        <v>3.4876490401088389E-4</v>
      </c>
      <c r="D53" s="115">
        <v>20.260000000000002</v>
      </c>
      <c r="E53" s="116">
        <f>IFERROR(D53/D148, "NA")</f>
        <v>7.5147169388618807E-4</v>
      </c>
      <c r="F53" s="115">
        <v>19.75</v>
      </c>
      <c r="G53" s="116">
        <f>IFERROR(F53/F148, "NA")</f>
        <v>8.2115494715711993E-4</v>
      </c>
      <c r="H53" s="115">
        <v>41.27</v>
      </c>
      <c r="I53" s="116">
        <f>IFERROR(H53/H148, "NA")</f>
        <v>1.6441746338952557E-3</v>
      </c>
      <c r="J53" s="115">
        <v>28.65</v>
      </c>
      <c r="K53" s="116">
        <f>IFERROR(J53/J148, "NA")</f>
        <v>1.2675903041951266E-3</v>
      </c>
      <c r="L53" s="115">
        <v>13.96</v>
      </c>
      <c r="M53" s="116">
        <f>IFERROR(L53/L148, "NA")</f>
        <v>4.9990349284289323E-4</v>
      </c>
      <c r="N53" s="115">
        <v>24.68</v>
      </c>
      <c r="O53" s="116">
        <f>IFERROR(N53/N148, "NA")</f>
        <v>8.9250519844498693E-4</v>
      </c>
      <c r="P53" s="115">
        <v>22.13</v>
      </c>
      <c r="Q53" s="116">
        <f>IFERROR(P53/P148, "NA")</f>
        <v>9.4439989638486451E-4</v>
      </c>
      <c r="R53" s="115">
        <v>60.83</v>
      </c>
      <c r="S53" s="116">
        <f>IFERROR(R53/R148, "NA")</f>
        <v>1.9323066875346047E-3</v>
      </c>
      <c r="T53" s="115">
        <v>32.119999999999997</v>
      </c>
      <c r="U53" s="116">
        <f>IFERROR(T53/T148, "NA")</f>
        <v>9.7752513886061108E-4</v>
      </c>
      <c r="V53" s="115">
        <v>24.9</v>
      </c>
      <c r="W53" s="116">
        <f>IFERROR(V53/V148, "NA")</f>
        <v>7.1681781254839957E-4</v>
      </c>
      <c r="X53" s="115">
        <v>41.33</v>
      </c>
      <c r="Y53" s="116">
        <f>IFERROR(X53/X148, "NA")</f>
        <v>1.4215054199838279E-3</v>
      </c>
      <c r="Z53" s="115">
        <v>98.35</v>
      </c>
      <c r="AA53" s="116">
        <f>IFERROR(Z53/Z148, "NA")</f>
        <v>1.0173770272026031E-3</v>
      </c>
      <c r="AB53" s="117">
        <f t="shared" si="18"/>
        <v>39.795000000000002</v>
      </c>
      <c r="AC53" s="116">
        <f>IFERROR(AB53/AB148, "NA")</f>
        <v>1.2421316252189708E-3</v>
      </c>
      <c r="AD53" s="118">
        <f t="shared" si="19"/>
        <v>1.5349999999999966</v>
      </c>
      <c r="AE53" s="119">
        <f>IFERROR(AD53/AD148, "NA")</f>
        <v>-5.1808094044347307E-4</v>
      </c>
      <c r="AF53" s="118">
        <f t="shared" si="20"/>
        <v>3.8572685010679647E-2</v>
      </c>
      <c r="AG53" s="117">
        <f t="shared" si="21"/>
        <v>31.075000000000003</v>
      </c>
      <c r="AH53" s="116">
        <f>IFERROR(AG53/AG148, "NA")</f>
        <v>1.0819827372831449E-3</v>
      </c>
      <c r="AI53" s="118">
        <f t="shared" si="22"/>
        <v>10.254999999999995</v>
      </c>
      <c r="AJ53" s="119">
        <f>IFERROR(AI53/AI148, "NA")</f>
        <v>2.8937148823149551E-2</v>
      </c>
      <c r="AK53" s="118">
        <f t="shared" si="23"/>
        <v>0.33000804505229264</v>
      </c>
      <c r="AL53" s="119">
        <f>IFERROR(AK53/AK148, "NA")</f>
        <v>26.744556845528454</v>
      </c>
    </row>
    <row r="54" spans="1:38" ht="16.5" customHeight="1" x14ac:dyDescent="0.25">
      <c r="A54" s="5" t="s">
        <v>59</v>
      </c>
      <c r="B54" s="115">
        <v>30</v>
      </c>
      <c r="C54" s="116">
        <f>IFERROR(B54/B148, "NA")</f>
        <v>1.3127913576319345E-3</v>
      </c>
      <c r="D54" s="115">
        <v>18</v>
      </c>
      <c r="E54" s="116">
        <f>IFERROR(D54/D148, "NA")</f>
        <v>6.676451377073733E-4</v>
      </c>
      <c r="F54" s="115">
        <v>28</v>
      </c>
      <c r="G54" s="116">
        <f>IFERROR(F54/F148, "NA")</f>
        <v>1.1641690390075624E-3</v>
      </c>
      <c r="H54" s="115">
        <v>33</v>
      </c>
      <c r="I54" s="116">
        <f>IFERROR(H54/H148, "NA")</f>
        <v>1.3147022757097997E-3</v>
      </c>
      <c r="J54" s="115">
        <v>37</v>
      </c>
      <c r="K54" s="116">
        <f>IFERROR(J54/J148, "NA")</f>
        <v>1.6370276179832352E-3</v>
      </c>
      <c r="L54" s="115">
        <v>31</v>
      </c>
      <c r="M54" s="116">
        <f>IFERROR(L54/L148, "NA")</f>
        <v>1.110100879522184E-3</v>
      </c>
      <c r="N54" s="115">
        <v>35</v>
      </c>
      <c r="O54" s="116">
        <f>IFERROR(N54/N148, "NA")</f>
        <v>1.2657083446343006E-3</v>
      </c>
      <c r="P54" s="115">
        <v>35</v>
      </c>
      <c r="Q54" s="116">
        <f>IFERROR(P54/P148, "NA")</f>
        <v>1.493628394643934E-3</v>
      </c>
      <c r="R54" s="115">
        <v>45</v>
      </c>
      <c r="S54" s="116">
        <f>IFERROR(R54/R148, "NA")</f>
        <v>1.429455876032504E-3</v>
      </c>
      <c r="T54" s="115">
        <v>40</v>
      </c>
      <c r="U54" s="116">
        <f>IFERROR(T54/T148, "NA")</f>
        <v>1.2173413933506988E-3</v>
      </c>
      <c r="V54" s="115">
        <v>45</v>
      </c>
      <c r="W54" s="116">
        <f>IFERROR(V54/V148, "NA")</f>
        <v>1.2954538780995174E-3</v>
      </c>
      <c r="X54" s="115">
        <v>52.5</v>
      </c>
      <c r="Y54" s="116">
        <f>IFERROR(X54/X148, "NA")</f>
        <v>1.8056867783486804E-3</v>
      </c>
      <c r="Z54" s="115">
        <v>137.5</v>
      </c>
      <c r="AA54" s="116">
        <f>IFERROR(Z54/Z148, "NA")</f>
        <v>1.4223623918694249E-3</v>
      </c>
      <c r="AB54" s="117">
        <f t="shared" si="18"/>
        <v>45.625</v>
      </c>
      <c r="AC54" s="116">
        <f>IFERROR(AB54/AB148, "NA")</f>
        <v>1.4241049227444538E-3</v>
      </c>
      <c r="AD54" s="118">
        <f t="shared" si="19"/>
        <v>6.875</v>
      </c>
      <c r="AE54" s="119">
        <f>IFERROR(AD54/AD148, "NA")</f>
        <v>-2.3203950915627915E-3</v>
      </c>
      <c r="AF54" s="118">
        <f t="shared" si="20"/>
        <v>0.15068493150684931</v>
      </c>
      <c r="AG54" s="117">
        <f t="shared" si="21"/>
        <v>40.0625</v>
      </c>
      <c r="AH54" s="116">
        <f>IFERROR(AG54/AG148, "NA")</f>
        <v>1.3949133841482217E-3</v>
      </c>
      <c r="AI54" s="118">
        <f t="shared" si="22"/>
        <v>12.4375</v>
      </c>
      <c r="AJ54" s="119">
        <f>IFERROR(AI54/AI148, "NA")</f>
        <v>3.5095640028076323E-2</v>
      </c>
      <c r="AK54" s="118">
        <f t="shared" si="23"/>
        <v>0.31045241809672386</v>
      </c>
      <c r="AL54" s="119">
        <f>IFERROR(AK54/AK148, "NA")</f>
        <v>25.15972706757476</v>
      </c>
    </row>
    <row r="55" spans="1:38" ht="16.5" customHeight="1" x14ac:dyDescent="0.25">
      <c r="A55" s="5" t="s">
        <v>60</v>
      </c>
      <c r="B55" s="115">
        <v>-215.72</v>
      </c>
      <c r="C55" s="116">
        <f>IFERROR(B55/B148, "NA")</f>
        <v>-9.4398450556120294E-3</v>
      </c>
      <c r="D55" s="115">
        <v>-208.72</v>
      </c>
      <c r="E55" s="116">
        <f>IFERROR(D55/D148, "NA")</f>
        <v>-7.7417162856823867E-3</v>
      </c>
      <c r="F55" s="115">
        <v>-346.4</v>
      </c>
      <c r="G55" s="116">
        <f>IFERROR(F55/F148, "NA")</f>
        <v>-1.44024341111507E-2</v>
      </c>
      <c r="H55" s="115">
        <v>-377.58</v>
      </c>
      <c r="I55" s="116">
        <f>IFERROR(H55/H148, "NA")</f>
        <v>-1.5042584401894125E-2</v>
      </c>
      <c r="J55" s="115">
        <v>-341.95</v>
      </c>
      <c r="K55" s="116">
        <f>IFERROR(J55/J148, "NA")</f>
        <v>-1.5129232269442358E-2</v>
      </c>
      <c r="L55" s="115">
        <v>-372.79</v>
      </c>
      <c r="M55" s="116">
        <f>IFERROR(L55/L148, "NA")</f>
        <v>-1.3349500221841129E-2</v>
      </c>
      <c r="N55" s="115">
        <v>-380.52</v>
      </c>
      <c r="O55" s="116">
        <f>IFERROR(N55/N148, "NA")</f>
        <v>-1.3760781122864116E-2</v>
      </c>
      <c r="P55" s="115">
        <v>-440.2</v>
      </c>
      <c r="Q55" s="116">
        <f>IFERROR(P55/P148, "NA")</f>
        <v>-1.8785577694921705E-2</v>
      </c>
      <c r="R55" s="115">
        <v>-380.63</v>
      </c>
      <c r="S55" s="116">
        <f>IFERROR(R55/R148, "NA")</f>
        <v>-1.2090973113205599E-2</v>
      </c>
      <c r="T55" s="115">
        <v>0</v>
      </c>
      <c r="U55" s="116">
        <f>IFERROR(T55/T148, "NA")</f>
        <v>0</v>
      </c>
      <c r="V55" s="115">
        <v>0</v>
      </c>
      <c r="W55" s="116">
        <f>IFERROR(V55/V148, "NA")</f>
        <v>0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-95.157499999999999</v>
      </c>
      <c r="AC55" s="116">
        <f>IFERROR(AB55/AB148, "NA")</f>
        <v>-2.9701756533929945E-3</v>
      </c>
      <c r="AD55" s="118">
        <f t="shared" si="19"/>
        <v>95.157499999999999</v>
      </c>
      <c r="AE55" s="119">
        <f>IFERROR(AD55/AD148, "NA")</f>
        <v>-3.2116799407328922E-2</v>
      </c>
      <c r="AF55" s="118">
        <f t="shared" si="20"/>
        <v>-1</v>
      </c>
      <c r="AG55" s="117">
        <f t="shared" si="21"/>
        <v>-239.51125000000002</v>
      </c>
      <c r="AH55" s="116">
        <f>IFERROR(AG55/AG148, "NA")</f>
        <v>-8.339405885281018E-3</v>
      </c>
      <c r="AI55" s="118">
        <f t="shared" si="22"/>
        <v>239.51125000000002</v>
      </c>
      <c r="AJ55" s="119">
        <f>IFERROR(AI55/AI148, "NA")</f>
        <v>0.67584326534067107</v>
      </c>
      <c r="AK55" s="118">
        <f t="shared" si="23"/>
        <v>-1</v>
      </c>
      <c r="AL55" s="119">
        <f>IFERROR(AK55/AK148, "NA")</f>
        <v>-81.042135931233275</v>
      </c>
    </row>
    <row r="56" spans="1:38" ht="16.5" customHeight="1" x14ac:dyDescent="0.25">
      <c r="A56" s="130" t="s">
        <v>61</v>
      </c>
      <c r="B56" s="121">
        <f>IFERROR(B37+B39+B40+B41+B42+B43+B46+B47+B48+B49+B50+B51+B53+B54+B55, "NA")</f>
        <v>919.38000000000011</v>
      </c>
      <c r="C56" s="122">
        <f>IFERROR(B56/B148, "NA")</f>
        <v>4.023180394598827E-2</v>
      </c>
      <c r="D56" s="121">
        <f>IFERROR(D37+D39+D40+D41+D42+D43+D46+D47+D48+D49+D50+D51+D53+D54+D55, "NA")</f>
        <v>770.63</v>
      </c>
      <c r="E56" s="122">
        <f>IFERROR(D56/D148, "NA")</f>
        <v>2.8583742915079619E-2</v>
      </c>
      <c r="F56" s="121">
        <f>IFERROR(F37+F39+F40+F41+F42+F43+F46+F47+F48+F49+F50+F51+F53+F54+F55, "NA")</f>
        <v>813.37</v>
      </c>
      <c r="G56" s="122">
        <f>IFERROR(F56/F148, "NA")</f>
        <v>3.3817863259199325E-2</v>
      </c>
      <c r="H56" s="121">
        <f>IFERROR(H37+H39+H40+H41+H42+H43+H46+H47+H48+H49+H50+H51+H53+H54+H55, "NA")</f>
        <v>731.56</v>
      </c>
      <c r="I56" s="122">
        <f>IFERROR(H56/H148, "NA")</f>
        <v>2.9144957479341243E-2</v>
      </c>
      <c r="J56" s="121">
        <f>IFERROR(J37+J39+J40+J41+J42+J43+J46+J47+J48+J49+J50+J51+J53+J54+J55, "NA")</f>
        <v>616.37999999999988</v>
      </c>
      <c r="K56" s="122">
        <f>IFERROR(J56/J148, "NA")</f>
        <v>2.7271110356013685E-2</v>
      </c>
      <c r="L56" s="121">
        <f>IFERROR(L37+L39+L40+L41+L42+L43+L46+L47+L48+L49+L50+L51+L53+L54+L55, "NA")</f>
        <v>866.37000000000012</v>
      </c>
      <c r="M56" s="122">
        <f>IFERROR(L56/L148, "NA")</f>
        <v>3.1024454806181764E-2</v>
      </c>
      <c r="N56" s="121">
        <f>IFERROR(N37+N39+N40+N41+N42+N43+N46+N47+N48+N49+N50+N51+N53+N54+N55, "NA")</f>
        <v>960.19</v>
      </c>
      <c r="O56" s="122">
        <f>IFERROR(N56/N148, "NA")</f>
        <v>3.4723442726697404E-2</v>
      </c>
      <c r="P56" s="121">
        <f>IFERROR(P37+P39+P40+P41+P42+P43+P46+P47+P48+P49+P50+P51+P53+P54+P55, "NA")</f>
        <v>715.43000000000006</v>
      </c>
      <c r="Q56" s="122">
        <f>IFERROR(P56/P148, "NA")</f>
        <v>3.0531044639431709E-2</v>
      </c>
      <c r="R56" s="121">
        <f>IFERROR(R37+R39+R40+R41+R42+R43+R46+R47+R48+R49+R50+R51+R53+R54+R55, "NA")</f>
        <v>1023.5100000000001</v>
      </c>
      <c r="S56" s="122">
        <f>IFERROR(R56/R148, "NA")</f>
        <v>3.2512497415067294E-2</v>
      </c>
      <c r="T56" s="121">
        <f>IFERROR(T37+T39+T40+T41+T42+T43+T46+T47+T48+T49+T50+T51+T53+T54+T55, "NA")</f>
        <v>1431.6899999999998</v>
      </c>
      <c r="U56" s="122">
        <f>IFERROR(T56/T148, "NA")</f>
        <v>4.3571387486156542E-2</v>
      </c>
      <c r="V56" s="121">
        <f>IFERROR(V37+V39+V40+V41+V42+V43+V46+V47+V48+V49+V50+V51+V53+V54+V55, "NA")</f>
        <v>1675.93</v>
      </c>
      <c r="W56" s="122">
        <f>IFERROR(V56/V148, "NA")</f>
        <v>4.8246444842740537E-2</v>
      </c>
      <c r="X56" s="121">
        <f>IFERROR(X37+X39+X40+X41+X42+X43+X46+X47+X48+X49+X50+X51+X53+X54+X55, "NA")</f>
        <v>1292.8799999999999</v>
      </c>
      <c r="Y56" s="122">
        <f>IFERROR(X56/X148, "NA")</f>
        <v>4.4467358514122701E-2</v>
      </c>
      <c r="Z56" s="121">
        <f>IFERROR(Z37+Z39+Z40+Z41+Z42+Z43+Z46+Z47+Z48+Z49+Z50+Z51+Z53+Z54+Z55, "NA")</f>
        <v>4400.5</v>
      </c>
      <c r="AA56" s="122">
        <f>IFERROR(Z56/Z148, "NA")</f>
        <v>4.5520768766701122E-2</v>
      </c>
      <c r="AB56" s="121">
        <f t="shared" si="18"/>
        <v>1356.0025000000001</v>
      </c>
      <c r="AC56" s="122">
        <f>IFERROR(AB56/AB148, "NA")</f>
        <v>4.2325256668576137E-2</v>
      </c>
      <c r="AD56" s="123">
        <f t="shared" si="19"/>
        <v>-63.122500000000173</v>
      </c>
      <c r="AE56" s="124">
        <f>IFERROR(AD56/AD148, "NA")</f>
        <v>2.1304602060679668E-2</v>
      </c>
      <c r="AF56" s="123">
        <f t="shared" si="20"/>
        <v>-4.655043040112402E-2</v>
      </c>
      <c r="AG56" s="121">
        <f t="shared" si="21"/>
        <v>1072.7974999999999</v>
      </c>
      <c r="AH56" s="122">
        <f>IFERROR(AG56/AG148, "NA")</f>
        <v>3.735312552214045E-2</v>
      </c>
      <c r="AI56" s="123">
        <f t="shared" si="22"/>
        <v>220.08249999999998</v>
      </c>
      <c r="AJ56" s="124">
        <f>IFERROR(AI56/AI148, "NA")</f>
        <v>0.62101999569681265</v>
      </c>
      <c r="AK56" s="123">
        <f t="shared" si="23"/>
        <v>0.20514822228799004</v>
      </c>
      <c r="AL56" s="124">
        <f>IFERROR(AK56/AK148, "NA")</f>
        <v>16.625650116714148</v>
      </c>
    </row>
    <row r="57" spans="1:38" ht="16.5" customHeight="1" x14ac:dyDescent="0.25">
      <c r="A57" s="120" t="s">
        <v>62</v>
      </c>
      <c r="B57" s="131">
        <f>IFERROR(B13+B15+B16+B17+B18+B19+B20+B21+B22+B23+B24+B25+B26+B29+B30+B31+B32+B33+B37+B39+B40+B41+B42+B43+B46+B47+B48+B49+B50+B51+B53+B54+B55, "NA")</f>
        <v>6758.2899999999991</v>
      </c>
      <c r="C57" s="132">
        <f>IFERROR(B57/B148, "NA")</f>
        <v>0.29574082347901082</v>
      </c>
      <c r="D57" s="131">
        <f>IFERROR(D13+D15+D16+D17+D18+D19+D20+D21+D22+D23+D24+D25+D26+D29+D30+D31+D32+D33+D37+D39+D40+D41+D42+D43+D46+D47+D48+D49+D50+D51+D53+D54+D55, "NA")</f>
        <v>6526.21</v>
      </c>
      <c r="E57" s="132">
        <f>IFERROR(D57/D148, "NA")</f>
        <v>0.24206624300873539</v>
      </c>
      <c r="F57" s="131">
        <f>IFERROR(F13+F15+F16+F17+F18+F19+F20+F21+F22+F23+F24+F25+F26+F29+F30+F31+F32+F33+F37+F39+F40+F41+F42+F43+F46+F47+F48+F49+F50+F51+F53+F54+F55, "NA")</f>
        <v>6417.0999999999995</v>
      </c>
      <c r="G57" s="132">
        <f>IFERROR(F57/F148, "NA")</f>
        <v>0.26680675500769385</v>
      </c>
      <c r="H57" s="131">
        <f>IFERROR(H13+H15+H16+H17+H18+H19+H20+H21+H22+H23+H24+H25+H26+H29+H30+H31+H32+H33+H37+H39+H40+H41+H42+H43+H46+H47+H48+H49+H50+H51+H53+H54+H55, "NA")</f>
        <v>6497.9400000000014</v>
      </c>
      <c r="I57" s="132">
        <f>IFERROR(H57/H148, "NA")</f>
        <v>0.25887443955835571</v>
      </c>
      <c r="J57" s="131">
        <f>IFERROR(J13+J15+J16+J17+J18+J19+J20+J21+J22+J23+J24+J25+J26+J29+J30+J31+J32+J33+J37+J39+J40+J41+J42+J43+J46+J47+J48+J49+J50+J51+J53+J54+J55, "NA")</f>
        <v>5297.89</v>
      </c>
      <c r="K57" s="132">
        <f>IFERROR(J57/J148, "NA")</f>
        <v>0.23439979046046491</v>
      </c>
      <c r="L57" s="131">
        <f>IFERROR(L13+L15+L16+L17+L18+L19+L20+L21+L22+L23+L24+L25+L26+L29+L30+L31+L32+L33+L37+L39+L40+L41+L42+L43+L46+L47+L48+L49+L50+L51+L53+L54+L55, "NA")</f>
        <v>7068.8799999999983</v>
      </c>
      <c r="M57" s="132">
        <f>IFERROR(L57/L148, "NA")</f>
        <v>0.25313451307215401</v>
      </c>
      <c r="N57" s="131">
        <f>IFERROR(N13+N15+N16+N17+N18+N19+N20+N21+N22+N23+N24+N25+N26+N29+N30+N31+N32+N33+N37+N39+N40+N41+N42+N43+N46+N47+N48+N49+N50+N51+N53+N54+N55, "NA")</f>
        <v>6927.4700000000012</v>
      </c>
      <c r="O57" s="132">
        <f>IFERROR(N57/N148, "NA")</f>
        <v>0.25051875960582232</v>
      </c>
      <c r="P57" s="131">
        <f>IFERROR(P13+P15+P16+P17+P18+P19+P20+P21+P22+P23+P24+P25+P26+P29+P30+P31+P32+P33+P37+P39+P40+P41+P42+P43+P46+P47+P48+P49+P50+P51+P53+P54+P55, "NA")</f>
        <v>6217.44</v>
      </c>
      <c r="Q57" s="132">
        <f>IFERROR(P57/P148, "NA")</f>
        <v>0.26532985502842799</v>
      </c>
      <c r="R57" s="131">
        <f>IFERROR(R13+R15+R16+R17+R18+R19+R20+R21+R22+R23+R24+R25+R26+R29+R30+R31+R32+R33+R37+R39+R40+R41+R42+R43+R46+R47+R48+R49+R50+R51+R53+R54+R55, "NA")</f>
        <v>8502.2800000000007</v>
      </c>
      <c r="S57" s="132">
        <f>IFERROR(R57/R148, "NA")</f>
        <v>0.27008075790385866</v>
      </c>
      <c r="T57" s="131">
        <f>IFERROR(T13+T15+T16+T17+T18+T19+T20+T21+T22+T23+T24+T25+T26+T29+T30+T31+T32+T33+T37+T39+T40+T41+T42+T43+T46+T47+T48+T49+T50+T51+T53+T54+T55, "NA")</f>
        <v>8579.4700000000012</v>
      </c>
      <c r="U57" s="132">
        <f>IFERROR(T57/T148, "NA")</f>
        <v>0.26110359910026304</v>
      </c>
      <c r="V57" s="131">
        <f>IFERROR(V13+V15+V16+V17+V18+V19+V20+V21+V22+V23+V24+V25+V26+V29+V30+V31+V32+V33+V37+V39+V40+V41+V42+V43+V46+V47+V48+V49+V50+V51+V53+V54+V55, "NA")</f>
        <v>9200.42</v>
      </c>
      <c r="W57" s="132">
        <f>IFERROR(V57/V148, "NA")</f>
        <v>0.26486043931431913</v>
      </c>
      <c r="X57" s="131">
        <f>IFERROR(X13+X15+X16+X17+X18+X19+X20+X21+X22+X23+X24+X25+X26+X29+X30+X31+X32+X33+X37+X39+X40+X41+X42+X43+X46+X47+X48+X49+X50+X51+X53+X54+X55, "NA")</f>
        <v>7755.48</v>
      </c>
      <c r="Y57" s="132">
        <f>IFERROR(X57/X148, "NA")</f>
        <v>0.26674224182376427</v>
      </c>
      <c r="Z57" s="131">
        <f>IFERROR(Z13+Z15+Z16+Z17+Z18+Z19+Z20+Z21+Z22+Z23+Z24+Z25+Z26+Z29+Z30+Z31+Z32+Z33+Z37+Z39+Z40+Z41+Z42+Z43+Z46+Z47+Z48+Z49+Z50+Z51+Z53+Z54+Z55, "NA")</f>
        <v>25535.369999999995</v>
      </c>
      <c r="AA57" s="132">
        <f>IFERROR(Z57/Z148, "NA")</f>
        <v>0.26414945418524177</v>
      </c>
      <c r="AB57" s="131">
        <f t="shared" si="18"/>
        <v>8509.4124999999985</v>
      </c>
      <c r="AC57" s="132">
        <f>IFERROR(AB57/AB148, "NA")</f>
        <v>0.26560649273234382</v>
      </c>
      <c r="AD57" s="133">
        <f t="shared" si="19"/>
        <v>-753.93249999999898</v>
      </c>
      <c r="AE57" s="134">
        <f>IFERROR(AD57/AD148, "NA")</f>
        <v>0.25446127598104173</v>
      </c>
      <c r="AF57" s="133">
        <f t="shared" si="20"/>
        <v>-8.8599829894249346E-2</v>
      </c>
      <c r="AG57" s="131">
        <f t="shared" si="21"/>
        <v>7443.6662500000002</v>
      </c>
      <c r="AH57" s="132">
        <f>IFERROR(AG57/AG148, "NA")</f>
        <v>0.25917677826539542</v>
      </c>
      <c r="AI57" s="133">
        <f t="shared" si="22"/>
        <v>311.81374999999935</v>
      </c>
      <c r="AJ57" s="134">
        <f>IFERROR(AI57/AI148, "NA")</f>
        <v>0.87986356790388431</v>
      </c>
      <c r="AK57" s="133">
        <f t="shared" si="23"/>
        <v>4.1889807996160405E-2</v>
      </c>
      <c r="AL57" s="134">
        <f>IFERROR(AK57/AK148, "NA")</f>
        <v>3.394839513758094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63</v>
      </c>
      <c r="B59" s="136">
        <f>IFERROR(B9-B57, "NA")</f>
        <v>16093.779999999997</v>
      </c>
      <c r="C59" s="137">
        <f>IFERROR(B59/B148, "NA")</f>
        <v>0.70425917652098902</v>
      </c>
      <c r="D59" s="136">
        <f>IFERROR(D9-D57, "NA")</f>
        <v>20434.22</v>
      </c>
      <c r="E59" s="137">
        <f>IFERROR(D59/D148, "NA")</f>
        <v>0.75793375699126464</v>
      </c>
      <c r="F59" s="136">
        <f>IFERROR(F9-F57, "NA")</f>
        <v>17634.39</v>
      </c>
      <c r="G59" s="137">
        <f>IFERROR(F59/F148, "NA")</f>
        <v>0.73319324499230598</v>
      </c>
      <c r="H59" s="136">
        <f>IFERROR(H9-H57, "NA")</f>
        <v>18602.8</v>
      </c>
      <c r="I59" s="137">
        <f>IFERROR(H59/H148, "NA")</f>
        <v>0.74112556044164424</v>
      </c>
      <c r="J59" s="136">
        <f>IFERROR(J9-J57, "NA")</f>
        <v>17304.050000000003</v>
      </c>
      <c r="K59" s="137">
        <f>IFERROR(J59/J148, "NA")</f>
        <v>0.76560020953953523</v>
      </c>
      <c r="L59" s="136">
        <f>IFERROR(L9-L57, "NA")</f>
        <v>20856.509999999998</v>
      </c>
      <c r="M59" s="137">
        <f>IFERROR(L59/L148, "NA")</f>
        <v>0.74686548692784593</v>
      </c>
      <c r="N59" s="136">
        <f>IFERROR(N9-N57, "NA")</f>
        <v>20725.03</v>
      </c>
      <c r="O59" s="137">
        <f>IFERROR(N59/N148, "NA")</f>
        <v>0.74948124039417774</v>
      </c>
      <c r="P59" s="136">
        <f>IFERROR(P9-P57, "NA")</f>
        <v>17215.429999999997</v>
      </c>
      <c r="Q59" s="137">
        <f>IFERROR(P59/P148, "NA")</f>
        <v>0.7346701449715719</v>
      </c>
      <c r="R59" s="136">
        <f>IFERROR(R9-R57, "NA")</f>
        <v>22978.229999999989</v>
      </c>
      <c r="S59" s="137">
        <f>IFERROR(R59/R148, "NA")</f>
        <v>0.72991924209614112</v>
      </c>
      <c r="T59" s="136">
        <f>IFERROR(T9-T57, "NA")</f>
        <v>24279.020000000004</v>
      </c>
      <c r="U59" s="137">
        <f>IFERROR(T59/T148, "NA")</f>
        <v>0.73889640089973718</v>
      </c>
      <c r="V59" s="136">
        <f>IFERROR(V9-V57, "NA")</f>
        <v>25536.440000000002</v>
      </c>
      <c r="W59" s="137">
        <f>IFERROR(V59/V148, "NA")</f>
        <v>0.73513956068568087</v>
      </c>
      <c r="X59" s="136">
        <f>IFERROR(X9-X57, "NA")</f>
        <v>21319.33</v>
      </c>
      <c r="Y59" s="137">
        <f>IFERROR(X59/X148, "NA")</f>
        <v>0.73325775817623573</v>
      </c>
      <c r="Z59" s="136">
        <f>IFERROR(Z9-Z57, "NA")</f>
        <v>71134.790000000008</v>
      </c>
      <c r="AA59" s="137">
        <f>IFERROR(Z59/Z148, "NA")</f>
        <v>0.73585054581475817</v>
      </c>
      <c r="AB59" s="136">
        <f>IFERROR((R59+T59+V59+X59)/4, "NA")</f>
        <v>23528.255000000001</v>
      </c>
      <c r="AC59" s="137">
        <f>IFERROR(AB59/AB148, "NA")</f>
        <v>0.73439350726765618</v>
      </c>
      <c r="AD59" s="123">
        <f>IFERROR(X59-AB59, "NA")</f>
        <v>-2208.9249999999993</v>
      </c>
      <c r="AE59" s="124">
        <f>IFERROR(AD59/AD148, "NA")</f>
        <v>0.74553872401895827</v>
      </c>
      <c r="AF59" s="123">
        <f>IFERROR((X59-AB59)/AB59, "NA")</f>
        <v>-9.3883928068613634E-2</v>
      </c>
      <c r="AG59" s="136">
        <f>IFERROR((J59+L59+N59+P59+R59+T59+V59+X59)/8, "NA")</f>
        <v>21276.754999999997</v>
      </c>
      <c r="AH59" s="137">
        <f>IFERROR(AG59/AG148, "NA")</f>
        <v>0.74082322173460458</v>
      </c>
      <c r="AI59" s="123">
        <f>IFERROR(X59-AG59, "NA")</f>
        <v>42.575000000004366</v>
      </c>
      <c r="AJ59" s="124">
        <f>IFERROR(AI59/AI148, "NA")</f>
        <v>0.12013643209612082</v>
      </c>
      <c r="AK59" s="123">
        <f>IFERROR((X59-AG59)/AG59, "NA")</f>
        <v>2.0010100224401874E-3</v>
      </c>
      <c r="AL59" s="124">
        <f>IFERROR(AK59/AK148, "NA")</f>
        <v>0.1621661262383578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64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64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65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66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67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68</v>
      </c>
      <c r="B66" s="115">
        <v>1298.08</v>
      </c>
      <c r="C66" s="116">
        <f>IFERROR(B66/B148, "NA")</f>
        <v>5.6803606850495382E-2</v>
      </c>
      <c r="D66" s="115">
        <v>1298.08</v>
      </c>
      <c r="E66" s="116">
        <f>IFERROR(D66/D148, "NA")</f>
        <v>4.8147600019732617E-2</v>
      </c>
      <c r="F66" s="115">
        <v>1298.08</v>
      </c>
      <c r="G66" s="116">
        <f>IFERROR(F66/F148, "NA")</f>
        <v>5.3970876648390592E-2</v>
      </c>
      <c r="H66" s="115">
        <v>1298.08</v>
      </c>
      <c r="I66" s="116">
        <f>IFERROR(H66/H148, "NA")</f>
        <v>5.1714810001617477E-2</v>
      </c>
      <c r="J66" s="115">
        <v>1298.08</v>
      </c>
      <c r="K66" s="116">
        <f>IFERROR(J66/J148, "NA")</f>
        <v>5.7432238117612916E-2</v>
      </c>
      <c r="L66" s="115">
        <v>1298.08</v>
      </c>
      <c r="M66" s="116">
        <f>IFERROR(L66/L148, "NA")</f>
        <v>4.6483862893230851E-2</v>
      </c>
      <c r="N66" s="115">
        <v>1298.08</v>
      </c>
      <c r="O66" s="116">
        <f>IFERROR(N66/N148, "NA")</f>
        <v>4.6942591085796945E-2</v>
      </c>
      <c r="P66" s="115">
        <v>1298.08</v>
      </c>
      <c r="Q66" s="116">
        <f>IFERROR(P66/P148, "NA")</f>
        <v>5.5395689900554219E-2</v>
      </c>
      <c r="R66" s="115">
        <v>1298.08</v>
      </c>
      <c r="S66" s="116">
        <f>IFERROR(R66/R148, "NA")</f>
        <v>4.1234401856894948E-2</v>
      </c>
      <c r="T66" s="115">
        <v>2625</v>
      </c>
      <c r="U66" s="116">
        <f>IFERROR(T66/T148, "NA")</f>
        <v>7.988802893863961E-2</v>
      </c>
      <c r="V66" s="115">
        <v>2625</v>
      </c>
      <c r="W66" s="116">
        <f>IFERROR(V66/V148, "NA")</f>
        <v>7.5568142889138504E-2</v>
      </c>
      <c r="X66" s="115">
        <v>1298.08</v>
      </c>
      <c r="Y66" s="116">
        <f>IFERROR(X66/X148, "NA")</f>
        <v>4.4646207490263906E-2</v>
      </c>
      <c r="Z66" s="115">
        <v>6548.08</v>
      </c>
      <c r="AA66" s="116">
        <f>IFERROR(Z66/Z148, "NA")</f>
        <v>6.7736310770562497E-2</v>
      </c>
      <c r="AB66" s="117">
        <f t="shared" si="24"/>
        <v>1961.54</v>
      </c>
      <c r="AC66" s="116">
        <f>IFERROR(AB66/AB148, "NA")</f>
        <v>6.1226055236386981E-2</v>
      </c>
      <c r="AD66" s="118">
        <f t="shared" si="25"/>
        <v>-663.46</v>
      </c>
      <c r="AE66" s="119">
        <f>IFERROR(AD66/AD148, "NA")</f>
        <v>0.22392572035610908</v>
      </c>
      <c r="AF66" s="118">
        <f t="shared" si="26"/>
        <v>-0.33823424452216116</v>
      </c>
      <c r="AG66" s="117">
        <f t="shared" si="27"/>
        <v>1629.81</v>
      </c>
      <c r="AH66" s="116">
        <f>IFERROR(AG66/AG148, "NA")</f>
        <v>5.6747426711229038E-2</v>
      </c>
      <c r="AI66" s="118">
        <f t="shared" si="28"/>
        <v>-331.73</v>
      </c>
      <c r="AJ66" s="119">
        <f>IFERROR(AI66/AI148, "NA")</f>
        <v>-0.93606244554884499</v>
      </c>
      <c r="AK66" s="118">
        <f t="shared" si="29"/>
        <v>-0.20353906283554526</v>
      </c>
      <c r="AL66" s="119">
        <f>IFERROR(AK66/AK148, "NA")</f>
        <v>-16.495240397634092</v>
      </c>
    </row>
    <row r="67" spans="1:38" ht="16.5" hidden="1" customHeight="1" x14ac:dyDescent="0.25">
      <c r="A67" s="7" t="s">
        <v>69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70</v>
      </c>
      <c r="B68" s="115">
        <v>6116.84</v>
      </c>
      <c r="C68" s="116">
        <f>IFERROR(B68/B148, "NA")</f>
        <v>0.26767115626724408</v>
      </c>
      <c r="D68" s="115">
        <v>5143.54</v>
      </c>
      <c r="E68" s="116">
        <f>IFERROR(D68/D148, "NA")</f>
        <v>0.19078108175574351</v>
      </c>
      <c r="F68" s="115">
        <v>6607.72</v>
      </c>
      <c r="G68" s="116">
        <f>IFERROR(F68/F148, "NA")</f>
        <v>0.27473225151539465</v>
      </c>
      <c r="H68" s="115">
        <v>4847.05</v>
      </c>
      <c r="I68" s="116">
        <f>IFERROR(H68/H148, "NA")</f>
        <v>0.19310386865088439</v>
      </c>
      <c r="J68" s="115">
        <v>5263.34</v>
      </c>
      <c r="K68" s="116">
        <f>IFERROR(J68/J148, "NA")</f>
        <v>0.23287116061718599</v>
      </c>
      <c r="L68" s="115">
        <v>5181.5200000000004</v>
      </c>
      <c r="M68" s="116">
        <f>IFERROR(L68/L148, "NA")</f>
        <v>0.18554870675038024</v>
      </c>
      <c r="N68" s="115">
        <v>5697.83</v>
      </c>
      <c r="O68" s="116">
        <f>IFERROR(N68/N148, "NA")</f>
        <v>0.20605117078021878</v>
      </c>
      <c r="P68" s="115">
        <v>5643.45</v>
      </c>
      <c r="Q68" s="116">
        <f>IFERROR(P68/P148, "NA")</f>
        <v>0.24083477610723741</v>
      </c>
      <c r="R68" s="115">
        <v>6412.03</v>
      </c>
      <c r="S68" s="116">
        <f>IFERROR(R68/R148, "NA")</f>
        <v>0.20368253246214879</v>
      </c>
      <c r="T68" s="115">
        <v>6372.19</v>
      </c>
      <c r="U68" s="116">
        <f>IFERROR(T68/T148, "NA")</f>
        <v>0.19392826633238472</v>
      </c>
      <c r="V68" s="115">
        <v>6269.29</v>
      </c>
      <c r="W68" s="116">
        <f>IFERROR(V68/V148, "NA")</f>
        <v>0.1804794676317894</v>
      </c>
      <c r="X68" s="115">
        <v>6672.19</v>
      </c>
      <c r="Y68" s="116">
        <f>IFERROR(X68/X148, "NA")</f>
        <v>0.22948352886914822</v>
      </c>
      <c r="Z68" s="115">
        <v>19313.669999999998</v>
      </c>
      <c r="AA68" s="116">
        <f>IFERROR(Z68/Z148, "NA")</f>
        <v>0.19978936623255819</v>
      </c>
      <c r="AB68" s="117">
        <f t="shared" si="24"/>
        <v>6431.4249999999993</v>
      </c>
      <c r="AC68" s="116">
        <f>IFERROR(AB68/AB148, "NA")</f>
        <v>0.20074573156738079</v>
      </c>
      <c r="AD68" s="118">
        <f t="shared" si="25"/>
        <v>240.76500000000033</v>
      </c>
      <c r="AE68" s="119">
        <f>IFERROR(AD68/AD148, "NA")</f>
        <v>-8.1261079886562365E-2</v>
      </c>
      <c r="AF68" s="118">
        <f t="shared" si="26"/>
        <v>3.743571603493788E-2</v>
      </c>
      <c r="AG68" s="117">
        <f t="shared" si="27"/>
        <v>5938.9800000000005</v>
      </c>
      <c r="AH68" s="116">
        <f>IFERROR(AG68/AG148, "NA")</f>
        <v>0.20678596418567505</v>
      </c>
      <c r="AI68" s="118">
        <f t="shared" si="28"/>
        <v>733.20999999999913</v>
      </c>
      <c r="AJ68" s="119">
        <f>IFERROR(AI68/AI148, "NA")</f>
        <v>2.0689426512551408</v>
      </c>
      <c r="AK68" s="118">
        <f t="shared" si="29"/>
        <v>0.12345722666181719</v>
      </c>
      <c r="AL68" s="119">
        <f>IFERROR(AK68/AK148, "NA")</f>
        <v>10.005237344820065</v>
      </c>
    </row>
    <row r="69" spans="1:38" ht="16.5" customHeight="1" x14ac:dyDescent="0.25">
      <c r="A69" s="7" t="s">
        <v>71</v>
      </c>
      <c r="B69" s="115">
        <v>0</v>
      </c>
      <c r="C69" s="116">
        <f>IFERROR(B69/B148, "NA")</f>
        <v>0</v>
      </c>
      <c r="D69" s="115">
        <v>0</v>
      </c>
      <c r="E69" s="116">
        <f>IFERROR(D69/D148, "NA")</f>
        <v>0</v>
      </c>
      <c r="F69" s="115">
        <v>23.26</v>
      </c>
      <c r="G69" s="116">
        <f>IFERROR(F69/F148, "NA")</f>
        <v>9.6709185168985373E-4</v>
      </c>
      <c r="H69" s="115">
        <v>0</v>
      </c>
      <c r="I69" s="116">
        <f>IFERROR(H69/H148, "NA")</f>
        <v>0</v>
      </c>
      <c r="J69" s="115">
        <v>0</v>
      </c>
      <c r="K69" s="116">
        <f>IFERROR(J69/J148, "NA")</f>
        <v>0</v>
      </c>
      <c r="L69" s="115">
        <v>0</v>
      </c>
      <c r="M69" s="116">
        <f>IFERROR(L69/L148, "NA")</f>
        <v>0</v>
      </c>
      <c r="N69" s="115">
        <v>0</v>
      </c>
      <c r="O69" s="116">
        <f>IFERROR(N69/N148, "NA")</f>
        <v>0</v>
      </c>
      <c r="P69" s="115">
        <v>0</v>
      </c>
      <c r="Q69" s="116">
        <f>IFERROR(P69/P148, "NA")</f>
        <v>0</v>
      </c>
      <c r="R69" s="115">
        <v>199.99</v>
      </c>
      <c r="S69" s="116">
        <f>IFERROR(R69/R148, "NA")</f>
        <v>6.3528195699497888E-3</v>
      </c>
      <c r="T69" s="115">
        <v>0</v>
      </c>
      <c r="U69" s="116">
        <f>IFERROR(T69/T148, "NA")</f>
        <v>0</v>
      </c>
      <c r="V69" s="115">
        <v>0</v>
      </c>
      <c r="W69" s="116">
        <f>IFERROR(V69/V148, "NA")</f>
        <v>0</v>
      </c>
      <c r="X69" s="115">
        <v>0</v>
      </c>
      <c r="Y69" s="116">
        <f>IFERROR(X69/X148, "NA")</f>
        <v>0</v>
      </c>
      <c r="Z69" s="115">
        <v>0</v>
      </c>
      <c r="AA69" s="116">
        <f>IFERROR(Z69/Z148, "NA")</f>
        <v>0</v>
      </c>
      <c r="AB69" s="117">
        <f t="shared" si="24"/>
        <v>49.997500000000002</v>
      </c>
      <c r="AC69" s="116">
        <f>IFERROR(AB69/AB148, "NA")</f>
        <v>1.5605848958885663E-3</v>
      </c>
      <c r="AD69" s="118">
        <f t="shared" si="25"/>
        <v>-49.997500000000002</v>
      </c>
      <c r="AE69" s="119">
        <f>IFERROR(AD69/AD148, "NA")</f>
        <v>1.6874756885877917E-2</v>
      </c>
      <c r="AF69" s="118">
        <f t="shared" si="26"/>
        <v>-1</v>
      </c>
      <c r="AG69" s="117">
        <f t="shared" si="27"/>
        <v>24.998750000000001</v>
      </c>
      <c r="AH69" s="116">
        <f>IFERROR(AG69/AG148, "NA")</f>
        <v>8.7041724710078901E-4</v>
      </c>
      <c r="AI69" s="118">
        <f t="shared" si="28"/>
        <v>-24.998750000000001</v>
      </c>
      <c r="AJ69" s="119">
        <f>IFERROR(AI69/AI148, "NA")</f>
        <v>-7.0540472856432002E-2</v>
      </c>
      <c r="AK69" s="118">
        <f t="shared" si="29"/>
        <v>-1</v>
      </c>
      <c r="AL69" s="119">
        <f>IFERROR(AK69/AK148, "NA")</f>
        <v>-81.042135931233275</v>
      </c>
    </row>
    <row r="70" spans="1:38" ht="16.5" customHeight="1" x14ac:dyDescent="0.25">
      <c r="A70" s="129" t="s">
        <v>72</v>
      </c>
      <c r="B70" s="121">
        <f>IFERROR(B65+B66+B67+B68+B69, "NA")</f>
        <v>7414.92</v>
      </c>
      <c r="C70" s="122">
        <f>IFERROR(B70/B148, "NA")</f>
        <v>0.32447476311773943</v>
      </c>
      <c r="D70" s="121">
        <f>IFERROR(D65+D66+D67+D68+D69, "NA")</f>
        <v>6441.62</v>
      </c>
      <c r="E70" s="122">
        <f>IFERROR(D70/D148, "NA")</f>
        <v>0.23892868177547613</v>
      </c>
      <c r="F70" s="121">
        <f>IFERROR(F65+F66+F67+F68+F69, "NA")</f>
        <v>7929.06</v>
      </c>
      <c r="G70" s="122">
        <f>IFERROR(F70/F148, "NA")</f>
        <v>0.32967022001547513</v>
      </c>
      <c r="H70" s="121">
        <f>IFERROR(H65+H66+H67+H68+H69, "NA")</f>
        <v>6145.13</v>
      </c>
      <c r="I70" s="122">
        <f>IFERROR(H70/H148, "NA")</f>
        <v>0.24481867865250187</v>
      </c>
      <c r="J70" s="121">
        <f>IFERROR(J65+J66+J67+J68+J69, "NA")</f>
        <v>6561.42</v>
      </c>
      <c r="K70" s="122">
        <f>IFERROR(J70/J148, "NA")</f>
        <v>0.29030339873479888</v>
      </c>
      <c r="L70" s="121">
        <f>IFERROR(L65+L66+L67+L68+L69, "NA")</f>
        <v>6479.6</v>
      </c>
      <c r="M70" s="122">
        <f>IFERROR(L70/L148, "NA")</f>
        <v>0.23203256964361108</v>
      </c>
      <c r="N70" s="121">
        <f>IFERROR(N65+N66+N67+N68+N69, "NA")</f>
        <v>6995.91</v>
      </c>
      <c r="O70" s="122">
        <f>IFERROR(N70/N148, "NA")</f>
        <v>0.25299376186601574</v>
      </c>
      <c r="P70" s="121">
        <f>IFERROR(P65+P66+P67+P68+P69, "NA")</f>
        <v>6941.53</v>
      </c>
      <c r="Q70" s="122">
        <f>IFERROR(P70/P148, "NA")</f>
        <v>0.29623046600779163</v>
      </c>
      <c r="R70" s="121">
        <f>IFERROR(R65+R66+R67+R68+R69, "NA")</f>
        <v>7910.0999999999995</v>
      </c>
      <c r="S70" s="122">
        <f>IFERROR(R70/R148, "NA")</f>
        <v>0.25126975388899353</v>
      </c>
      <c r="T70" s="121">
        <f>IFERROR(T65+T66+T67+T68+T69, "NA")</f>
        <v>8997.1899999999987</v>
      </c>
      <c r="U70" s="122">
        <f>IFERROR(T70/T148, "NA")</f>
        <v>0.2738162952710243</v>
      </c>
      <c r="V70" s="121">
        <f>IFERROR(V65+V66+V67+V68+V69, "NA")</f>
        <v>8894.2900000000009</v>
      </c>
      <c r="W70" s="122">
        <f>IFERROR(V70/V148, "NA")</f>
        <v>0.25604761052092795</v>
      </c>
      <c r="X70" s="121">
        <f>IFERROR(X65+X66+X67+X68+X69, "NA")</f>
        <v>7970.2699999999995</v>
      </c>
      <c r="Y70" s="122">
        <f>IFERROR(X70/X148, "NA")</f>
        <v>0.27412973635941212</v>
      </c>
      <c r="Z70" s="121">
        <f>IFERROR(Z65+Z66+Z67+Z68+Z69, "NA")</f>
        <v>25861.75</v>
      </c>
      <c r="AA70" s="122">
        <f>IFERROR(Z70/Z148, "NA")</f>
        <v>0.26752567700312069</v>
      </c>
      <c r="AB70" s="121">
        <f t="shared" si="24"/>
        <v>8442.9624999999996</v>
      </c>
      <c r="AC70" s="122">
        <f>IFERROR(AB70/AB148, "NA")</f>
        <v>0.26353237169965632</v>
      </c>
      <c r="AD70" s="123">
        <f t="shared" si="25"/>
        <v>-472.69250000000011</v>
      </c>
      <c r="AE70" s="124">
        <f>IFERROR(AD70/AD148, "NA")</f>
        <v>0.15953939735542474</v>
      </c>
      <c r="AF70" s="123">
        <f t="shared" si="26"/>
        <v>-5.5986568695526026E-2</v>
      </c>
      <c r="AG70" s="121">
        <f t="shared" si="27"/>
        <v>7593.7887499999997</v>
      </c>
      <c r="AH70" s="122">
        <f>IFERROR(AG70/AG148, "NA")</f>
        <v>0.26440380814400483</v>
      </c>
      <c r="AI70" s="123">
        <f t="shared" si="28"/>
        <v>376.48124999999982</v>
      </c>
      <c r="AJ70" s="124">
        <f>IFERROR(AI70/AI148, "NA")</f>
        <v>1.0623397328498656</v>
      </c>
      <c r="AK70" s="123">
        <f t="shared" si="29"/>
        <v>4.9577524789585416E-2</v>
      </c>
      <c r="AL70" s="124">
        <f>IFERROR(AK70/AK148, "NA")</f>
        <v>4.0178685031316688</v>
      </c>
    </row>
    <row r="71" spans="1:38" ht="16.5" hidden="1" customHeight="1" x14ac:dyDescent="0.25">
      <c r="A71" s="5" t="s">
        <v>73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74</v>
      </c>
      <c r="B72" s="115">
        <v>0</v>
      </c>
      <c r="C72" s="116">
        <f>IFERROR(B72/B148, "NA")</f>
        <v>0</v>
      </c>
      <c r="D72" s="115">
        <v>0</v>
      </c>
      <c r="E72" s="116">
        <f>IFERROR(D72/D148, "NA")</f>
        <v>0</v>
      </c>
      <c r="F72" s="115">
        <v>0</v>
      </c>
      <c r="G72" s="116">
        <f>IFERROR(F72/F148, "NA")</f>
        <v>0</v>
      </c>
      <c r="H72" s="115">
        <v>325</v>
      </c>
      <c r="I72" s="116">
        <f>IFERROR(H72/H148, "NA")</f>
        <v>1.2947825442596513E-2</v>
      </c>
      <c r="J72" s="115">
        <v>0</v>
      </c>
      <c r="K72" s="116">
        <f>IFERROR(J72/J148, "NA")</f>
        <v>0</v>
      </c>
      <c r="L72" s="115">
        <v>0</v>
      </c>
      <c r="M72" s="116">
        <f>IFERROR(L72/L148, "NA")</f>
        <v>0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488</v>
      </c>
      <c r="S72" s="116">
        <f>IFERROR(R72/R148, "NA")</f>
        <v>1.5501654833419155E-2</v>
      </c>
      <c r="T72" s="115">
        <v>0</v>
      </c>
      <c r="U72" s="116">
        <f>IFERROR(T72/T148, "NA")</f>
        <v>0</v>
      </c>
      <c r="V72" s="115">
        <v>0</v>
      </c>
      <c r="W72" s="116">
        <f>IFERROR(V72/V148, "NA")</f>
        <v>0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122</v>
      </c>
      <c r="AC72" s="116">
        <f>IFERROR(AB72/AB148, "NA")</f>
        <v>3.8080175468454438E-3</v>
      </c>
      <c r="AD72" s="118">
        <f t="shared" si="25"/>
        <v>-122</v>
      </c>
      <c r="AE72" s="119">
        <f>IFERROR(AD72/AD148, "NA")</f>
        <v>4.1176465624823355E-2</v>
      </c>
      <c r="AF72" s="118">
        <f t="shared" si="26"/>
        <v>-1</v>
      </c>
      <c r="AG72" s="117">
        <f t="shared" si="27"/>
        <v>61</v>
      </c>
      <c r="AH72" s="116">
        <f>IFERROR(AG72/AG148, "NA")</f>
        <v>2.1239242791398819E-3</v>
      </c>
      <c r="AI72" s="118">
        <f t="shared" si="28"/>
        <v>-61</v>
      </c>
      <c r="AJ72" s="119">
        <f>IFERROR(AI72/AI148, "NA")</f>
        <v>-0.17212736013770097</v>
      </c>
      <c r="AK72" s="118">
        <f t="shared" si="29"/>
        <v>-1</v>
      </c>
      <c r="AL72" s="119">
        <f>IFERROR(AK72/AK148, "NA")</f>
        <v>-81.042135931233275</v>
      </c>
    </row>
    <row r="73" spans="1:38" ht="16.5" customHeight="1" x14ac:dyDescent="0.25">
      <c r="A73" s="6" t="s">
        <v>75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76</v>
      </c>
      <c r="B74" s="115">
        <v>634.97</v>
      </c>
      <c r="C74" s="116">
        <f>IFERROR(B74/B148, "NA")</f>
        <v>2.7786104278518315E-2</v>
      </c>
      <c r="D74" s="115">
        <v>555.4</v>
      </c>
      <c r="E74" s="116">
        <f>IFERROR(D74/D148, "NA")</f>
        <v>2.0600561637926396E-2</v>
      </c>
      <c r="F74" s="115">
        <v>692.95</v>
      </c>
      <c r="G74" s="116">
        <f>IFERROR(F74/F148, "NA")</f>
        <v>2.881110484215323E-2</v>
      </c>
      <c r="H74" s="115">
        <v>536.48</v>
      </c>
      <c r="I74" s="116">
        <f>IFERROR(H74/H148, "NA")</f>
        <v>2.1373075056751314E-2</v>
      </c>
      <c r="J74" s="115">
        <v>564.29999999999995</v>
      </c>
      <c r="K74" s="116">
        <f>IFERROR(J74/J148, "NA")</f>
        <v>2.4966883373728096E-2</v>
      </c>
      <c r="L74" s="115">
        <v>567.59</v>
      </c>
      <c r="M74" s="116">
        <f>IFERROR(L74/L148, "NA")</f>
        <v>2.032523090993537E-2</v>
      </c>
      <c r="N74" s="115">
        <v>611.20000000000005</v>
      </c>
      <c r="O74" s="116">
        <f>IFERROR(N74/N148, "NA")</f>
        <v>2.210288400687099E-2</v>
      </c>
      <c r="P74" s="115">
        <v>601.4</v>
      </c>
      <c r="Q74" s="116">
        <f>IFERROR(P74/P148, "NA")</f>
        <v>2.5664803329681768E-2</v>
      </c>
      <c r="R74" s="115">
        <v>684.12</v>
      </c>
      <c r="S74" s="116">
        <f>IFERROR(R74/R148, "NA")</f>
        <v>2.1731541198030148E-2</v>
      </c>
      <c r="T74" s="115">
        <v>769.87</v>
      </c>
      <c r="U74" s="116">
        <f>IFERROR(T74/T148, "NA")</f>
        <v>2.3429865462472561E-2</v>
      </c>
      <c r="V74" s="115">
        <v>758.23</v>
      </c>
      <c r="W74" s="116">
        <f>IFERROR(V74/V148, "NA")</f>
        <v>2.1827822088697713E-2</v>
      </c>
      <c r="X74" s="115">
        <v>690.81</v>
      </c>
      <c r="Y74" s="116">
        <f>IFERROR(X74/X148, "NA")</f>
        <v>2.3759742540020036E-2</v>
      </c>
      <c r="Z74" s="115">
        <v>2218.91</v>
      </c>
      <c r="AA74" s="116">
        <f>IFERROR(Z74/Z148, "NA")</f>
        <v>2.2953411890494439E-2</v>
      </c>
      <c r="AB74" s="117">
        <f t="shared" ref="AB74:AB85" si="30">IFERROR((R74+T74+V74+X74)/4, "NA")</f>
        <v>725.75750000000005</v>
      </c>
      <c r="AC74" s="116">
        <f>IFERROR(AB74/AB148, "NA")</f>
        <v>2.2653256514382641E-2</v>
      </c>
      <c r="AD74" s="118">
        <f t="shared" ref="AD74:AD85" si="31">IFERROR(X74-AB74, "NA")</f>
        <v>-34.947500000000105</v>
      </c>
      <c r="AE74" s="119">
        <f>IFERROR(AD74/AD148, "NA")</f>
        <v>1.1795201085438677E-2</v>
      </c>
      <c r="AF74" s="118">
        <f t="shared" ref="AF74:AF85" si="32">IFERROR((X74-AB74)/AB74, "NA")</f>
        <v>-4.8153136550431928E-2</v>
      </c>
      <c r="AG74" s="117">
        <f t="shared" ref="AG74:AG85" si="33">IFERROR((J74+L74+N74+P74+R74+T74+V74+X74)/8, "NA")</f>
        <v>655.93999999999983</v>
      </c>
      <c r="AH74" s="116">
        <f>IFERROR(AG74/AG148, "NA")</f>
        <v>2.2838801502606785E-2</v>
      </c>
      <c r="AI74" s="118">
        <f t="shared" ref="AI74:AI85" si="34">IFERROR(X74-AG74, "NA")</f>
        <v>34.870000000000118</v>
      </c>
      <c r="AJ74" s="119">
        <f>IFERROR(AI74/AI148, "NA")</f>
        <v>9.8394771278715626E-2</v>
      </c>
      <c r="AK74" s="118">
        <f t="shared" ref="AK74:AK85" si="35">IFERROR((X74-AG74)/AG74, "NA")</f>
        <v>5.3160350032015316E-2</v>
      </c>
      <c r="AL74" s="119">
        <f>IFERROR(AK74/AK148, "NA")</f>
        <v>4.3082283134465262</v>
      </c>
    </row>
    <row r="75" spans="1:38" ht="16.5" hidden="1" customHeight="1" x14ac:dyDescent="0.25">
      <c r="A75" s="7" t="s">
        <v>77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78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79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80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81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82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83</v>
      </c>
      <c r="B81" s="121">
        <f>IFERROR(B74+B75+B76+B77+B78+B79+B80, "NA")</f>
        <v>634.97</v>
      </c>
      <c r="C81" s="122">
        <f>IFERROR(B81/B148, "NA")</f>
        <v>2.7786104278518315E-2</v>
      </c>
      <c r="D81" s="121">
        <f>IFERROR(D74+D75+D76+D77+D78+D79+D80, "NA")</f>
        <v>555.4</v>
      </c>
      <c r="E81" s="122">
        <f>IFERROR(D81/D148, "NA")</f>
        <v>2.0600561637926396E-2</v>
      </c>
      <c r="F81" s="121">
        <f>IFERROR(F74+F75+F76+F77+F78+F79+F80, "NA")</f>
        <v>692.95</v>
      </c>
      <c r="G81" s="122">
        <f>IFERROR(F81/F148, "NA")</f>
        <v>2.881110484215323E-2</v>
      </c>
      <c r="H81" s="121">
        <f>IFERROR(H74+H75+H76+H77+H78+H79+H80, "NA")</f>
        <v>536.48</v>
      </c>
      <c r="I81" s="122">
        <f>IFERROR(H81/H148, "NA")</f>
        <v>2.1373075056751314E-2</v>
      </c>
      <c r="J81" s="121">
        <f>IFERROR(J74+J75+J76+J77+J78+J79+J80, "NA")</f>
        <v>564.29999999999995</v>
      </c>
      <c r="K81" s="122">
        <f>IFERROR(J81/J148, "NA")</f>
        <v>2.4966883373728096E-2</v>
      </c>
      <c r="L81" s="121">
        <f>IFERROR(L74+L75+L76+L77+L78+L79+L80, "NA")</f>
        <v>567.59</v>
      </c>
      <c r="M81" s="122">
        <f>IFERROR(L81/L148, "NA")</f>
        <v>2.032523090993537E-2</v>
      </c>
      <c r="N81" s="121">
        <f>IFERROR(N74+N75+N76+N77+N78+N79+N80, "NA")</f>
        <v>611.20000000000005</v>
      </c>
      <c r="O81" s="122">
        <f>IFERROR(N81/N148, "NA")</f>
        <v>2.210288400687099E-2</v>
      </c>
      <c r="P81" s="121">
        <f>IFERROR(P74+P75+P76+P77+P78+P79+P80, "NA")</f>
        <v>601.4</v>
      </c>
      <c r="Q81" s="122">
        <f>IFERROR(P81/P148, "NA")</f>
        <v>2.5664803329681768E-2</v>
      </c>
      <c r="R81" s="121">
        <f>IFERROR(R74+R75+R76+R77+R78+R79+R80, "NA")</f>
        <v>684.12</v>
      </c>
      <c r="S81" s="122">
        <f>IFERROR(R81/R148, "NA")</f>
        <v>2.1731541198030148E-2</v>
      </c>
      <c r="T81" s="121">
        <f>IFERROR(T74+T75+T76+T77+T78+T79+T80, "NA")</f>
        <v>769.87</v>
      </c>
      <c r="U81" s="122">
        <f>IFERROR(T81/T148, "NA")</f>
        <v>2.3429865462472561E-2</v>
      </c>
      <c r="V81" s="121">
        <f>IFERROR(V74+V75+V76+V77+V78+V79+V80, "NA")</f>
        <v>758.23</v>
      </c>
      <c r="W81" s="122">
        <f>IFERROR(V81/V148, "NA")</f>
        <v>2.1827822088697713E-2</v>
      </c>
      <c r="X81" s="121">
        <f>IFERROR(X74+X75+X76+X77+X78+X79+X80, "NA")</f>
        <v>690.81</v>
      </c>
      <c r="Y81" s="122">
        <f>IFERROR(X81/X148, "NA")</f>
        <v>2.3759742540020036E-2</v>
      </c>
      <c r="Z81" s="121">
        <f>IFERROR(Z74+Z75+Z76+Z77+Z78+Z79+Z80, "NA")</f>
        <v>2218.91</v>
      </c>
      <c r="AA81" s="122">
        <f>IFERROR(Z81/Z148, "NA")</f>
        <v>2.2953411890494439E-2</v>
      </c>
      <c r="AB81" s="121">
        <f t="shared" si="30"/>
        <v>725.75750000000005</v>
      </c>
      <c r="AC81" s="122">
        <f>IFERROR(AB81/AB148, "NA")</f>
        <v>2.2653256514382641E-2</v>
      </c>
      <c r="AD81" s="123">
        <f t="shared" si="31"/>
        <v>-34.947500000000105</v>
      </c>
      <c r="AE81" s="124">
        <f>IFERROR(AD81/AD148, "NA")</f>
        <v>1.1795201085438677E-2</v>
      </c>
      <c r="AF81" s="123">
        <f t="shared" si="32"/>
        <v>-4.8153136550431928E-2</v>
      </c>
      <c r="AG81" s="121">
        <f t="shared" si="33"/>
        <v>655.93999999999983</v>
      </c>
      <c r="AH81" s="122">
        <f>IFERROR(AG81/AG148, "NA")</f>
        <v>2.2838801502606785E-2</v>
      </c>
      <c r="AI81" s="123">
        <f t="shared" si="34"/>
        <v>34.870000000000118</v>
      </c>
      <c r="AJ81" s="124">
        <f>IFERROR(AI81/AI148, "NA")</f>
        <v>9.8394771278715626E-2</v>
      </c>
      <c r="AK81" s="123">
        <f t="shared" si="35"/>
        <v>5.3160350032015316E-2</v>
      </c>
      <c r="AL81" s="124">
        <f>IFERROR(AK81/AK148, "NA")</f>
        <v>4.3082283134465262</v>
      </c>
    </row>
    <row r="82" spans="1:38" ht="16.5" customHeight="1" x14ac:dyDescent="0.25">
      <c r="A82" s="5" t="s">
        <v>84</v>
      </c>
      <c r="B82" s="115">
        <v>301.04000000000002</v>
      </c>
      <c r="C82" s="116">
        <f>IFERROR(B82/B148, "NA")</f>
        <v>1.3173423676717252E-2</v>
      </c>
      <c r="D82" s="115">
        <v>0</v>
      </c>
      <c r="E82" s="116">
        <f>IFERROR(D82/D148, "NA")</f>
        <v>0</v>
      </c>
      <c r="F82" s="115">
        <v>0</v>
      </c>
      <c r="G82" s="116">
        <f>IFERROR(F82/F148, "NA")</f>
        <v>0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301.04000000000002</v>
      </c>
      <c r="M82" s="116">
        <f>IFERROR(L82/L148, "NA")</f>
        <v>1.0780153831334138E-2</v>
      </c>
      <c r="N82" s="115">
        <v>0</v>
      </c>
      <c r="O82" s="116">
        <f>IFERROR(N82/N148, "NA")</f>
        <v>0</v>
      </c>
      <c r="P82" s="115">
        <v>0</v>
      </c>
      <c r="Q82" s="116">
        <f>IFERROR(P82/P148, "NA")</f>
        <v>0</v>
      </c>
      <c r="R82" s="115">
        <v>0</v>
      </c>
      <c r="S82" s="116">
        <f>IFERROR(R82/R148, "NA")</f>
        <v>0</v>
      </c>
      <c r="T82" s="115">
        <v>313.76</v>
      </c>
      <c r="U82" s="116">
        <f>IFERROR(T82/T148, "NA")</f>
        <v>9.5488258894428808E-3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313.76</v>
      </c>
      <c r="AA82" s="116">
        <f>IFERROR(Z82/Z148, "NA")</f>
        <v>3.2456758114396416E-3</v>
      </c>
      <c r="AB82" s="117">
        <f t="shared" si="30"/>
        <v>78.44</v>
      </c>
      <c r="AC82" s="116">
        <f>IFERROR(AB82/AB148, "NA")</f>
        <v>2.448368003070136E-3</v>
      </c>
      <c r="AD82" s="118">
        <f t="shared" si="31"/>
        <v>-78.44</v>
      </c>
      <c r="AE82" s="119">
        <f>IFERROR(AD82/AD148, "NA")</f>
        <v>2.6474442324681508E-2</v>
      </c>
      <c r="AF82" s="118">
        <f t="shared" si="32"/>
        <v>-1</v>
      </c>
      <c r="AG82" s="117">
        <f t="shared" si="33"/>
        <v>76.849999999999994</v>
      </c>
      <c r="AH82" s="116">
        <f>IFERROR(AG82/AG148, "NA")</f>
        <v>2.6757964074081955E-3</v>
      </c>
      <c r="AI82" s="118">
        <f t="shared" si="34"/>
        <v>-76.849999999999994</v>
      </c>
      <c r="AJ82" s="119">
        <f>IFERROR(AI82/AI148, "NA")</f>
        <v>-0.21685225617348064</v>
      </c>
      <c r="AK82" s="118">
        <f t="shared" si="35"/>
        <v>-1</v>
      </c>
      <c r="AL82" s="119">
        <f>IFERROR(AK82/AK148, "NA")</f>
        <v>-81.042135931233275</v>
      </c>
    </row>
    <row r="83" spans="1:38" ht="16.5" hidden="1" customHeight="1" x14ac:dyDescent="0.25">
      <c r="A83" s="5" t="s">
        <v>85</v>
      </c>
      <c r="B83" s="115">
        <v>0</v>
      </c>
      <c r="C83" s="116">
        <f>IFERROR(B83/B148, "NA")</f>
        <v>0</v>
      </c>
      <c r="D83" s="115">
        <v>0</v>
      </c>
      <c r="E83" s="116">
        <f>IFERROR(D83/D148, "NA")</f>
        <v>0</v>
      </c>
      <c r="F83" s="115">
        <v>0</v>
      </c>
      <c r="G83" s="116">
        <f>IFERROR(F83/F148, "NA")</f>
        <v>0</v>
      </c>
      <c r="H83" s="115">
        <v>0</v>
      </c>
      <c r="I83" s="116">
        <f>IFERROR(H83/H148, "NA")</f>
        <v>0</v>
      </c>
      <c r="J83" s="115">
        <v>0</v>
      </c>
      <c r="K83" s="116">
        <f>IFERROR(J83/J148, "NA")</f>
        <v>0</v>
      </c>
      <c r="L83" s="115">
        <v>0</v>
      </c>
      <c r="M83" s="116">
        <f>IFERROR(L83/L148, "NA")</f>
        <v>0</v>
      </c>
      <c r="N83" s="115">
        <v>0</v>
      </c>
      <c r="O83" s="116">
        <f>IFERROR(N83/N148, "NA")</f>
        <v>0</v>
      </c>
      <c r="P83" s="115">
        <v>0</v>
      </c>
      <c r="Q83" s="116">
        <f>IFERROR(P83/P148, "NA")</f>
        <v>0</v>
      </c>
      <c r="R83" s="115">
        <v>0</v>
      </c>
      <c r="S83" s="116">
        <f>IFERROR(R83/R148, "NA")</f>
        <v>0</v>
      </c>
      <c r="T83" s="115">
        <v>0</v>
      </c>
      <c r="U83" s="116">
        <f>IFERROR(T83/T148, "NA")</f>
        <v>0</v>
      </c>
      <c r="V83" s="115">
        <v>-9.06</v>
      </c>
      <c r="W83" s="116">
        <f>IFERROR(V83/V148, "NA")</f>
        <v>-2.6081804745736948E-4</v>
      </c>
      <c r="X83" s="115">
        <v>0</v>
      </c>
      <c r="Y83" s="116">
        <f>IFERROR(X83/X148, "NA")</f>
        <v>0</v>
      </c>
      <c r="Z83" s="115">
        <v>-9.06</v>
      </c>
      <c r="AA83" s="116">
        <f>IFERROR(Z83/Z148, "NA")</f>
        <v>-9.372075105699629E-5</v>
      </c>
      <c r="AB83" s="117">
        <f t="shared" si="30"/>
        <v>-2.2650000000000001</v>
      </c>
      <c r="AC83" s="116">
        <f>IFERROR(AB83/AB148, "NA")</f>
        <v>-7.0698030685286323E-5</v>
      </c>
      <c r="AD83" s="118">
        <f t="shared" si="31"/>
        <v>2.2650000000000001</v>
      </c>
      <c r="AE83" s="119">
        <f>IFERROR(AD83/AD148, "NA")</f>
        <v>-7.6446471016577793E-4</v>
      </c>
      <c r="AF83" s="118">
        <f t="shared" si="32"/>
        <v>-1</v>
      </c>
      <c r="AG83" s="117">
        <f t="shared" si="33"/>
        <v>-1.1325000000000001</v>
      </c>
      <c r="AH83" s="116">
        <f>IFERROR(AG83/AG148, "NA")</f>
        <v>-3.943187288731011E-5</v>
      </c>
      <c r="AI83" s="118">
        <f t="shared" si="34"/>
        <v>1.1325000000000001</v>
      </c>
      <c r="AJ83" s="119">
        <f>IFERROR(AI83/AI148, "NA")</f>
        <v>3.1956432025564978E-3</v>
      </c>
      <c r="AK83" s="118">
        <f t="shared" si="35"/>
        <v>-1</v>
      </c>
      <c r="AL83" s="119">
        <f>IFERROR(AK83/AK148, "NA")</f>
        <v>-81.042135931233275</v>
      </c>
    </row>
    <row r="84" spans="1:38" ht="16.5" customHeight="1" x14ac:dyDescent="0.25">
      <c r="A84" s="130" t="s">
        <v>86</v>
      </c>
      <c r="B84" s="121">
        <f>IFERROR(B63+B65+B66+B67+B68+B69+B71+B72+B74+B75+B76+B77+B78+B79+B80+B82+B83, "NA")</f>
        <v>8350.93</v>
      </c>
      <c r="C84" s="122">
        <f>IFERROR(B84/B148, "NA")</f>
        <v>0.36543429107297504</v>
      </c>
      <c r="D84" s="121">
        <f>IFERROR(D63+D65+D66+D67+D68+D69+D71+D72+D74+D75+D76+D77+D78+D79+D80+D82+D83, "NA")</f>
        <v>6997.0199999999995</v>
      </c>
      <c r="E84" s="122">
        <f>IFERROR(D84/D148, "NA")</f>
        <v>0.2595292434134025</v>
      </c>
      <c r="F84" s="121">
        <f>IFERROR(F63+F65+F66+F67+F68+F69+F71+F72+F74+F75+F76+F77+F78+F79+F80+F82+F83, "NA")</f>
        <v>8622.01</v>
      </c>
      <c r="G84" s="122">
        <f>IFERROR(F84/F148, "NA")</f>
        <v>0.35848132485762835</v>
      </c>
      <c r="H84" s="121">
        <f>IFERROR(H63+H65+H66+H67+H68+H69+H71+H72+H74+H75+H76+H77+H78+H79+H80+H82+H83, "NA")</f>
        <v>7006.6100000000006</v>
      </c>
      <c r="I84" s="122">
        <f>IFERROR(H84/H148, "NA")</f>
        <v>0.27913957915184973</v>
      </c>
      <c r="J84" s="121">
        <f>IFERROR(J63+J65+J66+J67+J68+J69+J71+J72+J74+J75+J76+J77+J78+J79+J80+J82+J83, "NA")</f>
        <v>7125.72</v>
      </c>
      <c r="K84" s="122">
        <f>IFERROR(J84/J148, "NA")</f>
        <v>0.31527028210852698</v>
      </c>
      <c r="L84" s="121">
        <f>IFERROR(L63+L65+L66+L67+L68+L69+L71+L72+L74+L75+L76+L77+L78+L79+L80+L82+L83, "NA")</f>
        <v>7348.2300000000005</v>
      </c>
      <c r="M84" s="122">
        <f>IFERROR(L84/L148, "NA")</f>
        <v>0.26313795438488058</v>
      </c>
      <c r="N84" s="121">
        <f>IFERROR(N63+N65+N66+N67+N68+N69+N71+N72+N74+N75+N76+N77+N78+N79+N80+N82+N83, "NA")</f>
        <v>7607.11</v>
      </c>
      <c r="O84" s="122">
        <f>IFERROR(N84/N148, "NA")</f>
        <v>0.27509664587288668</v>
      </c>
      <c r="P84" s="121">
        <f>IFERROR(P63+P65+P66+P67+P68+P69+P71+P72+P74+P75+P76+P77+P78+P79+P80+P82+P83, "NA")</f>
        <v>7542.9299999999994</v>
      </c>
      <c r="Q84" s="122">
        <f>IFERROR(P84/P148, "NA")</f>
        <v>0.32189526933747337</v>
      </c>
      <c r="R84" s="121">
        <f>IFERROR(R63+R65+R66+R67+R68+R69+R71+R72+R74+R75+R76+R77+R78+R79+R80+R82+R83, "NA")</f>
        <v>9082.2199999999993</v>
      </c>
      <c r="S84" s="122">
        <f>IFERROR(R84/R148, "NA")</f>
        <v>0.28850294992044284</v>
      </c>
      <c r="T84" s="121">
        <f>IFERROR(T63+T65+T66+T67+T68+T69+T71+T72+T74+T75+T76+T77+T78+T79+T80+T82+T83, "NA")</f>
        <v>10080.82</v>
      </c>
      <c r="U84" s="122">
        <f>IFERROR(T84/T148, "NA")</f>
        <v>0.30679498662293975</v>
      </c>
      <c r="V84" s="121">
        <f>IFERROR(V63+V65+V66+V67+V68+V69+V71+V72+V74+V75+V76+V77+V78+V79+V80+V82+V83, "NA")</f>
        <v>9643.4600000000009</v>
      </c>
      <c r="W84" s="122">
        <f>IFERROR(V84/V148, "NA")</f>
        <v>0.27761461456216829</v>
      </c>
      <c r="X84" s="121">
        <f>IFERROR(X63+X65+X66+X67+X68+X69+X71+X72+X74+X75+X76+X77+X78+X79+X80+X82+X83, "NA")</f>
        <v>8661.08</v>
      </c>
      <c r="Y84" s="122">
        <f>IFERROR(X84/X148, "NA")</f>
        <v>0.29788947889943218</v>
      </c>
      <c r="Z84" s="121">
        <f>IFERROR(Z63+Z65+Z66+Z67+Z68+Z69+Z71+Z72+Z74+Z75+Z76+Z77+Z78+Z79+Z80+Z82+Z83, "NA")</f>
        <v>28385.359999999997</v>
      </c>
      <c r="AA84" s="122">
        <f>IFERROR(Z84/Z148, "NA")</f>
        <v>0.29363104395399775</v>
      </c>
      <c r="AB84" s="121">
        <f t="shared" si="30"/>
        <v>9366.8950000000004</v>
      </c>
      <c r="AC84" s="122">
        <f>IFERROR(AB84/AB148, "NA")</f>
        <v>0.2923713157332693</v>
      </c>
      <c r="AD84" s="123">
        <f t="shared" si="31"/>
        <v>-705.81500000000051</v>
      </c>
      <c r="AE84" s="124">
        <f>IFERROR(AD84/AD148, "NA")</f>
        <v>0.23822104168020261</v>
      </c>
      <c r="AF84" s="123">
        <f t="shared" si="32"/>
        <v>-7.5352077716255017E-2</v>
      </c>
      <c r="AG84" s="121">
        <f t="shared" si="33"/>
        <v>8386.4462499999991</v>
      </c>
      <c r="AH84" s="122">
        <f>IFERROR(AG84/AG148, "NA")</f>
        <v>0.29200289846027239</v>
      </c>
      <c r="AI84" s="123">
        <f t="shared" si="34"/>
        <v>274.63375000000087</v>
      </c>
      <c r="AJ84" s="124">
        <f>IFERROR(AI84/AI148, "NA")</f>
        <v>0.7749505310199587</v>
      </c>
      <c r="AK84" s="123">
        <f t="shared" si="35"/>
        <v>3.2747333234264861E-2</v>
      </c>
      <c r="AL84" s="124">
        <f>IFERROR(AK84/AK148, "NA")</f>
        <v>2.6539138313566859</v>
      </c>
    </row>
    <row r="85" spans="1:38" ht="16.5" customHeight="1" x14ac:dyDescent="0.25">
      <c r="A85" s="120" t="s">
        <v>86</v>
      </c>
      <c r="B85" s="131">
        <f>IFERROR(B63+B65+B66+B67+B68+B69+B71+B72+B74+B75+B76+B77+B78+B79+B80+B82+B83, "NA")</f>
        <v>8350.93</v>
      </c>
      <c r="C85" s="132">
        <f>IFERROR(B85/B148, "NA")</f>
        <v>0.36543429107297504</v>
      </c>
      <c r="D85" s="131">
        <f>IFERROR(D63+D65+D66+D67+D68+D69+D71+D72+D74+D75+D76+D77+D78+D79+D80+D82+D83, "NA")</f>
        <v>6997.0199999999995</v>
      </c>
      <c r="E85" s="132">
        <f>IFERROR(D85/D148, "NA")</f>
        <v>0.2595292434134025</v>
      </c>
      <c r="F85" s="131">
        <f>IFERROR(F63+F65+F66+F67+F68+F69+F71+F72+F74+F75+F76+F77+F78+F79+F80+F82+F83, "NA")</f>
        <v>8622.01</v>
      </c>
      <c r="G85" s="132">
        <f>IFERROR(F85/F148, "NA")</f>
        <v>0.35848132485762835</v>
      </c>
      <c r="H85" s="131">
        <f>IFERROR(H63+H65+H66+H67+H68+H69+H71+H72+H74+H75+H76+H77+H78+H79+H80+H82+H83, "NA")</f>
        <v>7006.6100000000006</v>
      </c>
      <c r="I85" s="132">
        <f>IFERROR(H85/H148, "NA")</f>
        <v>0.27913957915184973</v>
      </c>
      <c r="J85" s="131">
        <f>IFERROR(J63+J65+J66+J67+J68+J69+J71+J72+J74+J75+J76+J77+J78+J79+J80+J82+J83, "NA")</f>
        <v>7125.72</v>
      </c>
      <c r="K85" s="132">
        <f>IFERROR(J85/J148, "NA")</f>
        <v>0.31527028210852698</v>
      </c>
      <c r="L85" s="131">
        <f>IFERROR(L63+L65+L66+L67+L68+L69+L71+L72+L74+L75+L76+L77+L78+L79+L80+L82+L83, "NA")</f>
        <v>7348.2300000000005</v>
      </c>
      <c r="M85" s="132">
        <f>IFERROR(L85/L148, "NA")</f>
        <v>0.26313795438488058</v>
      </c>
      <c r="N85" s="131">
        <f>IFERROR(N63+N65+N66+N67+N68+N69+N71+N72+N74+N75+N76+N77+N78+N79+N80+N82+N83, "NA")</f>
        <v>7607.11</v>
      </c>
      <c r="O85" s="132">
        <f>IFERROR(N85/N148, "NA")</f>
        <v>0.27509664587288668</v>
      </c>
      <c r="P85" s="131">
        <f>IFERROR(P63+P65+P66+P67+P68+P69+P71+P72+P74+P75+P76+P77+P78+P79+P80+P82+P83, "NA")</f>
        <v>7542.9299999999994</v>
      </c>
      <c r="Q85" s="132">
        <f>IFERROR(P85/P148, "NA")</f>
        <v>0.32189526933747337</v>
      </c>
      <c r="R85" s="131">
        <f>IFERROR(R63+R65+R66+R67+R68+R69+R71+R72+R74+R75+R76+R77+R78+R79+R80+R82+R83, "NA")</f>
        <v>9082.2199999999993</v>
      </c>
      <c r="S85" s="132">
        <f>IFERROR(R85/R148, "NA")</f>
        <v>0.28850294992044284</v>
      </c>
      <c r="T85" s="131">
        <f>IFERROR(T63+T65+T66+T67+T68+T69+T71+T72+T74+T75+T76+T77+T78+T79+T80+T82+T83, "NA")</f>
        <v>10080.82</v>
      </c>
      <c r="U85" s="132">
        <f>IFERROR(T85/T148, "NA")</f>
        <v>0.30679498662293975</v>
      </c>
      <c r="V85" s="131">
        <f>IFERROR(V63+V65+V66+V67+V68+V69+V71+V72+V74+V75+V76+V77+V78+V79+V80+V82+V83, "NA")</f>
        <v>9643.4600000000009</v>
      </c>
      <c r="W85" s="132">
        <f>IFERROR(V85/V148, "NA")</f>
        <v>0.27761461456216829</v>
      </c>
      <c r="X85" s="131">
        <f>IFERROR(X63+X65+X66+X67+X68+X69+X71+X72+X74+X75+X76+X77+X78+X79+X80+X82+X83, "NA")</f>
        <v>8661.08</v>
      </c>
      <c r="Y85" s="132">
        <f>IFERROR(X85/X148, "NA")</f>
        <v>0.29788947889943218</v>
      </c>
      <c r="Z85" s="131">
        <f>IFERROR(Z63+Z65+Z66+Z67+Z68+Z69+Z71+Z72+Z74+Z75+Z76+Z77+Z78+Z79+Z80+Z82+Z83, "NA")</f>
        <v>28385.359999999997</v>
      </c>
      <c r="AA85" s="132">
        <f>IFERROR(Z85/Z148, "NA")</f>
        <v>0.29363104395399775</v>
      </c>
      <c r="AB85" s="131">
        <f t="shared" si="30"/>
        <v>9366.8950000000004</v>
      </c>
      <c r="AC85" s="132">
        <f>IFERROR(AB85/AB148, "NA")</f>
        <v>0.2923713157332693</v>
      </c>
      <c r="AD85" s="133">
        <f t="shared" si="31"/>
        <v>-705.81500000000051</v>
      </c>
      <c r="AE85" s="134">
        <f>IFERROR(AD85/AD148, "NA")</f>
        <v>0.23822104168020261</v>
      </c>
      <c r="AF85" s="133">
        <f t="shared" si="32"/>
        <v>-7.5352077716255017E-2</v>
      </c>
      <c r="AG85" s="131">
        <f t="shared" si="33"/>
        <v>8386.4462499999991</v>
      </c>
      <c r="AH85" s="132">
        <f>IFERROR(AG85/AG148, "NA")</f>
        <v>0.29200289846027239</v>
      </c>
      <c r="AI85" s="133">
        <f t="shared" si="34"/>
        <v>274.63375000000087</v>
      </c>
      <c r="AJ85" s="134">
        <f>IFERROR(AI85/AI148, "NA")</f>
        <v>0.7749505310199587</v>
      </c>
      <c r="AK85" s="133">
        <f t="shared" si="35"/>
        <v>3.2747333234264861E-2</v>
      </c>
      <c r="AL85" s="134">
        <f>IFERROR(AK85/AK148, "NA")</f>
        <v>2.6539138313566859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87</v>
      </c>
      <c r="B87" s="136">
        <f>IFERROR(B59-B85, "NA")</f>
        <v>7742.8499999999967</v>
      </c>
      <c r="C87" s="137">
        <f>IFERROR(B87/B148, "NA")</f>
        <v>0.33882488544801398</v>
      </c>
      <c r="D87" s="136">
        <f>IFERROR(D59-D85, "NA")</f>
        <v>13437.2</v>
      </c>
      <c r="E87" s="137">
        <f>IFERROR(D87/D148, "NA")</f>
        <v>0.49840451357786208</v>
      </c>
      <c r="F87" s="136">
        <f>IFERROR(F59-F85, "NA")</f>
        <v>9012.3799999999992</v>
      </c>
      <c r="G87" s="137">
        <f>IFERROR(F87/F148, "NA")</f>
        <v>0.37471192013467769</v>
      </c>
      <c r="H87" s="136">
        <f>IFERROR(H59-H85, "NA")</f>
        <v>11596.189999999999</v>
      </c>
      <c r="I87" s="137">
        <f>IFERROR(H87/H148, "NA")</f>
        <v>0.46198598128979457</v>
      </c>
      <c r="J87" s="136">
        <f>IFERROR(J59-J85, "NA")</f>
        <v>10178.330000000002</v>
      </c>
      <c r="K87" s="137">
        <f>IFERROR(J87/J148, "NA")</f>
        <v>0.45032992743100825</v>
      </c>
      <c r="L87" s="136">
        <f>IFERROR(L59-L85, "NA")</f>
        <v>13508.279999999999</v>
      </c>
      <c r="M87" s="137">
        <f>IFERROR(L87/L148, "NA")</f>
        <v>0.48372753254296535</v>
      </c>
      <c r="N87" s="136">
        <f>IFERROR(N59-N85, "NA")</f>
        <v>13117.919999999998</v>
      </c>
      <c r="O87" s="137">
        <f>IFERROR(N87/N148, "NA")</f>
        <v>0.47438459452129095</v>
      </c>
      <c r="P87" s="136">
        <f>IFERROR(P59-P85, "NA")</f>
        <v>9672.4999999999964</v>
      </c>
      <c r="Q87" s="137">
        <f>IFERROR(P87/P148, "NA")</f>
        <v>0.41277487563409848</v>
      </c>
      <c r="R87" s="136">
        <f>IFERROR(R59-R85, "NA")</f>
        <v>13896.009999999989</v>
      </c>
      <c r="S87" s="137">
        <f>IFERROR(R87/R148, "NA")</f>
        <v>0.44141629217569822</v>
      </c>
      <c r="T87" s="136">
        <f>IFERROR(T59-T85, "NA")</f>
        <v>14198.200000000004</v>
      </c>
      <c r="U87" s="137">
        <f>IFERROR(T87/T148, "NA")</f>
        <v>0.43210141427679744</v>
      </c>
      <c r="V87" s="136">
        <f>IFERROR(V59-V85, "NA")</f>
        <v>15892.980000000001</v>
      </c>
      <c r="W87" s="137">
        <f>IFERROR(V87/V148, "NA")</f>
        <v>0.45752494612351263</v>
      </c>
      <c r="X87" s="136">
        <f>IFERROR(X59-X85, "NA")</f>
        <v>12658.250000000002</v>
      </c>
      <c r="Y87" s="137">
        <f>IFERROR(X87/X148, "NA")</f>
        <v>0.43536827927680355</v>
      </c>
      <c r="Z87" s="136">
        <f>IFERROR(Z59-Z85, "NA")</f>
        <v>42749.430000000008</v>
      </c>
      <c r="AA87" s="137">
        <f>IFERROR(Z87/Z148, "NA")</f>
        <v>0.44221950186076042</v>
      </c>
      <c r="AB87" s="136">
        <f>IFERROR((R87+T87+V87+X87)/4, "NA")</f>
        <v>14161.359999999999</v>
      </c>
      <c r="AC87" s="137">
        <f>IFERROR(AB87/AB148, "NA")</f>
        <v>0.44202219153438682</v>
      </c>
      <c r="AD87" s="123">
        <f>IFERROR(X87-AB87, "NA")</f>
        <v>-1503.1099999999969</v>
      </c>
      <c r="AE87" s="124">
        <f>IFERROR(AD87/AD148, "NA")</f>
        <v>0.50731768233875496</v>
      </c>
      <c r="AF87" s="123">
        <f>IFERROR((X87-AB87)/AB87, "NA")</f>
        <v>-0.10614164176322027</v>
      </c>
      <c r="AG87" s="136">
        <f>IFERROR((J87+L87+N87+P87+R87+T87+V87+X87)/8, "NA")</f>
        <v>12890.308749999998</v>
      </c>
      <c r="AH87" s="137">
        <f>IFERROR(AG87/AG148, "NA")</f>
        <v>0.44882032327433213</v>
      </c>
      <c r="AI87" s="123">
        <f>IFERROR(X87-AG87, "NA")</f>
        <v>-232.05874999999651</v>
      </c>
      <c r="AJ87" s="124">
        <f>IFERROR(AI87/AI148, "NA")</f>
        <v>-0.65481409892383791</v>
      </c>
      <c r="AK87" s="123">
        <f>IFERROR((X87-AG87)/AG87, "NA")</f>
        <v>-1.8002574996506312E-2</v>
      </c>
      <c r="AL87" s="124">
        <f>IFERROR(AK87/AK148, "NA")</f>
        <v>-1.4589671299790858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88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89</v>
      </c>
      <c r="B90" s="115">
        <v>630.65000000000009</v>
      </c>
      <c r="C90" s="116">
        <f>IFERROR(B90/B148, "NA")</f>
        <v>2.7597062323019318E-2</v>
      </c>
      <c r="D90" s="115">
        <v>206.54</v>
      </c>
      <c r="E90" s="116">
        <f>IFERROR(D90/D148, "NA")</f>
        <v>7.6608570412267157E-3</v>
      </c>
      <c r="F90" s="115">
        <v>271.68</v>
      </c>
      <c r="G90" s="116">
        <f>IFERROR(F90/F148, "NA")</f>
        <v>1.1295765875627663E-2</v>
      </c>
      <c r="H90" s="115">
        <v>667.75000000000011</v>
      </c>
      <c r="I90" s="116">
        <f>IFERROR(H90/H148, "NA")</f>
        <v>2.66028013516733E-2</v>
      </c>
      <c r="J90" s="115">
        <v>598.43000000000006</v>
      </c>
      <c r="K90" s="116">
        <f>IFERROR(J90/J148, "NA")</f>
        <v>2.6476930741343448E-2</v>
      </c>
      <c r="L90" s="115">
        <v>601.27</v>
      </c>
      <c r="M90" s="116">
        <f>IFERROR(L90/L148, "NA")</f>
        <v>2.1531301800977534E-2</v>
      </c>
      <c r="N90" s="115">
        <v>699.28</v>
      </c>
      <c r="O90" s="116">
        <f>IFERROR(N90/N148, "NA")</f>
        <v>2.5288129463882106E-2</v>
      </c>
      <c r="P90" s="115">
        <v>564.68999999999994</v>
      </c>
      <c r="Q90" s="116">
        <f>IFERROR(P90/P148, "NA")</f>
        <v>2.409820051918523E-2</v>
      </c>
      <c r="R90" s="115">
        <v>523.63</v>
      </c>
      <c r="S90" s="116">
        <f>IFERROR(R90/R148, "NA")</f>
        <v>1.6633466230375558E-2</v>
      </c>
      <c r="T90" s="115">
        <v>444.74</v>
      </c>
      <c r="U90" s="116">
        <f>IFERROR(T90/T148, "NA")</f>
        <v>1.3535010281969745E-2</v>
      </c>
      <c r="V90" s="115">
        <v>314.64999999999998</v>
      </c>
      <c r="W90" s="116">
        <f>IFERROR(V90/V148, "NA")</f>
        <v>9.0581013943114019E-3</v>
      </c>
      <c r="X90" s="115">
        <v>614.55000000000007</v>
      </c>
      <c r="Y90" s="116">
        <f>IFERROR(X90/X148, "NA")</f>
        <v>2.1136853516841556E-2</v>
      </c>
      <c r="Z90" s="115">
        <v>1373.9400000000003</v>
      </c>
      <c r="AA90" s="116">
        <f>IFERROR(Z90/Z148, "NA")</f>
        <v>1.4212658797709658E-2</v>
      </c>
      <c r="AB90" s="117">
        <f t="shared" ref="AB90:AB99" si="36">IFERROR((R90+T90+V90+X90)/4, "NA")</f>
        <v>474.39250000000004</v>
      </c>
      <c r="AC90" s="116">
        <f>IFERROR(AB90/AB148, "NA")</f>
        <v>1.4807335771244896E-2</v>
      </c>
      <c r="AD90" s="118">
        <f t="shared" ref="AD90:AD99" si="37">IFERROR(X90-AB90, "NA")</f>
        <v>140.15750000000003</v>
      </c>
      <c r="AE90" s="119">
        <f>IFERROR(AD90/AD148, "NA")</f>
        <v>-4.7304840006649022E-2</v>
      </c>
      <c r="AF90" s="118">
        <f t="shared" ref="AF90:AF99" si="38">IFERROR((X90-AB90)/AB90, "NA")</f>
        <v>0.29544628129660572</v>
      </c>
      <c r="AG90" s="117">
        <f t="shared" ref="AG90:AG99" si="39">IFERROR((J90+L90+N90+P90+R90+T90+V90+X90)/8, "NA")</f>
        <v>545.15499999999997</v>
      </c>
      <c r="AH90" s="116">
        <f>IFERROR(AG90/AG148, "NA")</f>
        <v>1.8981441645811514E-2</v>
      </c>
      <c r="AI90" s="118">
        <f t="shared" ref="AI90:AI99" si="40">IFERROR(X90-AG90, "NA")</f>
        <v>69.395000000000095</v>
      </c>
      <c r="AJ90" s="119">
        <f>IFERROR(AI90/AI148, "NA")</f>
        <v>0.19581603535665204</v>
      </c>
      <c r="AK90" s="118">
        <f t="shared" ref="AK90:AK99" si="41">IFERROR((X90-AG90)/AG90, "NA")</f>
        <v>0.12729407232805368</v>
      </c>
      <c r="AL90" s="119">
        <f>IFERROR(AK90/AK148, "NA")</f>
        <v>10.316183512850365</v>
      </c>
    </row>
    <row r="91" spans="1:38" ht="16.5" hidden="1" customHeight="1" x14ac:dyDescent="0.25">
      <c r="A91" s="2" t="s">
        <v>90</v>
      </c>
      <c r="B91" s="115">
        <v>864.56</v>
      </c>
      <c r="C91" s="116">
        <f>IFERROR(B91/B148, "NA")</f>
        <v>3.7832896538475505E-2</v>
      </c>
      <c r="D91" s="115">
        <v>887.07000000000016</v>
      </c>
      <c r="E91" s="116">
        <f>IFERROR(D91/D148, "NA")</f>
        <v>3.2902665128115544E-2</v>
      </c>
      <c r="F91" s="115">
        <v>561.47</v>
      </c>
      <c r="G91" s="116">
        <f>IFERROR(F91/F148, "NA")</f>
        <v>2.3344499654699147E-2</v>
      </c>
      <c r="H91" s="115">
        <v>1084.8699999999999</v>
      </c>
      <c r="I91" s="116">
        <f>IFERROR(H91/H148, "NA")</f>
        <v>4.3220638116645158E-2</v>
      </c>
      <c r="J91" s="115">
        <v>1294</v>
      </c>
      <c r="K91" s="116">
        <f>IFERROR(J91/J148, "NA")</f>
        <v>5.7251722639738011E-2</v>
      </c>
      <c r="L91" s="115">
        <v>486.81</v>
      </c>
      <c r="M91" s="116">
        <f>IFERROR(L91/L148, "NA")</f>
        <v>1.7432522876135302E-2</v>
      </c>
      <c r="N91" s="115">
        <v>421.82</v>
      </c>
      <c r="O91" s="116">
        <f>IFERROR(N91/N148, "NA")</f>
        <v>1.5254316969532592E-2</v>
      </c>
      <c r="P91" s="115">
        <v>293.66000000000003</v>
      </c>
      <c r="Q91" s="116">
        <f>IFERROR(P91/P148, "NA")</f>
        <v>1.2531968982032505E-2</v>
      </c>
      <c r="R91" s="115">
        <v>420.78</v>
      </c>
      <c r="S91" s="116">
        <f>IFERROR(R91/R148, "NA")</f>
        <v>1.3366365411487934E-2</v>
      </c>
      <c r="T91" s="115">
        <v>429.21999999999997</v>
      </c>
      <c r="U91" s="116">
        <f>IFERROR(T91/T148, "NA")</f>
        <v>1.3062681821349672E-2</v>
      </c>
      <c r="V91" s="115">
        <v>537.59</v>
      </c>
      <c r="W91" s="116">
        <f>IFERROR(V91/V148, "NA")</f>
        <v>1.547606778505599E-2</v>
      </c>
      <c r="X91" s="115">
        <v>508.32</v>
      </c>
      <c r="Y91" s="116">
        <f>IFERROR(X91/X148, "NA")</f>
        <v>1.7483175298480022E-2</v>
      </c>
      <c r="Z91" s="115">
        <v>1475.13</v>
      </c>
      <c r="AA91" s="116">
        <f>IFERROR(Z91/Z148, "NA")</f>
        <v>1.5259414073587963E-2</v>
      </c>
      <c r="AB91" s="117">
        <f t="shared" si="36"/>
        <v>473.97750000000002</v>
      </c>
      <c r="AC91" s="116">
        <f>IFERROR(AB91/AB148, "NA")</f>
        <v>1.4794382268933905E-2</v>
      </c>
      <c r="AD91" s="118">
        <f t="shared" si="37"/>
        <v>34.342499999999973</v>
      </c>
      <c r="AE91" s="119">
        <f>IFERROR(AD91/AD148, "NA")</f>
        <v>-1.1591006317381107E-2</v>
      </c>
      <c r="AF91" s="118">
        <f t="shared" si="38"/>
        <v>7.2455971011282122E-2</v>
      </c>
      <c r="AG91" s="117">
        <f t="shared" si="39"/>
        <v>549.02499999999998</v>
      </c>
      <c r="AH91" s="116">
        <f>IFERROR(AG91/AG148, "NA")</f>
        <v>1.9116188973029077E-2</v>
      </c>
      <c r="AI91" s="118">
        <f t="shared" si="40"/>
        <v>-40.704999999999984</v>
      </c>
      <c r="AJ91" s="119">
        <f>IFERROR(AI91/AI148, "NA")</f>
        <v>-0.11485974089188714</v>
      </c>
      <c r="AK91" s="118">
        <f t="shared" si="41"/>
        <v>-7.4140521834160533E-2</v>
      </c>
      <c r="AL91" s="119">
        <f>IFERROR(AK91/AK148, "NA")</f>
        <v>-6.0085062484966061</v>
      </c>
    </row>
    <row r="92" spans="1:38" ht="16.5" hidden="1" customHeight="1" x14ac:dyDescent="0.25">
      <c r="A92" s="2" t="s">
        <v>91</v>
      </c>
      <c r="B92" s="115">
        <v>155.82</v>
      </c>
      <c r="C92" s="116">
        <f>IFERROR(B92/B148, "NA")</f>
        <v>6.8186383115402677E-3</v>
      </c>
      <c r="D92" s="115">
        <v>377.34999999999997</v>
      </c>
      <c r="E92" s="116">
        <f>IFERROR(D92/D148, "NA")</f>
        <v>1.3996438484104295E-2</v>
      </c>
      <c r="F92" s="115">
        <v>153.05000000000001</v>
      </c>
      <c r="G92" s="116">
        <f>IFERROR(F92/F148, "NA")</f>
        <v>6.3634311221466948E-3</v>
      </c>
      <c r="H92" s="115">
        <v>183.82</v>
      </c>
      <c r="I92" s="116">
        <f>IFERROR(H92/H148, "NA")</f>
        <v>7.3232900703325866E-3</v>
      </c>
      <c r="J92" s="115">
        <v>139.76</v>
      </c>
      <c r="K92" s="116">
        <f>IFERROR(J92/J148, "NA")</f>
        <v>6.1835399970091064E-3</v>
      </c>
      <c r="L92" s="115">
        <v>346.3</v>
      </c>
      <c r="M92" s="116">
        <f>IFERROR(L92/L148, "NA")</f>
        <v>1.2400901115436526E-2</v>
      </c>
      <c r="N92" s="115">
        <v>274.28999999999996</v>
      </c>
      <c r="O92" s="116">
        <f>IFERROR(N92/N148, "NA")</f>
        <v>9.919175481421209E-3</v>
      </c>
      <c r="P92" s="115">
        <v>287.53000000000003</v>
      </c>
      <c r="Q92" s="116">
        <f>IFERROR(P92/P148, "NA")</f>
        <v>1.2270370637484868E-2</v>
      </c>
      <c r="R92" s="115">
        <v>449.12</v>
      </c>
      <c r="S92" s="116">
        <f>IFERROR(R92/R148, "NA")</f>
        <v>1.4266604956527072E-2</v>
      </c>
      <c r="T92" s="115">
        <v>14.9</v>
      </c>
      <c r="U92" s="116">
        <f>IFERROR(T92/T148, "NA")</f>
        <v>4.5345966902313531E-4</v>
      </c>
      <c r="V92" s="115">
        <v>10.43</v>
      </c>
      <c r="W92" s="116">
        <f>IFERROR(V92/V148, "NA")</f>
        <v>3.0025742107951035E-4</v>
      </c>
      <c r="X92" s="115">
        <v>14.9</v>
      </c>
      <c r="Y92" s="116">
        <f>IFERROR(X92/X148, "NA")</f>
        <v>5.1247110471229213E-4</v>
      </c>
      <c r="Z92" s="115">
        <v>40.229999999999997</v>
      </c>
      <c r="AA92" s="116">
        <f>IFERROR(Z92/Z148, "NA")</f>
        <v>4.1615737472659606E-4</v>
      </c>
      <c r="AB92" s="117">
        <f t="shared" si="36"/>
        <v>122.33749999999999</v>
      </c>
      <c r="AC92" s="116">
        <f>IFERROR(AB92/AB148, "NA")</f>
        <v>3.8185520216164298E-3</v>
      </c>
      <c r="AD92" s="118">
        <f t="shared" si="37"/>
        <v>-107.43749999999999</v>
      </c>
      <c r="AE92" s="119">
        <f>IFERROR(AD92/AD148, "NA")</f>
        <v>3.6261446930876712E-2</v>
      </c>
      <c r="AF92" s="118">
        <f t="shared" si="38"/>
        <v>-0.87820578318177167</v>
      </c>
      <c r="AG92" s="117">
        <f t="shared" si="39"/>
        <v>192.15375000000003</v>
      </c>
      <c r="AH92" s="116">
        <f>IFERROR(AG92/AG148, "NA")</f>
        <v>6.6904920484061508E-3</v>
      </c>
      <c r="AI92" s="118">
        <f t="shared" si="40"/>
        <v>-177.25375000000003</v>
      </c>
      <c r="AJ92" s="119">
        <f>IFERROR(AI92/AI148, "NA")</f>
        <v>-0.50016754200013147</v>
      </c>
      <c r="AK92" s="118">
        <f t="shared" si="41"/>
        <v>-0.92245792757102063</v>
      </c>
      <c r="AL92" s="119">
        <f>IFERROR(AK92/AK148, "NA")</f>
        <v>-74.757960757054391</v>
      </c>
    </row>
    <row r="93" spans="1:38" ht="16.5" hidden="1" customHeight="1" x14ac:dyDescent="0.25">
      <c r="A93" s="2" t="s">
        <v>92</v>
      </c>
      <c r="B93" s="115">
        <v>1688.7200000000003</v>
      </c>
      <c r="C93" s="116">
        <f>IFERROR(B93/B148, "NA")</f>
        <v>7.3897900715340026E-2</v>
      </c>
      <c r="D93" s="115">
        <v>2494.86</v>
      </c>
      <c r="E93" s="116">
        <f>IFERROR(D93/D148, "NA")</f>
        <v>9.2537841570034307E-2</v>
      </c>
      <c r="F93" s="115">
        <v>1622.19</v>
      </c>
      <c r="G93" s="116">
        <f>IFERROR(F93/F148, "NA")</f>
        <v>6.744654904955992E-2</v>
      </c>
      <c r="H93" s="115">
        <v>1946.97</v>
      </c>
      <c r="I93" s="116">
        <f>IFERROR(H93/H148, "NA")</f>
        <v>7.7566239082991179E-2</v>
      </c>
      <c r="J93" s="115">
        <v>1734.57</v>
      </c>
      <c r="K93" s="116">
        <f>IFERROR(J93/J148, "NA")</f>
        <v>7.6744297170950812E-2</v>
      </c>
      <c r="L93" s="115">
        <v>1829.4400000000003</v>
      </c>
      <c r="M93" s="116">
        <f>IFERROR(L93/L148, "NA")</f>
        <v>6.5511708162356921E-2</v>
      </c>
      <c r="N93" s="115">
        <v>1997.86</v>
      </c>
      <c r="O93" s="116">
        <f>IFERROR(N93/N148, "NA")</f>
        <v>7.2248802097459541E-2</v>
      </c>
      <c r="P93" s="115">
        <v>1473.13</v>
      </c>
      <c r="Q93" s="116">
        <f>IFERROR(P93/P148, "NA")</f>
        <v>6.2865965628623385E-2</v>
      </c>
      <c r="R93" s="115">
        <v>3685.71</v>
      </c>
      <c r="S93" s="116">
        <f>IFERROR(R93/R148, "NA")</f>
        <v>0.11707910704115022</v>
      </c>
      <c r="T93" s="115">
        <v>2481.66</v>
      </c>
      <c r="U93" s="116">
        <f>IFERROR(T93/T148, "NA")</f>
        <v>7.5525686055567379E-2</v>
      </c>
      <c r="V93" s="115">
        <v>4375.84</v>
      </c>
      <c r="W93" s="116">
        <f>IFERROR(V93/V148, "NA")</f>
        <v>0.12597108662095538</v>
      </c>
      <c r="X93" s="115">
        <v>2088.67</v>
      </c>
      <c r="Y93" s="116">
        <f>IFERROR(X93/X148, "NA")</f>
        <v>7.1837786730162639E-2</v>
      </c>
      <c r="Z93" s="115">
        <v>8946.17</v>
      </c>
      <c r="AA93" s="116">
        <f>IFERROR(Z93/Z148, "NA")</f>
        <v>9.2543241885603575E-2</v>
      </c>
      <c r="AB93" s="117">
        <f t="shared" si="36"/>
        <v>3157.97</v>
      </c>
      <c r="AC93" s="116">
        <f>IFERROR(AB93/AB148, "NA")</f>
        <v>9.8570534200094304E-2</v>
      </c>
      <c r="AD93" s="118">
        <f t="shared" si="37"/>
        <v>-1069.2999999999997</v>
      </c>
      <c r="AE93" s="119">
        <f>IFERROR(AD93/AD148, "NA")</f>
        <v>0.36090159584117709</v>
      </c>
      <c r="AF93" s="118">
        <f t="shared" si="38"/>
        <v>-0.33860359661428063</v>
      </c>
      <c r="AG93" s="117">
        <f t="shared" si="39"/>
        <v>2458.3599999999997</v>
      </c>
      <c r="AH93" s="116">
        <f>IFERROR(AG93/AG148, "NA")</f>
        <v>8.559623755518557E-2</v>
      </c>
      <c r="AI93" s="118">
        <f t="shared" si="40"/>
        <v>-369.6899999999996</v>
      </c>
      <c r="AJ93" s="119">
        <f>IFERROR(AI93/AI148, "NA")</f>
        <v>-1.0431764552345344</v>
      </c>
      <c r="AK93" s="118">
        <f t="shared" si="41"/>
        <v>-0.15038074163263299</v>
      </c>
      <c r="AL93" s="119">
        <f>IFERROR(AK93/AK148, "NA")</f>
        <v>-12.187176504831513</v>
      </c>
    </row>
    <row r="94" spans="1:38" ht="16.5" hidden="1" customHeight="1" x14ac:dyDescent="0.25">
      <c r="A94" s="2" t="s">
        <v>93</v>
      </c>
      <c r="B94" s="115">
        <v>478.17</v>
      </c>
      <c r="C94" s="116">
        <f>IFERROR(B94/B148, "NA")</f>
        <v>2.0924581449295404E-2</v>
      </c>
      <c r="D94" s="115">
        <v>753.05</v>
      </c>
      <c r="E94" s="116">
        <f>IFERROR(D94/D148, "NA")</f>
        <v>2.7931676163918749E-2</v>
      </c>
      <c r="F94" s="115">
        <v>497.17</v>
      </c>
      <c r="G94" s="116">
        <f>IFERROR(F94/F148, "NA")</f>
        <v>2.0671068611549638E-2</v>
      </c>
      <c r="H94" s="115">
        <v>737.94</v>
      </c>
      <c r="I94" s="116">
        <f>IFERROR(H94/H148, "NA")</f>
        <v>2.9399133252645142E-2</v>
      </c>
      <c r="J94" s="115">
        <v>693.27</v>
      </c>
      <c r="K94" s="116">
        <f>IFERROR(J94/J148, "NA")</f>
        <v>3.0673030722141552E-2</v>
      </c>
      <c r="L94" s="115">
        <v>682.56</v>
      </c>
      <c r="M94" s="116">
        <f>IFERROR(L94/L148, "NA")</f>
        <v>2.4442272784731028E-2</v>
      </c>
      <c r="N94" s="115">
        <v>686.77</v>
      </c>
      <c r="O94" s="116">
        <f>IFERROR(N94/N148, "NA")</f>
        <v>2.4835729138414246E-2</v>
      </c>
      <c r="P94" s="115">
        <v>718.6</v>
      </c>
      <c r="Q94" s="116">
        <f>IFERROR(P94/P148, "NA")</f>
        <v>3.0666324696889458E-2</v>
      </c>
      <c r="R94" s="115">
        <v>747.94</v>
      </c>
      <c r="S94" s="116">
        <f>IFERROR(R94/R148, "NA")</f>
        <v>2.3758827287105579E-2</v>
      </c>
      <c r="T94" s="115">
        <v>587.59</v>
      </c>
      <c r="U94" s="116">
        <f>IFERROR(T94/T148, "NA")</f>
        <v>1.7882440732973428E-2</v>
      </c>
      <c r="V94" s="115">
        <v>772.48</v>
      </c>
      <c r="W94" s="116">
        <f>IFERROR(V94/V148, "NA")</f>
        <v>2.2238049150095893E-2</v>
      </c>
      <c r="X94" s="115">
        <v>703.38</v>
      </c>
      <c r="Y94" s="116">
        <f>IFERROR(X94/X148, "NA")</f>
        <v>2.4192075545807521E-2</v>
      </c>
      <c r="Z94" s="115">
        <v>2063.4499999999998</v>
      </c>
      <c r="AA94" s="116">
        <f>IFERROR(Z94/Z148, "NA")</f>
        <v>2.1345263109112469E-2</v>
      </c>
      <c r="AB94" s="117">
        <f t="shared" si="36"/>
        <v>702.84750000000008</v>
      </c>
      <c r="AC94" s="116">
        <f>IFERROR(AB94/AB148, "NA")</f>
        <v>2.1938160760298798E-2</v>
      </c>
      <c r="AD94" s="118">
        <f t="shared" si="37"/>
        <v>0.5324999999999136</v>
      </c>
      <c r="AE94" s="119">
        <f>IFERROR(AD94/AD148, "NA")</f>
        <v>-1.7972514709192525E-4</v>
      </c>
      <c r="AF94" s="118">
        <f t="shared" si="38"/>
        <v>7.5763234556559356E-4</v>
      </c>
      <c r="AG94" s="117">
        <f t="shared" si="39"/>
        <v>699.0737499999999</v>
      </c>
      <c r="AH94" s="116">
        <f>IFERROR(AG94/AG148, "NA")</f>
        <v>2.4340650992366621E-2</v>
      </c>
      <c r="AI94" s="118">
        <f t="shared" si="40"/>
        <v>4.3062500000000909</v>
      </c>
      <c r="AJ94" s="119">
        <f>IFERROR(AI94/AI148, "NA")</f>
        <v>1.2151204009721155E-2</v>
      </c>
      <c r="AK94" s="118">
        <f t="shared" si="41"/>
        <v>6.1599366304343301E-3</v>
      </c>
      <c r="AL94" s="119">
        <f>IFERROR(AK94/AK148, "NA")</f>
        <v>0.49921442173144204</v>
      </c>
    </row>
    <row r="95" spans="1:38" ht="16.5" hidden="1" customHeight="1" x14ac:dyDescent="0.25">
      <c r="A95" s="2" t="s">
        <v>94</v>
      </c>
      <c r="B95" s="115">
        <v>0</v>
      </c>
      <c r="C95" s="116">
        <f>IFERROR(B95/B148, "NA")</f>
        <v>0</v>
      </c>
      <c r="D95" s="115">
        <v>0</v>
      </c>
      <c r="E95" s="116">
        <f>IFERROR(D95/D148, "NA")</f>
        <v>0</v>
      </c>
      <c r="F95" s="115">
        <v>0</v>
      </c>
      <c r="G95" s="116">
        <f>IFERROR(F95/F148, "NA")</f>
        <v>0</v>
      </c>
      <c r="H95" s="115">
        <v>572.02</v>
      </c>
      <c r="I95" s="116">
        <f>IFERROR(H95/H148, "NA")</f>
        <v>2.2788969568227867E-2</v>
      </c>
      <c r="J95" s="115">
        <v>0</v>
      </c>
      <c r="K95" s="116">
        <f>IFERROR(J95/J148, "NA")</f>
        <v>0</v>
      </c>
      <c r="L95" s="115">
        <v>0</v>
      </c>
      <c r="M95" s="116">
        <f>IFERROR(L95/L148, "NA")</f>
        <v>0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572.02</v>
      </c>
      <c r="S95" s="116">
        <f>IFERROR(R95/R148, "NA")</f>
        <v>1.8170607782402509E-2</v>
      </c>
      <c r="T95" s="115">
        <v>0</v>
      </c>
      <c r="U95" s="116">
        <f>IFERROR(T95/T148, "NA")</f>
        <v>0</v>
      </c>
      <c r="V95" s="115">
        <v>0</v>
      </c>
      <c r="W95" s="116">
        <f>IFERROR(V95/V148, "NA")</f>
        <v>0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143.005</v>
      </c>
      <c r="AC95" s="116">
        <f>IFERROR(AB95/AB148, "NA")</f>
        <v>4.4636520433330544E-3</v>
      </c>
      <c r="AD95" s="118">
        <f t="shared" si="37"/>
        <v>-143.005</v>
      </c>
      <c r="AE95" s="119">
        <f>IFERROR(AD95/AD148, "NA")</f>
        <v>4.8265905464572656E-2</v>
      </c>
      <c r="AF95" s="118">
        <f t="shared" si="38"/>
        <v>-1</v>
      </c>
      <c r="AG95" s="117">
        <f t="shared" si="39"/>
        <v>71.502499999999998</v>
      </c>
      <c r="AH95" s="116">
        <f>IFERROR(AG95/AG148, "NA")</f>
        <v>2.4896048486754002E-3</v>
      </c>
      <c r="AI95" s="118">
        <f t="shared" si="40"/>
        <v>-71.502499999999998</v>
      </c>
      <c r="AJ95" s="119">
        <f>IFERROR(AI95/AI148, "NA")</f>
        <v>-0.20176289456140922</v>
      </c>
      <c r="AK95" s="118">
        <f t="shared" si="41"/>
        <v>-1</v>
      </c>
      <c r="AL95" s="119">
        <f>IFERROR(AK95/AK148, "NA")</f>
        <v>-81.042135931233275</v>
      </c>
    </row>
    <row r="96" spans="1:38" ht="16.5" hidden="1" customHeight="1" x14ac:dyDescent="0.25">
      <c r="A96" s="2" t="s">
        <v>95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0</v>
      </c>
      <c r="Y96" s="116">
        <f>IFERROR(X96/X148, "NA")</f>
        <v>0</v>
      </c>
      <c r="Z96" s="115">
        <v>0</v>
      </c>
      <c r="AA96" s="116">
        <f>IFERROR(Z96/Z148, "NA")</f>
        <v>0</v>
      </c>
      <c r="AB96" s="117">
        <f t="shared" si="36"/>
        <v>0</v>
      </c>
      <c r="AC96" s="116">
        <f>IFERROR(AB96/AB148, "NA")</f>
        <v>0</v>
      </c>
      <c r="AD96" s="118">
        <f t="shared" si="37"/>
        <v>0</v>
      </c>
      <c r="AE96" s="119">
        <f>IFERROR(AD96/AD148, "NA")</f>
        <v>0</v>
      </c>
      <c r="AF96" s="118" t="str">
        <f t="shared" si="38"/>
        <v>NA</v>
      </c>
      <c r="AG96" s="117">
        <f t="shared" si="39"/>
        <v>0</v>
      </c>
      <c r="AH96" s="116">
        <f>IFERROR(AG96/AG148, "NA")</f>
        <v>0</v>
      </c>
      <c r="AI96" s="118">
        <f t="shared" si="40"/>
        <v>0</v>
      </c>
      <c r="AJ96" s="119">
        <f>IFERROR(AI96/AI148, "NA")</f>
        <v>0</v>
      </c>
      <c r="AK96" s="118" t="str">
        <f t="shared" si="41"/>
        <v>NA</v>
      </c>
      <c r="AL96" s="119" t="str">
        <f>IFERROR(AK96/AK148, "NA")</f>
        <v>NA</v>
      </c>
    </row>
    <row r="97" spans="1:38" ht="16.5" hidden="1" customHeight="1" x14ac:dyDescent="0.25">
      <c r="A97" s="2" t="s">
        <v>96</v>
      </c>
      <c r="B97" s="115">
        <v>27.08</v>
      </c>
      <c r="C97" s="116">
        <f>IFERROR(B97/B148, "NA")</f>
        <v>1.1850129988224261E-3</v>
      </c>
      <c r="D97" s="115">
        <v>0</v>
      </c>
      <c r="E97" s="116">
        <f>IFERROR(D97/D148, "NA")</f>
        <v>0</v>
      </c>
      <c r="F97" s="115">
        <v>250.05</v>
      </c>
      <c r="G97" s="116">
        <f>IFERROR(F97/F148, "NA")</f>
        <v>1.0396445292994322E-2</v>
      </c>
      <c r="H97" s="115">
        <v>532.96</v>
      </c>
      <c r="I97" s="116">
        <f>IFERROR(H97/H148, "NA")</f>
        <v>2.123284014734227E-2</v>
      </c>
      <c r="J97" s="115">
        <v>0</v>
      </c>
      <c r="K97" s="116">
        <f>IFERROR(J97/J148, "NA")</f>
        <v>0</v>
      </c>
      <c r="L97" s="115">
        <v>0</v>
      </c>
      <c r="M97" s="116">
        <f>IFERROR(L97/L148, "NA")</f>
        <v>0</v>
      </c>
      <c r="N97" s="115">
        <v>0</v>
      </c>
      <c r="O97" s="116">
        <f>IFERROR(N97/N148, "NA")</f>
        <v>0</v>
      </c>
      <c r="P97" s="115">
        <v>2023.6299999999999</v>
      </c>
      <c r="Q97" s="116">
        <f>IFERROR(P97/P148, "NA")</f>
        <v>8.6358606521522968E-2</v>
      </c>
      <c r="R97" s="115">
        <v>458.3</v>
      </c>
      <c r="S97" s="116">
        <f>IFERROR(R97/R148, "NA")</f>
        <v>1.4558213955237702E-2</v>
      </c>
      <c r="T97" s="115">
        <v>0</v>
      </c>
      <c r="U97" s="116">
        <f>IFERROR(T97/T148, "NA")</f>
        <v>0</v>
      </c>
      <c r="V97" s="115">
        <v>0</v>
      </c>
      <c r="W97" s="116">
        <f>IFERROR(V97/V148, "NA")</f>
        <v>0</v>
      </c>
      <c r="X97" s="115">
        <v>0</v>
      </c>
      <c r="Y97" s="116">
        <f>IFERROR(X97/X148, "NA")</f>
        <v>0</v>
      </c>
      <c r="Z97" s="115">
        <v>0</v>
      </c>
      <c r="AA97" s="116">
        <f>IFERROR(Z97/Z148, "NA")</f>
        <v>0</v>
      </c>
      <c r="AB97" s="117">
        <f t="shared" si="36"/>
        <v>114.575</v>
      </c>
      <c r="AC97" s="116">
        <f>IFERROR(AB97/AB148, "NA")</f>
        <v>3.5762591018837437E-3</v>
      </c>
      <c r="AD97" s="118">
        <f t="shared" si="37"/>
        <v>-114.575</v>
      </c>
      <c r="AE97" s="119">
        <f>IFERROR(AD97/AD148, "NA")</f>
        <v>3.8670438925935545E-2</v>
      </c>
      <c r="AF97" s="118">
        <f t="shared" si="38"/>
        <v>-1</v>
      </c>
      <c r="AG97" s="117">
        <f t="shared" si="39"/>
        <v>310.24124999999998</v>
      </c>
      <c r="AH97" s="116">
        <f>IFERROR(AG97/AG148, "NA")</f>
        <v>1.0802113496159112E-2</v>
      </c>
      <c r="AI97" s="118">
        <f t="shared" si="40"/>
        <v>-310.24124999999998</v>
      </c>
      <c r="AJ97" s="119">
        <f>IFERROR(AI97/AI148, "NA")</f>
        <v>-0.87542635030033633</v>
      </c>
      <c r="AK97" s="118">
        <f t="shared" si="41"/>
        <v>-1</v>
      </c>
      <c r="AL97" s="119">
        <f>IFERROR(AK97/AK148, "NA")</f>
        <v>-81.042135931233275</v>
      </c>
    </row>
    <row r="98" spans="1:38" ht="16.5" hidden="1" customHeight="1" x14ac:dyDescent="0.25">
      <c r="A98" s="2" t="s">
        <v>97</v>
      </c>
      <c r="B98" s="115">
        <v>495.82000000000005</v>
      </c>
      <c r="C98" s="116">
        <f>IFERROR(B98/B148, "NA")</f>
        <v>2.1696940364702193E-2</v>
      </c>
      <c r="D98" s="115">
        <v>312.16999999999996</v>
      </c>
      <c r="E98" s="116">
        <f>IFERROR(D98/D148, "NA")</f>
        <v>1.1578821257672817E-2</v>
      </c>
      <c r="F98" s="115">
        <v>3016.5400000000004</v>
      </c>
      <c r="G98" s="116">
        <f>IFERROR(F98/F148, "NA")</f>
        <v>0.1254200883188526</v>
      </c>
      <c r="H98" s="115">
        <v>1363.3</v>
      </c>
      <c r="I98" s="116">
        <f>IFERROR(H98/H148, "NA")</f>
        <v>5.4313139771974842E-2</v>
      </c>
      <c r="J98" s="115">
        <v>530.82999999999993</v>
      </c>
      <c r="K98" s="116">
        <f>IFERROR(J98/J148, "NA")</f>
        <v>2.3486037039298396E-2</v>
      </c>
      <c r="L98" s="115">
        <v>1045.24</v>
      </c>
      <c r="M98" s="116">
        <f>IFERROR(L98/L148, "NA")</f>
        <v>3.7429736881024758E-2</v>
      </c>
      <c r="N98" s="115">
        <v>1077.8499999999999</v>
      </c>
      <c r="O98" s="116">
        <f>IFERROR(N98/N148, "NA")</f>
        <v>3.8978392550402315E-2</v>
      </c>
      <c r="P98" s="115">
        <v>2597.3399999999997</v>
      </c>
      <c r="Q98" s="116">
        <f>IFERROR(P98/P148, "NA")</f>
        <v>0.11084173641555643</v>
      </c>
      <c r="R98" s="115">
        <v>2317.7299999999996</v>
      </c>
      <c r="S98" s="116">
        <f>IFERROR(R98/R148, "NA")</f>
        <v>7.3624283723484771E-2</v>
      </c>
      <c r="T98" s="115">
        <v>644.42000000000007</v>
      </c>
      <c r="U98" s="116">
        <f>IFERROR(T98/T148, "NA")</f>
        <v>1.9611978517576435E-2</v>
      </c>
      <c r="V98" s="115">
        <v>50.1</v>
      </c>
      <c r="W98" s="116">
        <f>IFERROR(V98/V148, "NA")</f>
        <v>1.4422719842841294E-3</v>
      </c>
      <c r="X98" s="115">
        <v>641.15</v>
      </c>
      <c r="Y98" s="116">
        <f>IFERROR(X98/X148, "NA")</f>
        <v>2.2051734817871552E-2</v>
      </c>
      <c r="Z98" s="115">
        <v>1335.67</v>
      </c>
      <c r="AA98" s="116">
        <f>IFERROR(Z98/Z148, "NA")</f>
        <v>1.3816776552350798E-2</v>
      </c>
      <c r="AB98" s="117">
        <f t="shared" si="36"/>
        <v>913.34999999999991</v>
      </c>
      <c r="AC98" s="116">
        <f>IFERROR(AB98/AB148, "NA")</f>
        <v>2.8508629724682669E-2</v>
      </c>
      <c r="AD98" s="118">
        <f t="shared" si="37"/>
        <v>-272.19999999999993</v>
      </c>
      <c r="AE98" s="119">
        <f>IFERROR(AD98/AD148, "NA")</f>
        <v>9.1870770025220622E-2</v>
      </c>
      <c r="AF98" s="118">
        <f t="shared" si="38"/>
        <v>-0.29802375869053482</v>
      </c>
      <c r="AG98" s="117">
        <f t="shared" si="39"/>
        <v>1113.0825</v>
      </c>
      <c r="AH98" s="116">
        <f>IFERROR(AG98/AG148, "NA")</f>
        <v>3.8755786007142912E-2</v>
      </c>
      <c r="AI98" s="118">
        <f t="shared" si="40"/>
        <v>-471.9325</v>
      </c>
      <c r="AJ98" s="119">
        <f>IFERROR(AI98/AI148, "NA")</f>
        <v>-1.331680252265337</v>
      </c>
      <c r="AK98" s="118">
        <f t="shared" si="41"/>
        <v>-0.4239869910810744</v>
      </c>
      <c r="AL98" s="119">
        <f>IFERROR(AK98/AK148, "NA")</f>
        <v>-34.360811364267022</v>
      </c>
    </row>
    <row r="99" spans="1:38" ht="16.5" hidden="1" customHeight="1" x14ac:dyDescent="0.25">
      <c r="A99" s="120" t="s">
        <v>98</v>
      </c>
      <c r="B99" s="121">
        <f>IFERROR(B90+B91+B92+B93+B94+B95+B96+B97+B98, "NA")</f>
        <v>4340.82</v>
      </c>
      <c r="C99" s="122">
        <f>IFERROR(B99/B148, "NA")</f>
        <v>0.18995303270119512</v>
      </c>
      <c r="D99" s="121">
        <f>IFERROR(D90+D91+D92+D93+D94+D95+D96+D97+D98, "NA")</f>
        <v>5031.04</v>
      </c>
      <c r="E99" s="122">
        <f>IFERROR(D99/D148, "NA")</f>
        <v>0.18660829964507242</v>
      </c>
      <c r="F99" s="121">
        <f>IFERROR(F90+F91+F92+F93+F94+F95+F96+F97+F98, "NA")</f>
        <v>6372.1500000000015</v>
      </c>
      <c r="G99" s="122">
        <f>IFERROR(F99/F148, "NA")</f>
        <v>0.26493784792543001</v>
      </c>
      <c r="H99" s="121">
        <f>IFERROR(H90+H91+H92+H93+H94+H95+H96+H97+H98, "NA")</f>
        <v>7089.630000000001</v>
      </c>
      <c r="I99" s="122">
        <f>IFERROR(H99/H148, "NA")</f>
        <v>0.2824470513618324</v>
      </c>
      <c r="J99" s="121">
        <f>IFERROR(J90+J91+J92+J93+J94+J95+J96+J97+J98, "NA")</f>
        <v>4990.8600000000006</v>
      </c>
      <c r="K99" s="122">
        <f>IFERROR(J99/J148, "NA")</f>
        <v>0.22081555831048136</v>
      </c>
      <c r="L99" s="121">
        <f>IFERROR(L90+L91+L92+L93+L94+L95+L96+L97+L98, "NA")</f>
        <v>4991.62</v>
      </c>
      <c r="M99" s="122">
        <f>IFERROR(L99/L148, "NA")</f>
        <v>0.17874844362066206</v>
      </c>
      <c r="N99" s="121">
        <f>IFERROR(N90+N91+N92+N93+N94+N95+N96+N97+N98, "NA")</f>
        <v>5157.87</v>
      </c>
      <c r="O99" s="122">
        <f>IFERROR(N99/N148, "NA")</f>
        <v>0.18652454570111202</v>
      </c>
      <c r="P99" s="121">
        <f>IFERROR(P90+P91+P92+P93+P94+P95+P96+P97+P98, "NA")</f>
        <v>7958.58</v>
      </c>
      <c r="Q99" s="122">
        <f>IFERROR(P99/P148, "NA")</f>
        <v>0.33963317340129484</v>
      </c>
      <c r="R99" s="121">
        <f>IFERROR(R90+R91+R92+R93+R94+R95+R96+R97+R98, "NA")</f>
        <v>9175.23</v>
      </c>
      <c r="S99" s="122">
        <f>IFERROR(R99/R148, "NA")</f>
        <v>0.29145747638777136</v>
      </c>
      <c r="T99" s="121">
        <f>IFERROR(T90+T91+T92+T93+T94+T95+T96+T97+T98, "NA")</f>
        <v>4602.5300000000007</v>
      </c>
      <c r="U99" s="122">
        <f>IFERROR(T99/T148, "NA")</f>
        <v>0.1400712570784598</v>
      </c>
      <c r="V99" s="121">
        <f>IFERROR(V90+V91+V92+V93+V94+V95+V96+V97+V98, "NA")</f>
        <v>6061.09</v>
      </c>
      <c r="W99" s="122">
        <f>IFERROR(V99/V148, "NA")</f>
        <v>0.1744858343557823</v>
      </c>
      <c r="X99" s="121">
        <f>IFERROR(X90+X91+X92+X93+X94+X95+X96+X97+X98, "NA")</f>
        <v>4570.97</v>
      </c>
      <c r="Y99" s="122">
        <f>IFERROR(X99/X148, "NA")</f>
        <v>0.15721409701387559</v>
      </c>
      <c r="Z99" s="121">
        <f>IFERROR(Z90+Z91+Z92+Z93+Z94+Z95+Z96+Z97+Z98, "NA")</f>
        <v>15234.590000000002</v>
      </c>
      <c r="AA99" s="122">
        <f>IFERROR(Z99/Z148, "NA")</f>
        <v>0.15759351179309108</v>
      </c>
      <c r="AB99" s="121">
        <f t="shared" si="36"/>
        <v>6102.4549999999999</v>
      </c>
      <c r="AC99" s="122">
        <f>IFERROR(AB99/AB148, "NA")</f>
        <v>0.19047750589208781</v>
      </c>
      <c r="AD99" s="123">
        <f t="shared" si="37"/>
        <v>-1531.4849999999997</v>
      </c>
      <c r="AE99" s="124">
        <f>IFERROR(AD99/AD148, "NA")</f>
        <v>0.51689458571666058</v>
      </c>
      <c r="AF99" s="123">
        <f t="shared" si="38"/>
        <v>-0.25096211278903324</v>
      </c>
      <c r="AG99" s="121">
        <f t="shared" si="39"/>
        <v>5938.59375</v>
      </c>
      <c r="AH99" s="122">
        <f>IFERROR(AG99/AG148, "NA")</f>
        <v>0.20677251556677637</v>
      </c>
      <c r="AI99" s="123">
        <f t="shared" si="40"/>
        <v>-1367.6237499999997</v>
      </c>
      <c r="AJ99" s="124">
        <f>IFERROR(AI99/AI148, "NA")</f>
        <v>-3.8591059958872633</v>
      </c>
      <c r="AK99" s="123">
        <f t="shared" si="41"/>
        <v>-0.23029420896150704</v>
      </c>
      <c r="AL99" s="124">
        <f>IFERROR(AK99/AK148, "NA")</f>
        <v>-18.663534586834295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99</v>
      </c>
      <c r="B101" s="136">
        <f>IFERROR(B87-B99, "NA")</f>
        <v>3402.029999999997</v>
      </c>
      <c r="C101" s="137">
        <f>IFERROR(B101/B148, "NA")</f>
        <v>0.14887185274681886</v>
      </c>
      <c r="D101" s="136">
        <f>IFERROR(D87-D99, "NA")</f>
        <v>8406.16</v>
      </c>
      <c r="E101" s="137">
        <f>IFERROR(D101/D148, "NA")</f>
        <v>0.31179621393278961</v>
      </c>
      <c r="F101" s="136">
        <f>IFERROR(F87-F99, "NA")</f>
        <v>2640.2299999999977</v>
      </c>
      <c r="G101" s="137">
        <f>IFERROR(F101/F148, "NA")</f>
        <v>0.10977407220924765</v>
      </c>
      <c r="H101" s="136">
        <f>IFERROR(H87-H99, "NA")</f>
        <v>4506.5599999999977</v>
      </c>
      <c r="I101" s="137">
        <f>IFERROR(H101/H148, "NA")</f>
        <v>0.17953892992796217</v>
      </c>
      <c r="J101" s="136">
        <f>IFERROR(J87-J99, "NA")</f>
        <v>5187.4700000000012</v>
      </c>
      <c r="K101" s="137">
        <f>IFERROR(J101/J148, "NA")</f>
        <v>0.22951436912052689</v>
      </c>
      <c r="L101" s="136">
        <f>IFERROR(L87-L99, "NA")</f>
        <v>8516.66</v>
      </c>
      <c r="M101" s="137">
        <f>IFERROR(L101/L148, "NA")</f>
        <v>0.3049790889223033</v>
      </c>
      <c r="N101" s="136">
        <f>IFERROR(N87-N99, "NA")</f>
        <v>7960.0499999999984</v>
      </c>
      <c r="O101" s="137">
        <f>IFERROR(N101/N148, "NA")</f>
        <v>0.28786004882017896</v>
      </c>
      <c r="P101" s="136">
        <f>IFERROR(P87-P99, "NA")</f>
        <v>1713.9199999999964</v>
      </c>
      <c r="Q101" s="137">
        <f>IFERROR(P101/P148, "NA")</f>
        <v>7.3141702232803599E-2</v>
      </c>
      <c r="R101" s="136">
        <f>IFERROR(R87-R99, "NA")</f>
        <v>4720.7799999999897</v>
      </c>
      <c r="S101" s="137">
        <f>IFERROR(R101/R148, "NA")</f>
        <v>0.14995881578792689</v>
      </c>
      <c r="T101" s="136">
        <f>IFERROR(T87-T99, "NA")</f>
        <v>9595.6700000000037</v>
      </c>
      <c r="U101" s="137">
        <f>IFERROR(T101/T148, "NA")</f>
        <v>0.29203015719833758</v>
      </c>
      <c r="V101" s="136">
        <f>IFERROR(V87-V99, "NA")</f>
        <v>9831.8900000000012</v>
      </c>
      <c r="W101" s="137">
        <f>IFERROR(V101/V148, "NA")</f>
        <v>0.28303911176773033</v>
      </c>
      <c r="X101" s="136">
        <f>IFERROR(X87-X99, "NA")</f>
        <v>8087.2800000000016</v>
      </c>
      <c r="Y101" s="137">
        <f>IFERROR(X101/X148, "NA")</f>
        <v>0.27815418226292798</v>
      </c>
      <c r="Z101" s="136">
        <f>IFERROR(Z87-Z99, "NA")</f>
        <v>27514.840000000004</v>
      </c>
      <c r="AA101" s="137">
        <f>IFERROR(Z101/Z148, "NA")</f>
        <v>0.28462599006766931</v>
      </c>
      <c r="AB101" s="136">
        <f>IFERROR((R101+T101+V101+X101)/4, "NA")</f>
        <v>8058.9049999999997</v>
      </c>
      <c r="AC101" s="137">
        <f>IFERROR(AB101/AB148, "NA")</f>
        <v>0.25154468564229904</v>
      </c>
      <c r="AD101" s="123">
        <f>IFERROR(X101-AB101, "NA")</f>
        <v>28.375000000001819</v>
      </c>
      <c r="AE101" s="124">
        <f>IFERROR(AD101/AD148, "NA")</f>
        <v>-9.5769033779052274E-3</v>
      </c>
      <c r="AF101" s="123">
        <f>IFERROR((X101-AB101)/AB101, "NA")</f>
        <v>3.5209498064565619E-3</v>
      </c>
      <c r="AG101" s="136">
        <f>IFERROR((J101+L101+N101+P101+R101+T101+V101+X101)/8, "NA")</f>
        <v>6951.7149999999992</v>
      </c>
      <c r="AH101" s="137">
        <f>IFERROR(AG101/AG148, "NA")</f>
        <v>0.2420478077075558</v>
      </c>
      <c r="AI101" s="123">
        <f>IFERROR(X101-AG101, "NA")</f>
        <v>1135.5650000000023</v>
      </c>
      <c r="AJ101" s="124">
        <f>IFERROR(AI101/AI148, "NA")</f>
        <v>3.2042918969634231</v>
      </c>
      <c r="AK101" s="123">
        <f>IFERROR((X101-AG101)/AG101, "NA")</f>
        <v>0.16335033872936425</v>
      </c>
      <c r="AL101" s="124">
        <f>IFERROR(AK101/AK148, "NA")</f>
        <v>13.238260355718136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100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101</v>
      </c>
      <c r="B104" s="140">
        <v>401.84999999999997</v>
      </c>
      <c r="C104" s="137">
        <f>IFERROR(B104/B148, "NA")</f>
        <v>1.7584840235479762E-2</v>
      </c>
      <c r="D104" s="140">
        <v>0</v>
      </c>
      <c r="E104" s="137">
        <f>IFERROR(D104/D148, "NA")</f>
        <v>0</v>
      </c>
      <c r="F104" s="140">
        <v>3946.2200000000003</v>
      </c>
      <c r="G104" s="137">
        <f>IFERROR(F104/F148, "NA")</f>
        <v>0.16407382661115799</v>
      </c>
      <c r="H104" s="140">
        <v>20350.45</v>
      </c>
      <c r="I104" s="137">
        <f>IFERROR(H104/H148, "NA")</f>
        <v>0.81075099777934834</v>
      </c>
      <c r="J104" s="140">
        <v>862.39</v>
      </c>
      <c r="K104" s="137">
        <f>IFERROR(J104/J148, "NA")</f>
        <v>3.8155574256015193E-2</v>
      </c>
      <c r="L104" s="140">
        <v>0</v>
      </c>
      <c r="M104" s="137">
        <f>IFERROR(L104/L148, "NA")</f>
        <v>0</v>
      </c>
      <c r="N104" s="140">
        <v>0</v>
      </c>
      <c r="O104" s="137">
        <f>IFERROR(N104/N148, "NA")</f>
        <v>0</v>
      </c>
      <c r="P104" s="140">
        <v>3969.52</v>
      </c>
      <c r="Q104" s="137">
        <f>IFERROR(P104/P148, "NA")</f>
        <v>0.16939965100305682</v>
      </c>
      <c r="R104" s="140">
        <v>25581.37</v>
      </c>
      <c r="S104" s="137">
        <f>IFERROR(R104/R148, "NA")</f>
        <v>0.81260977029914705</v>
      </c>
      <c r="T104" s="140">
        <v>-150</v>
      </c>
      <c r="U104" s="137">
        <f>IFERROR(T104/T148, "NA")</f>
        <v>-4.5650302250651205E-3</v>
      </c>
      <c r="V104" s="140">
        <v>0</v>
      </c>
      <c r="W104" s="137">
        <f>IFERROR(V104/V148, "NA")</f>
        <v>0</v>
      </c>
      <c r="X104" s="140">
        <v>1691.14</v>
      </c>
      <c r="Y104" s="137">
        <f>IFERROR(X104/X148, "NA")</f>
        <v>5.8165126444506429E-2</v>
      </c>
      <c r="Z104" s="140">
        <v>1541.14</v>
      </c>
      <c r="AA104" s="137">
        <f>IFERROR(Z104/Z148, "NA")</f>
        <v>1.5942251466222877E-2</v>
      </c>
      <c r="AB104" s="136">
        <f>IFERROR((R104+T104+V104+X104)/4, "NA")</f>
        <v>6780.6274999999996</v>
      </c>
      <c r="AC104" s="137">
        <f>IFERROR(AB104/AB148, "NA")</f>
        <v>0.21164547949690782</v>
      </c>
      <c r="AD104" s="123">
        <f>IFERROR(X104-AB104, "NA")</f>
        <v>-5089.4874999999993</v>
      </c>
      <c r="AE104" s="124">
        <f>IFERROR(AD104/AD148, "NA")</f>
        <v>1.7177631728829357</v>
      </c>
      <c r="AF104" s="123">
        <f>IFERROR((X104-AB104)/AB104, "NA")</f>
        <v>-0.75059240461151999</v>
      </c>
      <c r="AG104" s="136">
        <f>IFERROR((J104+L104+N104+P104+R104+T104+V104+X104)/8, "NA")</f>
        <v>3994.3024999999998</v>
      </c>
      <c r="AH104" s="137">
        <f>IFERROR(AG104/AG148, "NA")</f>
        <v>0.13907534521277259</v>
      </c>
      <c r="AI104" s="123">
        <f>IFERROR(X104-AG104, "NA")</f>
        <v>-2303.1624999999995</v>
      </c>
      <c r="AJ104" s="124">
        <f>IFERROR(AI104/AI148, "NA")</f>
        <v>-6.4989718211991416</v>
      </c>
      <c r="AK104" s="123">
        <f>IFERROR((X104-AG104)/AG104, "NA")</f>
        <v>-0.57661193662723331</v>
      </c>
      <c r="AL104" s="124">
        <f>IFERROR(AK104/AK148, "NA")</f>
        <v>-46.729862947715908</v>
      </c>
    </row>
    <row r="105" spans="1:38" ht="16.5" hidden="1" customHeight="1" x14ac:dyDescent="0.25">
      <c r="A105" s="120" t="s">
        <v>102</v>
      </c>
      <c r="B105" s="121">
        <f>IFERROR(B104, "NA")</f>
        <v>401.84999999999997</v>
      </c>
      <c r="C105" s="122">
        <f>IFERROR(B105/B148, "NA")</f>
        <v>1.7584840235479762E-2</v>
      </c>
      <c r="D105" s="121">
        <f>IFERROR(D104, "NA")</f>
        <v>0</v>
      </c>
      <c r="E105" s="122">
        <f>IFERROR(D105/D148, "NA")</f>
        <v>0</v>
      </c>
      <c r="F105" s="121">
        <f>IFERROR(F104, "NA")</f>
        <v>3946.2200000000003</v>
      </c>
      <c r="G105" s="122">
        <f>IFERROR(F105/F148, "NA")</f>
        <v>0.16407382661115799</v>
      </c>
      <c r="H105" s="121">
        <f>IFERROR(H104, "NA")</f>
        <v>20350.45</v>
      </c>
      <c r="I105" s="122">
        <f>IFERROR(H105/H148, "NA")</f>
        <v>0.81075099777934834</v>
      </c>
      <c r="J105" s="121">
        <f>IFERROR(J104, "NA")</f>
        <v>862.39</v>
      </c>
      <c r="K105" s="122">
        <f>IFERROR(J105/J148, "NA")</f>
        <v>3.8155574256015193E-2</v>
      </c>
      <c r="L105" s="121">
        <f>IFERROR(L104, "NA")</f>
        <v>0</v>
      </c>
      <c r="M105" s="122">
        <f>IFERROR(L105/L148, "NA")</f>
        <v>0</v>
      </c>
      <c r="N105" s="121">
        <f>IFERROR(N104, "NA")</f>
        <v>0</v>
      </c>
      <c r="O105" s="122">
        <f>IFERROR(N105/N148, "NA")</f>
        <v>0</v>
      </c>
      <c r="P105" s="121">
        <f>IFERROR(P104, "NA")</f>
        <v>3969.52</v>
      </c>
      <c r="Q105" s="122">
        <f>IFERROR(P105/P148, "NA")</f>
        <v>0.16939965100305682</v>
      </c>
      <c r="R105" s="121">
        <f>IFERROR(R104, "NA")</f>
        <v>25581.37</v>
      </c>
      <c r="S105" s="122">
        <f>IFERROR(R105/R148, "NA")</f>
        <v>0.81260977029914705</v>
      </c>
      <c r="T105" s="121">
        <f>IFERROR(T104, "NA")</f>
        <v>-150</v>
      </c>
      <c r="U105" s="122">
        <f>IFERROR(T105/T148, "NA")</f>
        <v>-4.5650302250651205E-3</v>
      </c>
      <c r="V105" s="121">
        <f>IFERROR(V104, "NA")</f>
        <v>0</v>
      </c>
      <c r="W105" s="122">
        <f>IFERROR(V105/V148, "NA")</f>
        <v>0</v>
      </c>
      <c r="X105" s="121">
        <f>IFERROR(X104, "NA")</f>
        <v>1691.14</v>
      </c>
      <c r="Y105" s="122">
        <f>IFERROR(X105/X148, "NA")</f>
        <v>5.8165126444506429E-2</v>
      </c>
      <c r="Z105" s="121">
        <f>IFERROR(Z104, "NA")</f>
        <v>1541.14</v>
      </c>
      <c r="AA105" s="122">
        <f>IFERROR(Z105/Z148, "NA")</f>
        <v>1.5942251466222877E-2</v>
      </c>
      <c r="AB105" s="121">
        <f>IFERROR((R105+T105+V105+X105)/4, "NA")</f>
        <v>6780.6274999999996</v>
      </c>
      <c r="AC105" s="122">
        <f>IFERROR(AB105/AB148, "NA")</f>
        <v>0.21164547949690782</v>
      </c>
      <c r="AD105" s="123">
        <f>IFERROR(X105-AB105, "NA")</f>
        <v>-5089.4874999999993</v>
      </c>
      <c r="AE105" s="124">
        <f>IFERROR(AD105/AD148, "NA")</f>
        <v>1.7177631728829357</v>
      </c>
      <c r="AF105" s="123">
        <f>IFERROR((X105-AB105)/AB105, "NA")</f>
        <v>-0.75059240461151999</v>
      </c>
      <c r="AG105" s="121">
        <f>IFERROR((J105+L105+N105+P105+R105+T105+V105+X105)/8, "NA")</f>
        <v>3994.3024999999998</v>
      </c>
      <c r="AH105" s="122">
        <f>IFERROR(AG105/AG148, "NA")</f>
        <v>0.13907534521277259</v>
      </c>
      <c r="AI105" s="123">
        <f>IFERROR(X105-AG105, "NA")</f>
        <v>-2303.1624999999995</v>
      </c>
      <c r="AJ105" s="124">
        <f>IFERROR(AI105/AI148, "NA")</f>
        <v>-6.4989718211991416</v>
      </c>
      <c r="AK105" s="123">
        <f>IFERROR((X105-AG105)/AG105, "NA")</f>
        <v>-0.57661193662723331</v>
      </c>
      <c r="AL105" s="124">
        <f>IFERROR(AK105/AK148, "NA")</f>
        <v>-46.729862947715908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103</v>
      </c>
      <c r="B107" s="136">
        <f>IFERROR(B87-B99-B105, "NA")</f>
        <v>3000.1799999999971</v>
      </c>
      <c r="C107" s="137">
        <f>IFERROR(B107/B148, "NA")</f>
        <v>0.13128701251133912</v>
      </c>
      <c r="D107" s="136">
        <f>IFERROR(D87-D99-D105, "NA")</f>
        <v>8406.16</v>
      </c>
      <c r="E107" s="137">
        <f>IFERROR(D107/D148, "NA")</f>
        <v>0.31179621393278961</v>
      </c>
      <c r="F107" s="136">
        <f>IFERROR(F87-F99-F105, "NA")</f>
        <v>-1305.9900000000025</v>
      </c>
      <c r="G107" s="137">
        <f>IFERROR(F107/F148, "NA")</f>
        <v>-5.4299754401910337E-2</v>
      </c>
      <c r="H107" s="136">
        <f>IFERROR(H87-H99-H105, "NA")</f>
        <v>-15843.890000000003</v>
      </c>
      <c r="I107" s="137">
        <f>IFERROR(H107/H148, "NA")</f>
        <v>-0.63121206785138617</v>
      </c>
      <c r="J107" s="136">
        <f>IFERROR(J87-J99-J105, "NA")</f>
        <v>4325.0800000000008</v>
      </c>
      <c r="K107" s="137">
        <f>IFERROR(J107/J148, "NA")</f>
        <v>0.19135879486451168</v>
      </c>
      <c r="L107" s="136">
        <f>IFERROR(L87-L99-L105, "NA")</f>
        <v>8516.66</v>
      </c>
      <c r="M107" s="137">
        <f>IFERROR(L107/L148, "NA")</f>
        <v>0.3049790889223033</v>
      </c>
      <c r="N107" s="136">
        <f>IFERROR(N87-N99-N105, "NA")</f>
        <v>7960.0499999999984</v>
      </c>
      <c r="O107" s="137">
        <f>IFERROR(N107/N148, "NA")</f>
        <v>0.28786004882017896</v>
      </c>
      <c r="P107" s="136">
        <f>IFERROR(P87-P99-P105, "NA")</f>
        <v>-2255.6000000000035</v>
      </c>
      <c r="Q107" s="137">
        <f>IFERROR(P107/P148, "NA")</f>
        <v>-9.6257948770253218E-2</v>
      </c>
      <c r="R107" s="136">
        <f>IFERROR(R87-R99-R105, "NA")</f>
        <v>-20860.590000000011</v>
      </c>
      <c r="S107" s="137">
        <f>IFERROR(R107/R148, "NA")</f>
        <v>-0.66265095451122014</v>
      </c>
      <c r="T107" s="136">
        <f>IFERROR(T87-T99-T105, "NA")</f>
        <v>9745.6700000000037</v>
      </c>
      <c r="U107" s="137">
        <f>IFERROR(T107/T148, "NA")</f>
        <v>0.29659518742340274</v>
      </c>
      <c r="V107" s="136">
        <f>IFERROR(V87-V99-V105, "NA")</f>
        <v>9831.8900000000012</v>
      </c>
      <c r="W107" s="137">
        <f>IFERROR(V107/V148, "NA")</f>
        <v>0.28303911176773033</v>
      </c>
      <c r="X107" s="136">
        <f>IFERROR(X87-X99-X105, "NA")</f>
        <v>6396.1400000000012</v>
      </c>
      <c r="Y107" s="137">
        <f>IFERROR(X107/X148, "NA")</f>
        <v>0.21998905581842154</v>
      </c>
      <c r="Z107" s="136">
        <f>IFERROR(Z87-Z99-Z105, "NA")</f>
        <v>25973.700000000004</v>
      </c>
      <c r="AA107" s="137">
        <f>IFERROR(Z107/Z148, "NA")</f>
        <v>0.26868373860144645</v>
      </c>
      <c r="AB107" s="136">
        <f>IFERROR((R107+T107+V107+X107)/4, "NA")</f>
        <v>1278.2774999999988</v>
      </c>
      <c r="AC107" s="137">
        <f>IFERROR(AB107/AB148, "NA")</f>
        <v>3.9899206145391164E-2</v>
      </c>
      <c r="AD107" s="123">
        <f>IFERROR(X107-AB107, "NA")</f>
        <v>5117.8625000000029</v>
      </c>
      <c r="AE107" s="124">
        <f>IFERROR(AD107/AD148, "NA")</f>
        <v>-1.7273400762608415</v>
      </c>
      <c r="AF107" s="123">
        <f>IFERROR((X107-AB107)/AB107, "NA")</f>
        <v>4.0037178938063196</v>
      </c>
      <c r="AG107" s="136">
        <f>IFERROR((J107+L107+N107+P107+R107+T107+V107+X107)/8, "NA")</f>
        <v>2957.4124999999995</v>
      </c>
      <c r="AH107" s="137">
        <f>IFERROR(AG107/AG148, "NA")</f>
        <v>0.1029724624947832</v>
      </c>
      <c r="AI107" s="123">
        <f>IFERROR(X107-AG107, "NA")</f>
        <v>3438.7275000000018</v>
      </c>
      <c r="AJ107" s="124">
        <f>IFERROR(AI107/AI148, "NA")</f>
        <v>9.7032637181625638</v>
      </c>
      <c r="AK107" s="123">
        <f>IFERROR((X107-AG107)/AG107, "NA")</f>
        <v>1.1627486865630015</v>
      </c>
      <c r="AL107" s="124">
        <f>IFERROR(AK107/AK148, "NA")</f>
        <v>94.231637110301719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104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105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106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107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108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109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110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111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112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113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114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115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116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117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118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119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120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121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122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123</v>
      </c>
      <c r="B128" s="115">
        <v>320.02000000000004</v>
      </c>
      <c r="C128" s="116">
        <f>IFERROR(B128/B148, "NA")</f>
        <v>1.4003983008979056E-2</v>
      </c>
      <c r="D128" s="115">
        <v>322.18</v>
      </c>
      <c r="E128" s="116">
        <f>IFERROR(D128/D148, "NA")</f>
        <v>1.1950106137031197E-2</v>
      </c>
      <c r="F128" s="115">
        <v>321.89</v>
      </c>
      <c r="G128" s="116">
        <f>IFERROR(F128/F148, "NA")</f>
        <v>1.3383370427362295E-2</v>
      </c>
      <c r="H128" s="115">
        <v>-964.09</v>
      </c>
      <c r="I128" s="116">
        <f>IFERROR(H128/H148, "NA")</f>
        <v>-3.8408827787547298E-2</v>
      </c>
      <c r="J128" s="115">
        <v>406.12</v>
      </c>
      <c r="K128" s="116">
        <f>IFERROR(J128/J148, "NA")</f>
        <v>1.796836908690139E-2</v>
      </c>
      <c r="L128" s="115">
        <v>442.16999999999996</v>
      </c>
      <c r="M128" s="116">
        <f>IFERROR(L128/L148, "NA")</f>
        <v>1.5833977609623354E-2</v>
      </c>
      <c r="N128" s="115">
        <v>436.88</v>
      </c>
      <c r="O128" s="116">
        <f>IFERROR(N128/N148, "NA")</f>
        <v>1.579893318868095E-2</v>
      </c>
      <c r="P128" s="115">
        <v>403.1</v>
      </c>
      <c r="Q128" s="116">
        <f>IFERROR(P128/P148, "NA")</f>
        <v>1.7202331596599139E-2</v>
      </c>
      <c r="R128" s="115">
        <v>-1688.27</v>
      </c>
      <c r="S128" s="116">
        <f>IFERROR(R128/R148, "NA")</f>
        <v>-5.3629054929542119E-2</v>
      </c>
      <c r="T128" s="115">
        <v>606.54</v>
      </c>
      <c r="U128" s="116">
        <f>IFERROR(T128/T148, "NA")</f>
        <v>1.8459156218073321E-2</v>
      </c>
      <c r="V128" s="115">
        <v>548.02</v>
      </c>
      <c r="W128" s="116">
        <f>IFERROR(V128/V148, "NA")</f>
        <v>1.5776325206135498E-2</v>
      </c>
      <c r="X128" s="115">
        <v>343.39</v>
      </c>
      <c r="Y128" s="116">
        <f>IFERROR(X128/X148, "NA")</f>
        <v>1.1810567291755301E-2</v>
      </c>
      <c r="Z128" s="115">
        <v>1497.9499999999998</v>
      </c>
      <c r="AA128" s="116">
        <f>IFERROR(Z128/Z148, "NA")</f>
        <v>1.5495474508369488E-2</v>
      </c>
      <c r="AB128" s="117">
        <f t="shared" si="42"/>
        <v>-47.580000000000013</v>
      </c>
      <c r="AC128" s="116">
        <f>IFERROR(AB128/AB148, "NA")</f>
        <v>-1.4851268432697234E-3</v>
      </c>
      <c r="AD128" s="118">
        <f t="shared" si="43"/>
        <v>390.97</v>
      </c>
      <c r="AE128" s="119">
        <f>IFERROR(AD128/AD148, "NA")</f>
        <v>-0.13195707184702615</v>
      </c>
      <c r="AF128" s="118">
        <f t="shared" si="44"/>
        <v>-8.2171080285834375</v>
      </c>
      <c r="AG128" s="117">
        <f t="shared" si="45"/>
        <v>187.24374999999998</v>
      </c>
      <c r="AH128" s="116">
        <f>IFERROR(AG128/AG148, "NA")</f>
        <v>6.5195335531507909E-3</v>
      </c>
      <c r="AI128" s="118">
        <f t="shared" si="46"/>
        <v>156.14625000000001</v>
      </c>
      <c r="AJ128" s="119">
        <f>IFERROR(AI128/AI148, "NA")</f>
        <v>0.44060724275248347</v>
      </c>
      <c r="AK128" s="118">
        <f t="shared" si="47"/>
        <v>0.83391969024333268</v>
      </c>
      <c r="AL128" s="119">
        <f>IFERROR(AK128/AK148, "NA")</f>
        <v>67.582632892432116</v>
      </c>
    </row>
    <row r="129" spans="1:38" ht="16.5" hidden="1" customHeight="1" x14ac:dyDescent="0.25">
      <c r="A129" s="2" t="s">
        <v>124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125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126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127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128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129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130</v>
      </c>
      <c r="B135" s="121">
        <f>IFERROR(B110+B111+B112+B113+B114+B115+B116+B117+B118+B119+B120+B121+B122+B123+B124+B125+B126+B127+B128+B129+B130+B131+B132+B133+B134, "NA")</f>
        <v>320.02000000000004</v>
      </c>
      <c r="C135" s="122">
        <f>IFERROR(B135/B148, "NA")</f>
        <v>1.4003983008979056E-2</v>
      </c>
      <c r="D135" s="121">
        <f>IFERROR(D110+D111+D112+D113+D114+D115+D116+D117+D118+D119+D120+D121+D122+D123+D124+D125+D126+D127+D128+D129+D130+D131+D132+D133+D134, "NA")</f>
        <v>322.18</v>
      </c>
      <c r="E135" s="122">
        <f>IFERROR(D135/D148, "NA")</f>
        <v>1.1950106137031197E-2</v>
      </c>
      <c r="F135" s="121">
        <f>IFERROR(F110+F111+F112+F113+F114+F115+F116+F117+F118+F119+F120+F121+F122+F123+F124+F125+F126+F127+F128+F129+F130+F131+F132+F133+F134, "NA")</f>
        <v>321.89</v>
      </c>
      <c r="G135" s="122">
        <f>IFERROR(F135/F148, "NA")</f>
        <v>1.3383370427362295E-2</v>
      </c>
      <c r="H135" s="121">
        <f>IFERROR(H110+H111+H112+H113+H114+H115+H116+H117+H118+H119+H120+H121+H122+H123+H124+H125+H126+H127+H128+H129+H130+H131+H132+H133+H134, "NA")</f>
        <v>-964.09</v>
      </c>
      <c r="I135" s="122">
        <f>IFERROR(H135/H148, "NA")</f>
        <v>-3.8408827787547298E-2</v>
      </c>
      <c r="J135" s="121">
        <f>IFERROR(J110+J111+J112+J113+J114+J115+J116+J117+J118+J119+J120+J121+J122+J123+J124+J125+J126+J127+J128+J129+J130+J131+J132+J133+J134, "NA")</f>
        <v>406.12</v>
      </c>
      <c r="K135" s="122">
        <f>IFERROR(J135/J148, "NA")</f>
        <v>1.796836908690139E-2</v>
      </c>
      <c r="L135" s="121">
        <f>IFERROR(L110+L111+L112+L113+L114+L115+L116+L117+L118+L119+L120+L121+L122+L123+L124+L125+L126+L127+L128+L129+L130+L131+L132+L133+L134, "NA")</f>
        <v>442.16999999999996</v>
      </c>
      <c r="M135" s="122">
        <f>IFERROR(L135/L148, "NA")</f>
        <v>1.5833977609623354E-2</v>
      </c>
      <c r="N135" s="121">
        <f>IFERROR(N110+N111+N112+N113+N114+N115+N116+N117+N118+N119+N120+N121+N122+N123+N124+N125+N126+N127+N128+N129+N130+N131+N132+N133+N134, "NA")</f>
        <v>436.88</v>
      </c>
      <c r="O135" s="122">
        <f>IFERROR(N135/N148, "NA")</f>
        <v>1.579893318868095E-2</v>
      </c>
      <c r="P135" s="121">
        <f>IFERROR(P110+P111+P112+P113+P114+P115+P116+P117+P118+P119+P120+P121+P122+P123+P124+P125+P126+P127+P128+P129+P130+P131+P132+P133+P134, "NA")</f>
        <v>403.1</v>
      </c>
      <c r="Q135" s="122">
        <f>IFERROR(P135/P148, "NA")</f>
        <v>1.7202331596599139E-2</v>
      </c>
      <c r="R135" s="121">
        <f>IFERROR(R110+R111+R112+R113+R114+R115+R116+R117+R118+R119+R120+R121+R122+R123+R124+R125+R126+R127+R128+R129+R130+R131+R132+R133+R134, "NA")</f>
        <v>-1688.27</v>
      </c>
      <c r="S135" s="122">
        <f>IFERROR(R135/R148, "NA")</f>
        <v>-5.3629054929542119E-2</v>
      </c>
      <c r="T135" s="121">
        <f>IFERROR(T110+T111+T112+T113+T114+T115+T116+T117+T118+T119+T120+T121+T122+T123+T124+T125+T126+T127+T128+T129+T130+T131+T132+T133+T134, "NA")</f>
        <v>606.54</v>
      </c>
      <c r="U135" s="122">
        <f>IFERROR(T135/T148, "NA")</f>
        <v>1.8459156218073321E-2</v>
      </c>
      <c r="V135" s="121">
        <f>IFERROR(V110+V111+V112+V113+V114+V115+V116+V117+V118+V119+V120+V121+V122+V123+V124+V125+V126+V127+V128+V129+V130+V131+V132+V133+V134, "NA")</f>
        <v>548.02</v>
      </c>
      <c r="W135" s="122">
        <f>IFERROR(V135/V148, "NA")</f>
        <v>1.5776325206135498E-2</v>
      </c>
      <c r="X135" s="121">
        <f>IFERROR(X110+X111+X112+X113+X114+X115+X116+X117+X118+X119+X120+X121+X122+X123+X124+X125+X126+X127+X128+X129+X130+X131+X132+X133+X134, "NA")</f>
        <v>343.39</v>
      </c>
      <c r="Y135" s="122">
        <f>IFERROR(X135/X148, "NA")</f>
        <v>1.1810567291755301E-2</v>
      </c>
      <c r="Z135" s="121">
        <f>IFERROR(Z110+Z111+Z112+Z113+Z114+Z115+Z116+Z117+Z118+Z119+Z120+Z121+Z122+Z123+Z124+Z125+Z126+Z127+Z128+Z129+Z130+Z131+Z132+Z133+Z134, "NA")</f>
        <v>1497.9499999999998</v>
      </c>
      <c r="AA135" s="122">
        <f>IFERROR(Z135/Z148, "NA")</f>
        <v>1.5495474508369488E-2</v>
      </c>
      <c r="AB135" s="121">
        <f t="shared" si="42"/>
        <v>-47.580000000000013</v>
      </c>
      <c r="AC135" s="122">
        <f>IFERROR(AB135/AB148, "NA")</f>
        <v>-1.4851268432697234E-3</v>
      </c>
      <c r="AD135" s="123">
        <f t="shared" si="43"/>
        <v>390.97</v>
      </c>
      <c r="AE135" s="124">
        <f>IFERROR(AD135/AD148, "NA")</f>
        <v>-0.13195707184702615</v>
      </c>
      <c r="AF135" s="123">
        <f t="shared" si="44"/>
        <v>-8.2171080285834375</v>
      </c>
      <c r="AG135" s="121">
        <f t="shared" si="45"/>
        <v>187.24374999999998</v>
      </c>
      <c r="AH135" s="122">
        <f>IFERROR(AG135/AG148, "NA")</f>
        <v>6.5195335531507909E-3</v>
      </c>
      <c r="AI135" s="123">
        <f t="shared" si="46"/>
        <v>156.14625000000001</v>
      </c>
      <c r="AJ135" s="124">
        <f>IFERROR(AI135/AI148, "NA")</f>
        <v>0.44060724275248347</v>
      </c>
      <c r="AK135" s="123">
        <f t="shared" si="47"/>
        <v>0.83391969024333268</v>
      </c>
      <c r="AL135" s="124">
        <f>IFERROR(AK135/AK148, "NA")</f>
        <v>67.582632892432116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131</v>
      </c>
      <c r="B137" s="136">
        <f>IFERROR(B107-B135, "NA")</f>
        <v>2680.1599999999971</v>
      </c>
      <c r="C137" s="137">
        <f>IFERROR(B137/B148, "NA")</f>
        <v>0.11728302950236005</v>
      </c>
      <c r="D137" s="136">
        <f>IFERROR(D107-D135, "NA")</f>
        <v>8083.98</v>
      </c>
      <c r="E137" s="137">
        <f>IFERROR(D137/D148, "NA")</f>
        <v>0.29984610779575843</v>
      </c>
      <c r="F137" s="136">
        <f>IFERROR(F107-F135, "NA")</f>
        <v>-1627.8800000000024</v>
      </c>
      <c r="G137" s="137">
        <f>IFERROR(F137/F148, "NA")</f>
        <v>-6.768312482927262E-2</v>
      </c>
      <c r="H137" s="136">
        <f>IFERROR(H107-H135, "NA")</f>
        <v>-14879.800000000003</v>
      </c>
      <c r="I137" s="137">
        <f>IFERROR(H137/H148, "NA")</f>
        <v>-0.59280324006383889</v>
      </c>
      <c r="J137" s="136">
        <f>IFERROR(J107-J135, "NA")</f>
        <v>3918.9600000000009</v>
      </c>
      <c r="K137" s="137">
        <f>IFERROR(J137/J148, "NA")</f>
        <v>0.1733904257776103</v>
      </c>
      <c r="L137" s="136">
        <f>IFERROR(L107-L135, "NA")</f>
        <v>8074.49</v>
      </c>
      <c r="M137" s="137">
        <f>IFERROR(L137/L148, "NA")</f>
        <v>0.28914511131267995</v>
      </c>
      <c r="N137" s="136">
        <f>IFERROR(N107-N135, "NA")</f>
        <v>7523.1699999999983</v>
      </c>
      <c r="O137" s="137">
        <f>IFERROR(N137/N148, "NA")</f>
        <v>0.27206111563149799</v>
      </c>
      <c r="P137" s="136">
        <f>IFERROR(P107-P135, "NA")</f>
        <v>-2658.7000000000035</v>
      </c>
      <c r="Q137" s="137">
        <f>IFERROR(P137/P148, "NA")</f>
        <v>-0.11346028036685235</v>
      </c>
      <c r="R137" s="136">
        <f>IFERROR(R107-R135, "NA")</f>
        <v>-19172.320000000011</v>
      </c>
      <c r="S137" s="137">
        <f>IFERROR(R137/R148, "NA")</f>
        <v>-0.60902189958167807</v>
      </c>
      <c r="T137" s="136">
        <f>IFERROR(T107-T135, "NA")</f>
        <v>9139.1300000000047</v>
      </c>
      <c r="U137" s="137">
        <f>IFERROR(T137/T148, "NA")</f>
        <v>0.27813603120532943</v>
      </c>
      <c r="V137" s="136">
        <f>IFERROR(V107-V135, "NA")</f>
        <v>9283.8700000000008</v>
      </c>
      <c r="W137" s="137">
        <f>IFERROR(V137/V148, "NA")</f>
        <v>0.2672627865615948</v>
      </c>
      <c r="X137" s="136">
        <f>IFERROR(X107-X135, "NA")</f>
        <v>6052.7500000000009</v>
      </c>
      <c r="Y137" s="137">
        <f>IFERROR(X137/X148, "NA")</f>
        <v>0.20817848852666623</v>
      </c>
      <c r="Z137" s="136">
        <f>IFERROR(Z107-Z135, "NA")</f>
        <v>24475.750000000004</v>
      </c>
      <c r="AA137" s="137">
        <f>IFERROR(Z137/Z148, "NA")</f>
        <v>0.25318826409307693</v>
      </c>
      <c r="AB137" s="136">
        <f>IFERROR((R137+T137+V137+X137)/4, "NA")</f>
        <v>1325.8574999999989</v>
      </c>
      <c r="AC137" s="137">
        <f>IFERROR(AB137/AB148, "NA")</f>
        <v>4.1384332988660892E-2</v>
      </c>
      <c r="AD137" s="123">
        <f>IFERROR(X137-AB137, "NA")</f>
        <v>4726.8925000000017</v>
      </c>
      <c r="AE137" s="124">
        <f>IFERROR(AD137/AD148, "NA")</f>
        <v>-1.5953830044138149</v>
      </c>
      <c r="AF137" s="123">
        <f>IFERROR((X137-AB137)/AB137, "NA")</f>
        <v>3.565158774604364</v>
      </c>
      <c r="AG137" s="136">
        <f>IFERROR((J137+L137+N137+P137+R137+T137+V137+X137)/8, "NA")</f>
        <v>2770.1687499999989</v>
      </c>
      <c r="AH137" s="137">
        <f>IFERROR(AG137/AG148, "NA")</f>
        <v>9.645292894163239E-2</v>
      </c>
      <c r="AI137" s="123">
        <f>IFERROR(X137-AG137, "NA")</f>
        <v>3282.581250000002</v>
      </c>
      <c r="AJ137" s="124">
        <f>IFERROR(AI137/AI148, "NA")</f>
        <v>9.2626564754100809</v>
      </c>
      <c r="AK137" s="123">
        <f>IFERROR((X137-AG137)/AG137, "NA")</f>
        <v>1.1849751932982433</v>
      </c>
      <c r="AL137" s="124">
        <f>IFERROR(AK137/AK148, "NA")</f>
        <v>96.032920690415665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132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133</v>
      </c>
      <c r="B140" s="115">
        <v>0</v>
      </c>
      <c r="C140" s="116">
        <f>IFERROR(B140/B148, "NA")</f>
        <v>0</v>
      </c>
      <c r="D140" s="115">
        <v>0</v>
      </c>
      <c r="E140" s="116">
        <f>IFERROR(D140/D148, "NA")</f>
        <v>0</v>
      </c>
      <c r="F140" s="115">
        <v>0</v>
      </c>
      <c r="G140" s="116">
        <f>IFERROR(F140/F148, "NA")</f>
        <v>0</v>
      </c>
      <c r="H140" s="115">
        <v>10687.720000000001</v>
      </c>
      <c r="I140" s="116">
        <f>IFERROR(H140/H148, "NA")</f>
        <v>0.42579302442876188</v>
      </c>
      <c r="J140" s="115">
        <v>0</v>
      </c>
      <c r="K140" s="116">
        <f>IFERROR(J140/J148, "NA")</f>
        <v>0</v>
      </c>
      <c r="L140" s="115">
        <v>0</v>
      </c>
      <c r="M140" s="116">
        <f>IFERROR(L140/L148, "NA")</f>
        <v>0</v>
      </c>
      <c r="N140" s="115">
        <v>0</v>
      </c>
      <c r="O140" s="116">
        <f>IFERROR(N140/N148, "NA")</f>
        <v>0</v>
      </c>
      <c r="P140" s="115">
        <v>-96.300000000000011</v>
      </c>
      <c r="Q140" s="116">
        <f>IFERROR(P140/P148, "NA")</f>
        <v>-4.1096118401203101E-3</v>
      </c>
      <c r="R140" s="115">
        <v>10743.03</v>
      </c>
      <c r="S140" s="116">
        <f>IFERROR(R140/R148, "NA")</f>
        <v>0.34125971910874381</v>
      </c>
      <c r="T140" s="115">
        <v>0</v>
      </c>
      <c r="U140" s="116">
        <f>IFERROR(T140/T148, "NA")</f>
        <v>0</v>
      </c>
      <c r="V140" s="115">
        <v>0</v>
      </c>
      <c r="W140" s="116">
        <f>IFERROR(V140/V148, "NA")</f>
        <v>0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2685.7575000000002</v>
      </c>
      <c r="AC140" s="116">
        <f>IFERROR(AB140/AB148, "NA")</f>
        <v>8.3831243332555344E-2</v>
      </c>
      <c r="AD140" s="118">
        <f>IFERROR(X140-AB140, "NA")</f>
        <v>-2685.7575000000002</v>
      </c>
      <c r="AE140" s="119">
        <f>IFERROR(AD140/AD148, "NA")</f>
        <v>0.90647542110952073</v>
      </c>
      <c r="AF140" s="118">
        <f>IFERROR((X140-AB140)/AB140, "NA")</f>
        <v>-1</v>
      </c>
      <c r="AG140" s="117">
        <f>IFERROR((J140+L140+N140+P140+R140+T140+V140+X140)/8, "NA")</f>
        <v>1330.8412500000002</v>
      </c>
      <c r="AH140" s="116">
        <f>IFERROR(AG140/AG148, "NA")</f>
        <v>4.6337803976325739E-2</v>
      </c>
      <c r="AI140" s="118">
        <f>IFERROR(X140-AG140, "NA")</f>
        <v>-1330.8412500000002</v>
      </c>
      <c r="AJ140" s="119">
        <f>IFERROR(AI140/AI148, "NA")</f>
        <v>-3.7553146086042322</v>
      </c>
      <c r="AK140" s="118">
        <f>IFERROR((X140-AG140)/AG140, "NA")</f>
        <v>-1</v>
      </c>
      <c r="AL140" s="119">
        <f>IFERROR(AK140/AK148, "NA")</f>
        <v>-81.042135931233275</v>
      </c>
    </row>
    <row r="141" spans="1:38" ht="16.5" hidden="1" customHeight="1" x14ac:dyDescent="0.25">
      <c r="A141" s="120" t="s">
        <v>134</v>
      </c>
      <c r="B141" s="121">
        <f>IFERROR(B140, "NA")</f>
        <v>0</v>
      </c>
      <c r="C141" s="122">
        <f>IFERROR(B141/B148, "NA")</f>
        <v>0</v>
      </c>
      <c r="D141" s="121">
        <f>IFERROR(D140, "NA")</f>
        <v>0</v>
      </c>
      <c r="E141" s="122">
        <f>IFERROR(D141/D148, "NA")</f>
        <v>0</v>
      </c>
      <c r="F141" s="121">
        <f>IFERROR(F140, "NA")</f>
        <v>0</v>
      </c>
      <c r="G141" s="122">
        <f>IFERROR(F141/F148, "NA")</f>
        <v>0</v>
      </c>
      <c r="H141" s="121">
        <f>IFERROR(H140, "NA")</f>
        <v>10687.720000000001</v>
      </c>
      <c r="I141" s="122">
        <f>IFERROR(H141/H148, "NA")</f>
        <v>0.42579302442876188</v>
      </c>
      <c r="J141" s="121">
        <f>IFERROR(J140, "NA")</f>
        <v>0</v>
      </c>
      <c r="K141" s="122">
        <f>IFERROR(J141/J148, "NA")</f>
        <v>0</v>
      </c>
      <c r="L141" s="121">
        <f>IFERROR(L140, "NA")</f>
        <v>0</v>
      </c>
      <c r="M141" s="122">
        <f>IFERROR(L141/L148, "NA")</f>
        <v>0</v>
      </c>
      <c r="N141" s="121">
        <f>IFERROR(N140, "NA")</f>
        <v>0</v>
      </c>
      <c r="O141" s="122">
        <f>IFERROR(N141/N148, "NA")</f>
        <v>0</v>
      </c>
      <c r="P141" s="121">
        <f>IFERROR(P140, "NA")</f>
        <v>-96.300000000000011</v>
      </c>
      <c r="Q141" s="122">
        <f>IFERROR(P141/P148, "NA")</f>
        <v>-4.1096118401203101E-3</v>
      </c>
      <c r="R141" s="121">
        <f>IFERROR(R140, "NA")</f>
        <v>10743.03</v>
      </c>
      <c r="S141" s="122">
        <f>IFERROR(R141/R148, "NA")</f>
        <v>0.34125971910874381</v>
      </c>
      <c r="T141" s="121">
        <f>IFERROR(T140, "NA")</f>
        <v>0</v>
      </c>
      <c r="U141" s="122">
        <f>IFERROR(T141/T148, "NA")</f>
        <v>0</v>
      </c>
      <c r="V141" s="121">
        <f>IFERROR(V140, "NA")</f>
        <v>0</v>
      </c>
      <c r="W141" s="122">
        <f>IFERROR(V141/V148, "NA")</f>
        <v>0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2685.7575000000002</v>
      </c>
      <c r="AC141" s="122">
        <f>IFERROR(AB141/AB148, "NA")</f>
        <v>8.3831243332555344E-2</v>
      </c>
      <c r="AD141" s="123">
        <f>IFERROR(X141-AB141, "NA")</f>
        <v>-2685.7575000000002</v>
      </c>
      <c r="AE141" s="124">
        <f>IFERROR(AD141/AD148, "NA")</f>
        <v>0.90647542110952073</v>
      </c>
      <c r="AF141" s="123">
        <f>IFERROR((X141-AB141)/AB141, "NA")</f>
        <v>-1</v>
      </c>
      <c r="AG141" s="121">
        <f>IFERROR((J141+L141+N141+P141+R141+T141+V141+X141)/8, "NA")</f>
        <v>1330.8412500000002</v>
      </c>
      <c r="AH141" s="122">
        <f>IFERROR(AG141/AG148, "NA")</f>
        <v>4.6337803976325739E-2</v>
      </c>
      <c r="AI141" s="123">
        <f>IFERROR(X141-AG141, "NA")</f>
        <v>-1330.8412500000002</v>
      </c>
      <c r="AJ141" s="124">
        <f>IFERROR(AI141/AI148, "NA")</f>
        <v>-3.7553146086042322</v>
      </c>
      <c r="AK141" s="123">
        <f>IFERROR((X141-AG141)/AG141, "NA")</f>
        <v>-1</v>
      </c>
      <c r="AL141" s="124">
        <f>IFERROR(AK141/AK148, "NA")</f>
        <v>-81.042135931233275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135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136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137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138</v>
      </c>
      <c r="B147" s="136">
        <f>IFERROR(B137-B141-B145, "NA")</f>
        <v>2680.1599999999971</v>
      </c>
      <c r="C147" s="137">
        <f>IFERROR(B147/B148, "NA")</f>
        <v>0.11728302950236005</v>
      </c>
      <c r="D147" s="136">
        <f>IFERROR(D137-D141-D145, "NA")</f>
        <v>8083.98</v>
      </c>
      <c r="E147" s="137">
        <f>IFERROR(D147/D148, "NA")</f>
        <v>0.29984610779575843</v>
      </c>
      <c r="F147" s="136">
        <f>IFERROR(F137-F141-F145, "NA")</f>
        <v>-1627.8800000000024</v>
      </c>
      <c r="G147" s="137">
        <f>IFERROR(F147/F148, "NA")</f>
        <v>-6.768312482927262E-2</v>
      </c>
      <c r="H147" s="136">
        <f>IFERROR(H137-H141-H145, "NA")</f>
        <v>-25567.520000000004</v>
      </c>
      <c r="I147" s="137">
        <f>IFERROR(H147/H148, "NA")</f>
        <v>-1.0185962644926008</v>
      </c>
      <c r="J147" s="136">
        <f>IFERROR(J137-J141-J145, "NA")</f>
        <v>3918.9600000000009</v>
      </c>
      <c r="K147" s="137">
        <f>IFERROR(J147/J148, "NA")</f>
        <v>0.1733904257776103</v>
      </c>
      <c r="L147" s="136">
        <f>IFERROR(L137-L141-L145, "NA")</f>
        <v>8074.49</v>
      </c>
      <c r="M147" s="137">
        <f>IFERROR(L147/L148, "NA")</f>
        <v>0.28914511131267995</v>
      </c>
      <c r="N147" s="136">
        <f>IFERROR(N137-N141-N145, "NA")</f>
        <v>7523.1699999999983</v>
      </c>
      <c r="O147" s="137">
        <f>IFERROR(N147/N148, "NA")</f>
        <v>0.27206111563149799</v>
      </c>
      <c r="P147" s="136">
        <f>IFERROR(P137-P141-P145, "NA")</f>
        <v>-2562.4000000000033</v>
      </c>
      <c r="Q147" s="137">
        <f>IFERROR(P147/P148, "NA")</f>
        <v>-0.10935066852673204</v>
      </c>
      <c r="R147" s="136">
        <f>IFERROR(R137-R141-R145, "NA")</f>
        <v>-29915.350000000013</v>
      </c>
      <c r="S147" s="137">
        <f>IFERROR(R147/R148, "NA")</f>
        <v>-0.95028161869042194</v>
      </c>
      <c r="T147" s="136">
        <f>IFERROR(T137-T141-T145, "NA")</f>
        <v>9139.1300000000047</v>
      </c>
      <c r="U147" s="137">
        <f>IFERROR(T147/T148, "NA")</f>
        <v>0.27813603120532943</v>
      </c>
      <c r="V147" s="136">
        <f>IFERROR(V137-V141-V145, "NA")</f>
        <v>9283.8700000000008</v>
      </c>
      <c r="W147" s="137">
        <f>IFERROR(V147/V148, "NA")</f>
        <v>0.2672627865615948</v>
      </c>
      <c r="X147" s="136">
        <f>IFERROR(X137-X141-X145, "NA")</f>
        <v>6052.7500000000009</v>
      </c>
      <c r="Y147" s="137">
        <f>IFERROR(X147/X148, "NA")</f>
        <v>0.20817848852666623</v>
      </c>
      <c r="Z147" s="136">
        <f>IFERROR(Z137-Z141-Z145, "NA")</f>
        <v>24475.750000000004</v>
      </c>
      <c r="AA147" s="137">
        <f>IFERROR(Z147/Z148, "NA")</f>
        <v>0.25318826409307693</v>
      </c>
      <c r="AB147" s="136">
        <f>IFERROR((R147+T147+V147+X147)/4, "NA")</f>
        <v>-1359.9000000000017</v>
      </c>
      <c r="AC147" s="137">
        <f>IFERROR(AB147/AB148, "NA")</f>
        <v>-4.2446910343894473E-2</v>
      </c>
      <c r="AD147" s="123">
        <f>IFERROR(X147-AB147, "NA")</f>
        <v>7412.6500000000024</v>
      </c>
      <c r="AE147" s="124">
        <f>IFERROR(AD147/AD148, "NA")</f>
        <v>-2.5018584255233356</v>
      </c>
      <c r="AF147" s="123">
        <f>IFERROR((X147-AB147)/AB147, "NA")</f>
        <v>-5.4508787410838986</v>
      </c>
      <c r="AG147" s="136">
        <f>IFERROR((J147+L147+N147+P147+R147+T147+V147+X147)/8, "NA")</f>
        <v>1439.3274999999985</v>
      </c>
      <c r="AH147" s="137">
        <f>IFERROR(AG147/AG148, "NA")</f>
        <v>5.0115124965306644E-2</v>
      </c>
      <c r="AI147" s="123">
        <f>IFERROR(X147-AG147, "NA")</f>
        <v>4613.4225000000024</v>
      </c>
      <c r="AJ147" s="124">
        <f>IFERROR(AI147/AI148, "NA")</f>
        <v>13.017971084014315</v>
      </c>
      <c r="AK147" s="123">
        <f>IFERROR((X147-AG147)/AG147, "NA")</f>
        <v>3.205262527117704</v>
      </c>
      <c r="AL147" s="124">
        <f>IFERROR(AK147/AK148, "NA")</f>
        <v>259.76132141796126</v>
      </c>
    </row>
    <row r="148" spans="1:38" ht="15.75" hidden="1" x14ac:dyDescent="0.25">
      <c r="A148" s="10" t="s">
        <v>15</v>
      </c>
      <c r="B148" s="115">
        <v>22852.07</v>
      </c>
      <c r="C148" s="141"/>
      <c r="D148" s="115">
        <v>26960.43</v>
      </c>
      <c r="E148" s="141"/>
      <c r="F148" s="115">
        <v>24051.49</v>
      </c>
      <c r="G148" s="141"/>
      <c r="H148" s="115">
        <v>25100.74</v>
      </c>
      <c r="I148" s="141"/>
      <c r="J148" s="115">
        <v>22601.94</v>
      </c>
      <c r="K148" s="141"/>
      <c r="L148" s="115">
        <v>27925.39</v>
      </c>
      <c r="M148" s="141"/>
      <c r="N148" s="115">
        <v>27652.5</v>
      </c>
      <c r="O148" s="141"/>
      <c r="P148" s="115">
        <v>23432.87</v>
      </c>
      <c r="Q148" s="141"/>
      <c r="R148" s="115">
        <v>31480.51</v>
      </c>
      <c r="S148" s="141"/>
      <c r="T148" s="115">
        <v>32858.49</v>
      </c>
      <c r="U148" s="141"/>
      <c r="V148" s="115">
        <v>34736.86</v>
      </c>
      <c r="W148" s="141"/>
      <c r="X148" s="115">
        <v>29074.81</v>
      </c>
      <c r="Y148" s="141"/>
      <c r="Z148" s="115">
        <v>96670.16</v>
      </c>
      <c r="AA148" s="141"/>
      <c r="AB148" s="117">
        <f>IFERROR((R148+T148+V148+X148)/4, "NA")</f>
        <v>32037.6675</v>
      </c>
      <c r="AC148" s="141"/>
      <c r="AD148" s="118">
        <f>IFERROR(X148-AB148, "NA")</f>
        <v>-2962.8574999999983</v>
      </c>
      <c r="AE148" s="142"/>
      <c r="AF148" s="118">
        <f>IFERROR((X148-AB148)/AB148, "NA")</f>
        <v>-9.2480437285267364E-2</v>
      </c>
      <c r="AG148" s="117">
        <f>IFERROR((J148+L148+N148+P148+R148+T148+V148+X148)/8, "NA")</f>
        <v>28720.421249999999</v>
      </c>
      <c r="AH148" s="141"/>
      <c r="AI148" s="118">
        <f>IFERROR(X148-AG148, "NA")</f>
        <v>354.38875000000189</v>
      </c>
      <c r="AJ148" s="142"/>
      <c r="AK148" s="118">
        <f>IFERROR((X148-AG148)/AG148, "NA")</f>
        <v>1.2339260170148162E-2</v>
      </c>
      <c r="AL148" s="142"/>
    </row>
    <row r="151" spans="1:38" ht="15.75" x14ac:dyDescent="0.25">
      <c r="A151" s="11" t="s">
        <v>139</v>
      </c>
    </row>
    <row r="152" spans="1:38" ht="15.75" x14ac:dyDescent="0.25">
      <c r="A152" s="11" t="s">
        <v>140</v>
      </c>
    </row>
    <row r="153" spans="1:38" ht="15.75" x14ac:dyDescent="0.25">
      <c r="A153" s="11" t="s">
        <v>247</v>
      </c>
    </row>
  </sheetData>
  <mergeCells count="21">
    <mergeCell ref="AK5:AL5"/>
    <mergeCell ref="Z5:AA5"/>
    <mergeCell ref="AB5:AC5"/>
    <mergeCell ref="AD5:AE5"/>
    <mergeCell ref="AG5:AH5"/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d49837-3260-4e28-958d-ec2e4c4dc82f" xsi:nil="true"/>
    <lcf76f155ced4ddcb4097134ff3c332f xmlns="17935857-c847-47b7-8f90-d10f9a0aecc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981926-F7CF-4794-AC3D-2368BCBEC2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4D2B94-A402-428E-B1C8-C50BE4D28CA5}">
  <ds:schemaRefs>
    <ds:schemaRef ds:uri="http://schemas.microsoft.com/office/2006/metadata/properties"/>
    <ds:schemaRef ds:uri="http://schemas.microsoft.com/office/infopath/2007/PartnerControls"/>
    <ds:schemaRef ds:uri="55d49837-3260-4e28-958d-ec2e4c4dc82f"/>
    <ds:schemaRef ds:uri="17935857-c847-47b7-8f90-d10f9a0aecc2"/>
  </ds:schemaRefs>
</ds:datastoreItem>
</file>

<file path=customXml/itemProps3.xml><?xml version="1.0" encoding="utf-8"?>
<ds:datastoreItem xmlns:ds="http://schemas.openxmlformats.org/officeDocument/2006/customXml" ds:itemID="{0A9B663C-F5E2-4D5E-8D8A-F959AE497B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35857-c847-47b7-8f90-d10f9a0aecc2"/>
    <ds:schemaRef ds:uri="55d49837-3260-4e28-958d-ec2e4c4dc8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Angelie Bosi</dc:creator>
  <cp:lastModifiedBy>Mayur Jotva</cp:lastModifiedBy>
  <dcterms:created xsi:type="dcterms:W3CDTF">2026-08-20T07:58:35Z</dcterms:created>
  <dcterms:modified xsi:type="dcterms:W3CDTF">2026-10-23T21:23:00Z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0x0101005E53D96DC4024A4A95DFF1F4317A3F47</vt:lpwstr>
  </property>
  <property fmtid="{D5CDD505-2E9C-101B-9397-08002B2CF9AE}" pid="3" name="MediaServiceImageTags">
    <vt:lpwstr/>
  </property>
</Properties>
</file>