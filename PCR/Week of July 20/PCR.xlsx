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ummary" sheetId="2" r:id="rId6"/>
    <sheet state="visible" name="Comparison by Store" sheetId="3" r:id="rId7"/>
    <sheet state="visible" name="Consolidated" sheetId="4" r:id="rId8"/>
    <sheet state="visible" name="4 - RASA - MVT" sheetId="5" r:id="rId9"/>
    <sheet state="visible" name="5 - RASA - National Landin" sheetId="6" r:id="rId10"/>
    <sheet state="visible" name="6 - RASA - Mosaic" sheetId="7" r:id="rId11"/>
    <sheet state="visible" name="7 - RASA - Rockville" sheetId="8" r:id="rId12"/>
  </sheets>
  <definedNames/>
  <calcPr/>
</workbook>
</file>

<file path=xl/sharedStrings.xml><?xml version="1.0" encoding="utf-8"?>
<sst xmlns="http://schemas.openxmlformats.org/spreadsheetml/2006/main" count="1075" uniqueCount="247">
  <si>
    <t>Prime Margin - Trailing 12 Week</t>
  </si>
  <si>
    <t>Period To Date</t>
  </si>
  <si>
    <t>07/26/2026</t>
  </si>
  <si>
    <t>Trailing 4 week</t>
  </si>
  <si>
    <t>Consolidated</t>
  </si>
  <si>
    <t>7 - RASA - Rockville</t>
  </si>
  <si>
    <t/>
  </si>
  <si>
    <t>4 - Rasa - MVT</t>
  </si>
  <si>
    <t>Trailing 8 week</t>
  </si>
  <si>
    <t>Week Ending 05/10/2026</t>
  </si>
  <si>
    <t>5 - Rasa - National Landin</t>
  </si>
  <si>
    <t>Week Ending 05/17/2026</t>
  </si>
  <si>
    <t>6 - Rasa - Mosaic</t>
  </si>
  <si>
    <t>Week Ending 05/24/2026</t>
  </si>
  <si>
    <t>Week Ending 05/31/2026</t>
  </si>
  <si>
    <t>Total</t>
  </si>
  <si>
    <t>Week Ending 06/07/2026</t>
  </si>
  <si>
    <t>Sales</t>
  </si>
  <si>
    <t>4 - RASA - MVT</t>
  </si>
  <si>
    <t>Week Ending 06/14/2026</t>
  </si>
  <si>
    <t>Week Ending 06/21/2026</t>
  </si>
  <si>
    <t>Week Ending 06/28/2026</t>
  </si>
  <si>
    <t>Week Ending 07/05/2026</t>
  </si>
  <si>
    <t>Week Ending 07/12/2026</t>
  </si>
  <si>
    <t>Week Ending 07/19/2026</t>
  </si>
  <si>
    <t>Week Ending 07/26/2026</t>
  </si>
  <si>
    <t>Period to Date</t>
  </si>
  <si>
    <t>Trailing 4 Week</t>
  </si>
  <si>
    <t>$ vs. 4 Week</t>
  </si>
  <si>
    <t>Single Plate In-House Sales</t>
  </si>
  <si>
    <t>% vs. 4 Week</t>
  </si>
  <si>
    <t>Trailing 8 Week</t>
  </si>
  <si>
    <t>$ vs. 8 Week</t>
  </si>
  <si>
    <t>Current Period</t>
  </si>
  <si>
    <t>% vs. 8 Week</t>
  </si>
  <si>
    <t>4-Week Average</t>
  </si>
  <si>
    <t>4-Week Average Comparison</t>
  </si>
  <si>
    <t>8-Week Average</t>
  </si>
  <si>
    <t>8-Week Average Comparison</t>
  </si>
  <si>
    <t>Location</t>
  </si>
  <si>
    <t>COGS</t>
  </si>
  <si>
    <t>Labor</t>
  </si>
  <si>
    <t>Prime Margin</t>
  </si>
  <si>
    <t>Total Labor Cost</t>
  </si>
  <si>
    <t>Sales
 Current Week vs 4-week</t>
  </si>
  <si>
    <t>COGS
 Current Week vs 4-week</t>
  </si>
  <si>
    <t>Labor
 Current Week vs 4-week</t>
  </si>
  <si>
    <t>Sales
 Current Week vs 8-week</t>
  </si>
  <si>
    <t>COGS
 Current Week vs 8-week</t>
  </si>
  <si>
    <t>Labor
 Current Week vs 8-week</t>
  </si>
  <si>
    <t>Digital Sales</t>
  </si>
  <si>
    <t>Total Sales</t>
  </si>
  <si>
    <t>Total Cost of Goods Sold</t>
  </si>
  <si>
    <t>Total Payroll Expenses</t>
  </si>
  <si>
    <t>Prime Profit</t>
  </si>
  <si>
    <t>Catering Sales</t>
  </si>
  <si>
    <t>43000 - Delivery Sales - Rasa Website</t>
  </si>
  <si>
    <t>49600 - Toast Order Processing Fee Pass-Through</t>
  </si>
  <si>
    <t>Delivery Fee Income</t>
  </si>
  <si>
    <t>45000 - Sales Adjustments</t>
  </si>
  <si>
    <t>Discounts / Refunds</t>
  </si>
  <si>
    <t>82602 - Other Income_WCK</t>
  </si>
  <si>
    <t>82604 - Other Income_OTP</t>
  </si>
  <si>
    <t>82605 - Other Income_To Good To Go</t>
  </si>
  <si>
    <t>Cost of Goods Sold</t>
  </si>
  <si>
    <t>Food &amp; Beverage Costs</t>
  </si>
  <si>
    <t>50000 - Food &amp; Beverage Costs</t>
  </si>
  <si>
    <t>Food Costs</t>
  </si>
  <si>
    <t>50100 - Food Costs</t>
  </si>
  <si>
    <t>50110 - COGS - Produce</t>
  </si>
  <si>
    <t>50120 - COGS - Grocery Dry &amp; Canned</t>
  </si>
  <si>
    <t>Week 2</t>
  </si>
  <si>
    <t>5 - RASA - National Landin</t>
  </si>
  <si>
    <t>50130 - COGS - Poultry</t>
  </si>
  <si>
    <t>50140 - COGS - Dairy</t>
  </si>
  <si>
    <t>50150 - COGS - Frozen</t>
  </si>
  <si>
    <t>50160 - COGS - Meat</t>
  </si>
  <si>
    <t>50170 - COGS - Seafood</t>
  </si>
  <si>
    <t>50180 - COGS - Spices</t>
  </si>
  <si>
    <t>50190 - COGS - Prepped Food</t>
  </si>
  <si>
    <t>50191 - COGS - Wow Bao</t>
  </si>
  <si>
    <t>50195 - COGS - Distribution</t>
  </si>
  <si>
    <t>Week 3</t>
  </si>
  <si>
    <t>6 - RASA - Mosaic</t>
  </si>
  <si>
    <t>Total Food Costs</t>
  </si>
  <si>
    <t>Beverage Costs</t>
  </si>
  <si>
    <t>50101 - Beverage Costs</t>
  </si>
  <si>
    <t>50200 - COGS - N/A Beverage</t>
  </si>
  <si>
    <t>50300 - COGS - Beer</t>
  </si>
  <si>
    <t>50400 - COGS - Liquor</t>
  </si>
  <si>
    <t>50500 - COGS - Wine</t>
  </si>
  <si>
    <t>Total Beverage Costs</t>
  </si>
  <si>
    <t>Week 4</t>
  </si>
  <si>
    <t>Total Food &amp; Beverage Costs</t>
  </si>
  <si>
    <t>Other Costs</t>
  </si>
  <si>
    <t>50550 - Other Costs</t>
  </si>
  <si>
    <t>Paper Costs</t>
  </si>
  <si>
    <t>50600 - Paper Costs</t>
  </si>
  <si>
    <t>50610 - COGS - Paper Supplies</t>
  </si>
  <si>
    <t>50620 - COGS - Catering Supplies</t>
  </si>
  <si>
    <t>50630 - COGS - Event Supplies</t>
  </si>
  <si>
    <t>50640 - COGS - Wow Bao Supplies</t>
  </si>
  <si>
    <t>Total Paper Costs</t>
  </si>
  <si>
    <t>Waste Costs</t>
  </si>
  <si>
    <t>50700 - Waste Costs</t>
  </si>
  <si>
    <t>Week 5</t>
  </si>
  <si>
    <t>All</t>
  </si>
  <si>
    <t>50710 - Waste - Food</t>
  </si>
  <si>
    <t>50720 - Waste - N/A Beverage</t>
  </si>
  <si>
    <t>50730 - Waste - Beer</t>
  </si>
  <si>
    <t>50740 - Waste - Liquor</t>
  </si>
  <si>
    <t>50750 - Waste - Wine</t>
  </si>
  <si>
    <t>Total Waste Costs</t>
  </si>
  <si>
    <t>50800 - COGS - Freight, Delivery, &amp; Sales Tax</t>
  </si>
  <si>
    <t>50850 - COGS - Fuel Surcharge</t>
  </si>
  <si>
    <t>50900 - COGS - Credit for Discounts</t>
  </si>
  <si>
    <t>Total Other Costs</t>
  </si>
  <si>
    <t>Week 6</t>
  </si>
  <si>
    <t>Week 7</t>
  </si>
  <si>
    <t>Week 8</t>
  </si>
  <si>
    <t>Notes:</t>
  </si>
  <si>
    <t>Gross Profit</t>
  </si>
  <si>
    <t>Week 9</t>
  </si>
  <si>
    <t>Week 10</t>
  </si>
  <si>
    <t xml:space="preserve"> RASA - MVT</t>
  </si>
  <si>
    <t>Week 15</t>
  </si>
  <si>
    <t>COGS -</t>
  </si>
  <si>
    <t>No notes</t>
  </si>
  <si>
    <t>Week 16</t>
  </si>
  <si>
    <t>Labor -</t>
  </si>
  <si>
    <t>Week 17</t>
  </si>
  <si>
    <t>Payroll Expenses</t>
  </si>
  <si>
    <t>Week 18</t>
  </si>
  <si>
    <t>RASA - National Landing</t>
  </si>
  <si>
    <t>61000 - Payroll Expenses</t>
  </si>
  <si>
    <t>Week 19</t>
  </si>
  <si>
    <t>Salaries &amp; Wages</t>
  </si>
  <si>
    <t>61100 - Salaries &amp; Wages</t>
  </si>
  <si>
    <t>Week 20</t>
  </si>
  <si>
    <t>Bonus paid out, more than accrual.   Accrued $1,009 for Q2 but paid out $1,875.</t>
  </si>
  <si>
    <t>Week 21</t>
  </si>
  <si>
    <t>Week 22</t>
  </si>
  <si>
    <t xml:space="preserve"> RASA - Mosaic</t>
  </si>
  <si>
    <t>Week 23</t>
  </si>
  <si>
    <t>61110 - Management</t>
  </si>
  <si>
    <t>Week 24</t>
  </si>
  <si>
    <t>61120 - Culinary</t>
  </si>
  <si>
    <t>Week 25</t>
  </si>
  <si>
    <t>Week 26</t>
  </si>
  <si>
    <t>RASA - Rockville</t>
  </si>
  <si>
    <t>61150 - Hourly</t>
  </si>
  <si>
    <t>Week 27</t>
  </si>
  <si>
    <t>Week 28</t>
  </si>
  <si>
    <t>61200 - Overtime</t>
  </si>
  <si>
    <t>Week 29</t>
  </si>
  <si>
    <t>Week 30</t>
  </si>
  <si>
    <t>Total Salaries &amp; Wages</t>
  </si>
  <si>
    <t>Week 31</t>
  </si>
  <si>
    <t>Week 32</t>
  </si>
  <si>
    <t>Week 33</t>
  </si>
  <si>
    <t>Week 34</t>
  </si>
  <si>
    <t>Week 35</t>
  </si>
  <si>
    <t>61105 - Salaries &amp; Wages Adjustment</t>
  </si>
  <si>
    <t>Week 36</t>
  </si>
  <si>
    <t>Week 37</t>
  </si>
  <si>
    <t>Week 38</t>
  </si>
  <si>
    <t>Week 39</t>
  </si>
  <si>
    <t>61250 - Bonus</t>
  </si>
  <si>
    <t>Week 40</t>
  </si>
  <si>
    <t>Week 41</t>
  </si>
  <si>
    <t>Week 42</t>
  </si>
  <si>
    <t>Week 43</t>
  </si>
  <si>
    <t>Week 44</t>
  </si>
  <si>
    <t>Week 45</t>
  </si>
  <si>
    <t>Week 46</t>
  </si>
  <si>
    <t>Payroll Taxes</t>
  </si>
  <si>
    <t>Week 47</t>
  </si>
  <si>
    <t>61300 - Payroll Taxes</t>
  </si>
  <si>
    <t>Week 48</t>
  </si>
  <si>
    <t>Week 49</t>
  </si>
  <si>
    <t>Week 50</t>
  </si>
  <si>
    <t>Week 51</t>
  </si>
  <si>
    <t>Week 52</t>
  </si>
  <si>
    <t>61310 - FICA Tax Expense</t>
  </si>
  <si>
    <t>61330 - FUTA Tax Expense</t>
  </si>
  <si>
    <t>61335 - SUTA Tax Expense (VA)</t>
  </si>
  <si>
    <t>61340 - SUTA Tax Expense (DC)</t>
  </si>
  <si>
    <t>61360 - FL Tax Expense (DC)</t>
  </si>
  <si>
    <t>61395 - Other Payroll Taxes</t>
  </si>
  <si>
    <t>Total Payroll Taxes</t>
  </si>
  <si>
    <t>61400 - Payroll Processing Fee</t>
  </si>
  <si>
    <t>61500 - Health Insurance</t>
  </si>
  <si>
    <t>5 - RASA - National Landing</t>
  </si>
  <si>
    <t>Operating Expense</t>
  </si>
  <si>
    <t>Supplies</t>
  </si>
  <si>
    <t>Marketing</t>
  </si>
  <si>
    <t>Delivery Fees</t>
  </si>
  <si>
    <t>Third-Party Fees</t>
  </si>
  <si>
    <t>Credit Card Fees</t>
  </si>
  <si>
    <t>Insurance</t>
  </si>
  <si>
    <t>Professional Fees</t>
  </si>
  <si>
    <t>Repairs &amp; Maintenance</t>
  </si>
  <si>
    <t>Other Expenses</t>
  </si>
  <si>
    <t>Total Operating Expense</t>
  </si>
  <si>
    <t>Store Level EBITDAR</t>
  </si>
  <si>
    <t>Non Controllable Expense</t>
  </si>
  <si>
    <t>Occupancy Cost</t>
  </si>
  <si>
    <t>Total Non Controllable Expense</t>
  </si>
  <si>
    <t>Store Level EBITDA</t>
  </si>
  <si>
    <t>Corporate Overhead &amp; Other</t>
  </si>
  <si>
    <t>70000 - Corporate G&amp;A Expenses</t>
  </si>
  <si>
    <t>Corp - Payroll Expenses</t>
  </si>
  <si>
    <t>Corp - Meals, Entertainment, &amp; Travel</t>
  </si>
  <si>
    <t>73000 - Corp - Other G&amp;A Expenses</t>
  </si>
  <si>
    <t>73100 - Corp - Dues &amp; Subscriptions</t>
  </si>
  <si>
    <t>73200 - Corp - Office Supplies</t>
  </si>
  <si>
    <t>73300 - Corp - Other Taxes</t>
  </si>
  <si>
    <t>73400 - Corp - Rent Expense</t>
  </si>
  <si>
    <t>73500 - Corp - Insurance Expense</t>
  </si>
  <si>
    <t>73600 - Corp - Charitable Contributions</t>
  </si>
  <si>
    <t>73650 - Corp - Other Employee Incentives</t>
  </si>
  <si>
    <t>74000 - Corp - Professional Fees</t>
  </si>
  <si>
    <t>74050 - Corp - IT &amp; Technology</t>
  </si>
  <si>
    <t>74060 - Corp - R&amp;D</t>
  </si>
  <si>
    <t>74100 - Corp - Accounting Fees</t>
  </si>
  <si>
    <t>74200 - Corp - Legal Fees</t>
  </si>
  <si>
    <t>74300 - Corp - Recruiting Fees</t>
  </si>
  <si>
    <t>74400 - Corp - Public Relations</t>
  </si>
  <si>
    <t>Corp - Marketing</t>
  </si>
  <si>
    <t>74600 - Corp - Other Professional Fees</t>
  </si>
  <si>
    <t>74700 - Corp - Bank Fees</t>
  </si>
  <si>
    <t>74800 - Corp - Licenses &amp; Permits</t>
  </si>
  <si>
    <t>81000 - Corp - Management Fee</t>
  </si>
  <si>
    <t>81500 - Corp - Investor Advisory Fees</t>
  </si>
  <si>
    <t>82100 - Corp - Realty Tax</t>
  </si>
  <si>
    <t>Total Corporate Overhead &amp; Other</t>
  </si>
  <si>
    <t>EBITDA</t>
  </si>
  <si>
    <t>Other Income &amp; Expense</t>
  </si>
  <si>
    <t>Other (Income)/Expense</t>
  </si>
  <si>
    <t>Total Other Income &amp; Expense</t>
  </si>
  <si>
    <t>Pre-Opening Costs</t>
  </si>
  <si>
    <t>Pre-Opening Expenses</t>
  </si>
  <si>
    <t>Total Pre-Opening Costs</t>
  </si>
  <si>
    <t>Net Income</t>
  </si>
  <si>
    <t>Powered by Restaurant365</t>
  </si>
  <si>
    <t>1</t>
  </si>
  <si>
    <t>07/29/2026 11:36 PM PDT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</si>
</sst>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(* #,##0_);_(* \(#,##0\);_(* &quot;-&quot;??_);_(@_)"/>
    <numFmt numFmtId="165" formatCode="#,##0.0%;\(#,##0.0%\)"/>
    <numFmt numFmtId="166" formatCode="_(* #,##0.00_);_(* \(#,##0.00\);_(* &quot;-&quot;??_);_(@_)"/>
    <numFmt numFmtId="167" formatCode="_(&quot;$&quot;* #,##0_);_(&quot;$&quot;* \(#,##0\);_(&quot;$&quot;* &quot;-&quot;??_);_(@_)"/>
    <numFmt numFmtId="168" formatCode="0.0%"/>
    <numFmt numFmtId="169" formatCode="D/M/YYYY"/>
    <numFmt numFmtId="170" formatCode="#,##0.0;\(#,##0.0\)"/>
  </numFmts>
  <fonts count="29">
    <font>
      <sz val="10.0"/>
      <color rgb="FF000000"/>
      <name val="Arial"/>
      <scheme val="minor"/>
    </font>
    <font>
      <b/>
      <sz val="10.0"/>
      <color theme="1"/>
      <name val="Calibri"/>
    </font>
    <font>
      <sz val="11.0"/>
      <color theme="1"/>
      <name val="Calibri"/>
    </font>
    <font>
      <b/>
      <sz val="26.0"/>
      <color rgb="FF000000"/>
      <name val="Calibri"/>
    </font>
    <font>
      <sz val="18.0"/>
      <color rgb="FF000000"/>
      <name val="Calibri"/>
    </font>
    <font>
      <sz val="12.0"/>
      <color rgb="FF000000"/>
      <name val="Calibri"/>
    </font>
    <font>
      <sz val="12.0"/>
      <color theme="1"/>
      <name val="Calibri"/>
    </font>
    <font>
      <b/>
      <sz val="11.0"/>
      <color theme="1"/>
      <name val="Calibri"/>
    </font>
    <font>
      <b/>
      <sz val="12.0"/>
      <color theme="1"/>
      <name val="Calibri"/>
    </font>
    <font>
      <b/>
      <i/>
      <sz val="8.0"/>
      <color theme="1"/>
      <name val="Calibri"/>
    </font>
    <font>
      <b/>
      <i/>
      <sz val="11.0"/>
      <color theme="1"/>
      <name val="Calibri"/>
    </font>
    <font>
      <b/>
      <sz val="10.0"/>
      <color rgb="FF4A90E2"/>
      <name val="Calibri"/>
    </font>
    <font/>
    <font>
      <i/>
      <sz val="8.0"/>
      <color theme="1"/>
      <name val="Calibri"/>
    </font>
    <font>
      <b/>
      <sz val="12.0"/>
      <color rgb="FF4A90E2"/>
      <name val="Calibri"/>
    </font>
    <font>
      <b/>
      <i/>
      <sz val="8.0"/>
      <color rgb="FFFFFFFF"/>
      <name val="Calibri"/>
    </font>
    <font>
      <b/>
      <sz val="10.0"/>
      <color rgb="FF000000"/>
      <name val="Calibri"/>
    </font>
    <font>
      <color theme="1"/>
      <name val="Arial"/>
      <scheme val="minor"/>
    </font>
    <font>
      <b/>
      <sz val="12.0"/>
      <color rgb="FF000000"/>
      <name val="Calibri"/>
    </font>
    <font>
      <sz val="12.0"/>
      <color rgb="FF4A90E2"/>
      <name val="Calibri"/>
    </font>
    <font>
      <i/>
      <sz val="8.0"/>
      <color rgb="FFFFFFFF"/>
      <name val="Calibri"/>
    </font>
    <font>
      <sz val="7.0"/>
      <color rgb="FF000000"/>
      <name val="Calibri"/>
    </font>
    <font>
      <i/>
      <sz val="8.0"/>
      <color rgb="FF000000"/>
      <name val="Calibri"/>
    </font>
    <font>
      <sz val="7.0"/>
      <color rgb="FF4A90E2"/>
      <name val="Calibri"/>
    </font>
    <font>
      <sz val="10.0"/>
      <color theme="1"/>
      <name val="Arial"/>
    </font>
    <font>
      <b/>
      <i/>
      <u/>
      <sz val="12.0"/>
      <color theme="1"/>
      <name val="Arial"/>
    </font>
    <font>
      <b/>
      <i/>
      <sz val="8.0"/>
      <color rgb="FF000000"/>
      <name val="Calibri"/>
    </font>
    <font>
      <b/>
      <i/>
      <sz val="10.0"/>
      <color theme="1"/>
      <name val="Arial"/>
    </font>
    <font>
      <b/>
      <i/>
      <sz val="10.0"/>
      <color rgb="FF0070C0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ECECEC"/>
        <bgColor rgb="FFECECEC"/>
      </patternFill>
    </fill>
    <fill>
      <patternFill patternType="solid">
        <fgColor rgb="FFBDD6EE"/>
        <bgColor rgb="FFBDD6EE"/>
      </patternFill>
    </fill>
    <fill>
      <patternFill patternType="solid">
        <fgColor rgb="FFA8D08D"/>
        <bgColor rgb="FFA8D08D"/>
      </patternFill>
    </fill>
    <fill>
      <patternFill patternType="solid">
        <fgColor rgb="FFDADADA"/>
        <bgColor rgb="FFDADADA"/>
      </patternFill>
    </fill>
    <fill>
      <patternFill patternType="solid">
        <fgColor rgb="FFD8D8D8"/>
        <bgColor rgb="FFD8D8D8"/>
      </patternFill>
    </fill>
    <fill>
      <patternFill patternType="solid">
        <fgColor rgb="FFF4B083"/>
        <bgColor rgb="FFF4B083"/>
      </patternFill>
    </fill>
    <fill>
      <patternFill patternType="solid">
        <fgColor rgb="FFF2F2F2"/>
        <bgColor rgb="FFF2F2F2"/>
      </patternFill>
    </fill>
    <fill>
      <patternFill patternType="solid">
        <fgColor rgb="FFFFF2CB"/>
        <bgColor rgb="FFFFF2CB"/>
      </patternFill>
    </fill>
    <fill>
      <patternFill patternType="solid">
        <fgColor rgb="FF92D050"/>
        <bgColor rgb="FF92D050"/>
      </patternFill>
    </fill>
    <fill>
      <patternFill patternType="solid">
        <fgColor rgb="FF00B0F0"/>
        <bgColor rgb="FF00B0F0"/>
      </patternFill>
    </fill>
  </fills>
  <borders count="25">
    <border/>
    <border>
      <left/>
      <right/>
      <top/>
      <bottom/>
    </border>
    <border>
      <left/>
      <top/>
      <bottom style="medium">
        <color rgb="FF000000"/>
      </bottom>
    </border>
    <border>
      <top/>
      <bottom style="medium">
        <color rgb="FF000000"/>
      </bottom>
    </border>
    <border>
      <right/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dotted">
        <color rgb="FF000000"/>
      </top>
      <bottom style="dotted">
        <color rgb="FF000000"/>
      </bottom>
    </border>
    <border>
      <left style="medium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medium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/>
      <top style="dotted">
        <color rgb="FF000000"/>
      </top>
      <bottom style="dotted">
        <color rgb="FF000000"/>
      </bottom>
    </border>
    <border>
      <left style="medium">
        <color rgb="FF000000"/>
      </left>
      <right style="medium">
        <color rgb="FF000000"/>
      </right>
      <top style="dotted">
        <color rgb="FF000000"/>
      </top>
      <bottom style="medium">
        <color rgb="FF000000"/>
      </bottom>
    </border>
    <border>
      <left style="medium">
        <color rgb="FF000000"/>
      </left>
      <right style="dotted">
        <color rgb="FF000000"/>
      </right>
      <top style="dotted">
        <color rgb="FF000000"/>
      </top>
      <bottom style="medium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000000"/>
      </bottom>
    </border>
    <border>
      <left style="dotted">
        <color rgb="FF000000"/>
      </left>
      <right style="medium">
        <color rgb="FF000000"/>
      </right>
      <top style="dotted">
        <color rgb="FF000000"/>
      </top>
      <bottom style="medium">
        <color rgb="FF000000"/>
      </bottom>
    </border>
    <border>
      <left style="dotted">
        <color rgb="FF000000"/>
      </left>
      <right/>
      <top style="dotted">
        <color rgb="FF000000"/>
      </top>
      <bottom style="medium">
        <color rgb="FF000000"/>
      </bottom>
    </border>
    <border>
      <top style="thin">
        <color rgb="FF000000"/>
      </top>
    </border>
    <border>
      <left/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128">
    <xf borderId="0" fillId="0" fontId="0" numFmtId="0" xfId="0" applyAlignment="1" applyFont="1">
      <alignment readingOrder="0" shrinkToFit="0" vertical="bottom" wrapText="0"/>
    </xf>
    <xf borderId="0" fillId="0" fontId="1" numFmtId="4" xfId="0" applyAlignment="1" applyFont="1" applyNumberFormat="1">
      <alignment horizontal="center" shrinkToFit="0" vertical="center" wrapText="1"/>
    </xf>
    <xf borderId="0" fillId="0" fontId="2" numFmtId="4" xfId="0" applyFont="1" applyNumberFormat="1"/>
    <xf borderId="0" fillId="0" fontId="3" numFmtId="0" xfId="0" applyAlignment="1" applyFont="1">
      <alignment horizontal="center" vertical="center"/>
    </xf>
    <xf borderId="0" fillId="0" fontId="2" numFmtId="164" xfId="0" applyFont="1" applyNumberFormat="1"/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2" numFmtId="0" xfId="0" applyAlignment="1" applyFont="1">
      <alignment horizontal="center"/>
    </xf>
    <xf borderId="0" fillId="0" fontId="6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/>
    </xf>
    <xf borderId="0" fillId="0" fontId="8" numFmtId="0" xfId="0" applyAlignment="1" applyFont="1">
      <alignment shrinkToFit="0" vertical="center" wrapText="1"/>
    </xf>
    <xf borderId="0" fillId="0" fontId="8" numFmtId="164" xfId="0" applyAlignment="1" applyFont="1" applyNumberFormat="1">
      <alignment vertical="center"/>
    </xf>
    <xf borderId="1" fillId="2" fontId="2" numFmtId="0" xfId="0" applyBorder="1" applyFill="1" applyFont="1"/>
    <xf borderId="0" fillId="0" fontId="9" numFmtId="165" xfId="0" applyAlignment="1" applyFont="1" applyNumberFormat="1">
      <alignment vertical="center"/>
    </xf>
    <xf borderId="1" fillId="2" fontId="10" numFmtId="0" xfId="0" applyBorder="1" applyFont="1"/>
    <xf borderId="0" fillId="0" fontId="11" numFmtId="4" xfId="0" applyAlignment="1" applyFont="1" applyNumberFormat="1">
      <alignment horizontal="center" shrinkToFit="0" vertical="center" wrapText="1"/>
    </xf>
    <xf borderId="0" fillId="0" fontId="6" numFmtId="0" xfId="0" applyAlignment="1" applyFont="1">
      <alignment shrinkToFit="0" vertical="center" wrapText="1"/>
    </xf>
    <xf borderId="0" fillId="0" fontId="8" numFmtId="0" xfId="0" applyAlignment="1" applyFont="1">
      <alignment horizontal="left" shrinkToFit="0" vertical="center" wrapText="1"/>
    </xf>
    <xf borderId="2" fillId="2" fontId="10" numFmtId="0" xfId="0" applyAlignment="1" applyBorder="1" applyFont="1">
      <alignment horizontal="center"/>
    </xf>
    <xf borderId="0" fillId="0" fontId="8" numFmtId="39" xfId="0" applyAlignment="1" applyFont="1" applyNumberFormat="1">
      <alignment vertical="center"/>
    </xf>
    <xf borderId="3" fillId="0" fontId="12" numFmtId="0" xfId="0" applyBorder="1" applyFont="1"/>
    <xf borderId="4" fillId="0" fontId="12" numFmtId="0" xfId="0" applyBorder="1" applyFont="1"/>
    <xf borderId="0" fillId="0" fontId="6" numFmtId="164" xfId="0" applyAlignment="1" applyFont="1" applyNumberFormat="1">
      <alignment vertical="center"/>
    </xf>
    <xf borderId="0" fillId="0" fontId="13" numFmtId="165" xfId="0" applyAlignment="1" applyFont="1" applyNumberFormat="1">
      <alignment horizontal="right" vertical="center"/>
    </xf>
    <xf borderId="0" fillId="0" fontId="14" numFmtId="39" xfId="0" applyAlignment="1" applyFont="1" applyNumberFormat="1">
      <alignment vertical="center"/>
    </xf>
    <xf borderId="0" fillId="0" fontId="15" numFmtId="165" xfId="0" applyAlignment="1" applyFont="1" applyNumberFormat="1">
      <alignment vertical="center"/>
    </xf>
    <xf borderId="0" fillId="0" fontId="6" numFmtId="0" xfId="0" applyAlignment="1" applyFont="1">
      <alignment horizontal="left" shrinkToFit="0" vertical="center" wrapText="1"/>
    </xf>
    <xf borderId="0" fillId="0" fontId="6" numFmtId="39" xfId="0" applyAlignment="1" applyFont="1" applyNumberFormat="1">
      <alignment vertical="center"/>
    </xf>
    <xf borderId="0" fillId="0" fontId="1" numFmtId="0" xfId="0" applyAlignment="1" applyFont="1">
      <alignment shrinkToFit="0" wrapText="1"/>
    </xf>
    <xf borderId="5" fillId="3" fontId="1" numFmtId="0" xfId="0" applyAlignment="1" applyBorder="1" applyFill="1" applyFont="1">
      <alignment horizontal="center" shrinkToFit="0" vertical="center" wrapText="1"/>
    </xf>
    <xf borderId="6" fillId="3" fontId="1" numFmtId="0" xfId="0" applyAlignment="1" applyBorder="1" applyFont="1">
      <alignment horizontal="center" shrinkToFit="0" vertical="center" wrapText="1"/>
    </xf>
    <xf borderId="6" fillId="3" fontId="16" numFmtId="39" xfId="0" applyAlignment="1" applyBorder="1" applyFont="1" applyNumberFormat="1">
      <alignment horizontal="center" shrinkToFit="0" vertical="center" wrapText="1"/>
    </xf>
    <xf borderId="7" fillId="3" fontId="16" numFmtId="39" xfId="0" applyAlignment="1" applyBorder="1" applyFont="1" applyNumberFormat="1">
      <alignment horizontal="center" shrinkToFit="0" vertical="center" wrapText="1"/>
    </xf>
    <xf borderId="5" fillId="4" fontId="1" numFmtId="0" xfId="0" applyAlignment="1" applyBorder="1" applyFill="1" applyFont="1">
      <alignment horizontal="center" shrinkToFit="0" vertical="center" wrapText="1"/>
    </xf>
    <xf borderId="6" fillId="4" fontId="1" numFmtId="0" xfId="0" applyAlignment="1" applyBorder="1" applyFont="1">
      <alignment horizontal="center" shrinkToFit="0" vertical="center" wrapText="1"/>
    </xf>
    <xf borderId="6" fillId="4" fontId="16" numFmtId="39" xfId="0" applyAlignment="1" applyBorder="1" applyFont="1" applyNumberFormat="1">
      <alignment horizontal="center" shrinkToFit="0" vertical="center" wrapText="1"/>
    </xf>
    <xf borderId="8" fillId="4" fontId="16" numFmtId="39" xfId="0" applyAlignment="1" applyBorder="1" applyFont="1" applyNumberFormat="1">
      <alignment horizontal="center" shrinkToFit="0" vertical="center" wrapText="1"/>
    </xf>
    <xf borderId="5" fillId="5" fontId="1" numFmtId="0" xfId="0" applyAlignment="1" applyBorder="1" applyFill="1" applyFont="1">
      <alignment horizontal="center" shrinkToFit="0" vertical="center" wrapText="1"/>
    </xf>
    <xf borderId="6" fillId="5" fontId="1" numFmtId="0" xfId="0" applyAlignment="1" applyBorder="1" applyFont="1">
      <alignment horizontal="center" shrinkToFit="0" vertical="center" wrapText="1"/>
    </xf>
    <xf borderId="6" fillId="5" fontId="16" numFmtId="39" xfId="0" applyAlignment="1" applyBorder="1" applyFont="1" applyNumberFormat="1">
      <alignment horizontal="center" shrinkToFit="0" vertical="center" wrapText="1"/>
    </xf>
    <xf borderId="7" fillId="5" fontId="16" numFmtId="39" xfId="0" applyAlignment="1" applyBorder="1" applyFont="1" applyNumberFormat="1">
      <alignment horizontal="center" shrinkToFit="0" vertical="center" wrapText="1"/>
    </xf>
    <xf borderId="9" fillId="6" fontId="1" numFmtId="0" xfId="0" applyAlignment="1" applyBorder="1" applyFill="1" applyFont="1">
      <alignment horizontal="center" shrinkToFit="0" wrapText="1"/>
    </xf>
    <xf borderId="6" fillId="6" fontId="1" numFmtId="0" xfId="0" applyAlignment="1" applyBorder="1" applyFont="1">
      <alignment horizontal="center" shrinkToFit="0" wrapText="1"/>
    </xf>
    <xf borderId="10" fillId="6" fontId="1" numFmtId="0" xfId="0" applyAlignment="1" applyBorder="1" applyFont="1">
      <alignment horizontal="center" shrinkToFit="0" wrapText="1"/>
    </xf>
    <xf borderId="5" fillId="7" fontId="1" numFmtId="0" xfId="0" applyAlignment="1" applyBorder="1" applyFill="1" applyFont="1">
      <alignment horizontal="center" shrinkToFit="0" vertical="center" wrapText="1"/>
    </xf>
    <xf borderId="6" fillId="7" fontId="1" numFmtId="0" xfId="0" applyAlignment="1" applyBorder="1" applyFont="1">
      <alignment horizontal="center" shrinkToFit="0" vertical="center" wrapText="1"/>
    </xf>
    <xf borderId="6" fillId="7" fontId="16" numFmtId="39" xfId="0" applyAlignment="1" applyBorder="1" applyFont="1" applyNumberFormat="1">
      <alignment horizontal="center" shrinkToFit="0" vertical="center" wrapText="1"/>
    </xf>
    <xf borderId="8" fillId="7" fontId="16" numFmtId="39" xfId="0" applyAlignment="1" applyBorder="1" applyFont="1" applyNumberFormat="1">
      <alignment horizontal="center" shrinkToFit="0" vertical="center" wrapText="1"/>
    </xf>
    <xf borderId="9" fillId="7" fontId="1" numFmtId="0" xfId="0" applyAlignment="1" applyBorder="1" applyFont="1">
      <alignment horizontal="center" shrinkToFit="0" wrapText="1"/>
    </xf>
    <xf borderId="6" fillId="7" fontId="1" numFmtId="0" xfId="0" applyAlignment="1" applyBorder="1" applyFont="1">
      <alignment horizontal="center" shrinkToFit="0" wrapText="1"/>
    </xf>
    <xf borderId="10" fillId="7" fontId="1" numFmtId="0" xfId="0" applyAlignment="1" applyBorder="1" applyFont="1">
      <alignment horizontal="center" shrinkToFit="0" wrapText="1"/>
    </xf>
    <xf borderId="0" fillId="0" fontId="2" numFmtId="0" xfId="0" applyFont="1"/>
    <xf borderId="0" fillId="0" fontId="17" numFmtId="0" xfId="0" applyFont="1"/>
    <xf borderId="0" fillId="0" fontId="18" numFmtId="39" xfId="0" applyAlignment="1" applyFont="1" applyNumberFormat="1">
      <alignment shrinkToFit="0" vertical="center" wrapText="1"/>
    </xf>
    <xf borderId="0" fillId="0" fontId="5" numFmtId="4" xfId="0" applyAlignment="1" applyFont="1" applyNumberFormat="1">
      <alignment shrinkToFit="0" vertical="center" wrapText="1"/>
    </xf>
    <xf borderId="0" fillId="0" fontId="18" numFmtId="4" xfId="0" applyAlignment="1" applyFont="1" applyNumberFormat="1">
      <alignment shrinkToFit="0" vertical="center" wrapText="1"/>
    </xf>
    <xf borderId="11" fillId="0" fontId="2" numFmtId="0" xfId="0" applyAlignment="1" applyBorder="1" applyFont="1">
      <alignment horizontal="center"/>
    </xf>
    <xf borderId="12" fillId="0" fontId="2" numFmtId="0" xfId="0" applyAlignment="1" applyBorder="1" applyFont="1">
      <alignment horizontal="center"/>
    </xf>
    <xf borderId="11" fillId="0" fontId="2" numFmtId="0" xfId="0" applyBorder="1" applyFont="1"/>
    <xf borderId="0" fillId="0" fontId="6" numFmtId="39" xfId="0" applyAlignment="1" applyFont="1" applyNumberFormat="1">
      <alignment horizontal="right" vertical="center"/>
    </xf>
    <xf borderId="12" fillId="0" fontId="18" numFmtId="4" xfId="0" applyAlignment="1" applyBorder="1" applyFont="1" applyNumberFormat="1">
      <alignment shrinkToFit="0" vertical="center" wrapText="1"/>
    </xf>
    <xf borderId="0" fillId="0" fontId="19" numFmtId="39" xfId="0" applyAlignment="1" applyFont="1" applyNumberFormat="1">
      <alignment horizontal="right" vertical="center"/>
    </xf>
    <xf borderId="13" fillId="6" fontId="7" numFmtId="166" xfId="0" applyAlignment="1" applyBorder="1" applyFont="1" applyNumberFormat="1">
      <alignment horizontal="left" vertical="center"/>
    </xf>
    <xf borderId="0" fillId="0" fontId="20" numFmtId="165" xfId="0" applyAlignment="1" applyFont="1" applyNumberFormat="1">
      <alignment horizontal="right" vertical="center"/>
    </xf>
    <xf borderId="14" fillId="8" fontId="2" numFmtId="167" xfId="0" applyAlignment="1" applyBorder="1" applyFill="1" applyFont="1" applyNumberFormat="1">
      <alignment horizontal="center" vertical="center"/>
    </xf>
    <xf borderId="15" fillId="8" fontId="2" numFmtId="168" xfId="0" applyAlignment="1" applyBorder="1" applyFont="1" applyNumberFormat="1">
      <alignment horizontal="center" vertical="center"/>
    </xf>
    <xf borderId="0" fillId="0" fontId="8" numFmtId="39" xfId="0" applyAlignment="1" applyFont="1" applyNumberFormat="1">
      <alignment horizontal="left" shrinkToFit="0" vertical="center" wrapText="1"/>
    </xf>
    <xf borderId="0" fillId="0" fontId="8" numFmtId="39" xfId="0" applyAlignment="1" applyFont="1" applyNumberFormat="1">
      <alignment horizontal="right" vertical="center"/>
    </xf>
    <xf borderId="16" fillId="8" fontId="2" numFmtId="168" xfId="0" applyAlignment="1" applyBorder="1" applyFont="1" applyNumberFormat="1">
      <alignment horizontal="center" vertical="center"/>
    </xf>
    <xf borderId="0" fillId="0" fontId="9" numFmtId="165" xfId="0" applyAlignment="1" applyFont="1" applyNumberFormat="1">
      <alignment horizontal="right" vertical="center"/>
    </xf>
    <xf borderId="0" fillId="0" fontId="14" numFmtId="39" xfId="0" applyAlignment="1" applyFont="1" applyNumberFormat="1">
      <alignment horizontal="right" vertical="center"/>
    </xf>
    <xf borderId="0" fillId="0" fontId="15" numFmtId="165" xfId="0" applyAlignment="1" applyFont="1" applyNumberFormat="1">
      <alignment horizontal="right" vertical="center"/>
    </xf>
    <xf borderId="0" fillId="0" fontId="8" numFmtId="39" xfId="0" applyAlignment="1" applyFont="1" applyNumberFormat="1">
      <alignment shrinkToFit="0" vertical="center" wrapText="1"/>
    </xf>
    <xf borderId="0" fillId="0" fontId="8" numFmtId="164" xfId="0" applyAlignment="1" applyFont="1" applyNumberFormat="1">
      <alignment horizontal="right" vertical="center"/>
    </xf>
    <xf borderId="0" fillId="0" fontId="21" numFmtId="0" xfId="0" applyAlignment="1" applyFont="1">
      <alignment horizontal="left" shrinkToFit="0" vertical="center" wrapText="1"/>
    </xf>
    <xf borderId="0" fillId="0" fontId="21" numFmtId="39" xfId="0" applyAlignment="1" applyFont="1" applyNumberFormat="1">
      <alignment vertical="center"/>
    </xf>
    <xf borderId="0" fillId="0" fontId="22" numFmtId="165" xfId="0" applyAlignment="1" applyFont="1" applyNumberFormat="1">
      <alignment vertical="center"/>
    </xf>
    <xf borderId="0" fillId="0" fontId="23" numFmtId="39" xfId="0" applyAlignment="1" applyFont="1" applyNumberFormat="1">
      <alignment vertical="center"/>
    </xf>
    <xf borderId="0" fillId="0" fontId="20" numFmtId="165" xfId="0" applyAlignment="1" applyFont="1" applyNumberFormat="1">
      <alignment vertical="center"/>
    </xf>
    <xf borderId="0" fillId="0" fontId="21" numFmtId="0" xfId="0" applyAlignment="1" applyFont="1">
      <alignment shrinkToFit="0" vertical="center" wrapText="1"/>
    </xf>
    <xf borderId="0" fillId="0" fontId="21" numFmtId="164" xfId="0" applyAlignment="1" applyFont="1" applyNumberFormat="1">
      <alignment vertical="center"/>
    </xf>
    <xf borderId="17" fillId="8" fontId="2" numFmtId="168" xfId="0" applyAlignment="1" applyBorder="1" applyFont="1" applyNumberFormat="1">
      <alignment horizontal="center" vertical="center"/>
    </xf>
    <xf borderId="14" fillId="8" fontId="2" numFmtId="9" xfId="0" applyAlignment="1" applyBorder="1" applyFont="1" applyNumberFormat="1">
      <alignment horizontal="center" vertical="center"/>
    </xf>
    <xf borderId="0" fillId="0" fontId="6" numFmtId="164" xfId="0" applyAlignment="1" applyFont="1" applyNumberFormat="1">
      <alignment horizontal="right" vertical="center"/>
    </xf>
    <xf borderId="0" fillId="0" fontId="2" numFmtId="9" xfId="0" applyFont="1" applyNumberFormat="1"/>
    <xf borderId="0" fillId="0" fontId="2" numFmtId="10" xfId="0" applyFont="1" applyNumberFormat="1"/>
    <xf borderId="0" fillId="0" fontId="2" numFmtId="168" xfId="0" applyFont="1" applyNumberFormat="1"/>
    <xf borderId="0" fillId="0" fontId="2" numFmtId="169" xfId="0" applyFont="1" applyNumberFormat="1"/>
    <xf borderId="18" fillId="9" fontId="7" numFmtId="166" xfId="0" applyAlignment="1" applyBorder="1" applyFill="1" applyFont="1" applyNumberFormat="1">
      <alignment horizontal="left" vertical="center"/>
    </xf>
    <xf borderId="19" fillId="9" fontId="2" numFmtId="167" xfId="0" applyAlignment="1" applyBorder="1" applyFont="1" applyNumberFormat="1">
      <alignment horizontal="center" vertical="center"/>
    </xf>
    <xf borderId="20" fillId="9" fontId="2" numFmtId="168" xfId="0" applyAlignment="1" applyBorder="1" applyFont="1" applyNumberFormat="1">
      <alignment horizontal="center" vertical="center"/>
    </xf>
    <xf borderId="21" fillId="9" fontId="2" numFmtId="168" xfId="0" applyAlignment="1" applyBorder="1" applyFont="1" applyNumberFormat="1">
      <alignment horizontal="center" vertical="center"/>
    </xf>
    <xf borderId="22" fillId="9" fontId="2" numFmtId="168" xfId="0" applyAlignment="1" applyBorder="1" applyFont="1" applyNumberFormat="1">
      <alignment horizontal="center" vertical="center"/>
    </xf>
    <xf borderId="19" fillId="9" fontId="2" numFmtId="9" xfId="0" applyAlignment="1" applyBorder="1" applyFont="1" applyNumberFormat="1">
      <alignment horizontal="center" vertical="center"/>
    </xf>
    <xf borderId="23" fillId="0" fontId="8" numFmtId="164" xfId="0" applyAlignment="1" applyBorder="1" applyFont="1" applyNumberFormat="1">
      <alignment horizontal="right" vertical="center"/>
    </xf>
    <xf borderId="0" fillId="0" fontId="2" numFmtId="0" xfId="0" applyAlignment="1" applyFont="1">
      <alignment shrinkToFit="0" wrapText="1"/>
    </xf>
    <xf borderId="23" fillId="0" fontId="9" numFmtId="165" xfId="0" applyAlignment="1" applyBorder="1" applyFont="1" applyNumberFormat="1">
      <alignment horizontal="right" vertical="center"/>
    </xf>
    <xf borderId="0" fillId="0" fontId="24" numFmtId="0" xfId="0" applyFont="1"/>
    <xf borderId="0" fillId="0" fontId="24" numFmtId="167" xfId="0" applyAlignment="1" applyFont="1" applyNumberFormat="1">
      <alignment horizontal="right"/>
    </xf>
    <xf borderId="0" fillId="0" fontId="24" numFmtId="10" xfId="0" applyFont="1" applyNumberFormat="1"/>
    <xf borderId="0" fillId="0" fontId="24" numFmtId="168" xfId="0" applyFont="1" applyNumberFormat="1"/>
    <xf borderId="0" fillId="0" fontId="24" numFmtId="0" xfId="0" applyAlignment="1" applyFont="1">
      <alignment horizontal="center"/>
    </xf>
    <xf borderId="24" fillId="10" fontId="9" numFmtId="165" xfId="0" applyAlignment="1" applyBorder="1" applyFill="1" applyFont="1" applyNumberFormat="1">
      <alignment horizontal="right" vertical="center"/>
    </xf>
    <xf borderId="0" fillId="0" fontId="25" numFmtId="0" xfId="0" applyFont="1"/>
    <xf borderId="0" fillId="0" fontId="24" numFmtId="0" xfId="0" applyAlignment="1" applyFont="1">
      <alignment horizontal="right"/>
    </xf>
    <xf borderId="0" fillId="0" fontId="24" numFmtId="168" xfId="0" applyAlignment="1" applyFont="1" applyNumberFormat="1">
      <alignment horizontal="center"/>
    </xf>
    <xf borderId="0" fillId="0" fontId="18" numFmtId="164" xfId="0" applyAlignment="1" applyFont="1" applyNumberFormat="1">
      <alignment horizontal="right" vertical="center"/>
    </xf>
    <xf borderId="0" fillId="0" fontId="26" numFmtId="165" xfId="0" applyAlignment="1" applyFont="1" applyNumberFormat="1">
      <alignment horizontal="right" vertical="center"/>
    </xf>
    <xf borderId="1" fillId="11" fontId="27" numFmtId="0" xfId="0" applyBorder="1" applyFill="1" applyFont="1"/>
    <xf borderId="0" fillId="0" fontId="28" numFmtId="0" xfId="0" applyAlignment="1" applyFont="1">
      <alignment horizontal="left"/>
    </xf>
    <xf borderId="0" fillId="0" fontId="28" numFmtId="0" xfId="0" applyAlignment="1" applyFont="1">
      <alignment horizontal="right"/>
    </xf>
    <xf borderId="0" fillId="0" fontId="5" numFmtId="0" xfId="0" applyAlignment="1" applyFont="1">
      <alignment shrinkToFit="0" vertical="center" wrapText="1"/>
    </xf>
    <xf borderId="0" fillId="0" fontId="5" numFmtId="164" xfId="0" applyAlignment="1" applyFont="1" applyNumberFormat="1">
      <alignment vertical="center"/>
    </xf>
    <xf borderId="0" fillId="0" fontId="28" numFmtId="0" xfId="0" applyFont="1"/>
    <xf borderId="1" fillId="10" fontId="26" numFmtId="165" xfId="0" applyAlignment="1" applyBorder="1" applyFont="1" applyNumberFormat="1">
      <alignment horizontal="right" vertical="center"/>
    </xf>
    <xf borderId="23" fillId="0" fontId="8" numFmtId="39" xfId="0" applyAlignment="1" applyBorder="1" applyFont="1" applyNumberFormat="1">
      <alignment horizontal="right" vertical="center"/>
    </xf>
    <xf borderId="23" fillId="0" fontId="14" numFmtId="39" xfId="0" applyAlignment="1" applyBorder="1" applyFont="1" applyNumberFormat="1">
      <alignment horizontal="right" vertical="center"/>
    </xf>
    <xf borderId="23" fillId="0" fontId="15" numFmtId="165" xfId="0" applyAlignment="1" applyBorder="1" applyFont="1" applyNumberFormat="1">
      <alignment horizontal="right" vertical="center"/>
    </xf>
    <xf borderId="0" fillId="0" fontId="18" numFmtId="39" xfId="0" applyAlignment="1" applyFont="1" applyNumberFormat="1">
      <alignment horizontal="left" shrinkToFit="0" vertical="center" wrapText="1"/>
    </xf>
    <xf borderId="0" fillId="0" fontId="18" numFmtId="39" xfId="0" applyAlignment="1" applyFont="1" applyNumberFormat="1">
      <alignment horizontal="right" vertical="center"/>
    </xf>
    <xf borderId="0" fillId="0" fontId="5" numFmtId="0" xfId="0" applyAlignment="1" applyFont="1">
      <alignment horizontal="left" shrinkToFit="0" vertical="center" wrapText="1"/>
    </xf>
    <xf borderId="0" fillId="0" fontId="5" numFmtId="39" xfId="0" applyAlignment="1" applyFont="1" applyNumberFormat="1">
      <alignment vertical="center"/>
    </xf>
    <xf borderId="0" fillId="0" fontId="19" numFmtId="39" xfId="0" applyAlignment="1" applyFont="1" applyNumberFormat="1">
      <alignment vertical="center"/>
    </xf>
    <xf borderId="0" fillId="0" fontId="18" numFmtId="0" xfId="0" applyAlignment="1" applyFont="1">
      <alignment horizontal="left" shrinkToFit="0" vertical="center" wrapText="1"/>
    </xf>
    <xf borderId="0" fillId="0" fontId="18" numFmtId="39" xfId="0" applyAlignment="1" applyFont="1" applyNumberFormat="1">
      <alignment vertical="center"/>
    </xf>
    <xf borderId="0" fillId="0" fontId="13" numFmtId="170" xfId="0" applyAlignment="1" applyFont="1" applyNumberFormat="1">
      <alignment vertical="center"/>
    </xf>
    <xf borderId="0" fillId="0" fontId="20" numFmtId="170" xfId="0" applyAlignment="1" applyFont="1" applyNumberFormat="1">
      <alignment vertical="center"/>
    </xf>
    <xf borderId="0" fillId="0" fontId="6" numFmtId="0" xfId="0" applyFont="1"/>
  </cellXfs>
  <cellStyles count="1">
    <cellStyle xfId="0" name="Normal" builtinId="0"/>
  </cellStyles>
  <dxfs count="2">
    <dxf>
      <font>
        <color rgb="FFFF0000"/>
      </font>
      <fill>
        <patternFill patternType="none"/>
      </fill>
      <border/>
    </dxf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CC2E5"/>
    <pageSetUpPr/>
  </sheetPr>
  <sheetViews>
    <sheetView workbookViewId="0"/>
  </sheetViews>
  <sheetFormatPr customHeight="1" defaultColWidth="12.63" defaultRowHeight="15.75"/>
  <cols>
    <col customWidth="1" hidden="1" min="1" max="1" width="20.5"/>
    <col customWidth="1" min="2" max="2" width="23.5"/>
    <col customWidth="1" min="3" max="3" width="9.75"/>
    <col customWidth="1" min="4" max="4" width="6.0"/>
    <col customWidth="1" min="5" max="5" width="8.0"/>
    <col customWidth="1" min="6" max="6" width="8.63"/>
    <col customWidth="1" min="7" max="7" width="8.88"/>
    <col customWidth="1" min="8" max="8" width="7.13"/>
    <col customWidth="1" min="9" max="9" width="8.0"/>
    <col customWidth="1" min="10" max="10" width="8.63"/>
    <col customWidth="1" min="11" max="11" width="8.88"/>
    <col customWidth="1" min="12" max="12" width="7.13"/>
    <col customWidth="1" min="13" max="13" width="6.63"/>
    <col customWidth="1" min="14" max="14" width="6.25"/>
    <col customWidth="1" min="15" max="16" width="8.5"/>
    <col customWidth="1" min="17" max="17" width="9.75"/>
    <col customWidth="1" min="18" max="18" width="8.88"/>
    <col customWidth="1" min="19" max="19" width="7.13"/>
    <col customWidth="1" min="20" max="21" width="6.25"/>
    <col customWidth="1" min="22" max="23" width="8.5"/>
    <col customWidth="1" min="24" max="24" width="10.25"/>
    <col customWidth="1" min="25" max="33" width="7.63"/>
    <col customWidth="1" hidden="1" min="34" max="36" width="7.63"/>
    <col customWidth="1" hidden="1" min="37" max="37" width="7.75"/>
    <col customWidth="1" hidden="1" min="38" max="38" width="9.5"/>
    <col customWidth="1" hidden="1" min="39" max="39" width="7.75"/>
    <col customWidth="1" hidden="1" min="40" max="40" width="11.0"/>
    <col customWidth="1" hidden="1" min="41" max="41" width="16.5"/>
  </cols>
  <sheetData>
    <row r="1" ht="43.5" hidden="1" customHeight="1">
      <c r="A1" s="1"/>
      <c r="C1" s="2" t="str">
        <f>B2</f>
        <v>Week Ending 07/26/2026</v>
      </c>
      <c r="D1" s="1" t="str">
        <f>C1</f>
        <v>Week Ending 07/26/2026</v>
      </c>
      <c r="E1" s="1" t="str">
        <f t="shared" ref="E1:F1" si="1">+D1</f>
        <v>Week Ending 07/26/2026</v>
      </c>
      <c r="F1" s="1" t="str">
        <f t="shared" si="1"/>
        <v>Week Ending 07/26/2026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3</v>
      </c>
      <c r="L1" s="1" t="s">
        <v>3</v>
      </c>
      <c r="M1" s="1" t="s">
        <v>3</v>
      </c>
      <c r="N1" s="1" t="s">
        <v>3</v>
      </c>
      <c r="O1" s="7"/>
      <c r="P1" s="7"/>
      <c r="Q1" s="7"/>
      <c r="R1" s="1" t="s">
        <v>8</v>
      </c>
      <c r="S1" s="1" t="s">
        <v>8</v>
      </c>
      <c r="T1" s="1" t="s">
        <v>8</v>
      </c>
      <c r="U1" s="1" t="s">
        <v>8</v>
      </c>
      <c r="V1" s="7"/>
      <c r="W1" s="7"/>
      <c r="X1" s="7"/>
    </row>
    <row r="2" ht="43.5" customHeight="1">
      <c r="A2" s="12"/>
      <c r="B2" s="14" t="s">
        <v>25</v>
      </c>
      <c r="C2" s="12"/>
      <c r="D2" s="12"/>
      <c r="E2" s="12"/>
      <c r="F2" s="12"/>
      <c r="G2" s="18" t="s">
        <v>33</v>
      </c>
      <c r="H2" s="20"/>
      <c r="I2" s="20"/>
      <c r="J2" s="21"/>
      <c r="K2" s="18" t="s">
        <v>35</v>
      </c>
      <c r="L2" s="20"/>
      <c r="M2" s="20"/>
      <c r="N2" s="21"/>
      <c r="O2" s="18" t="s">
        <v>36</v>
      </c>
      <c r="P2" s="20"/>
      <c r="Q2" s="21"/>
      <c r="R2" s="18" t="s">
        <v>37</v>
      </c>
      <c r="S2" s="20"/>
      <c r="T2" s="20"/>
      <c r="U2" s="21"/>
      <c r="V2" s="18" t="s">
        <v>38</v>
      </c>
      <c r="W2" s="20"/>
      <c r="X2" s="21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</row>
    <row r="3" ht="43.5" customHeight="1">
      <c r="A3" s="28"/>
      <c r="B3" s="29" t="s">
        <v>39</v>
      </c>
      <c r="C3" s="29" t="s">
        <v>17</v>
      </c>
      <c r="D3" s="30" t="s">
        <v>40</v>
      </c>
      <c r="E3" s="31" t="s">
        <v>41</v>
      </c>
      <c r="F3" s="32" t="s">
        <v>42</v>
      </c>
      <c r="G3" s="33" t="s">
        <v>17</v>
      </c>
      <c r="H3" s="34" t="s">
        <v>40</v>
      </c>
      <c r="I3" s="35" t="s">
        <v>43</v>
      </c>
      <c r="J3" s="36" t="s">
        <v>42</v>
      </c>
      <c r="K3" s="37" t="s">
        <v>17</v>
      </c>
      <c r="L3" s="38" t="s">
        <v>40</v>
      </c>
      <c r="M3" s="39" t="s">
        <v>43</v>
      </c>
      <c r="N3" s="40" t="s">
        <v>42</v>
      </c>
      <c r="O3" s="41" t="s">
        <v>44</v>
      </c>
      <c r="P3" s="42" t="s">
        <v>45</v>
      </c>
      <c r="Q3" s="43" t="s">
        <v>46</v>
      </c>
      <c r="R3" s="44" t="s">
        <v>17</v>
      </c>
      <c r="S3" s="45" t="s">
        <v>40</v>
      </c>
      <c r="T3" s="46" t="s">
        <v>43</v>
      </c>
      <c r="U3" s="47" t="s">
        <v>42</v>
      </c>
      <c r="V3" s="48" t="s">
        <v>47</v>
      </c>
      <c r="W3" s="49" t="s">
        <v>48</v>
      </c>
      <c r="X3" s="50" t="s">
        <v>49</v>
      </c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</row>
    <row r="4" ht="43.5" hidden="1" customHeight="1">
      <c r="B4" s="29" t="s">
        <v>39</v>
      </c>
      <c r="C4" s="52" t="s">
        <v>51</v>
      </c>
      <c r="D4" s="53" t="s">
        <v>52</v>
      </c>
      <c r="E4" s="54" t="s">
        <v>53</v>
      </c>
      <c r="F4" s="55" t="s">
        <v>54</v>
      </c>
      <c r="G4" s="52" t="s">
        <v>51</v>
      </c>
      <c r="H4" s="53" t="s">
        <v>52</v>
      </c>
      <c r="I4" s="54" t="s">
        <v>53</v>
      </c>
      <c r="J4" s="55" t="s">
        <v>54</v>
      </c>
      <c r="K4" s="52" t="s">
        <v>51</v>
      </c>
      <c r="L4" s="53" t="s">
        <v>52</v>
      </c>
      <c r="M4" s="54" t="s">
        <v>53</v>
      </c>
      <c r="N4" s="55" t="s">
        <v>54</v>
      </c>
      <c r="O4" s="56"/>
      <c r="P4" s="56"/>
      <c r="Q4" s="57"/>
      <c r="R4" s="58" t="s">
        <v>51</v>
      </c>
      <c r="S4" s="53" t="s">
        <v>52</v>
      </c>
      <c r="T4" s="54" t="s">
        <v>53</v>
      </c>
      <c r="U4" s="60" t="s">
        <v>54</v>
      </c>
      <c r="V4" s="56"/>
      <c r="W4" s="56"/>
      <c r="X4" s="57"/>
    </row>
    <row r="5" ht="15.0" customHeight="1">
      <c r="A5" s="52" t="s">
        <v>18</v>
      </c>
      <c r="B5" s="62" t="str">
        <f t="shared" ref="B5:B8" si="4">A5</f>
        <v>4 - RASA - MVT</v>
      </c>
      <c r="C5" s="64">
        <f t="shared" ref="C5:C9" si="5">INDEX(INDIRECT("'"&amp;$A5&amp;"'!$1:$1048576"),MATCH(C$4,INDIRECT("'"&amp;$A5&amp;"'!A:A"),0),MATCH(C$1,INDIRECT("'"&amp;$A5&amp;"'!$5:$5"),0))</f>
        <v>46477.03</v>
      </c>
      <c r="D5" s="65">
        <f t="array" ref="D5">INDEX(INDIRECT("'"&amp;$A5&amp;"'!$1:$1048576"),MATCH(D$4,INDIRECT("'"&amp;$A5&amp;"'!A:A"),0),MATCH(D$1,INDIRECT("'"&amp;$A5&amp;"'!$5:$5"),0)+1)</f>
        <v>0.2397887731</v>
      </c>
      <c r="E5" s="65">
        <f t="array" ref="E5">INDEX(INDIRECT("'"&amp;$A5&amp;"'!$1:$1048576"),MATCH(E$4,INDIRECT("'"&amp;$A5&amp;"'!A:A"),0),MATCH(E$1,INDIRECT("'"&amp;$A5&amp;"'!$5:$5"),0)+1)</f>
        <v>0.2002092216</v>
      </c>
      <c r="F5" s="68">
        <f t="array" ref="F5">INDEX(INDIRECT("'"&amp;$A5&amp;"'!$1:$1048576"),MATCH(F$4,INDIRECT("'"&amp;$A5&amp;"'!A:A"),0),MATCH(F$1,INDIRECT("'"&amp;$A5&amp;"'!$5:$5"),0)+1)</f>
        <v>0.5600020053</v>
      </c>
      <c r="G5" s="64">
        <f t="shared" ref="G5:G9" si="6">INDEX(INDIRECT("'"&amp;$A5&amp;"'!$1:$1048576"),MATCH(G$4,INDIRECT("'"&amp;$A5&amp;"'!A:A"),0),MATCH(G$1,INDIRECT("'"&amp;$A5&amp;"'!$5:$5"),0))</f>
        <v>208016.34</v>
      </c>
      <c r="H5" s="65">
        <f t="array" ref="H5">INDEX(INDIRECT("'"&amp;$A5&amp;"'!$1:$1048576"),MATCH(H$4,INDIRECT("'"&amp;$A5&amp;"'!A:A"),0),MATCH(H$1,INDIRECT("'"&amp;$A5&amp;"'!$5:$5"),0)+1)</f>
        <v>0.2309771915</v>
      </c>
      <c r="I5" s="65">
        <f t="array" ref="I5">INDEX(INDIRECT("'"&amp;$A5&amp;"'!$1:$1048576"),MATCH(I$4,INDIRECT("'"&amp;$A5&amp;"'!A:A"),0),MATCH(I$1,INDIRECT("'"&amp;$A5&amp;"'!$5:$5"),0)+1)</f>
        <v>0.2104311132</v>
      </c>
      <c r="J5" s="68">
        <f t="array" ref="J5">INDEX(INDIRECT("'"&amp;$A5&amp;"'!$1:$1048576"),MATCH(J$4,INDIRECT("'"&amp;$A5&amp;"'!A:A"),0),MATCH(J$1,INDIRECT("'"&amp;$A5&amp;"'!$5:$5"),0)+1)</f>
        <v>0.5585916952</v>
      </c>
      <c r="K5" s="64">
        <f t="shared" ref="K5:K9" si="7">INDEX(INDIRECT("'"&amp;$A5&amp;"'!$1:$1048576"),MATCH(K$4,INDIRECT("'"&amp;$A5&amp;"'!A:A"),0),MATCH(K$1,INDIRECT("'"&amp;$A5&amp;"'!$5:$5"),0))</f>
        <v>52004.085</v>
      </c>
      <c r="L5" s="65">
        <f t="array" ref="L5">INDEX(INDIRECT("'"&amp;$A5&amp;"'!$1:$1048576"),MATCH(L$4,INDIRECT("'"&amp;$A5&amp;"'!A:A"),0),MATCH(L$1,INDIRECT("'"&amp;$A5&amp;"'!$5:$5"),0)+1)</f>
        <v>0.2309771915</v>
      </c>
      <c r="M5" s="65">
        <f t="array" ref="M5">INDEX(INDIRECT("'"&amp;$A5&amp;"'!$1:$1048576"),MATCH(M$4,INDIRECT("'"&amp;$A5&amp;"'!A:A"),0),MATCH(M$1,INDIRECT("'"&amp;$A5&amp;"'!$5:$5"),0)+1)</f>
        <v>0.2104311132</v>
      </c>
      <c r="N5" s="81">
        <f t="array" ref="N5">INDEX(INDIRECT("'"&amp;$A5&amp;"'!$1:$1048576"),MATCH(N$4,INDIRECT("'"&amp;$A5&amp;"'!A:A"),0),MATCH(N$1,INDIRECT("'"&amp;$A5&amp;"'!$5:$5"),0)+1)</f>
        <v>0.5585916952</v>
      </c>
      <c r="O5" s="82">
        <f t="shared" ref="O5:O9" si="8">+(C5-K5)/K5</f>
        <v>-0.10628117</v>
      </c>
      <c r="P5" s="65">
        <f t="shared" ref="P5:Q5" si="2">+D5-L5</f>
        <v>0.008811581574</v>
      </c>
      <c r="Q5" s="68">
        <f t="shared" si="2"/>
        <v>-0.01022189162</v>
      </c>
      <c r="R5" s="64">
        <f t="shared" ref="R5:R9" si="10">INDEX(INDIRECT("'"&amp;$A5&amp;"'!$1:$1048576"),MATCH(R$4,INDIRECT("'"&amp;$A5&amp;"'!A:A"),0),MATCH(R$1,INDIRECT("'"&amp;$A5&amp;"'!$5:$5"),0))</f>
        <v>50775.46125</v>
      </c>
      <c r="S5" s="65">
        <f t="array" ref="S5">INDEX(INDIRECT("'"&amp;$A5&amp;"'!$1:$1048576"),MATCH(S$4,INDIRECT("'"&amp;$A5&amp;"'!A:A"),0),MATCH(S$1,INDIRECT("'"&amp;$A5&amp;"'!$5:$5"),0)+1)</f>
        <v>0.2425674173</v>
      </c>
      <c r="T5" s="65">
        <f t="array" ref="T5">INDEX(INDIRECT("'"&amp;$A5&amp;"'!$1:$1048576"),MATCH(T$4,INDIRECT("'"&amp;$A5&amp;"'!A:A"),0),MATCH(T$1,INDIRECT("'"&amp;$A5&amp;"'!$5:$5"),0)+1)</f>
        <v>0.2080560863</v>
      </c>
      <c r="U5" s="68">
        <f t="array" ref="U5">INDEX(INDIRECT("'"&amp;$A5&amp;"'!$1:$1048576"),MATCH(U$4,INDIRECT("'"&amp;$A5&amp;"'!A:A"),0),MATCH(U$1,INDIRECT("'"&amp;$A5&amp;"'!$5:$5"),0)+1)</f>
        <v>0.5493764963</v>
      </c>
      <c r="V5" s="82">
        <f t="shared" ref="V5:V9" si="11">+(C5-R5)/R5</f>
        <v>-0.084655681</v>
      </c>
      <c r="W5" s="65">
        <f t="shared" ref="W5:X5" si="3">+D5-S5</f>
        <v>-0.002778644269</v>
      </c>
      <c r="X5" s="68">
        <f t="shared" si="3"/>
        <v>-0.007846864714</v>
      </c>
      <c r="Z5" s="86"/>
      <c r="AK5" s="52" t="s">
        <v>71</v>
      </c>
      <c r="AL5" s="87">
        <v>46033.0</v>
      </c>
      <c r="AM5" s="52">
        <f t="shared" ref="AM5:AM51" si="13">YEAR(AL5)</f>
        <v>2026</v>
      </c>
      <c r="AN5" s="52" t="str">
        <f t="shared" ref="AN5:AN51" si="14">AK5&amp;", "&amp;AM5</f>
        <v>Week 2, 2026</v>
      </c>
      <c r="AO5" s="52" t="str">
        <f t="shared" ref="AO5:AO51" si="15">"Week Ending "&amp;TEXT(AL5,"mm/dd/yyyy")</f>
        <v>Week Ending 01/11/2026</v>
      </c>
    </row>
    <row r="6" ht="15.0" customHeight="1">
      <c r="A6" s="52" t="s">
        <v>72</v>
      </c>
      <c r="B6" s="62" t="str">
        <f t="shared" si="4"/>
        <v>5 - RASA - National Landin</v>
      </c>
      <c r="C6" s="64">
        <f t="shared" si="5"/>
        <v>38952.86</v>
      </c>
      <c r="D6" s="65">
        <f t="array" ref="D6">INDEX(INDIRECT("'"&amp;$A6&amp;"'!$1:$1048576"),MATCH(D$4,INDIRECT("'"&amp;$A6&amp;"'!A:A"),0),MATCH(D$1,INDIRECT("'"&amp;$A6&amp;"'!$5:$5"),0)+1)</f>
        <v>0.253436333</v>
      </c>
      <c r="E6" s="65">
        <f t="array" ref="E6">INDEX(INDIRECT("'"&amp;$A6&amp;"'!$1:$1048576"),MATCH(E$4,INDIRECT("'"&amp;$A6&amp;"'!A:A"),0),MATCH(E$1,INDIRECT("'"&amp;$A6&amp;"'!$5:$5"),0)+1)</f>
        <v>0.2966359851</v>
      </c>
      <c r="F6" s="68">
        <f t="array" ref="F6">INDEX(INDIRECT("'"&amp;$A6&amp;"'!$1:$1048576"),MATCH(F$4,INDIRECT("'"&amp;$A6&amp;"'!A:A"),0),MATCH(F$1,INDIRECT("'"&amp;$A6&amp;"'!$5:$5"),0)+1)</f>
        <v>0.4499276818</v>
      </c>
      <c r="G6" s="64">
        <f t="shared" si="6"/>
        <v>147866.18</v>
      </c>
      <c r="H6" s="65">
        <f t="array" ref="H6">INDEX(INDIRECT("'"&amp;$A6&amp;"'!$1:$1048576"),MATCH(H$4,INDIRECT("'"&amp;$A6&amp;"'!A:A"),0),MATCH(H$1,INDIRECT("'"&amp;$A6&amp;"'!$5:$5"),0)+1)</f>
        <v>0.2460332714</v>
      </c>
      <c r="I6" s="65">
        <f t="array" ref="I6">INDEX(INDIRECT("'"&amp;$A6&amp;"'!$1:$1048576"),MATCH(I$4,INDIRECT("'"&amp;$A6&amp;"'!A:A"),0),MATCH(I$1,INDIRECT("'"&amp;$A6&amp;"'!$5:$5"),0)+1)</f>
        <v>0.2540339515</v>
      </c>
      <c r="J6" s="68">
        <f t="array" ref="J6">INDEX(INDIRECT("'"&amp;$A6&amp;"'!$1:$1048576"),MATCH(J$4,INDIRECT("'"&amp;$A6&amp;"'!A:A"),0),MATCH(J$1,INDIRECT("'"&amp;$A6&amp;"'!$5:$5"),0)+1)</f>
        <v>0.4999327771</v>
      </c>
      <c r="K6" s="64">
        <f t="shared" si="7"/>
        <v>36966.545</v>
      </c>
      <c r="L6" s="65">
        <f t="array" ref="L6">INDEX(INDIRECT("'"&amp;$A6&amp;"'!$1:$1048576"),MATCH(L$4,INDIRECT("'"&amp;$A6&amp;"'!A:A"),0),MATCH(L$1,INDIRECT("'"&amp;$A6&amp;"'!$5:$5"),0)+1)</f>
        <v>0.2460332714</v>
      </c>
      <c r="M6" s="65">
        <f t="array" ref="M6">INDEX(INDIRECT("'"&amp;$A6&amp;"'!$1:$1048576"),MATCH(M$4,INDIRECT("'"&amp;$A6&amp;"'!A:A"),0),MATCH(M$1,INDIRECT("'"&amp;$A6&amp;"'!$5:$5"),0)+1)</f>
        <v>0.2540339515</v>
      </c>
      <c r="N6" s="81">
        <f t="array" ref="N6">INDEX(INDIRECT("'"&amp;$A6&amp;"'!$1:$1048576"),MATCH(N$4,INDIRECT("'"&amp;$A6&amp;"'!A:A"),0),MATCH(N$1,INDIRECT("'"&amp;$A6&amp;"'!$5:$5"),0)+1)</f>
        <v>0.4999327771</v>
      </c>
      <c r="O6" s="82">
        <f t="shared" si="8"/>
        <v>0.05373277378</v>
      </c>
      <c r="P6" s="65">
        <f t="shared" ref="P6:Q6" si="9">+D6-L6</f>
        <v>0.00740306161</v>
      </c>
      <c r="Q6" s="68">
        <f t="shared" si="9"/>
        <v>0.04260203363</v>
      </c>
      <c r="R6" s="64">
        <f t="shared" si="10"/>
        <v>33403.74625</v>
      </c>
      <c r="S6" s="65">
        <f t="array" ref="S6">INDEX(INDIRECT("'"&amp;$A6&amp;"'!$1:$1048576"),MATCH(S$4,INDIRECT("'"&amp;$A6&amp;"'!A:A"),0),MATCH(S$1,INDIRECT("'"&amp;$A6&amp;"'!$5:$5"),0)+1)</f>
        <v>0.2530478524</v>
      </c>
      <c r="T6" s="65">
        <f t="array" ref="T6">INDEX(INDIRECT("'"&amp;$A6&amp;"'!$1:$1048576"),MATCH(T$4,INDIRECT("'"&amp;$A6&amp;"'!A:A"),0),MATCH(T$1,INDIRECT("'"&amp;$A6&amp;"'!$5:$5"),0)+1)</f>
        <v>0.2578959613</v>
      </c>
      <c r="U6" s="68">
        <f t="array" ref="U6">INDEX(INDIRECT("'"&amp;$A6&amp;"'!$1:$1048576"),MATCH(U$4,INDIRECT("'"&amp;$A6&amp;"'!A:A"),0),MATCH(U$1,INDIRECT("'"&amp;$A6&amp;"'!$5:$5"),0)+1)</f>
        <v>0.4890561863</v>
      </c>
      <c r="V6" s="82">
        <f t="shared" si="11"/>
        <v>0.1661224974</v>
      </c>
      <c r="W6" s="65">
        <f t="shared" ref="W6:X6" si="12">+D6-S6</f>
        <v>0.0003884806649</v>
      </c>
      <c r="X6" s="68">
        <f t="shared" si="12"/>
        <v>0.03874002384</v>
      </c>
      <c r="Z6" s="86"/>
      <c r="AK6" s="52" t="s">
        <v>82</v>
      </c>
      <c r="AL6" s="87">
        <v>46040.0</v>
      </c>
      <c r="AM6" s="52">
        <f t="shared" si="13"/>
        <v>2026</v>
      </c>
      <c r="AN6" s="52" t="str">
        <f t="shared" si="14"/>
        <v>Week 3, 2026</v>
      </c>
      <c r="AO6" s="52" t="str">
        <f t="shared" si="15"/>
        <v>Week Ending 01/18/2026</v>
      </c>
    </row>
    <row r="7" ht="43.5" customHeight="1">
      <c r="A7" s="52" t="s">
        <v>83</v>
      </c>
      <c r="B7" s="62" t="str">
        <f t="shared" si="4"/>
        <v>6 - RASA - Mosaic</v>
      </c>
      <c r="C7" s="64">
        <f t="shared" si="5"/>
        <v>28108.32</v>
      </c>
      <c r="D7" s="65">
        <f t="array" ref="D7">INDEX(INDIRECT("'"&amp;$A7&amp;"'!$1:$1048576"),MATCH(D$4,INDIRECT("'"&amp;$A7&amp;"'!A:A"),0),MATCH(D$1,INDIRECT("'"&amp;$A7&amp;"'!$5:$5"),0)+1)</f>
        <v>0.2453661407</v>
      </c>
      <c r="E7" s="65">
        <f t="array" ref="E7">INDEX(INDIRECT("'"&amp;$A7&amp;"'!$1:$1048576"),MATCH(E$4,INDIRECT("'"&amp;$A7&amp;"'!A:A"),0),MATCH(E$1,INDIRECT("'"&amp;$A7&amp;"'!$5:$5"),0)+1)</f>
        <v>0.1972586764</v>
      </c>
      <c r="F7" s="68">
        <f t="array" ref="F7">INDEX(INDIRECT("'"&amp;$A7&amp;"'!$1:$1048576"),MATCH(F$4,INDIRECT("'"&amp;$A7&amp;"'!A:A"),0),MATCH(F$1,INDIRECT("'"&amp;$A7&amp;"'!$5:$5"),0)+1)</f>
        <v>0.5573751829</v>
      </c>
      <c r="G7" s="64">
        <f t="shared" si="6"/>
        <v>128615.14</v>
      </c>
      <c r="H7" s="65">
        <f t="array" ref="H7">INDEX(INDIRECT("'"&amp;$A7&amp;"'!$1:$1048576"),MATCH(H$4,INDIRECT("'"&amp;$A7&amp;"'!A:A"),0),MATCH(H$1,INDIRECT("'"&amp;$A7&amp;"'!$5:$5"),0)+1)</f>
        <v>0.2529568447</v>
      </c>
      <c r="I7" s="65">
        <f t="array" ref="I7">INDEX(INDIRECT("'"&amp;$A7&amp;"'!$1:$1048576"),MATCH(I$4,INDIRECT("'"&amp;$A7&amp;"'!A:A"),0),MATCH(I$1,INDIRECT("'"&amp;$A7&amp;"'!$5:$5"),0)+1)</f>
        <v>0.2163364282</v>
      </c>
      <c r="J7" s="68">
        <f t="array" ref="J7">INDEX(INDIRECT("'"&amp;$A7&amp;"'!$1:$1048576"),MATCH(J$4,INDIRECT("'"&amp;$A7&amp;"'!A:A"),0),MATCH(J$1,INDIRECT("'"&amp;$A7&amp;"'!$5:$5"),0)+1)</f>
        <v>0.5307067271</v>
      </c>
      <c r="K7" s="64">
        <f t="shared" si="7"/>
        <v>32153.785</v>
      </c>
      <c r="L7" s="65">
        <f t="array" ref="L7">INDEX(INDIRECT("'"&amp;$A7&amp;"'!$1:$1048576"),MATCH(L$4,INDIRECT("'"&amp;$A7&amp;"'!A:A"),0),MATCH(L$1,INDIRECT("'"&amp;$A7&amp;"'!$5:$5"),0)+1)</f>
        <v>0.2529568447</v>
      </c>
      <c r="M7" s="65">
        <f t="array" ref="M7">INDEX(INDIRECT("'"&amp;$A7&amp;"'!$1:$1048576"),MATCH(M$4,INDIRECT("'"&amp;$A7&amp;"'!A:A"),0),MATCH(M$1,INDIRECT("'"&amp;$A7&amp;"'!$5:$5"),0)+1)</f>
        <v>0.2163364282</v>
      </c>
      <c r="N7" s="81">
        <f t="array" ref="N7">INDEX(INDIRECT("'"&amp;$A7&amp;"'!$1:$1048576"),MATCH(N$4,INDIRECT("'"&amp;$A7&amp;"'!A:A"),0),MATCH(N$1,INDIRECT("'"&amp;$A7&amp;"'!$5:$5"),0)+1)</f>
        <v>0.5307067271</v>
      </c>
      <c r="O7" s="82">
        <f t="shared" si="8"/>
        <v>-0.1258161364</v>
      </c>
      <c r="P7" s="65">
        <f t="shared" ref="P7:Q7" si="16">+D7-L7</f>
        <v>-0.007590704037</v>
      </c>
      <c r="Q7" s="68">
        <f t="shared" si="16"/>
        <v>-0.01907775177</v>
      </c>
      <c r="R7" s="64">
        <f t="shared" si="10"/>
        <v>30461.70375</v>
      </c>
      <c r="S7" s="65">
        <f t="array" ref="S7">INDEX(INDIRECT("'"&amp;$A7&amp;"'!$1:$1048576"),MATCH(S$4,INDIRECT("'"&amp;$A7&amp;"'!A:A"),0),MATCH(S$1,INDIRECT("'"&amp;$A7&amp;"'!$5:$5"),0)+1)</f>
        <v>0.2646954703</v>
      </c>
      <c r="T7" s="65">
        <f t="array" ref="T7">INDEX(INDIRECT("'"&amp;$A7&amp;"'!$1:$1048576"),MATCH(T$4,INDIRECT("'"&amp;$A7&amp;"'!A:A"),0),MATCH(T$1,INDIRECT("'"&amp;$A7&amp;"'!$5:$5"),0)+1)</f>
        <v>0.2456881208</v>
      </c>
      <c r="U7" s="68">
        <f t="array" ref="U7">INDEX(INDIRECT("'"&amp;$A7&amp;"'!$1:$1048576"),MATCH(U$4,INDIRECT("'"&amp;$A7&amp;"'!A:A"),0),MATCH(U$1,INDIRECT("'"&amp;$A7&amp;"'!$5:$5"),0)+1)</f>
        <v>0.4896164089</v>
      </c>
      <c r="V7" s="82">
        <f t="shared" si="11"/>
        <v>-0.07725712814</v>
      </c>
      <c r="W7" s="65">
        <f t="shared" ref="W7:X7" si="17">+D7-S7</f>
        <v>-0.01932932959</v>
      </c>
      <c r="X7" s="68">
        <f t="shared" si="17"/>
        <v>-0.04842944434</v>
      </c>
      <c r="AK7" s="52" t="s">
        <v>92</v>
      </c>
      <c r="AL7" s="87">
        <v>46047.0</v>
      </c>
      <c r="AM7" s="52">
        <f t="shared" si="13"/>
        <v>2026</v>
      </c>
      <c r="AN7" s="52" t="str">
        <f t="shared" si="14"/>
        <v>Week 4, 2026</v>
      </c>
      <c r="AO7" s="52" t="str">
        <f t="shared" si="15"/>
        <v>Week Ending 01/25/2026</v>
      </c>
    </row>
    <row r="8" ht="43.5" customHeight="1">
      <c r="A8" s="52" t="s">
        <v>5</v>
      </c>
      <c r="B8" s="62" t="str">
        <f t="shared" si="4"/>
        <v>7 - RASA - Rockville</v>
      </c>
      <c r="C8" s="64">
        <f t="shared" si="5"/>
        <v>24894.06</v>
      </c>
      <c r="D8" s="65">
        <f t="array" ref="D8">INDEX(INDIRECT("'"&amp;$A8&amp;"'!$1:$1048576"),MATCH(D$4,INDIRECT("'"&amp;$A8&amp;"'!A:A"),0),MATCH(D$1,INDIRECT("'"&amp;$A8&amp;"'!$5:$5"),0)+1)</f>
        <v>0.2509397824</v>
      </c>
      <c r="E8" s="65">
        <f t="array" ref="E8">INDEX(INDIRECT("'"&amp;$A8&amp;"'!$1:$1048576"),MATCH(E$4,INDIRECT("'"&amp;$A8&amp;"'!A:A"),0),MATCH(E$1,INDIRECT("'"&amp;$A8&amp;"'!$5:$5"),0)+1)</f>
        <v>0.2709951691</v>
      </c>
      <c r="F8" s="68">
        <f t="array" ref="F8">INDEX(INDIRECT("'"&amp;$A8&amp;"'!$1:$1048576"),MATCH(F$4,INDIRECT("'"&amp;$A8&amp;"'!A:A"),0),MATCH(F$1,INDIRECT("'"&amp;$A8&amp;"'!$5:$5"),0)+1)</f>
        <v>0.4780650484</v>
      </c>
      <c r="G8" s="64">
        <f t="shared" si="6"/>
        <v>111502.39</v>
      </c>
      <c r="H8" s="65">
        <f t="array" ref="H8">INDEX(INDIRECT("'"&amp;$A8&amp;"'!$1:$1048576"),MATCH(H$4,INDIRECT("'"&amp;$A8&amp;"'!A:A"),0),MATCH(H$1,INDIRECT("'"&amp;$A8&amp;"'!$5:$5"),0)+1)</f>
        <v>0.2681577498</v>
      </c>
      <c r="I8" s="65">
        <f t="array" ref="I8">INDEX(INDIRECT("'"&amp;$A8&amp;"'!$1:$1048576"),MATCH(I$4,INDIRECT("'"&amp;$A8&amp;"'!A:A"),0),MATCH(I$1,INDIRECT("'"&amp;$A8&amp;"'!$5:$5"),0)+1)</f>
        <v>0.294905876</v>
      </c>
      <c r="J8" s="68">
        <f t="array" ref="J8">INDEX(INDIRECT("'"&amp;$A8&amp;"'!$1:$1048576"),MATCH(J$4,INDIRECT("'"&amp;$A8&amp;"'!A:A"),0),MATCH(J$1,INDIRECT("'"&amp;$A8&amp;"'!$5:$5"),0)+1)</f>
        <v>0.4369363742</v>
      </c>
      <c r="K8" s="64">
        <f t="shared" si="7"/>
        <v>27875.5975</v>
      </c>
      <c r="L8" s="65">
        <f t="array" ref="L8">INDEX(INDIRECT("'"&amp;$A8&amp;"'!$1:$1048576"),MATCH(L$4,INDIRECT("'"&amp;$A8&amp;"'!A:A"),0),MATCH(L$1,INDIRECT("'"&amp;$A8&amp;"'!$5:$5"),0)+1)</f>
        <v>0.2681577498</v>
      </c>
      <c r="M8" s="65">
        <f t="array" ref="M8">INDEX(INDIRECT("'"&amp;$A8&amp;"'!$1:$1048576"),MATCH(M$4,INDIRECT("'"&amp;$A8&amp;"'!A:A"),0),MATCH(M$1,INDIRECT("'"&amp;$A8&amp;"'!$5:$5"),0)+1)</f>
        <v>0.294905876</v>
      </c>
      <c r="N8" s="81">
        <f t="array" ref="N8">INDEX(INDIRECT("'"&amp;$A8&amp;"'!$1:$1048576"),MATCH(N$4,INDIRECT("'"&amp;$A8&amp;"'!A:A"),0),MATCH(N$1,INDIRECT("'"&amp;$A8&amp;"'!$5:$5"),0)+1)</f>
        <v>0.4369363742</v>
      </c>
      <c r="O8" s="82">
        <f t="shared" si="8"/>
        <v>-0.1069586939</v>
      </c>
      <c r="P8" s="65">
        <f t="shared" ref="P8:Q8" si="18">+D8-L8</f>
        <v>-0.01721796738</v>
      </c>
      <c r="Q8" s="68">
        <f t="shared" si="18"/>
        <v>-0.02391070688</v>
      </c>
      <c r="R8" s="64">
        <f t="shared" si="10"/>
        <v>28403.34875</v>
      </c>
      <c r="S8" s="65">
        <f t="array" ref="S8">INDEX(INDIRECT("'"&amp;$A8&amp;"'!$1:$1048576"),MATCH(S$4,INDIRECT("'"&amp;$A8&amp;"'!A:A"),0),MATCH(S$1,INDIRECT("'"&amp;$A8&amp;"'!$5:$5"),0)+1)</f>
        <v>0.2723817909</v>
      </c>
      <c r="T8" s="65">
        <f t="array" ref="T8">INDEX(INDIRECT("'"&amp;$A8&amp;"'!$1:$1048576"),MATCH(T$4,INDIRECT("'"&amp;$A8&amp;"'!A:A"),0),MATCH(T$1,INDIRECT("'"&amp;$A8&amp;"'!$5:$5"),0)+1)</f>
        <v>0.2844920267</v>
      </c>
      <c r="U8" s="68">
        <f t="array" ref="U8">INDEX(INDIRECT("'"&amp;$A8&amp;"'!$1:$1048576"),MATCH(U$4,INDIRECT("'"&amp;$A8&amp;"'!A:A"),0),MATCH(U$1,INDIRECT("'"&amp;$A8&amp;"'!$5:$5"),0)+1)</f>
        <v>0.4431261824</v>
      </c>
      <c r="V8" s="82">
        <f t="shared" si="11"/>
        <v>-0.1235519368</v>
      </c>
      <c r="W8" s="65">
        <f t="shared" ref="W8:X8" si="19">+D8-S8</f>
        <v>-0.02144200848</v>
      </c>
      <c r="X8" s="68">
        <f t="shared" si="19"/>
        <v>-0.01349685754</v>
      </c>
      <c r="AK8" s="52" t="s">
        <v>105</v>
      </c>
      <c r="AL8" s="87">
        <v>46054.0</v>
      </c>
      <c r="AM8" s="52">
        <f t="shared" si="13"/>
        <v>2026</v>
      </c>
      <c r="AN8" s="52" t="str">
        <f t="shared" si="14"/>
        <v>Week 5, 2026</v>
      </c>
      <c r="AO8" s="52" t="str">
        <f t="shared" si="15"/>
        <v>Week Ending 02/01/2026</v>
      </c>
    </row>
    <row r="9" ht="15.0" customHeight="1">
      <c r="A9" s="52" t="s">
        <v>4</v>
      </c>
      <c r="B9" s="88" t="s">
        <v>106</v>
      </c>
      <c r="C9" s="89">
        <f t="shared" si="5"/>
        <v>138432.27</v>
      </c>
      <c r="D9" s="90">
        <f t="array" ref="D9">INDEX(INDIRECT("'"&amp;$A9&amp;"'!$1:$1048576"),MATCH(D$4,INDIRECT("'"&amp;$A9&amp;"'!A:A"),0),MATCH(D$1,INDIRECT("'"&amp;$A9&amp;"'!$5:$5"),0)+1)</f>
        <v>0.2467667402</v>
      </c>
      <c r="E9" s="90">
        <f t="array" ref="E9">INDEX(INDIRECT("'"&amp;$A9&amp;"'!$1:$1048576"),MATCH(E$4,INDIRECT("'"&amp;$A9&amp;"'!A:A"),0),MATCH(E$1,INDIRECT("'"&amp;$A9&amp;"'!$5:$5"),0)+1)</f>
        <v>0.2394725594</v>
      </c>
      <c r="F9" s="91">
        <f t="array" ref="F9">INDEX(INDIRECT("'"&amp;$A9&amp;"'!$1:$1048576"),MATCH(F$4,INDIRECT("'"&amp;$A9&amp;"'!A:A"),0),MATCH(F$1,INDIRECT("'"&amp;$A9&amp;"'!$5:$5"),0)+1)</f>
        <v>0.5137607004</v>
      </c>
      <c r="G9" s="89">
        <f t="shared" si="6"/>
        <v>596000.05</v>
      </c>
      <c r="H9" s="90">
        <f t="array" ref="H9">INDEX(INDIRECT("'"&amp;$A9&amp;"'!$1:$1048576"),MATCH(H$4,INDIRECT("'"&amp;$A9&amp;"'!A:A"),0),MATCH(H$1,INDIRECT("'"&amp;$A9&amp;"'!$5:$5"),0)+1)</f>
        <v>0.2464116236</v>
      </c>
      <c r="I9" s="90">
        <f t="array" ref="I9">INDEX(INDIRECT("'"&amp;$A9&amp;"'!$1:$1048576"),MATCH(I$4,INDIRECT("'"&amp;$A9&amp;"'!A:A"),0),MATCH(I$1,INDIRECT("'"&amp;$A9&amp;"'!$5:$5"),0)+1)</f>
        <v>0.2383271444</v>
      </c>
      <c r="J9" s="91">
        <f t="array" ref="J9">INDEX(INDIRECT("'"&amp;$A9&amp;"'!$1:$1048576"),MATCH(J$4,INDIRECT("'"&amp;$A9&amp;"'!A:A"),0),MATCH(J$1,INDIRECT("'"&amp;$A9&amp;"'!$5:$5"),0)+1)</f>
        <v>0.5152612319</v>
      </c>
      <c r="K9" s="89">
        <f t="shared" si="7"/>
        <v>149000.0125</v>
      </c>
      <c r="L9" s="90">
        <f t="array" ref="L9">INDEX(INDIRECT("'"&amp;$A9&amp;"'!$1:$1048576"),MATCH(L$4,INDIRECT("'"&amp;$A9&amp;"'!A:A"),0),MATCH(L$1,INDIRECT("'"&amp;$A9&amp;"'!$5:$5"),0)+1)</f>
        <v>0.2464116236</v>
      </c>
      <c r="M9" s="90">
        <f t="array" ref="M9">INDEX(INDIRECT("'"&amp;$A9&amp;"'!$1:$1048576"),MATCH(M$4,INDIRECT("'"&amp;$A9&amp;"'!A:A"),0),MATCH(M$1,INDIRECT("'"&amp;$A9&amp;"'!$5:$5"),0)+1)</f>
        <v>0.2383271444</v>
      </c>
      <c r="N9" s="92">
        <f t="array" ref="N9">INDEX(INDIRECT("'"&amp;$A9&amp;"'!$1:$1048576"),MATCH(N$4,INDIRECT("'"&amp;$A9&amp;"'!A:A"),0),MATCH(N$1,INDIRECT("'"&amp;$A9&amp;"'!$5:$5"),0)+1)</f>
        <v>0.5152612319</v>
      </c>
      <c r="O9" s="93">
        <f t="shared" si="8"/>
        <v>-0.07092444036</v>
      </c>
      <c r="P9" s="90">
        <f t="shared" ref="P9:Q9" si="20">+D9-L9</f>
        <v>0.0003551165307</v>
      </c>
      <c r="Q9" s="91">
        <f t="shared" si="20"/>
        <v>0.001145414961</v>
      </c>
      <c r="R9" s="89">
        <f t="shared" si="10"/>
        <v>143044.26</v>
      </c>
      <c r="S9" s="90">
        <f t="array" ref="S9">INDEX(INDIRECT("'"&amp;$A9&amp;"'!$1:$1048576"),MATCH(S$4,INDIRECT("'"&amp;$A9&amp;"'!A:A"),0),MATCH(S$1,INDIRECT("'"&amp;$A9&amp;"'!$5:$5"),0)+1)</f>
        <v>0.2556470896</v>
      </c>
      <c r="T9" s="90">
        <f t="array" ref="T9">INDEX(INDIRECT("'"&amp;$A9&amp;"'!$1:$1048576"),MATCH(T$4,INDIRECT("'"&amp;$A9&amp;"'!A:A"),0),MATCH(T$1,INDIRECT("'"&amp;$A9&amp;"'!$5:$5"),0)+1)</f>
        <v>0.2428859431</v>
      </c>
      <c r="U9" s="91">
        <f t="array" ref="U9">INDEX(INDIRECT("'"&amp;$A9&amp;"'!$1:$1048576"),MATCH(U$4,INDIRECT("'"&amp;$A9&amp;"'!A:A"),0),MATCH(U$1,INDIRECT("'"&amp;$A9&amp;"'!$5:$5"),0)+1)</f>
        <v>0.5014669673</v>
      </c>
      <c r="V9" s="93">
        <f t="shared" si="11"/>
        <v>-0.03224169918</v>
      </c>
      <c r="W9" s="90">
        <f t="shared" ref="W9:X9" si="21">+D9-S9</f>
        <v>-0.008880349425</v>
      </c>
      <c r="X9" s="91">
        <f t="shared" si="21"/>
        <v>-0.003413383737</v>
      </c>
      <c r="AK9" s="52" t="s">
        <v>117</v>
      </c>
      <c r="AL9" s="87">
        <v>46061.0</v>
      </c>
      <c r="AM9" s="52">
        <f t="shared" si="13"/>
        <v>2026</v>
      </c>
      <c r="AN9" s="52" t="str">
        <f t="shared" si="14"/>
        <v>Week 6, 2026</v>
      </c>
      <c r="AO9" s="52" t="str">
        <f t="shared" si="15"/>
        <v>Week Ending 02/08/2026</v>
      </c>
    </row>
    <row r="10" ht="43.5" customHeight="1">
      <c r="E10" s="95"/>
      <c r="O10" s="7"/>
      <c r="P10" s="7"/>
      <c r="Q10" s="7"/>
      <c r="V10" s="7"/>
      <c r="W10" s="7"/>
      <c r="X10" s="7"/>
      <c r="AK10" s="52" t="s">
        <v>118</v>
      </c>
      <c r="AL10" s="87">
        <v>46068.0</v>
      </c>
      <c r="AM10" s="52">
        <f t="shared" si="13"/>
        <v>2026</v>
      </c>
      <c r="AN10" s="52" t="str">
        <f t="shared" si="14"/>
        <v>Week 7, 2026</v>
      </c>
      <c r="AO10" s="52" t="str">
        <f t="shared" si="15"/>
        <v>Week Ending 02/15/2026</v>
      </c>
    </row>
    <row r="11" ht="43.5" customHeight="1">
      <c r="A11" s="97"/>
      <c r="B11" s="97"/>
      <c r="C11" s="98"/>
      <c r="D11" s="97"/>
      <c r="E11" s="99"/>
      <c r="F11" s="99"/>
      <c r="G11" s="97"/>
      <c r="H11" s="97"/>
      <c r="I11" s="97"/>
      <c r="J11" s="97"/>
      <c r="K11" s="100"/>
      <c r="L11" s="97"/>
      <c r="M11" s="100"/>
      <c r="N11" s="97"/>
      <c r="O11" s="101"/>
      <c r="P11" s="101"/>
      <c r="Q11" s="101"/>
      <c r="R11" s="97"/>
      <c r="S11" s="97"/>
      <c r="T11" s="97"/>
      <c r="U11" s="97"/>
      <c r="V11" s="101"/>
      <c r="W11" s="101"/>
      <c r="X11" s="101"/>
      <c r="Y11" s="97"/>
      <c r="Z11" s="97"/>
      <c r="AA11" s="97"/>
      <c r="AB11" s="97"/>
      <c r="AC11" s="97"/>
      <c r="AD11" s="97"/>
      <c r="AE11" s="97"/>
      <c r="AF11" s="97"/>
      <c r="AG11" s="97"/>
      <c r="AH11" s="97"/>
      <c r="AI11" s="97"/>
      <c r="AJ11" s="97"/>
      <c r="AK11" s="52" t="s">
        <v>119</v>
      </c>
      <c r="AL11" s="87">
        <v>46075.0</v>
      </c>
      <c r="AM11" s="52">
        <f t="shared" si="13"/>
        <v>2026</v>
      </c>
      <c r="AN11" s="52" t="str">
        <f t="shared" si="14"/>
        <v>Week 8, 2026</v>
      </c>
      <c r="AO11" s="52" t="str">
        <f t="shared" si="15"/>
        <v>Week Ending 02/22/2026</v>
      </c>
    </row>
    <row r="12" ht="43.5" customHeight="1">
      <c r="B12" s="103" t="s">
        <v>120</v>
      </c>
      <c r="C12" s="104"/>
      <c r="D12" s="97"/>
      <c r="E12" s="99"/>
      <c r="F12" s="99"/>
      <c r="G12" s="97"/>
      <c r="H12" s="100"/>
      <c r="I12" s="97"/>
      <c r="J12" s="97"/>
      <c r="K12" s="100"/>
      <c r="L12" s="100"/>
      <c r="M12" s="97"/>
      <c r="N12" s="97"/>
      <c r="O12" s="101"/>
      <c r="P12" s="101"/>
      <c r="Q12" s="105"/>
      <c r="R12" s="97"/>
      <c r="S12" s="97"/>
      <c r="T12" s="97"/>
      <c r="U12" s="97"/>
      <c r="V12" s="101"/>
      <c r="W12" s="101"/>
      <c r="X12" s="101"/>
      <c r="Y12" s="97"/>
      <c r="Z12" s="97"/>
      <c r="AA12" s="97"/>
      <c r="AB12" s="97"/>
      <c r="AC12" s="97"/>
      <c r="AD12" s="97"/>
      <c r="AE12" s="97"/>
      <c r="AF12" s="97"/>
      <c r="AG12" s="97"/>
      <c r="AH12" s="97"/>
      <c r="AI12" s="97"/>
      <c r="AJ12" s="97"/>
      <c r="AK12" s="52" t="s">
        <v>122</v>
      </c>
      <c r="AL12" s="87">
        <v>46082.0</v>
      </c>
      <c r="AM12" s="52">
        <f t="shared" si="13"/>
        <v>2026</v>
      </c>
      <c r="AN12" s="52" t="str">
        <f t="shared" si="14"/>
        <v>Week 9, 2026</v>
      </c>
      <c r="AO12" s="52" t="str">
        <f t="shared" si="15"/>
        <v>Week Ending 03/01/2026</v>
      </c>
    </row>
    <row r="13" ht="43.5" customHeight="1">
      <c r="B13" s="97"/>
      <c r="C13" s="104"/>
      <c r="D13" s="97"/>
      <c r="E13" s="99"/>
      <c r="F13" s="99"/>
      <c r="G13" s="97"/>
      <c r="H13" s="97"/>
      <c r="I13" s="97"/>
      <c r="J13" s="97"/>
      <c r="K13" s="97"/>
      <c r="L13" s="97"/>
      <c r="M13" s="97"/>
      <c r="N13" s="97"/>
      <c r="O13" s="101"/>
      <c r="P13" s="101"/>
      <c r="Q13" s="101"/>
      <c r="R13" s="97"/>
      <c r="S13" s="97"/>
      <c r="T13" s="97"/>
      <c r="U13" s="97"/>
      <c r="V13" s="101"/>
      <c r="W13" s="101"/>
      <c r="X13" s="101"/>
      <c r="Y13" s="97"/>
      <c r="Z13" s="97"/>
      <c r="AA13" s="97"/>
      <c r="AB13" s="97"/>
      <c r="AC13" s="97"/>
      <c r="AD13" s="97"/>
      <c r="AE13" s="97"/>
      <c r="AF13" s="97"/>
      <c r="AG13" s="97"/>
      <c r="AH13" s="97"/>
      <c r="AI13" s="97"/>
      <c r="AJ13" s="97"/>
      <c r="AK13" s="52" t="s">
        <v>123</v>
      </c>
      <c r="AL13" s="87">
        <v>46089.0</v>
      </c>
      <c r="AM13" s="52">
        <f t="shared" si="13"/>
        <v>2026</v>
      </c>
      <c r="AN13" s="52" t="str">
        <f t="shared" si="14"/>
        <v>Week 10, 2026</v>
      </c>
      <c r="AO13" s="52" t="str">
        <f t="shared" si="15"/>
        <v>Week Ending 03/08/2026</v>
      </c>
    </row>
    <row r="14" ht="43.5" customHeight="1">
      <c r="A14" s="97"/>
      <c r="B14" s="108" t="s">
        <v>124</v>
      </c>
      <c r="C14" s="109"/>
      <c r="D14" s="97"/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101"/>
      <c r="P14" s="101"/>
      <c r="Q14" s="101"/>
      <c r="R14" s="97"/>
      <c r="S14" s="97"/>
      <c r="T14" s="97"/>
      <c r="U14" s="97"/>
      <c r="V14" s="101"/>
      <c r="W14" s="101"/>
      <c r="X14" s="101"/>
      <c r="Y14" s="97"/>
      <c r="Z14" s="97"/>
      <c r="AA14" s="97"/>
      <c r="AB14" s="97"/>
      <c r="AC14" s="97"/>
      <c r="AD14" s="97"/>
      <c r="AE14" s="97"/>
      <c r="AF14" s="97"/>
      <c r="AG14" s="97"/>
      <c r="AH14" s="97"/>
      <c r="AI14" s="97"/>
      <c r="AJ14" s="97"/>
      <c r="AK14" s="52" t="s">
        <v>125</v>
      </c>
      <c r="AL14" s="87">
        <v>46124.0</v>
      </c>
      <c r="AM14" s="52">
        <f t="shared" si="13"/>
        <v>2026</v>
      </c>
      <c r="AN14" s="52" t="str">
        <f t="shared" si="14"/>
        <v>Week 15, 2026</v>
      </c>
      <c r="AO14" s="52" t="str">
        <f t="shared" si="15"/>
        <v>Week Ending 04/12/2026</v>
      </c>
    </row>
    <row r="15" ht="43.5" customHeight="1">
      <c r="A15" s="97"/>
      <c r="B15" s="110" t="s">
        <v>126</v>
      </c>
      <c r="C15" s="109" t="s">
        <v>127</v>
      </c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101"/>
      <c r="P15" s="101"/>
      <c r="Q15" s="101"/>
      <c r="R15" s="97"/>
      <c r="S15" s="97"/>
      <c r="T15" s="97"/>
      <c r="U15" s="97"/>
      <c r="V15" s="101"/>
      <c r="W15" s="101"/>
      <c r="X15" s="101"/>
      <c r="Y15" s="97"/>
      <c r="Z15" s="97"/>
      <c r="AA15" s="97"/>
      <c r="AB15" s="97"/>
      <c r="AC15" s="97"/>
      <c r="AD15" s="97"/>
      <c r="AE15" s="97"/>
      <c r="AF15" s="97"/>
      <c r="AG15" s="97"/>
      <c r="AH15" s="97"/>
      <c r="AI15" s="97"/>
      <c r="AJ15" s="97"/>
      <c r="AK15" s="52" t="s">
        <v>128</v>
      </c>
      <c r="AL15" s="87">
        <v>46131.0</v>
      </c>
      <c r="AM15" s="52">
        <f t="shared" si="13"/>
        <v>2026</v>
      </c>
      <c r="AN15" s="52" t="str">
        <f t="shared" si="14"/>
        <v>Week 16, 2026</v>
      </c>
      <c r="AO15" s="52" t="str">
        <f t="shared" si="15"/>
        <v>Week Ending 04/19/2026</v>
      </c>
    </row>
    <row r="16" ht="43.5" customHeight="1">
      <c r="A16" s="97"/>
      <c r="B16" s="110" t="s">
        <v>129</v>
      </c>
      <c r="C16" s="109" t="s">
        <v>127</v>
      </c>
      <c r="D16" s="97"/>
      <c r="E16" s="97"/>
      <c r="F16" s="97"/>
      <c r="G16" s="97"/>
      <c r="H16" s="97"/>
      <c r="I16" s="97"/>
      <c r="J16" s="97"/>
      <c r="K16" s="97"/>
      <c r="L16" s="97"/>
      <c r="M16" s="97"/>
      <c r="N16" s="97"/>
      <c r="O16" s="101"/>
      <c r="P16" s="101"/>
      <c r="Q16" s="101"/>
      <c r="R16" s="97"/>
      <c r="S16" s="97"/>
      <c r="T16" s="97"/>
      <c r="U16" s="97"/>
      <c r="V16" s="101"/>
      <c r="W16" s="101"/>
      <c r="X16" s="101"/>
      <c r="Y16" s="97"/>
      <c r="Z16" s="97"/>
      <c r="AA16" s="97"/>
      <c r="AB16" s="97"/>
      <c r="AC16" s="97"/>
      <c r="AD16" s="97"/>
      <c r="AE16" s="97"/>
      <c r="AF16" s="97"/>
      <c r="AG16" s="97"/>
      <c r="AH16" s="97"/>
      <c r="AI16" s="97"/>
      <c r="AJ16" s="97"/>
      <c r="AK16" s="52" t="s">
        <v>130</v>
      </c>
      <c r="AL16" s="87">
        <v>46138.0</v>
      </c>
      <c r="AM16" s="52">
        <f t="shared" si="13"/>
        <v>2026</v>
      </c>
      <c r="AN16" s="52" t="str">
        <f t="shared" si="14"/>
        <v>Week 17, 2026</v>
      </c>
      <c r="AO16" s="52" t="str">
        <f t="shared" si="15"/>
        <v>Week Ending 04/26/2026</v>
      </c>
    </row>
    <row r="17" ht="43.5" customHeight="1">
      <c r="A17" s="97"/>
      <c r="B17" s="110"/>
      <c r="C17" s="109"/>
      <c r="D17" s="97"/>
      <c r="E17" s="97"/>
      <c r="F17" s="97"/>
      <c r="G17" s="97"/>
      <c r="H17" s="97"/>
      <c r="I17" s="97"/>
      <c r="J17" s="97"/>
      <c r="K17" s="97"/>
      <c r="L17" s="97"/>
      <c r="M17" s="97"/>
      <c r="N17" s="97"/>
      <c r="O17" s="101"/>
      <c r="P17" s="101"/>
      <c r="Q17" s="101"/>
      <c r="R17" s="97"/>
      <c r="S17" s="97"/>
      <c r="T17" s="97"/>
      <c r="U17" s="97"/>
      <c r="V17" s="101"/>
      <c r="W17" s="101"/>
      <c r="X17" s="101"/>
      <c r="Y17" s="97"/>
      <c r="Z17" s="97"/>
      <c r="AA17" s="97"/>
      <c r="AB17" s="97"/>
      <c r="AC17" s="97"/>
      <c r="AD17" s="97"/>
      <c r="AE17" s="97"/>
      <c r="AF17" s="97"/>
      <c r="AG17" s="97"/>
      <c r="AH17" s="97"/>
      <c r="AI17" s="97"/>
      <c r="AJ17" s="97"/>
      <c r="AK17" s="52" t="s">
        <v>132</v>
      </c>
      <c r="AL17" s="87">
        <v>46145.0</v>
      </c>
      <c r="AM17" s="52">
        <f t="shared" si="13"/>
        <v>2026</v>
      </c>
      <c r="AN17" s="52" t="str">
        <f t="shared" si="14"/>
        <v>Week 18, 2026</v>
      </c>
      <c r="AO17" s="52" t="str">
        <f t="shared" si="15"/>
        <v>Week Ending 05/03/2026</v>
      </c>
    </row>
    <row r="18" ht="43.5" customHeight="1">
      <c r="A18" s="97"/>
      <c r="B18" s="108" t="s">
        <v>133</v>
      </c>
      <c r="C18" s="109"/>
      <c r="D18" s="97"/>
      <c r="E18" s="97"/>
      <c r="F18" s="97"/>
      <c r="G18" s="97"/>
      <c r="H18" s="97"/>
      <c r="I18" s="97"/>
      <c r="J18" s="97"/>
      <c r="K18" s="97"/>
      <c r="L18" s="97"/>
      <c r="M18" s="97"/>
      <c r="N18" s="97"/>
      <c r="O18" s="101"/>
      <c r="P18" s="101"/>
      <c r="Q18" s="101"/>
      <c r="R18" s="97"/>
      <c r="S18" s="97"/>
      <c r="T18" s="97"/>
      <c r="U18" s="97"/>
      <c r="V18" s="101"/>
      <c r="W18" s="101"/>
      <c r="X18" s="101"/>
      <c r="Y18" s="97"/>
      <c r="Z18" s="97"/>
      <c r="AA18" s="97"/>
      <c r="AB18" s="97"/>
      <c r="AC18" s="97"/>
      <c r="AD18" s="97"/>
      <c r="AE18" s="97"/>
      <c r="AF18" s="97"/>
      <c r="AG18" s="97"/>
      <c r="AH18" s="97"/>
      <c r="AI18" s="97"/>
      <c r="AJ18" s="97"/>
      <c r="AK18" s="52" t="s">
        <v>135</v>
      </c>
      <c r="AL18" s="87">
        <v>46152.0</v>
      </c>
      <c r="AM18" s="52">
        <f t="shared" si="13"/>
        <v>2026</v>
      </c>
      <c r="AN18" s="52" t="str">
        <f t="shared" si="14"/>
        <v>Week 19, 2026</v>
      </c>
      <c r="AO18" s="52" t="str">
        <f t="shared" si="15"/>
        <v>Week Ending 05/10/2026</v>
      </c>
    </row>
    <row r="19" ht="43.5" customHeight="1">
      <c r="A19" s="97"/>
      <c r="B19" s="110" t="s">
        <v>126</v>
      </c>
      <c r="C19" s="109" t="s">
        <v>127</v>
      </c>
      <c r="D19" s="97"/>
      <c r="E19" s="97"/>
      <c r="F19" s="97"/>
      <c r="G19" s="97"/>
      <c r="H19" s="97"/>
      <c r="I19" s="97"/>
      <c r="J19" s="97"/>
      <c r="K19" s="97"/>
      <c r="L19" s="97"/>
      <c r="M19" s="97"/>
      <c r="N19" s="97"/>
      <c r="O19" s="101"/>
      <c r="P19" s="101"/>
      <c r="Q19" s="101"/>
      <c r="R19" s="97"/>
      <c r="S19" s="97"/>
      <c r="T19" s="97"/>
      <c r="U19" s="97"/>
      <c r="V19" s="101"/>
      <c r="W19" s="101"/>
      <c r="X19" s="101"/>
      <c r="Y19" s="97"/>
      <c r="Z19" s="97"/>
      <c r="AA19" s="97"/>
      <c r="AB19" s="97"/>
      <c r="AC19" s="97"/>
      <c r="AD19" s="97"/>
      <c r="AE19" s="97"/>
      <c r="AF19" s="97"/>
      <c r="AG19" s="97"/>
      <c r="AH19" s="97"/>
      <c r="AI19" s="97"/>
      <c r="AJ19" s="97"/>
      <c r="AK19" s="52" t="s">
        <v>138</v>
      </c>
      <c r="AL19" s="87">
        <v>46159.0</v>
      </c>
      <c r="AM19" s="52">
        <f t="shared" si="13"/>
        <v>2026</v>
      </c>
      <c r="AN19" s="52" t="str">
        <f t="shared" si="14"/>
        <v>Week 20, 2026</v>
      </c>
      <c r="AO19" s="52" t="str">
        <f t="shared" si="15"/>
        <v>Week Ending 05/17/2026</v>
      </c>
    </row>
    <row r="20" ht="43.5" customHeight="1">
      <c r="A20" s="97"/>
      <c r="B20" s="110" t="s">
        <v>129</v>
      </c>
      <c r="C20" s="109" t="s">
        <v>139</v>
      </c>
      <c r="D20" s="97"/>
      <c r="E20" s="97"/>
      <c r="F20" s="97"/>
      <c r="G20" s="97"/>
      <c r="H20" s="97"/>
      <c r="I20" s="97"/>
      <c r="J20" s="97"/>
      <c r="K20" s="97"/>
      <c r="L20" s="97"/>
      <c r="M20" s="97"/>
      <c r="N20" s="97"/>
      <c r="O20" s="101"/>
      <c r="P20" s="101"/>
      <c r="Q20" s="101"/>
      <c r="R20" s="97"/>
      <c r="S20" s="97"/>
      <c r="T20" s="97"/>
      <c r="U20" s="97"/>
      <c r="V20" s="101"/>
      <c r="W20" s="101"/>
      <c r="X20" s="101"/>
      <c r="Y20" s="97"/>
      <c r="Z20" s="97"/>
      <c r="AA20" s="97"/>
      <c r="AB20" s="97"/>
      <c r="AC20" s="97"/>
      <c r="AD20" s="97"/>
      <c r="AE20" s="97"/>
      <c r="AF20" s="97"/>
      <c r="AG20" s="97"/>
      <c r="AH20" s="97"/>
      <c r="AI20" s="97"/>
      <c r="AJ20" s="97"/>
      <c r="AK20" s="52" t="s">
        <v>140</v>
      </c>
      <c r="AL20" s="87">
        <v>46166.0</v>
      </c>
      <c r="AM20" s="52">
        <f t="shared" si="13"/>
        <v>2026</v>
      </c>
      <c r="AN20" s="52" t="str">
        <f t="shared" si="14"/>
        <v>Week 21, 2026</v>
      </c>
      <c r="AO20" s="52" t="str">
        <f t="shared" si="15"/>
        <v>Week Ending 05/24/2026</v>
      </c>
    </row>
    <row r="21" ht="43.5" customHeight="1">
      <c r="A21" s="97"/>
      <c r="B21" s="110"/>
      <c r="C21" s="109"/>
      <c r="D21" s="97"/>
      <c r="E21" s="97"/>
      <c r="F21" s="97"/>
      <c r="G21" s="97"/>
      <c r="H21" s="97"/>
      <c r="I21" s="97"/>
      <c r="J21" s="97"/>
      <c r="K21" s="97"/>
      <c r="L21" s="97"/>
      <c r="M21" s="97"/>
      <c r="N21" s="97"/>
      <c r="O21" s="101"/>
      <c r="P21" s="101"/>
      <c r="Q21" s="101"/>
      <c r="R21" s="97"/>
      <c r="S21" s="97"/>
      <c r="T21" s="97"/>
      <c r="U21" s="97"/>
      <c r="V21" s="101"/>
      <c r="W21" s="101"/>
      <c r="X21" s="101"/>
      <c r="Y21" s="97"/>
      <c r="Z21" s="97"/>
      <c r="AA21" s="97"/>
      <c r="AB21" s="97"/>
      <c r="AC21" s="97"/>
      <c r="AD21" s="97"/>
      <c r="AE21" s="97"/>
      <c r="AF21" s="97"/>
      <c r="AG21" s="97"/>
      <c r="AH21" s="97"/>
      <c r="AI21" s="97"/>
      <c r="AJ21" s="97"/>
      <c r="AK21" s="52" t="s">
        <v>141</v>
      </c>
      <c r="AL21" s="87">
        <v>46173.0</v>
      </c>
      <c r="AM21" s="52">
        <f t="shared" si="13"/>
        <v>2026</v>
      </c>
      <c r="AN21" s="52" t="str">
        <f t="shared" si="14"/>
        <v>Week 22, 2026</v>
      </c>
      <c r="AO21" s="52" t="str">
        <f t="shared" si="15"/>
        <v>Week Ending 05/31/2026</v>
      </c>
    </row>
    <row r="22" ht="43.5" customHeight="1">
      <c r="A22" s="97"/>
      <c r="B22" s="108" t="s">
        <v>142</v>
      </c>
      <c r="C22" s="109"/>
      <c r="D22" s="97"/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101"/>
      <c r="P22" s="101"/>
      <c r="Q22" s="101"/>
      <c r="R22" s="97"/>
      <c r="S22" s="97"/>
      <c r="T22" s="97"/>
      <c r="U22" s="97"/>
      <c r="V22" s="101"/>
      <c r="W22" s="101"/>
      <c r="X22" s="101"/>
      <c r="Y22" s="97"/>
      <c r="Z22" s="97"/>
      <c r="AA22" s="97"/>
      <c r="AB22" s="97"/>
      <c r="AC22" s="97"/>
      <c r="AD22" s="97"/>
      <c r="AE22" s="97"/>
      <c r="AF22" s="97"/>
      <c r="AG22" s="97"/>
      <c r="AH22" s="97"/>
      <c r="AI22" s="97"/>
      <c r="AJ22" s="97"/>
      <c r="AK22" s="52" t="s">
        <v>143</v>
      </c>
      <c r="AL22" s="87">
        <v>46180.0</v>
      </c>
      <c r="AM22" s="52">
        <f t="shared" si="13"/>
        <v>2026</v>
      </c>
      <c r="AN22" s="52" t="str">
        <f t="shared" si="14"/>
        <v>Week 23, 2026</v>
      </c>
      <c r="AO22" s="52" t="str">
        <f t="shared" si="15"/>
        <v>Week Ending 06/07/2026</v>
      </c>
    </row>
    <row r="23" ht="43.5" customHeight="1">
      <c r="A23" s="97"/>
      <c r="B23" s="110" t="s">
        <v>126</v>
      </c>
      <c r="C23" s="109" t="s">
        <v>127</v>
      </c>
      <c r="D23" s="97"/>
      <c r="E23" s="97"/>
      <c r="F23" s="97"/>
      <c r="G23" s="97"/>
      <c r="H23" s="97"/>
      <c r="I23" s="97"/>
      <c r="J23" s="97"/>
      <c r="K23" s="97"/>
      <c r="L23" s="97"/>
      <c r="M23" s="97"/>
      <c r="N23" s="97"/>
      <c r="O23" s="101"/>
      <c r="P23" s="101"/>
      <c r="Q23" s="101"/>
      <c r="R23" s="97"/>
      <c r="S23" s="97"/>
      <c r="T23" s="97"/>
      <c r="U23" s="97"/>
      <c r="V23" s="101"/>
      <c r="W23" s="101"/>
      <c r="X23" s="101"/>
      <c r="Y23" s="97"/>
      <c r="Z23" s="97"/>
      <c r="AA23" s="97"/>
      <c r="AB23" s="97"/>
      <c r="AC23" s="97"/>
      <c r="AD23" s="97"/>
      <c r="AE23" s="97"/>
      <c r="AF23" s="97"/>
      <c r="AG23" s="97"/>
      <c r="AH23" s="97"/>
      <c r="AI23" s="97"/>
      <c r="AJ23" s="97"/>
      <c r="AK23" s="52" t="s">
        <v>145</v>
      </c>
      <c r="AL23" s="87">
        <v>46187.0</v>
      </c>
      <c r="AM23" s="52">
        <f t="shared" si="13"/>
        <v>2026</v>
      </c>
      <c r="AN23" s="52" t="str">
        <f t="shared" si="14"/>
        <v>Week 24, 2026</v>
      </c>
      <c r="AO23" s="52" t="str">
        <f t="shared" si="15"/>
        <v>Week Ending 06/14/2026</v>
      </c>
    </row>
    <row r="24" ht="43.5" customHeight="1">
      <c r="A24" s="97"/>
      <c r="B24" s="110" t="s">
        <v>129</v>
      </c>
      <c r="C24" s="109" t="s">
        <v>127</v>
      </c>
      <c r="D24" s="97"/>
      <c r="E24" s="97"/>
      <c r="F24" s="97"/>
      <c r="G24" s="97"/>
      <c r="H24" s="97"/>
      <c r="I24" s="97"/>
      <c r="J24" s="97"/>
      <c r="K24" s="97"/>
      <c r="L24" s="97"/>
      <c r="M24" s="97"/>
      <c r="N24" s="97"/>
      <c r="O24" s="101"/>
      <c r="P24" s="101"/>
      <c r="Q24" s="101"/>
      <c r="R24" s="97"/>
      <c r="S24" s="97"/>
      <c r="T24" s="97"/>
      <c r="U24" s="97"/>
      <c r="V24" s="101"/>
      <c r="W24" s="101"/>
      <c r="X24" s="101"/>
      <c r="Y24" s="97"/>
      <c r="Z24" s="97"/>
      <c r="AA24" s="97"/>
      <c r="AB24" s="97"/>
      <c r="AC24" s="97"/>
      <c r="AD24" s="97"/>
      <c r="AE24" s="97"/>
      <c r="AF24" s="97"/>
      <c r="AG24" s="97"/>
      <c r="AH24" s="97"/>
      <c r="AI24" s="97"/>
      <c r="AJ24" s="97"/>
      <c r="AK24" s="52" t="s">
        <v>147</v>
      </c>
      <c r="AL24" s="87">
        <v>46194.0</v>
      </c>
      <c r="AM24" s="52">
        <f t="shared" si="13"/>
        <v>2026</v>
      </c>
      <c r="AN24" s="52" t="str">
        <f t="shared" si="14"/>
        <v>Week 25, 2026</v>
      </c>
      <c r="AO24" s="52" t="str">
        <f t="shared" si="15"/>
        <v>Week Ending 06/21/2026</v>
      </c>
    </row>
    <row r="25" ht="43.5" customHeight="1">
      <c r="A25" s="97"/>
      <c r="B25" s="110"/>
      <c r="C25" s="109"/>
      <c r="D25" s="97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101"/>
      <c r="P25" s="101"/>
      <c r="Q25" s="101"/>
      <c r="R25" s="97"/>
      <c r="S25" s="97"/>
      <c r="T25" s="97"/>
      <c r="U25" s="97"/>
      <c r="V25" s="101"/>
      <c r="W25" s="101"/>
      <c r="X25" s="101"/>
      <c r="Y25" s="97"/>
      <c r="Z25" s="97"/>
      <c r="AA25" s="97"/>
      <c r="AB25" s="97"/>
      <c r="AC25" s="97"/>
      <c r="AD25" s="97"/>
      <c r="AE25" s="97"/>
      <c r="AF25" s="97"/>
      <c r="AG25" s="97"/>
      <c r="AH25" s="97"/>
      <c r="AI25" s="97"/>
      <c r="AJ25" s="97"/>
      <c r="AK25" s="52" t="s">
        <v>148</v>
      </c>
      <c r="AL25" s="87">
        <v>46201.0</v>
      </c>
      <c r="AM25" s="52">
        <f t="shared" si="13"/>
        <v>2026</v>
      </c>
      <c r="AN25" s="52" t="str">
        <f t="shared" si="14"/>
        <v>Week 26, 2026</v>
      </c>
      <c r="AO25" s="52" t="str">
        <f t="shared" si="15"/>
        <v>Week Ending 06/28/2026</v>
      </c>
    </row>
    <row r="26" ht="43.5" customHeight="1">
      <c r="A26" s="97"/>
      <c r="B26" s="108" t="s">
        <v>149</v>
      </c>
      <c r="C26" s="113"/>
      <c r="D26" s="97"/>
      <c r="E26" s="97"/>
      <c r="F26" s="97"/>
      <c r="G26" s="97"/>
      <c r="H26" s="97"/>
      <c r="I26" s="97"/>
      <c r="J26" s="97"/>
      <c r="K26" s="97"/>
      <c r="L26" s="97"/>
      <c r="M26" s="97"/>
      <c r="N26" s="97"/>
      <c r="O26" s="101"/>
      <c r="P26" s="101"/>
      <c r="Q26" s="101"/>
      <c r="R26" s="97"/>
      <c r="S26" s="97"/>
      <c r="T26" s="97"/>
      <c r="U26" s="97"/>
      <c r="V26" s="101"/>
      <c r="W26" s="101"/>
      <c r="X26" s="101"/>
      <c r="Y26" s="97"/>
      <c r="Z26" s="97"/>
      <c r="AA26" s="97"/>
      <c r="AB26" s="97"/>
      <c r="AC26" s="97"/>
      <c r="AD26" s="97"/>
      <c r="AE26" s="97"/>
      <c r="AF26" s="97"/>
      <c r="AG26" s="97"/>
      <c r="AH26" s="97"/>
      <c r="AI26" s="97"/>
      <c r="AJ26" s="97"/>
      <c r="AK26" s="52" t="s">
        <v>151</v>
      </c>
      <c r="AL26" s="87">
        <v>46208.0</v>
      </c>
      <c r="AM26" s="52">
        <f t="shared" si="13"/>
        <v>2026</v>
      </c>
      <c r="AN26" s="52" t="str">
        <f t="shared" si="14"/>
        <v>Week 27, 2026</v>
      </c>
      <c r="AO26" s="52" t="str">
        <f t="shared" si="15"/>
        <v>Week Ending 07/05/2026</v>
      </c>
    </row>
    <row r="27" ht="43.5" customHeight="1">
      <c r="A27" s="97"/>
      <c r="B27" s="110" t="s">
        <v>126</v>
      </c>
      <c r="C27" s="109" t="s">
        <v>127</v>
      </c>
      <c r="D27" s="97"/>
      <c r="E27" s="97"/>
      <c r="F27" s="97"/>
      <c r="G27" s="97"/>
      <c r="H27" s="97"/>
      <c r="I27" s="97"/>
      <c r="J27" s="97"/>
      <c r="K27" s="97"/>
      <c r="L27" s="97"/>
      <c r="M27" s="97"/>
      <c r="N27" s="97"/>
      <c r="O27" s="101"/>
      <c r="P27" s="101"/>
      <c r="Q27" s="101"/>
      <c r="R27" s="97"/>
      <c r="S27" s="97"/>
      <c r="T27" s="97"/>
      <c r="U27" s="97"/>
      <c r="V27" s="101"/>
      <c r="W27" s="101"/>
      <c r="X27" s="101"/>
      <c r="Y27" s="97"/>
      <c r="Z27" s="97"/>
      <c r="AA27" s="97"/>
      <c r="AB27" s="97"/>
      <c r="AC27" s="97"/>
      <c r="AD27" s="97"/>
      <c r="AE27" s="97"/>
      <c r="AF27" s="97"/>
      <c r="AG27" s="97"/>
      <c r="AH27" s="97"/>
      <c r="AI27" s="97"/>
      <c r="AJ27" s="97"/>
      <c r="AK27" s="52" t="s">
        <v>152</v>
      </c>
      <c r="AL27" s="87">
        <v>46215.0</v>
      </c>
      <c r="AM27" s="52">
        <f t="shared" si="13"/>
        <v>2026</v>
      </c>
      <c r="AN27" s="52" t="str">
        <f t="shared" si="14"/>
        <v>Week 28, 2026</v>
      </c>
      <c r="AO27" s="52" t="str">
        <f t="shared" si="15"/>
        <v>Week Ending 07/12/2026</v>
      </c>
    </row>
    <row r="28" ht="43.5" customHeight="1">
      <c r="A28" s="97"/>
      <c r="B28" s="110" t="s">
        <v>129</v>
      </c>
      <c r="C28" s="109" t="s">
        <v>127</v>
      </c>
      <c r="D28" s="97"/>
      <c r="E28" s="97"/>
      <c r="F28" s="97"/>
      <c r="G28" s="97"/>
      <c r="H28" s="97"/>
      <c r="I28" s="97"/>
      <c r="J28" s="97"/>
      <c r="K28" s="97"/>
      <c r="L28" s="97"/>
      <c r="M28" s="97"/>
      <c r="N28" s="97"/>
      <c r="O28" s="101"/>
      <c r="P28" s="101"/>
      <c r="Q28" s="101"/>
      <c r="R28" s="97"/>
      <c r="S28" s="97"/>
      <c r="T28" s="97"/>
      <c r="U28" s="97"/>
      <c r="V28" s="101"/>
      <c r="W28" s="101"/>
      <c r="X28" s="101"/>
      <c r="Y28" s="97"/>
      <c r="Z28" s="97"/>
      <c r="AA28" s="97"/>
      <c r="AB28" s="97"/>
      <c r="AC28" s="97"/>
      <c r="AD28" s="97"/>
      <c r="AE28" s="97"/>
      <c r="AF28" s="97"/>
      <c r="AG28" s="97"/>
      <c r="AH28" s="97"/>
      <c r="AI28" s="97"/>
      <c r="AJ28" s="97"/>
      <c r="AK28" s="52" t="s">
        <v>154</v>
      </c>
      <c r="AL28" s="87">
        <v>46222.0</v>
      </c>
      <c r="AM28" s="52">
        <f t="shared" si="13"/>
        <v>2026</v>
      </c>
      <c r="AN28" s="52" t="str">
        <f t="shared" si="14"/>
        <v>Week 29, 2026</v>
      </c>
      <c r="AO28" s="52" t="str">
        <f t="shared" si="15"/>
        <v>Week Ending 07/19/2026</v>
      </c>
    </row>
    <row r="29" ht="43.5" customHeight="1">
      <c r="A29" s="97"/>
      <c r="B29" s="110"/>
      <c r="C29" s="109"/>
      <c r="D29" s="97"/>
      <c r="E29" s="97"/>
      <c r="F29" s="97"/>
      <c r="G29" s="97"/>
      <c r="H29" s="97"/>
      <c r="I29" s="97"/>
      <c r="J29" s="97"/>
      <c r="K29" s="97"/>
      <c r="M29" s="97"/>
      <c r="N29" s="97"/>
      <c r="O29" s="101"/>
      <c r="P29" s="101"/>
      <c r="Q29" s="101"/>
      <c r="R29" s="97"/>
      <c r="S29" s="97"/>
      <c r="T29" s="97"/>
      <c r="U29" s="97"/>
      <c r="V29" s="101"/>
      <c r="W29" s="101"/>
      <c r="X29" s="101"/>
      <c r="Y29" s="97"/>
      <c r="Z29" s="97"/>
      <c r="AA29" s="97"/>
      <c r="AB29" s="97"/>
      <c r="AC29" s="97"/>
      <c r="AD29" s="97"/>
      <c r="AE29" s="97"/>
      <c r="AF29" s="97"/>
      <c r="AG29" s="97"/>
      <c r="AH29" s="97"/>
      <c r="AI29" s="97"/>
      <c r="AJ29" s="97"/>
      <c r="AK29" s="52" t="s">
        <v>155</v>
      </c>
      <c r="AL29" s="87">
        <v>46229.0</v>
      </c>
      <c r="AM29" s="52">
        <f t="shared" si="13"/>
        <v>2026</v>
      </c>
      <c r="AN29" s="52" t="str">
        <f t="shared" si="14"/>
        <v>Week 30, 2026</v>
      </c>
      <c r="AO29" s="52" t="str">
        <f t="shared" si="15"/>
        <v>Week Ending 07/26/2026</v>
      </c>
    </row>
    <row r="30" ht="43.5" customHeight="1">
      <c r="O30" s="7"/>
      <c r="P30" s="7"/>
      <c r="Q30" s="7"/>
      <c r="V30" s="7"/>
      <c r="W30" s="7"/>
      <c r="X30" s="7"/>
      <c r="AK30" s="52" t="s">
        <v>157</v>
      </c>
      <c r="AL30" s="87">
        <v>46236.0</v>
      </c>
      <c r="AM30" s="52">
        <f t="shared" si="13"/>
        <v>2026</v>
      </c>
      <c r="AN30" s="52" t="str">
        <f t="shared" si="14"/>
        <v>Week 31, 2026</v>
      </c>
      <c r="AO30" s="52" t="str">
        <f t="shared" si="15"/>
        <v>Week Ending 08/02/2026</v>
      </c>
    </row>
    <row r="31" ht="43.5" customHeight="1">
      <c r="O31" s="7"/>
      <c r="P31" s="7"/>
      <c r="Q31" s="7"/>
      <c r="V31" s="7"/>
      <c r="W31" s="7"/>
      <c r="X31" s="7"/>
      <c r="AK31" s="52" t="s">
        <v>158</v>
      </c>
      <c r="AL31" s="87">
        <v>46243.0</v>
      </c>
      <c r="AM31" s="52">
        <f t="shared" si="13"/>
        <v>2026</v>
      </c>
      <c r="AN31" s="52" t="str">
        <f t="shared" si="14"/>
        <v>Week 32, 2026</v>
      </c>
      <c r="AO31" s="52" t="str">
        <f t="shared" si="15"/>
        <v>Week Ending 08/09/2026</v>
      </c>
    </row>
    <row r="32" ht="43.5" customHeight="1">
      <c r="O32" s="7"/>
      <c r="P32" s="7"/>
      <c r="Q32" s="7"/>
      <c r="V32" s="7"/>
      <c r="W32" s="7"/>
      <c r="X32" s="7"/>
      <c r="AK32" s="52" t="s">
        <v>159</v>
      </c>
      <c r="AL32" s="87">
        <v>46250.0</v>
      </c>
      <c r="AM32" s="52">
        <f t="shared" si="13"/>
        <v>2026</v>
      </c>
      <c r="AN32" s="52" t="str">
        <f t="shared" si="14"/>
        <v>Week 33, 2026</v>
      </c>
      <c r="AO32" s="52" t="str">
        <f t="shared" si="15"/>
        <v>Week Ending 08/16/2026</v>
      </c>
    </row>
    <row r="33" ht="43.5" customHeight="1">
      <c r="O33" s="7"/>
      <c r="P33" s="7"/>
      <c r="Q33" s="7"/>
      <c r="V33" s="7"/>
      <c r="W33" s="7"/>
      <c r="X33" s="7"/>
      <c r="AK33" s="52" t="s">
        <v>160</v>
      </c>
      <c r="AL33" s="87">
        <v>46257.0</v>
      </c>
      <c r="AM33" s="52">
        <f t="shared" si="13"/>
        <v>2026</v>
      </c>
      <c r="AN33" s="52" t="str">
        <f t="shared" si="14"/>
        <v>Week 34, 2026</v>
      </c>
      <c r="AO33" s="52" t="str">
        <f t="shared" si="15"/>
        <v>Week Ending 08/23/2026</v>
      </c>
    </row>
    <row r="34" ht="43.5" customHeight="1">
      <c r="O34" s="7"/>
      <c r="P34" s="7"/>
      <c r="Q34" s="7"/>
      <c r="V34" s="7"/>
      <c r="W34" s="7"/>
      <c r="X34" s="7"/>
      <c r="AK34" s="52" t="s">
        <v>161</v>
      </c>
      <c r="AL34" s="87">
        <v>46264.0</v>
      </c>
      <c r="AM34" s="52">
        <f t="shared" si="13"/>
        <v>2026</v>
      </c>
      <c r="AN34" s="52" t="str">
        <f t="shared" si="14"/>
        <v>Week 35, 2026</v>
      </c>
      <c r="AO34" s="52" t="str">
        <f t="shared" si="15"/>
        <v>Week Ending 08/30/2026</v>
      </c>
    </row>
    <row r="35" ht="43.5" customHeight="1">
      <c r="O35" s="7"/>
      <c r="P35" s="7"/>
      <c r="Q35" s="7"/>
      <c r="V35" s="7"/>
      <c r="W35" s="7"/>
      <c r="X35" s="7"/>
      <c r="AK35" s="52" t="s">
        <v>163</v>
      </c>
      <c r="AL35" s="87">
        <v>46271.0</v>
      </c>
      <c r="AM35" s="52">
        <f t="shared" si="13"/>
        <v>2026</v>
      </c>
      <c r="AN35" s="52" t="str">
        <f t="shared" si="14"/>
        <v>Week 36, 2026</v>
      </c>
      <c r="AO35" s="52" t="str">
        <f t="shared" si="15"/>
        <v>Week Ending 09/06/2026</v>
      </c>
    </row>
    <row r="36" ht="43.5" customHeight="1">
      <c r="O36" s="7"/>
      <c r="P36" s="7"/>
      <c r="Q36" s="7"/>
      <c r="V36" s="7"/>
      <c r="W36" s="7"/>
      <c r="X36" s="7"/>
      <c r="AK36" s="52" t="s">
        <v>164</v>
      </c>
      <c r="AL36" s="87">
        <v>46278.0</v>
      </c>
      <c r="AM36" s="52">
        <f t="shared" si="13"/>
        <v>2026</v>
      </c>
      <c r="AN36" s="52" t="str">
        <f t="shared" si="14"/>
        <v>Week 37, 2026</v>
      </c>
      <c r="AO36" s="52" t="str">
        <f t="shared" si="15"/>
        <v>Week Ending 09/13/2026</v>
      </c>
    </row>
    <row r="37" ht="43.5" customHeight="1">
      <c r="O37" s="7"/>
      <c r="P37" s="7"/>
      <c r="Q37" s="7"/>
      <c r="V37" s="7"/>
      <c r="W37" s="7"/>
      <c r="X37" s="7"/>
      <c r="AK37" s="52" t="s">
        <v>165</v>
      </c>
      <c r="AL37" s="87">
        <v>46285.0</v>
      </c>
      <c r="AM37" s="52">
        <f t="shared" si="13"/>
        <v>2026</v>
      </c>
      <c r="AN37" s="52" t="str">
        <f t="shared" si="14"/>
        <v>Week 38, 2026</v>
      </c>
      <c r="AO37" s="52" t="str">
        <f t="shared" si="15"/>
        <v>Week Ending 09/20/2026</v>
      </c>
    </row>
    <row r="38" ht="43.5" customHeight="1">
      <c r="O38" s="7"/>
      <c r="P38" s="7"/>
      <c r="Q38" s="7"/>
      <c r="V38" s="7"/>
      <c r="W38" s="7"/>
      <c r="X38" s="7"/>
      <c r="AK38" s="52" t="s">
        <v>166</v>
      </c>
      <c r="AL38" s="87">
        <v>46292.0</v>
      </c>
      <c r="AM38" s="52">
        <f t="shared" si="13"/>
        <v>2026</v>
      </c>
      <c r="AN38" s="52" t="str">
        <f t="shared" si="14"/>
        <v>Week 39, 2026</v>
      </c>
      <c r="AO38" s="52" t="str">
        <f t="shared" si="15"/>
        <v>Week Ending 09/27/2026</v>
      </c>
    </row>
    <row r="39" ht="43.5" customHeight="1">
      <c r="O39" s="7"/>
      <c r="P39" s="7"/>
      <c r="Q39" s="7"/>
      <c r="V39" s="7"/>
      <c r="W39" s="7"/>
      <c r="X39" s="7"/>
      <c r="AK39" s="52" t="s">
        <v>168</v>
      </c>
      <c r="AL39" s="87">
        <v>46299.0</v>
      </c>
      <c r="AM39" s="52">
        <f t="shared" si="13"/>
        <v>2026</v>
      </c>
      <c r="AN39" s="52" t="str">
        <f t="shared" si="14"/>
        <v>Week 40, 2026</v>
      </c>
      <c r="AO39" s="52" t="str">
        <f t="shared" si="15"/>
        <v>Week Ending 10/04/2026</v>
      </c>
    </row>
    <row r="40" ht="43.5" customHeight="1">
      <c r="O40" s="7"/>
      <c r="P40" s="7"/>
      <c r="Q40" s="7"/>
      <c r="V40" s="7"/>
      <c r="W40" s="7"/>
      <c r="X40" s="7"/>
      <c r="AK40" s="52" t="s">
        <v>169</v>
      </c>
      <c r="AL40" s="87">
        <v>46306.0</v>
      </c>
      <c r="AM40" s="52">
        <f t="shared" si="13"/>
        <v>2026</v>
      </c>
      <c r="AN40" s="52" t="str">
        <f t="shared" si="14"/>
        <v>Week 41, 2026</v>
      </c>
      <c r="AO40" s="52" t="str">
        <f t="shared" si="15"/>
        <v>Week Ending 10/11/2026</v>
      </c>
    </row>
    <row r="41" ht="43.5" customHeight="1">
      <c r="O41" s="7"/>
      <c r="P41" s="7"/>
      <c r="Q41" s="7"/>
      <c r="V41" s="7"/>
      <c r="W41" s="7"/>
      <c r="X41" s="7"/>
      <c r="AK41" s="52" t="s">
        <v>170</v>
      </c>
      <c r="AL41" s="87">
        <v>46313.0</v>
      </c>
      <c r="AM41" s="52">
        <f t="shared" si="13"/>
        <v>2026</v>
      </c>
      <c r="AN41" s="52" t="str">
        <f t="shared" si="14"/>
        <v>Week 42, 2026</v>
      </c>
      <c r="AO41" s="52" t="str">
        <f t="shared" si="15"/>
        <v>Week Ending 10/18/2026</v>
      </c>
    </row>
    <row r="42" ht="43.5" customHeight="1">
      <c r="O42" s="7"/>
      <c r="P42" s="7"/>
      <c r="Q42" s="7"/>
      <c r="V42" s="7"/>
      <c r="W42" s="7"/>
      <c r="X42" s="7"/>
      <c r="AK42" s="52" t="s">
        <v>171</v>
      </c>
      <c r="AL42" s="87">
        <v>46320.0</v>
      </c>
      <c r="AM42" s="52">
        <f t="shared" si="13"/>
        <v>2026</v>
      </c>
      <c r="AN42" s="52" t="str">
        <f t="shared" si="14"/>
        <v>Week 43, 2026</v>
      </c>
      <c r="AO42" s="52" t="str">
        <f t="shared" si="15"/>
        <v>Week Ending 10/25/2026</v>
      </c>
    </row>
    <row r="43" ht="43.5" customHeight="1">
      <c r="O43" s="7"/>
      <c r="P43" s="7"/>
      <c r="Q43" s="7"/>
      <c r="V43" s="7"/>
      <c r="W43" s="7"/>
      <c r="X43" s="7"/>
      <c r="AK43" s="52" t="s">
        <v>172</v>
      </c>
      <c r="AL43" s="87">
        <v>46327.0</v>
      </c>
      <c r="AM43" s="52">
        <f t="shared" si="13"/>
        <v>2026</v>
      </c>
      <c r="AN43" s="52" t="str">
        <f t="shared" si="14"/>
        <v>Week 44, 2026</v>
      </c>
      <c r="AO43" s="52" t="str">
        <f t="shared" si="15"/>
        <v>Week Ending 11/01/2026</v>
      </c>
    </row>
    <row r="44" ht="43.5" customHeight="1">
      <c r="O44" s="7"/>
      <c r="P44" s="7"/>
      <c r="Q44" s="7"/>
      <c r="V44" s="7"/>
      <c r="W44" s="7"/>
      <c r="X44" s="7"/>
      <c r="AK44" s="52" t="s">
        <v>173</v>
      </c>
      <c r="AL44" s="87">
        <v>46334.0</v>
      </c>
      <c r="AM44" s="52">
        <f t="shared" si="13"/>
        <v>2026</v>
      </c>
      <c r="AN44" s="52" t="str">
        <f t="shared" si="14"/>
        <v>Week 45, 2026</v>
      </c>
      <c r="AO44" s="52" t="str">
        <f t="shared" si="15"/>
        <v>Week Ending 11/08/2026</v>
      </c>
    </row>
    <row r="45" ht="43.5" customHeight="1">
      <c r="O45" s="7"/>
      <c r="P45" s="7"/>
      <c r="Q45" s="7"/>
      <c r="V45" s="7"/>
      <c r="W45" s="7"/>
      <c r="X45" s="7"/>
      <c r="AK45" s="52" t="s">
        <v>174</v>
      </c>
      <c r="AL45" s="87">
        <v>46341.0</v>
      </c>
      <c r="AM45" s="52">
        <f t="shared" si="13"/>
        <v>2026</v>
      </c>
      <c r="AN45" s="52" t="str">
        <f t="shared" si="14"/>
        <v>Week 46, 2026</v>
      </c>
      <c r="AO45" s="52" t="str">
        <f t="shared" si="15"/>
        <v>Week Ending 11/15/2026</v>
      </c>
    </row>
    <row r="46" ht="43.5" customHeight="1">
      <c r="O46" s="7"/>
      <c r="P46" s="7"/>
      <c r="Q46" s="7"/>
      <c r="V46" s="7"/>
      <c r="W46" s="7"/>
      <c r="X46" s="7"/>
      <c r="AK46" s="52" t="s">
        <v>176</v>
      </c>
      <c r="AL46" s="87">
        <v>46348.0</v>
      </c>
      <c r="AM46" s="52">
        <f t="shared" si="13"/>
        <v>2026</v>
      </c>
      <c r="AN46" s="52" t="str">
        <f t="shared" si="14"/>
        <v>Week 47, 2026</v>
      </c>
      <c r="AO46" s="52" t="str">
        <f t="shared" si="15"/>
        <v>Week Ending 11/22/2026</v>
      </c>
    </row>
    <row r="47" ht="43.5" customHeight="1">
      <c r="O47" s="7"/>
      <c r="P47" s="7"/>
      <c r="Q47" s="7"/>
      <c r="V47" s="7"/>
      <c r="W47" s="7"/>
      <c r="X47" s="7"/>
      <c r="AK47" s="52" t="s">
        <v>178</v>
      </c>
      <c r="AL47" s="87">
        <v>46355.0</v>
      </c>
      <c r="AM47" s="52">
        <f t="shared" si="13"/>
        <v>2026</v>
      </c>
      <c r="AN47" s="52" t="str">
        <f t="shared" si="14"/>
        <v>Week 48, 2026</v>
      </c>
      <c r="AO47" s="52" t="str">
        <f t="shared" si="15"/>
        <v>Week Ending 11/29/2026</v>
      </c>
    </row>
    <row r="48" ht="43.5" customHeight="1">
      <c r="O48" s="7"/>
      <c r="P48" s="7"/>
      <c r="Q48" s="7"/>
      <c r="V48" s="7"/>
      <c r="W48" s="7"/>
      <c r="X48" s="7"/>
      <c r="AK48" s="52" t="s">
        <v>179</v>
      </c>
      <c r="AL48" s="87">
        <v>46362.0</v>
      </c>
      <c r="AM48" s="52">
        <f t="shared" si="13"/>
        <v>2026</v>
      </c>
      <c r="AN48" s="52" t="str">
        <f t="shared" si="14"/>
        <v>Week 49, 2026</v>
      </c>
      <c r="AO48" s="52" t="str">
        <f t="shared" si="15"/>
        <v>Week Ending 12/06/2026</v>
      </c>
    </row>
    <row r="49" ht="43.5" customHeight="1">
      <c r="O49" s="7"/>
      <c r="P49" s="7"/>
      <c r="Q49" s="7"/>
      <c r="V49" s="7"/>
      <c r="W49" s="7"/>
      <c r="X49" s="7"/>
      <c r="AK49" s="52" t="s">
        <v>180</v>
      </c>
      <c r="AL49" s="87">
        <v>46369.0</v>
      </c>
      <c r="AM49" s="52">
        <f t="shared" si="13"/>
        <v>2026</v>
      </c>
      <c r="AN49" s="52" t="str">
        <f t="shared" si="14"/>
        <v>Week 50, 2026</v>
      </c>
      <c r="AO49" s="52" t="str">
        <f t="shared" si="15"/>
        <v>Week Ending 12/13/2026</v>
      </c>
    </row>
    <row r="50" ht="43.5" customHeight="1">
      <c r="O50" s="7"/>
      <c r="P50" s="7"/>
      <c r="Q50" s="7"/>
      <c r="V50" s="7"/>
      <c r="W50" s="7"/>
      <c r="X50" s="7"/>
      <c r="AK50" s="52" t="s">
        <v>181</v>
      </c>
      <c r="AL50" s="87">
        <v>46376.0</v>
      </c>
      <c r="AM50" s="52">
        <f t="shared" si="13"/>
        <v>2026</v>
      </c>
      <c r="AN50" s="52" t="str">
        <f t="shared" si="14"/>
        <v>Week 51, 2026</v>
      </c>
      <c r="AO50" s="52" t="str">
        <f t="shared" si="15"/>
        <v>Week Ending 12/20/2026</v>
      </c>
    </row>
    <row r="51" ht="43.5" customHeight="1">
      <c r="O51" s="7"/>
      <c r="P51" s="7"/>
      <c r="Q51" s="7"/>
      <c r="V51" s="7"/>
      <c r="W51" s="7"/>
      <c r="X51" s="7"/>
      <c r="AK51" s="52" t="s">
        <v>182</v>
      </c>
      <c r="AL51" s="87">
        <v>46383.0</v>
      </c>
      <c r="AM51" s="52">
        <f t="shared" si="13"/>
        <v>2026</v>
      </c>
      <c r="AN51" s="52" t="str">
        <f t="shared" si="14"/>
        <v>Week 52, 2026</v>
      </c>
      <c r="AO51" s="52" t="str">
        <f t="shared" si="15"/>
        <v>Week Ending 12/27/2026</v>
      </c>
    </row>
    <row r="52" ht="43.5" customHeight="1">
      <c r="O52" s="7"/>
      <c r="P52" s="7"/>
      <c r="Q52" s="7"/>
      <c r="V52" s="7"/>
      <c r="W52" s="7"/>
      <c r="X52" s="7"/>
      <c r="AL52" s="87"/>
      <c r="AO52" s="52"/>
    </row>
    <row r="53" ht="43.5" customHeight="1">
      <c r="O53" s="7"/>
      <c r="P53" s="7"/>
      <c r="Q53" s="7"/>
      <c r="V53" s="7"/>
      <c r="W53" s="7"/>
      <c r="X53" s="7"/>
      <c r="AL53" s="87"/>
      <c r="AO53" s="52"/>
    </row>
    <row r="54" ht="43.5" customHeight="1">
      <c r="O54" s="7"/>
      <c r="P54" s="7"/>
      <c r="Q54" s="7"/>
      <c r="V54" s="7"/>
      <c r="W54" s="7"/>
      <c r="X54" s="7"/>
      <c r="AL54" s="87"/>
      <c r="AO54" s="52"/>
    </row>
    <row r="55" ht="43.5" customHeight="1">
      <c r="O55" s="7"/>
      <c r="P55" s="7"/>
      <c r="Q55" s="7"/>
      <c r="V55" s="7"/>
      <c r="W55" s="7"/>
      <c r="X55" s="7"/>
      <c r="AL55" s="87"/>
      <c r="AO55" s="52"/>
    </row>
    <row r="56" ht="43.5" customHeight="1">
      <c r="O56" s="7"/>
      <c r="P56" s="7"/>
      <c r="Q56" s="7"/>
      <c r="V56" s="7"/>
      <c r="W56" s="7"/>
      <c r="X56" s="7"/>
      <c r="AL56" s="87"/>
      <c r="AO56" s="52"/>
    </row>
    <row r="57" ht="43.5" customHeight="1">
      <c r="O57" s="7"/>
      <c r="P57" s="7"/>
      <c r="Q57" s="7"/>
      <c r="V57" s="7"/>
      <c r="W57" s="7"/>
      <c r="X57" s="7"/>
      <c r="AL57" s="87"/>
      <c r="AO57" s="52"/>
    </row>
    <row r="58" ht="43.5" customHeight="1">
      <c r="O58" s="7"/>
      <c r="P58" s="7"/>
      <c r="Q58" s="7"/>
      <c r="V58" s="7"/>
      <c r="W58" s="7"/>
      <c r="X58" s="7"/>
      <c r="AL58" s="87"/>
      <c r="AO58" s="52"/>
    </row>
    <row r="59" ht="43.5" customHeight="1">
      <c r="O59" s="7"/>
      <c r="P59" s="7"/>
      <c r="Q59" s="7"/>
      <c r="V59" s="7"/>
      <c r="W59" s="7"/>
      <c r="X59" s="7"/>
      <c r="AL59" s="87"/>
      <c r="AO59" s="52"/>
    </row>
    <row r="60" ht="43.5" customHeight="1">
      <c r="O60" s="7"/>
      <c r="P60" s="7"/>
      <c r="Q60" s="7"/>
      <c r="V60" s="7"/>
      <c r="W60" s="7"/>
      <c r="X60" s="7"/>
      <c r="AL60" s="87"/>
      <c r="AO60" s="52"/>
    </row>
    <row r="61" ht="43.5" customHeight="1">
      <c r="O61" s="7"/>
      <c r="P61" s="7"/>
      <c r="Q61" s="7"/>
      <c r="V61" s="7"/>
      <c r="W61" s="7"/>
      <c r="X61" s="7"/>
      <c r="AL61" s="87"/>
      <c r="AO61" s="52"/>
    </row>
    <row r="62" ht="43.5" customHeight="1">
      <c r="O62" s="7"/>
      <c r="P62" s="7"/>
      <c r="Q62" s="7"/>
      <c r="V62" s="7"/>
      <c r="W62" s="7"/>
      <c r="X62" s="7"/>
      <c r="AL62" s="87"/>
      <c r="AO62" s="52"/>
    </row>
    <row r="63" ht="43.5" customHeight="1">
      <c r="O63" s="7"/>
      <c r="P63" s="7"/>
      <c r="Q63" s="7"/>
      <c r="V63" s="7"/>
      <c r="W63" s="7"/>
      <c r="X63" s="7"/>
      <c r="AL63" s="87"/>
      <c r="AO63" s="52"/>
    </row>
    <row r="64" ht="43.5" customHeight="1">
      <c r="O64" s="7"/>
      <c r="P64" s="7"/>
      <c r="Q64" s="7"/>
      <c r="V64" s="7"/>
      <c r="W64" s="7"/>
      <c r="X64" s="7"/>
      <c r="AL64" s="87"/>
      <c r="AO64" s="52"/>
    </row>
    <row r="65" ht="43.5" customHeight="1">
      <c r="O65" s="7"/>
      <c r="P65" s="7"/>
      <c r="Q65" s="7"/>
      <c r="V65" s="7"/>
      <c r="W65" s="7"/>
      <c r="X65" s="7"/>
      <c r="AL65" s="87"/>
      <c r="AO65" s="52"/>
    </row>
    <row r="66" ht="43.5" customHeight="1">
      <c r="O66" s="7"/>
      <c r="P66" s="7"/>
      <c r="Q66" s="7"/>
      <c r="V66" s="7"/>
      <c r="W66" s="7"/>
      <c r="X66" s="7"/>
    </row>
    <row r="67" ht="43.5" customHeight="1">
      <c r="O67" s="7"/>
      <c r="P67" s="7"/>
      <c r="Q67" s="7"/>
      <c r="V67" s="7"/>
      <c r="W67" s="7"/>
      <c r="X67" s="7"/>
    </row>
    <row r="68" ht="43.5" customHeight="1">
      <c r="O68" s="7"/>
      <c r="P68" s="7"/>
      <c r="Q68" s="7"/>
      <c r="V68" s="7"/>
      <c r="W68" s="7"/>
      <c r="X68" s="7"/>
    </row>
    <row r="69" ht="43.5" customHeight="1">
      <c r="O69" s="7"/>
      <c r="P69" s="7"/>
      <c r="Q69" s="7"/>
      <c r="V69" s="7"/>
      <c r="W69" s="7"/>
      <c r="X69" s="7"/>
    </row>
    <row r="70" ht="43.5" customHeight="1">
      <c r="O70" s="7"/>
      <c r="P70" s="7"/>
      <c r="Q70" s="7"/>
      <c r="V70" s="7"/>
      <c r="W70" s="7"/>
      <c r="X70" s="7"/>
    </row>
    <row r="71" ht="43.5" customHeight="1">
      <c r="O71" s="7"/>
      <c r="P71" s="7"/>
      <c r="Q71" s="7"/>
      <c r="V71" s="7"/>
      <c r="W71" s="7"/>
      <c r="X71" s="7"/>
    </row>
    <row r="72" ht="43.5" customHeight="1">
      <c r="O72" s="7"/>
      <c r="P72" s="7"/>
      <c r="Q72" s="7"/>
      <c r="V72" s="7"/>
      <c r="W72" s="7"/>
      <c r="X72" s="7"/>
    </row>
    <row r="73" ht="43.5" customHeight="1">
      <c r="O73" s="7"/>
      <c r="P73" s="7"/>
      <c r="Q73" s="7"/>
      <c r="V73" s="7"/>
      <c r="W73" s="7"/>
      <c r="X73" s="7"/>
    </row>
    <row r="74" ht="43.5" customHeight="1">
      <c r="O74" s="7"/>
      <c r="P74" s="7"/>
      <c r="Q74" s="7"/>
      <c r="V74" s="7"/>
      <c r="W74" s="7"/>
      <c r="X74" s="7"/>
    </row>
    <row r="75" ht="43.5" customHeight="1">
      <c r="O75" s="7"/>
      <c r="P75" s="7"/>
      <c r="Q75" s="7"/>
      <c r="V75" s="7"/>
      <c r="W75" s="7"/>
      <c r="X75" s="7"/>
    </row>
    <row r="76" ht="43.5" customHeight="1">
      <c r="O76" s="7"/>
      <c r="P76" s="7"/>
      <c r="Q76" s="7"/>
      <c r="V76" s="7"/>
      <c r="W76" s="7"/>
      <c r="X76" s="7"/>
    </row>
    <row r="77" ht="43.5" customHeight="1">
      <c r="O77" s="7"/>
      <c r="P77" s="7"/>
      <c r="Q77" s="7"/>
      <c r="V77" s="7"/>
      <c r="W77" s="7"/>
      <c r="X77" s="7"/>
    </row>
    <row r="78" ht="43.5" customHeight="1">
      <c r="O78" s="7"/>
      <c r="P78" s="7"/>
      <c r="Q78" s="7"/>
      <c r="V78" s="7"/>
      <c r="W78" s="7"/>
      <c r="X78" s="7"/>
    </row>
    <row r="79" ht="43.5" customHeight="1">
      <c r="O79" s="7"/>
      <c r="P79" s="7"/>
      <c r="Q79" s="7"/>
      <c r="V79" s="7"/>
      <c r="W79" s="7"/>
      <c r="X79" s="7"/>
    </row>
    <row r="80" ht="43.5" customHeight="1">
      <c r="O80" s="7"/>
      <c r="P80" s="7"/>
      <c r="Q80" s="7"/>
      <c r="V80" s="7"/>
      <c r="W80" s="7"/>
      <c r="X80" s="7"/>
    </row>
    <row r="81" ht="43.5" customHeight="1">
      <c r="O81" s="7"/>
      <c r="P81" s="7"/>
      <c r="Q81" s="7"/>
      <c r="V81" s="7"/>
      <c r="W81" s="7"/>
      <c r="X81" s="7"/>
    </row>
    <row r="82" ht="43.5" customHeight="1">
      <c r="O82" s="7"/>
      <c r="P82" s="7"/>
      <c r="Q82" s="7"/>
      <c r="V82" s="7"/>
      <c r="W82" s="7"/>
      <c r="X82" s="7"/>
    </row>
    <row r="83" ht="43.5" customHeight="1">
      <c r="O83" s="7"/>
      <c r="P83" s="7"/>
      <c r="Q83" s="7"/>
      <c r="V83" s="7"/>
      <c r="W83" s="7"/>
      <c r="X83" s="7"/>
    </row>
    <row r="84" ht="43.5" customHeight="1">
      <c r="O84" s="7"/>
      <c r="P84" s="7"/>
      <c r="Q84" s="7"/>
      <c r="V84" s="7"/>
      <c r="W84" s="7"/>
      <c r="X84" s="7"/>
    </row>
    <row r="85" ht="43.5" customHeight="1">
      <c r="O85" s="7"/>
      <c r="P85" s="7"/>
      <c r="Q85" s="7"/>
      <c r="V85" s="7"/>
      <c r="W85" s="7"/>
      <c r="X85" s="7"/>
    </row>
    <row r="86" ht="43.5" customHeight="1">
      <c r="O86" s="7"/>
      <c r="P86" s="7"/>
      <c r="Q86" s="7"/>
      <c r="V86" s="7"/>
      <c r="W86" s="7"/>
      <c r="X86" s="7"/>
    </row>
    <row r="87" ht="43.5" customHeight="1">
      <c r="O87" s="7"/>
      <c r="P87" s="7"/>
      <c r="Q87" s="7"/>
      <c r="V87" s="7"/>
      <c r="W87" s="7"/>
      <c r="X87" s="7"/>
    </row>
    <row r="88" ht="43.5" customHeight="1">
      <c r="O88" s="7"/>
      <c r="P88" s="7"/>
      <c r="Q88" s="7"/>
      <c r="V88" s="7"/>
      <c r="W88" s="7"/>
      <c r="X88" s="7"/>
    </row>
    <row r="89" ht="43.5" customHeight="1">
      <c r="O89" s="7"/>
      <c r="P89" s="7"/>
      <c r="Q89" s="7"/>
      <c r="V89" s="7"/>
      <c r="W89" s="7"/>
      <c r="X89" s="7"/>
    </row>
    <row r="90" ht="43.5" customHeight="1">
      <c r="O90" s="7"/>
      <c r="P90" s="7"/>
      <c r="Q90" s="7"/>
      <c r="V90" s="7"/>
      <c r="W90" s="7"/>
      <c r="X90" s="7"/>
    </row>
    <row r="91" ht="43.5" customHeight="1">
      <c r="O91" s="7"/>
      <c r="P91" s="7"/>
      <c r="Q91" s="7"/>
      <c r="V91" s="7"/>
      <c r="W91" s="7"/>
      <c r="X91" s="7"/>
    </row>
    <row r="92" ht="43.5" customHeight="1">
      <c r="O92" s="7"/>
      <c r="P92" s="7"/>
      <c r="Q92" s="7"/>
      <c r="V92" s="7"/>
      <c r="W92" s="7"/>
      <c r="X92" s="7"/>
    </row>
    <row r="93" ht="43.5" customHeight="1">
      <c r="O93" s="7"/>
      <c r="P93" s="7"/>
      <c r="Q93" s="7"/>
      <c r="V93" s="7"/>
      <c r="W93" s="7"/>
      <c r="X93" s="7"/>
    </row>
    <row r="94" ht="43.5" customHeight="1">
      <c r="O94" s="7"/>
      <c r="P94" s="7"/>
      <c r="Q94" s="7"/>
      <c r="V94" s="7"/>
      <c r="W94" s="7"/>
      <c r="X94" s="7"/>
    </row>
    <row r="95" ht="43.5" customHeight="1">
      <c r="O95" s="7"/>
      <c r="P95" s="7"/>
      <c r="Q95" s="7"/>
      <c r="V95" s="7"/>
      <c r="W95" s="7"/>
      <c r="X95" s="7"/>
    </row>
    <row r="96" ht="43.5" customHeight="1">
      <c r="O96" s="7"/>
      <c r="P96" s="7"/>
      <c r="Q96" s="7"/>
      <c r="V96" s="7"/>
      <c r="W96" s="7"/>
      <c r="X96" s="7"/>
    </row>
    <row r="97" ht="43.5" customHeight="1">
      <c r="O97" s="7"/>
      <c r="P97" s="7"/>
      <c r="Q97" s="7"/>
      <c r="V97" s="7"/>
      <c r="W97" s="7"/>
      <c r="X97" s="7"/>
    </row>
    <row r="98" ht="43.5" customHeight="1">
      <c r="O98" s="7"/>
      <c r="P98" s="7"/>
      <c r="Q98" s="7"/>
      <c r="V98" s="7"/>
      <c r="W98" s="7"/>
      <c r="X98" s="7"/>
    </row>
    <row r="99" ht="43.5" customHeight="1">
      <c r="O99" s="7"/>
      <c r="P99" s="7"/>
      <c r="Q99" s="7"/>
      <c r="V99" s="7"/>
      <c r="W99" s="7"/>
      <c r="X99" s="7"/>
    </row>
    <row r="100" ht="43.5" customHeight="1">
      <c r="O100" s="7"/>
      <c r="P100" s="7"/>
      <c r="Q100" s="7"/>
      <c r="V100" s="7"/>
      <c r="W100" s="7"/>
      <c r="X100" s="7"/>
    </row>
    <row r="101" ht="43.5" customHeight="1">
      <c r="O101" s="7"/>
      <c r="P101" s="7"/>
      <c r="Q101" s="7"/>
      <c r="V101" s="7"/>
      <c r="W101" s="7"/>
      <c r="X101" s="7"/>
    </row>
    <row r="102" ht="43.5" customHeight="1">
      <c r="O102" s="7"/>
      <c r="P102" s="7"/>
      <c r="Q102" s="7"/>
      <c r="V102" s="7"/>
      <c r="W102" s="7"/>
      <c r="X102" s="7"/>
    </row>
    <row r="103" ht="43.5" customHeight="1">
      <c r="O103" s="7"/>
      <c r="P103" s="7"/>
      <c r="Q103" s="7"/>
      <c r="V103" s="7"/>
      <c r="W103" s="7"/>
      <c r="X103" s="7"/>
    </row>
    <row r="104" ht="43.5" customHeight="1">
      <c r="O104" s="7"/>
      <c r="P104" s="7"/>
      <c r="Q104" s="7"/>
      <c r="V104" s="7"/>
      <c r="W104" s="7"/>
      <c r="X104" s="7"/>
    </row>
    <row r="105" ht="43.5" customHeight="1">
      <c r="O105" s="7"/>
      <c r="P105" s="7"/>
      <c r="Q105" s="7"/>
      <c r="V105" s="7"/>
      <c r="W105" s="7"/>
      <c r="X105" s="7"/>
    </row>
    <row r="106" ht="43.5" customHeight="1">
      <c r="O106" s="7"/>
      <c r="P106" s="7"/>
      <c r="Q106" s="7"/>
      <c r="V106" s="7"/>
      <c r="W106" s="7"/>
      <c r="X106" s="7"/>
    </row>
    <row r="107" ht="43.5" customHeight="1">
      <c r="O107" s="7"/>
      <c r="P107" s="7"/>
      <c r="Q107" s="7"/>
      <c r="V107" s="7"/>
      <c r="W107" s="7"/>
      <c r="X107" s="7"/>
    </row>
    <row r="108" ht="43.5" customHeight="1">
      <c r="O108" s="7"/>
      <c r="P108" s="7"/>
      <c r="Q108" s="7"/>
      <c r="V108" s="7"/>
      <c r="W108" s="7"/>
      <c r="X108" s="7"/>
    </row>
    <row r="109" ht="43.5" customHeight="1">
      <c r="O109" s="7"/>
      <c r="P109" s="7"/>
      <c r="Q109" s="7"/>
      <c r="V109" s="7"/>
      <c r="W109" s="7"/>
      <c r="X109" s="7"/>
    </row>
    <row r="110" ht="43.5" customHeight="1">
      <c r="O110" s="7"/>
      <c r="P110" s="7"/>
      <c r="Q110" s="7"/>
      <c r="V110" s="7"/>
      <c r="W110" s="7"/>
      <c r="X110" s="7"/>
    </row>
    <row r="111" ht="43.5" customHeight="1">
      <c r="O111" s="7"/>
      <c r="P111" s="7"/>
      <c r="Q111" s="7"/>
      <c r="V111" s="7"/>
      <c r="W111" s="7"/>
      <c r="X111" s="7"/>
    </row>
    <row r="112" ht="43.5" customHeight="1">
      <c r="O112" s="7"/>
      <c r="P112" s="7"/>
      <c r="Q112" s="7"/>
      <c r="V112" s="7"/>
      <c r="W112" s="7"/>
      <c r="X112" s="7"/>
    </row>
    <row r="113" ht="43.5" customHeight="1">
      <c r="O113" s="7"/>
      <c r="P113" s="7"/>
      <c r="Q113" s="7"/>
      <c r="V113" s="7"/>
      <c r="W113" s="7"/>
      <c r="X113" s="7"/>
    </row>
    <row r="114" ht="43.5" customHeight="1">
      <c r="O114" s="7"/>
      <c r="P114" s="7"/>
      <c r="Q114" s="7"/>
      <c r="V114" s="7"/>
      <c r="W114" s="7"/>
      <c r="X114" s="7"/>
    </row>
    <row r="115" ht="43.5" customHeight="1">
      <c r="O115" s="7"/>
      <c r="P115" s="7"/>
      <c r="Q115" s="7"/>
      <c r="V115" s="7"/>
      <c r="W115" s="7"/>
      <c r="X115" s="7"/>
    </row>
    <row r="116" ht="43.5" customHeight="1">
      <c r="O116" s="7"/>
      <c r="P116" s="7"/>
      <c r="Q116" s="7"/>
      <c r="V116" s="7"/>
      <c r="W116" s="7"/>
      <c r="X116" s="7"/>
    </row>
    <row r="117" ht="43.5" customHeight="1">
      <c r="O117" s="7"/>
      <c r="P117" s="7"/>
      <c r="Q117" s="7"/>
      <c r="V117" s="7"/>
      <c r="W117" s="7"/>
      <c r="X117" s="7"/>
    </row>
    <row r="118" ht="43.5" customHeight="1">
      <c r="O118" s="7"/>
      <c r="P118" s="7"/>
      <c r="Q118" s="7"/>
      <c r="V118" s="7"/>
      <c r="W118" s="7"/>
      <c r="X118" s="7"/>
    </row>
    <row r="119" ht="43.5" customHeight="1">
      <c r="O119" s="7"/>
      <c r="P119" s="7"/>
      <c r="Q119" s="7"/>
      <c r="V119" s="7"/>
      <c r="W119" s="7"/>
      <c r="X119" s="7"/>
    </row>
    <row r="120" ht="43.5" customHeight="1">
      <c r="O120" s="7"/>
      <c r="P120" s="7"/>
      <c r="Q120" s="7"/>
      <c r="V120" s="7"/>
      <c r="W120" s="7"/>
      <c r="X120" s="7"/>
    </row>
    <row r="121" ht="43.5" customHeight="1">
      <c r="O121" s="7"/>
      <c r="P121" s="7"/>
      <c r="Q121" s="7"/>
      <c r="V121" s="7"/>
      <c r="W121" s="7"/>
      <c r="X121" s="7"/>
    </row>
    <row r="122" ht="43.5" customHeight="1">
      <c r="O122" s="7"/>
      <c r="P122" s="7"/>
      <c r="Q122" s="7"/>
      <c r="V122" s="7"/>
      <c r="W122" s="7"/>
      <c r="X122" s="7"/>
    </row>
    <row r="123" ht="43.5" customHeight="1">
      <c r="O123" s="7"/>
      <c r="P123" s="7"/>
      <c r="Q123" s="7"/>
      <c r="V123" s="7"/>
      <c r="W123" s="7"/>
      <c r="X123" s="7"/>
    </row>
    <row r="124" ht="43.5" customHeight="1">
      <c r="O124" s="7"/>
      <c r="P124" s="7"/>
      <c r="Q124" s="7"/>
      <c r="V124" s="7"/>
      <c r="W124" s="7"/>
      <c r="X124" s="7"/>
    </row>
    <row r="125" ht="43.5" customHeight="1">
      <c r="O125" s="7"/>
      <c r="P125" s="7"/>
      <c r="Q125" s="7"/>
      <c r="V125" s="7"/>
      <c r="W125" s="7"/>
      <c r="X125" s="7"/>
    </row>
    <row r="126" ht="43.5" customHeight="1">
      <c r="O126" s="7"/>
      <c r="P126" s="7"/>
      <c r="Q126" s="7"/>
      <c r="V126" s="7"/>
      <c r="W126" s="7"/>
      <c r="X126" s="7"/>
    </row>
    <row r="127" ht="43.5" customHeight="1">
      <c r="O127" s="7"/>
      <c r="P127" s="7"/>
      <c r="Q127" s="7"/>
      <c r="V127" s="7"/>
      <c r="W127" s="7"/>
      <c r="X127" s="7"/>
    </row>
    <row r="128" ht="43.5" customHeight="1">
      <c r="O128" s="7"/>
      <c r="P128" s="7"/>
      <c r="Q128" s="7"/>
      <c r="V128" s="7"/>
      <c r="W128" s="7"/>
      <c r="X128" s="7"/>
    </row>
    <row r="129" ht="43.5" customHeight="1">
      <c r="O129" s="7"/>
      <c r="P129" s="7"/>
      <c r="Q129" s="7"/>
      <c r="V129" s="7"/>
      <c r="W129" s="7"/>
      <c r="X129" s="7"/>
    </row>
    <row r="130" ht="43.5" customHeight="1">
      <c r="O130" s="7"/>
      <c r="P130" s="7"/>
      <c r="Q130" s="7"/>
      <c r="V130" s="7"/>
      <c r="W130" s="7"/>
      <c r="X130" s="7"/>
    </row>
    <row r="131" ht="43.5" customHeight="1">
      <c r="O131" s="7"/>
      <c r="P131" s="7"/>
      <c r="Q131" s="7"/>
      <c r="V131" s="7"/>
      <c r="W131" s="7"/>
      <c r="X131" s="7"/>
    </row>
    <row r="132" ht="43.5" customHeight="1">
      <c r="O132" s="7"/>
      <c r="P132" s="7"/>
      <c r="Q132" s="7"/>
      <c r="V132" s="7"/>
      <c r="W132" s="7"/>
      <c r="X132" s="7"/>
    </row>
    <row r="133" ht="43.5" customHeight="1">
      <c r="O133" s="7"/>
      <c r="P133" s="7"/>
      <c r="Q133" s="7"/>
      <c r="V133" s="7"/>
      <c r="W133" s="7"/>
      <c r="X133" s="7"/>
    </row>
    <row r="134" ht="43.5" customHeight="1">
      <c r="O134" s="7"/>
      <c r="P134" s="7"/>
      <c r="Q134" s="7"/>
      <c r="V134" s="7"/>
      <c r="W134" s="7"/>
      <c r="X134" s="7"/>
    </row>
    <row r="135" ht="43.5" customHeight="1">
      <c r="O135" s="7"/>
      <c r="P135" s="7"/>
      <c r="Q135" s="7"/>
      <c r="V135" s="7"/>
      <c r="W135" s="7"/>
      <c r="X135" s="7"/>
    </row>
    <row r="136" ht="43.5" customHeight="1">
      <c r="O136" s="7"/>
      <c r="P136" s="7"/>
      <c r="Q136" s="7"/>
      <c r="V136" s="7"/>
      <c r="W136" s="7"/>
      <c r="X136" s="7"/>
    </row>
    <row r="137" ht="43.5" customHeight="1">
      <c r="O137" s="7"/>
      <c r="P137" s="7"/>
      <c r="Q137" s="7"/>
      <c r="V137" s="7"/>
      <c r="W137" s="7"/>
      <c r="X137" s="7"/>
    </row>
    <row r="138" ht="43.5" customHeight="1">
      <c r="O138" s="7"/>
      <c r="P138" s="7"/>
      <c r="Q138" s="7"/>
      <c r="V138" s="7"/>
      <c r="W138" s="7"/>
      <c r="X138" s="7"/>
    </row>
    <row r="139" ht="43.5" customHeight="1">
      <c r="O139" s="7"/>
      <c r="P139" s="7"/>
      <c r="Q139" s="7"/>
      <c r="V139" s="7"/>
      <c r="W139" s="7"/>
      <c r="X139" s="7"/>
    </row>
    <row r="140" ht="43.5" customHeight="1">
      <c r="O140" s="7"/>
      <c r="P140" s="7"/>
      <c r="Q140" s="7"/>
      <c r="V140" s="7"/>
      <c r="W140" s="7"/>
      <c r="X140" s="7"/>
    </row>
    <row r="141" ht="43.5" customHeight="1">
      <c r="O141" s="7"/>
      <c r="P141" s="7"/>
      <c r="Q141" s="7"/>
      <c r="V141" s="7"/>
      <c r="W141" s="7"/>
      <c r="X141" s="7"/>
    </row>
    <row r="142" ht="43.5" customHeight="1">
      <c r="O142" s="7"/>
      <c r="P142" s="7"/>
      <c r="Q142" s="7"/>
      <c r="V142" s="7"/>
      <c r="W142" s="7"/>
      <c r="X142" s="7"/>
    </row>
    <row r="143" ht="43.5" customHeight="1">
      <c r="O143" s="7"/>
      <c r="P143" s="7"/>
      <c r="Q143" s="7"/>
      <c r="V143" s="7"/>
      <c r="W143" s="7"/>
      <c r="X143" s="7"/>
    </row>
    <row r="144" ht="43.5" customHeight="1">
      <c r="O144" s="7"/>
      <c r="P144" s="7"/>
      <c r="Q144" s="7"/>
      <c r="V144" s="7"/>
      <c r="W144" s="7"/>
      <c r="X144" s="7"/>
    </row>
    <row r="145" ht="43.5" customHeight="1">
      <c r="O145" s="7"/>
      <c r="P145" s="7"/>
      <c r="Q145" s="7"/>
      <c r="V145" s="7"/>
      <c r="W145" s="7"/>
      <c r="X145" s="7"/>
    </row>
    <row r="146" ht="43.5" customHeight="1">
      <c r="O146" s="7"/>
      <c r="P146" s="7"/>
      <c r="Q146" s="7"/>
      <c r="V146" s="7"/>
      <c r="W146" s="7"/>
      <c r="X146" s="7"/>
    </row>
    <row r="147" ht="43.5" customHeight="1">
      <c r="O147" s="7"/>
      <c r="P147" s="7"/>
      <c r="Q147" s="7"/>
      <c r="V147" s="7"/>
      <c r="W147" s="7"/>
      <c r="X147" s="7"/>
    </row>
    <row r="148" ht="43.5" customHeight="1">
      <c r="O148" s="7"/>
      <c r="P148" s="7"/>
      <c r="Q148" s="7"/>
      <c r="V148" s="7"/>
      <c r="W148" s="7"/>
      <c r="X148" s="7"/>
    </row>
    <row r="149" ht="43.5" customHeight="1">
      <c r="O149" s="7"/>
      <c r="P149" s="7"/>
      <c r="Q149" s="7"/>
      <c r="V149" s="7"/>
      <c r="W149" s="7"/>
      <c r="X149" s="7"/>
    </row>
    <row r="150" ht="43.5" customHeight="1">
      <c r="O150" s="7"/>
      <c r="P150" s="7"/>
      <c r="Q150" s="7"/>
      <c r="V150" s="7"/>
      <c r="W150" s="7"/>
      <c r="X150" s="7"/>
    </row>
    <row r="151" ht="43.5" customHeight="1">
      <c r="O151" s="7"/>
      <c r="P151" s="7"/>
      <c r="Q151" s="7"/>
      <c r="V151" s="7"/>
      <c r="W151" s="7"/>
      <c r="X151" s="7"/>
    </row>
    <row r="152" ht="43.5" customHeight="1">
      <c r="O152" s="7"/>
      <c r="P152" s="7"/>
      <c r="Q152" s="7"/>
      <c r="V152" s="7"/>
      <c r="W152" s="7"/>
      <c r="X152" s="7"/>
    </row>
    <row r="153" ht="43.5" customHeight="1">
      <c r="O153" s="7"/>
      <c r="P153" s="7"/>
      <c r="Q153" s="7"/>
      <c r="V153" s="7"/>
      <c r="W153" s="7"/>
      <c r="X153" s="7"/>
    </row>
    <row r="154" ht="43.5" customHeight="1">
      <c r="O154" s="7"/>
      <c r="P154" s="7"/>
      <c r="Q154" s="7"/>
      <c r="V154" s="7"/>
      <c r="W154" s="7"/>
      <c r="X154" s="7"/>
    </row>
    <row r="155" ht="43.5" customHeight="1">
      <c r="O155" s="7"/>
      <c r="P155" s="7"/>
      <c r="Q155" s="7"/>
      <c r="V155" s="7"/>
      <c r="W155" s="7"/>
      <c r="X155" s="7"/>
    </row>
    <row r="156" ht="43.5" customHeight="1">
      <c r="O156" s="7"/>
      <c r="P156" s="7"/>
      <c r="Q156" s="7"/>
      <c r="V156" s="7"/>
      <c r="W156" s="7"/>
      <c r="X156" s="7"/>
    </row>
    <row r="157" ht="43.5" customHeight="1">
      <c r="O157" s="7"/>
      <c r="P157" s="7"/>
      <c r="Q157" s="7"/>
      <c r="V157" s="7"/>
      <c r="W157" s="7"/>
      <c r="X157" s="7"/>
    </row>
    <row r="158" ht="43.5" customHeight="1">
      <c r="O158" s="7"/>
      <c r="P158" s="7"/>
      <c r="Q158" s="7"/>
      <c r="V158" s="7"/>
      <c r="W158" s="7"/>
      <c r="X158" s="7"/>
    </row>
    <row r="159" ht="43.5" customHeight="1">
      <c r="O159" s="7"/>
      <c r="P159" s="7"/>
      <c r="Q159" s="7"/>
      <c r="V159" s="7"/>
      <c r="W159" s="7"/>
      <c r="X159" s="7"/>
    </row>
    <row r="160" ht="43.5" customHeight="1">
      <c r="O160" s="7"/>
      <c r="P160" s="7"/>
      <c r="Q160" s="7"/>
      <c r="V160" s="7"/>
      <c r="W160" s="7"/>
      <c r="X160" s="7"/>
    </row>
    <row r="161" ht="43.5" customHeight="1">
      <c r="O161" s="7"/>
      <c r="P161" s="7"/>
      <c r="Q161" s="7"/>
      <c r="V161" s="7"/>
      <c r="W161" s="7"/>
      <c r="X161" s="7"/>
    </row>
    <row r="162" ht="43.5" customHeight="1">
      <c r="O162" s="7"/>
      <c r="P162" s="7"/>
      <c r="Q162" s="7"/>
      <c r="V162" s="7"/>
      <c r="W162" s="7"/>
      <c r="X162" s="7"/>
    </row>
    <row r="163" ht="43.5" customHeight="1">
      <c r="O163" s="7"/>
      <c r="P163" s="7"/>
      <c r="Q163" s="7"/>
      <c r="V163" s="7"/>
      <c r="W163" s="7"/>
      <c r="X163" s="7"/>
    </row>
    <row r="164" ht="43.5" customHeight="1">
      <c r="O164" s="7"/>
      <c r="P164" s="7"/>
      <c r="Q164" s="7"/>
      <c r="V164" s="7"/>
      <c r="W164" s="7"/>
      <c r="X164" s="7"/>
    </row>
    <row r="165" ht="43.5" customHeight="1">
      <c r="O165" s="7"/>
      <c r="P165" s="7"/>
      <c r="Q165" s="7"/>
      <c r="V165" s="7"/>
      <c r="W165" s="7"/>
      <c r="X165" s="7"/>
    </row>
    <row r="166" ht="43.5" customHeight="1">
      <c r="O166" s="7"/>
      <c r="P166" s="7"/>
      <c r="Q166" s="7"/>
      <c r="V166" s="7"/>
      <c r="W166" s="7"/>
      <c r="X166" s="7"/>
    </row>
    <row r="167" ht="43.5" customHeight="1">
      <c r="O167" s="7"/>
      <c r="P167" s="7"/>
      <c r="Q167" s="7"/>
      <c r="V167" s="7"/>
      <c r="W167" s="7"/>
      <c r="X167" s="7"/>
    </row>
    <row r="168" ht="43.5" customHeight="1">
      <c r="O168" s="7"/>
      <c r="P168" s="7"/>
      <c r="Q168" s="7"/>
      <c r="V168" s="7"/>
      <c r="W168" s="7"/>
      <c r="X168" s="7"/>
    </row>
    <row r="169" ht="43.5" customHeight="1">
      <c r="O169" s="7"/>
      <c r="P169" s="7"/>
      <c r="Q169" s="7"/>
      <c r="V169" s="7"/>
      <c r="W169" s="7"/>
      <c r="X169" s="7"/>
    </row>
    <row r="170" ht="43.5" customHeight="1">
      <c r="O170" s="7"/>
      <c r="P170" s="7"/>
      <c r="Q170" s="7"/>
      <c r="V170" s="7"/>
      <c r="W170" s="7"/>
      <c r="X170" s="7"/>
    </row>
    <row r="171" ht="43.5" customHeight="1">
      <c r="O171" s="7"/>
      <c r="P171" s="7"/>
      <c r="Q171" s="7"/>
      <c r="V171" s="7"/>
      <c r="W171" s="7"/>
      <c r="X171" s="7"/>
    </row>
    <row r="172" ht="43.5" customHeight="1">
      <c r="O172" s="7"/>
      <c r="P172" s="7"/>
      <c r="Q172" s="7"/>
      <c r="V172" s="7"/>
      <c r="W172" s="7"/>
      <c r="X172" s="7"/>
    </row>
    <row r="173" ht="43.5" customHeight="1">
      <c r="O173" s="7"/>
      <c r="P173" s="7"/>
      <c r="Q173" s="7"/>
      <c r="V173" s="7"/>
      <c r="W173" s="7"/>
      <c r="X173" s="7"/>
    </row>
    <row r="174" ht="43.5" customHeight="1">
      <c r="O174" s="7"/>
      <c r="P174" s="7"/>
      <c r="Q174" s="7"/>
      <c r="V174" s="7"/>
      <c r="W174" s="7"/>
      <c r="X174" s="7"/>
    </row>
    <row r="175" ht="43.5" customHeight="1">
      <c r="O175" s="7"/>
      <c r="P175" s="7"/>
      <c r="Q175" s="7"/>
      <c r="V175" s="7"/>
      <c r="W175" s="7"/>
      <c r="X175" s="7"/>
    </row>
    <row r="176" ht="43.5" customHeight="1">
      <c r="O176" s="7"/>
      <c r="P176" s="7"/>
      <c r="Q176" s="7"/>
      <c r="V176" s="7"/>
      <c r="W176" s="7"/>
      <c r="X176" s="7"/>
    </row>
    <row r="177" ht="43.5" customHeight="1">
      <c r="O177" s="7"/>
      <c r="P177" s="7"/>
      <c r="Q177" s="7"/>
      <c r="V177" s="7"/>
      <c r="W177" s="7"/>
      <c r="X177" s="7"/>
    </row>
    <row r="178" ht="43.5" customHeight="1">
      <c r="O178" s="7"/>
      <c r="P178" s="7"/>
      <c r="Q178" s="7"/>
      <c r="V178" s="7"/>
      <c r="W178" s="7"/>
      <c r="X178" s="7"/>
    </row>
    <row r="179" ht="43.5" customHeight="1">
      <c r="O179" s="7"/>
      <c r="P179" s="7"/>
      <c r="Q179" s="7"/>
      <c r="V179" s="7"/>
      <c r="W179" s="7"/>
      <c r="X179" s="7"/>
    </row>
    <row r="180" ht="43.5" customHeight="1">
      <c r="O180" s="7"/>
      <c r="P180" s="7"/>
      <c r="Q180" s="7"/>
      <c r="V180" s="7"/>
      <c r="W180" s="7"/>
      <c r="X180" s="7"/>
    </row>
    <row r="181" ht="43.5" customHeight="1">
      <c r="O181" s="7"/>
      <c r="P181" s="7"/>
      <c r="Q181" s="7"/>
      <c r="V181" s="7"/>
      <c r="W181" s="7"/>
      <c r="X181" s="7"/>
    </row>
    <row r="182" ht="43.5" customHeight="1">
      <c r="O182" s="7"/>
      <c r="P182" s="7"/>
      <c r="Q182" s="7"/>
      <c r="V182" s="7"/>
      <c r="W182" s="7"/>
      <c r="X182" s="7"/>
    </row>
    <row r="183" ht="43.5" customHeight="1">
      <c r="O183" s="7"/>
      <c r="P183" s="7"/>
      <c r="Q183" s="7"/>
      <c r="V183" s="7"/>
      <c r="W183" s="7"/>
      <c r="X183" s="7"/>
    </row>
    <row r="184" ht="43.5" customHeight="1">
      <c r="O184" s="7"/>
      <c r="P184" s="7"/>
      <c r="Q184" s="7"/>
      <c r="V184" s="7"/>
      <c r="W184" s="7"/>
      <c r="X184" s="7"/>
    </row>
    <row r="185" ht="43.5" customHeight="1">
      <c r="O185" s="7"/>
      <c r="P185" s="7"/>
      <c r="Q185" s="7"/>
      <c r="V185" s="7"/>
      <c r="W185" s="7"/>
      <c r="X185" s="7"/>
    </row>
    <row r="186" ht="43.5" customHeight="1">
      <c r="O186" s="7"/>
      <c r="P186" s="7"/>
      <c r="Q186" s="7"/>
      <c r="V186" s="7"/>
      <c r="W186" s="7"/>
      <c r="X186" s="7"/>
    </row>
    <row r="187" ht="43.5" customHeight="1">
      <c r="O187" s="7"/>
      <c r="P187" s="7"/>
      <c r="Q187" s="7"/>
      <c r="V187" s="7"/>
      <c r="W187" s="7"/>
      <c r="X187" s="7"/>
    </row>
    <row r="188" ht="43.5" customHeight="1">
      <c r="O188" s="7"/>
      <c r="P188" s="7"/>
      <c r="Q188" s="7"/>
      <c r="V188" s="7"/>
      <c r="W188" s="7"/>
      <c r="X188" s="7"/>
    </row>
    <row r="189" ht="43.5" customHeight="1">
      <c r="O189" s="7"/>
      <c r="P189" s="7"/>
      <c r="Q189" s="7"/>
      <c r="V189" s="7"/>
      <c r="W189" s="7"/>
      <c r="X189" s="7"/>
    </row>
    <row r="190" ht="43.5" customHeight="1">
      <c r="O190" s="7"/>
      <c r="P190" s="7"/>
      <c r="Q190" s="7"/>
      <c r="V190" s="7"/>
      <c r="W190" s="7"/>
      <c r="X190" s="7"/>
    </row>
    <row r="191" ht="43.5" customHeight="1">
      <c r="O191" s="7"/>
      <c r="P191" s="7"/>
      <c r="Q191" s="7"/>
      <c r="V191" s="7"/>
      <c r="W191" s="7"/>
      <c r="X191" s="7"/>
    </row>
    <row r="192" ht="43.5" customHeight="1">
      <c r="O192" s="7"/>
      <c r="P192" s="7"/>
      <c r="Q192" s="7"/>
      <c r="V192" s="7"/>
      <c r="W192" s="7"/>
      <c r="X192" s="7"/>
    </row>
    <row r="193" ht="43.5" customHeight="1">
      <c r="O193" s="7"/>
      <c r="P193" s="7"/>
      <c r="Q193" s="7"/>
      <c r="V193" s="7"/>
      <c r="W193" s="7"/>
      <c r="X193" s="7"/>
    </row>
    <row r="194" ht="43.5" customHeight="1">
      <c r="O194" s="7"/>
      <c r="P194" s="7"/>
      <c r="Q194" s="7"/>
      <c r="V194" s="7"/>
      <c r="W194" s="7"/>
      <c r="X194" s="7"/>
    </row>
    <row r="195" ht="43.5" customHeight="1">
      <c r="O195" s="7"/>
      <c r="P195" s="7"/>
      <c r="Q195" s="7"/>
      <c r="V195" s="7"/>
      <c r="W195" s="7"/>
      <c r="X195" s="7"/>
    </row>
    <row r="196" ht="43.5" customHeight="1">
      <c r="O196" s="7"/>
      <c r="P196" s="7"/>
      <c r="Q196" s="7"/>
      <c r="V196" s="7"/>
      <c r="W196" s="7"/>
      <c r="X196" s="7"/>
    </row>
    <row r="197" ht="43.5" customHeight="1">
      <c r="O197" s="7"/>
      <c r="P197" s="7"/>
      <c r="Q197" s="7"/>
      <c r="V197" s="7"/>
      <c r="W197" s="7"/>
      <c r="X197" s="7"/>
    </row>
    <row r="198" ht="43.5" customHeight="1">
      <c r="O198" s="7"/>
      <c r="P198" s="7"/>
      <c r="Q198" s="7"/>
      <c r="V198" s="7"/>
      <c r="W198" s="7"/>
      <c r="X198" s="7"/>
    </row>
    <row r="199" ht="43.5" customHeight="1">
      <c r="O199" s="7"/>
      <c r="P199" s="7"/>
      <c r="Q199" s="7"/>
      <c r="V199" s="7"/>
      <c r="W199" s="7"/>
      <c r="X199" s="7"/>
    </row>
    <row r="200" ht="43.5" customHeight="1">
      <c r="O200" s="7"/>
      <c r="P200" s="7"/>
      <c r="Q200" s="7"/>
      <c r="V200" s="7"/>
      <c r="W200" s="7"/>
      <c r="X200" s="7"/>
    </row>
    <row r="201" ht="43.5" customHeight="1">
      <c r="O201" s="7"/>
      <c r="P201" s="7"/>
      <c r="Q201" s="7"/>
      <c r="V201" s="7"/>
      <c r="W201" s="7"/>
      <c r="X201" s="7"/>
    </row>
    <row r="202" ht="43.5" customHeight="1">
      <c r="O202" s="7"/>
      <c r="P202" s="7"/>
      <c r="Q202" s="7"/>
      <c r="V202" s="7"/>
      <c r="W202" s="7"/>
      <c r="X202" s="7"/>
    </row>
    <row r="203" ht="43.5" customHeight="1">
      <c r="O203" s="7"/>
      <c r="P203" s="7"/>
      <c r="Q203" s="7"/>
      <c r="V203" s="7"/>
      <c r="W203" s="7"/>
      <c r="X203" s="7"/>
    </row>
    <row r="204" ht="43.5" customHeight="1">
      <c r="O204" s="7"/>
      <c r="P204" s="7"/>
      <c r="Q204" s="7"/>
      <c r="V204" s="7"/>
      <c r="W204" s="7"/>
      <c r="X204" s="7"/>
    </row>
    <row r="205" ht="43.5" customHeight="1">
      <c r="O205" s="7"/>
      <c r="P205" s="7"/>
      <c r="Q205" s="7"/>
      <c r="V205" s="7"/>
      <c r="W205" s="7"/>
      <c r="X205" s="7"/>
    </row>
    <row r="206" ht="43.5" customHeight="1">
      <c r="O206" s="7"/>
      <c r="P206" s="7"/>
      <c r="Q206" s="7"/>
      <c r="V206" s="7"/>
      <c r="W206" s="7"/>
      <c r="X206" s="7"/>
    </row>
    <row r="207" ht="43.5" customHeight="1">
      <c r="O207" s="7"/>
      <c r="P207" s="7"/>
      <c r="Q207" s="7"/>
      <c r="V207" s="7"/>
      <c r="W207" s="7"/>
      <c r="X207" s="7"/>
    </row>
    <row r="208" ht="43.5" customHeight="1">
      <c r="O208" s="7"/>
      <c r="P208" s="7"/>
      <c r="Q208" s="7"/>
      <c r="V208" s="7"/>
      <c r="W208" s="7"/>
      <c r="X208" s="7"/>
    </row>
    <row r="209" ht="43.5" customHeight="1">
      <c r="O209" s="7"/>
      <c r="P209" s="7"/>
      <c r="Q209" s="7"/>
      <c r="V209" s="7"/>
      <c r="W209" s="7"/>
      <c r="X209" s="7"/>
    </row>
    <row r="210" ht="43.5" customHeight="1">
      <c r="O210" s="7"/>
      <c r="P210" s="7"/>
      <c r="Q210" s="7"/>
      <c r="V210" s="7"/>
      <c r="W210" s="7"/>
      <c r="X210" s="7"/>
    </row>
    <row r="211" ht="43.5" customHeight="1">
      <c r="O211" s="7"/>
      <c r="P211" s="7"/>
      <c r="Q211" s="7"/>
      <c r="V211" s="7"/>
      <c r="W211" s="7"/>
      <c r="X211" s="7"/>
    </row>
    <row r="212" ht="43.5" customHeight="1">
      <c r="O212" s="7"/>
      <c r="P212" s="7"/>
      <c r="Q212" s="7"/>
      <c r="V212" s="7"/>
      <c r="W212" s="7"/>
      <c r="X212" s="7"/>
    </row>
    <row r="213" ht="43.5" customHeight="1">
      <c r="O213" s="7"/>
      <c r="P213" s="7"/>
      <c r="Q213" s="7"/>
      <c r="V213" s="7"/>
      <c r="W213" s="7"/>
      <c r="X213" s="7"/>
    </row>
    <row r="214" ht="43.5" customHeight="1">
      <c r="O214" s="7"/>
      <c r="P214" s="7"/>
      <c r="Q214" s="7"/>
      <c r="V214" s="7"/>
      <c r="W214" s="7"/>
      <c r="X214" s="7"/>
    </row>
    <row r="215" ht="43.5" customHeight="1">
      <c r="O215" s="7"/>
      <c r="P215" s="7"/>
      <c r="Q215" s="7"/>
      <c r="V215" s="7"/>
      <c r="W215" s="7"/>
      <c r="X215" s="7"/>
    </row>
    <row r="216" ht="43.5" customHeight="1">
      <c r="O216" s="7"/>
      <c r="P216" s="7"/>
      <c r="Q216" s="7"/>
      <c r="V216" s="7"/>
      <c r="W216" s="7"/>
      <c r="X216" s="7"/>
    </row>
    <row r="217" ht="43.5" customHeight="1">
      <c r="O217" s="7"/>
      <c r="P217" s="7"/>
      <c r="Q217" s="7"/>
      <c r="V217" s="7"/>
      <c r="W217" s="7"/>
      <c r="X217" s="7"/>
    </row>
    <row r="218" ht="43.5" customHeight="1">
      <c r="O218" s="7"/>
      <c r="P218" s="7"/>
      <c r="Q218" s="7"/>
      <c r="V218" s="7"/>
      <c r="W218" s="7"/>
      <c r="X218" s="7"/>
    </row>
    <row r="219" ht="43.5" customHeight="1">
      <c r="O219" s="7"/>
      <c r="P219" s="7"/>
      <c r="Q219" s="7"/>
      <c r="V219" s="7"/>
      <c r="W219" s="7"/>
      <c r="X219" s="7"/>
    </row>
    <row r="220" ht="43.5" customHeight="1">
      <c r="O220" s="7"/>
      <c r="P220" s="7"/>
      <c r="Q220" s="7"/>
      <c r="V220" s="7"/>
      <c r="W220" s="7"/>
      <c r="X220" s="7"/>
    </row>
    <row r="221" ht="43.5" customHeight="1">
      <c r="O221" s="7"/>
      <c r="P221" s="7"/>
      <c r="Q221" s="7"/>
      <c r="V221" s="7"/>
      <c r="W221" s="7"/>
      <c r="X221" s="7"/>
    </row>
    <row r="222" ht="43.5" customHeight="1">
      <c r="O222" s="7"/>
      <c r="P222" s="7"/>
      <c r="Q222" s="7"/>
      <c r="V222" s="7"/>
      <c r="W222" s="7"/>
      <c r="X222" s="7"/>
    </row>
    <row r="223" ht="43.5" customHeight="1">
      <c r="O223" s="7"/>
      <c r="P223" s="7"/>
      <c r="Q223" s="7"/>
      <c r="V223" s="7"/>
      <c r="W223" s="7"/>
      <c r="X223" s="7"/>
    </row>
    <row r="224" ht="43.5" customHeight="1">
      <c r="O224" s="7"/>
      <c r="P224" s="7"/>
      <c r="Q224" s="7"/>
      <c r="V224" s="7"/>
      <c r="W224" s="7"/>
      <c r="X224" s="7"/>
    </row>
    <row r="225" ht="43.5" customHeight="1">
      <c r="O225" s="7"/>
      <c r="P225" s="7"/>
      <c r="Q225" s="7"/>
      <c r="V225" s="7"/>
      <c r="W225" s="7"/>
      <c r="X225" s="7"/>
    </row>
    <row r="226" ht="43.5" customHeight="1">
      <c r="O226" s="7"/>
      <c r="P226" s="7"/>
      <c r="Q226" s="7"/>
      <c r="V226" s="7"/>
      <c r="W226" s="7"/>
      <c r="X226" s="7"/>
    </row>
    <row r="227" ht="43.5" customHeight="1">
      <c r="O227" s="7"/>
      <c r="P227" s="7"/>
      <c r="Q227" s="7"/>
      <c r="V227" s="7"/>
      <c r="W227" s="7"/>
      <c r="X227" s="7"/>
    </row>
    <row r="228" ht="43.5" customHeight="1">
      <c r="O228" s="7"/>
      <c r="P228" s="7"/>
      <c r="Q228" s="7"/>
      <c r="V228" s="7"/>
      <c r="W228" s="7"/>
      <c r="X228" s="7"/>
    </row>
    <row r="229" ht="43.5" customHeight="1">
      <c r="O229" s="7"/>
      <c r="P229" s="7"/>
      <c r="Q229" s="7"/>
      <c r="V229" s="7"/>
      <c r="W229" s="7"/>
      <c r="X229" s="7"/>
    </row>
    <row r="230" ht="43.5" customHeight="1">
      <c r="O230" s="7"/>
      <c r="P230" s="7"/>
      <c r="Q230" s="7"/>
      <c r="V230" s="7"/>
      <c r="W230" s="7"/>
      <c r="X230" s="7"/>
    </row>
    <row r="231" ht="43.5" customHeight="1">
      <c r="O231" s="7"/>
      <c r="P231" s="7"/>
      <c r="Q231" s="7"/>
      <c r="V231" s="7"/>
      <c r="W231" s="7"/>
      <c r="X231" s="7"/>
    </row>
    <row r="232" ht="43.5" customHeight="1">
      <c r="O232" s="7"/>
      <c r="P232" s="7"/>
      <c r="Q232" s="7"/>
      <c r="V232" s="7"/>
      <c r="W232" s="7"/>
      <c r="X232" s="7"/>
    </row>
    <row r="233" ht="43.5" customHeight="1">
      <c r="O233" s="7"/>
      <c r="P233" s="7"/>
      <c r="Q233" s="7"/>
      <c r="V233" s="7"/>
      <c r="W233" s="7"/>
      <c r="X233" s="7"/>
    </row>
    <row r="234" ht="43.5" customHeight="1">
      <c r="O234" s="7"/>
      <c r="P234" s="7"/>
      <c r="Q234" s="7"/>
      <c r="V234" s="7"/>
      <c r="W234" s="7"/>
      <c r="X234" s="7"/>
    </row>
    <row r="235" ht="43.5" customHeight="1">
      <c r="O235" s="7"/>
      <c r="P235" s="7"/>
      <c r="Q235" s="7"/>
      <c r="V235" s="7"/>
      <c r="W235" s="7"/>
      <c r="X235" s="7"/>
    </row>
    <row r="236" ht="43.5" customHeight="1">
      <c r="O236" s="7"/>
      <c r="P236" s="7"/>
      <c r="Q236" s="7"/>
      <c r="V236" s="7"/>
      <c r="W236" s="7"/>
      <c r="X236" s="7"/>
    </row>
    <row r="237" ht="43.5" customHeight="1">
      <c r="O237" s="7"/>
      <c r="P237" s="7"/>
      <c r="Q237" s="7"/>
      <c r="V237" s="7"/>
      <c r="W237" s="7"/>
      <c r="X237" s="7"/>
    </row>
    <row r="238" ht="43.5" customHeight="1">
      <c r="O238" s="7"/>
      <c r="P238" s="7"/>
      <c r="Q238" s="7"/>
      <c r="V238" s="7"/>
      <c r="W238" s="7"/>
      <c r="X238" s="7"/>
    </row>
    <row r="239" ht="43.5" customHeight="1">
      <c r="O239" s="7"/>
      <c r="P239" s="7"/>
      <c r="Q239" s="7"/>
      <c r="V239" s="7"/>
      <c r="W239" s="7"/>
      <c r="X239" s="7"/>
    </row>
    <row r="240" ht="43.5" customHeight="1">
      <c r="O240" s="7"/>
      <c r="P240" s="7"/>
      <c r="Q240" s="7"/>
      <c r="V240" s="7"/>
      <c r="W240" s="7"/>
      <c r="X240" s="7"/>
    </row>
    <row r="241" ht="43.5" customHeight="1">
      <c r="O241" s="7"/>
      <c r="P241" s="7"/>
      <c r="Q241" s="7"/>
      <c r="V241" s="7"/>
      <c r="W241" s="7"/>
      <c r="X241" s="7"/>
    </row>
    <row r="242" ht="43.5" customHeight="1">
      <c r="O242" s="7"/>
      <c r="P242" s="7"/>
      <c r="Q242" s="7"/>
      <c r="V242" s="7"/>
      <c r="W242" s="7"/>
      <c r="X242" s="7"/>
    </row>
    <row r="243" ht="43.5" customHeight="1">
      <c r="O243" s="7"/>
      <c r="P243" s="7"/>
      <c r="Q243" s="7"/>
      <c r="V243" s="7"/>
      <c r="W243" s="7"/>
      <c r="X243" s="7"/>
    </row>
    <row r="244" ht="43.5" customHeight="1">
      <c r="O244" s="7"/>
      <c r="P244" s="7"/>
      <c r="Q244" s="7"/>
      <c r="V244" s="7"/>
      <c r="W244" s="7"/>
      <c r="X244" s="7"/>
    </row>
    <row r="245" ht="43.5" customHeight="1">
      <c r="O245" s="7"/>
      <c r="P245" s="7"/>
      <c r="Q245" s="7"/>
      <c r="V245" s="7"/>
      <c r="W245" s="7"/>
      <c r="X245" s="7"/>
    </row>
    <row r="246" ht="43.5" customHeight="1">
      <c r="O246" s="7"/>
      <c r="P246" s="7"/>
      <c r="Q246" s="7"/>
      <c r="V246" s="7"/>
      <c r="W246" s="7"/>
      <c r="X246" s="7"/>
    </row>
    <row r="247" ht="43.5" customHeight="1">
      <c r="O247" s="7"/>
      <c r="P247" s="7"/>
      <c r="Q247" s="7"/>
      <c r="V247" s="7"/>
      <c r="W247" s="7"/>
      <c r="X247" s="7"/>
    </row>
    <row r="248" ht="43.5" customHeight="1">
      <c r="O248" s="7"/>
      <c r="P248" s="7"/>
      <c r="Q248" s="7"/>
      <c r="V248" s="7"/>
      <c r="W248" s="7"/>
      <c r="X248" s="7"/>
    </row>
    <row r="249" ht="43.5" customHeight="1">
      <c r="O249" s="7"/>
      <c r="P249" s="7"/>
      <c r="Q249" s="7"/>
      <c r="V249" s="7"/>
      <c r="W249" s="7"/>
      <c r="X249" s="7"/>
    </row>
    <row r="250" ht="43.5" customHeight="1">
      <c r="O250" s="7"/>
      <c r="P250" s="7"/>
      <c r="Q250" s="7"/>
      <c r="V250" s="7"/>
      <c r="W250" s="7"/>
      <c r="X250" s="7"/>
    </row>
    <row r="251" ht="43.5" customHeight="1">
      <c r="O251" s="7"/>
      <c r="P251" s="7"/>
      <c r="Q251" s="7"/>
      <c r="V251" s="7"/>
      <c r="W251" s="7"/>
      <c r="X251" s="7"/>
    </row>
    <row r="252" ht="43.5" customHeight="1">
      <c r="O252" s="7"/>
      <c r="P252" s="7"/>
      <c r="Q252" s="7"/>
      <c r="V252" s="7"/>
      <c r="W252" s="7"/>
      <c r="X252" s="7"/>
    </row>
    <row r="253" ht="43.5" customHeight="1">
      <c r="O253" s="7"/>
      <c r="P253" s="7"/>
      <c r="Q253" s="7"/>
      <c r="V253" s="7"/>
      <c r="W253" s="7"/>
      <c r="X253" s="7"/>
    </row>
    <row r="254" ht="43.5" customHeight="1">
      <c r="O254" s="7"/>
      <c r="P254" s="7"/>
      <c r="Q254" s="7"/>
      <c r="V254" s="7"/>
      <c r="W254" s="7"/>
      <c r="X254" s="7"/>
    </row>
    <row r="255" ht="43.5" customHeight="1">
      <c r="O255" s="7"/>
      <c r="P255" s="7"/>
      <c r="Q255" s="7"/>
      <c r="V255" s="7"/>
      <c r="W255" s="7"/>
      <c r="X255" s="7"/>
    </row>
    <row r="256" ht="43.5" customHeight="1">
      <c r="O256" s="7"/>
      <c r="P256" s="7"/>
      <c r="Q256" s="7"/>
      <c r="V256" s="7"/>
      <c r="W256" s="7"/>
      <c r="X256" s="7"/>
    </row>
    <row r="257" ht="43.5" customHeight="1">
      <c r="O257" s="7"/>
      <c r="P257" s="7"/>
      <c r="Q257" s="7"/>
      <c r="V257" s="7"/>
      <c r="W257" s="7"/>
      <c r="X257" s="7"/>
    </row>
    <row r="258" ht="43.5" customHeight="1">
      <c r="O258" s="7"/>
      <c r="P258" s="7"/>
      <c r="Q258" s="7"/>
      <c r="V258" s="7"/>
      <c r="W258" s="7"/>
      <c r="X258" s="7"/>
    </row>
    <row r="259" ht="43.5" customHeight="1">
      <c r="O259" s="7"/>
      <c r="P259" s="7"/>
      <c r="Q259" s="7"/>
      <c r="V259" s="7"/>
      <c r="W259" s="7"/>
      <c r="X259" s="7"/>
    </row>
    <row r="260" ht="43.5" customHeight="1">
      <c r="O260" s="7"/>
      <c r="P260" s="7"/>
      <c r="Q260" s="7"/>
      <c r="V260" s="7"/>
      <c r="W260" s="7"/>
      <c r="X260" s="7"/>
    </row>
    <row r="261" ht="43.5" customHeight="1">
      <c r="O261" s="7"/>
      <c r="P261" s="7"/>
      <c r="Q261" s="7"/>
      <c r="V261" s="7"/>
      <c r="W261" s="7"/>
      <c r="X261" s="7"/>
    </row>
    <row r="262" ht="43.5" customHeight="1">
      <c r="O262" s="7"/>
      <c r="P262" s="7"/>
      <c r="Q262" s="7"/>
      <c r="V262" s="7"/>
      <c r="W262" s="7"/>
      <c r="X262" s="7"/>
    </row>
    <row r="263" ht="43.5" customHeight="1">
      <c r="O263" s="7"/>
      <c r="P263" s="7"/>
      <c r="Q263" s="7"/>
      <c r="V263" s="7"/>
      <c r="W263" s="7"/>
      <c r="X263" s="7"/>
    </row>
    <row r="264" ht="43.5" customHeight="1">
      <c r="O264" s="7"/>
      <c r="P264" s="7"/>
      <c r="Q264" s="7"/>
      <c r="V264" s="7"/>
      <c r="W264" s="7"/>
      <c r="X264" s="7"/>
    </row>
    <row r="265" ht="43.5" customHeight="1">
      <c r="O265" s="7"/>
      <c r="P265" s="7"/>
      <c r="Q265" s="7"/>
      <c r="V265" s="7"/>
      <c r="W265" s="7"/>
      <c r="X265" s="7"/>
    </row>
    <row r="266" ht="43.5" customHeight="1">
      <c r="O266" s="7"/>
      <c r="P266" s="7"/>
      <c r="Q266" s="7"/>
      <c r="V266" s="7"/>
      <c r="W266" s="7"/>
      <c r="X266" s="7"/>
    </row>
    <row r="267" ht="43.5" customHeight="1">
      <c r="O267" s="7"/>
      <c r="P267" s="7"/>
      <c r="Q267" s="7"/>
      <c r="V267" s="7"/>
      <c r="W267" s="7"/>
      <c r="X267" s="7"/>
    </row>
    <row r="268" ht="43.5" customHeight="1">
      <c r="O268" s="7"/>
      <c r="P268" s="7"/>
      <c r="Q268" s="7"/>
      <c r="V268" s="7"/>
      <c r="W268" s="7"/>
      <c r="X268" s="7"/>
    </row>
    <row r="269" ht="43.5" customHeight="1">
      <c r="O269" s="7"/>
      <c r="P269" s="7"/>
      <c r="Q269" s="7"/>
      <c r="V269" s="7"/>
      <c r="W269" s="7"/>
      <c r="X269" s="7"/>
    </row>
    <row r="270" ht="43.5" customHeight="1">
      <c r="O270" s="7"/>
      <c r="P270" s="7"/>
      <c r="Q270" s="7"/>
      <c r="V270" s="7"/>
      <c r="W270" s="7"/>
      <c r="X270" s="7"/>
    </row>
    <row r="271" ht="43.5" customHeight="1">
      <c r="O271" s="7"/>
      <c r="P271" s="7"/>
      <c r="Q271" s="7"/>
      <c r="V271" s="7"/>
      <c r="W271" s="7"/>
      <c r="X271" s="7"/>
    </row>
    <row r="272" ht="43.5" customHeight="1">
      <c r="O272" s="7"/>
      <c r="P272" s="7"/>
      <c r="Q272" s="7"/>
      <c r="V272" s="7"/>
      <c r="W272" s="7"/>
      <c r="X272" s="7"/>
    </row>
    <row r="273" ht="43.5" customHeight="1">
      <c r="O273" s="7"/>
      <c r="P273" s="7"/>
      <c r="Q273" s="7"/>
      <c r="V273" s="7"/>
      <c r="W273" s="7"/>
      <c r="X273" s="7"/>
    </row>
    <row r="274" ht="43.5" customHeight="1">
      <c r="O274" s="7"/>
      <c r="P274" s="7"/>
      <c r="Q274" s="7"/>
      <c r="V274" s="7"/>
      <c r="W274" s="7"/>
      <c r="X274" s="7"/>
    </row>
    <row r="275" ht="43.5" customHeight="1">
      <c r="O275" s="7"/>
      <c r="P275" s="7"/>
      <c r="Q275" s="7"/>
      <c r="V275" s="7"/>
      <c r="W275" s="7"/>
      <c r="X275" s="7"/>
    </row>
    <row r="276" ht="43.5" customHeight="1">
      <c r="O276" s="7"/>
      <c r="P276" s="7"/>
      <c r="Q276" s="7"/>
      <c r="V276" s="7"/>
      <c r="W276" s="7"/>
      <c r="X276" s="7"/>
    </row>
    <row r="277" ht="43.5" customHeight="1">
      <c r="O277" s="7"/>
      <c r="P277" s="7"/>
      <c r="Q277" s="7"/>
      <c r="V277" s="7"/>
      <c r="W277" s="7"/>
      <c r="X277" s="7"/>
    </row>
    <row r="278" ht="43.5" customHeight="1">
      <c r="O278" s="7"/>
      <c r="P278" s="7"/>
      <c r="Q278" s="7"/>
      <c r="V278" s="7"/>
      <c r="W278" s="7"/>
      <c r="X278" s="7"/>
    </row>
    <row r="279" ht="43.5" customHeight="1">
      <c r="O279" s="7"/>
      <c r="P279" s="7"/>
      <c r="Q279" s="7"/>
      <c r="V279" s="7"/>
      <c r="W279" s="7"/>
      <c r="X279" s="7"/>
    </row>
    <row r="280" ht="43.5" customHeight="1">
      <c r="O280" s="7"/>
      <c r="P280" s="7"/>
      <c r="Q280" s="7"/>
      <c r="V280" s="7"/>
      <c r="W280" s="7"/>
      <c r="X280" s="7"/>
    </row>
    <row r="281" ht="43.5" customHeight="1">
      <c r="O281" s="7"/>
      <c r="P281" s="7"/>
      <c r="Q281" s="7"/>
      <c r="V281" s="7"/>
      <c r="W281" s="7"/>
      <c r="X281" s="7"/>
    </row>
    <row r="282" ht="43.5" customHeight="1">
      <c r="O282" s="7"/>
      <c r="P282" s="7"/>
      <c r="Q282" s="7"/>
      <c r="V282" s="7"/>
      <c r="W282" s="7"/>
      <c r="X282" s="7"/>
    </row>
    <row r="283" ht="43.5" customHeight="1">
      <c r="O283" s="7"/>
      <c r="P283" s="7"/>
      <c r="Q283" s="7"/>
      <c r="V283" s="7"/>
      <c r="W283" s="7"/>
      <c r="X283" s="7"/>
    </row>
    <row r="284" ht="43.5" customHeight="1">
      <c r="O284" s="7"/>
      <c r="P284" s="7"/>
      <c r="Q284" s="7"/>
      <c r="V284" s="7"/>
      <c r="W284" s="7"/>
      <c r="X284" s="7"/>
    </row>
    <row r="285" ht="43.5" customHeight="1">
      <c r="O285" s="7"/>
      <c r="P285" s="7"/>
      <c r="Q285" s="7"/>
      <c r="V285" s="7"/>
      <c r="W285" s="7"/>
      <c r="X285" s="7"/>
    </row>
    <row r="286" ht="43.5" customHeight="1">
      <c r="O286" s="7"/>
      <c r="P286" s="7"/>
      <c r="Q286" s="7"/>
      <c r="V286" s="7"/>
      <c r="W286" s="7"/>
      <c r="X286" s="7"/>
    </row>
    <row r="287" ht="43.5" customHeight="1">
      <c r="O287" s="7"/>
      <c r="P287" s="7"/>
      <c r="Q287" s="7"/>
      <c r="V287" s="7"/>
      <c r="W287" s="7"/>
      <c r="X287" s="7"/>
    </row>
    <row r="288" ht="43.5" customHeight="1">
      <c r="O288" s="7"/>
      <c r="P288" s="7"/>
      <c r="Q288" s="7"/>
      <c r="V288" s="7"/>
      <c r="W288" s="7"/>
      <c r="X288" s="7"/>
    </row>
    <row r="289" ht="43.5" customHeight="1">
      <c r="O289" s="7"/>
      <c r="P289" s="7"/>
      <c r="Q289" s="7"/>
      <c r="V289" s="7"/>
      <c r="W289" s="7"/>
      <c r="X289" s="7"/>
    </row>
    <row r="290" ht="43.5" customHeight="1">
      <c r="O290" s="7"/>
      <c r="P290" s="7"/>
      <c r="Q290" s="7"/>
      <c r="V290" s="7"/>
      <c r="W290" s="7"/>
      <c r="X290" s="7"/>
    </row>
    <row r="291" ht="43.5" customHeight="1">
      <c r="O291" s="7"/>
      <c r="P291" s="7"/>
      <c r="Q291" s="7"/>
      <c r="V291" s="7"/>
      <c r="W291" s="7"/>
      <c r="X291" s="7"/>
    </row>
    <row r="292" ht="43.5" customHeight="1">
      <c r="O292" s="7"/>
      <c r="P292" s="7"/>
      <c r="Q292" s="7"/>
      <c r="V292" s="7"/>
      <c r="W292" s="7"/>
      <c r="X292" s="7"/>
    </row>
    <row r="293" ht="43.5" customHeight="1">
      <c r="O293" s="7"/>
      <c r="P293" s="7"/>
      <c r="Q293" s="7"/>
      <c r="V293" s="7"/>
      <c r="W293" s="7"/>
      <c r="X293" s="7"/>
    </row>
    <row r="294" ht="43.5" customHeight="1">
      <c r="O294" s="7"/>
      <c r="P294" s="7"/>
      <c r="Q294" s="7"/>
      <c r="V294" s="7"/>
      <c r="W294" s="7"/>
      <c r="X294" s="7"/>
    </row>
    <row r="295" ht="43.5" customHeight="1">
      <c r="O295" s="7"/>
      <c r="P295" s="7"/>
      <c r="Q295" s="7"/>
      <c r="V295" s="7"/>
      <c r="W295" s="7"/>
      <c r="X295" s="7"/>
    </row>
    <row r="296" ht="43.5" customHeight="1">
      <c r="O296" s="7"/>
      <c r="P296" s="7"/>
      <c r="Q296" s="7"/>
      <c r="V296" s="7"/>
      <c r="W296" s="7"/>
      <c r="X296" s="7"/>
    </row>
    <row r="297" ht="43.5" customHeight="1">
      <c r="O297" s="7"/>
      <c r="P297" s="7"/>
      <c r="Q297" s="7"/>
      <c r="V297" s="7"/>
      <c r="W297" s="7"/>
      <c r="X297" s="7"/>
    </row>
    <row r="298" ht="43.5" customHeight="1">
      <c r="O298" s="7"/>
      <c r="P298" s="7"/>
      <c r="Q298" s="7"/>
      <c r="V298" s="7"/>
      <c r="W298" s="7"/>
      <c r="X298" s="7"/>
    </row>
    <row r="299" ht="43.5" customHeight="1">
      <c r="O299" s="7"/>
      <c r="P299" s="7"/>
      <c r="Q299" s="7"/>
      <c r="V299" s="7"/>
      <c r="W299" s="7"/>
      <c r="X299" s="7"/>
    </row>
    <row r="300" ht="43.5" customHeight="1">
      <c r="O300" s="7"/>
      <c r="P300" s="7"/>
      <c r="Q300" s="7"/>
      <c r="V300" s="7"/>
      <c r="W300" s="7"/>
      <c r="X300" s="7"/>
    </row>
    <row r="301" ht="43.5" customHeight="1">
      <c r="O301" s="7"/>
      <c r="P301" s="7"/>
      <c r="Q301" s="7"/>
      <c r="V301" s="7"/>
      <c r="W301" s="7"/>
      <c r="X301" s="7"/>
    </row>
    <row r="302" ht="43.5" customHeight="1">
      <c r="O302" s="7"/>
      <c r="P302" s="7"/>
      <c r="Q302" s="7"/>
      <c r="V302" s="7"/>
      <c r="W302" s="7"/>
      <c r="X302" s="7"/>
    </row>
    <row r="303" ht="43.5" customHeight="1">
      <c r="O303" s="7"/>
      <c r="P303" s="7"/>
      <c r="Q303" s="7"/>
      <c r="V303" s="7"/>
      <c r="W303" s="7"/>
      <c r="X303" s="7"/>
    </row>
    <row r="304" ht="43.5" customHeight="1">
      <c r="O304" s="7"/>
      <c r="P304" s="7"/>
      <c r="Q304" s="7"/>
      <c r="V304" s="7"/>
      <c r="W304" s="7"/>
      <c r="X304" s="7"/>
    </row>
    <row r="305" ht="43.5" customHeight="1">
      <c r="O305" s="7"/>
      <c r="P305" s="7"/>
      <c r="Q305" s="7"/>
      <c r="V305" s="7"/>
      <c r="W305" s="7"/>
      <c r="X305" s="7"/>
    </row>
    <row r="306" ht="43.5" customHeight="1">
      <c r="O306" s="7"/>
      <c r="P306" s="7"/>
      <c r="Q306" s="7"/>
      <c r="V306" s="7"/>
      <c r="W306" s="7"/>
      <c r="X306" s="7"/>
    </row>
    <row r="307" ht="43.5" customHeight="1">
      <c r="O307" s="7"/>
      <c r="P307" s="7"/>
      <c r="Q307" s="7"/>
      <c r="V307" s="7"/>
      <c r="W307" s="7"/>
      <c r="X307" s="7"/>
    </row>
    <row r="308" ht="43.5" customHeight="1">
      <c r="O308" s="7"/>
      <c r="P308" s="7"/>
      <c r="Q308" s="7"/>
      <c r="V308" s="7"/>
      <c r="W308" s="7"/>
      <c r="X308" s="7"/>
    </row>
    <row r="309" ht="43.5" customHeight="1">
      <c r="O309" s="7"/>
      <c r="P309" s="7"/>
      <c r="Q309" s="7"/>
      <c r="V309" s="7"/>
      <c r="W309" s="7"/>
      <c r="X309" s="7"/>
    </row>
    <row r="310" ht="43.5" customHeight="1">
      <c r="O310" s="7"/>
      <c r="P310" s="7"/>
      <c r="Q310" s="7"/>
      <c r="V310" s="7"/>
      <c r="W310" s="7"/>
      <c r="X310" s="7"/>
    </row>
    <row r="311" ht="43.5" customHeight="1">
      <c r="O311" s="7"/>
      <c r="P311" s="7"/>
      <c r="Q311" s="7"/>
      <c r="V311" s="7"/>
      <c r="W311" s="7"/>
      <c r="X311" s="7"/>
    </row>
    <row r="312" ht="43.5" customHeight="1">
      <c r="O312" s="7"/>
      <c r="P312" s="7"/>
      <c r="Q312" s="7"/>
      <c r="V312" s="7"/>
      <c r="W312" s="7"/>
      <c r="X312" s="7"/>
    </row>
    <row r="313" ht="43.5" customHeight="1">
      <c r="O313" s="7"/>
      <c r="P313" s="7"/>
      <c r="Q313" s="7"/>
      <c r="V313" s="7"/>
      <c r="W313" s="7"/>
      <c r="X313" s="7"/>
    </row>
    <row r="314" ht="43.5" customHeight="1">
      <c r="O314" s="7"/>
      <c r="P314" s="7"/>
      <c r="Q314" s="7"/>
      <c r="V314" s="7"/>
      <c r="W314" s="7"/>
      <c r="X314" s="7"/>
    </row>
    <row r="315" ht="43.5" customHeight="1">
      <c r="O315" s="7"/>
      <c r="P315" s="7"/>
      <c r="Q315" s="7"/>
      <c r="V315" s="7"/>
      <c r="W315" s="7"/>
      <c r="X315" s="7"/>
    </row>
    <row r="316" ht="43.5" customHeight="1">
      <c r="O316" s="7"/>
      <c r="P316" s="7"/>
      <c r="Q316" s="7"/>
      <c r="V316" s="7"/>
      <c r="W316" s="7"/>
      <c r="X316" s="7"/>
    </row>
    <row r="317" ht="43.5" customHeight="1">
      <c r="O317" s="7"/>
      <c r="P317" s="7"/>
      <c r="Q317" s="7"/>
      <c r="V317" s="7"/>
      <c r="W317" s="7"/>
      <c r="X317" s="7"/>
    </row>
    <row r="318" ht="43.5" customHeight="1">
      <c r="O318" s="7"/>
      <c r="P318" s="7"/>
      <c r="Q318" s="7"/>
      <c r="V318" s="7"/>
      <c r="W318" s="7"/>
      <c r="X318" s="7"/>
    </row>
    <row r="319" ht="43.5" customHeight="1">
      <c r="O319" s="7"/>
      <c r="P319" s="7"/>
      <c r="Q319" s="7"/>
      <c r="V319" s="7"/>
      <c r="W319" s="7"/>
      <c r="X319" s="7"/>
    </row>
    <row r="320" ht="43.5" customHeight="1">
      <c r="O320" s="7"/>
      <c r="P320" s="7"/>
      <c r="Q320" s="7"/>
      <c r="V320" s="7"/>
      <c r="W320" s="7"/>
      <c r="X320" s="7"/>
    </row>
    <row r="321" ht="43.5" customHeight="1">
      <c r="O321" s="7"/>
      <c r="P321" s="7"/>
      <c r="Q321" s="7"/>
      <c r="V321" s="7"/>
      <c r="W321" s="7"/>
      <c r="X321" s="7"/>
    </row>
    <row r="322" ht="43.5" customHeight="1">
      <c r="O322" s="7"/>
      <c r="P322" s="7"/>
      <c r="Q322" s="7"/>
      <c r="V322" s="7"/>
      <c r="W322" s="7"/>
      <c r="X322" s="7"/>
    </row>
    <row r="323" ht="43.5" customHeight="1">
      <c r="O323" s="7"/>
      <c r="P323" s="7"/>
      <c r="Q323" s="7"/>
      <c r="V323" s="7"/>
      <c r="W323" s="7"/>
      <c r="X323" s="7"/>
    </row>
    <row r="324" ht="43.5" customHeight="1">
      <c r="O324" s="7"/>
      <c r="P324" s="7"/>
      <c r="Q324" s="7"/>
      <c r="V324" s="7"/>
      <c r="W324" s="7"/>
      <c r="X324" s="7"/>
    </row>
    <row r="325" ht="43.5" customHeight="1">
      <c r="O325" s="7"/>
      <c r="P325" s="7"/>
      <c r="Q325" s="7"/>
      <c r="V325" s="7"/>
      <c r="W325" s="7"/>
      <c r="X325" s="7"/>
    </row>
    <row r="326" ht="43.5" customHeight="1">
      <c r="O326" s="7"/>
      <c r="P326" s="7"/>
      <c r="Q326" s="7"/>
      <c r="V326" s="7"/>
      <c r="W326" s="7"/>
      <c r="X326" s="7"/>
    </row>
    <row r="327" ht="43.5" customHeight="1">
      <c r="O327" s="7"/>
      <c r="P327" s="7"/>
      <c r="Q327" s="7"/>
      <c r="V327" s="7"/>
      <c r="W327" s="7"/>
      <c r="X327" s="7"/>
    </row>
    <row r="328" ht="43.5" customHeight="1">
      <c r="O328" s="7"/>
      <c r="P328" s="7"/>
      <c r="Q328" s="7"/>
      <c r="V328" s="7"/>
      <c r="W328" s="7"/>
      <c r="X328" s="7"/>
    </row>
    <row r="329" ht="43.5" customHeight="1">
      <c r="O329" s="7"/>
      <c r="P329" s="7"/>
      <c r="Q329" s="7"/>
      <c r="V329" s="7"/>
      <c r="W329" s="7"/>
      <c r="X329" s="7"/>
    </row>
    <row r="330" ht="43.5" customHeight="1">
      <c r="O330" s="7"/>
      <c r="P330" s="7"/>
      <c r="Q330" s="7"/>
      <c r="V330" s="7"/>
      <c r="W330" s="7"/>
      <c r="X330" s="7"/>
    </row>
    <row r="331" ht="43.5" customHeight="1">
      <c r="O331" s="7"/>
      <c r="P331" s="7"/>
      <c r="Q331" s="7"/>
      <c r="V331" s="7"/>
      <c r="W331" s="7"/>
      <c r="X331" s="7"/>
    </row>
    <row r="332" ht="43.5" customHeight="1">
      <c r="O332" s="7"/>
      <c r="P332" s="7"/>
      <c r="Q332" s="7"/>
      <c r="V332" s="7"/>
      <c r="W332" s="7"/>
      <c r="X332" s="7"/>
    </row>
    <row r="333" ht="43.5" customHeight="1">
      <c r="O333" s="7"/>
      <c r="P333" s="7"/>
      <c r="Q333" s="7"/>
      <c r="V333" s="7"/>
      <c r="W333" s="7"/>
      <c r="X333" s="7"/>
    </row>
    <row r="334" ht="43.5" customHeight="1">
      <c r="O334" s="7"/>
      <c r="P334" s="7"/>
      <c r="Q334" s="7"/>
      <c r="V334" s="7"/>
      <c r="W334" s="7"/>
      <c r="X334" s="7"/>
    </row>
    <row r="335" ht="43.5" customHeight="1">
      <c r="O335" s="7"/>
      <c r="P335" s="7"/>
      <c r="Q335" s="7"/>
      <c r="V335" s="7"/>
      <c r="W335" s="7"/>
      <c r="X335" s="7"/>
    </row>
    <row r="336" ht="43.5" customHeight="1">
      <c r="O336" s="7"/>
      <c r="P336" s="7"/>
      <c r="Q336" s="7"/>
      <c r="V336" s="7"/>
      <c r="W336" s="7"/>
      <c r="X336" s="7"/>
    </row>
    <row r="337" ht="43.5" customHeight="1">
      <c r="O337" s="7"/>
      <c r="P337" s="7"/>
      <c r="Q337" s="7"/>
      <c r="V337" s="7"/>
      <c r="W337" s="7"/>
      <c r="X337" s="7"/>
    </row>
    <row r="338" ht="43.5" customHeight="1">
      <c r="O338" s="7"/>
      <c r="P338" s="7"/>
      <c r="Q338" s="7"/>
      <c r="V338" s="7"/>
      <c r="W338" s="7"/>
      <c r="X338" s="7"/>
    </row>
    <row r="339" ht="43.5" customHeight="1">
      <c r="O339" s="7"/>
      <c r="P339" s="7"/>
      <c r="Q339" s="7"/>
      <c r="V339" s="7"/>
      <c r="W339" s="7"/>
      <c r="X339" s="7"/>
    </row>
    <row r="340" ht="43.5" customHeight="1">
      <c r="O340" s="7"/>
      <c r="P340" s="7"/>
      <c r="Q340" s="7"/>
      <c r="V340" s="7"/>
      <c r="W340" s="7"/>
      <c r="X340" s="7"/>
    </row>
    <row r="341" ht="43.5" customHeight="1">
      <c r="O341" s="7"/>
      <c r="P341" s="7"/>
      <c r="Q341" s="7"/>
      <c r="V341" s="7"/>
      <c r="W341" s="7"/>
      <c r="X341" s="7"/>
    </row>
    <row r="342" ht="43.5" customHeight="1">
      <c r="O342" s="7"/>
      <c r="P342" s="7"/>
      <c r="Q342" s="7"/>
      <c r="V342" s="7"/>
      <c r="W342" s="7"/>
      <c r="X342" s="7"/>
    </row>
    <row r="343" ht="43.5" customHeight="1">
      <c r="O343" s="7"/>
      <c r="P343" s="7"/>
      <c r="Q343" s="7"/>
      <c r="V343" s="7"/>
      <c r="W343" s="7"/>
      <c r="X343" s="7"/>
    </row>
    <row r="344" ht="43.5" customHeight="1">
      <c r="O344" s="7"/>
      <c r="P344" s="7"/>
      <c r="Q344" s="7"/>
      <c r="V344" s="7"/>
      <c r="W344" s="7"/>
      <c r="X344" s="7"/>
    </row>
    <row r="345" ht="43.5" customHeight="1">
      <c r="O345" s="7"/>
      <c r="P345" s="7"/>
      <c r="Q345" s="7"/>
      <c r="V345" s="7"/>
      <c r="W345" s="7"/>
      <c r="X345" s="7"/>
    </row>
    <row r="346" ht="43.5" customHeight="1">
      <c r="O346" s="7"/>
      <c r="P346" s="7"/>
      <c r="Q346" s="7"/>
      <c r="V346" s="7"/>
      <c r="W346" s="7"/>
      <c r="X346" s="7"/>
    </row>
    <row r="347" ht="43.5" customHeight="1">
      <c r="O347" s="7"/>
      <c r="P347" s="7"/>
      <c r="Q347" s="7"/>
      <c r="V347" s="7"/>
      <c r="W347" s="7"/>
      <c r="X347" s="7"/>
    </row>
    <row r="348" ht="43.5" customHeight="1">
      <c r="O348" s="7"/>
      <c r="P348" s="7"/>
      <c r="Q348" s="7"/>
      <c r="V348" s="7"/>
      <c r="W348" s="7"/>
      <c r="X348" s="7"/>
    </row>
    <row r="349" ht="43.5" customHeight="1">
      <c r="O349" s="7"/>
      <c r="P349" s="7"/>
      <c r="Q349" s="7"/>
      <c r="V349" s="7"/>
      <c r="W349" s="7"/>
      <c r="X349" s="7"/>
    </row>
    <row r="350" ht="43.5" customHeight="1">
      <c r="O350" s="7"/>
      <c r="P350" s="7"/>
      <c r="Q350" s="7"/>
      <c r="V350" s="7"/>
      <c r="W350" s="7"/>
      <c r="X350" s="7"/>
    </row>
    <row r="351" ht="43.5" customHeight="1">
      <c r="O351" s="7"/>
      <c r="P351" s="7"/>
      <c r="Q351" s="7"/>
      <c r="V351" s="7"/>
      <c r="W351" s="7"/>
      <c r="X351" s="7"/>
    </row>
    <row r="352" ht="43.5" customHeight="1">
      <c r="O352" s="7"/>
      <c r="P352" s="7"/>
      <c r="Q352" s="7"/>
      <c r="V352" s="7"/>
      <c r="W352" s="7"/>
      <c r="X352" s="7"/>
    </row>
    <row r="353" ht="43.5" customHeight="1">
      <c r="O353" s="7"/>
      <c r="P353" s="7"/>
      <c r="Q353" s="7"/>
      <c r="V353" s="7"/>
      <c r="W353" s="7"/>
      <c r="X353" s="7"/>
    </row>
    <row r="354" ht="43.5" customHeight="1">
      <c r="O354" s="7"/>
      <c r="P354" s="7"/>
      <c r="Q354" s="7"/>
      <c r="V354" s="7"/>
      <c r="W354" s="7"/>
      <c r="X354" s="7"/>
    </row>
    <row r="355" ht="43.5" customHeight="1">
      <c r="O355" s="7"/>
      <c r="P355" s="7"/>
      <c r="Q355" s="7"/>
      <c r="V355" s="7"/>
      <c r="W355" s="7"/>
      <c r="X355" s="7"/>
    </row>
    <row r="356" ht="43.5" customHeight="1">
      <c r="O356" s="7"/>
      <c r="P356" s="7"/>
      <c r="Q356" s="7"/>
      <c r="V356" s="7"/>
      <c r="W356" s="7"/>
      <c r="X356" s="7"/>
    </row>
    <row r="357" ht="43.5" customHeight="1">
      <c r="O357" s="7"/>
      <c r="P357" s="7"/>
      <c r="Q357" s="7"/>
      <c r="V357" s="7"/>
      <c r="W357" s="7"/>
      <c r="X357" s="7"/>
    </row>
    <row r="358" ht="43.5" customHeight="1">
      <c r="O358" s="7"/>
      <c r="P358" s="7"/>
      <c r="Q358" s="7"/>
      <c r="V358" s="7"/>
      <c r="W358" s="7"/>
      <c r="X358" s="7"/>
    </row>
    <row r="359" ht="43.5" customHeight="1">
      <c r="O359" s="7"/>
      <c r="P359" s="7"/>
      <c r="Q359" s="7"/>
      <c r="V359" s="7"/>
      <c r="W359" s="7"/>
      <c r="X359" s="7"/>
    </row>
    <row r="360" ht="43.5" customHeight="1">
      <c r="O360" s="7"/>
      <c r="P360" s="7"/>
      <c r="Q360" s="7"/>
      <c r="V360" s="7"/>
      <c r="W360" s="7"/>
      <c r="X360" s="7"/>
    </row>
    <row r="361" ht="43.5" customHeight="1">
      <c r="O361" s="7"/>
      <c r="P361" s="7"/>
      <c r="Q361" s="7"/>
      <c r="V361" s="7"/>
      <c r="W361" s="7"/>
      <c r="X361" s="7"/>
    </row>
    <row r="362" ht="43.5" customHeight="1">
      <c r="O362" s="7"/>
      <c r="P362" s="7"/>
      <c r="Q362" s="7"/>
      <c r="V362" s="7"/>
      <c r="W362" s="7"/>
      <c r="X362" s="7"/>
    </row>
    <row r="363" ht="43.5" customHeight="1">
      <c r="O363" s="7"/>
      <c r="P363" s="7"/>
      <c r="Q363" s="7"/>
      <c r="V363" s="7"/>
      <c r="W363" s="7"/>
      <c r="X363" s="7"/>
    </row>
    <row r="364" ht="43.5" customHeight="1">
      <c r="O364" s="7"/>
      <c r="P364" s="7"/>
      <c r="Q364" s="7"/>
      <c r="V364" s="7"/>
      <c r="W364" s="7"/>
      <c r="X364" s="7"/>
    </row>
    <row r="365" ht="43.5" customHeight="1">
      <c r="O365" s="7"/>
      <c r="P365" s="7"/>
      <c r="Q365" s="7"/>
      <c r="V365" s="7"/>
      <c r="W365" s="7"/>
      <c r="X365" s="7"/>
    </row>
    <row r="366" ht="43.5" customHeight="1">
      <c r="O366" s="7"/>
      <c r="P366" s="7"/>
      <c r="Q366" s="7"/>
      <c r="V366" s="7"/>
      <c r="W366" s="7"/>
      <c r="X366" s="7"/>
    </row>
    <row r="367" ht="43.5" customHeight="1">
      <c r="O367" s="7"/>
      <c r="P367" s="7"/>
      <c r="Q367" s="7"/>
      <c r="V367" s="7"/>
      <c r="W367" s="7"/>
      <c r="X367" s="7"/>
    </row>
    <row r="368" ht="43.5" customHeight="1">
      <c r="O368" s="7"/>
      <c r="P368" s="7"/>
      <c r="Q368" s="7"/>
      <c r="V368" s="7"/>
      <c r="W368" s="7"/>
      <c r="X368" s="7"/>
    </row>
    <row r="369" ht="43.5" customHeight="1">
      <c r="O369" s="7"/>
      <c r="P369" s="7"/>
      <c r="Q369" s="7"/>
      <c r="V369" s="7"/>
      <c r="W369" s="7"/>
      <c r="X369" s="7"/>
    </row>
    <row r="370" ht="43.5" customHeight="1">
      <c r="O370" s="7"/>
      <c r="P370" s="7"/>
      <c r="Q370" s="7"/>
      <c r="V370" s="7"/>
      <c r="W370" s="7"/>
      <c r="X370" s="7"/>
    </row>
    <row r="371" ht="43.5" customHeight="1">
      <c r="O371" s="7"/>
      <c r="P371" s="7"/>
      <c r="Q371" s="7"/>
      <c r="V371" s="7"/>
      <c r="W371" s="7"/>
      <c r="X371" s="7"/>
    </row>
    <row r="372" ht="43.5" customHeight="1">
      <c r="O372" s="7"/>
      <c r="P372" s="7"/>
      <c r="Q372" s="7"/>
      <c r="V372" s="7"/>
      <c r="W372" s="7"/>
      <c r="X372" s="7"/>
    </row>
    <row r="373" ht="43.5" customHeight="1">
      <c r="O373" s="7"/>
      <c r="P373" s="7"/>
      <c r="Q373" s="7"/>
      <c r="V373" s="7"/>
      <c r="W373" s="7"/>
      <c r="X373" s="7"/>
    </row>
    <row r="374" ht="43.5" customHeight="1">
      <c r="O374" s="7"/>
      <c r="P374" s="7"/>
      <c r="Q374" s="7"/>
      <c r="V374" s="7"/>
      <c r="W374" s="7"/>
      <c r="X374" s="7"/>
    </row>
    <row r="375" ht="43.5" customHeight="1">
      <c r="O375" s="7"/>
      <c r="P375" s="7"/>
      <c r="Q375" s="7"/>
      <c r="V375" s="7"/>
      <c r="W375" s="7"/>
      <c r="X375" s="7"/>
    </row>
    <row r="376" ht="43.5" customHeight="1">
      <c r="O376" s="7"/>
      <c r="P376" s="7"/>
      <c r="Q376" s="7"/>
      <c r="V376" s="7"/>
      <c r="W376" s="7"/>
      <c r="X376" s="7"/>
    </row>
    <row r="377" ht="43.5" customHeight="1">
      <c r="O377" s="7"/>
      <c r="P377" s="7"/>
      <c r="Q377" s="7"/>
      <c r="V377" s="7"/>
      <c r="W377" s="7"/>
      <c r="X377" s="7"/>
    </row>
    <row r="378" ht="43.5" customHeight="1">
      <c r="O378" s="7"/>
      <c r="P378" s="7"/>
      <c r="Q378" s="7"/>
      <c r="V378" s="7"/>
      <c r="W378" s="7"/>
      <c r="X378" s="7"/>
    </row>
    <row r="379" ht="43.5" customHeight="1">
      <c r="O379" s="7"/>
      <c r="P379" s="7"/>
      <c r="Q379" s="7"/>
      <c r="V379" s="7"/>
      <c r="W379" s="7"/>
      <c r="X379" s="7"/>
    </row>
    <row r="380" ht="43.5" customHeight="1">
      <c r="O380" s="7"/>
      <c r="P380" s="7"/>
      <c r="Q380" s="7"/>
      <c r="V380" s="7"/>
      <c r="W380" s="7"/>
      <c r="X380" s="7"/>
    </row>
    <row r="381" ht="43.5" customHeight="1">
      <c r="O381" s="7"/>
      <c r="P381" s="7"/>
      <c r="Q381" s="7"/>
      <c r="V381" s="7"/>
      <c r="W381" s="7"/>
      <c r="X381" s="7"/>
    </row>
    <row r="382" ht="43.5" customHeight="1">
      <c r="O382" s="7"/>
      <c r="P382" s="7"/>
      <c r="Q382" s="7"/>
      <c r="V382" s="7"/>
      <c r="W382" s="7"/>
      <c r="X382" s="7"/>
    </row>
    <row r="383" ht="43.5" customHeight="1">
      <c r="O383" s="7"/>
      <c r="P383" s="7"/>
      <c r="Q383" s="7"/>
      <c r="V383" s="7"/>
      <c r="W383" s="7"/>
      <c r="X383" s="7"/>
    </row>
    <row r="384" ht="43.5" customHeight="1">
      <c r="O384" s="7"/>
      <c r="P384" s="7"/>
      <c r="Q384" s="7"/>
      <c r="V384" s="7"/>
      <c r="W384" s="7"/>
      <c r="X384" s="7"/>
    </row>
    <row r="385" ht="43.5" customHeight="1">
      <c r="O385" s="7"/>
      <c r="P385" s="7"/>
      <c r="Q385" s="7"/>
      <c r="V385" s="7"/>
      <c r="W385" s="7"/>
      <c r="X385" s="7"/>
    </row>
    <row r="386" ht="43.5" customHeight="1">
      <c r="O386" s="7"/>
      <c r="P386" s="7"/>
      <c r="Q386" s="7"/>
      <c r="V386" s="7"/>
      <c r="W386" s="7"/>
      <c r="X386" s="7"/>
    </row>
    <row r="387" ht="43.5" customHeight="1">
      <c r="O387" s="7"/>
      <c r="P387" s="7"/>
      <c r="Q387" s="7"/>
      <c r="V387" s="7"/>
      <c r="W387" s="7"/>
      <c r="X387" s="7"/>
    </row>
    <row r="388" ht="43.5" customHeight="1">
      <c r="O388" s="7"/>
      <c r="P388" s="7"/>
      <c r="Q388" s="7"/>
      <c r="V388" s="7"/>
      <c r="W388" s="7"/>
      <c r="X388" s="7"/>
    </row>
    <row r="389" ht="43.5" customHeight="1">
      <c r="O389" s="7"/>
      <c r="P389" s="7"/>
      <c r="Q389" s="7"/>
      <c r="V389" s="7"/>
      <c r="W389" s="7"/>
      <c r="X389" s="7"/>
    </row>
    <row r="390" ht="43.5" customHeight="1">
      <c r="O390" s="7"/>
      <c r="P390" s="7"/>
      <c r="Q390" s="7"/>
      <c r="V390" s="7"/>
      <c r="W390" s="7"/>
      <c r="X390" s="7"/>
    </row>
    <row r="391" ht="43.5" customHeight="1">
      <c r="O391" s="7"/>
      <c r="P391" s="7"/>
      <c r="Q391" s="7"/>
      <c r="V391" s="7"/>
      <c r="W391" s="7"/>
      <c r="X391" s="7"/>
    </row>
    <row r="392" ht="43.5" customHeight="1">
      <c r="O392" s="7"/>
      <c r="P392" s="7"/>
      <c r="Q392" s="7"/>
      <c r="V392" s="7"/>
      <c r="W392" s="7"/>
      <c r="X392" s="7"/>
    </row>
    <row r="393" ht="43.5" customHeight="1">
      <c r="O393" s="7"/>
      <c r="P393" s="7"/>
      <c r="Q393" s="7"/>
      <c r="V393" s="7"/>
      <c r="W393" s="7"/>
      <c r="X393" s="7"/>
    </row>
    <row r="394" ht="43.5" customHeight="1">
      <c r="O394" s="7"/>
      <c r="P394" s="7"/>
      <c r="Q394" s="7"/>
      <c r="V394" s="7"/>
      <c r="W394" s="7"/>
      <c r="X394" s="7"/>
    </row>
    <row r="395" ht="43.5" customHeight="1">
      <c r="O395" s="7"/>
      <c r="P395" s="7"/>
      <c r="Q395" s="7"/>
      <c r="V395" s="7"/>
      <c r="W395" s="7"/>
      <c r="X395" s="7"/>
    </row>
    <row r="396" ht="43.5" customHeight="1">
      <c r="O396" s="7"/>
      <c r="P396" s="7"/>
      <c r="Q396" s="7"/>
      <c r="V396" s="7"/>
      <c r="W396" s="7"/>
      <c r="X396" s="7"/>
    </row>
    <row r="397" ht="43.5" customHeight="1">
      <c r="O397" s="7"/>
      <c r="P397" s="7"/>
      <c r="Q397" s="7"/>
      <c r="V397" s="7"/>
      <c r="W397" s="7"/>
      <c r="X397" s="7"/>
    </row>
    <row r="398" ht="43.5" customHeight="1">
      <c r="O398" s="7"/>
      <c r="P398" s="7"/>
      <c r="Q398" s="7"/>
      <c r="V398" s="7"/>
      <c r="W398" s="7"/>
      <c r="X398" s="7"/>
    </row>
    <row r="399" ht="43.5" customHeight="1">
      <c r="O399" s="7"/>
      <c r="P399" s="7"/>
      <c r="Q399" s="7"/>
      <c r="V399" s="7"/>
      <c r="W399" s="7"/>
      <c r="X399" s="7"/>
    </row>
    <row r="400" ht="43.5" customHeight="1">
      <c r="O400" s="7"/>
      <c r="P400" s="7"/>
      <c r="Q400" s="7"/>
      <c r="V400" s="7"/>
      <c r="W400" s="7"/>
      <c r="X400" s="7"/>
    </row>
    <row r="401" ht="43.5" customHeight="1">
      <c r="O401" s="7"/>
      <c r="P401" s="7"/>
      <c r="Q401" s="7"/>
      <c r="V401" s="7"/>
      <c r="W401" s="7"/>
      <c r="X401" s="7"/>
    </row>
    <row r="402" ht="43.5" customHeight="1">
      <c r="O402" s="7"/>
      <c r="P402" s="7"/>
      <c r="Q402" s="7"/>
      <c r="V402" s="7"/>
      <c r="W402" s="7"/>
      <c r="X402" s="7"/>
    </row>
    <row r="403" ht="43.5" customHeight="1">
      <c r="O403" s="7"/>
      <c r="P403" s="7"/>
      <c r="Q403" s="7"/>
      <c r="V403" s="7"/>
      <c r="W403" s="7"/>
      <c r="X403" s="7"/>
    </row>
    <row r="404" ht="43.5" customHeight="1">
      <c r="O404" s="7"/>
      <c r="P404" s="7"/>
      <c r="Q404" s="7"/>
      <c r="V404" s="7"/>
      <c r="W404" s="7"/>
      <c r="X404" s="7"/>
    </row>
    <row r="405" ht="43.5" customHeight="1">
      <c r="O405" s="7"/>
      <c r="P405" s="7"/>
      <c r="Q405" s="7"/>
      <c r="V405" s="7"/>
      <c r="W405" s="7"/>
      <c r="X405" s="7"/>
    </row>
    <row r="406" ht="43.5" customHeight="1">
      <c r="O406" s="7"/>
      <c r="P406" s="7"/>
      <c r="Q406" s="7"/>
      <c r="V406" s="7"/>
      <c r="W406" s="7"/>
      <c r="X406" s="7"/>
    </row>
    <row r="407" ht="43.5" customHeight="1">
      <c r="O407" s="7"/>
      <c r="P407" s="7"/>
      <c r="Q407" s="7"/>
      <c r="V407" s="7"/>
      <c r="W407" s="7"/>
      <c r="X407" s="7"/>
    </row>
    <row r="408" ht="43.5" customHeight="1">
      <c r="O408" s="7"/>
      <c r="P408" s="7"/>
      <c r="Q408" s="7"/>
      <c r="V408" s="7"/>
      <c r="W408" s="7"/>
      <c r="X408" s="7"/>
    </row>
    <row r="409" ht="43.5" customHeight="1">
      <c r="O409" s="7"/>
      <c r="P409" s="7"/>
      <c r="Q409" s="7"/>
      <c r="V409" s="7"/>
      <c r="W409" s="7"/>
      <c r="X409" s="7"/>
    </row>
    <row r="410" ht="43.5" customHeight="1">
      <c r="O410" s="7"/>
      <c r="P410" s="7"/>
      <c r="Q410" s="7"/>
      <c r="V410" s="7"/>
      <c r="W410" s="7"/>
      <c r="X410" s="7"/>
    </row>
    <row r="411" ht="43.5" customHeight="1">
      <c r="O411" s="7"/>
      <c r="P411" s="7"/>
      <c r="Q411" s="7"/>
      <c r="V411" s="7"/>
      <c r="W411" s="7"/>
      <c r="X411" s="7"/>
    </row>
    <row r="412" ht="43.5" customHeight="1">
      <c r="O412" s="7"/>
      <c r="P412" s="7"/>
      <c r="Q412" s="7"/>
      <c r="V412" s="7"/>
      <c r="W412" s="7"/>
      <c r="X412" s="7"/>
    </row>
    <row r="413" ht="43.5" customHeight="1">
      <c r="O413" s="7"/>
      <c r="P413" s="7"/>
      <c r="Q413" s="7"/>
      <c r="V413" s="7"/>
      <c r="W413" s="7"/>
      <c r="X413" s="7"/>
    </row>
    <row r="414" ht="43.5" customHeight="1">
      <c r="O414" s="7"/>
      <c r="P414" s="7"/>
      <c r="Q414" s="7"/>
      <c r="V414" s="7"/>
      <c r="W414" s="7"/>
      <c r="X414" s="7"/>
    </row>
    <row r="415" ht="43.5" customHeight="1">
      <c r="O415" s="7"/>
      <c r="P415" s="7"/>
      <c r="Q415" s="7"/>
      <c r="V415" s="7"/>
      <c r="W415" s="7"/>
      <c r="X415" s="7"/>
    </row>
    <row r="416" ht="43.5" customHeight="1">
      <c r="O416" s="7"/>
      <c r="P416" s="7"/>
      <c r="Q416" s="7"/>
      <c r="V416" s="7"/>
      <c r="W416" s="7"/>
      <c r="X416" s="7"/>
    </row>
    <row r="417" ht="43.5" customHeight="1">
      <c r="O417" s="7"/>
      <c r="P417" s="7"/>
      <c r="Q417" s="7"/>
      <c r="V417" s="7"/>
      <c r="W417" s="7"/>
      <c r="X417" s="7"/>
    </row>
    <row r="418" ht="43.5" customHeight="1">
      <c r="O418" s="7"/>
      <c r="P418" s="7"/>
      <c r="Q418" s="7"/>
      <c r="V418" s="7"/>
      <c r="W418" s="7"/>
      <c r="X418" s="7"/>
    </row>
    <row r="419" ht="43.5" customHeight="1">
      <c r="O419" s="7"/>
      <c r="P419" s="7"/>
      <c r="Q419" s="7"/>
      <c r="V419" s="7"/>
      <c r="W419" s="7"/>
      <c r="X419" s="7"/>
    </row>
    <row r="420" ht="43.5" customHeight="1">
      <c r="O420" s="7"/>
      <c r="P420" s="7"/>
      <c r="Q420" s="7"/>
      <c r="V420" s="7"/>
      <c r="W420" s="7"/>
      <c r="X420" s="7"/>
    </row>
    <row r="421" ht="43.5" customHeight="1">
      <c r="O421" s="7"/>
      <c r="P421" s="7"/>
      <c r="Q421" s="7"/>
      <c r="V421" s="7"/>
      <c r="W421" s="7"/>
      <c r="X421" s="7"/>
    </row>
    <row r="422" ht="43.5" customHeight="1">
      <c r="O422" s="7"/>
      <c r="P422" s="7"/>
      <c r="Q422" s="7"/>
      <c r="V422" s="7"/>
      <c r="W422" s="7"/>
      <c r="X422" s="7"/>
    </row>
    <row r="423" ht="43.5" customHeight="1">
      <c r="O423" s="7"/>
      <c r="P423" s="7"/>
      <c r="Q423" s="7"/>
      <c r="V423" s="7"/>
      <c r="W423" s="7"/>
      <c r="X423" s="7"/>
    </row>
    <row r="424" ht="43.5" customHeight="1">
      <c r="O424" s="7"/>
      <c r="P424" s="7"/>
      <c r="Q424" s="7"/>
      <c r="V424" s="7"/>
      <c r="W424" s="7"/>
      <c r="X424" s="7"/>
    </row>
    <row r="425" ht="43.5" customHeight="1">
      <c r="O425" s="7"/>
      <c r="P425" s="7"/>
      <c r="Q425" s="7"/>
      <c r="V425" s="7"/>
      <c r="W425" s="7"/>
      <c r="X425" s="7"/>
    </row>
    <row r="426" ht="43.5" customHeight="1">
      <c r="O426" s="7"/>
      <c r="P426" s="7"/>
      <c r="Q426" s="7"/>
      <c r="V426" s="7"/>
      <c r="W426" s="7"/>
      <c r="X426" s="7"/>
    </row>
    <row r="427" ht="43.5" customHeight="1">
      <c r="O427" s="7"/>
      <c r="P427" s="7"/>
      <c r="Q427" s="7"/>
      <c r="V427" s="7"/>
      <c r="W427" s="7"/>
      <c r="X427" s="7"/>
    </row>
    <row r="428" ht="43.5" customHeight="1">
      <c r="O428" s="7"/>
      <c r="P428" s="7"/>
      <c r="Q428" s="7"/>
      <c r="V428" s="7"/>
      <c r="W428" s="7"/>
      <c r="X428" s="7"/>
    </row>
    <row r="429" ht="43.5" customHeight="1">
      <c r="O429" s="7"/>
      <c r="P429" s="7"/>
      <c r="Q429" s="7"/>
      <c r="V429" s="7"/>
      <c r="W429" s="7"/>
      <c r="X429" s="7"/>
    </row>
    <row r="430" ht="43.5" customHeight="1">
      <c r="O430" s="7"/>
      <c r="P430" s="7"/>
      <c r="Q430" s="7"/>
      <c r="V430" s="7"/>
      <c r="W430" s="7"/>
      <c r="X430" s="7"/>
    </row>
    <row r="431" ht="43.5" customHeight="1">
      <c r="O431" s="7"/>
      <c r="P431" s="7"/>
      <c r="Q431" s="7"/>
      <c r="V431" s="7"/>
      <c r="W431" s="7"/>
      <c r="X431" s="7"/>
    </row>
    <row r="432" ht="43.5" customHeight="1">
      <c r="O432" s="7"/>
      <c r="P432" s="7"/>
      <c r="Q432" s="7"/>
      <c r="V432" s="7"/>
      <c r="W432" s="7"/>
      <c r="X432" s="7"/>
    </row>
    <row r="433" ht="43.5" customHeight="1">
      <c r="O433" s="7"/>
      <c r="P433" s="7"/>
      <c r="Q433" s="7"/>
      <c r="V433" s="7"/>
      <c r="W433" s="7"/>
      <c r="X433" s="7"/>
    </row>
    <row r="434" ht="43.5" customHeight="1">
      <c r="O434" s="7"/>
      <c r="P434" s="7"/>
      <c r="Q434" s="7"/>
      <c r="V434" s="7"/>
      <c r="W434" s="7"/>
      <c r="X434" s="7"/>
    </row>
    <row r="435" ht="43.5" customHeight="1">
      <c r="O435" s="7"/>
      <c r="P435" s="7"/>
      <c r="Q435" s="7"/>
      <c r="V435" s="7"/>
      <c r="W435" s="7"/>
      <c r="X435" s="7"/>
    </row>
    <row r="436" ht="43.5" customHeight="1">
      <c r="O436" s="7"/>
      <c r="P436" s="7"/>
      <c r="Q436" s="7"/>
      <c r="V436" s="7"/>
      <c r="W436" s="7"/>
      <c r="X436" s="7"/>
    </row>
    <row r="437" ht="43.5" customHeight="1">
      <c r="O437" s="7"/>
      <c r="P437" s="7"/>
      <c r="Q437" s="7"/>
      <c r="V437" s="7"/>
      <c r="W437" s="7"/>
      <c r="X437" s="7"/>
    </row>
    <row r="438" ht="43.5" customHeight="1">
      <c r="O438" s="7"/>
      <c r="P438" s="7"/>
      <c r="Q438" s="7"/>
      <c r="V438" s="7"/>
      <c r="W438" s="7"/>
      <c r="X438" s="7"/>
    </row>
    <row r="439" ht="43.5" customHeight="1">
      <c r="O439" s="7"/>
      <c r="P439" s="7"/>
      <c r="Q439" s="7"/>
      <c r="V439" s="7"/>
      <c r="W439" s="7"/>
      <c r="X439" s="7"/>
    </row>
    <row r="440" ht="43.5" customHeight="1">
      <c r="O440" s="7"/>
      <c r="P440" s="7"/>
      <c r="Q440" s="7"/>
      <c r="V440" s="7"/>
      <c r="W440" s="7"/>
      <c r="X440" s="7"/>
    </row>
    <row r="441" ht="43.5" customHeight="1">
      <c r="O441" s="7"/>
      <c r="P441" s="7"/>
      <c r="Q441" s="7"/>
      <c r="V441" s="7"/>
      <c r="W441" s="7"/>
      <c r="X441" s="7"/>
    </row>
    <row r="442" ht="43.5" customHeight="1">
      <c r="O442" s="7"/>
      <c r="P442" s="7"/>
      <c r="Q442" s="7"/>
      <c r="V442" s="7"/>
      <c r="W442" s="7"/>
      <c r="X442" s="7"/>
    </row>
    <row r="443" ht="43.5" customHeight="1">
      <c r="O443" s="7"/>
      <c r="P443" s="7"/>
      <c r="Q443" s="7"/>
      <c r="V443" s="7"/>
      <c r="W443" s="7"/>
      <c r="X443" s="7"/>
    </row>
    <row r="444" ht="43.5" customHeight="1">
      <c r="O444" s="7"/>
      <c r="P444" s="7"/>
      <c r="Q444" s="7"/>
      <c r="V444" s="7"/>
      <c r="W444" s="7"/>
      <c r="X444" s="7"/>
    </row>
    <row r="445" ht="43.5" customHeight="1">
      <c r="O445" s="7"/>
      <c r="P445" s="7"/>
      <c r="Q445" s="7"/>
      <c r="V445" s="7"/>
      <c r="W445" s="7"/>
      <c r="X445" s="7"/>
    </row>
    <row r="446" ht="43.5" customHeight="1">
      <c r="O446" s="7"/>
      <c r="P446" s="7"/>
      <c r="Q446" s="7"/>
      <c r="V446" s="7"/>
      <c r="W446" s="7"/>
      <c r="X446" s="7"/>
    </row>
    <row r="447" ht="43.5" customHeight="1">
      <c r="O447" s="7"/>
      <c r="P447" s="7"/>
      <c r="Q447" s="7"/>
      <c r="V447" s="7"/>
      <c r="W447" s="7"/>
      <c r="X447" s="7"/>
    </row>
    <row r="448" ht="43.5" customHeight="1">
      <c r="O448" s="7"/>
      <c r="P448" s="7"/>
      <c r="Q448" s="7"/>
      <c r="V448" s="7"/>
      <c r="W448" s="7"/>
      <c r="X448" s="7"/>
    </row>
    <row r="449" ht="43.5" customHeight="1">
      <c r="O449" s="7"/>
      <c r="P449" s="7"/>
      <c r="Q449" s="7"/>
      <c r="V449" s="7"/>
      <c r="W449" s="7"/>
      <c r="X449" s="7"/>
    </row>
    <row r="450" ht="43.5" customHeight="1">
      <c r="O450" s="7"/>
      <c r="P450" s="7"/>
      <c r="Q450" s="7"/>
      <c r="V450" s="7"/>
      <c r="W450" s="7"/>
      <c r="X450" s="7"/>
    </row>
    <row r="451" ht="43.5" customHeight="1">
      <c r="O451" s="7"/>
      <c r="P451" s="7"/>
      <c r="Q451" s="7"/>
      <c r="V451" s="7"/>
      <c r="W451" s="7"/>
      <c r="X451" s="7"/>
    </row>
    <row r="452" ht="43.5" customHeight="1">
      <c r="O452" s="7"/>
      <c r="P452" s="7"/>
      <c r="Q452" s="7"/>
      <c r="V452" s="7"/>
      <c r="W452" s="7"/>
      <c r="X452" s="7"/>
    </row>
    <row r="453" ht="43.5" customHeight="1">
      <c r="O453" s="7"/>
      <c r="P453" s="7"/>
      <c r="Q453" s="7"/>
      <c r="V453" s="7"/>
      <c r="W453" s="7"/>
      <c r="X453" s="7"/>
    </row>
    <row r="454" ht="43.5" customHeight="1">
      <c r="O454" s="7"/>
      <c r="P454" s="7"/>
      <c r="Q454" s="7"/>
      <c r="V454" s="7"/>
      <c r="W454" s="7"/>
      <c r="X454" s="7"/>
    </row>
    <row r="455" ht="43.5" customHeight="1">
      <c r="O455" s="7"/>
      <c r="P455" s="7"/>
      <c r="Q455" s="7"/>
      <c r="V455" s="7"/>
      <c r="W455" s="7"/>
      <c r="X455" s="7"/>
    </row>
    <row r="456" ht="43.5" customHeight="1">
      <c r="O456" s="7"/>
      <c r="P456" s="7"/>
      <c r="Q456" s="7"/>
      <c r="V456" s="7"/>
      <c r="W456" s="7"/>
      <c r="X456" s="7"/>
    </row>
    <row r="457" ht="43.5" customHeight="1">
      <c r="O457" s="7"/>
      <c r="P457" s="7"/>
      <c r="Q457" s="7"/>
      <c r="V457" s="7"/>
      <c r="W457" s="7"/>
      <c r="X457" s="7"/>
    </row>
    <row r="458" ht="43.5" customHeight="1">
      <c r="O458" s="7"/>
      <c r="P458" s="7"/>
      <c r="Q458" s="7"/>
      <c r="V458" s="7"/>
      <c r="W458" s="7"/>
      <c r="X458" s="7"/>
    </row>
    <row r="459" ht="43.5" customHeight="1">
      <c r="O459" s="7"/>
      <c r="P459" s="7"/>
      <c r="Q459" s="7"/>
      <c r="V459" s="7"/>
      <c r="W459" s="7"/>
      <c r="X459" s="7"/>
    </row>
    <row r="460" ht="43.5" customHeight="1">
      <c r="O460" s="7"/>
      <c r="P460" s="7"/>
      <c r="Q460" s="7"/>
      <c r="V460" s="7"/>
      <c r="W460" s="7"/>
      <c r="X460" s="7"/>
    </row>
    <row r="461" ht="43.5" customHeight="1">
      <c r="O461" s="7"/>
      <c r="P461" s="7"/>
      <c r="Q461" s="7"/>
      <c r="V461" s="7"/>
      <c r="W461" s="7"/>
      <c r="X461" s="7"/>
    </row>
    <row r="462" ht="43.5" customHeight="1">
      <c r="O462" s="7"/>
      <c r="P462" s="7"/>
      <c r="Q462" s="7"/>
      <c r="V462" s="7"/>
      <c r="W462" s="7"/>
      <c r="X462" s="7"/>
    </row>
    <row r="463" ht="43.5" customHeight="1">
      <c r="O463" s="7"/>
      <c r="P463" s="7"/>
      <c r="Q463" s="7"/>
      <c r="V463" s="7"/>
      <c r="W463" s="7"/>
      <c r="X463" s="7"/>
    </row>
    <row r="464" ht="43.5" customHeight="1">
      <c r="O464" s="7"/>
      <c r="P464" s="7"/>
      <c r="Q464" s="7"/>
      <c r="V464" s="7"/>
      <c r="W464" s="7"/>
      <c r="X464" s="7"/>
    </row>
    <row r="465" ht="43.5" customHeight="1">
      <c r="O465" s="7"/>
      <c r="P465" s="7"/>
      <c r="Q465" s="7"/>
      <c r="V465" s="7"/>
      <c r="W465" s="7"/>
      <c r="X465" s="7"/>
    </row>
    <row r="466" ht="43.5" customHeight="1">
      <c r="O466" s="7"/>
      <c r="P466" s="7"/>
      <c r="Q466" s="7"/>
      <c r="V466" s="7"/>
      <c r="W466" s="7"/>
      <c r="X466" s="7"/>
    </row>
    <row r="467" ht="43.5" customHeight="1">
      <c r="O467" s="7"/>
      <c r="P467" s="7"/>
      <c r="Q467" s="7"/>
      <c r="V467" s="7"/>
      <c r="W467" s="7"/>
      <c r="X467" s="7"/>
    </row>
    <row r="468" ht="43.5" customHeight="1">
      <c r="O468" s="7"/>
      <c r="P468" s="7"/>
      <c r="Q468" s="7"/>
      <c r="V468" s="7"/>
      <c r="W468" s="7"/>
      <c r="X468" s="7"/>
    </row>
    <row r="469" ht="43.5" customHeight="1">
      <c r="O469" s="7"/>
      <c r="P469" s="7"/>
      <c r="Q469" s="7"/>
      <c r="V469" s="7"/>
      <c r="W469" s="7"/>
      <c r="X469" s="7"/>
    </row>
    <row r="470" ht="43.5" customHeight="1">
      <c r="O470" s="7"/>
      <c r="P470" s="7"/>
      <c r="Q470" s="7"/>
      <c r="V470" s="7"/>
      <c r="W470" s="7"/>
      <c r="X470" s="7"/>
    </row>
    <row r="471" ht="43.5" customHeight="1">
      <c r="O471" s="7"/>
      <c r="P471" s="7"/>
      <c r="Q471" s="7"/>
      <c r="V471" s="7"/>
      <c r="W471" s="7"/>
      <c r="X471" s="7"/>
    </row>
    <row r="472" ht="43.5" customHeight="1">
      <c r="O472" s="7"/>
      <c r="P472" s="7"/>
      <c r="Q472" s="7"/>
      <c r="V472" s="7"/>
      <c r="W472" s="7"/>
      <c r="X472" s="7"/>
    </row>
    <row r="473" ht="43.5" customHeight="1">
      <c r="O473" s="7"/>
      <c r="P473" s="7"/>
      <c r="Q473" s="7"/>
      <c r="V473" s="7"/>
      <c r="W473" s="7"/>
      <c r="X473" s="7"/>
    </row>
    <row r="474" ht="43.5" customHeight="1">
      <c r="O474" s="7"/>
      <c r="P474" s="7"/>
      <c r="Q474" s="7"/>
      <c r="V474" s="7"/>
      <c r="W474" s="7"/>
      <c r="X474" s="7"/>
    </row>
    <row r="475" ht="43.5" customHeight="1">
      <c r="O475" s="7"/>
      <c r="P475" s="7"/>
      <c r="Q475" s="7"/>
      <c r="V475" s="7"/>
      <c r="W475" s="7"/>
      <c r="X475" s="7"/>
    </row>
    <row r="476" ht="43.5" customHeight="1">
      <c r="O476" s="7"/>
      <c r="P476" s="7"/>
      <c r="Q476" s="7"/>
      <c r="V476" s="7"/>
      <c r="W476" s="7"/>
      <c r="X476" s="7"/>
    </row>
    <row r="477" ht="43.5" customHeight="1">
      <c r="O477" s="7"/>
      <c r="P477" s="7"/>
      <c r="Q477" s="7"/>
      <c r="V477" s="7"/>
      <c r="W477" s="7"/>
      <c r="X477" s="7"/>
    </row>
    <row r="478" ht="43.5" customHeight="1">
      <c r="O478" s="7"/>
      <c r="P478" s="7"/>
      <c r="Q478" s="7"/>
      <c r="V478" s="7"/>
      <c r="W478" s="7"/>
      <c r="X478" s="7"/>
    </row>
    <row r="479" ht="43.5" customHeight="1">
      <c r="O479" s="7"/>
      <c r="P479" s="7"/>
      <c r="Q479" s="7"/>
      <c r="V479" s="7"/>
      <c r="W479" s="7"/>
      <c r="X479" s="7"/>
    </row>
    <row r="480" ht="43.5" customHeight="1">
      <c r="O480" s="7"/>
      <c r="P480" s="7"/>
      <c r="Q480" s="7"/>
      <c r="V480" s="7"/>
      <c r="W480" s="7"/>
      <c r="X480" s="7"/>
    </row>
    <row r="481" ht="43.5" customHeight="1">
      <c r="O481" s="7"/>
      <c r="P481" s="7"/>
      <c r="Q481" s="7"/>
      <c r="V481" s="7"/>
      <c r="W481" s="7"/>
      <c r="X481" s="7"/>
    </row>
    <row r="482" ht="43.5" customHeight="1">
      <c r="O482" s="7"/>
      <c r="P482" s="7"/>
      <c r="Q482" s="7"/>
      <c r="V482" s="7"/>
      <c r="W482" s="7"/>
      <c r="X482" s="7"/>
    </row>
    <row r="483" ht="43.5" customHeight="1">
      <c r="O483" s="7"/>
      <c r="P483" s="7"/>
      <c r="Q483" s="7"/>
      <c r="V483" s="7"/>
      <c r="W483" s="7"/>
      <c r="X483" s="7"/>
    </row>
    <row r="484" ht="43.5" customHeight="1">
      <c r="O484" s="7"/>
      <c r="P484" s="7"/>
      <c r="Q484" s="7"/>
      <c r="V484" s="7"/>
      <c r="W484" s="7"/>
      <c r="X484" s="7"/>
    </row>
    <row r="485" ht="43.5" customHeight="1">
      <c r="O485" s="7"/>
      <c r="P485" s="7"/>
      <c r="Q485" s="7"/>
      <c r="V485" s="7"/>
      <c r="W485" s="7"/>
      <c r="X485" s="7"/>
    </row>
    <row r="486" ht="43.5" customHeight="1">
      <c r="O486" s="7"/>
      <c r="P486" s="7"/>
      <c r="Q486" s="7"/>
      <c r="V486" s="7"/>
      <c r="W486" s="7"/>
      <c r="X486" s="7"/>
    </row>
    <row r="487" ht="43.5" customHeight="1">
      <c r="O487" s="7"/>
      <c r="P487" s="7"/>
      <c r="Q487" s="7"/>
      <c r="V487" s="7"/>
      <c r="W487" s="7"/>
      <c r="X487" s="7"/>
    </row>
    <row r="488" ht="43.5" customHeight="1">
      <c r="O488" s="7"/>
      <c r="P488" s="7"/>
      <c r="Q488" s="7"/>
      <c r="V488" s="7"/>
      <c r="W488" s="7"/>
      <c r="X488" s="7"/>
    </row>
    <row r="489" ht="43.5" customHeight="1">
      <c r="O489" s="7"/>
      <c r="P489" s="7"/>
      <c r="Q489" s="7"/>
      <c r="V489" s="7"/>
      <c r="W489" s="7"/>
      <c r="X489" s="7"/>
    </row>
    <row r="490" ht="43.5" customHeight="1">
      <c r="O490" s="7"/>
      <c r="P490" s="7"/>
      <c r="Q490" s="7"/>
      <c r="V490" s="7"/>
      <c r="W490" s="7"/>
      <c r="X490" s="7"/>
    </row>
    <row r="491" ht="43.5" customHeight="1">
      <c r="O491" s="7"/>
      <c r="P491" s="7"/>
      <c r="Q491" s="7"/>
      <c r="V491" s="7"/>
      <c r="W491" s="7"/>
      <c r="X491" s="7"/>
    </row>
    <row r="492" ht="43.5" customHeight="1">
      <c r="O492" s="7"/>
      <c r="P492" s="7"/>
      <c r="Q492" s="7"/>
      <c r="V492" s="7"/>
      <c r="W492" s="7"/>
      <c r="X492" s="7"/>
    </row>
    <row r="493" ht="43.5" customHeight="1">
      <c r="O493" s="7"/>
      <c r="P493" s="7"/>
      <c r="Q493" s="7"/>
      <c r="V493" s="7"/>
      <c r="W493" s="7"/>
      <c r="X493" s="7"/>
    </row>
    <row r="494" ht="43.5" customHeight="1">
      <c r="O494" s="7"/>
      <c r="P494" s="7"/>
      <c r="Q494" s="7"/>
      <c r="V494" s="7"/>
      <c r="W494" s="7"/>
      <c r="X494" s="7"/>
    </row>
    <row r="495" ht="43.5" customHeight="1">
      <c r="O495" s="7"/>
      <c r="P495" s="7"/>
      <c r="Q495" s="7"/>
      <c r="V495" s="7"/>
      <c r="W495" s="7"/>
      <c r="X495" s="7"/>
    </row>
    <row r="496" ht="43.5" customHeight="1">
      <c r="O496" s="7"/>
      <c r="P496" s="7"/>
      <c r="Q496" s="7"/>
      <c r="V496" s="7"/>
      <c r="W496" s="7"/>
      <c r="X496" s="7"/>
    </row>
    <row r="497" ht="43.5" customHeight="1">
      <c r="O497" s="7"/>
      <c r="P497" s="7"/>
      <c r="Q497" s="7"/>
      <c r="V497" s="7"/>
      <c r="W497" s="7"/>
      <c r="X497" s="7"/>
    </row>
    <row r="498" ht="43.5" customHeight="1">
      <c r="O498" s="7"/>
      <c r="P498" s="7"/>
      <c r="Q498" s="7"/>
      <c r="V498" s="7"/>
      <c r="W498" s="7"/>
      <c r="X498" s="7"/>
    </row>
    <row r="499" ht="43.5" customHeight="1">
      <c r="O499" s="7"/>
      <c r="P499" s="7"/>
      <c r="Q499" s="7"/>
      <c r="V499" s="7"/>
      <c r="W499" s="7"/>
      <c r="X499" s="7"/>
    </row>
    <row r="500" ht="43.5" customHeight="1">
      <c r="O500" s="7"/>
      <c r="P500" s="7"/>
      <c r="Q500" s="7"/>
      <c r="V500" s="7"/>
      <c r="W500" s="7"/>
      <c r="X500" s="7"/>
    </row>
    <row r="501" ht="43.5" customHeight="1">
      <c r="O501" s="7"/>
      <c r="P501" s="7"/>
      <c r="Q501" s="7"/>
      <c r="V501" s="7"/>
      <c r="W501" s="7"/>
      <c r="X501" s="7"/>
    </row>
    <row r="502" ht="43.5" customHeight="1">
      <c r="O502" s="7"/>
      <c r="P502" s="7"/>
      <c r="Q502" s="7"/>
      <c r="V502" s="7"/>
      <c r="W502" s="7"/>
      <c r="X502" s="7"/>
    </row>
    <row r="503" ht="43.5" customHeight="1">
      <c r="O503" s="7"/>
      <c r="P503" s="7"/>
      <c r="Q503" s="7"/>
      <c r="V503" s="7"/>
      <c r="W503" s="7"/>
      <c r="X503" s="7"/>
    </row>
    <row r="504" ht="43.5" customHeight="1">
      <c r="O504" s="7"/>
      <c r="P504" s="7"/>
      <c r="Q504" s="7"/>
      <c r="V504" s="7"/>
      <c r="W504" s="7"/>
      <c r="X504" s="7"/>
    </row>
    <row r="505" ht="43.5" customHeight="1">
      <c r="O505" s="7"/>
      <c r="P505" s="7"/>
      <c r="Q505" s="7"/>
      <c r="V505" s="7"/>
      <c r="W505" s="7"/>
      <c r="X505" s="7"/>
    </row>
    <row r="506" ht="43.5" customHeight="1">
      <c r="O506" s="7"/>
      <c r="P506" s="7"/>
      <c r="Q506" s="7"/>
      <c r="V506" s="7"/>
      <c r="W506" s="7"/>
      <c r="X506" s="7"/>
    </row>
    <row r="507" ht="43.5" customHeight="1">
      <c r="O507" s="7"/>
      <c r="P507" s="7"/>
      <c r="Q507" s="7"/>
      <c r="V507" s="7"/>
      <c r="W507" s="7"/>
      <c r="X507" s="7"/>
    </row>
    <row r="508" ht="43.5" customHeight="1">
      <c r="O508" s="7"/>
      <c r="P508" s="7"/>
      <c r="Q508" s="7"/>
      <c r="V508" s="7"/>
      <c r="W508" s="7"/>
      <c r="X508" s="7"/>
    </row>
    <row r="509" ht="43.5" customHeight="1">
      <c r="O509" s="7"/>
      <c r="P509" s="7"/>
      <c r="Q509" s="7"/>
      <c r="V509" s="7"/>
      <c r="W509" s="7"/>
      <c r="X509" s="7"/>
    </row>
    <row r="510" ht="43.5" customHeight="1">
      <c r="O510" s="7"/>
      <c r="P510" s="7"/>
      <c r="Q510" s="7"/>
      <c r="V510" s="7"/>
      <c r="W510" s="7"/>
      <c r="X510" s="7"/>
    </row>
    <row r="511" ht="43.5" customHeight="1">
      <c r="O511" s="7"/>
      <c r="P511" s="7"/>
      <c r="Q511" s="7"/>
      <c r="V511" s="7"/>
      <c r="W511" s="7"/>
      <c r="X511" s="7"/>
    </row>
    <row r="512" ht="43.5" customHeight="1">
      <c r="O512" s="7"/>
      <c r="P512" s="7"/>
      <c r="Q512" s="7"/>
      <c r="V512" s="7"/>
      <c r="W512" s="7"/>
      <c r="X512" s="7"/>
    </row>
    <row r="513" ht="43.5" customHeight="1">
      <c r="O513" s="7"/>
      <c r="P513" s="7"/>
      <c r="Q513" s="7"/>
      <c r="V513" s="7"/>
      <c r="W513" s="7"/>
      <c r="X513" s="7"/>
    </row>
    <row r="514" ht="43.5" customHeight="1">
      <c r="O514" s="7"/>
      <c r="P514" s="7"/>
      <c r="Q514" s="7"/>
      <c r="V514" s="7"/>
      <c r="W514" s="7"/>
      <c r="X514" s="7"/>
    </row>
    <row r="515" ht="43.5" customHeight="1">
      <c r="O515" s="7"/>
      <c r="P515" s="7"/>
      <c r="Q515" s="7"/>
      <c r="V515" s="7"/>
      <c r="W515" s="7"/>
      <c r="X515" s="7"/>
    </row>
    <row r="516" ht="43.5" customHeight="1">
      <c r="O516" s="7"/>
      <c r="P516" s="7"/>
      <c r="Q516" s="7"/>
      <c r="V516" s="7"/>
      <c r="W516" s="7"/>
      <c r="X516" s="7"/>
    </row>
    <row r="517" ht="43.5" customHeight="1">
      <c r="O517" s="7"/>
      <c r="P517" s="7"/>
      <c r="Q517" s="7"/>
      <c r="V517" s="7"/>
      <c r="W517" s="7"/>
      <c r="X517" s="7"/>
    </row>
    <row r="518" ht="43.5" customHeight="1">
      <c r="O518" s="7"/>
      <c r="P518" s="7"/>
      <c r="Q518" s="7"/>
      <c r="V518" s="7"/>
      <c r="W518" s="7"/>
      <c r="X518" s="7"/>
    </row>
    <row r="519" ht="43.5" customHeight="1">
      <c r="O519" s="7"/>
      <c r="P519" s="7"/>
      <c r="Q519" s="7"/>
      <c r="V519" s="7"/>
      <c r="W519" s="7"/>
      <c r="X519" s="7"/>
    </row>
    <row r="520" ht="43.5" customHeight="1">
      <c r="O520" s="7"/>
      <c r="P520" s="7"/>
      <c r="Q520" s="7"/>
      <c r="V520" s="7"/>
      <c r="W520" s="7"/>
      <c r="X520" s="7"/>
    </row>
    <row r="521" ht="43.5" customHeight="1">
      <c r="O521" s="7"/>
      <c r="P521" s="7"/>
      <c r="Q521" s="7"/>
      <c r="V521" s="7"/>
      <c r="W521" s="7"/>
      <c r="X521" s="7"/>
    </row>
    <row r="522" ht="43.5" customHeight="1">
      <c r="O522" s="7"/>
      <c r="P522" s="7"/>
      <c r="Q522" s="7"/>
      <c r="V522" s="7"/>
      <c r="W522" s="7"/>
      <c r="X522" s="7"/>
    </row>
    <row r="523" ht="43.5" customHeight="1">
      <c r="O523" s="7"/>
      <c r="P523" s="7"/>
      <c r="Q523" s="7"/>
      <c r="V523" s="7"/>
      <c r="W523" s="7"/>
      <c r="X523" s="7"/>
    </row>
    <row r="524" ht="43.5" customHeight="1">
      <c r="O524" s="7"/>
      <c r="P524" s="7"/>
      <c r="Q524" s="7"/>
      <c r="V524" s="7"/>
      <c r="W524" s="7"/>
      <c r="X524" s="7"/>
    </row>
    <row r="525" ht="43.5" customHeight="1">
      <c r="O525" s="7"/>
      <c r="P525" s="7"/>
      <c r="Q525" s="7"/>
      <c r="V525" s="7"/>
      <c r="W525" s="7"/>
      <c r="X525" s="7"/>
    </row>
    <row r="526" ht="43.5" customHeight="1">
      <c r="O526" s="7"/>
      <c r="P526" s="7"/>
      <c r="Q526" s="7"/>
      <c r="V526" s="7"/>
      <c r="W526" s="7"/>
      <c r="X526" s="7"/>
    </row>
    <row r="527" ht="43.5" customHeight="1">
      <c r="O527" s="7"/>
      <c r="P527" s="7"/>
      <c r="Q527" s="7"/>
      <c r="V527" s="7"/>
      <c r="W527" s="7"/>
      <c r="X527" s="7"/>
    </row>
    <row r="528" ht="43.5" customHeight="1">
      <c r="O528" s="7"/>
      <c r="P528" s="7"/>
      <c r="Q528" s="7"/>
      <c r="V528" s="7"/>
      <c r="W528" s="7"/>
      <c r="X528" s="7"/>
    </row>
    <row r="529" ht="43.5" customHeight="1">
      <c r="O529" s="7"/>
      <c r="P529" s="7"/>
      <c r="Q529" s="7"/>
      <c r="V529" s="7"/>
      <c r="W529" s="7"/>
      <c r="X529" s="7"/>
    </row>
    <row r="530" ht="43.5" customHeight="1">
      <c r="O530" s="7"/>
      <c r="P530" s="7"/>
      <c r="Q530" s="7"/>
      <c r="V530" s="7"/>
      <c r="W530" s="7"/>
      <c r="X530" s="7"/>
    </row>
    <row r="531" ht="43.5" customHeight="1">
      <c r="O531" s="7"/>
      <c r="P531" s="7"/>
      <c r="Q531" s="7"/>
      <c r="V531" s="7"/>
      <c r="W531" s="7"/>
      <c r="X531" s="7"/>
    </row>
    <row r="532" ht="43.5" customHeight="1">
      <c r="O532" s="7"/>
      <c r="P532" s="7"/>
      <c r="Q532" s="7"/>
      <c r="V532" s="7"/>
      <c r="W532" s="7"/>
      <c r="X532" s="7"/>
    </row>
    <row r="533" ht="43.5" customHeight="1">
      <c r="O533" s="7"/>
      <c r="P533" s="7"/>
      <c r="Q533" s="7"/>
      <c r="V533" s="7"/>
      <c r="W533" s="7"/>
      <c r="X533" s="7"/>
    </row>
    <row r="534" ht="43.5" customHeight="1">
      <c r="O534" s="7"/>
      <c r="P534" s="7"/>
      <c r="Q534" s="7"/>
      <c r="V534" s="7"/>
      <c r="W534" s="7"/>
      <c r="X534" s="7"/>
    </row>
    <row r="535" ht="43.5" customHeight="1">
      <c r="O535" s="7"/>
      <c r="P535" s="7"/>
      <c r="Q535" s="7"/>
      <c r="V535" s="7"/>
      <c r="W535" s="7"/>
      <c r="X535" s="7"/>
    </row>
    <row r="536" ht="43.5" customHeight="1">
      <c r="O536" s="7"/>
      <c r="P536" s="7"/>
      <c r="Q536" s="7"/>
      <c r="V536" s="7"/>
      <c r="W536" s="7"/>
      <c r="X536" s="7"/>
    </row>
    <row r="537" ht="43.5" customHeight="1">
      <c r="O537" s="7"/>
      <c r="P537" s="7"/>
      <c r="Q537" s="7"/>
      <c r="V537" s="7"/>
      <c r="W537" s="7"/>
      <c r="X537" s="7"/>
    </row>
    <row r="538" ht="43.5" customHeight="1">
      <c r="O538" s="7"/>
      <c r="P538" s="7"/>
      <c r="Q538" s="7"/>
      <c r="V538" s="7"/>
      <c r="W538" s="7"/>
      <c r="X538" s="7"/>
    </row>
    <row r="539" ht="43.5" customHeight="1">
      <c r="O539" s="7"/>
      <c r="P539" s="7"/>
      <c r="Q539" s="7"/>
      <c r="V539" s="7"/>
      <c r="W539" s="7"/>
      <c r="X539" s="7"/>
    </row>
    <row r="540" ht="43.5" customHeight="1">
      <c r="O540" s="7"/>
      <c r="P540" s="7"/>
      <c r="Q540" s="7"/>
      <c r="V540" s="7"/>
      <c r="W540" s="7"/>
      <c r="X540" s="7"/>
    </row>
    <row r="541" ht="43.5" customHeight="1">
      <c r="O541" s="7"/>
      <c r="P541" s="7"/>
      <c r="Q541" s="7"/>
      <c r="V541" s="7"/>
      <c r="W541" s="7"/>
      <c r="X541" s="7"/>
    </row>
    <row r="542" ht="43.5" customHeight="1">
      <c r="O542" s="7"/>
      <c r="P542" s="7"/>
      <c r="Q542" s="7"/>
      <c r="V542" s="7"/>
      <c r="W542" s="7"/>
      <c r="X542" s="7"/>
    </row>
    <row r="543" ht="43.5" customHeight="1">
      <c r="O543" s="7"/>
      <c r="P543" s="7"/>
      <c r="Q543" s="7"/>
      <c r="V543" s="7"/>
      <c r="W543" s="7"/>
      <c r="X543" s="7"/>
    </row>
    <row r="544" ht="43.5" customHeight="1">
      <c r="O544" s="7"/>
      <c r="P544" s="7"/>
      <c r="Q544" s="7"/>
      <c r="V544" s="7"/>
      <c r="W544" s="7"/>
      <c r="X544" s="7"/>
    </row>
    <row r="545" ht="43.5" customHeight="1">
      <c r="O545" s="7"/>
      <c r="P545" s="7"/>
      <c r="Q545" s="7"/>
      <c r="V545" s="7"/>
      <c r="W545" s="7"/>
      <c r="X545" s="7"/>
    </row>
    <row r="546" ht="43.5" customHeight="1">
      <c r="O546" s="7"/>
      <c r="P546" s="7"/>
      <c r="Q546" s="7"/>
      <c r="V546" s="7"/>
      <c r="W546" s="7"/>
      <c r="X546" s="7"/>
    </row>
    <row r="547" ht="43.5" customHeight="1">
      <c r="O547" s="7"/>
      <c r="P547" s="7"/>
      <c r="Q547" s="7"/>
      <c r="V547" s="7"/>
      <c r="W547" s="7"/>
      <c r="X547" s="7"/>
    </row>
    <row r="548" ht="43.5" customHeight="1">
      <c r="O548" s="7"/>
      <c r="P548" s="7"/>
      <c r="Q548" s="7"/>
      <c r="V548" s="7"/>
      <c r="W548" s="7"/>
      <c r="X548" s="7"/>
    </row>
    <row r="549" ht="43.5" customHeight="1">
      <c r="O549" s="7"/>
      <c r="P549" s="7"/>
      <c r="Q549" s="7"/>
      <c r="V549" s="7"/>
      <c r="W549" s="7"/>
      <c r="X549" s="7"/>
    </row>
    <row r="550" ht="43.5" customHeight="1">
      <c r="O550" s="7"/>
      <c r="P550" s="7"/>
      <c r="Q550" s="7"/>
      <c r="V550" s="7"/>
      <c r="W550" s="7"/>
      <c r="X550" s="7"/>
    </row>
    <row r="551" ht="43.5" customHeight="1">
      <c r="O551" s="7"/>
      <c r="P551" s="7"/>
      <c r="Q551" s="7"/>
      <c r="V551" s="7"/>
      <c r="W551" s="7"/>
      <c r="X551" s="7"/>
    </row>
    <row r="552" ht="43.5" customHeight="1">
      <c r="O552" s="7"/>
      <c r="P552" s="7"/>
      <c r="Q552" s="7"/>
      <c r="V552" s="7"/>
      <c r="W552" s="7"/>
      <c r="X552" s="7"/>
    </row>
    <row r="553" ht="43.5" customHeight="1">
      <c r="O553" s="7"/>
      <c r="P553" s="7"/>
      <c r="Q553" s="7"/>
      <c r="V553" s="7"/>
      <c r="W553" s="7"/>
      <c r="X553" s="7"/>
    </row>
    <row r="554" ht="43.5" customHeight="1">
      <c r="O554" s="7"/>
      <c r="P554" s="7"/>
      <c r="Q554" s="7"/>
      <c r="V554" s="7"/>
      <c r="W554" s="7"/>
      <c r="X554" s="7"/>
    </row>
    <row r="555" ht="43.5" customHeight="1">
      <c r="O555" s="7"/>
      <c r="P555" s="7"/>
      <c r="Q555" s="7"/>
      <c r="V555" s="7"/>
      <c r="W555" s="7"/>
      <c r="X555" s="7"/>
    </row>
    <row r="556" ht="43.5" customHeight="1">
      <c r="O556" s="7"/>
      <c r="P556" s="7"/>
      <c r="Q556" s="7"/>
      <c r="V556" s="7"/>
      <c r="W556" s="7"/>
      <c r="X556" s="7"/>
    </row>
    <row r="557" ht="43.5" customHeight="1">
      <c r="O557" s="7"/>
      <c r="P557" s="7"/>
      <c r="Q557" s="7"/>
      <c r="V557" s="7"/>
      <c r="W557" s="7"/>
      <c r="X557" s="7"/>
    </row>
    <row r="558" ht="43.5" customHeight="1">
      <c r="O558" s="7"/>
      <c r="P558" s="7"/>
      <c r="Q558" s="7"/>
      <c r="V558" s="7"/>
      <c r="W558" s="7"/>
      <c r="X558" s="7"/>
    </row>
    <row r="559" ht="43.5" customHeight="1">
      <c r="O559" s="7"/>
      <c r="P559" s="7"/>
      <c r="Q559" s="7"/>
      <c r="V559" s="7"/>
      <c r="W559" s="7"/>
      <c r="X559" s="7"/>
    </row>
    <row r="560" ht="43.5" customHeight="1">
      <c r="O560" s="7"/>
      <c r="P560" s="7"/>
      <c r="Q560" s="7"/>
      <c r="V560" s="7"/>
      <c r="W560" s="7"/>
      <c r="X560" s="7"/>
    </row>
    <row r="561" ht="43.5" customHeight="1">
      <c r="O561" s="7"/>
      <c r="P561" s="7"/>
      <c r="Q561" s="7"/>
      <c r="V561" s="7"/>
      <c r="W561" s="7"/>
      <c r="X561" s="7"/>
    </row>
    <row r="562" ht="43.5" customHeight="1">
      <c r="O562" s="7"/>
      <c r="P562" s="7"/>
      <c r="Q562" s="7"/>
      <c r="V562" s="7"/>
      <c r="W562" s="7"/>
      <c r="X562" s="7"/>
    </row>
    <row r="563" ht="43.5" customHeight="1">
      <c r="O563" s="7"/>
      <c r="P563" s="7"/>
      <c r="Q563" s="7"/>
      <c r="V563" s="7"/>
      <c r="W563" s="7"/>
      <c r="X563" s="7"/>
    </row>
    <row r="564" ht="43.5" customHeight="1">
      <c r="O564" s="7"/>
      <c r="P564" s="7"/>
      <c r="Q564" s="7"/>
      <c r="V564" s="7"/>
      <c r="W564" s="7"/>
      <c r="X564" s="7"/>
    </row>
    <row r="565" ht="43.5" customHeight="1">
      <c r="O565" s="7"/>
      <c r="P565" s="7"/>
      <c r="Q565" s="7"/>
      <c r="V565" s="7"/>
      <c r="W565" s="7"/>
      <c r="X565" s="7"/>
    </row>
    <row r="566" ht="43.5" customHeight="1">
      <c r="O566" s="7"/>
      <c r="P566" s="7"/>
      <c r="Q566" s="7"/>
      <c r="V566" s="7"/>
      <c r="W566" s="7"/>
      <c r="X566" s="7"/>
    </row>
    <row r="567" ht="43.5" customHeight="1">
      <c r="O567" s="7"/>
      <c r="P567" s="7"/>
      <c r="Q567" s="7"/>
      <c r="V567" s="7"/>
      <c r="W567" s="7"/>
      <c r="X567" s="7"/>
    </row>
    <row r="568" ht="43.5" customHeight="1">
      <c r="O568" s="7"/>
      <c r="P568" s="7"/>
      <c r="Q568" s="7"/>
      <c r="V568" s="7"/>
      <c r="W568" s="7"/>
      <c r="X568" s="7"/>
    </row>
    <row r="569" ht="43.5" customHeight="1">
      <c r="O569" s="7"/>
      <c r="P569" s="7"/>
      <c r="Q569" s="7"/>
      <c r="V569" s="7"/>
      <c r="W569" s="7"/>
      <c r="X569" s="7"/>
    </row>
    <row r="570" ht="43.5" customHeight="1">
      <c r="O570" s="7"/>
      <c r="P570" s="7"/>
      <c r="Q570" s="7"/>
      <c r="V570" s="7"/>
      <c r="W570" s="7"/>
      <c r="X570" s="7"/>
    </row>
    <row r="571" ht="43.5" customHeight="1">
      <c r="O571" s="7"/>
      <c r="P571" s="7"/>
      <c r="Q571" s="7"/>
      <c r="V571" s="7"/>
      <c r="W571" s="7"/>
      <c r="X571" s="7"/>
    </row>
    <row r="572" ht="43.5" customHeight="1">
      <c r="O572" s="7"/>
      <c r="P572" s="7"/>
      <c r="Q572" s="7"/>
      <c r="V572" s="7"/>
      <c r="W572" s="7"/>
      <c r="X572" s="7"/>
    </row>
    <row r="573" ht="43.5" customHeight="1">
      <c r="O573" s="7"/>
      <c r="P573" s="7"/>
      <c r="Q573" s="7"/>
      <c r="V573" s="7"/>
      <c r="W573" s="7"/>
      <c r="X573" s="7"/>
    </row>
    <row r="574" ht="43.5" customHeight="1">
      <c r="O574" s="7"/>
      <c r="P574" s="7"/>
      <c r="Q574" s="7"/>
      <c r="V574" s="7"/>
      <c r="W574" s="7"/>
      <c r="X574" s="7"/>
    </row>
    <row r="575" ht="43.5" customHeight="1">
      <c r="O575" s="7"/>
      <c r="P575" s="7"/>
      <c r="Q575" s="7"/>
      <c r="V575" s="7"/>
      <c r="W575" s="7"/>
      <c r="X575" s="7"/>
    </row>
    <row r="576" ht="43.5" customHeight="1">
      <c r="O576" s="7"/>
      <c r="P576" s="7"/>
      <c r="Q576" s="7"/>
      <c r="V576" s="7"/>
      <c r="W576" s="7"/>
      <c r="X576" s="7"/>
    </row>
    <row r="577" ht="43.5" customHeight="1">
      <c r="O577" s="7"/>
      <c r="P577" s="7"/>
      <c r="Q577" s="7"/>
      <c r="V577" s="7"/>
      <c r="W577" s="7"/>
      <c r="X577" s="7"/>
    </row>
    <row r="578" ht="43.5" customHeight="1">
      <c r="O578" s="7"/>
      <c r="P578" s="7"/>
      <c r="Q578" s="7"/>
      <c r="V578" s="7"/>
      <c r="W578" s="7"/>
      <c r="X578" s="7"/>
    </row>
    <row r="579" ht="43.5" customHeight="1">
      <c r="O579" s="7"/>
      <c r="P579" s="7"/>
      <c r="Q579" s="7"/>
      <c r="V579" s="7"/>
      <c r="W579" s="7"/>
      <c r="X579" s="7"/>
    </row>
    <row r="580" ht="43.5" customHeight="1">
      <c r="O580" s="7"/>
      <c r="P580" s="7"/>
      <c r="Q580" s="7"/>
      <c r="V580" s="7"/>
      <c r="W580" s="7"/>
      <c r="X580" s="7"/>
    </row>
    <row r="581" ht="43.5" customHeight="1">
      <c r="O581" s="7"/>
      <c r="P581" s="7"/>
      <c r="Q581" s="7"/>
      <c r="V581" s="7"/>
      <c r="W581" s="7"/>
      <c r="X581" s="7"/>
    </row>
    <row r="582" ht="43.5" customHeight="1">
      <c r="O582" s="7"/>
      <c r="P582" s="7"/>
      <c r="Q582" s="7"/>
      <c r="V582" s="7"/>
      <c r="W582" s="7"/>
      <c r="X582" s="7"/>
    </row>
    <row r="583" ht="43.5" customHeight="1">
      <c r="O583" s="7"/>
      <c r="P583" s="7"/>
      <c r="Q583" s="7"/>
      <c r="V583" s="7"/>
      <c r="W583" s="7"/>
      <c r="X583" s="7"/>
    </row>
    <row r="584" ht="43.5" customHeight="1">
      <c r="O584" s="7"/>
      <c r="P584" s="7"/>
      <c r="Q584" s="7"/>
      <c r="V584" s="7"/>
      <c r="W584" s="7"/>
      <c r="X584" s="7"/>
    </row>
    <row r="585" ht="43.5" customHeight="1">
      <c r="O585" s="7"/>
      <c r="P585" s="7"/>
      <c r="Q585" s="7"/>
      <c r="V585" s="7"/>
      <c r="W585" s="7"/>
      <c r="X585" s="7"/>
    </row>
    <row r="586" ht="43.5" customHeight="1">
      <c r="O586" s="7"/>
      <c r="P586" s="7"/>
      <c r="Q586" s="7"/>
      <c r="V586" s="7"/>
      <c r="W586" s="7"/>
      <c r="X586" s="7"/>
    </row>
    <row r="587" ht="43.5" customHeight="1">
      <c r="O587" s="7"/>
      <c r="P587" s="7"/>
      <c r="Q587" s="7"/>
      <c r="V587" s="7"/>
      <c r="W587" s="7"/>
      <c r="X587" s="7"/>
    </row>
    <row r="588" ht="43.5" customHeight="1">
      <c r="O588" s="7"/>
      <c r="P588" s="7"/>
      <c r="Q588" s="7"/>
      <c r="V588" s="7"/>
      <c r="W588" s="7"/>
      <c r="X588" s="7"/>
    </row>
    <row r="589" ht="43.5" customHeight="1">
      <c r="O589" s="7"/>
      <c r="P589" s="7"/>
      <c r="Q589" s="7"/>
      <c r="V589" s="7"/>
      <c r="W589" s="7"/>
      <c r="X589" s="7"/>
    </row>
    <row r="590" ht="43.5" customHeight="1">
      <c r="O590" s="7"/>
      <c r="P590" s="7"/>
      <c r="Q590" s="7"/>
      <c r="V590" s="7"/>
      <c r="W590" s="7"/>
      <c r="X590" s="7"/>
    </row>
    <row r="591" ht="43.5" customHeight="1">
      <c r="O591" s="7"/>
      <c r="P591" s="7"/>
      <c r="Q591" s="7"/>
      <c r="V591" s="7"/>
      <c r="W591" s="7"/>
      <c r="X591" s="7"/>
    </row>
    <row r="592" ht="43.5" customHeight="1">
      <c r="O592" s="7"/>
      <c r="P592" s="7"/>
      <c r="Q592" s="7"/>
      <c r="V592" s="7"/>
      <c r="W592" s="7"/>
      <c r="X592" s="7"/>
    </row>
    <row r="593" ht="43.5" customHeight="1">
      <c r="O593" s="7"/>
      <c r="P593" s="7"/>
      <c r="Q593" s="7"/>
      <c r="V593" s="7"/>
      <c r="W593" s="7"/>
      <c r="X593" s="7"/>
    </row>
    <row r="594" ht="43.5" customHeight="1">
      <c r="O594" s="7"/>
      <c r="P594" s="7"/>
      <c r="Q594" s="7"/>
      <c r="V594" s="7"/>
      <c r="W594" s="7"/>
      <c r="X594" s="7"/>
    </row>
    <row r="595" ht="43.5" customHeight="1">
      <c r="O595" s="7"/>
      <c r="P595" s="7"/>
      <c r="Q595" s="7"/>
      <c r="V595" s="7"/>
      <c r="W595" s="7"/>
      <c r="X595" s="7"/>
    </row>
    <row r="596" ht="43.5" customHeight="1">
      <c r="O596" s="7"/>
      <c r="P596" s="7"/>
      <c r="Q596" s="7"/>
      <c r="V596" s="7"/>
      <c r="W596" s="7"/>
      <c r="X596" s="7"/>
    </row>
    <row r="597" ht="43.5" customHeight="1">
      <c r="O597" s="7"/>
      <c r="P597" s="7"/>
      <c r="Q597" s="7"/>
      <c r="V597" s="7"/>
      <c r="W597" s="7"/>
      <c r="X597" s="7"/>
    </row>
    <row r="598" ht="43.5" customHeight="1">
      <c r="O598" s="7"/>
      <c r="P598" s="7"/>
      <c r="Q598" s="7"/>
      <c r="V598" s="7"/>
      <c r="W598" s="7"/>
      <c r="X598" s="7"/>
    </row>
    <row r="599" ht="43.5" customHeight="1">
      <c r="O599" s="7"/>
      <c r="P599" s="7"/>
      <c r="Q599" s="7"/>
      <c r="V599" s="7"/>
      <c r="W599" s="7"/>
      <c r="X599" s="7"/>
    </row>
    <row r="600" ht="43.5" customHeight="1">
      <c r="O600" s="7"/>
      <c r="P600" s="7"/>
      <c r="Q600" s="7"/>
      <c r="V600" s="7"/>
      <c r="W600" s="7"/>
      <c r="X600" s="7"/>
    </row>
    <row r="601" ht="43.5" customHeight="1">
      <c r="O601" s="7"/>
      <c r="P601" s="7"/>
      <c r="Q601" s="7"/>
      <c r="V601" s="7"/>
      <c r="W601" s="7"/>
      <c r="X601" s="7"/>
    </row>
    <row r="602" ht="43.5" customHeight="1">
      <c r="O602" s="7"/>
      <c r="P602" s="7"/>
      <c r="Q602" s="7"/>
      <c r="V602" s="7"/>
      <c r="W602" s="7"/>
      <c r="X602" s="7"/>
    </row>
    <row r="603" ht="43.5" customHeight="1">
      <c r="O603" s="7"/>
      <c r="P603" s="7"/>
      <c r="Q603" s="7"/>
      <c r="V603" s="7"/>
      <c r="W603" s="7"/>
      <c r="X603" s="7"/>
    </row>
    <row r="604" ht="43.5" customHeight="1">
      <c r="O604" s="7"/>
      <c r="P604" s="7"/>
      <c r="Q604" s="7"/>
      <c r="V604" s="7"/>
      <c r="W604" s="7"/>
      <c r="X604" s="7"/>
    </row>
    <row r="605" ht="43.5" customHeight="1">
      <c r="O605" s="7"/>
      <c r="P605" s="7"/>
      <c r="Q605" s="7"/>
      <c r="V605" s="7"/>
      <c r="W605" s="7"/>
      <c r="X605" s="7"/>
    </row>
    <row r="606" ht="43.5" customHeight="1">
      <c r="O606" s="7"/>
      <c r="P606" s="7"/>
      <c r="Q606" s="7"/>
      <c r="V606" s="7"/>
      <c r="W606" s="7"/>
      <c r="X606" s="7"/>
    </row>
    <row r="607" ht="43.5" customHeight="1">
      <c r="O607" s="7"/>
      <c r="P607" s="7"/>
      <c r="Q607" s="7"/>
      <c r="V607" s="7"/>
      <c r="W607" s="7"/>
      <c r="X607" s="7"/>
    </row>
    <row r="608" ht="43.5" customHeight="1">
      <c r="O608" s="7"/>
      <c r="P608" s="7"/>
      <c r="Q608" s="7"/>
      <c r="V608" s="7"/>
      <c r="W608" s="7"/>
      <c r="X608" s="7"/>
    </row>
    <row r="609" ht="43.5" customHeight="1">
      <c r="O609" s="7"/>
      <c r="P609" s="7"/>
      <c r="Q609" s="7"/>
      <c r="V609" s="7"/>
      <c r="W609" s="7"/>
      <c r="X609" s="7"/>
    </row>
    <row r="610" ht="43.5" customHeight="1">
      <c r="O610" s="7"/>
      <c r="P610" s="7"/>
      <c r="Q610" s="7"/>
      <c r="V610" s="7"/>
      <c r="W610" s="7"/>
      <c r="X610" s="7"/>
    </row>
    <row r="611" ht="43.5" customHeight="1">
      <c r="O611" s="7"/>
      <c r="P611" s="7"/>
      <c r="Q611" s="7"/>
      <c r="V611" s="7"/>
      <c r="W611" s="7"/>
      <c r="X611" s="7"/>
    </row>
    <row r="612" ht="43.5" customHeight="1">
      <c r="O612" s="7"/>
      <c r="P612" s="7"/>
      <c r="Q612" s="7"/>
      <c r="V612" s="7"/>
      <c r="W612" s="7"/>
      <c r="X612" s="7"/>
    </row>
    <row r="613" ht="43.5" customHeight="1">
      <c r="O613" s="7"/>
      <c r="P613" s="7"/>
      <c r="Q613" s="7"/>
      <c r="V613" s="7"/>
      <c r="W613" s="7"/>
      <c r="X613" s="7"/>
    </row>
    <row r="614" ht="43.5" customHeight="1">
      <c r="O614" s="7"/>
      <c r="P614" s="7"/>
      <c r="Q614" s="7"/>
      <c r="V614" s="7"/>
      <c r="W614" s="7"/>
      <c r="X614" s="7"/>
    </row>
    <row r="615" ht="43.5" customHeight="1">
      <c r="O615" s="7"/>
      <c r="P615" s="7"/>
      <c r="Q615" s="7"/>
      <c r="V615" s="7"/>
      <c r="W615" s="7"/>
      <c r="X615" s="7"/>
    </row>
    <row r="616" ht="43.5" customHeight="1">
      <c r="O616" s="7"/>
      <c r="P616" s="7"/>
      <c r="Q616" s="7"/>
      <c r="V616" s="7"/>
      <c r="W616" s="7"/>
      <c r="X616" s="7"/>
    </row>
    <row r="617" ht="43.5" customHeight="1">
      <c r="O617" s="7"/>
      <c r="P617" s="7"/>
      <c r="Q617" s="7"/>
      <c r="V617" s="7"/>
      <c r="W617" s="7"/>
      <c r="X617" s="7"/>
    </row>
    <row r="618" ht="43.5" customHeight="1">
      <c r="O618" s="7"/>
      <c r="P618" s="7"/>
      <c r="Q618" s="7"/>
      <c r="V618" s="7"/>
      <c r="W618" s="7"/>
      <c r="X618" s="7"/>
    </row>
    <row r="619" ht="43.5" customHeight="1">
      <c r="O619" s="7"/>
      <c r="P619" s="7"/>
      <c r="Q619" s="7"/>
      <c r="V619" s="7"/>
      <c r="W619" s="7"/>
      <c r="X619" s="7"/>
    </row>
    <row r="620" ht="43.5" customHeight="1">
      <c r="O620" s="7"/>
      <c r="P620" s="7"/>
      <c r="Q620" s="7"/>
      <c r="V620" s="7"/>
      <c r="W620" s="7"/>
      <c r="X620" s="7"/>
    </row>
    <row r="621" ht="43.5" customHeight="1">
      <c r="O621" s="7"/>
      <c r="P621" s="7"/>
      <c r="Q621" s="7"/>
      <c r="V621" s="7"/>
      <c r="W621" s="7"/>
      <c r="X621" s="7"/>
    </row>
    <row r="622" ht="43.5" customHeight="1">
      <c r="O622" s="7"/>
      <c r="P622" s="7"/>
      <c r="Q622" s="7"/>
      <c r="V622" s="7"/>
      <c r="W622" s="7"/>
      <c r="X622" s="7"/>
    </row>
    <row r="623" ht="43.5" customHeight="1">
      <c r="O623" s="7"/>
      <c r="P623" s="7"/>
      <c r="Q623" s="7"/>
      <c r="V623" s="7"/>
      <c r="W623" s="7"/>
      <c r="X623" s="7"/>
    </row>
    <row r="624" ht="43.5" customHeight="1">
      <c r="O624" s="7"/>
      <c r="P624" s="7"/>
      <c r="Q624" s="7"/>
      <c r="V624" s="7"/>
      <c r="W624" s="7"/>
      <c r="X624" s="7"/>
    </row>
    <row r="625" ht="43.5" customHeight="1">
      <c r="O625" s="7"/>
      <c r="P625" s="7"/>
      <c r="Q625" s="7"/>
      <c r="V625" s="7"/>
      <c r="W625" s="7"/>
      <c r="X625" s="7"/>
    </row>
    <row r="626" ht="43.5" customHeight="1">
      <c r="O626" s="7"/>
      <c r="P626" s="7"/>
      <c r="Q626" s="7"/>
      <c r="V626" s="7"/>
      <c r="W626" s="7"/>
      <c r="X626" s="7"/>
    </row>
    <row r="627" ht="43.5" customHeight="1">
      <c r="O627" s="7"/>
      <c r="P627" s="7"/>
      <c r="Q627" s="7"/>
      <c r="V627" s="7"/>
      <c r="W627" s="7"/>
      <c r="X627" s="7"/>
    </row>
    <row r="628" ht="43.5" customHeight="1">
      <c r="O628" s="7"/>
      <c r="P628" s="7"/>
      <c r="Q628" s="7"/>
      <c r="V628" s="7"/>
      <c r="W628" s="7"/>
      <c r="X628" s="7"/>
    </row>
    <row r="629" ht="43.5" customHeight="1">
      <c r="O629" s="7"/>
      <c r="P629" s="7"/>
      <c r="Q629" s="7"/>
      <c r="V629" s="7"/>
      <c r="W629" s="7"/>
      <c r="X629" s="7"/>
    </row>
    <row r="630" ht="43.5" customHeight="1">
      <c r="O630" s="7"/>
      <c r="P630" s="7"/>
      <c r="Q630" s="7"/>
      <c r="V630" s="7"/>
      <c r="W630" s="7"/>
      <c r="X630" s="7"/>
    </row>
    <row r="631" ht="43.5" customHeight="1">
      <c r="O631" s="7"/>
      <c r="P631" s="7"/>
      <c r="Q631" s="7"/>
      <c r="V631" s="7"/>
      <c r="W631" s="7"/>
      <c r="X631" s="7"/>
    </row>
    <row r="632" ht="43.5" customHeight="1">
      <c r="O632" s="7"/>
      <c r="P632" s="7"/>
      <c r="Q632" s="7"/>
      <c r="V632" s="7"/>
      <c r="W632" s="7"/>
      <c r="X632" s="7"/>
    </row>
    <row r="633" ht="43.5" customHeight="1">
      <c r="O633" s="7"/>
      <c r="P633" s="7"/>
      <c r="Q633" s="7"/>
      <c r="V633" s="7"/>
      <c r="W633" s="7"/>
      <c r="X633" s="7"/>
    </row>
    <row r="634" ht="43.5" customHeight="1">
      <c r="O634" s="7"/>
      <c r="P634" s="7"/>
      <c r="Q634" s="7"/>
      <c r="V634" s="7"/>
      <c r="W634" s="7"/>
      <c r="X634" s="7"/>
    </row>
    <row r="635" ht="43.5" customHeight="1">
      <c r="O635" s="7"/>
      <c r="P635" s="7"/>
      <c r="Q635" s="7"/>
      <c r="V635" s="7"/>
      <c r="W635" s="7"/>
      <c r="X635" s="7"/>
    </row>
    <row r="636" ht="43.5" customHeight="1">
      <c r="O636" s="7"/>
      <c r="P636" s="7"/>
      <c r="Q636" s="7"/>
      <c r="V636" s="7"/>
      <c r="W636" s="7"/>
      <c r="X636" s="7"/>
    </row>
    <row r="637" ht="43.5" customHeight="1">
      <c r="O637" s="7"/>
      <c r="P637" s="7"/>
      <c r="Q637" s="7"/>
      <c r="V637" s="7"/>
      <c r="W637" s="7"/>
      <c r="X637" s="7"/>
    </row>
    <row r="638" ht="43.5" customHeight="1">
      <c r="O638" s="7"/>
      <c r="P638" s="7"/>
      <c r="Q638" s="7"/>
      <c r="V638" s="7"/>
      <c r="W638" s="7"/>
      <c r="X638" s="7"/>
    </row>
    <row r="639" ht="43.5" customHeight="1">
      <c r="O639" s="7"/>
      <c r="P639" s="7"/>
      <c r="Q639" s="7"/>
      <c r="V639" s="7"/>
      <c r="W639" s="7"/>
      <c r="X639" s="7"/>
    </row>
    <row r="640" ht="43.5" customHeight="1">
      <c r="O640" s="7"/>
      <c r="P640" s="7"/>
      <c r="Q640" s="7"/>
      <c r="V640" s="7"/>
      <c r="W640" s="7"/>
      <c r="X640" s="7"/>
    </row>
    <row r="641" ht="43.5" customHeight="1">
      <c r="O641" s="7"/>
      <c r="P641" s="7"/>
      <c r="Q641" s="7"/>
      <c r="V641" s="7"/>
      <c r="W641" s="7"/>
      <c r="X641" s="7"/>
    </row>
    <row r="642" ht="43.5" customHeight="1">
      <c r="O642" s="7"/>
      <c r="P642" s="7"/>
      <c r="Q642" s="7"/>
      <c r="V642" s="7"/>
      <c r="W642" s="7"/>
      <c r="X642" s="7"/>
    </row>
    <row r="643" ht="43.5" customHeight="1">
      <c r="O643" s="7"/>
      <c r="P643" s="7"/>
      <c r="Q643" s="7"/>
      <c r="V643" s="7"/>
      <c r="W643" s="7"/>
      <c r="X643" s="7"/>
    </row>
    <row r="644" ht="43.5" customHeight="1">
      <c r="O644" s="7"/>
      <c r="P644" s="7"/>
      <c r="Q644" s="7"/>
      <c r="V644" s="7"/>
      <c r="W644" s="7"/>
      <c r="X644" s="7"/>
    </row>
    <row r="645" ht="43.5" customHeight="1">
      <c r="O645" s="7"/>
      <c r="P645" s="7"/>
      <c r="Q645" s="7"/>
      <c r="V645" s="7"/>
      <c r="W645" s="7"/>
      <c r="X645" s="7"/>
    </row>
    <row r="646" ht="43.5" customHeight="1">
      <c r="O646" s="7"/>
      <c r="P646" s="7"/>
      <c r="Q646" s="7"/>
      <c r="V646" s="7"/>
      <c r="W646" s="7"/>
      <c r="X646" s="7"/>
    </row>
    <row r="647" ht="43.5" customHeight="1">
      <c r="O647" s="7"/>
      <c r="P647" s="7"/>
      <c r="Q647" s="7"/>
      <c r="V647" s="7"/>
      <c r="W647" s="7"/>
      <c r="X647" s="7"/>
    </row>
    <row r="648" ht="43.5" customHeight="1">
      <c r="O648" s="7"/>
      <c r="P648" s="7"/>
      <c r="Q648" s="7"/>
      <c r="V648" s="7"/>
      <c r="W648" s="7"/>
      <c r="X648" s="7"/>
    </row>
    <row r="649" ht="43.5" customHeight="1">
      <c r="O649" s="7"/>
      <c r="P649" s="7"/>
      <c r="Q649" s="7"/>
      <c r="V649" s="7"/>
      <c r="W649" s="7"/>
      <c r="X649" s="7"/>
    </row>
    <row r="650" ht="43.5" customHeight="1">
      <c r="O650" s="7"/>
      <c r="P650" s="7"/>
      <c r="Q650" s="7"/>
      <c r="V650" s="7"/>
      <c r="W650" s="7"/>
      <c r="X650" s="7"/>
    </row>
    <row r="651" ht="43.5" customHeight="1">
      <c r="O651" s="7"/>
      <c r="P651" s="7"/>
      <c r="Q651" s="7"/>
      <c r="V651" s="7"/>
      <c r="W651" s="7"/>
      <c r="X651" s="7"/>
    </row>
    <row r="652" ht="43.5" customHeight="1">
      <c r="O652" s="7"/>
      <c r="P652" s="7"/>
      <c r="Q652" s="7"/>
      <c r="V652" s="7"/>
      <c r="W652" s="7"/>
      <c r="X652" s="7"/>
    </row>
    <row r="653" ht="43.5" customHeight="1">
      <c r="O653" s="7"/>
      <c r="P653" s="7"/>
      <c r="Q653" s="7"/>
      <c r="V653" s="7"/>
      <c r="W653" s="7"/>
      <c r="X653" s="7"/>
    </row>
    <row r="654" ht="43.5" customHeight="1">
      <c r="O654" s="7"/>
      <c r="P654" s="7"/>
      <c r="Q654" s="7"/>
      <c r="V654" s="7"/>
      <c r="W654" s="7"/>
      <c r="X654" s="7"/>
    </row>
    <row r="655" ht="43.5" customHeight="1">
      <c r="O655" s="7"/>
      <c r="P655" s="7"/>
      <c r="Q655" s="7"/>
      <c r="V655" s="7"/>
      <c r="W655" s="7"/>
      <c r="X655" s="7"/>
    </row>
    <row r="656" ht="43.5" customHeight="1">
      <c r="O656" s="7"/>
      <c r="P656" s="7"/>
      <c r="Q656" s="7"/>
      <c r="V656" s="7"/>
      <c r="W656" s="7"/>
      <c r="X656" s="7"/>
    </row>
    <row r="657" ht="43.5" customHeight="1">
      <c r="O657" s="7"/>
      <c r="P657" s="7"/>
      <c r="Q657" s="7"/>
      <c r="V657" s="7"/>
      <c r="W657" s="7"/>
      <c r="X657" s="7"/>
    </row>
    <row r="658" ht="43.5" customHeight="1">
      <c r="O658" s="7"/>
      <c r="P658" s="7"/>
      <c r="Q658" s="7"/>
      <c r="V658" s="7"/>
      <c r="W658" s="7"/>
      <c r="X658" s="7"/>
    </row>
    <row r="659" ht="43.5" customHeight="1">
      <c r="O659" s="7"/>
      <c r="P659" s="7"/>
      <c r="Q659" s="7"/>
      <c r="V659" s="7"/>
      <c r="W659" s="7"/>
      <c r="X659" s="7"/>
    </row>
    <row r="660" ht="43.5" customHeight="1">
      <c r="O660" s="7"/>
      <c r="P660" s="7"/>
      <c r="Q660" s="7"/>
      <c r="V660" s="7"/>
      <c r="W660" s="7"/>
      <c r="X660" s="7"/>
    </row>
    <row r="661" ht="43.5" customHeight="1">
      <c r="O661" s="7"/>
      <c r="P661" s="7"/>
      <c r="Q661" s="7"/>
      <c r="V661" s="7"/>
      <c r="W661" s="7"/>
      <c r="X661" s="7"/>
    </row>
    <row r="662" ht="43.5" customHeight="1">
      <c r="O662" s="7"/>
      <c r="P662" s="7"/>
      <c r="Q662" s="7"/>
      <c r="V662" s="7"/>
      <c r="W662" s="7"/>
      <c r="X662" s="7"/>
    </row>
    <row r="663" ht="43.5" customHeight="1">
      <c r="O663" s="7"/>
      <c r="P663" s="7"/>
      <c r="Q663" s="7"/>
      <c r="V663" s="7"/>
      <c r="W663" s="7"/>
      <c r="X663" s="7"/>
    </row>
    <row r="664" ht="43.5" customHeight="1">
      <c r="O664" s="7"/>
      <c r="P664" s="7"/>
      <c r="Q664" s="7"/>
      <c r="V664" s="7"/>
      <c r="W664" s="7"/>
      <c r="X664" s="7"/>
    </row>
    <row r="665" ht="43.5" customHeight="1">
      <c r="O665" s="7"/>
      <c r="P665" s="7"/>
      <c r="Q665" s="7"/>
      <c r="V665" s="7"/>
      <c r="W665" s="7"/>
      <c r="X665" s="7"/>
    </row>
    <row r="666" ht="43.5" customHeight="1">
      <c r="O666" s="7"/>
      <c r="P666" s="7"/>
      <c r="Q666" s="7"/>
      <c r="V666" s="7"/>
      <c r="W666" s="7"/>
      <c r="X666" s="7"/>
    </row>
    <row r="667" ht="43.5" customHeight="1">
      <c r="O667" s="7"/>
      <c r="P667" s="7"/>
      <c r="Q667" s="7"/>
      <c r="V667" s="7"/>
      <c r="W667" s="7"/>
      <c r="X667" s="7"/>
    </row>
    <row r="668" ht="43.5" customHeight="1">
      <c r="O668" s="7"/>
      <c r="P668" s="7"/>
      <c r="Q668" s="7"/>
      <c r="V668" s="7"/>
      <c r="W668" s="7"/>
      <c r="X668" s="7"/>
    </row>
    <row r="669" ht="43.5" customHeight="1">
      <c r="O669" s="7"/>
      <c r="P669" s="7"/>
      <c r="Q669" s="7"/>
      <c r="V669" s="7"/>
      <c r="W669" s="7"/>
      <c r="X669" s="7"/>
    </row>
    <row r="670" ht="43.5" customHeight="1">
      <c r="O670" s="7"/>
      <c r="P670" s="7"/>
      <c r="Q670" s="7"/>
      <c r="V670" s="7"/>
      <c r="W670" s="7"/>
      <c r="X670" s="7"/>
    </row>
    <row r="671" ht="43.5" customHeight="1">
      <c r="O671" s="7"/>
      <c r="P671" s="7"/>
      <c r="Q671" s="7"/>
      <c r="V671" s="7"/>
      <c r="W671" s="7"/>
      <c r="X671" s="7"/>
    </row>
    <row r="672" ht="43.5" customHeight="1">
      <c r="O672" s="7"/>
      <c r="P672" s="7"/>
      <c r="Q672" s="7"/>
      <c r="V672" s="7"/>
      <c r="W672" s="7"/>
      <c r="X672" s="7"/>
    </row>
    <row r="673" ht="43.5" customHeight="1">
      <c r="O673" s="7"/>
      <c r="P673" s="7"/>
      <c r="Q673" s="7"/>
      <c r="V673" s="7"/>
      <c r="W673" s="7"/>
      <c r="X673" s="7"/>
    </row>
    <row r="674" ht="43.5" customHeight="1">
      <c r="O674" s="7"/>
      <c r="P674" s="7"/>
      <c r="Q674" s="7"/>
      <c r="V674" s="7"/>
      <c r="W674" s="7"/>
      <c r="X674" s="7"/>
    </row>
    <row r="675" ht="43.5" customHeight="1">
      <c r="O675" s="7"/>
      <c r="P675" s="7"/>
      <c r="Q675" s="7"/>
      <c r="V675" s="7"/>
      <c r="W675" s="7"/>
      <c r="X675" s="7"/>
    </row>
    <row r="676" ht="43.5" customHeight="1">
      <c r="O676" s="7"/>
      <c r="P676" s="7"/>
      <c r="Q676" s="7"/>
      <c r="V676" s="7"/>
      <c r="W676" s="7"/>
      <c r="X676" s="7"/>
    </row>
    <row r="677" ht="43.5" customHeight="1">
      <c r="O677" s="7"/>
      <c r="P677" s="7"/>
      <c r="Q677" s="7"/>
      <c r="V677" s="7"/>
      <c r="W677" s="7"/>
      <c r="X677" s="7"/>
    </row>
    <row r="678" ht="43.5" customHeight="1">
      <c r="O678" s="7"/>
      <c r="P678" s="7"/>
      <c r="Q678" s="7"/>
      <c r="V678" s="7"/>
      <c r="W678" s="7"/>
      <c r="X678" s="7"/>
    </row>
    <row r="679" ht="43.5" customHeight="1">
      <c r="O679" s="7"/>
      <c r="P679" s="7"/>
      <c r="Q679" s="7"/>
      <c r="V679" s="7"/>
      <c r="W679" s="7"/>
      <c r="X679" s="7"/>
    </row>
    <row r="680" ht="43.5" customHeight="1">
      <c r="O680" s="7"/>
      <c r="P680" s="7"/>
      <c r="Q680" s="7"/>
      <c r="V680" s="7"/>
      <c r="W680" s="7"/>
      <c r="X680" s="7"/>
    </row>
    <row r="681" ht="43.5" customHeight="1">
      <c r="O681" s="7"/>
      <c r="P681" s="7"/>
      <c r="Q681" s="7"/>
      <c r="V681" s="7"/>
      <c r="W681" s="7"/>
      <c r="X681" s="7"/>
    </row>
    <row r="682" ht="43.5" customHeight="1">
      <c r="O682" s="7"/>
      <c r="P682" s="7"/>
      <c r="Q682" s="7"/>
      <c r="V682" s="7"/>
      <c r="W682" s="7"/>
      <c r="X682" s="7"/>
    </row>
    <row r="683" ht="43.5" customHeight="1">
      <c r="O683" s="7"/>
      <c r="P683" s="7"/>
      <c r="Q683" s="7"/>
      <c r="V683" s="7"/>
      <c r="W683" s="7"/>
      <c r="X683" s="7"/>
    </row>
    <row r="684" ht="43.5" customHeight="1">
      <c r="O684" s="7"/>
      <c r="P684" s="7"/>
      <c r="Q684" s="7"/>
      <c r="V684" s="7"/>
      <c r="W684" s="7"/>
      <c r="X684" s="7"/>
    </row>
    <row r="685" ht="43.5" customHeight="1">
      <c r="O685" s="7"/>
      <c r="P685" s="7"/>
      <c r="Q685" s="7"/>
      <c r="V685" s="7"/>
      <c r="W685" s="7"/>
      <c r="X685" s="7"/>
    </row>
    <row r="686" ht="43.5" customHeight="1">
      <c r="O686" s="7"/>
      <c r="P686" s="7"/>
      <c r="Q686" s="7"/>
      <c r="V686" s="7"/>
      <c r="W686" s="7"/>
      <c r="X686" s="7"/>
    </row>
    <row r="687" ht="43.5" customHeight="1">
      <c r="O687" s="7"/>
      <c r="P687" s="7"/>
      <c r="Q687" s="7"/>
      <c r="V687" s="7"/>
      <c r="W687" s="7"/>
      <c r="X687" s="7"/>
    </row>
    <row r="688" ht="43.5" customHeight="1">
      <c r="O688" s="7"/>
      <c r="P688" s="7"/>
      <c r="Q688" s="7"/>
      <c r="V688" s="7"/>
      <c r="W688" s="7"/>
      <c r="X688" s="7"/>
    </row>
    <row r="689" ht="43.5" customHeight="1">
      <c r="O689" s="7"/>
      <c r="P689" s="7"/>
      <c r="Q689" s="7"/>
      <c r="V689" s="7"/>
      <c r="W689" s="7"/>
      <c r="X689" s="7"/>
    </row>
    <row r="690" ht="43.5" customHeight="1">
      <c r="O690" s="7"/>
      <c r="P690" s="7"/>
      <c r="Q690" s="7"/>
      <c r="V690" s="7"/>
      <c r="W690" s="7"/>
      <c r="X690" s="7"/>
    </row>
    <row r="691" ht="43.5" customHeight="1">
      <c r="O691" s="7"/>
      <c r="P691" s="7"/>
      <c r="Q691" s="7"/>
      <c r="V691" s="7"/>
      <c r="W691" s="7"/>
      <c r="X691" s="7"/>
    </row>
    <row r="692" ht="43.5" customHeight="1">
      <c r="O692" s="7"/>
      <c r="P692" s="7"/>
      <c r="Q692" s="7"/>
      <c r="V692" s="7"/>
      <c r="W692" s="7"/>
      <c r="X692" s="7"/>
    </row>
    <row r="693" ht="43.5" customHeight="1">
      <c r="O693" s="7"/>
      <c r="P693" s="7"/>
      <c r="Q693" s="7"/>
      <c r="V693" s="7"/>
      <c r="W693" s="7"/>
      <c r="X693" s="7"/>
    </row>
    <row r="694" ht="43.5" customHeight="1">
      <c r="O694" s="7"/>
      <c r="P694" s="7"/>
      <c r="Q694" s="7"/>
      <c r="V694" s="7"/>
      <c r="W694" s="7"/>
      <c r="X694" s="7"/>
    </row>
    <row r="695" ht="43.5" customHeight="1">
      <c r="O695" s="7"/>
      <c r="P695" s="7"/>
      <c r="Q695" s="7"/>
      <c r="V695" s="7"/>
      <c r="W695" s="7"/>
      <c r="X695" s="7"/>
    </row>
    <row r="696" ht="43.5" customHeight="1">
      <c r="O696" s="7"/>
      <c r="P696" s="7"/>
      <c r="Q696" s="7"/>
      <c r="V696" s="7"/>
      <c r="W696" s="7"/>
      <c r="X696" s="7"/>
    </row>
    <row r="697" ht="43.5" customHeight="1">
      <c r="O697" s="7"/>
      <c r="P697" s="7"/>
      <c r="Q697" s="7"/>
      <c r="V697" s="7"/>
      <c r="W697" s="7"/>
      <c r="X697" s="7"/>
    </row>
    <row r="698" ht="43.5" customHeight="1">
      <c r="O698" s="7"/>
      <c r="P698" s="7"/>
      <c r="Q698" s="7"/>
      <c r="V698" s="7"/>
      <c r="W698" s="7"/>
      <c r="X698" s="7"/>
    </row>
    <row r="699" ht="43.5" customHeight="1">
      <c r="O699" s="7"/>
      <c r="P699" s="7"/>
      <c r="Q699" s="7"/>
      <c r="V699" s="7"/>
      <c r="W699" s="7"/>
      <c r="X699" s="7"/>
    </row>
    <row r="700" ht="43.5" customHeight="1">
      <c r="O700" s="7"/>
      <c r="P700" s="7"/>
      <c r="Q700" s="7"/>
      <c r="V700" s="7"/>
      <c r="W700" s="7"/>
      <c r="X700" s="7"/>
    </row>
    <row r="701" ht="43.5" customHeight="1">
      <c r="O701" s="7"/>
      <c r="P701" s="7"/>
      <c r="Q701" s="7"/>
      <c r="V701" s="7"/>
      <c r="W701" s="7"/>
      <c r="X701" s="7"/>
    </row>
    <row r="702" ht="43.5" customHeight="1">
      <c r="O702" s="7"/>
      <c r="P702" s="7"/>
      <c r="Q702" s="7"/>
      <c r="V702" s="7"/>
      <c r="W702" s="7"/>
      <c r="X702" s="7"/>
    </row>
    <row r="703" ht="43.5" customHeight="1">
      <c r="O703" s="7"/>
      <c r="P703" s="7"/>
      <c r="Q703" s="7"/>
      <c r="V703" s="7"/>
      <c r="W703" s="7"/>
      <c r="X703" s="7"/>
    </row>
    <row r="704" ht="43.5" customHeight="1">
      <c r="O704" s="7"/>
      <c r="P704" s="7"/>
      <c r="Q704" s="7"/>
      <c r="V704" s="7"/>
      <c r="W704" s="7"/>
      <c r="X704" s="7"/>
    </row>
    <row r="705" ht="43.5" customHeight="1">
      <c r="O705" s="7"/>
      <c r="P705" s="7"/>
      <c r="Q705" s="7"/>
      <c r="V705" s="7"/>
      <c r="W705" s="7"/>
      <c r="X705" s="7"/>
    </row>
    <row r="706" ht="43.5" customHeight="1">
      <c r="O706" s="7"/>
      <c r="P706" s="7"/>
      <c r="Q706" s="7"/>
      <c r="V706" s="7"/>
      <c r="W706" s="7"/>
      <c r="X706" s="7"/>
    </row>
    <row r="707" ht="43.5" customHeight="1">
      <c r="O707" s="7"/>
      <c r="P707" s="7"/>
      <c r="Q707" s="7"/>
      <c r="V707" s="7"/>
      <c r="W707" s="7"/>
      <c r="X707" s="7"/>
    </row>
    <row r="708" ht="43.5" customHeight="1">
      <c r="O708" s="7"/>
      <c r="P708" s="7"/>
      <c r="Q708" s="7"/>
      <c r="V708" s="7"/>
      <c r="W708" s="7"/>
      <c r="X708" s="7"/>
    </row>
    <row r="709" ht="43.5" customHeight="1">
      <c r="O709" s="7"/>
      <c r="P709" s="7"/>
      <c r="Q709" s="7"/>
      <c r="V709" s="7"/>
      <c r="W709" s="7"/>
      <c r="X709" s="7"/>
    </row>
    <row r="710" ht="43.5" customHeight="1">
      <c r="O710" s="7"/>
      <c r="P710" s="7"/>
      <c r="Q710" s="7"/>
      <c r="V710" s="7"/>
      <c r="W710" s="7"/>
      <c r="X710" s="7"/>
    </row>
    <row r="711" ht="43.5" customHeight="1">
      <c r="O711" s="7"/>
      <c r="P711" s="7"/>
      <c r="Q711" s="7"/>
      <c r="V711" s="7"/>
      <c r="W711" s="7"/>
      <c r="X711" s="7"/>
    </row>
    <row r="712" ht="43.5" customHeight="1">
      <c r="O712" s="7"/>
      <c r="P712" s="7"/>
      <c r="Q712" s="7"/>
      <c r="V712" s="7"/>
      <c r="W712" s="7"/>
      <c r="X712" s="7"/>
    </row>
    <row r="713" ht="43.5" customHeight="1">
      <c r="O713" s="7"/>
      <c r="P713" s="7"/>
      <c r="Q713" s="7"/>
      <c r="V713" s="7"/>
      <c r="W713" s="7"/>
      <c r="X713" s="7"/>
    </row>
    <row r="714" ht="43.5" customHeight="1">
      <c r="O714" s="7"/>
      <c r="P714" s="7"/>
      <c r="Q714" s="7"/>
      <c r="V714" s="7"/>
      <c r="W714" s="7"/>
      <c r="X714" s="7"/>
    </row>
    <row r="715" ht="43.5" customHeight="1">
      <c r="O715" s="7"/>
      <c r="P715" s="7"/>
      <c r="Q715" s="7"/>
      <c r="V715" s="7"/>
      <c r="W715" s="7"/>
      <c r="X715" s="7"/>
    </row>
    <row r="716" ht="43.5" customHeight="1">
      <c r="O716" s="7"/>
      <c r="P716" s="7"/>
      <c r="Q716" s="7"/>
      <c r="V716" s="7"/>
      <c r="W716" s="7"/>
      <c r="X716" s="7"/>
    </row>
    <row r="717" ht="43.5" customHeight="1">
      <c r="O717" s="7"/>
      <c r="P717" s="7"/>
      <c r="Q717" s="7"/>
      <c r="V717" s="7"/>
      <c r="W717" s="7"/>
      <c r="X717" s="7"/>
    </row>
    <row r="718" ht="43.5" customHeight="1">
      <c r="O718" s="7"/>
      <c r="P718" s="7"/>
      <c r="Q718" s="7"/>
      <c r="V718" s="7"/>
      <c r="W718" s="7"/>
      <c r="X718" s="7"/>
    </row>
    <row r="719" ht="43.5" customHeight="1">
      <c r="O719" s="7"/>
      <c r="P719" s="7"/>
      <c r="Q719" s="7"/>
      <c r="V719" s="7"/>
      <c r="W719" s="7"/>
      <c r="X719" s="7"/>
    </row>
    <row r="720" ht="43.5" customHeight="1">
      <c r="O720" s="7"/>
      <c r="P720" s="7"/>
      <c r="Q720" s="7"/>
      <c r="V720" s="7"/>
      <c r="W720" s="7"/>
      <c r="X720" s="7"/>
    </row>
    <row r="721" ht="43.5" customHeight="1">
      <c r="O721" s="7"/>
      <c r="P721" s="7"/>
      <c r="Q721" s="7"/>
      <c r="V721" s="7"/>
      <c r="W721" s="7"/>
      <c r="X721" s="7"/>
    </row>
    <row r="722" ht="43.5" customHeight="1">
      <c r="O722" s="7"/>
      <c r="P722" s="7"/>
      <c r="Q722" s="7"/>
      <c r="V722" s="7"/>
      <c r="W722" s="7"/>
      <c r="X722" s="7"/>
    </row>
    <row r="723" ht="43.5" customHeight="1">
      <c r="O723" s="7"/>
      <c r="P723" s="7"/>
      <c r="Q723" s="7"/>
      <c r="V723" s="7"/>
      <c r="W723" s="7"/>
      <c r="X723" s="7"/>
    </row>
    <row r="724" ht="43.5" customHeight="1">
      <c r="O724" s="7"/>
      <c r="P724" s="7"/>
      <c r="Q724" s="7"/>
      <c r="V724" s="7"/>
      <c r="W724" s="7"/>
      <c r="X724" s="7"/>
    </row>
    <row r="725" ht="43.5" customHeight="1">
      <c r="O725" s="7"/>
      <c r="P725" s="7"/>
      <c r="Q725" s="7"/>
      <c r="V725" s="7"/>
      <c r="W725" s="7"/>
      <c r="X725" s="7"/>
    </row>
    <row r="726" ht="43.5" customHeight="1">
      <c r="O726" s="7"/>
      <c r="P726" s="7"/>
      <c r="Q726" s="7"/>
      <c r="V726" s="7"/>
      <c r="W726" s="7"/>
      <c r="X726" s="7"/>
    </row>
    <row r="727" ht="43.5" customHeight="1">
      <c r="O727" s="7"/>
      <c r="P727" s="7"/>
      <c r="Q727" s="7"/>
      <c r="V727" s="7"/>
      <c r="W727" s="7"/>
      <c r="X727" s="7"/>
    </row>
    <row r="728" ht="43.5" customHeight="1">
      <c r="O728" s="7"/>
      <c r="P728" s="7"/>
      <c r="Q728" s="7"/>
      <c r="V728" s="7"/>
      <c r="W728" s="7"/>
      <c r="X728" s="7"/>
    </row>
    <row r="729" ht="43.5" customHeight="1">
      <c r="O729" s="7"/>
      <c r="P729" s="7"/>
      <c r="Q729" s="7"/>
      <c r="V729" s="7"/>
      <c r="W729" s="7"/>
      <c r="X729" s="7"/>
    </row>
    <row r="730" ht="43.5" customHeight="1">
      <c r="O730" s="7"/>
      <c r="P730" s="7"/>
      <c r="Q730" s="7"/>
      <c r="V730" s="7"/>
      <c r="W730" s="7"/>
      <c r="X730" s="7"/>
    </row>
    <row r="731" ht="43.5" customHeight="1">
      <c r="O731" s="7"/>
      <c r="P731" s="7"/>
      <c r="Q731" s="7"/>
      <c r="V731" s="7"/>
      <c r="W731" s="7"/>
      <c r="X731" s="7"/>
    </row>
    <row r="732" ht="43.5" customHeight="1">
      <c r="O732" s="7"/>
      <c r="P732" s="7"/>
      <c r="Q732" s="7"/>
      <c r="V732" s="7"/>
      <c r="W732" s="7"/>
      <c r="X732" s="7"/>
    </row>
    <row r="733" ht="43.5" customHeight="1">
      <c r="O733" s="7"/>
      <c r="P733" s="7"/>
      <c r="Q733" s="7"/>
      <c r="V733" s="7"/>
      <c r="W733" s="7"/>
      <c r="X733" s="7"/>
    </row>
    <row r="734" ht="43.5" customHeight="1">
      <c r="O734" s="7"/>
      <c r="P734" s="7"/>
      <c r="Q734" s="7"/>
      <c r="V734" s="7"/>
      <c r="W734" s="7"/>
      <c r="X734" s="7"/>
    </row>
    <row r="735" ht="43.5" customHeight="1">
      <c r="O735" s="7"/>
      <c r="P735" s="7"/>
      <c r="Q735" s="7"/>
      <c r="V735" s="7"/>
      <c r="W735" s="7"/>
      <c r="X735" s="7"/>
    </row>
    <row r="736" ht="43.5" customHeight="1">
      <c r="O736" s="7"/>
      <c r="P736" s="7"/>
      <c r="Q736" s="7"/>
      <c r="V736" s="7"/>
      <c r="W736" s="7"/>
      <c r="X736" s="7"/>
    </row>
    <row r="737" ht="43.5" customHeight="1">
      <c r="O737" s="7"/>
      <c r="P737" s="7"/>
      <c r="Q737" s="7"/>
      <c r="V737" s="7"/>
      <c r="W737" s="7"/>
      <c r="X737" s="7"/>
    </row>
    <row r="738" ht="43.5" customHeight="1">
      <c r="O738" s="7"/>
      <c r="P738" s="7"/>
      <c r="Q738" s="7"/>
      <c r="V738" s="7"/>
      <c r="W738" s="7"/>
      <c r="X738" s="7"/>
    </row>
    <row r="739" ht="43.5" customHeight="1">
      <c r="O739" s="7"/>
      <c r="P739" s="7"/>
      <c r="Q739" s="7"/>
      <c r="V739" s="7"/>
      <c r="W739" s="7"/>
      <c r="X739" s="7"/>
    </row>
    <row r="740" ht="43.5" customHeight="1">
      <c r="O740" s="7"/>
      <c r="P740" s="7"/>
      <c r="Q740" s="7"/>
      <c r="V740" s="7"/>
      <c r="W740" s="7"/>
      <c r="X740" s="7"/>
    </row>
    <row r="741" ht="43.5" customHeight="1">
      <c r="O741" s="7"/>
      <c r="P741" s="7"/>
      <c r="Q741" s="7"/>
      <c r="V741" s="7"/>
      <c r="W741" s="7"/>
      <c r="X741" s="7"/>
    </row>
    <row r="742" ht="43.5" customHeight="1">
      <c r="O742" s="7"/>
      <c r="P742" s="7"/>
      <c r="Q742" s="7"/>
      <c r="V742" s="7"/>
      <c r="W742" s="7"/>
      <c r="X742" s="7"/>
    </row>
    <row r="743" ht="43.5" customHeight="1">
      <c r="O743" s="7"/>
      <c r="P743" s="7"/>
      <c r="Q743" s="7"/>
      <c r="V743" s="7"/>
      <c r="W743" s="7"/>
      <c r="X743" s="7"/>
    </row>
    <row r="744" ht="43.5" customHeight="1">
      <c r="O744" s="7"/>
      <c r="P744" s="7"/>
      <c r="Q744" s="7"/>
      <c r="V744" s="7"/>
      <c r="W744" s="7"/>
      <c r="X744" s="7"/>
    </row>
    <row r="745" ht="43.5" customHeight="1">
      <c r="O745" s="7"/>
      <c r="P745" s="7"/>
      <c r="Q745" s="7"/>
      <c r="V745" s="7"/>
      <c r="W745" s="7"/>
      <c r="X745" s="7"/>
    </row>
    <row r="746" ht="43.5" customHeight="1">
      <c r="O746" s="7"/>
      <c r="P746" s="7"/>
      <c r="Q746" s="7"/>
      <c r="V746" s="7"/>
      <c r="W746" s="7"/>
      <c r="X746" s="7"/>
    </row>
    <row r="747" ht="43.5" customHeight="1">
      <c r="O747" s="7"/>
      <c r="P747" s="7"/>
      <c r="Q747" s="7"/>
      <c r="V747" s="7"/>
      <c r="W747" s="7"/>
      <c r="X747" s="7"/>
    </row>
    <row r="748" ht="43.5" customHeight="1">
      <c r="O748" s="7"/>
      <c r="P748" s="7"/>
      <c r="Q748" s="7"/>
      <c r="V748" s="7"/>
      <c r="W748" s="7"/>
      <c r="X748" s="7"/>
    </row>
    <row r="749" ht="43.5" customHeight="1">
      <c r="O749" s="7"/>
      <c r="P749" s="7"/>
      <c r="Q749" s="7"/>
      <c r="V749" s="7"/>
      <c r="W749" s="7"/>
      <c r="X749" s="7"/>
    </row>
    <row r="750" ht="43.5" customHeight="1">
      <c r="O750" s="7"/>
      <c r="P750" s="7"/>
      <c r="Q750" s="7"/>
      <c r="V750" s="7"/>
      <c r="W750" s="7"/>
      <c r="X750" s="7"/>
    </row>
    <row r="751" ht="43.5" customHeight="1">
      <c r="O751" s="7"/>
      <c r="P751" s="7"/>
      <c r="Q751" s="7"/>
      <c r="V751" s="7"/>
      <c r="W751" s="7"/>
      <c r="X751" s="7"/>
    </row>
    <row r="752" ht="43.5" customHeight="1">
      <c r="O752" s="7"/>
      <c r="P752" s="7"/>
      <c r="Q752" s="7"/>
      <c r="V752" s="7"/>
      <c r="W752" s="7"/>
      <c r="X752" s="7"/>
    </row>
    <row r="753" ht="43.5" customHeight="1">
      <c r="O753" s="7"/>
      <c r="P753" s="7"/>
      <c r="Q753" s="7"/>
      <c r="V753" s="7"/>
      <c r="W753" s="7"/>
      <c r="X753" s="7"/>
    </row>
    <row r="754" ht="43.5" customHeight="1">
      <c r="O754" s="7"/>
      <c r="P754" s="7"/>
      <c r="Q754" s="7"/>
      <c r="V754" s="7"/>
      <c r="W754" s="7"/>
      <c r="X754" s="7"/>
    </row>
    <row r="755" ht="43.5" customHeight="1">
      <c r="O755" s="7"/>
      <c r="P755" s="7"/>
      <c r="Q755" s="7"/>
      <c r="V755" s="7"/>
      <c r="W755" s="7"/>
      <c r="X755" s="7"/>
    </row>
    <row r="756" ht="43.5" customHeight="1">
      <c r="O756" s="7"/>
      <c r="P756" s="7"/>
      <c r="Q756" s="7"/>
      <c r="V756" s="7"/>
      <c r="W756" s="7"/>
      <c r="X756" s="7"/>
    </row>
    <row r="757" ht="43.5" customHeight="1">
      <c r="O757" s="7"/>
      <c r="P757" s="7"/>
      <c r="Q757" s="7"/>
      <c r="V757" s="7"/>
      <c r="W757" s="7"/>
      <c r="X757" s="7"/>
    </row>
    <row r="758" ht="43.5" customHeight="1">
      <c r="O758" s="7"/>
      <c r="P758" s="7"/>
      <c r="Q758" s="7"/>
      <c r="V758" s="7"/>
      <c r="W758" s="7"/>
      <c r="X758" s="7"/>
    </row>
    <row r="759" ht="43.5" customHeight="1">
      <c r="O759" s="7"/>
      <c r="P759" s="7"/>
      <c r="Q759" s="7"/>
      <c r="V759" s="7"/>
      <c r="W759" s="7"/>
      <c r="X759" s="7"/>
    </row>
    <row r="760" ht="43.5" customHeight="1">
      <c r="O760" s="7"/>
      <c r="P760" s="7"/>
      <c r="Q760" s="7"/>
      <c r="V760" s="7"/>
      <c r="W760" s="7"/>
      <c r="X760" s="7"/>
    </row>
    <row r="761" ht="43.5" customHeight="1">
      <c r="O761" s="7"/>
      <c r="P761" s="7"/>
      <c r="Q761" s="7"/>
      <c r="V761" s="7"/>
      <c r="W761" s="7"/>
      <c r="X761" s="7"/>
    </row>
    <row r="762" ht="43.5" customHeight="1">
      <c r="O762" s="7"/>
      <c r="P762" s="7"/>
      <c r="Q762" s="7"/>
      <c r="V762" s="7"/>
      <c r="W762" s="7"/>
      <c r="X762" s="7"/>
    </row>
    <row r="763" ht="43.5" customHeight="1">
      <c r="O763" s="7"/>
      <c r="P763" s="7"/>
      <c r="Q763" s="7"/>
      <c r="V763" s="7"/>
      <c r="W763" s="7"/>
      <c r="X763" s="7"/>
    </row>
    <row r="764" ht="43.5" customHeight="1">
      <c r="O764" s="7"/>
      <c r="P764" s="7"/>
      <c r="Q764" s="7"/>
      <c r="V764" s="7"/>
      <c r="W764" s="7"/>
      <c r="X764" s="7"/>
    </row>
    <row r="765" ht="43.5" customHeight="1">
      <c r="O765" s="7"/>
      <c r="P765" s="7"/>
      <c r="Q765" s="7"/>
      <c r="V765" s="7"/>
      <c r="W765" s="7"/>
      <c r="X765" s="7"/>
    </row>
    <row r="766" ht="43.5" customHeight="1">
      <c r="O766" s="7"/>
      <c r="P766" s="7"/>
      <c r="Q766" s="7"/>
      <c r="V766" s="7"/>
      <c r="W766" s="7"/>
      <c r="X766" s="7"/>
    </row>
    <row r="767" ht="43.5" customHeight="1">
      <c r="O767" s="7"/>
      <c r="P767" s="7"/>
      <c r="Q767" s="7"/>
      <c r="V767" s="7"/>
      <c r="W767" s="7"/>
      <c r="X767" s="7"/>
    </row>
    <row r="768" ht="43.5" customHeight="1">
      <c r="O768" s="7"/>
      <c r="P768" s="7"/>
      <c r="Q768" s="7"/>
      <c r="V768" s="7"/>
      <c r="W768" s="7"/>
      <c r="X768" s="7"/>
    </row>
    <row r="769" ht="43.5" customHeight="1">
      <c r="O769" s="7"/>
      <c r="P769" s="7"/>
      <c r="Q769" s="7"/>
      <c r="V769" s="7"/>
      <c r="W769" s="7"/>
      <c r="X769" s="7"/>
    </row>
    <row r="770" ht="43.5" customHeight="1">
      <c r="O770" s="7"/>
      <c r="P770" s="7"/>
      <c r="Q770" s="7"/>
      <c r="V770" s="7"/>
      <c r="W770" s="7"/>
      <c r="X770" s="7"/>
    </row>
    <row r="771" ht="43.5" customHeight="1">
      <c r="O771" s="7"/>
      <c r="P771" s="7"/>
      <c r="Q771" s="7"/>
      <c r="V771" s="7"/>
      <c r="W771" s="7"/>
      <c r="X771" s="7"/>
    </row>
    <row r="772" ht="43.5" customHeight="1">
      <c r="O772" s="7"/>
      <c r="P772" s="7"/>
      <c r="Q772" s="7"/>
      <c r="V772" s="7"/>
      <c r="W772" s="7"/>
      <c r="X772" s="7"/>
    </row>
    <row r="773" ht="43.5" customHeight="1">
      <c r="O773" s="7"/>
      <c r="P773" s="7"/>
      <c r="Q773" s="7"/>
      <c r="V773" s="7"/>
      <c r="W773" s="7"/>
      <c r="X773" s="7"/>
    </row>
    <row r="774" ht="43.5" customHeight="1">
      <c r="O774" s="7"/>
      <c r="P774" s="7"/>
      <c r="Q774" s="7"/>
      <c r="V774" s="7"/>
      <c r="W774" s="7"/>
      <c r="X774" s="7"/>
    </row>
    <row r="775" ht="43.5" customHeight="1">
      <c r="O775" s="7"/>
      <c r="P775" s="7"/>
      <c r="Q775" s="7"/>
      <c r="V775" s="7"/>
      <c r="W775" s="7"/>
      <c r="X775" s="7"/>
    </row>
    <row r="776" ht="43.5" customHeight="1">
      <c r="O776" s="7"/>
      <c r="P776" s="7"/>
      <c r="Q776" s="7"/>
      <c r="V776" s="7"/>
      <c r="W776" s="7"/>
      <c r="X776" s="7"/>
    </row>
    <row r="777" ht="43.5" customHeight="1">
      <c r="O777" s="7"/>
      <c r="P777" s="7"/>
      <c r="Q777" s="7"/>
      <c r="V777" s="7"/>
      <c r="W777" s="7"/>
      <c r="X777" s="7"/>
    </row>
    <row r="778" ht="43.5" customHeight="1">
      <c r="O778" s="7"/>
      <c r="P778" s="7"/>
      <c r="Q778" s="7"/>
      <c r="V778" s="7"/>
      <c r="W778" s="7"/>
      <c r="X778" s="7"/>
    </row>
    <row r="779" ht="43.5" customHeight="1">
      <c r="O779" s="7"/>
      <c r="P779" s="7"/>
      <c r="Q779" s="7"/>
      <c r="V779" s="7"/>
      <c r="W779" s="7"/>
      <c r="X779" s="7"/>
    </row>
    <row r="780" ht="43.5" customHeight="1">
      <c r="O780" s="7"/>
      <c r="P780" s="7"/>
      <c r="Q780" s="7"/>
      <c r="V780" s="7"/>
      <c r="W780" s="7"/>
      <c r="X780" s="7"/>
    </row>
    <row r="781" ht="43.5" customHeight="1">
      <c r="O781" s="7"/>
      <c r="P781" s="7"/>
      <c r="Q781" s="7"/>
      <c r="V781" s="7"/>
      <c r="W781" s="7"/>
      <c r="X781" s="7"/>
    </row>
    <row r="782" ht="43.5" customHeight="1">
      <c r="O782" s="7"/>
      <c r="P782" s="7"/>
      <c r="Q782" s="7"/>
      <c r="V782" s="7"/>
      <c r="W782" s="7"/>
      <c r="X782" s="7"/>
    </row>
    <row r="783" ht="43.5" customHeight="1">
      <c r="O783" s="7"/>
      <c r="P783" s="7"/>
      <c r="Q783" s="7"/>
      <c r="V783" s="7"/>
      <c r="W783" s="7"/>
      <c r="X783" s="7"/>
    </row>
    <row r="784" ht="43.5" customHeight="1">
      <c r="O784" s="7"/>
      <c r="P784" s="7"/>
      <c r="Q784" s="7"/>
      <c r="V784" s="7"/>
      <c r="W784" s="7"/>
      <c r="X784" s="7"/>
    </row>
    <row r="785" ht="43.5" customHeight="1">
      <c r="O785" s="7"/>
      <c r="P785" s="7"/>
      <c r="Q785" s="7"/>
      <c r="V785" s="7"/>
      <c r="W785" s="7"/>
      <c r="X785" s="7"/>
    </row>
    <row r="786" ht="43.5" customHeight="1">
      <c r="O786" s="7"/>
      <c r="P786" s="7"/>
      <c r="Q786" s="7"/>
      <c r="V786" s="7"/>
      <c r="W786" s="7"/>
      <c r="X786" s="7"/>
    </row>
    <row r="787" ht="43.5" customHeight="1">
      <c r="O787" s="7"/>
      <c r="P787" s="7"/>
      <c r="Q787" s="7"/>
      <c r="V787" s="7"/>
      <c r="W787" s="7"/>
      <c r="X787" s="7"/>
    </row>
    <row r="788" ht="43.5" customHeight="1">
      <c r="O788" s="7"/>
      <c r="P788" s="7"/>
      <c r="Q788" s="7"/>
      <c r="V788" s="7"/>
      <c r="W788" s="7"/>
      <c r="X788" s="7"/>
    </row>
    <row r="789" ht="43.5" customHeight="1">
      <c r="O789" s="7"/>
      <c r="P789" s="7"/>
      <c r="Q789" s="7"/>
      <c r="V789" s="7"/>
      <c r="W789" s="7"/>
      <c r="X789" s="7"/>
    </row>
    <row r="790" ht="43.5" customHeight="1">
      <c r="O790" s="7"/>
      <c r="P790" s="7"/>
      <c r="Q790" s="7"/>
      <c r="V790" s="7"/>
      <c r="W790" s="7"/>
      <c r="X790" s="7"/>
    </row>
    <row r="791" ht="43.5" customHeight="1">
      <c r="O791" s="7"/>
      <c r="P791" s="7"/>
      <c r="Q791" s="7"/>
      <c r="V791" s="7"/>
      <c r="W791" s="7"/>
      <c r="X791" s="7"/>
    </row>
    <row r="792" ht="43.5" customHeight="1">
      <c r="O792" s="7"/>
      <c r="P792" s="7"/>
      <c r="Q792" s="7"/>
      <c r="V792" s="7"/>
      <c r="W792" s="7"/>
      <c r="X792" s="7"/>
    </row>
    <row r="793" ht="43.5" customHeight="1">
      <c r="O793" s="7"/>
      <c r="P793" s="7"/>
      <c r="Q793" s="7"/>
      <c r="V793" s="7"/>
      <c r="W793" s="7"/>
      <c r="X793" s="7"/>
    </row>
    <row r="794" ht="43.5" customHeight="1">
      <c r="O794" s="7"/>
      <c r="P794" s="7"/>
      <c r="Q794" s="7"/>
      <c r="V794" s="7"/>
      <c r="W794" s="7"/>
      <c r="X794" s="7"/>
    </row>
    <row r="795" ht="43.5" customHeight="1">
      <c r="O795" s="7"/>
      <c r="P795" s="7"/>
      <c r="Q795" s="7"/>
      <c r="V795" s="7"/>
      <c r="W795" s="7"/>
      <c r="X795" s="7"/>
    </row>
    <row r="796" ht="43.5" customHeight="1">
      <c r="O796" s="7"/>
      <c r="P796" s="7"/>
      <c r="Q796" s="7"/>
      <c r="V796" s="7"/>
      <c r="W796" s="7"/>
      <c r="X796" s="7"/>
    </row>
    <row r="797" ht="43.5" customHeight="1">
      <c r="O797" s="7"/>
      <c r="P797" s="7"/>
      <c r="Q797" s="7"/>
      <c r="V797" s="7"/>
      <c r="W797" s="7"/>
      <c r="X797" s="7"/>
    </row>
    <row r="798" ht="43.5" customHeight="1">
      <c r="O798" s="7"/>
      <c r="P798" s="7"/>
      <c r="Q798" s="7"/>
      <c r="V798" s="7"/>
      <c r="W798" s="7"/>
      <c r="X798" s="7"/>
    </row>
    <row r="799" ht="43.5" customHeight="1">
      <c r="O799" s="7"/>
      <c r="P799" s="7"/>
      <c r="Q799" s="7"/>
      <c r="V799" s="7"/>
      <c r="W799" s="7"/>
      <c r="X799" s="7"/>
    </row>
    <row r="800" ht="43.5" customHeight="1">
      <c r="O800" s="7"/>
      <c r="P800" s="7"/>
      <c r="Q800" s="7"/>
      <c r="V800" s="7"/>
      <c r="W800" s="7"/>
      <c r="X800" s="7"/>
    </row>
    <row r="801" ht="43.5" customHeight="1">
      <c r="O801" s="7"/>
      <c r="P801" s="7"/>
      <c r="Q801" s="7"/>
      <c r="V801" s="7"/>
      <c r="W801" s="7"/>
      <c r="X801" s="7"/>
    </row>
    <row r="802" ht="43.5" customHeight="1">
      <c r="O802" s="7"/>
      <c r="P802" s="7"/>
      <c r="Q802" s="7"/>
      <c r="V802" s="7"/>
      <c r="W802" s="7"/>
      <c r="X802" s="7"/>
    </row>
    <row r="803" ht="43.5" customHeight="1">
      <c r="O803" s="7"/>
      <c r="P803" s="7"/>
      <c r="Q803" s="7"/>
      <c r="V803" s="7"/>
      <c r="W803" s="7"/>
      <c r="X803" s="7"/>
    </row>
    <row r="804" ht="43.5" customHeight="1">
      <c r="O804" s="7"/>
      <c r="P804" s="7"/>
      <c r="Q804" s="7"/>
      <c r="V804" s="7"/>
      <c r="W804" s="7"/>
      <c r="X804" s="7"/>
    </row>
    <row r="805" ht="43.5" customHeight="1">
      <c r="O805" s="7"/>
      <c r="P805" s="7"/>
      <c r="Q805" s="7"/>
      <c r="V805" s="7"/>
      <c r="W805" s="7"/>
      <c r="X805" s="7"/>
    </row>
    <row r="806" ht="43.5" customHeight="1">
      <c r="O806" s="7"/>
      <c r="P806" s="7"/>
      <c r="Q806" s="7"/>
      <c r="V806" s="7"/>
      <c r="W806" s="7"/>
      <c r="X806" s="7"/>
    </row>
    <row r="807" ht="43.5" customHeight="1">
      <c r="O807" s="7"/>
      <c r="P807" s="7"/>
      <c r="Q807" s="7"/>
      <c r="V807" s="7"/>
      <c r="W807" s="7"/>
      <c r="X807" s="7"/>
    </row>
    <row r="808" ht="43.5" customHeight="1">
      <c r="O808" s="7"/>
      <c r="P808" s="7"/>
      <c r="Q808" s="7"/>
      <c r="V808" s="7"/>
      <c r="W808" s="7"/>
      <c r="X808" s="7"/>
    </row>
    <row r="809" ht="43.5" customHeight="1">
      <c r="O809" s="7"/>
      <c r="P809" s="7"/>
      <c r="Q809" s="7"/>
      <c r="V809" s="7"/>
      <c r="W809" s="7"/>
      <c r="X809" s="7"/>
    </row>
    <row r="810" ht="43.5" customHeight="1">
      <c r="O810" s="7"/>
      <c r="P810" s="7"/>
      <c r="Q810" s="7"/>
      <c r="V810" s="7"/>
      <c r="W810" s="7"/>
      <c r="X810" s="7"/>
    </row>
    <row r="811" ht="43.5" customHeight="1">
      <c r="O811" s="7"/>
      <c r="P811" s="7"/>
      <c r="Q811" s="7"/>
      <c r="V811" s="7"/>
      <c r="W811" s="7"/>
      <c r="X811" s="7"/>
    </row>
    <row r="812" ht="43.5" customHeight="1">
      <c r="O812" s="7"/>
      <c r="P812" s="7"/>
      <c r="Q812" s="7"/>
      <c r="V812" s="7"/>
      <c r="W812" s="7"/>
      <c r="X812" s="7"/>
    </row>
    <row r="813" ht="43.5" customHeight="1">
      <c r="O813" s="7"/>
      <c r="P813" s="7"/>
      <c r="Q813" s="7"/>
      <c r="V813" s="7"/>
      <c r="W813" s="7"/>
      <c r="X813" s="7"/>
    </row>
    <row r="814" ht="43.5" customHeight="1">
      <c r="O814" s="7"/>
      <c r="P814" s="7"/>
      <c r="Q814" s="7"/>
      <c r="V814" s="7"/>
      <c r="W814" s="7"/>
      <c r="X814" s="7"/>
    </row>
    <row r="815" ht="43.5" customHeight="1">
      <c r="O815" s="7"/>
      <c r="P815" s="7"/>
      <c r="Q815" s="7"/>
      <c r="V815" s="7"/>
      <c r="W815" s="7"/>
      <c r="X815" s="7"/>
    </row>
    <row r="816" ht="43.5" customHeight="1">
      <c r="O816" s="7"/>
      <c r="P816" s="7"/>
      <c r="Q816" s="7"/>
      <c r="V816" s="7"/>
      <c r="W816" s="7"/>
      <c r="X816" s="7"/>
    </row>
    <row r="817" ht="43.5" customHeight="1">
      <c r="O817" s="7"/>
      <c r="P817" s="7"/>
      <c r="Q817" s="7"/>
      <c r="V817" s="7"/>
      <c r="W817" s="7"/>
      <c r="X817" s="7"/>
    </row>
    <row r="818" ht="43.5" customHeight="1">
      <c r="O818" s="7"/>
      <c r="P818" s="7"/>
      <c r="Q818" s="7"/>
      <c r="V818" s="7"/>
      <c r="W818" s="7"/>
      <c r="X818" s="7"/>
    </row>
    <row r="819" ht="43.5" customHeight="1">
      <c r="O819" s="7"/>
      <c r="P819" s="7"/>
      <c r="Q819" s="7"/>
      <c r="V819" s="7"/>
      <c r="W819" s="7"/>
      <c r="X819" s="7"/>
    </row>
    <row r="820" ht="43.5" customHeight="1">
      <c r="O820" s="7"/>
      <c r="P820" s="7"/>
      <c r="Q820" s="7"/>
      <c r="V820" s="7"/>
      <c r="W820" s="7"/>
      <c r="X820" s="7"/>
    </row>
    <row r="821" ht="43.5" customHeight="1">
      <c r="O821" s="7"/>
      <c r="P821" s="7"/>
      <c r="Q821" s="7"/>
      <c r="V821" s="7"/>
      <c r="W821" s="7"/>
      <c r="X821" s="7"/>
    </row>
    <row r="822" ht="43.5" customHeight="1">
      <c r="O822" s="7"/>
      <c r="P822" s="7"/>
      <c r="Q822" s="7"/>
      <c r="V822" s="7"/>
      <c r="W822" s="7"/>
      <c r="X822" s="7"/>
    </row>
    <row r="823" ht="43.5" customHeight="1">
      <c r="O823" s="7"/>
      <c r="P823" s="7"/>
      <c r="Q823" s="7"/>
      <c r="V823" s="7"/>
      <c r="W823" s="7"/>
      <c r="X823" s="7"/>
    </row>
    <row r="824" ht="43.5" customHeight="1">
      <c r="O824" s="7"/>
      <c r="P824" s="7"/>
      <c r="Q824" s="7"/>
      <c r="V824" s="7"/>
      <c r="W824" s="7"/>
      <c r="X824" s="7"/>
    </row>
    <row r="825" ht="43.5" customHeight="1">
      <c r="O825" s="7"/>
      <c r="P825" s="7"/>
      <c r="Q825" s="7"/>
      <c r="V825" s="7"/>
      <c r="W825" s="7"/>
      <c r="X825" s="7"/>
    </row>
    <row r="826" ht="43.5" customHeight="1">
      <c r="O826" s="7"/>
      <c r="P826" s="7"/>
      <c r="Q826" s="7"/>
      <c r="V826" s="7"/>
      <c r="W826" s="7"/>
      <c r="X826" s="7"/>
    </row>
    <row r="827" ht="43.5" customHeight="1">
      <c r="O827" s="7"/>
      <c r="P827" s="7"/>
      <c r="Q827" s="7"/>
      <c r="V827" s="7"/>
      <c r="W827" s="7"/>
      <c r="X827" s="7"/>
    </row>
    <row r="828" ht="43.5" customHeight="1">
      <c r="O828" s="7"/>
      <c r="P828" s="7"/>
      <c r="Q828" s="7"/>
      <c r="V828" s="7"/>
      <c r="W828" s="7"/>
      <c r="X828" s="7"/>
    </row>
    <row r="829" ht="43.5" customHeight="1">
      <c r="O829" s="7"/>
      <c r="P829" s="7"/>
      <c r="Q829" s="7"/>
      <c r="V829" s="7"/>
      <c r="W829" s="7"/>
      <c r="X829" s="7"/>
    </row>
    <row r="830" ht="43.5" customHeight="1">
      <c r="O830" s="7"/>
      <c r="P830" s="7"/>
      <c r="Q830" s="7"/>
      <c r="V830" s="7"/>
      <c r="W830" s="7"/>
      <c r="X830" s="7"/>
    </row>
    <row r="831" ht="43.5" customHeight="1">
      <c r="O831" s="7"/>
      <c r="P831" s="7"/>
      <c r="Q831" s="7"/>
      <c r="V831" s="7"/>
      <c r="W831" s="7"/>
      <c r="X831" s="7"/>
    </row>
    <row r="832" ht="43.5" customHeight="1">
      <c r="O832" s="7"/>
      <c r="P832" s="7"/>
      <c r="Q832" s="7"/>
      <c r="V832" s="7"/>
      <c r="W832" s="7"/>
      <c r="X832" s="7"/>
    </row>
    <row r="833" ht="43.5" customHeight="1">
      <c r="O833" s="7"/>
      <c r="P833" s="7"/>
      <c r="Q833" s="7"/>
      <c r="V833" s="7"/>
      <c r="W833" s="7"/>
      <c r="X833" s="7"/>
    </row>
    <row r="834" ht="43.5" customHeight="1">
      <c r="O834" s="7"/>
      <c r="P834" s="7"/>
      <c r="Q834" s="7"/>
      <c r="V834" s="7"/>
      <c r="W834" s="7"/>
      <c r="X834" s="7"/>
    </row>
    <row r="835" ht="43.5" customHeight="1">
      <c r="O835" s="7"/>
      <c r="P835" s="7"/>
      <c r="Q835" s="7"/>
      <c r="V835" s="7"/>
      <c r="W835" s="7"/>
      <c r="X835" s="7"/>
    </row>
    <row r="836" ht="43.5" customHeight="1">
      <c r="O836" s="7"/>
      <c r="P836" s="7"/>
      <c r="Q836" s="7"/>
      <c r="V836" s="7"/>
      <c r="W836" s="7"/>
      <c r="X836" s="7"/>
    </row>
    <row r="837" ht="43.5" customHeight="1">
      <c r="O837" s="7"/>
      <c r="P837" s="7"/>
      <c r="Q837" s="7"/>
      <c r="V837" s="7"/>
      <c r="W837" s="7"/>
      <c r="X837" s="7"/>
    </row>
    <row r="838" ht="43.5" customHeight="1">
      <c r="O838" s="7"/>
      <c r="P838" s="7"/>
      <c r="Q838" s="7"/>
      <c r="V838" s="7"/>
      <c r="W838" s="7"/>
      <c r="X838" s="7"/>
    </row>
    <row r="839" ht="43.5" customHeight="1">
      <c r="O839" s="7"/>
      <c r="P839" s="7"/>
      <c r="Q839" s="7"/>
      <c r="V839" s="7"/>
      <c r="W839" s="7"/>
      <c r="X839" s="7"/>
    </row>
    <row r="840" ht="43.5" customHeight="1">
      <c r="O840" s="7"/>
      <c r="P840" s="7"/>
      <c r="Q840" s="7"/>
      <c r="V840" s="7"/>
      <c r="W840" s="7"/>
      <c r="X840" s="7"/>
    </row>
    <row r="841" ht="43.5" customHeight="1">
      <c r="O841" s="7"/>
      <c r="P841" s="7"/>
      <c r="Q841" s="7"/>
      <c r="V841" s="7"/>
      <c r="W841" s="7"/>
      <c r="X841" s="7"/>
    </row>
    <row r="842" ht="43.5" customHeight="1">
      <c r="O842" s="7"/>
      <c r="P842" s="7"/>
      <c r="Q842" s="7"/>
      <c r="V842" s="7"/>
      <c r="W842" s="7"/>
      <c r="X842" s="7"/>
    </row>
    <row r="843" ht="43.5" customHeight="1">
      <c r="O843" s="7"/>
      <c r="P843" s="7"/>
      <c r="Q843" s="7"/>
      <c r="V843" s="7"/>
      <c r="W843" s="7"/>
      <c r="X843" s="7"/>
    </row>
    <row r="844" ht="43.5" customHeight="1">
      <c r="O844" s="7"/>
      <c r="P844" s="7"/>
      <c r="Q844" s="7"/>
      <c r="V844" s="7"/>
      <c r="W844" s="7"/>
      <c r="X844" s="7"/>
    </row>
    <row r="845" ht="43.5" customHeight="1">
      <c r="O845" s="7"/>
      <c r="P845" s="7"/>
      <c r="Q845" s="7"/>
      <c r="V845" s="7"/>
      <c r="W845" s="7"/>
      <c r="X845" s="7"/>
    </row>
    <row r="846" ht="43.5" customHeight="1">
      <c r="O846" s="7"/>
      <c r="P846" s="7"/>
      <c r="Q846" s="7"/>
      <c r="V846" s="7"/>
      <c r="W846" s="7"/>
      <c r="X846" s="7"/>
    </row>
    <row r="847" ht="43.5" customHeight="1">
      <c r="O847" s="7"/>
      <c r="P847" s="7"/>
      <c r="Q847" s="7"/>
      <c r="V847" s="7"/>
      <c r="W847" s="7"/>
      <c r="X847" s="7"/>
    </row>
    <row r="848" ht="43.5" customHeight="1">
      <c r="O848" s="7"/>
      <c r="P848" s="7"/>
      <c r="Q848" s="7"/>
      <c r="V848" s="7"/>
      <c r="W848" s="7"/>
      <c r="X848" s="7"/>
    </row>
    <row r="849" ht="43.5" customHeight="1">
      <c r="O849" s="7"/>
      <c r="P849" s="7"/>
      <c r="Q849" s="7"/>
      <c r="V849" s="7"/>
      <c r="W849" s="7"/>
      <c r="X849" s="7"/>
    </row>
    <row r="850" ht="43.5" customHeight="1">
      <c r="O850" s="7"/>
      <c r="P850" s="7"/>
      <c r="Q850" s="7"/>
      <c r="V850" s="7"/>
      <c r="W850" s="7"/>
      <c r="X850" s="7"/>
    </row>
    <row r="851" ht="43.5" customHeight="1">
      <c r="O851" s="7"/>
      <c r="P851" s="7"/>
      <c r="Q851" s="7"/>
      <c r="V851" s="7"/>
      <c r="W851" s="7"/>
      <c r="X851" s="7"/>
    </row>
    <row r="852" ht="43.5" customHeight="1">
      <c r="O852" s="7"/>
      <c r="P852" s="7"/>
      <c r="Q852" s="7"/>
      <c r="V852" s="7"/>
      <c r="W852" s="7"/>
      <c r="X852" s="7"/>
    </row>
    <row r="853" ht="43.5" customHeight="1">
      <c r="O853" s="7"/>
      <c r="P853" s="7"/>
      <c r="Q853" s="7"/>
      <c r="V853" s="7"/>
      <c r="W853" s="7"/>
      <c r="X853" s="7"/>
    </row>
    <row r="854" ht="43.5" customHeight="1">
      <c r="O854" s="7"/>
      <c r="P854" s="7"/>
      <c r="Q854" s="7"/>
      <c r="V854" s="7"/>
      <c r="W854" s="7"/>
      <c r="X854" s="7"/>
    </row>
    <row r="855" ht="43.5" customHeight="1">
      <c r="O855" s="7"/>
      <c r="P855" s="7"/>
      <c r="Q855" s="7"/>
      <c r="V855" s="7"/>
      <c r="W855" s="7"/>
      <c r="X855" s="7"/>
    </row>
    <row r="856" ht="43.5" customHeight="1">
      <c r="O856" s="7"/>
      <c r="P856" s="7"/>
      <c r="Q856" s="7"/>
      <c r="V856" s="7"/>
      <c r="W856" s="7"/>
      <c r="X856" s="7"/>
    </row>
    <row r="857" ht="43.5" customHeight="1">
      <c r="O857" s="7"/>
      <c r="P857" s="7"/>
      <c r="Q857" s="7"/>
      <c r="V857" s="7"/>
      <c r="W857" s="7"/>
      <c r="X857" s="7"/>
    </row>
    <row r="858" ht="43.5" customHeight="1">
      <c r="O858" s="7"/>
      <c r="P858" s="7"/>
      <c r="Q858" s="7"/>
      <c r="V858" s="7"/>
      <c r="W858" s="7"/>
      <c r="X858" s="7"/>
    </row>
    <row r="859" ht="43.5" customHeight="1">
      <c r="O859" s="7"/>
      <c r="P859" s="7"/>
      <c r="Q859" s="7"/>
      <c r="V859" s="7"/>
      <c r="W859" s="7"/>
      <c r="X859" s="7"/>
    </row>
    <row r="860" ht="43.5" customHeight="1">
      <c r="O860" s="7"/>
      <c r="P860" s="7"/>
      <c r="Q860" s="7"/>
      <c r="V860" s="7"/>
      <c r="W860" s="7"/>
      <c r="X860" s="7"/>
    </row>
    <row r="861" ht="43.5" customHeight="1">
      <c r="O861" s="7"/>
      <c r="P861" s="7"/>
      <c r="Q861" s="7"/>
      <c r="V861" s="7"/>
      <c r="W861" s="7"/>
      <c r="X861" s="7"/>
    </row>
    <row r="862" ht="43.5" customHeight="1">
      <c r="O862" s="7"/>
      <c r="P862" s="7"/>
      <c r="Q862" s="7"/>
      <c r="V862" s="7"/>
      <c r="W862" s="7"/>
      <c r="X862" s="7"/>
    </row>
    <row r="863" ht="43.5" customHeight="1">
      <c r="O863" s="7"/>
      <c r="P863" s="7"/>
      <c r="Q863" s="7"/>
      <c r="V863" s="7"/>
      <c r="W863" s="7"/>
      <c r="X863" s="7"/>
    </row>
    <row r="864" ht="43.5" customHeight="1">
      <c r="O864" s="7"/>
      <c r="P864" s="7"/>
      <c r="Q864" s="7"/>
      <c r="V864" s="7"/>
      <c r="W864" s="7"/>
      <c r="X864" s="7"/>
    </row>
    <row r="865" ht="43.5" customHeight="1">
      <c r="O865" s="7"/>
      <c r="P865" s="7"/>
      <c r="Q865" s="7"/>
      <c r="V865" s="7"/>
      <c r="W865" s="7"/>
      <c r="X865" s="7"/>
    </row>
    <row r="866" ht="43.5" customHeight="1">
      <c r="O866" s="7"/>
      <c r="P866" s="7"/>
      <c r="Q866" s="7"/>
      <c r="V866" s="7"/>
      <c r="W866" s="7"/>
      <c r="X866" s="7"/>
    </row>
    <row r="867" ht="43.5" customHeight="1">
      <c r="O867" s="7"/>
      <c r="P867" s="7"/>
      <c r="Q867" s="7"/>
      <c r="V867" s="7"/>
      <c r="W867" s="7"/>
      <c r="X867" s="7"/>
    </row>
    <row r="868" ht="43.5" customHeight="1">
      <c r="O868" s="7"/>
      <c r="P868" s="7"/>
      <c r="Q868" s="7"/>
      <c r="V868" s="7"/>
      <c r="W868" s="7"/>
      <c r="X868" s="7"/>
    </row>
    <row r="869" ht="43.5" customHeight="1">
      <c r="O869" s="7"/>
      <c r="P869" s="7"/>
      <c r="Q869" s="7"/>
      <c r="V869" s="7"/>
      <c r="W869" s="7"/>
      <c r="X869" s="7"/>
    </row>
    <row r="870" ht="43.5" customHeight="1">
      <c r="O870" s="7"/>
      <c r="P870" s="7"/>
      <c r="Q870" s="7"/>
      <c r="V870" s="7"/>
      <c r="W870" s="7"/>
      <c r="X870" s="7"/>
    </row>
    <row r="871" ht="43.5" customHeight="1">
      <c r="O871" s="7"/>
      <c r="P871" s="7"/>
      <c r="Q871" s="7"/>
      <c r="V871" s="7"/>
      <c r="W871" s="7"/>
      <c r="X871" s="7"/>
    </row>
    <row r="872" ht="43.5" customHeight="1">
      <c r="O872" s="7"/>
      <c r="P872" s="7"/>
      <c r="Q872" s="7"/>
      <c r="V872" s="7"/>
      <c r="W872" s="7"/>
      <c r="X872" s="7"/>
    </row>
    <row r="873" ht="43.5" customHeight="1">
      <c r="O873" s="7"/>
      <c r="P873" s="7"/>
      <c r="Q873" s="7"/>
      <c r="V873" s="7"/>
      <c r="W873" s="7"/>
      <c r="X873" s="7"/>
    </row>
    <row r="874" ht="43.5" customHeight="1">
      <c r="O874" s="7"/>
      <c r="P874" s="7"/>
      <c r="Q874" s="7"/>
      <c r="V874" s="7"/>
      <c r="W874" s="7"/>
      <c r="X874" s="7"/>
    </row>
    <row r="875" ht="43.5" customHeight="1">
      <c r="O875" s="7"/>
      <c r="P875" s="7"/>
      <c r="Q875" s="7"/>
      <c r="V875" s="7"/>
      <c r="W875" s="7"/>
      <c r="X875" s="7"/>
    </row>
    <row r="876" ht="43.5" customHeight="1">
      <c r="O876" s="7"/>
      <c r="P876" s="7"/>
      <c r="Q876" s="7"/>
      <c r="V876" s="7"/>
      <c r="W876" s="7"/>
      <c r="X876" s="7"/>
    </row>
    <row r="877" ht="43.5" customHeight="1">
      <c r="O877" s="7"/>
      <c r="P877" s="7"/>
      <c r="Q877" s="7"/>
      <c r="V877" s="7"/>
      <c r="W877" s="7"/>
      <c r="X877" s="7"/>
    </row>
    <row r="878" ht="43.5" customHeight="1">
      <c r="O878" s="7"/>
      <c r="P878" s="7"/>
      <c r="Q878" s="7"/>
      <c r="V878" s="7"/>
      <c r="W878" s="7"/>
      <c r="X878" s="7"/>
    </row>
    <row r="879" ht="43.5" customHeight="1">
      <c r="O879" s="7"/>
      <c r="P879" s="7"/>
      <c r="Q879" s="7"/>
      <c r="V879" s="7"/>
      <c r="W879" s="7"/>
      <c r="X879" s="7"/>
    </row>
    <row r="880" ht="43.5" customHeight="1">
      <c r="O880" s="7"/>
      <c r="P880" s="7"/>
      <c r="Q880" s="7"/>
      <c r="V880" s="7"/>
      <c r="W880" s="7"/>
      <c r="X880" s="7"/>
    </row>
    <row r="881" ht="43.5" customHeight="1">
      <c r="O881" s="7"/>
      <c r="P881" s="7"/>
      <c r="Q881" s="7"/>
      <c r="V881" s="7"/>
      <c r="W881" s="7"/>
      <c r="X881" s="7"/>
    </row>
    <row r="882" ht="43.5" customHeight="1">
      <c r="O882" s="7"/>
      <c r="P882" s="7"/>
      <c r="Q882" s="7"/>
      <c r="V882" s="7"/>
      <c r="W882" s="7"/>
      <c r="X882" s="7"/>
    </row>
    <row r="883" ht="43.5" customHeight="1">
      <c r="O883" s="7"/>
      <c r="P883" s="7"/>
      <c r="Q883" s="7"/>
      <c r="V883" s="7"/>
      <c r="W883" s="7"/>
      <c r="X883" s="7"/>
    </row>
    <row r="884" ht="43.5" customHeight="1">
      <c r="O884" s="7"/>
      <c r="P884" s="7"/>
      <c r="Q884" s="7"/>
      <c r="V884" s="7"/>
      <c r="W884" s="7"/>
      <c r="X884" s="7"/>
    </row>
    <row r="885" ht="43.5" customHeight="1">
      <c r="O885" s="7"/>
      <c r="P885" s="7"/>
      <c r="Q885" s="7"/>
      <c r="V885" s="7"/>
      <c r="W885" s="7"/>
      <c r="X885" s="7"/>
    </row>
    <row r="886" ht="43.5" customHeight="1">
      <c r="O886" s="7"/>
      <c r="P886" s="7"/>
      <c r="Q886" s="7"/>
      <c r="V886" s="7"/>
      <c r="W886" s="7"/>
      <c r="X886" s="7"/>
    </row>
    <row r="887" ht="43.5" customHeight="1">
      <c r="O887" s="7"/>
      <c r="P887" s="7"/>
      <c r="Q887" s="7"/>
      <c r="V887" s="7"/>
      <c r="W887" s="7"/>
      <c r="X887" s="7"/>
    </row>
    <row r="888" ht="43.5" customHeight="1">
      <c r="O888" s="7"/>
      <c r="P888" s="7"/>
      <c r="Q888" s="7"/>
      <c r="V888" s="7"/>
      <c r="W888" s="7"/>
      <c r="X888" s="7"/>
    </row>
    <row r="889" ht="43.5" customHeight="1">
      <c r="O889" s="7"/>
      <c r="P889" s="7"/>
      <c r="Q889" s="7"/>
      <c r="V889" s="7"/>
      <c r="W889" s="7"/>
      <c r="X889" s="7"/>
    </row>
    <row r="890" ht="43.5" customHeight="1">
      <c r="O890" s="7"/>
      <c r="P890" s="7"/>
      <c r="Q890" s="7"/>
      <c r="V890" s="7"/>
      <c r="W890" s="7"/>
      <c r="X890" s="7"/>
    </row>
    <row r="891" ht="43.5" customHeight="1">
      <c r="O891" s="7"/>
      <c r="P891" s="7"/>
      <c r="Q891" s="7"/>
      <c r="V891" s="7"/>
      <c r="W891" s="7"/>
      <c r="X891" s="7"/>
    </row>
    <row r="892" ht="43.5" customHeight="1">
      <c r="O892" s="7"/>
      <c r="P892" s="7"/>
      <c r="Q892" s="7"/>
      <c r="V892" s="7"/>
      <c r="W892" s="7"/>
      <c r="X892" s="7"/>
    </row>
    <row r="893" ht="43.5" customHeight="1">
      <c r="O893" s="7"/>
      <c r="P893" s="7"/>
      <c r="Q893" s="7"/>
      <c r="V893" s="7"/>
      <c r="W893" s="7"/>
      <c r="X893" s="7"/>
    </row>
    <row r="894" ht="43.5" customHeight="1">
      <c r="O894" s="7"/>
      <c r="P894" s="7"/>
      <c r="Q894" s="7"/>
      <c r="V894" s="7"/>
      <c r="W894" s="7"/>
      <c r="X894" s="7"/>
    </row>
    <row r="895" ht="43.5" customHeight="1">
      <c r="O895" s="7"/>
      <c r="P895" s="7"/>
      <c r="Q895" s="7"/>
      <c r="V895" s="7"/>
      <c r="W895" s="7"/>
      <c r="X895" s="7"/>
    </row>
    <row r="896" ht="43.5" customHeight="1">
      <c r="O896" s="7"/>
      <c r="P896" s="7"/>
      <c r="Q896" s="7"/>
      <c r="V896" s="7"/>
      <c r="W896" s="7"/>
      <c r="X896" s="7"/>
    </row>
    <row r="897" ht="43.5" customHeight="1">
      <c r="O897" s="7"/>
      <c r="P897" s="7"/>
      <c r="Q897" s="7"/>
      <c r="V897" s="7"/>
      <c r="W897" s="7"/>
      <c r="X897" s="7"/>
    </row>
    <row r="898" ht="43.5" customHeight="1">
      <c r="O898" s="7"/>
      <c r="P898" s="7"/>
      <c r="Q898" s="7"/>
      <c r="V898" s="7"/>
      <c r="W898" s="7"/>
      <c r="X898" s="7"/>
    </row>
    <row r="899" ht="43.5" customHeight="1">
      <c r="O899" s="7"/>
      <c r="P899" s="7"/>
      <c r="Q899" s="7"/>
      <c r="V899" s="7"/>
      <c r="W899" s="7"/>
      <c r="X899" s="7"/>
    </row>
    <row r="900" ht="43.5" customHeight="1">
      <c r="O900" s="7"/>
      <c r="P900" s="7"/>
      <c r="Q900" s="7"/>
      <c r="V900" s="7"/>
      <c r="W900" s="7"/>
      <c r="X900" s="7"/>
    </row>
    <row r="901" ht="43.5" customHeight="1">
      <c r="O901" s="7"/>
      <c r="P901" s="7"/>
      <c r="Q901" s="7"/>
      <c r="V901" s="7"/>
      <c r="W901" s="7"/>
      <c r="X901" s="7"/>
    </row>
    <row r="902" ht="43.5" customHeight="1">
      <c r="O902" s="7"/>
      <c r="P902" s="7"/>
      <c r="Q902" s="7"/>
      <c r="V902" s="7"/>
      <c r="W902" s="7"/>
      <c r="X902" s="7"/>
    </row>
    <row r="903" ht="43.5" customHeight="1">
      <c r="O903" s="7"/>
      <c r="P903" s="7"/>
      <c r="Q903" s="7"/>
      <c r="V903" s="7"/>
      <c r="W903" s="7"/>
      <c r="X903" s="7"/>
    </row>
    <row r="904" ht="43.5" customHeight="1">
      <c r="O904" s="7"/>
      <c r="P904" s="7"/>
      <c r="Q904" s="7"/>
      <c r="V904" s="7"/>
      <c r="W904" s="7"/>
      <c r="X904" s="7"/>
    </row>
    <row r="905" ht="43.5" customHeight="1">
      <c r="O905" s="7"/>
      <c r="P905" s="7"/>
      <c r="Q905" s="7"/>
      <c r="V905" s="7"/>
      <c r="W905" s="7"/>
      <c r="X905" s="7"/>
    </row>
    <row r="906" ht="43.5" customHeight="1">
      <c r="O906" s="7"/>
      <c r="P906" s="7"/>
      <c r="Q906" s="7"/>
      <c r="V906" s="7"/>
      <c r="W906" s="7"/>
      <c r="X906" s="7"/>
    </row>
    <row r="907" ht="43.5" customHeight="1">
      <c r="O907" s="7"/>
      <c r="P907" s="7"/>
      <c r="Q907" s="7"/>
      <c r="V907" s="7"/>
      <c r="W907" s="7"/>
      <c r="X907" s="7"/>
    </row>
    <row r="908" ht="43.5" customHeight="1">
      <c r="O908" s="7"/>
      <c r="P908" s="7"/>
      <c r="Q908" s="7"/>
      <c r="V908" s="7"/>
      <c r="W908" s="7"/>
      <c r="X908" s="7"/>
    </row>
    <row r="909" ht="43.5" customHeight="1">
      <c r="O909" s="7"/>
      <c r="P909" s="7"/>
      <c r="Q909" s="7"/>
      <c r="V909" s="7"/>
      <c r="W909" s="7"/>
      <c r="X909" s="7"/>
    </row>
    <row r="910" ht="43.5" customHeight="1">
      <c r="O910" s="7"/>
      <c r="P910" s="7"/>
      <c r="Q910" s="7"/>
      <c r="V910" s="7"/>
      <c r="W910" s="7"/>
      <c r="X910" s="7"/>
    </row>
    <row r="911" ht="43.5" customHeight="1">
      <c r="O911" s="7"/>
      <c r="P911" s="7"/>
      <c r="Q911" s="7"/>
      <c r="V911" s="7"/>
      <c r="W911" s="7"/>
      <c r="X911" s="7"/>
    </row>
    <row r="912" ht="43.5" customHeight="1">
      <c r="O912" s="7"/>
      <c r="P912" s="7"/>
      <c r="Q912" s="7"/>
      <c r="V912" s="7"/>
      <c r="W912" s="7"/>
      <c r="X912" s="7"/>
    </row>
    <row r="913" ht="43.5" customHeight="1">
      <c r="O913" s="7"/>
      <c r="P913" s="7"/>
      <c r="Q913" s="7"/>
      <c r="V913" s="7"/>
      <c r="W913" s="7"/>
      <c r="X913" s="7"/>
    </row>
    <row r="914" ht="43.5" customHeight="1">
      <c r="O914" s="7"/>
      <c r="P914" s="7"/>
      <c r="Q914" s="7"/>
      <c r="V914" s="7"/>
      <c r="W914" s="7"/>
      <c r="X914" s="7"/>
    </row>
    <row r="915" ht="43.5" customHeight="1">
      <c r="O915" s="7"/>
      <c r="P915" s="7"/>
      <c r="Q915" s="7"/>
      <c r="V915" s="7"/>
      <c r="W915" s="7"/>
      <c r="X915" s="7"/>
    </row>
    <row r="916" ht="43.5" customHeight="1">
      <c r="O916" s="7"/>
      <c r="P916" s="7"/>
      <c r="Q916" s="7"/>
      <c r="V916" s="7"/>
      <c r="W916" s="7"/>
      <c r="X916" s="7"/>
    </row>
    <row r="917" ht="43.5" customHeight="1">
      <c r="O917" s="7"/>
      <c r="P917" s="7"/>
      <c r="Q917" s="7"/>
      <c r="V917" s="7"/>
      <c r="W917" s="7"/>
      <c r="X917" s="7"/>
    </row>
    <row r="918" ht="43.5" customHeight="1">
      <c r="O918" s="7"/>
      <c r="P918" s="7"/>
      <c r="Q918" s="7"/>
      <c r="V918" s="7"/>
      <c r="W918" s="7"/>
      <c r="X918" s="7"/>
    </row>
    <row r="919" ht="43.5" customHeight="1">
      <c r="O919" s="7"/>
      <c r="P919" s="7"/>
      <c r="Q919" s="7"/>
      <c r="V919" s="7"/>
      <c r="W919" s="7"/>
      <c r="X919" s="7"/>
    </row>
    <row r="920" ht="43.5" customHeight="1">
      <c r="O920" s="7"/>
      <c r="P920" s="7"/>
      <c r="Q920" s="7"/>
      <c r="V920" s="7"/>
      <c r="W920" s="7"/>
      <c r="X920" s="7"/>
    </row>
    <row r="921" ht="43.5" customHeight="1">
      <c r="O921" s="7"/>
      <c r="P921" s="7"/>
      <c r="Q921" s="7"/>
      <c r="V921" s="7"/>
      <c r="W921" s="7"/>
      <c r="X921" s="7"/>
    </row>
    <row r="922" ht="43.5" customHeight="1">
      <c r="O922" s="7"/>
      <c r="P922" s="7"/>
      <c r="Q922" s="7"/>
      <c r="V922" s="7"/>
      <c r="W922" s="7"/>
      <c r="X922" s="7"/>
    </row>
    <row r="923" ht="43.5" customHeight="1">
      <c r="O923" s="7"/>
      <c r="P923" s="7"/>
      <c r="Q923" s="7"/>
      <c r="V923" s="7"/>
      <c r="W923" s="7"/>
      <c r="X923" s="7"/>
    </row>
    <row r="924" ht="43.5" customHeight="1">
      <c r="O924" s="7"/>
      <c r="P924" s="7"/>
      <c r="Q924" s="7"/>
      <c r="V924" s="7"/>
      <c r="W924" s="7"/>
      <c r="X924" s="7"/>
    </row>
    <row r="925" ht="43.5" customHeight="1">
      <c r="O925" s="7"/>
      <c r="P925" s="7"/>
      <c r="Q925" s="7"/>
      <c r="V925" s="7"/>
      <c r="W925" s="7"/>
      <c r="X925" s="7"/>
    </row>
    <row r="926" ht="43.5" customHeight="1">
      <c r="O926" s="7"/>
      <c r="P926" s="7"/>
      <c r="Q926" s="7"/>
      <c r="V926" s="7"/>
      <c r="W926" s="7"/>
      <c r="X926" s="7"/>
    </row>
    <row r="927" ht="43.5" customHeight="1">
      <c r="O927" s="7"/>
      <c r="P927" s="7"/>
      <c r="Q927" s="7"/>
      <c r="V927" s="7"/>
      <c r="W927" s="7"/>
      <c r="X927" s="7"/>
    </row>
    <row r="928" ht="43.5" customHeight="1">
      <c r="O928" s="7"/>
      <c r="P928" s="7"/>
      <c r="Q928" s="7"/>
      <c r="V928" s="7"/>
      <c r="W928" s="7"/>
      <c r="X928" s="7"/>
    </row>
    <row r="929" ht="43.5" customHeight="1">
      <c r="O929" s="7"/>
      <c r="P929" s="7"/>
      <c r="Q929" s="7"/>
      <c r="V929" s="7"/>
      <c r="W929" s="7"/>
      <c r="X929" s="7"/>
    </row>
    <row r="930" ht="43.5" customHeight="1">
      <c r="O930" s="7"/>
      <c r="P930" s="7"/>
      <c r="Q930" s="7"/>
      <c r="V930" s="7"/>
      <c r="W930" s="7"/>
      <c r="X930" s="7"/>
    </row>
    <row r="931" ht="43.5" customHeight="1">
      <c r="O931" s="7"/>
      <c r="P931" s="7"/>
      <c r="Q931" s="7"/>
      <c r="V931" s="7"/>
      <c r="W931" s="7"/>
      <c r="X931" s="7"/>
    </row>
    <row r="932" ht="43.5" customHeight="1">
      <c r="O932" s="7"/>
      <c r="P932" s="7"/>
      <c r="Q932" s="7"/>
      <c r="V932" s="7"/>
      <c r="W932" s="7"/>
      <c r="X932" s="7"/>
    </row>
    <row r="933" ht="43.5" customHeight="1">
      <c r="O933" s="7"/>
      <c r="P933" s="7"/>
      <c r="Q933" s="7"/>
      <c r="V933" s="7"/>
      <c r="W933" s="7"/>
      <c r="X933" s="7"/>
    </row>
    <row r="934" ht="43.5" customHeight="1">
      <c r="O934" s="7"/>
      <c r="P934" s="7"/>
      <c r="Q934" s="7"/>
      <c r="V934" s="7"/>
      <c r="W934" s="7"/>
      <c r="X934" s="7"/>
    </row>
    <row r="935" ht="43.5" customHeight="1">
      <c r="O935" s="7"/>
      <c r="P935" s="7"/>
      <c r="Q935" s="7"/>
      <c r="V935" s="7"/>
      <c r="W935" s="7"/>
      <c r="X935" s="7"/>
    </row>
    <row r="936" ht="43.5" customHeight="1">
      <c r="O936" s="7"/>
      <c r="P936" s="7"/>
      <c r="Q936" s="7"/>
      <c r="V936" s="7"/>
      <c r="W936" s="7"/>
      <c r="X936" s="7"/>
    </row>
    <row r="937" ht="43.5" customHeight="1">
      <c r="O937" s="7"/>
      <c r="P937" s="7"/>
      <c r="Q937" s="7"/>
      <c r="V937" s="7"/>
      <c r="W937" s="7"/>
      <c r="X937" s="7"/>
    </row>
    <row r="938" ht="43.5" customHeight="1">
      <c r="O938" s="7"/>
      <c r="P938" s="7"/>
      <c r="Q938" s="7"/>
      <c r="V938" s="7"/>
      <c r="W938" s="7"/>
      <c r="X938" s="7"/>
    </row>
    <row r="939" ht="43.5" customHeight="1">
      <c r="O939" s="7"/>
      <c r="P939" s="7"/>
      <c r="Q939" s="7"/>
      <c r="V939" s="7"/>
      <c r="W939" s="7"/>
      <c r="X939" s="7"/>
    </row>
    <row r="940" ht="43.5" customHeight="1">
      <c r="O940" s="7"/>
      <c r="P940" s="7"/>
      <c r="Q940" s="7"/>
      <c r="V940" s="7"/>
      <c r="W940" s="7"/>
      <c r="X940" s="7"/>
    </row>
    <row r="941" ht="43.5" customHeight="1">
      <c r="O941" s="7"/>
      <c r="P941" s="7"/>
      <c r="Q941" s="7"/>
      <c r="V941" s="7"/>
      <c r="W941" s="7"/>
      <c r="X941" s="7"/>
    </row>
    <row r="942" ht="43.5" customHeight="1">
      <c r="O942" s="7"/>
      <c r="P942" s="7"/>
      <c r="Q942" s="7"/>
      <c r="V942" s="7"/>
      <c r="W942" s="7"/>
      <c r="X942" s="7"/>
    </row>
    <row r="943" ht="43.5" customHeight="1">
      <c r="O943" s="7"/>
      <c r="P943" s="7"/>
      <c r="Q943" s="7"/>
      <c r="V943" s="7"/>
      <c r="W943" s="7"/>
      <c r="X943" s="7"/>
    </row>
    <row r="944" ht="43.5" customHeight="1">
      <c r="O944" s="7"/>
      <c r="P944" s="7"/>
      <c r="Q944" s="7"/>
      <c r="V944" s="7"/>
      <c r="W944" s="7"/>
      <c r="X944" s="7"/>
    </row>
    <row r="945" ht="43.5" customHeight="1">
      <c r="O945" s="7"/>
      <c r="P945" s="7"/>
      <c r="Q945" s="7"/>
      <c r="V945" s="7"/>
      <c r="W945" s="7"/>
      <c r="X945" s="7"/>
    </row>
    <row r="946" ht="43.5" customHeight="1">
      <c r="O946" s="7"/>
      <c r="P946" s="7"/>
      <c r="Q946" s="7"/>
      <c r="V946" s="7"/>
      <c r="W946" s="7"/>
      <c r="X946" s="7"/>
    </row>
    <row r="947" ht="43.5" customHeight="1">
      <c r="O947" s="7"/>
      <c r="P947" s="7"/>
      <c r="Q947" s="7"/>
      <c r="V947" s="7"/>
      <c r="W947" s="7"/>
      <c r="X947" s="7"/>
    </row>
    <row r="948" ht="43.5" customHeight="1">
      <c r="O948" s="7"/>
      <c r="P948" s="7"/>
      <c r="Q948" s="7"/>
      <c r="V948" s="7"/>
      <c r="W948" s="7"/>
      <c r="X948" s="7"/>
    </row>
    <row r="949" ht="43.5" customHeight="1">
      <c r="O949" s="7"/>
      <c r="P949" s="7"/>
      <c r="Q949" s="7"/>
      <c r="V949" s="7"/>
      <c r="W949" s="7"/>
      <c r="X949" s="7"/>
    </row>
    <row r="950" ht="43.5" customHeight="1">
      <c r="O950" s="7"/>
      <c r="P950" s="7"/>
      <c r="Q950" s="7"/>
      <c r="V950" s="7"/>
      <c r="W950" s="7"/>
      <c r="X950" s="7"/>
    </row>
    <row r="951" ht="43.5" customHeight="1">
      <c r="O951" s="7"/>
      <c r="P951" s="7"/>
      <c r="Q951" s="7"/>
      <c r="V951" s="7"/>
      <c r="W951" s="7"/>
      <c r="X951" s="7"/>
    </row>
    <row r="952" ht="43.5" customHeight="1">
      <c r="O952" s="7"/>
      <c r="P952" s="7"/>
      <c r="Q952" s="7"/>
      <c r="V952" s="7"/>
      <c r="W952" s="7"/>
      <c r="X952" s="7"/>
    </row>
    <row r="953" ht="43.5" customHeight="1">
      <c r="O953" s="7"/>
      <c r="P953" s="7"/>
      <c r="Q953" s="7"/>
      <c r="V953" s="7"/>
      <c r="W953" s="7"/>
      <c r="X953" s="7"/>
    </row>
    <row r="954" ht="43.5" customHeight="1">
      <c r="O954" s="7"/>
      <c r="P954" s="7"/>
      <c r="Q954" s="7"/>
      <c r="V954" s="7"/>
      <c r="W954" s="7"/>
      <c r="X954" s="7"/>
    </row>
    <row r="955" ht="43.5" customHeight="1">
      <c r="O955" s="7"/>
      <c r="P955" s="7"/>
      <c r="Q955" s="7"/>
      <c r="V955" s="7"/>
      <c r="W955" s="7"/>
      <c r="X955" s="7"/>
    </row>
    <row r="956" ht="43.5" customHeight="1">
      <c r="O956" s="7"/>
      <c r="P956" s="7"/>
      <c r="Q956" s="7"/>
      <c r="V956" s="7"/>
      <c r="W956" s="7"/>
      <c r="X956" s="7"/>
    </row>
    <row r="957" ht="43.5" customHeight="1">
      <c r="O957" s="7"/>
      <c r="P957" s="7"/>
      <c r="Q957" s="7"/>
      <c r="V957" s="7"/>
      <c r="W957" s="7"/>
      <c r="X957" s="7"/>
    </row>
    <row r="958" ht="43.5" customHeight="1">
      <c r="O958" s="7"/>
      <c r="P958" s="7"/>
      <c r="Q958" s="7"/>
      <c r="V958" s="7"/>
      <c r="W958" s="7"/>
      <c r="X958" s="7"/>
    </row>
    <row r="959" ht="43.5" customHeight="1">
      <c r="O959" s="7"/>
      <c r="P959" s="7"/>
      <c r="Q959" s="7"/>
      <c r="V959" s="7"/>
      <c r="W959" s="7"/>
      <c r="X959" s="7"/>
    </row>
    <row r="960" ht="43.5" customHeight="1">
      <c r="O960" s="7"/>
      <c r="P960" s="7"/>
      <c r="Q960" s="7"/>
      <c r="V960" s="7"/>
      <c r="W960" s="7"/>
      <c r="X960" s="7"/>
    </row>
    <row r="961" ht="43.5" customHeight="1">
      <c r="O961" s="7"/>
      <c r="P961" s="7"/>
      <c r="Q961" s="7"/>
      <c r="V961" s="7"/>
      <c r="W961" s="7"/>
      <c r="X961" s="7"/>
    </row>
    <row r="962" ht="43.5" customHeight="1">
      <c r="O962" s="7"/>
      <c r="P962" s="7"/>
      <c r="Q962" s="7"/>
      <c r="V962" s="7"/>
      <c r="W962" s="7"/>
      <c r="X962" s="7"/>
    </row>
    <row r="963" ht="43.5" customHeight="1">
      <c r="O963" s="7"/>
      <c r="P963" s="7"/>
      <c r="Q963" s="7"/>
      <c r="V963" s="7"/>
      <c r="W963" s="7"/>
      <c r="X963" s="7"/>
    </row>
    <row r="964" ht="43.5" customHeight="1">
      <c r="O964" s="7"/>
      <c r="P964" s="7"/>
      <c r="Q964" s="7"/>
      <c r="V964" s="7"/>
      <c r="W964" s="7"/>
      <c r="X964" s="7"/>
    </row>
    <row r="965" ht="43.5" customHeight="1">
      <c r="O965" s="7"/>
      <c r="P965" s="7"/>
      <c r="Q965" s="7"/>
      <c r="V965" s="7"/>
      <c r="W965" s="7"/>
      <c r="X965" s="7"/>
    </row>
    <row r="966" ht="43.5" customHeight="1">
      <c r="O966" s="7"/>
      <c r="P966" s="7"/>
      <c r="Q966" s="7"/>
      <c r="V966" s="7"/>
      <c r="W966" s="7"/>
      <c r="X966" s="7"/>
    </row>
    <row r="967" ht="43.5" customHeight="1">
      <c r="O967" s="7"/>
      <c r="P967" s="7"/>
      <c r="Q967" s="7"/>
      <c r="V967" s="7"/>
      <c r="W967" s="7"/>
      <c r="X967" s="7"/>
    </row>
    <row r="968" ht="43.5" customHeight="1">
      <c r="O968" s="7"/>
      <c r="P968" s="7"/>
      <c r="Q968" s="7"/>
      <c r="V968" s="7"/>
      <c r="W968" s="7"/>
      <c r="X968" s="7"/>
    </row>
    <row r="969" ht="43.5" customHeight="1">
      <c r="O969" s="7"/>
      <c r="P969" s="7"/>
      <c r="Q969" s="7"/>
      <c r="V969" s="7"/>
      <c r="W969" s="7"/>
      <c r="X969" s="7"/>
    </row>
    <row r="970" ht="43.5" customHeight="1">
      <c r="O970" s="7"/>
      <c r="P970" s="7"/>
      <c r="Q970" s="7"/>
      <c r="V970" s="7"/>
      <c r="W970" s="7"/>
      <c r="X970" s="7"/>
    </row>
    <row r="971" ht="43.5" customHeight="1">
      <c r="O971" s="7"/>
      <c r="P971" s="7"/>
      <c r="Q971" s="7"/>
      <c r="V971" s="7"/>
      <c r="W971" s="7"/>
      <c r="X971" s="7"/>
    </row>
    <row r="972" ht="43.5" customHeight="1">
      <c r="O972" s="7"/>
      <c r="P972" s="7"/>
      <c r="Q972" s="7"/>
      <c r="V972" s="7"/>
      <c r="W972" s="7"/>
      <c r="X972" s="7"/>
    </row>
    <row r="973" ht="43.5" customHeight="1">
      <c r="O973" s="7"/>
      <c r="P973" s="7"/>
      <c r="Q973" s="7"/>
      <c r="V973" s="7"/>
      <c r="W973" s="7"/>
      <c r="X973" s="7"/>
    </row>
    <row r="974" ht="43.5" customHeight="1">
      <c r="O974" s="7"/>
      <c r="P974" s="7"/>
      <c r="Q974" s="7"/>
      <c r="V974" s="7"/>
      <c r="W974" s="7"/>
      <c r="X974" s="7"/>
    </row>
    <row r="975" ht="43.5" customHeight="1">
      <c r="O975" s="7"/>
      <c r="P975" s="7"/>
      <c r="Q975" s="7"/>
      <c r="V975" s="7"/>
      <c r="W975" s="7"/>
      <c r="X975" s="7"/>
    </row>
    <row r="976" ht="43.5" customHeight="1">
      <c r="O976" s="7"/>
      <c r="P976" s="7"/>
      <c r="Q976" s="7"/>
      <c r="V976" s="7"/>
      <c r="W976" s="7"/>
      <c r="X976" s="7"/>
    </row>
    <row r="977" ht="43.5" customHeight="1">
      <c r="O977" s="7"/>
      <c r="P977" s="7"/>
      <c r="Q977" s="7"/>
      <c r="V977" s="7"/>
      <c r="W977" s="7"/>
      <c r="X977" s="7"/>
    </row>
    <row r="978" ht="43.5" customHeight="1">
      <c r="O978" s="7"/>
      <c r="P978" s="7"/>
      <c r="Q978" s="7"/>
      <c r="V978" s="7"/>
      <c r="W978" s="7"/>
      <c r="X978" s="7"/>
    </row>
    <row r="979" ht="43.5" customHeight="1">
      <c r="O979" s="7"/>
      <c r="P979" s="7"/>
      <c r="Q979" s="7"/>
      <c r="V979" s="7"/>
      <c r="W979" s="7"/>
      <c r="X979" s="7"/>
    </row>
    <row r="980" ht="43.5" customHeight="1">
      <c r="O980" s="7"/>
      <c r="P980" s="7"/>
      <c r="Q980" s="7"/>
      <c r="V980" s="7"/>
      <c r="W980" s="7"/>
      <c r="X980" s="7"/>
    </row>
    <row r="981" ht="43.5" customHeight="1">
      <c r="O981" s="7"/>
      <c r="P981" s="7"/>
      <c r="Q981" s="7"/>
      <c r="V981" s="7"/>
      <c r="W981" s="7"/>
      <c r="X981" s="7"/>
    </row>
    <row r="982" ht="43.5" customHeight="1">
      <c r="O982" s="7"/>
      <c r="P982" s="7"/>
      <c r="Q982" s="7"/>
      <c r="V982" s="7"/>
      <c r="W982" s="7"/>
      <c r="X982" s="7"/>
    </row>
    <row r="983" ht="43.5" customHeight="1">
      <c r="O983" s="7"/>
      <c r="P983" s="7"/>
      <c r="Q983" s="7"/>
      <c r="V983" s="7"/>
      <c r="W983" s="7"/>
      <c r="X983" s="7"/>
    </row>
    <row r="984" ht="43.5" customHeight="1">
      <c r="O984" s="7"/>
      <c r="P984" s="7"/>
      <c r="Q984" s="7"/>
      <c r="V984" s="7"/>
      <c r="W984" s="7"/>
      <c r="X984" s="7"/>
    </row>
    <row r="985" ht="43.5" customHeight="1">
      <c r="O985" s="7"/>
      <c r="P985" s="7"/>
      <c r="Q985" s="7"/>
      <c r="V985" s="7"/>
      <c r="W985" s="7"/>
      <c r="X985" s="7"/>
    </row>
    <row r="986" ht="43.5" customHeight="1">
      <c r="O986" s="7"/>
      <c r="P986" s="7"/>
      <c r="Q986" s="7"/>
      <c r="V986" s="7"/>
      <c r="W986" s="7"/>
      <c r="X986" s="7"/>
    </row>
    <row r="987" ht="43.5" customHeight="1">
      <c r="O987" s="7"/>
      <c r="P987" s="7"/>
      <c r="Q987" s="7"/>
      <c r="V987" s="7"/>
      <c r="W987" s="7"/>
      <c r="X987" s="7"/>
    </row>
    <row r="988" ht="43.5" customHeight="1">
      <c r="O988" s="7"/>
      <c r="P988" s="7"/>
      <c r="Q988" s="7"/>
      <c r="V988" s="7"/>
      <c r="W988" s="7"/>
      <c r="X988" s="7"/>
    </row>
    <row r="989" ht="43.5" customHeight="1">
      <c r="O989" s="7"/>
      <c r="P989" s="7"/>
      <c r="Q989" s="7"/>
      <c r="V989" s="7"/>
      <c r="W989" s="7"/>
      <c r="X989" s="7"/>
    </row>
    <row r="990" ht="43.5" customHeight="1">
      <c r="O990" s="7"/>
      <c r="P990" s="7"/>
      <c r="Q990" s="7"/>
      <c r="V990" s="7"/>
      <c r="W990" s="7"/>
      <c r="X990" s="7"/>
    </row>
    <row r="991" ht="43.5" customHeight="1">
      <c r="O991" s="7"/>
      <c r="P991" s="7"/>
      <c r="Q991" s="7"/>
      <c r="V991" s="7"/>
      <c r="W991" s="7"/>
      <c r="X991" s="7"/>
    </row>
    <row r="992" ht="43.5" customHeight="1">
      <c r="O992" s="7"/>
      <c r="P992" s="7"/>
      <c r="Q992" s="7"/>
      <c r="V992" s="7"/>
      <c r="W992" s="7"/>
      <c r="X992" s="7"/>
    </row>
    <row r="993" ht="43.5" customHeight="1">
      <c r="O993" s="7"/>
      <c r="P993" s="7"/>
      <c r="Q993" s="7"/>
      <c r="V993" s="7"/>
      <c r="W993" s="7"/>
      <c r="X993" s="7"/>
    </row>
    <row r="994" ht="43.5" customHeight="1">
      <c r="O994" s="7"/>
      <c r="P994" s="7"/>
      <c r="Q994" s="7"/>
      <c r="V994" s="7"/>
      <c r="W994" s="7"/>
      <c r="X994" s="7"/>
    </row>
    <row r="995" ht="43.5" customHeight="1">
      <c r="O995" s="7"/>
      <c r="P995" s="7"/>
      <c r="Q995" s="7"/>
      <c r="V995" s="7"/>
      <c r="W995" s="7"/>
      <c r="X995" s="7"/>
    </row>
    <row r="996" ht="43.5" customHeight="1">
      <c r="O996" s="7"/>
      <c r="P996" s="7"/>
      <c r="Q996" s="7"/>
      <c r="V996" s="7"/>
      <c r="W996" s="7"/>
      <c r="X996" s="7"/>
    </row>
    <row r="997" ht="43.5" customHeight="1">
      <c r="O997" s="7"/>
      <c r="P997" s="7"/>
      <c r="Q997" s="7"/>
      <c r="V997" s="7"/>
      <c r="W997" s="7"/>
      <c r="X997" s="7"/>
    </row>
    <row r="998" ht="43.5" customHeight="1">
      <c r="O998" s="7"/>
      <c r="P998" s="7"/>
      <c r="Q998" s="7"/>
      <c r="V998" s="7"/>
      <c r="W998" s="7"/>
      <c r="X998" s="7"/>
    </row>
    <row r="999" ht="43.5" customHeight="1">
      <c r="O999" s="7"/>
      <c r="P999" s="7"/>
      <c r="Q999" s="7"/>
      <c r="V999" s="7"/>
      <c r="W999" s="7"/>
      <c r="X999" s="7"/>
    </row>
    <row r="1000" ht="43.5" customHeight="1">
      <c r="O1000" s="7"/>
      <c r="P1000" s="7"/>
      <c r="Q1000" s="7"/>
      <c r="V1000" s="7"/>
      <c r="W1000" s="7"/>
      <c r="X1000" s="7"/>
    </row>
  </sheetData>
  <mergeCells count="6">
    <mergeCell ref="A1:B1"/>
    <mergeCell ref="G2:J2"/>
    <mergeCell ref="K2:N2"/>
    <mergeCell ref="O2:Q2"/>
    <mergeCell ref="R2:U2"/>
    <mergeCell ref="V2:X2"/>
  </mergeCells>
  <conditionalFormatting sqref="D1 D3:D4 D10:D1000">
    <cfRule type="cellIs" dxfId="0" priority="1" operator="lessThan">
      <formula>0.25</formula>
    </cfRule>
  </conditionalFormatting>
  <conditionalFormatting sqref="D1 D3:D4 D10:D1000">
    <cfRule type="cellIs" dxfId="1" priority="2" operator="greaterThan">
      <formula>0.3</formula>
    </cfRule>
  </conditionalFormatting>
  <conditionalFormatting sqref="H4">
    <cfRule type="cellIs" dxfId="0" priority="3" operator="lessThan">
      <formula>0.25</formula>
    </cfRule>
  </conditionalFormatting>
  <conditionalFormatting sqref="H4">
    <cfRule type="cellIs" dxfId="1" priority="4" operator="greaterThan">
      <formula>0.3</formula>
    </cfRule>
  </conditionalFormatting>
  <conditionalFormatting sqref="L4">
    <cfRule type="cellIs" dxfId="0" priority="5" operator="lessThan">
      <formula>0.25</formula>
    </cfRule>
  </conditionalFormatting>
  <conditionalFormatting sqref="L4">
    <cfRule type="cellIs" dxfId="1" priority="6" operator="greaterThan">
      <formula>0.3</formula>
    </cfRule>
  </conditionalFormatting>
  <conditionalFormatting sqref="S4">
    <cfRule type="cellIs" dxfId="0" priority="7" operator="lessThan">
      <formula>0.25</formula>
    </cfRule>
  </conditionalFormatting>
  <conditionalFormatting sqref="S4">
    <cfRule type="cellIs" dxfId="1" priority="8" operator="greaterThan">
      <formula>0.3</formula>
    </cfRule>
  </conditionalFormatting>
  <dataValidations>
    <dataValidation type="list" allowBlank="1" showErrorMessage="1" sqref="AO5:AO65">
      <formula1>$B$2</formula1>
    </dataValidation>
    <dataValidation type="list" allowBlank="1" showErrorMessage="1" sqref="B2">
      <formula1>$AO$5:$AO$65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2.63" defaultRowHeight="15.75"/>
  <cols>
    <col customWidth="1" min="1" max="1" width="37.5"/>
    <col customWidth="1" min="2" max="2" width="15.0"/>
    <col customWidth="1" min="3" max="3" width="8.25"/>
    <col customWidth="1" min="4" max="4" width="15.0"/>
    <col customWidth="1" min="5" max="5" width="8.25"/>
    <col customWidth="1" min="6" max="6" width="15.0"/>
    <col customWidth="1" min="7" max="7" width="8.25"/>
    <col customWidth="1" min="8" max="8" width="15.0"/>
    <col customWidth="1" min="9" max="9" width="8.25"/>
    <col customWidth="1" min="10" max="10" width="11.63"/>
    <col customWidth="1" min="11" max="11" width="7.63"/>
    <col customWidth="1" min="12" max="12" width="19.25"/>
    <col customWidth="1" min="13" max="13" width="18.63"/>
    <col customWidth="1" min="14" max="26" width="7.63"/>
  </cols>
  <sheetData>
    <row r="1" ht="14.25" customHeight="1">
      <c r="A1" s="3" t="s">
        <v>0</v>
      </c>
      <c r="J1" s="4"/>
    </row>
    <row r="2" ht="14.25" customHeight="1">
      <c r="A2" s="5" t="str">
        <f>+Summary!B2</f>
        <v>Week Ending 07/26/2026</v>
      </c>
      <c r="J2" s="4"/>
    </row>
    <row r="3" ht="14.25" customHeight="1">
      <c r="A3" s="6" t="s">
        <v>5</v>
      </c>
      <c r="J3" s="4"/>
    </row>
    <row r="4" ht="14.25" customHeight="1">
      <c r="B4" s="9" t="s">
        <v>7</v>
      </c>
      <c r="D4" s="9" t="s">
        <v>10</v>
      </c>
      <c r="F4" s="9" t="s">
        <v>12</v>
      </c>
      <c r="H4" s="9" t="s">
        <v>5</v>
      </c>
      <c r="J4" s="9" t="s">
        <v>15</v>
      </c>
    </row>
    <row r="5" ht="18.0" customHeight="1">
      <c r="A5" s="10" t="s">
        <v>17</v>
      </c>
      <c r="B5" s="11"/>
      <c r="C5" s="13"/>
      <c r="D5" s="11"/>
      <c r="E5" s="13"/>
      <c r="F5" s="11"/>
      <c r="G5" s="13"/>
      <c r="H5" s="11"/>
      <c r="I5" s="13"/>
      <c r="J5" s="4"/>
    </row>
    <row r="6" ht="16.5" hidden="1" customHeight="1">
      <c r="A6" s="16" t="s">
        <v>29</v>
      </c>
      <c r="B6" s="22" t="str">
        <f t="shared" ref="B6:B16" si="1">INDEX(INDIRECT("'"&amp;B$4&amp;"'!$1:$1048576"),MATCH($A6,INDIRECT("'"&amp;B$4&amp;"'!$A:$A"),0),MATCH($A$2,INDIRECT("'"&amp;B$4&amp;"'!$5:$5"),0))</f>
        <v>#N/A</v>
      </c>
      <c r="C6" s="23" t="str">
        <f>IFERROR(B6/B16, "NA")</f>
        <v>NA</v>
      </c>
      <c r="D6" s="22" t="str">
        <f t="shared" ref="D6:D16" si="2">INDEX(INDIRECT("'"&amp;D$4&amp;"'!$1:$1048576"),MATCH($A6,INDIRECT("'"&amp;D$4&amp;"'!$A:$A"),0),MATCH($A$2,INDIRECT("'"&amp;D$4&amp;"'!$5:$5"),0))</f>
        <v>#N/A</v>
      </c>
      <c r="E6" s="23" t="str">
        <f>IFERROR(D6/D16, "NA")</f>
        <v>NA</v>
      </c>
      <c r="F6" s="22" t="str">
        <f t="shared" ref="F6:F16" si="3">INDEX(INDIRECT("'"&amp;F$4&amp;"'!$1:$1048576"),MATCH($A6,INDIRECT("'"&amp;F$4&amp;"'!$A:$A"),0),MATCH($A$2,INDIRECT("'"&amp;F$4&amp;"'!$5:$5"),0))</f>
        <v>#N/A</v>
      </c>
      <c r="G6" s="23" t="str">
        <f>IFERROR(F6/F16, "NA")</f>
        <v>NA</v>
      </c>
      <c r="H6" s="22" t="str">
        <f t="shared" ref="H6:H16" si="4">INDEX(INDIRECT("'"&amp;H$4&amp;"'!$1:$1048576"),MATCH($A6,INDIRECT("'"&amp;H$4&amp;"'!$A:$A"),0),MATCH($A$2,INDIRECT("'"&amp;H$4&amp;"'!$5:$5"),0))</f>
        <v>#N/A</v>
      </c>
      <c r="I6" s="23" t="str">
        <f>IFERROR(H6/H16, "NA")</f>
        <v>NA</v>
      </c>
      <c r="J6" s="22" t="str">
        <f t="shared" ref="J6:J15" si="5">+H6+F6+D6+B6+#REF!</f>
        <v>#N/A</v>
      </c>
      <c r="K6" s="23" t="str">
        <f>IFERROR(J6/J16, "NA")</f>
        <v>NA</v>
      </c>
      <c r="M6" s="51"/>
    </row>
    <row r="7" ht="16.5" hidden="1" customHeight="1">
      <c r="A7" s="16" t="s">
        <v>50</v>
      </c>
      <c r="B7" s="22" t="str">
        <f t="shared" si="1"/>
        <v>#N/A</v>
      </c>
      <c r="C7" s="23" t="str">
        <f>IFERROR(B7/B16, "NA")</f>
        <v>NA</v>
      </c>
      <c r="D7" s="22" t="str">
        <f t="shared" si="2"/>
        <v>#N/A</v>
      </c>
      <c r="E7" s="23" t="str">
        <f>IFERROR(D7/D16, "NA")</f>
        <v>NA</v>
      </c>
      <c r="F7" s="22" t="str">
        <f t="shared" si="3"/>
        <v>#N/A</v>
      </c>
      <c r="G7" s="23" t="str">
        <f>IFERROR(F7/F16, "NA")</f>
        <v>NA</v>
      </c>
      <c r="H7" s="22" t="str">
        <f t="shared" si="4"/>
        <v>#N/A</v>
      </c>
      <c r="I7" s="23" t="str">
        <f>IFERROR(H7/H16, "NA")</f>
        <v>NA</v>
      </c>
      <c r="J7" s="22" t="str">
        <f t="shared" si="5"/>
        <v>#N/A</v>
      </c>
      <c r="K7" s="23" t="str">
        <f>IFERROR(J7/J16, "NA")</f>
        <v>NA</v>
      </c>
    </row>
    <row r="8" ht="16.5" hidden="1" customHeight="1">
      <c r="A8" s="16" t="s">
        <v>55</v>
      </c>
      <c r="B8" s="22" t="str">
        <f t="shared" si="1"/>
        <v>#N/A</v>
      </c>
      <c r="C8" s="23" t="str">
        <f>IFERROR(B8/B16, "NA")</f>
        <v>NA</v>
      </c>
      <c r="D8" s="22" t="str">
        <f t="shared" si="2"/>
        <v>#N/A</v>
      </c>
      <c r="E8" s="23" t="str">
        <f>IFERROR(D8/D16, "NA")</f>
        <v>NA</v>
      </c>
      <c r="F8" s="22" t="str">
        <f t="shared" si="3"/>
        <v>#N/A</v>
      </c>
      <c r="G8" s="23" t="str">
        <f>IFERROR(F8/F16, "NA")</f>
        <v>NA</v>
      </c>
      <c r="H8" s="22" t="str">
        <f t="shared" si="4"/>
        <v>#N/A</v>
      </c>
      <c r="I8" s="23" t="str">
        <f>IFERROR(H8/H16, "NA")</f>
        <v>NA</v>
      </c>
      <c r="J8" s="22" t="str">
        <f t="shared" si="5"/>
        <v>#N/A</v>
      </c>
      <c r="K8" s="23" t="str">
        <f>IFERROR(J8/J16, "NA")</f>
        <v>NA</v>
      </c>
    </row>
    <row r="9" ht="16.5" hidden="1" customHeight="1">
      <c r="A9" s="16" t="s">
        <v>56</v>
      </c>
      <c r="B9" s="22" t="str">
        <f t="shared" si="1"/>
        <v>#N/A</v>
      </c>
      <c r="C9" s="23" t="str">
        <f>IFERROR(B9/B16, "NA")</f>
        <v>NA</v>
      </c>
      <c r="D9" s="22" t="str">
        <f t="shared" si="2"/>
        <v>#N/A</v>
      </c>
      <c r="E9" s="23" t="str">
        <f>IFERROR(D9/D16, "NA")</f>
        <v>NA</v>
      </c>
      <c r="F9" s="22" t="str">
        <f t="shared" si="3"/>
        <v>#N/A</v>
      </c>
      <c r="G9" s="23" t="str">
        <f>IFERROR(F9/F16, "NA")</f>
        <v>NA</v>
      </c>
      <c r="H9" s="22" t="str">
        <f t="shared" si="4"/>
        <v>#N/A</v>
      </c>
      <c r="I9" s="23" t="str">
        <f>IFERROR(H9/H16, "NA")</f>
        <v>NA</v>
      </c>
      <c r="J9" s="22" t="str">
        <f t="shared" si="5"/>
        <v>#N/A</v>
      </c>
      <c r="K9" s="23" t="str">
        <f>IFERROR(J9/J16, "NA")</f>
        <v>NA</v>
      </c>
    </row>
    <row r="10" ht="16.5" hidden="1" customHeight="1">
      <c r="A10" s="16" t="s">
        <v>58</v>
      </c>
      <c r="B10" s="22" t="str">
        <f t="shared" si="1"/>
        <v>#N/A</v>
      </c>
      <c r="C10" s="23" t="str">
        <f>IFERROR(B10/B16, "NA")</f>
        <v>NA</v>
      </c>
      <c r="D10" s="22" t="str">
        <f t="shared" si="2"/>
        <v>#N/A</v>
      </c>
      <c r="E10" s="23" t="str">
        <f>IFERROR(D10/D16, "NA")</f>
        <v>NA</v>
      </c>
      <c r="F10" s="22" t="str">
        <f t="shared" si="3"/>
        <v>#N/A</v>
      </c>
      <c r="G10" s="23" t="str">
        <f>IFERROR(F10/F16, "NA")</f>
        <v>NA</v>
      </c>
      <c r="H10" s="22" t="str">
        <f t="shared" si="4"/>
        <v>#N/A</v>
      </c>
      <c r="I10" s="23" t="str">
        <f>IFERROR(H10/H16, "NA")</f>
        <v>NA</v>
      </c>
      <c r="J10" s="22" t="str">
        <f t="shared" si="5"/>
        <v>#N/A</v>
      </c>
      <c r="K10" s="23" t="str">
        <f>IFERROR(J10/J16, "NA")</f>
        <v>NA</v>
      </c>
    </row>
    <row r="11" ht="16.5" hidden="1" customHeight="1">
      <c r="A11" s="16" t="s">
        <v>59</v>
      </c>
      <c r="B11" s="22" t="str">
        <f t="shared" si="1"/>
        <v>#N/A</v>
      </c>
      <c r="C11" s="23" t="str">
        <f>IFERROR(B11/B16, "NA")</f>
        <v>NA</v>
      </c>
      <c r="D11" s="22" t="str">
        <f t="shared" si="2"/>
        <v>#N/A</v>
      </c>
      <c r="E11" s="23" t="str">
        <f>IFERROR(D11/D16, "NA")</f>
        <v>NA</v>
      </c>
      <c r="F11" s="22" t="str">
        <f t="shared" si="3"/>
        <v>#N/A</v>
      </c>
      <c r="G11" s="23" t="str">
        <f>IFERROR(F11/F16, "NA")</f>
        <v>NA</v>
      </c>
      <c r="H11" s="22" t="str">
        <f t="shared" si="4"/>
        <v>#N/A</v>
      </c>
      <c r="I11" s="23" t="str">
        <f>IFERROR(H11/H16, "NA")</f>
        <v>NA</v>
      </c>
      <c r="J11" s="22" t="str">
        <f t="shared" si="5"/>
        <v>#N/A</v>
      </c>
      <c r="K11" s="23" t="str">
        <f>IFERROR(J11/J16, "NA")</f>
        <v>NA</v>
      </c>
    </row>
    <row r="12" ht="16.5" hidden="1" customHeight="1">
      <c r="A12" s="16" t="s">
        <v>60</v>
      </c>
      <c r="B12" s="22" t="str">
        <f t="shared" si="1"/>
        <v>#N/A</v>
      </c>
      <c r="C12" s="23" t="str">
        <f>IFERROR(B12/B16, "NA")</f>
        <v>NA</v>
      </c>
      <c r="D12" s="22" t="str">
        <f t="shared" si="2"/>
        <v>#N/A</v>
      </c>
      <c r="E12" s="23" t="str">
        <f>IFERROR(D12/D16, "NA")</f>
        <v>NA</v>
      </c>
      <c r="F12" s="22" t="str">
        <f t="shared" si="3"/>
        <v>#N/A</v>
      </c>
      <c r="G12" s="23" t="str">
        <f>IFERROR(F12/F16, "NA")</f>
        <v>NA</v>
      </c>
      <c r="H12" s="22" t="str">
        <f t="shared" si="4"/>
        <v>#N/A</v>
      </c>
      <c r="I12" s="23" t="str">
        <f>IFERROR(H12/H16, "NA")</f>
        <v>NA</v>
      </c>
      <c r="J12" s="22" t="str">
        <f t="shared" si="5"/>
        <v>#N/A</v>
      </c>
      <c r="K12" s="23" t="str">
        <f>IFERROR(J12/J16, "NA")</f>
        <v>NA</v>
      </c>
    </row>
    <row r="13" ht="16.5" hidden="1" customHeight="1">
      <c r="A13" s="16" t="s">
        <v>61</v>
      </c>
      <c r="B13" s="22" t="str">
        <f t="shared" si="1"/>
        <v>#N/A</v>
      </c>
      <c r="C13" s="23" t="str">
        <f>IFERROR(B13/B16, "NA")</f>
        <v>NA</v>
      </c>
      <c r="D13" s="22" t="str">
        <f t="shared" si="2"/>
        <v>#N/A</v>
      </c>
      <c r="E13" s="23" t="str">
        <f>IFERROR(D13/D16, "NA")</f>
        <v>NA</v>
      </c>
      <c r="F13" s="22" t="str">
        <f t="shared" si="3"/>
        <v>#N/A</v>
      </c>
      <c r="G13" s="23" t="str">
        <f>IFERROR(F13/F16, "NA")</f>
        <v>NA</v>
      </c>
      <c r="H13" s="22" t="str">
        <f t="shared" si="4"/>
        <v>#N/A</v>
      </c>
      <c r="I13" s="23" t="str">
        <f>IFERROR(H13/H16, "NA")</f>
        <v>NA</v>
      </c>
      <c r="J13" s="22" t="str">
        <f t="shared" si="5"/>
        <v>#N/A</v>
      </c>
      <c r="K13" s="23" t="str">
        <f>IFERROR(J13/J16, "NA")</f>
        <v>NA</v>
      </c>
    </row>
    <row r="14" ht="16.5" hidden="1" customHeight="1">
      <c r="A14" s="16" t="s">
        <v>62</v>
      </c>
      <c r="B14" s="22" t="str">
        <f t="shared" si="1"/>
        <v>#N/A</v>
      </c>
      <c r="C14" s="23" t="str">
        <f>IFERROR(B14/B16, "NA")</f>
        <v>NA</v>
      </c>
      <c r="D14" s="22" t="str">
        <f t="shared" si="2"/>
        <v>#N/A</v>
      </c>
      <c r="E14" s="23" t="str">
        <f>IFERROR(D14/D16, "NA")</f>
        <v>NA</v>
      </c>
      <c r="F14" s="22" t="str">
        <f t="shared" si="3"/>
        <v>#N/A</v>
      </c>
      <c r="G14" s="23" t="str">
        <f>IFERROR(F14/F16, "NA")</f>
        <v>NA</v>
      </c>
      <c r="H14" s="22" t="str">
        <f t="shared" si="4"/>
        <v>#N/A</v>
      </c>
      <c r="I14" s="23" t="str">
        <f>IFERROR(H14/H16, "NA")</f>
        <v>NA</v>
      </c>
      <c r="J14" s="22" t="str">
        <f t="shared" si="5"/>
        <v>#N/A</v>
      </c>
      <c r="K14" s="23" t="str">
        <f>IFERROR(J14/J16, "NA")</f>
        <v>NA</v>
      </c>
    </row>
    <row r="15" ht="16.5" hidden="1" customHeight="1">
      <c r="A15" s="16" t="s">
        <v>63</v>
      </c>
      <c r="B15" s="22" t="str">
        <f t="shared" si="1"/>
        <v>#N/A</v>
      </c>
      <c r="C15" s="23" t="str">
        <f>IFERROR(B15/B16, "NA")</f>
        <v>NA</v>
      </c>
      <c r="D15" s="22" t="str">
        <f t="shared" si="2"/>
        <v>#N/A</v>
      </c>
      <c r="E15" s="23" t="str">
        <f>IFERROR(D15/D16, "NA")</f>
        <v>NA</v>
      </c>
      <c r="F15" s="22" t="str">
        <f t="shared" si="3"/>
        <v>#N/A</v>
      </c>
      <c r="G15" s="23" t="str">
        <f>IFERROR(F15/F16, "NA")</f>
        <v>NA</v>
      </c>
      <c r="H15" s="22" t="str">
        <f t="shared" si="4"/>
        <v>#N/A</v>
      </c>
      <c r="I15" s="23" t="str">
        <f>IFERROR(H15/H16, "NA")</f>
        <v>NA</v>
      </c>
      <c r="J15" s="22" t="str">
        <f t="shared" si="5"/>
        <v>#N/A</v>
      </c>
      <c r="K15" s="23" t="str">
        <f>IFERROR(J15/J16, "NA")</f>
        <v>NA</v>
      </c>
    </row>
    <row r="16" ht="16.5" customHeight="1">
      <c r="A16" s="72" t="s">
        <v>51</v>
      </c>
      <c r="B16" s="73">
        <f t="shared" si="1"/>
        <v>46477.03</v>
      </c>
      <c r="C16" s="69">
        <f>IFERROR(B16/B16, "NA")</f>
        <v>1</v>
      </c>
      <c r="D16" s="73">
        <f t="shared" si="2"/>
        <v>38952.86</v>
      </c>
      <c r="E16" s="69">
        <f>IFERROR(D16/D16, "NA")</f>
        <v>1</v>
      </c>
      <c r="F16" s="73">
        <f t="shared" si="3"/>
        <v>28108.32</v>
      </c>
      <c r="G16" s="69">
        <f>IFERROR(F16/F16, "NA")</f>
        <v>1</v>
      </c>
      <c r="H16" s="73">
        <f t="shared" si="4"/>
        <v>24894.06</v>
      </c>
      <c r="I16" s="69">
        <f>IFERROR(H16/H16, "NA")</f>
        <v>1</v>
      </c>
      <c r="J16" s="73">
        <f>+H16+F16+D16+B16</f>
        <v>138432.27</v>
      </c>
      <c r="K16" s="69">
        <f>IFERROR(J16/J16, "NA")</f>
        <v>1</v>
      </c>
    </row>
    <row r="17" ht="3.75" customHeight="1">
      <c r="A17" s="79" t="s">
        <v>6</v>
      </c>
      <c r="B17" s="80"/>
      <c r="C17" s="76"/>
      <c r="D17" s="80"/>
      <c r="E17" s="76"/>
      <c r="F17" s="80"/>
      <c r="G17" s="76"/>
      <c r="H17" s="80"/>
      <c r="I17" s="76"/>
      <c r="J17" s="80"/>
      <c r="K17" s="76"/>
    </row>
    <row r="18" ht="16.5" customHeight="1">
      <c r="A18" s="10" t="s">
        <v>64</v>
      </c>
      <c r="B18" s="11"/>
      <c r="C18" s="13"/>
      <c r="D18" s="11"/>
      <c r="E18" s="13"/>
      <c r="F18" s="11"/>
      <c r="G18" s="13"/>
      <c r="H18" s="11"/>
      <c r="I18" s="13"/>
      <c r="J18" s="11"/>
      <c r="K18" s="13"/>
    </row>
    <row r="19" ht="16.5" customHeight="1">
      <c r="A19" s="10" t="s">
        <v>65</v>
      </c>
      <c r="B19" s="11"/>
      <c r="C19" s="13"/>
      <c r="D19" s="11"/>
      <c r="E19" s="13"/>
      <c r="F19" s="11"/>
      <c r="G19" s="13"/>
      <c r="H19" s="11"/>
      <c r="I19" s="13"/>
      <c r="J19" s="11"/>
      <c r="K19" s="13"/>
    </row>
    <row r="20" ht="16.5" hidden="1" customHeight="1">
      <c r="A20" s="16" t="s">
        <v>66</v>
      </c>
      <c r="B20" s="22"/>
      <c r="C20" s="23"/>
      <c r="D20" s="22"/>
      <c r="E20" s="23"/>
      <c r="F20" s="22"/>
      <c r="G20" s="23"/>
      <c r="H20" s="22"/>
      <c r="I20" s="23"/>
      <c r="J20" s="22"/>
      <c r="K20" s="23"/>
    </row>
    <row r="21" ht="16.5" customHeight="1">
      <c r="A21" s="10" t="s">
        <v>67</v>
      </c>
      <c r="B21" s="11"/>
      <c r="C21" s="13"/>
      <c r="D21" s="11"/>
      <c r="E21" s="13"/>
      <c r="F21" s="11"/>
      <c r="G21" s="13"/>
      <c r="H21" s="11"/>
      <c r="I21" s="13"/>
      <c r="J21" s="11"/>
      <c r="K21" s="13"/>
    </row>
    <row r="22" ht="16.5" hidden="1" customHeight="1">
      <c r="A22" s="16" t="s">
        <v>68</v>
      </c>
      <c r="B22" s="22">
        <f t="shared" ref="B22:B34" si="6">INDEX(INDIRECT("'"&amp;B$4&amp;"'!$1:$1048576"),MATCH($A22,INDIRECT("'"&amp;B$4&amp;"'!$A:$A"),0),MATCH($A$2,INDIRECT("'"&amp;B$4&amp;"'!$5:$5"),0))</f>
        <v>0</v>
      </c>
      <c r="C22" s="23">
        <f>IFERROR(B22/B16, "NA")</f>
        <v>0</v>
      </c>
      <c r="D22" s="22">
        <f t="shared" ref="D22:D34" si="7">INDEX(INDIRECT("'"&amp;D$4&amp;"'!$1:$1048576"),MATCH($A22,INDIRECT("'"&amp;D$4&amp;"'!$A:$A"),0),MATCH($A$2,INDIRECT("'"&amp;D$4&amp;"'!$5:$5"),0))</f>
        <v>0</v>
      </c>
      <c r="E22" s="23">
        <f>IFERROR(D22/D16, "NA")</f>
        <v>0</v>
      </c>
      <c r="F22" s="22">
        <f t="shared" ref="F22:F34" si="8">INDEX(INDIRECT("'"&amp;F$4&amp;"'!$1:$1048576"),MATCH($A22,INDIRECT("'"&amp;F$4&amp;"'!$A:$A"),0),MATCH($A$2,INDIRECT("'"&amp;F$4&amp;"'!$5:$5"),0))</f>
        <v>0</v>
      </c>
      <c r="G22" s="23">
        <f>IFERROR(F22/F16, "NA")</f>
        <v>0</v>
      </c>
      <c r="H22" s="22">
        <f t="shared" ref="H22:H34" si="9">INDEX(INDIRECT("'"&amp;H$4&amp;"'!$1:$1048576"),MATCH($A22,INDIRECT("'"&amp;H$4&amp;"'!$A:$A"),0),MATCH($A$2,INDIRECT("'"&amp;H$4&amp;"'!$5:$5"),0))</f>
        <v>0</v>
      </c>
      <c r="I22" s="23">
        <f>IFERROR(H22/H16, "NA")</f>
        <v>0</v>
      </c>
      <c r="J22" s="22"/>
      <c r="K22" s="23">
        <f>IFERROR(J22/J16, "NA")</f>
        <v>0</v>
      </c>
    </row>
    <row r="23" ht="16.5" customHeight="1">
      <c r="A23" s="16" t="s">
        <v>69</v>
      </c>
      <c r="B23" s="22">
        <f t="shared" si="6"/>
        <v>1661.85</v>
      </c>
      <c r="C23" s="23">
        <f>IFERROR(B23/B16, "NA")</f>
        <v>0.03575637256</v>
      </c>
      <c r="D23" s="22">
        <f t="shared" si="7"/>
        <v>1569.33</v>
      </c>
      <c r="E23" s="23">
        <f>IFERROR(D23/D16, "NA")</f>
        <v>0.04028792751</v>
      </c>
      <c r="F23" s="22">
        <f t="shared" si="8"/>
        <v>985.6</v>
      </c>
      <c r="G23" s="23">
        <f>IFERROR(F23/F16, "NA")</f>
        <v>0.03506435105</v>
      </c>
      <c r="H23" s="22">
        <f t="shared" si="9"/>
        <v>1128.83</v>
      </c>
      <c r="I23" s="23">
        <f>IFERROR(H23/H16, "NA")</f>
        <v>0.04534535548</v>
      </c>
      <c r="J23" s="83">
        <f t="shared" ref="J23:J34" si="10">+H23+F23+D23+B23</f>
        <v>5345.61</v>
      </c>
      <c r="K23" s="23">
        <f>IFERROR(J23/J16, "NA")</f>
        <v>0.03861534597</v>
      </c>
      <c r="L23" s="84"/>
      <c r="M23" s="85"/>
    </row>
    <row r="24" ht="16.5" customHeight="1">
      <c r="A24" s="16" t="s">
        <v>70</v>
      </c>
      <c r="B24" s="22">
        <f t="shared" si="6"/>
        <v>1102.15</v>
      </c>
      <c r="C24" s="23">
        <f>IFERROR(B24/B16, "NA")</f>
        <v>0.02371386468</v>
      </c>
      <c r="D24" s="22">
        <f t="shared" si="7"/>
        <v>783.84</v>
      </c>
      <c r="E24" s="23">
        <f>IFERROR(D24/D16, "NA")</f>
        <v>0.02012278431</v>
      </c>
      <c r="F24" s="22">
        <f t="shared" si="8"/>
        <v>664.03</v>
      </c>
      <c r="G24" s="23">
        <f>IFERROR(F24/F16, "NA")</f>
        <v>0.02362396614</v>
      </c>
      <c r="H24" s="22">
        <f t="shared" si="9"/>
        <v>574.75</v>
      </c>
      <c r="I24" s="23">
        <f>IFERROR(H24/H16, "NA")</f>
        <v>0.02308783702</v>
      </c>
      <c r="J24" s="83">
        <f t="shared" si="10"/>
        <v>3124.77</v>
      </c>
      <c r="K24" s="23">
        <f>IFERROR(J24/J16, "NA")</f>
        <v>0.0225725548</v>
      </c>
      <c r="L24" s="84"/>
      <c r="M24" s="85"/>
    </row>
    <row r="25" ht="16.5" customHeight="1">
      <c r="A25" s="16" t="s">
        <v>73</v>
      </c>
      <c r="B25" s="22">
        <f t="shared" si="6"/>
        <v>1395</v>
      </c>
      <c r="C25" s="23">
        <f>IFERROR(B25/B16, "NA")</f>
        <v>0.03001482668</v>
      </c>
      <c r="D25" s="22">
        <f t="shared" si="7"/>
        <v>1968.65</v>
      </c>
      <c r="E25" s="23">
        <f>IFERROR(D25/D16, "NA")</f>
        <v>0.05053929288</v>
      </c>
      <c r="F25" s="22">
        <f t="shared" si="8"/>
        <v>1102.24</v>
      </c>
      <c r="G25" s="23">
        <f>IFERROR(F25/F16, "NA")</f>
        <v>0.03921401208</v>
      </c>
      <c r="H25" s="22">
        <f t="shared" si="9"/>
        <v>864.7</v>
      </c>
      <c r="I25" s="23">
        <f>IFERROR(H25/H16, "NA")</f>
        <v>0.03473519386</v>
      </c>
      <c r="J25" s="83">
        <f t="shared" si="10"/>
        <v>5330.59</v>
      </c>
      <c r="K25" s="23">
        <f>IFERROR(J25/J16, "NA")</f>
        <v>0.03850684526</v>
      </c>
      <c r="L25" s="84"/>
      <c r="M25" s="85"/>
    </row>
    <row r="26" ht="16.5" customHeight="1">
      <c r="A26" s="16" t="s">
        <v>74</v>
      </c>
      <c r="B26" s="22">
        <f t="shared" si="6"/>
        <v>1073.48</v>
      </c>
      <c r="C26" s="23">
        <f>IFERROR(B26/B16, "NA")</f>
        <v>0.02309700082</v>
      </c>
      <c r="D26" s="22">
        <f t="shared" si="7"/>
        <v>752.33</v>
      </c>
      <c r="E26" s="23">
        <f>IFERROR(D26/D16, "NA")</f>
        <v>0.01931385783</v>
      </c>
      <c r="F26" s="22">
        <f t="shared" si="8"/>
        <v>522.03</v>
      </c>
      <c r="G26" s="23">
        <f>IFERROR(F26/F16, "NA")</f>
        <v>0.01857208115</v>
      </c>
      <c r="H26" s="22">
        <f t="shared" si="9"/>
        <v>477.57</v>
      </c>
      <c r="I26" s="23">
        <f>IFERROR(H26/H16, "NA")</f>
        <v>0.01918409452</v>
      </c>
      <c r="J26" s="83">
        <f t="shared" si="10"/>
        <v>2825.41</v>
      </c>
      <c r="K26" s="23">
        <f>IFERROR(J26/J16, "NA")</f>
        <v>0.02041005323</v>
      </c>
      <c r="L26" s="84"/>
      <c r="M26" s="85"/>
    </row>
    <row r="27" ht="16.5" customHeight="1">
      <c r="A27" s="16" t="s">
        <v>75</v>
      </c>
      <c r="B27" s="22">
        <f t="shared" si="6"/>
        <v>593.52</v>
      </c>
      <c r="C27" s="23">
        <f>IFERROR(B27/B16, "NA")</f>
        <v>0.01277017916</v>
      </c>
      <c r="D27" s="22">
        <f t="shared" si="7"/>
        <v>437.72</v>
      </c>
      <c r="E27" s="23">
        <f>IFERROR(D27/D16, "NA")</f>
        <v>0.01123717232</v>
      </c>
      <c r="F27" s="22">
        <f t="shared" si="8"/>
        <v>304.6</v>
      </c>
      <c r="G27" s="23">
        <f>IFERROR(F27/F16, "NA")</f>
        <v>0.01083664908</v>
      </c>
      <c r="H27" s="22">
        <f t="shared" si="9"/>
        <v>374.18</v>
      </c>
      <c r="I27" s="23">
        <f>IFERROR(H27/H16, "NA")</f>
        <v>0.01503089492</v>
      </c>
      <c r="J27" s="83">
        <f t="shared" si="10"/>
        <v>1710.02</v>
      </c>
      <c r="K27" s="23">
        <f>IFERROR(J27/J16, "NA")</f>
        <v>0.01235275561</v>
      </c>
      <c r="L27" s="84"/>
      <c r="M27" s="85"/>
    </row>
    <row r="28" ht="16.5" customHeight="1">
      <c r="A28" s="16" t="s">
        <v>76</v>
      </c>
      <c r="B28" s="22">
        <f t="shared" si="6"/>
        <v>525.52</v>
      </c>
      <c r="C28" s="23">
        <f>IFERROR(B28/B16, "NA")</f>
        <v>0.01130709084</v>
      </c>
      <c r="D28" s="22">
        <f t="shared" si="7"/>
        <v>385.34</v>
      </c>
      <c r="E28" s="23">
        <f>IFERROR(D28/D16, "NA")</f>
        <v>0.009892470027</v>
      </c>
      <c r="F28" s="22">
        <f t="shared" si="8"/>
        <v>141.19</v>
      </c>
      <c r="G28" s="23">
        <f>IFERROR(F28/F16, "NA")</f>
        <v>0.005023067903</v>
      </c>
      <c r="H28" s="22">
        <f t="shared" si="9"/>
        <v>82.32</v>
      </c>
      <c r="I28" s="23">
        <f>IFERROR(H28/H16, "NA")</f>
        <v>0.003306812951</v>
      </c>
      <c r="J28" s="83">
        <f t="shared" si="10"/>
        <v>1134.37</v>
      </c>
      <c r="K28" s="23">
        <f>IFERROR(J28/J16, "NA")</f>
        <v>0.008194404383</v>
      </c>
      <c r="L28" s="84"/>
      <c r="M28" s="85"/>
    </row>
    <row r="29" ht="16.5" customHeight="1">
      <c r="A29" s="16" t="s">
        <v>77</v>
      </c>
      <c r="B29" s="22">
        <f t="shared" si="6"/>
        <v>0</v>
      </c>
      <c r="C29" s="23">
        <f>IFERROR(B29/B16, "NA")</f>
        <v>0</v>
      </c>
      <c r="D29" s="22">
        <f t="shared" si="7"/>
        <v>0</v>
      </c>
      <c r="E29" s="23">
        <f>IFERROR(D29/D16, "NA")</f>
        <v>0</v>
      </c>
      <c r="F29" s="22">
        <f t="shared" si="8"/>
        <v>0</v>
      </c>
      <c r="G29" s="23">
        <f>IFERROR(F29/F16, "NA")</f>
        <v>0</v>
      </c>
      <c r="H29" s="22">
        <f t="shared" si="9"/>
        <v>0</v>
      </c>
      <c r="I29" s="23">
        <f>IFERROR(H29/H16, "NA")</f>
        <v>0</v>
      </c>
      <c r="J29" s="83">
        <f t="shared" si="10"/>
        <v>0</v>
      </c>
      <c r="K29" s="23">
        <f>IFERROR(J29/J16, "NA")</f>
        <v>0</v>
      </c>
      <c r="L29" s="84"/>
      <c r="M29" s="85"/>
    </row>
    <row r="30" ht="16.5" customHeight="1">
      <c r="A30" s="16" t="s">
        <v>78</v>
      </c>
      <c r="B30" s="22">
        <f t="shared" si="6"/>
        <v>261</v>
      </c>
      <c r="C30" s="23">
        <f>IFERROR(B30/B16, "NA")</f>
        <v>0.00561567725</v>
      </c>
      <c r="D30" s="22">
        <f t="shared" si="7"/>
        <v>161.16</v>
      </c>
      <c r="E30" s="23">
        <f>IFERROR(D30/D16, "NA")</f>
        <v>0.004137308531</v>
      </c>
      <c r="F30" s="22">
        <f t="shared" si="8"/>
        <v>139.55</v>
      </c>
      <c r="G30" s="23">
        <f>IFERROR(F30/F16, "NA")</f>
        <v>0.004964722189</v>
      </c>
      <c r="H30" s="22">
        <f t="shared" si="9"/>
        <v>76.66</v>
      </c>
      <c r="I30" s="23">
        <f>IFERROR(H30/H16, "NA")</f>
        <v>0.003079449475</v>
      </c>
      <c r="J30" s="83">
        <f t="shared" si="10"/>
        <v>638.37</v>
      </c>
      <c r="K30" s="23">
        <f>IFERROR(J30/J16, "NA")</f>
        <v>0.004611424778</v>
      </c>
      <c r="L30" s="84"/>
      <c r="M30" s="85"/>
    </row>
    <row r="31" ht="16.5" customHeight="1">
      <c r="A31" s="16" t="s">
        <v>79</v>
      </c>
      <c r="B31" s="22">
        <f t="shared" si="6"/>
        <v>2429.73</v>
      </c>
      <c r="C31" s="23">
        <f>IFERROR(B31/B16, "NA")</f>
        <v>0.05227808231</v>
      </c>
      <c r="D31" s="22">
        <f t="shared" si="7"/>
        <v>2122.83</v>
      </c>
      <c r="E31" s="23">
        <f>IFERROR(D31/D16, "NA")</f>
        <v>0.05449741046</v>
      </c>
      <c r="F31" s="22">
        <f t="shared" si="8"/>
        <v>1617.4</v>
      </c>
      <c r="G31" s="23">
        <f>IFERROR(F31/F16, "NA")</f>
        <v>0.05754168161</v>
      </c>
      <c r="H31" s="22">
        <f t="shared" si="9"/>
        <v>1584.58</v>
      </c>
      <c r="I31" s="23">
        <f>IFERROR(H31/H16, "NA")</f>
        <v>0.06365293568</v>
      </c>
      <c r="J31" s="83">
        <f t="shared" si="10"/>
        <v>7754.54</v>
      </c>
      <c r="K31" s="23">
        <f>IFERROR(J31/J16, "NA")</f>
        <v>0.05601685214</v>
      </c>
      <c r="L31" s="84"/>
      <c r="M31" s="85"/>
    </row>
    <row r="32" ht="16.5" hidden="1" customHeight="1">
      <c r="A32" s="16" t="s">
        <v>80</v>
      </c>
      <c r="B32" s="22">
        <f t="shared" si="6"/>
        <v>0</v>
      </c>
      <c r="C32" s="23">
        <f>IFERROR(B32/B16, "NA")</f>
        <v>0</v>
      </c>
      <c r="D32" s="22">
        <f t="shared" si="7"/>
        <v>0</v>
      </c>
      <c r="E32" s="23">
        <f>IFERROR(D32/D16, "NA")</f>
        <v>0</v>
      </c>
      <c r="F32" s="22">
        <f t="shared" si="8"/>
        <v>0</v>
      </c>
      <c r="G32" s="23">
        <f>IFERROR(F32/F16, "NA")</f>
        <v>0</v>
      </c>
      <c r="H32" s="22">
        <f t="shared" si="9"/>
        <v>0</v>
      </c>
      <c r="I32" s="23">
        <f>IFERROR(H32/H16, "NA")</f>
        <v>0</v>
      </c>
      <c r="J32" s="83">
        <f t="shared" si="10"/>
        <v>0</v>
      </c>
      <c r="K32" s="23">
        <f>IFERROR(J32/J16, "NA")</f>
        <v>0</v>
      </c>
      <c r="L32" s="84"/>
      <c r="M32" s="85"/>
    </row>
    <row r="33" ht="16.5" customHeight="1">
      <c r="A33" s="16" t="s">
        <v>81</v>
      </c>
      <c r="B33" s="22">
        <f t="shared" si="6"/>
        <v>0</v>
      </c>
      <c r="C33" s="23">
        <f>IFERROR(B33/B16, "NA")</f>
        <v>0</v>
      </c>
      <c r="D33" s="22">
        <f t="shared" si="7"/>
        <v>0</v>
      </c>
      <c r="E33" s="23">
        <f>IFERROR(D33/D16, "NA")</f>
        <v>0</v>
      </c>
      <c r="F33" s="22">
        <f t="shared" si="8"/>
        <v>0</v>
      </c>
      <c r="G33" s="23">
        <f>IFERROR(F33/F16, "NA")</f>
        <v>0</v>
      </c>
      <c r="H33" s="22">
        <f t="shared" si="9"/>
        <v>0</v>
      </c>
      <c r="I33" s="23">
        <f>IFERROR(H33/H16, "NA")</f>
        <v>0</v>
      </c>
      <c r="J33" s="83">
        <f t="shared" si="10"/>
        <v>0</v>
      </c>
      <c r="K33" s="23">
        <f>IFERROR(J33/J16, "NA")</f>
        <v>0</v>
      </c>
      <c r="L33" s="84"/>
      <c r="M33" s="85"/>
    </row>
    <row r="34" ht="16.5" customHeight="1">
      <c r="A34" s="72" t="s">
        <v>84</v>
      </c>
      <c r="B34" s="73">
        <f t="shared" si="6"/>
        <v>9042.25</v>
      </c>
      <c r="C34" s="69">
        <f>IFERROR(B34/B16, "NA")</f>
        <v>0.1945530943</v>
      </c>
      <c r="D34" s="73">
        <f t="shared" si="7"/>
        <v>8181.2</v>
      </c>
      <c r="E34" s="69">
        <f>IFERROR(D34/D16, "NA")</f>
        <v>0.2100282239</v>
      </c>
      <c r="F34" s="73">
        <f t="shared" si="8"/>
        <v>5476.64</v>
      </c>
      <c r="G34" s="69">
        <f>IFERROR(F34/F16, "NA")</f>
        <v>0.1948405312</v>
      </c>
      <c r="H34" s="73">
        <f t="shared" si="9"/>
        <v>5163.59</v>
      </c>
      <c r="I34" s="69">
        <f>IFERROR(H34/H16, "NA")</f>
        <v>0.2074225739</v>
      </c>
      <c r="J34" s="73">
        <f t="shared" si="10"/>
        <v>27863.68</v>
      </c>
      <c r="K34" s="69">
        <f>IFERROR(J34/J16, "NA")</f>
        <v>0.2012802362</v>
      </c>
      <c r="L34" s="84"/>
      <c r="M34" s="85"/>
    </row>
    <row r="35" ht="16.5" customHeight="1">
      <c r="A35" s="10" t="s">
        <v>85</v>
      </c>
      <c r="B35" s="11"/>
      <c r="C35" s="13"/>
      <c r="D35" s="11"/>
      <c r="E35" s="13"/>
      <c r="F35" s="11"/>
      <c r="G35" s="13"/>
      <c r="H35" s="11"/>
      <c r="I35" s="13"/>
      <c r="J35" s="11"/>
      <c r="K35" s="13"/>
    </row>
    <row r="36" ht="16.5" hidden="1" customHeight="1">
      <c r="A36" s="16" t="s">
        <v>86</v>
      </c>
      <c r="B36" s="22">
        <f t="shared" ref="B36:B42" si="11">INDEX(INDIRECT("'"&amp;B$4&amp;"'!$1:$1048576"),MATCH($A36,INDIRECT("'"&amp;B$4&amp;"'!$A:$A"),0),MATCH($A$2,INDIRECT("'"&amp;B$4&amp;"'!$5:$5"),0))</f>
        <v>0</v>
      </c>
      <c r="C36" s="23">
        <f>IFERROR(B36/B16, "NA")</f>
        <v>0</v>
      </c>
      <c r="D36" s="22">
        <f t="shared" ref="D36:D42" si="12">INDEX(INDIRECT("'"&amp;D$4&amp;"'!$1:$1048576"),MATCH($A36,INDIRECT("'"&amp;D$4&amp;"'!$A:$A"),0),MATCH($A$2,INDIRECT("'"&amp;D$4&amp;"'!$5:$5"),0))</f>
        <v>0</v>
      </c>
      <c r="E36" s="23">
        <f>IFERROR(D36/D16, "NA")</f>
        <v>0</v>
      </c>
      <c r="F36" s="22">
        <f t="shared" ref="F36:F42" si="13">INDEX(INDIRECT("'"&amp;F$4&amp;"'!$1:$1048576"),MATCH($A36,INDIRECT("'"&amp;F$4&amp;"'!$A:$A"),0),MATCH($A$2,INDIRECT("'"&amp;F$4&amp;"'!$5:$5"),0))</f>
        <v>0</v>
      </c>
      <c r="G36" s="23">
        <f>IFERROR(F36/F16, "NA")</f>
        <v>0</v>
      </c>
      <c r="H36" s="22">
        <f t="shared" ref="H36:H42" si="14">INDEX(INDIRECT("'"&amp;H$4&amp;"'!$1:$1048576"),MATCH($A36,INDIRECT("'"&amp;H$4&amp;"'!$A:$A"),0),MATCH($A$2,INDIRECT("'"&amp;H$4&amp;"'!$5:$5"),0))</f>
        <v>0</v>
      </c>
      <c r="I36" s="23">
        <f>IFERROR(H36/H16, "NA")</f>
        <v>0</v>
      </c>
      <c r="J36" s="22"/>
      <c r="K36" s="23">
        <f>IFERROR(J36/J16, "NA")</f>
        <v>0</v>
      </c>
    </row>
    <row r="37" ht="16.5" customHeight="1">
      <c r="A37" s="16" t="s">
        <v>87</v>
      </c>
      <c r="B37" s="22">
        <f t="shared" si="11"/>
        <v>318.64</v>
      </c>
      <c r="C37" s="23">
        <f>IFERROR(B37/B16, "NA")</f>
        <v>0.006855859766</v>
      </c>
      <c r="D37" s="22">
        <f t="shared" si="12"/>
        <v>-367.22</v>
      </c>
      <c r="E37" s="23">
        <f>IFERROR(D37/D16, "NA")</f>
        <v>-0.009427292373</v>
      </c>
      <c r="F37" s="22">
        <f t="shared" si="13"/>
        <v>314.38</v>
      </c>
      <c r="G37" s="23">
        <f>IFERROR(F37/F16, "NA")</f>
        <v>0.01118458876</v>
      </c>
      <c r="H37" s="22">
        <f t="shared" si="14"/>
        <v>291.43</v>
      </c>
      <c r="I37" s="23">
        <f>IFERROR(H37/H16, "NA")</f>
        <v>0.01170680877</v>
      </c>
      <c r="J37" s="83">
        <f t="shared" ref="J37:J42" si="15">+H37+F37+D37+B37</f>
        <v>557.23</v>
      </c>
      <c r="K37" s="23">
        <f>IFERROR(J37/J16, "NA")</f>
        <v>0.004025289768</v>
      </c>
    </row>
    <row r="38" ht="16.5" customHeight="1">
      <c r="A38" s="16" t="s">
        <v>88</v>
      </c>
      <c r="B38" s="22">
        <f t="shared" si="11"/>
        <v>17.82</v>
      </c>
      <c r="C38" s="23">
        <f>IFERROR(B38/B16, "NA")</f>
        <v>0.0003834152053</v>
      </c>
      <c r="D38" s="22">
        <f t="shared" si="12"/>
        <v>26.79</v>
      </c>
      <c r="E38" s="23">
        <f>IFERROR(D38/D16, "NA")</f>
        <v>0.000687754378</v>
      </c>
      <c r="F38" s="22">
        <f t="shared" si="13"/>
        <v>-4.87</v>
      </c>
      <c r="G38" s="23">
        <f>IFERROR(F38/F16, "NA")</f>
        <v>-0.0001732583093</v>
      </c>
      <c r="H38" s="22">
        <f t="shared" si="14"/>
        <v>9.12</v>
      </c>
      <c r="I38" s="23">
        <f>IFERROR(H38/H16, "NA")</f>
        <v>0.0003663524552</v>
      </c>
      <c r="J38" s="83">
        <f t="shared" si="15"/>
        <v>48.86</v>
      </c>
      <c r="K38" s="23">
        <f>IFERROR(J38/J16, "NA")</f>
        <v>0.000352952386</v>
      </c>
    </row>
    <row r="39" ht="16.5" customHeight="1">
      <c r="A39" s="16" t="s">
        <v>89</v>
      </c>
      <c r="B39" s="22">
        <f t="shared" si="11"/>
        <v>1.6</v>
      </c>
      <c r="C39" s="23">
        <f>IFERROR(B39/B16, "NA")</f>
        <v>0.00003442560766</v>
      </c>
      <c r="D39" s="22">
        <f t="shared" si="12"/>
        <v>0</v>
      </c>
      <c r="E39" s="23">
        <f>IFERROR(D39/D16, "NA")</f>
        <v>0</v>
      </c>
      <c r="F39" s="22">
        <f t="shared" si="13"/>
        <v>26.9</v>
      </c>
      <c r="G39" s="23">
        <f>IFERROR(F39/F16, "NA")</f>
        <v>0.0009570120164</v>
      </c>
      <c r="H39" s="22">
        <f t="shared" si="14"/>
        <v>0</v>
      </c>
      <c r="I39" s="23">
        <f>IFERROR(H39/H16, "NA")</f>
        <v>0</v>
      </c>
      <c r="J39" s="83">
        <f t="shared" si="15"/>
        <v>28.5</v>
      </c>
      <c r="K39" s="23">
        <f>IFERROR(J39/J16, "NA")</f>
        <v>0.0002058768523</v>
      </c>
    </row>
    <row r="40" ht="16.5" customHeight="1">
      <c r="A40" s="16" t="s">
        <v>90</v>
      </c>
      <c r="B40" s="22">
        <f t="shared" si="11"/>
        <v>-13.72</v>
      </c>
      <c r="C40" s="23">
        <f>IFERROR(B40/B16, "NA")</f>
        <v>-0.0002951995857</v>
      </c>
      <c r="D40" s="22">
        <f t="shared" si="12"/>
        <v>0</v>
      </c>
      <c r="E40" s="23">
        <f>IFERROR(D40/D16, "NA")</f>
        <v>0</v>
      </c>
      <c r="F40" s="22">
        <f t="shared" si="13"/>
        <v>0</v>
      </c>
      <c r="G40" s="23">
        <f>IFERROR(F40/F16, "NA")</f>
        <v>0</v>
      </c>
      <c r="H40" s="22">
        <f t="shared" si="14"/>
        <v>0</v>
      </c>
      <c r="I40" s="23">
        <f>IFERROR(H40/H16, "NA")</f>
        <v>0</v>
      </c>
      <c r="J40" s="83">
        <f t="shared" si="15"/>
        <v>-13.72</v>
      </c>
      <c r="K40" s="23">
        <f>IFERROR(J40/J16, "NA")</f>
        <v>-0.00009910983906</v>
      </c>
    </row>
    <row r="41" ht="16.5" customHeight="1">
      <c r="A41" s="72" t="s">
        <v>91</v>
      </c>
      <c r="B41" s="73">
        <f t="shared" si="11"/>
        <v>324.34</v>
      </c>
      <c r="C41" s="69">
        <f>IFERROR(B41/B16, "NA")</f>
        <v>0.006978500993</v>
      </c>
      <c r="D41" s="73">
        <f t="shared" si="12"/>
        <v>-340.43</v>
      </c>
      <c r="E41" s="69">
        <f>IFERROR(D41/D16, "NA")</f>
        <v>-0.008739537995</v>
      </c>
      <c r="F41" s="73">
        <f t="shared" si="13"/>
        <v>336.41</v>
      </c>
      <c r="G41" s="69">
        <f>IFERROR(F41/F16, "NA")</f>
        <v>0.01196834247</v>
      </c>
      <c r="H41" s="73">
        <f t="shared" si="14"/>
        <v>300.55</v>
      </c>
      <c r="I41" s="69">
        <f>IFERROR(H41/H16, "NA")</f>
        <v>0.01207316123</v>
      </c>
      <c r="J41" s="83">
        <f t="shared" si="15"/>
        <v>620.87</v>
      </c>
      <c r="K41" s="69">
        <f>IFERROR(J41/J16, "NA")</f>
        <v>0.004485009167</v>
      </c>
    </row>
    <row r="42" ht="16.5" customHeight="1">
      <c r="A42" s="72" t="s">
        <v>93</v>
      </c>
      <c r="B42" s="73">
        <f t="shared" si="11"/>
        <v>9366.59</v>
      </c>
      <c r="C42" s="69">
        <f>IFERROR(B42/B16, "NA")</f>
        <v>0.2015315953</v>
      </c>
      <c r="D42" s="73">
        <f t="shared" si="12"/>
        <v>7840.77</v>
      </c>
      <c r="E42" s="69">
        <f>IFERROR(D42/D16, "NA")</f>
        <v>0.2012886859</v>
      </c>
      <c r="F42" s="73">
        <f t="shared" si="13"/>
        <v>5813.05</v>
      </c>
      <c r="G42" s="69">
        <f>IFERROR(F42/F16, "NA")</f>
        <v>0.2068088737</v>
      </c>
      <c r="H42" s="73">
        <f t="shared" si="14"/>
        <v>5464.14</v>
      </c>
      <c r="I42" s="69">
        <f>IFERROR(H42/H16, "NA")</f>
        <v>0.2194957351</v>
      </c>
      <c r="J42" s="73">
        <f t="shared" si="15"/>
        <v>28484.55</v>
      </c>
      <c r="K42" s="69">
        <f>IFERROR(J42/J16, "NA")</f>
        <v>0.2057652453</v>
      </c>
    </row>
    <row r="43" ht="16.5" customHeight="1">
      <c r="A43" s="10" t="s">
        <v>94</v>
      </c>
      <c r="B43" s="11"/>
      <c r="C43" s="13"/>
      <c r="D43" s="11"/>
      <c r="E43" s="13"/>
      <c r="F43" s="11"/>
      <c r="G43" s="13"/>
      <c r="H43" s="11"/>
      <c r="I43" s="13"/>
      <c r="J43" s="11"/>
      <c r="K43" s="13"/>
    </row>
    <row r="44" ht="16.5" hidden="1" customHeight="1">
      <c r="A44" s="16" t="s">
        <v>95</v>
      </c>
      <c r="B44" s="22"/>
      <c r="C44" s="23"/>
      <c r="D44" s="22"/>
      <c r="E44" s="23"/>
      <c r="F44" s="22"/>
      <c r="G44" s="23"/>
      <c r="H44" s="22"/>
      <c r="I44" s="23"/>
      <c r="J44" s="22"/>
      <c r="K44" s="23"/>
    </row>
    <row r="45" ht="16.5" customHeight="1">
      <c r="A45" s="10" t="s">
        <v>96</v>
      </c>
      <c r="B45" s="11"/>
      <c r="C45" s="13"/>
      <c r="D45" s="11"/>
      <c r="E45" s="13"/>
      <c r="F45" s="11"/>
      <c r="G45" s="13"/>
      <c r="H45" s="11"/>
      <c r="I45" s="13"/>
      <c r="J45" s="11"/>
      <c r="K45" s="13"/>
    </row>
    <row r="46" ht="16.5" hidden="1" customHeight="1">
      <c r="A46" s="16" t="s">
        <v>97</v>
      </c>
      <c r="B46" s="22">
        <f t="shared" ref="B46:B51" si="16">INDEX(INDIRECT("'"&amp;B$4&amp;"'!$1:$1048576"),MATCH($A46,INDIRECT("'"&amp;B$4&amp;"'!$A:$A"),0),MATCH($A$2,INDIRECT("'"&amp;B$4&amp;"'!$5:$5"),0))</f>
        <v>0</v>
      </c>
      <c r="C46" s="23">
        <f>IFERROR(B46/B16, "NA")</f>
        <v>0</v>
      </c>
      <c r="D46" s="22">
        <f t="shared" ref="D46:D51" si="17">INDEX(INDIRECT("'"&amp;D$4&amp;"'!$1:$1048576"),MATCH($A46,INDIRECT("'"&amp;D$4&amp;"'!$A:$A"),0),MATCH($A$2,INDIRECT("'"&amp;D$4&amp;"'!$5:$5"),0))</f>
        <v>0</v>
      </c>
      <c r="E46" s="23">
        <f>IFERROR(D46/D16, "NA")</f>
        <v>0</v>
      </c>
      <c r="F46" s="22">
        <f t="shared" ref="F46:F51" si="18">INDEX(INDIRECT("'"&amp;F$4&amp;"'!$1:$1048576"),MATCH($A46,INDIRECT("'"&amp;F$4&amp;"'!$A:$A"),0),MATCH($A$2,INDIRECT("'"&amp;F$4&amp;"'!$5:$5"),0))</f>
        <v>0</v>
      </c>
      <c r="G46" s="23">
        <f>IFERROR(F46/F16, "NA")</f>
        <v>0</v>
      </c>
      <c r="H46" s="22">
        <f t="shared" ref="H46:H51" si="19">INDEX(INDIRECT("'"&amp;H$4&amp;"'!$1:$1048576"),MATCH($A46,INDIRECT("'"&amp;H$4&amp;"'!$A:$A"),0),MATCH($A$2,INDIRECT("'"&amp;H$4&amp;"'!$5:$5"),0))</f>
        <v>0</v>
      </c>
      <c r="I46" s="23">
        <f>IFERROR(H46/H16, "NA")</f>
        <v>0</v>
      </c>
      <c r="J46" s="22"/>
      <c r="K46" s="23">
        <f>IFERROR(J46/J16, "NA")</f>
        <v>0</v>
      </c>
    </row>
    <row r="47" ht="16.5" customHeight="1">
      <c r="A47" s="16" t="s">
        <v>98</v>
      </c>
      <c r="B47" s="22">
        <f t="shared" si="16"/>
        <v>1005.2</v>
      </c>
      <c r="C47" s="23">
        <f>IFERROR(B47/B16, "NA")</f>
        <v>0.02162788801</v>
      </c>
      <c r="D47" s="22">
        <f t="shared" si="17"/>
        <v>969.56</v>
      </c>
      <c r="E47" s="23">
        <f>IFERROR(D47/D16, "NA")</f>
        <v>0.02489059853</v>
      </c>
      <c r="F47" s="22">
        <f t="shared" si="18"/>
        <v>814.85</v>
      </c>
      <c r="G47" s="23">
        <f>IFERROR(F47/F16, "NA")</f>
        <v>0.02898963723</v>
      </c>
      <c r="H47" s="22">
        <f t="shared" si="19"/>
        <v>769.11</v>
      </c>
      <c r="I47" s="23">
        <f>IFERROR(H47/H16, "NA")</f>
        <v>0.03089532202</v>
      </c>
      <c r="J47" s="83">
        <f t="shared" ref="J47:J51" si="20">+H47+F47+D47+B47</f>
        <v>3558.72</v>
      </c>
      <c r="K47" s="23">
        <f>IFERROR(J47/J16, "NA")</f>
        <v>0.02570730076</v>
      </c>
    </row>
    <row r="48" ht="16.5" customHeight="1">
      <c r="A48" s="16" t="s">
        <v>99</v>
      </c>
      <c r="B48" s="22">
        <f t="shared" si="16"/>
        <v>837.72</v>
      </c>
      <c r="C48" s="23">
        <f>IFERROR(B48/B16, "NA")</f>
        <v>0.01802438753</v>
      </c>
      <c r="D48" s="22">
        <f t="shared" si="17"/>
        <v>1134.42</v>
      </c>
      <c r="E48" s="23">
        <f>IFERROR(D48/D16, "NA")</f>
        <v>0.02912289367</v>
      </c>
      <c r="F48" s="22">
        <f t="shared" si="18"/>
        <v>261.86</v>
      </c>
      <c r="G48" s="23">
        <f>IFERROR(F48/F16, "NA")</f>
        <v>0.009316102848</v>
      </c>
      <c r="H48" s="22">
        <f t="shared" si="19"/>
        <v>-0.58</v>
      </c>
      <c r="I48" s="23">
        <f>IFERROR(H48/H16, "NA")</f>
        <v>-0.0000232987307</v>
      </c>
      <c r="J48" s="83">
        <f t="shared" si="20"/>
        <v>2233.42</v>
      </c>
      <c r="K48" s="23">
        <f>IFERROR(J48/J16, "NA")</f>
        <v>0.01613366594</v>
      </c>
    </row>
    <row r="49" ht="16.5" hidden="1" customHeight="1">
      <c r="A49" s="16" t="s">
        <v>100</v>
      </c>
      <c r="B49" s="22">
        <f t="shared" si="16"/>
        <v>0</v>
      </c>
      <c r="C49" s="23">
        <f>IFERROR(B49/B16, "NA")</f>
        <v>0</v>
      </c>
      <c r="D49" s="22">
        <f t="shared" si="17"/>
        <v>0</v>
      </c>
      <c r="E49" s="23">
        <f>IFERROR(D49/D16, "NA")</f>
        <v>0</v>
      </c>
      <c r="F49" s="22">
        <f t="shared" si="18"/>
        <v>0</v>
      </c>
      <c r="G49" s="23">
        <f>IFERROR(F49/F16, "NA")</f>
        <v>0</v>
      </c>
      <c r="H49" s="22">
        <f t="shared" si="19"/>
        <v>0</v>
      </c>
      <c r="I49" s="23">
        <f>IFERROR(H49/H16, "NA")</f>
        <v>0</v>
      </c>
      <c r="J49" s="73">
        <f t="shared" si="20"/>
        <v>0</v>
      </c>
      <c r="K49" s="23">
        <f>IFERROR(J49/J16, "NA")</f>
        <v>0</v>
      </c>
    </row>
    <row r="50" ht="16.5" hidden="1" customHeight="1">
      <c r="A50" s="16" t="s">
        <v>101</v>
      </c>
      <c r="B50" s="22">
        <f t="shared" si="16"/>
        <v>0</v>
      </c>
      <c r="C50" s="23">
        <f>IFERROR(B50/B16, "NA")</f>
        <v>0</v>
      </c>
      <c r="D50" s="22">
        <f t="shared" si="17"/>
        <v>0</v>
      </c>
      <c r="E50" s="23">
        <f>IFERROR(D50/D16, "NA")</f>
        <v>0</v>
      </c>
      <c r="F50" s="22">
        <f t="shared" si="18"/>
        <v>0</v>
      </c>
      <c r="G50" s="23">
        <f>IFERROR(F50/F16, "NA")</f>
        <v>0</v>
      </c>
      <c r="H50" s="22">
        <f t="shared" si="19"/>
        <v>0</v>
      </c>
      <c r="I50" s="23">
        <f>IFERROR(H50/H16, "NA")</f>
        <v>0</v>
      </c>
      <c r="J50" s="73">
        <f t="shared" si="20"/>
        <v>0</v>
      </c>
      <c r="K50" s="23">
        <f>IFERROR(J50/J16, "NA")</f>
        <v>0</v>
      </c>
    </row>
    <row r="51" ht="16.5" customHeight="1">
      <c r="A51" s="72" t="s">
        <v>102</v>
      </c>
      <c r="B51" s="73">
        <f t="shared" si="16"/>
        <v>1842.92</v>
      </c>
      <c r="C51" s="69">
        <f>IFERROR(B51/B16, "NA")</f>
        <v>0.03965227554</v>
      </c>
      <c r="D51" s="73">
        <f t="shared" si="17"/>
        <v>2103.98</v>
      </c>
      <c r="E51" s="69">
        <f>IFERROR(D51/D16, "NA")</f>
        <v>0.05401349221</v>
      </c>
      <c r="F51" s="73">
        <f t="shared" si="18"/>
        <v>1076.71</v>
      </c>
      <c r="G51" s="69">
        <f>IFERROR(F51/F16, "NA")</f>
        <v>0.03830574008</v>
      </c>
      <c r="H51" s="73">
        <f t="shared" si="19"/>
        <v>768.53</v>
      </c>
      <c r="I51" s="69">
        <f>IFERROR(H51/H16, "NA")</f>
        <v>0.03087202329</v>
      </c>
      <c r="J51" s="73">
        <f t="shared" si="20"/>
        <v>5792.14</v>
      </c>
      <c r="K51" s="69">
        <f>IFERROR(J51/J16, "NA")</f>
        <v>0.04184096671</v>
      </c>
    </row>
    <row r="52" ht="16.5" customHeight="1">
      <c r="A52" s="10" t="s">
        <v>103</v>
      </c>
      <c r="B52" s="11"/>
      <c r="C52" s="13"/>
      <c r="D52" s="11"/>
      <c r="E52" s="13"/>
      <c r="F52" s="11"/>
      <c r="G52" s="13"/>
      <c r="H52" s="11"/>
      <c r="I52" s="13"/>
      <c r="J52" s="11"/>
      <c r="K52" s="13"/>
    </row>
    <row r="53" ht="16.5" hidden="1" customHeight="1">
      <c r="A53" s="16" t="s">
        <v>104</v>
      </c>
      <c r="B53" s="22">
        <f t="shared" ref="B53:B64" si="21">INDEX(INDIRECT("'"&amp;B$4&amp;"'!$1:$1048576"),MATCH($A53,INDIRECT("'"&amp;B$4&amp;"'!$A:$A"),0),MATCH($A$2,INDIRECT("'"&amp;B$4&amp;"'!$5:$5"),0))</f>
        <v>0</v>
      </c>
      <c r="C53" s="23">
        <f>IFERROR(B53/B16, "NA")</f>
        <v>0</v>
      </c>
      <c r="D53" s="22">
        <f t="shared" ref="D53:D64" si="22">INDEX(INDIRECT("'"&amp;D$4&amp;"'!$1:$1048576"),MATCH($A53,INDIRECT("'"&amp;D$4&amp;"'!$A:$A"),0),MATCH($A$2,INDIRECT("'"&amp;D$4&amp;"'!$5:$5"),0))</f>
        <v>0</v>
      </c>
      <c r="E53" s="23">
        <f>IFERROR(D53/D16, "NA")</f>
        <v>0</v>
      </c>
      <c r="F53" s="22">
        <f t="shared" ref="F53:F64" si="23">INDEX(INDIRECT("'"&amp;F$4&amp;"'!$1:$1048576"),MATCH($A53,INDIRECT("'"&amp;F$4&amp;"'!$A:$A"),0),MATCH($A$2,INDIRECT("'"&amp;F$4&amp;"'!$5:$5"),0))</f>
        <v>0</v>
      </c>
      <c r="G53" s="23">
        <f>IFERROR(F53/F16, "NA")</f>
        <v>0</v>
      </c>
      <c r="H53" s="22">
        <f t="shared" ref="H53:H64" si="24">INDEX(INDIRECT("'"&amp;H$4&amp;"'!$1:$1048576"),MATCH($A53,INDIRECT("'"&amp;H$4&amp;"'!$A:$A"),0),MATCH($A$2,INDIRECT("'"&amp;H$4&amp;"'!$5:$5"),0))</f>
        <v>0</v>
      </c>
      <c r="I53" s="23">
        <f>IFERROR(H53/H16, "NA")</f>
        <v>0</v>
      </c>
      <c r="J53" s="22"/>
      <c r="K53" s="23">
        <f>IFERROR(J53/J16, "NA")</f>
        <v>0</v>
      </c>
    </row>
    <row r="54" ht="16.5" customHeight="1">
      <c r="A54" s="16" t="s">
        <v>107</v>
      </c>
      <c r="B54" s="22">
        <f t="shared" si="21"/>
        <v>86.43</v>
      </c>
      <c r="C54" s="23">
        <f>IFERROR(B54/B16, "NA")</f>
        <v>0.001859628294</v>
      </c>
      <c r="D54" s="11">
        <f t="shared" si="22"/>
        <v>56.35</v>
      </c>
      <c r="E54" s="69">
        <f>IFERROR(D54/D16, "NA")</f>
        <v>0.001446620351</v>
      </c>
      <c r="F54" s="22">
        <f t="shared" si="23"/>
        <v>105.15</v>
      </c>
      <c r="G54" s="23">
        <f>IFERROR(F54/F16, "NA")</f>
        <v>0.003740885261</v>
      </c>
      <c r="H54" s="22">
        <f t="shared" si="24"/>
        <v>142.69</v>
      </c>
      <c r="I54" s="23">
        <f>IFERROR(H54/H16, "NA")</f>
        <v>0.005731889455</v>
      </c>
      <c r="J54" s="73">
        <f t="shared" ref="J54:J64" si="25">+H54+F54+D54+B54</f>
        <v>390.62</v>
      </c>
      <c r="K54" s="23">
        <f>IFERROR(J54/J16, "NA")</f>
        <v>0.002821740913</v>
      </c>
    </row>
    <row r="55" ht="16.5" hidden="1" customHeight="1">
      <c r="A55" s="16" t="s">
        <v>108</v>
      </c>
      <c r="B55" s="22">
        <f t="shared" si="21"/>
        <v>0</v>
      </c>
      <c r="C55" s="23">
        <f>IFERROR(B55/B16, "NA")</f>
        <v>0</v>
      </c>
      <c r="D55" s="22">
        <f t="shared" si="22"/>
        <v>0</v>
      </c>
      <c r="E55" s="23">
        <f>IFERROR(D55/D16, "NA")</f>
        <v>0</v>
      </c>
      <c r="F55" s="22">
        <f t="shared" si="23"/>
        <v>0</v>
      </c>
      <c r="G55" s="23">
        <f>IFERROR(F55/F16, "NA")</f>
        <v>0</v>
      </c>
      <c r="H55" s="22">
        <f t="shared" si="24"/>
        <v>0</v>
      </c>
      <c r="I55" s="23">
        <f>IFERROR(H55/H16, "NA")</f>
        <v>0</v>
      </c>
      <c r="J55" s="73">
        <f t="shared" si="25"/>
        <v>0</v>
      </c>
      <c r="K55" s="23">
        <f>IFERROR(J55/J16, "NA")</f>
        <v>0</v>
      </c>
    </row>
    <row r="56" ht="16.5" hidden="1" customHeight="1">
      <c r="A56" s="16" t="s">
        <v>109</v>
      </c>
      <c r="B56" s="22">
        <f t="shared" si="21"/>
        <v>0</v>
      </c>
      <c r="C56" s="23">
        <f>IFERROR(B56/B16, "NA")</f>
        <v>0</v>
      </c>
      <c r="D56" s="22">
        <f t="shared" si="22"/>
        <v>0</v>
      </c>
      <c r="E56" s="23">
        <f>IFERROR(D56/D16, "NA")</f>
        <v>0</v>
      </c>
      <c r="F56" s="22">
        <f t="shared" si="23"/>
        <v>0</v>
      </c>
      <c r="G56" s="23">
        <f>IFERROR(F56/F16, "NA")</f>
        <v>0</v>
      </c>
      <c r="H56" s="22">
        <f t="shared" si="24"/>
        <v>0</v>
      </c>
      <c r="I56" s="23">
        <f>IFERROR(H56/H16, "NA")</f>
        <v>0</v>
      </c>
      <c r="J56" s="73">
        <f t="shared" si="25"/>
        <v>0</v>
      </c>
      <c r="K56" s="23">
        <f>IFERROR(J56/J16, "NA")</f>
        <v>0</v>
      </c>
    </row>
    <row r="57" ht="16.5" hidden="1" customHeight="1">
      <c r="A57" s="16" t="s">
        <v>110</v>
      </c>
      <c r="B57" s="22">
        <f t="shared" si="21"/>
        <v>0</v>
      </c>
      <c r="C57" s="23">
        <f>IFERROR(B57/B16, "NA")</f>
        <v>0</v>
      </c>
      <c r="D57" s="22">
        <f t="shared" si="22"/>
        <v>0</v>
      </c>
      <c r="E57" s="23">
        <f>IFERROR(D57/D16, "NA")</f>
        <v>0</v>
      </c>
      <c r="F57" s="22">
        <f t="shared" si="23"/>
        <v>0</v>
      </c>
      <c r="G57" s="23">
        <f>IFERROR(F57/F16, "NA")</f>
        <v>0</v>
      </c>
      <c r="H57" s="22">
        <f t="shared" si="24"/>
        <v>0</v>
      </c>
      <c r="I57" s="23">
        <f>IFERROR(H57/H16, "NA")</f>
        <v>0</v>
      </c>
      <c r="J57" s="73">
        <f t="shared" si="25"/>
        <v>0</v>
      </c>
      <c r="K57" s="23">
        <f>IFERROR(J57/J16, "NA")</f>
        <v>0</v>
      </c>
    </row>
    <row r="58" ht="16.5" hidden="1" customHeight="1">
      <c r="A58" s="16" t="s">
        <v>111</v>
      </c>
      <c r="B58" s="22">
        <f t="shared" si="21"/>
        <v>0</v>
      </c>
      <c r="C58" s="23">
        <f>IFERROR(B58/B16, "NA")</f>
        <v>0</v>
      </c>
      <c r="D58" s="22">
        <f t="shared" si="22"/>
        <v>0</v>
      </c>
      <c r="E58" s="23">
        <f>IFERROR(D58/D16, "NA")</f>
        <v>0</v>
      </c>
      <c r="F58" s="22">
        <f t="shared" si="23"/>
        <v>0</v>
      </c>
      <c r="G58" s="23">
        <f>IFERROR(F58/F16, "NA")</f>
        <v>0</v>
      </c>
      <c r="H58" s="22">
        <f t="shared" si="24"/>
        <v>0</v>
      </c>
      <c r="I58" s="23">
        <f>IFERROR(H58/H16, "NA")</f>
        <v>0</v>
      </c>
      <c r="J58" s="73">
        <f t="shared" si="25"/>
        <v>0</v>
      </c>
      <c r="K58" s="23">
        <f>IFERROR(J58/J16, "NA")</f>
        <v>0</v>
      </c>
    </row>
    <row r="59" ht="16.5" customHeight="1">
      <c r="A59" s="72" t="s">
        <v>112</v>
      </c>
      <c r="B59" s="73">
        <f t="shared" si="21"/>
        <v>86.43</v>
      </c>
      <c r="C59" s="69">
        <f>IFERROR(B59/B16, "NA")</f>
        <v>0.001859628294</v>
      </c>
      <c r="D59" s="73">
        <f t="shared" si="22"/>
        <v>56.35</v>
      </c>
      <c r="E59" s="69">
        <f>IFERROR(D59/D16, "NA")</f>
        <v>0.001446620351</v>
      </c>
      <c r="F59" s="73">
        <f t="shared" si="23"/>
        <v>105.15</v>
      </c>
      <c r="G59" s="69">
        <f>IFERROR(F59/F16, "NA")</f>
        <v>0.003740885261</v>
      </c>
      <c r="H59" s="73">
        <f t="shared" si="24"/>
        <v>142.69</v>
      </c>
      <c r="I59" s="69">
        <f>IFERROR(H59/H16, "NA")</f>
        <v>0.005731889455</v>
      </c>
      <c r="J59" s="73">
        <f t="shared" si="25"/>
        <v>390.62</v>
      </c>
      <c r="K59" s="69">
        <f>IFERROR(J59/J16, "NA")</f>
        <v>0.002821740913</v>
      </c>
    </row>
    <row r="60" ht="21.0" customHeight="1">
      <c r="A60" s="16" t="s">
        <v>113</v>
      </c>
      <c r="B60" s="22">
        <f t="shared" si="21"/>
        <v>74.28</v>
      </c>
      <c r="C60" s="23">
        <f>IFERROR(B60/B16, "NA")</f>
        <v>0.001598208836</v>
      </c>
      <c r="D60" s="22">
        <f t="shared" si="22"/>
        <v>152.5</v>
      </c>
      <c r="E60" s="23">
        <f>IFERROR(D60/D16, "NA")</f>
        <v>0.003914988527</v>
      </c>
      <c r="F60" s="22">
        <f t="shared" si="23"/>
        <v>36.39</v>
      </c>
      <c r="G60" s="23">
        <f>IFERROR(F60/F16, "NA")</f>
        <v>0.001294634471</v>
      </c>
      <c r="H60" s="22">
        <f t="shared" si="24"/>
        <v>33.29</v>
      </c>
      <c r="I60" s="23">
        <f>IFERROR(H60/H16, "NA")</f>
        <v>0.001337266802</v>
      </c>
      <c r="J60" s="83">
        <f t="shared" si="25"/>
        <v>296.46</v>
      </c>
      <c r="K60" s="23">
        <f>IFERROR(J60/J16, "NA")</f>
        <v>0.002141552689</v>
      </c>
    </row>
    <row r="61" ht="16.5" customHeight="1">
      <c r="A61" s="16" t="s">
        <v>114</v>
      </c>
      <c r="B61" s="22">
        <f t="shared" si="21"/>
        <v>42</v>
      </c>
      <c r="C61" s="23">
        <f>IFERROR(B61/B16, "NA")</f>
        <v>0.0009036722011</v>
      </c>
      <c r="D61" s="22">
        <f t="shared" si="22"/>
        <v>26.25</v>
      </c>
      <c r="E61" s="23">
        <f>IFERROR(D61/D16, "NA")</f>
        <v>0.0006738914678</v>
      </c>
      <c r="F61" s="22">
        <f t="shared" si="23"/>
        <v>29.56</v>
      </c>
      <c r="G61" s="23">
        <f>IFERROR(F61/F16, "NA")</f>
        <v>0.001051645918</v>
      </c>
      <c r="H61" s="22">
        <f t="shared" si="24"/>
        <v>33</v>
      </c>
      <c r="I61" s="23">
        <f>IFERROR(H61/H16, "NA")</f>
        <v>0.001325617436</v>
      </c>
      <c r="J61" s="83">
        <f t="shared" si="25"/>
        <v>130.81</v>
      </c>
      <c r="K61" s="23">
        <f>IFERROR(J61/J16, "NA")</f>
        <v>0.0009449386332</v>
      </c>
    </row>
    <row r="62" ht="39.0" customHeight="1">
      <c r="A62" s="26" t="s">
        <v>115</v>
      </c>
      <c r="B62" s="22">
        <f t="shared" si="21"/>
        <v>-267.55</v>
      </c>
      <c r="C62" s="23">
        <f>IFERROR(B62/B16, "NA")</f>
        <v>-0.005756607081</v>
      </c>
      <c r="D62" s="22">
        <f t="shared" si="22"/>
        <v>-307.78</v>
      </c>
      <c r="E62" s="23">
        <f>IFERROR(D62/D16, "NA")</f>
        <v>-0.00790134537</v>
      </c>
      <c r="F62" s="22">
        <f t="shared" si="23"/>
        <v>-164.03</v>
      </c>
      <c r="G62" s="23">
        <f>IFERROR(F62/F16, "NA")</f>
        <v>-0.005835638701</v>
      </c>
      <c r="H62" s="22">
        <f t="shared" si="24"/>
        <v>-194.74</v>
      </c>
      <c r="I62" s="23">
        <f>IFERROR(H62/H16, "NA")</f>
        <v>-0.007822749684</v>
      </c>
      <c r="J62" s="83">
        <f t="shared" si="25"/>
        <v>-934.1</v>
      </c>
      <c r="K62" s="23">
        <f>IFERROR(J62/J16, "NA")</f>
        <v>-0.00674770413</v>
      </c>
    </row>
    <row r="63" ht="16.5" customHeight="1">
      <c r="A63" s="72" t="s">
        <v>116</v>
      </c>
      <c r="B63" s="73">
        <f t="shared" si="21"/>
        <v>1778.08</v>
      </c>
      <c r="C63" s="69">
        <f>IFERROR(B63/B16, "NA")</f>
        <v>0.03825717779</v>
      </c>
      <c r="D63" s="73">
        <f t="shared" si="22"/>
        <v>2031.3</v>
      </c>
      <c r="E63" s="69">
        <f>IFERROR(D63/D16, "NA")</f>
        <v>0.05214764718</v>
      </c>
      <c r="F63" s="73">
        <f t="shared" si="23"/>
        <v>1083.78</v>
      </c>
      <c r="G63" s="69">
        <f>IFERROR(F63/F16, "NA")</f>
        <v>0.03855726703</v>
      </c>
      <c r="H63" s="73">
        <f t="shared" si="24"/>
        <v>782.77</v>
      </c>
      <c r="I63" s="69">
        <f>IFERROR(H63/H16, "NA")</f>
        <v>0.03144404729</v>
      </c>
      <c r="J63" s="73">
        <f t="shared" si="25"/>
        <v>5675.93</v>
      </c>
      <c r="K63" s="69">
        <f>IFERROR(J63/J16, "NA")</f>
        <v>0.04100149481</v>
      </c>
    </row>
    <row r="64" ht="16.5" customHeight="1">
      <c r="A64" s="72" t="s">
        <v>52</v>
      </c>
      <c r="B64" s="94">
        <f t="shared" si="21"/>
        <v>11144.67</v>
      </c>
      <c r="C64" s="96">
        <f>IFERROR(B64/B16, "NA")</f>
        <v>0.2397887731</v>
      </c>
      <c r="D64" s="94">
        <f t="shared" si="22"/>
        <v>9872.07</v>
      </c>
      <c r="E64" s="96">
        <f>IFERROR(D64/D16, "NA")</f>
        <v>0.253436333</v>
      </c>
      <c r="F64" s="94">
        <f t="shared" si="23"/>
        <v>6896.83</v>
      </c>
      <c r="G64" s="96">
        <f>IFERROR(F64/F16, "NA")</f>
        <v>0.2453661407</v>
      </c>
      <c r="H64" s="94">
        <f t="shared" si="24"/>
        <v>6246.91</v>
      </c>
      <c r="I64" s="96">
        <f>IFERROR(H64/H16, "NA")</f>
        <v>0.2509397824</v>
      </c>
      <c r="J64" s="94">
        <f t="shared" si="25"/>
        <v>34160.48</v>
      </c>
      <c r="K64" s="102">
        <f>IFERROR(J64/J16, "NA")</f>
        <v>0.2467667402</v>
      </c>
    </row>
    <row r="65" ht="3.75" customHeight="1">
      <c r="A65" s="79" t="s">
        <v>6</v>
      </c>
      <c r="B65" s="80"/>
      <c r="C65" s="76"/>
      <c r="D65" s="80"/>
      <c r="E65" s="76"/>
      <c r="F65" s="80"/>
      <c r="G65" s="76"/>
      <c r="H65" s="80"/>
      <c r="I65" s="76"/>
      <c r="J65" s="80"/>
      <c r="K65" s="76"/>
    </row>
    <row r="66" ht="16.5" customHeight="1">
      <c r="A66" s="53" t="s">
        <v>121</v>
      </c>
      <c r="B66" s="106">
        <f t="array" ref="B66">INDEX(INDIRECT("'"&amp;B$4&amp;"'!$1:$1048576"),MATCH($A66,INDIRECT("'"&amp;B$4&amp;"'!$A:$A"),0),MATCH($A$2,INDIRECT("'"&amp;B$4&amp;"'!$5:$5"),0))</f>
        <v>35332.36</v>
      </c>
      <c r="C66" s="107">
        <f>IFERROR(B66/B16, "NA")</f>
        <v>0.7602112269</v>
      </c>
      <c r="D66" s="106">
        <f t="array" ref="D66">INDEX(INDIRECT("'"&amp;D$4&amp;"'!$1:$1048576"),MATCH($A66,INDIRECT("'"&amp;D$4&amp;"'!$A:$A"),0),MATCH($A$2,INDIRECT("'"&amp;D$4&amp;"'!$5:$5"),0))</f>
        <v>29080.79</v>
      </c>
      <c r="E66" s="107">
        <f>IFERROR(D66/D16, "NA")</f>
        <v>0.746563667</v>
      </c>
      <c r="F66" s="106">
        <f t="array" ref="F66">INDEX(INDIRECT("'"&amp;F$4&amp;"'!$1:$1048576"),MATCH($A66,INDIRECT("'"&amp;F$4&amp;"'!$A:$A"),0),MATCH($A$2,INDIRECT("'"&amp;F$4&amp;"'!$5:$5"),0))</f>
        <v>21211.49</v>
      </c>
      <c r="G66" s="107">
        <f>IFERROR(F66/F16, "NA")</f>
        <v>0.7546338593</v>
      </c>
      <c r="H66" s="106">
        <f t="array" ref="H66">INDEX(INDIRECT("'"&amp;H$4&amp;"'!$1:$1048576"),MATCH($A66,INDIRECT("'"&amp;H$4&amp;"'!$A:$A"),0),MATCH($A$2,INDIRECT("'"&amp;H$4&amp;"'!$5:$5"),0))</f>
        <v>18647.15</v>
      </c>
      <c r="I66" s="107">
        <f>IFERROR(H66/H16, "NA")</f>
        <v>0.7490602176</v>
      </c>
      <c r="J66" s="73">
        <f>+H66+F66+D66+B66</f>
        <v>104271.79</v>
      </c>
      <c r="K66" s="107">
        <f>IFERROR(J66/J16, "NA")</f>
        <v>0.7532332598</v>
      </c>
    </row>
    <row r="67" ht="3.75" customHeight="1">
      <c r="A67" s="111" t="s">
        <v>6</v>
      </c>
      <c r="B67" s="112"/>
      <c r="C67" s="76"/>
      <c r="D67" s="112"/>
      <c r="E67" s="76"/>
      <c r="F67" s="112"/>
      <c r="G67" s="76"/>
      <c r="H67" s="112"/>
      <c r="I67" s="76"/>
      <c r="J67" s="112"/>
      <c r="K67" s="76"/>
    </row>
    <row r="68" ht="16.5" customHeight="1">
      <c r="A68" s="10" t="s">
        <v>131</v>
      </c>
      <c r="B68" s="11"/>
      <c r="C68" s="13"/>
      <c r="D68" s="11"/>
      <c r="E68" s="13"/>
      <c r="F68" s="11"/>
      <c r="G68" s="13"/>
      <c r="H68" s="11"/>
      <c r="I68" s="13"/>
      <c r="J68" s="11"/>
      <c r="K68" s="13"/>
    </row>
    <row r="69" ht="16.5" customHeight="1">
      <c r="A69" s="10" t="s">
        <v>131</v>
      </c>
      <c r="B69" s="11"/>
      <c r="C69" s="13"/>
      <c r="D69" s="11"/>
      <c r="E69" s="13"/>
      <c r="F69" s="11"/>
      <c r="G69" s="13"/>
      <c r="H69" s="11"/>
      <c r="I69" s="13"/>
      <c r="J69" s="11"/>
      <c r="K69" s="13"/>
    </row>
    <row r="70" ht="16.5" hidden="1" customHeight="1">
      <c r="A70" s="16" t="s">
        <v>134</v>
      </c>
      <c r="B70" s="22"/>
      <c r="C70" s="23"/>
      <c r="D70" s="22"/>
      <c r="E70" s="23"/>
      <c r="F70" s="22"/>
      <c r="G70" s="23"/>
      <c r="H70" s="22"/>
      <c r="I70" s="23"/>
      <c r="J70" s="22"/>
      <c r="K70" s="23"/>
    </row>
    <row r="71" ht="16.5" customHeight="1">
      <c r="A71" s="10" t="s">
        <v>136</v>
      </c>
      <c r="B71" s="11"/>
      <c r="C71" s="13"/>
      <c r="D71" s="11"/>
      <c r="E71" s="13"/>
      <c r="F71" s="11"/>
      <c r="G71" s="13"/>
      <c r="H71" s="11"/>
      <c r="I71" s="13"/>
      <c r="J71" s="11"/>
      <c r="K71" s="13"/>
    </row>
    <row r="72" ht="16.5" hidden="1" customHeight="1">
      <c r="A72" s="16" t="s">
        <v>137</v>
      </c>
      <c r="B72" s="22">
        <f t="shared" ref="B72:B79" si="26">INDEX(INDIRECT("'"&amp;B$4&amp;"'!$1:$1048576"),MATCH($A72,INDIRECT("'"&amp;B$4&amp;"'!$A:$A"),0),MATCH($A$2,INDIRECT("'"&amp;B$4&amp;"'!$5:$5"),0))</f>
        <v>0</v>
      </c>
      <c r="C72" s="23">
        <f>IFERROR(B72/B16, "NA")</f>
        <v>0</v>
      </c>
      <c r="D72" s="22">
        <f t="shared" ref="D72:D79" si="27">INDEX(INDIRECT("'"&amp;D$4&amp;"'!$1:$1048576"),MATCH($A72,INDIRECT("'"&amp;D$4&amp;"'!$A:$A"),0),MATCH($A$2,INDIRECT("'"&amp;D$4&amp;"'!$5:$5"),0))</f>
        <v>0</v>
      </c>
      <c r="E72" s="23">
        <f>IFERROR(D72/D16, "NA")</f>
        <v>0</v>
      </c>
      <c r="F72" s="22">
        <f t="shared" ref="F72:F79" si="28">INDEX(INDIRECT("'"&amp;F$4&amp;"'!$1:$1048576"),MATCH($A72,INDIRECT("'"&amp;F$4&amp;"'!$A:$A"),0),MATCH($A$2,INDIRECT("'"&amp;F$4&amp;"'!$5:$5"),0))</f>
        <v>0</v>
      </c>
      <c r="G72" s="23">
        <f>IFERROR(F72/F16, "NA")</f>
        <v>0</v>
      </c>
      <c r="H72" s="22">
        <f t="shared" ref="H72:H79" si="29">INDEX(INDIRECT("'"&amp;H$4&amp;"'!$1:$1048576"),MATCH($A72,INDIRECT("'"&amp;H$4&amp;"'!$A:$A"),0),MATCH($A$2,INDIRECT("'"&amp;H$4&amp;"'!$5:$5"),0))</f>
        <v>0</v>
      </c>
      <c r="I72" s="23">
        <f>IFERROR(H72/H16, "NA")</f>
        <v>0</v>
      </c>
      <c r="J72" s="22"/>
      <c r="K72" s="23">
        <f>IFERROR(J72/J16, "NA")</f>
        <v>0</v>
      </c>
    </row>
    <row r="73" ht="16.5" customHeight="1">
      <c r="A73" s="16" t="s">
        <v>144</v>
      </c>
      <c r="B73" s="22">
        <f t="shared" si="26"/>
        <v>1192.31</v>
      </c>
      <c r="C73" s="23">
        <f>IFERROR(B73/B16, "NA")</f>
        <v>0.02565374767</v>
      </c>
      <c r="D73" s="22">
        <f t="shared" si="27"/>
        <v>1410</v>
      </c>
      <c r="E73" s="23">
        <f>IFERROR(D73/D16, "NA")</f>
        <v>0.03619759884</v>
      </c>
      <c r="F73" s="22">
        <f t="shared" si="28"/>
        <v>1461.54</v>
      </c>
      <c r="G73" s="23">
        <f>IFERROR(F73/F16, "NA")</f>
        <v>0.05199670418</v>
      </c>
      <c r="H73" s="22">
        <f t="shared" si="29"/>
        <v>1298.08</v>
      </c>
      <c r="I73" s="23">
        <f>IFERROR(H73/H16, "NA")</f>
        <v>0.05214416612</v>
      </c>
      <c r="J73" s="22">
        <f>+H73+F73+D73+B73</f>
        <v>5361.93</v>
      </c>
      <c r="K73" s="23">
        <f>IFERROR(J73/J16, "NA")</f>
        <v>0.03873323756</v>
      </c>
    </row>
    <row r="74" ht="16.5" hidden="1" customHeight="1">
      <c r="A74" s="16" t="s">
        <v>146</v>
      </c>
      <c r="B74" s="22">
        <f t="shared" si="26"/>
        <v>0</v>
      </c>
      <c r="C74" s="23">
        <f>IFERROR(B74/B16, "NA")</f>
        <v>0</v>
      </c>
      <c r="D74" s="22">
        <f t="shared" si="27"/>
        <v>0</v>
      </c>
      <c r="E74" s="23">
        <f>IFERROR(D74/D16, "NA")</f>
        <v>0</v>
      </c>
      <c r="F74" s="22">
        <f t="shared" si="28"/>
        <v>0</v>
      </c>
      <c r="G74" s="23">
        <f>IFERROR(F74/F16, "NA")</f>
        <v>0</v>
      </c>
      <c r="H74" s="22">
        <f t="shared" si="29"/>
        <v>0</v>
      </c>
      <c r="I74" s="23">
        <f>IFERROR(H74/H16, "NA")</f>
        <v>0</v>
      </c>
      <c r="J74" s="22" t="str">
        <f>+H74+F74+D74+B74+#REF!</f>
        <v>#REF!</v>
      </c>
      <c r="K74" s="23" t="str">
        <f>IFERROR(J74/J16, "NA")</f>
        <v>NA</v>
      </c>
    </row>
    <row r="75" ht="16.5" customHeight="1">
      <c r="A75" s="16" t="s">
        <v>150</v>
      </c>
      <c r="B75" s="22">
        <f t="shared" si="26"/>
        <v>8878.67</v>
      </c>
      <c r="C75" s="23">
        <f>IFERROR(B75/B16, "NA")</f>
        <v>0.1910335062</v>
      </c>
      <c r="D75" s="22">
        <f t="shared" si="27"/>
        <v>7870.29</v>
      </c>
      <c r="E75" s="23">
        <f>IFERROR(D75/D16, "NA")</f>
        <v>0.202046525</v>
      </c>
      <c r="F75" s="22">
        <f t="shared" si="28"/>
        <v>4549.33</v>
      </c>
      <c r="G75" s="23">
        <f>IFERROR(F75/F16, "NA")</f>
        <v>0.1618499434</v>
      </c>
      <c r="H75" s="22">
        <f t="shared" si="29"/>
        <v>5639.93</v>
      </c>
      <c r="I75" s="23">
        <f>IFERROR(H75/H16, "NA")</f>
        <v>0.226557259</v>
      </c>
      <c r="J75" s="22">
        <f t="shared" ref="J75:J77" si="30">+H75+F75+D75+B75</f>
        <v>26938.22</v>
      </c>
      <c r="K75" s="23">
        <f>IFERROR(J75/J16, "NA")</f>
        <v>0.1945949452</v>
      </c>
    </row>
    <row r="76" ht="16.5" customHeight="1">
      <c r="A76" s="16" t="s">
        <v>153</v>
      </c>
      <c r="B76" s="22">
        <f t="shared" si="26"/>
        <v>93.98</v>
      </c>
      <c r="C76" s="23">
        <f>IFERROR(B76/B16, "NA")</f>
        <v>0.00202207413</v>
      </c>
      <c r="D76" s="22">
        <f t="shared" si="27"/>
        <v>154.74</v>
      </c>
      <c r="E76" s="23">
        <f>IFERROR(D76/D16, "NA")</f>
        <v>0.003972493932</v>
      </c>
      <c r="F76" s="22">
        <f t="shared" si="28"/>
        <v>31.51</v>
      </c>
      <c r="G76" s="23">
        <f>IFERROR(F76/F16, "NA")</f>
        <v>0.001121020395</v>
      </c>
      <c r="H76" s="22">
        <f t="shared" si="29"/>
        <v>0</v>
      </c>
      <c r="I76" s="23">
        <f>IFERROR(H76/H16, "NA")</f>
        <v>0</v>
      </c>
      <c r="J76" s="22">
        <f t="shared" si="30"/>
        <v>280.23</v>
      </c>
      <c r="K76" s="23">
        <f>IFERROR(J76/J16, "NA")</f>
        <v>0.002024311239</v>
      </c>
    </row>
    <row r="77" ht="16.5" customHeight="1">
      <c r="A77" s="72" t="s">
        <v>156</v>
      </c>
      <c r="B77" s="73">
        <f t="shared" si="26"/>
        <v>10164.96</v>
      </c>
      <c r="C77" s="69">
        <f>IFERROR(B77/B16, "NA")</f>
        <v>0.218709328</v>
      </c>
      <c r="D77" s="73">
        <f t="shared" si="27"/>
        <v>9435.03</v>
      </c>
      <c r="E77" s="69">
        <f>IFERROR(D77/D16, "NA")</f>
        <v>0.2422166177</v>
      </c>
      <c r="F77" s="73">
        <f t="shared" si="28"/>
        <v>6042.38</v>
      </c>
      <c r="G77" s="69">
        <f>IFERROR(F77/F16, "NA")</f>
        <v>0.2149676679</v>
      </c>
      <c r="H77" s="73">
        <f t="shared" si="29"/>
        <v>6938.01</v>
      </c>
      <c r="I77" s="69">
        <f>IFERROR(H77/H16, "NA")</f>
        <v>0.2787014252</v>
      </c>
      <c r="J77" s="73">
        <f t="shared" si="30"/>
        <v>32580.38</v>
      </c>
      <c r="K77" s="69">
        <f>IFERROR(J77/J16, "NA")</f>
        <v>0.235352494</v>
      </c>
    </row>
    <row r="78" ht="16.5" hidden="1" customHeight="1">
      <c r="A78" s="16" t="s">
        <v>162</v>
      </c>
      <c r="B78" s="22">
        <f t="shared" si="26"/>
        <v>0</v>
      </c>
      <c r="C78" s="23">
        <f>IFERROR(B78/B16, "NA")</f>
        <v>0</v>
      </c>
      <c r="D78" s="22">
        <f t="shared" si="27"/>
        <v>0</v>
      </c>
      <c r="E78" s="23">
        <f>IFERROR(D78/D16, "NA")</f>
        <v>0</v>
      </c>
      <c r="F78" s="22">
        <f t="shared" si="28"/>
        <v>0</v>
      </c>
      <c r="G78" s="23">
        <f>IFERROR(F78/F16, "NA")</f>
        <v>0</v>
      </c>
      <c r="H78" s="22">
        <f t="shared" si="29"/>
        <v>0</v>
      </c>
      <c r="I78" s="23">
        <f>IFERROR(H78/H16, "NA")</f>
        <v>0</v>
      </c>
      <c r="J78" s="22"/>
      <c r="K78" s="23">
        <f>IFERROR(J78/J16, "NA")</f>
        <v>0</v>
      </c>
    </row>
    <row r="79" ht="16.5" customHeight="1">
      <c r="A79" s="16" t="s">
        <v>167</v>
      </c>
      <c r="B79" s="22">
        <f t="shared" si="26"/>
        <v>-1876</v>
      </c>
      <c r="C79" s="23">
        <f>IFERROR(B79/B16, "NA")</f>
        <v>-0.04036402498</v>
      </c>
      <c r="D79" s="22">
        <f t="shared" si="27"/>
        <v>1159</v>
      </c>
      <c r="E79" s="23">
        <f>IFERROR(D79/D16, "NA")</f>
        <v>0.02975391281</v>
      </c>
      <c r="F79" s="22">
        <f t="shared" si="28"/>
        <v>-875</v>
      </c>
      <c r="G79" s="23">
        <f>IFERROR(F79/F16, "NA")</f>
        <v>-0.03112957302</v>
      </c>
      <c r="H79" s="22">
        <f t="shared" si="29"/>
        <v>-813</v>
      </c>
      <c r="I79" s="23">
        <f>IFERROR(H79/H16, "NA")</f>
        <v>-0.03265839321</v>
      </c>
      <c r="J79" s="22">
        <f>+H79+F79+D79+B79</f>
        <v>-2405</v>
      </c>
      <c r="K79" s="23">
        <f>IFERROR(J79/J16, "NA")</f>
        <v>-0.01737311683</v>
      </c>
    </row>
    <row r="80" ht="16.5" customHeight="1">
      <c r="A80" s="10" t="s">
        <v>175</v>
      </c>
      <c r="B80" s="11"/>
      <c r="C80" s="13"/>
      <c r="D80" s="11"/>
      <c r="E80" s="13"/>
      <c r="F80" s="11"/>
      <c r="G80" s="13"/>
      <c r="H80" s="11"/>
      <c r="I80" s="13"/>
      <c r="J80" s="11"/>
      <c r="K80" s="13"/>
    </row>
    <row r="81" ht="16.5" customHeight="1">
      <c r="A81" s="16" t="s">
        <v>177</v>
      </c>
      <c r="B81" s="22">
        <f t="shared" ref="B81:B92" si="31">INDEX(INDIRECT("'"&amp;B$4&amp;"'!$1:$1048576"),MATCH($A81,INDIRECT("'"&amp;B$4&amp;"'!$A:$A"),0),MATCH($A$2,INDIRECT("'"&amp;B$4&amp;"'!$5:$5"),0))</f>
        <v>1016.17</v>
      </c>
      <c r="C81" s="23">
        <f>IFERROR(B81/B16, "NA")</f>
        <v>0.02186391859</v>
      </c>
      <c r="D81" s="22">
        <f t="shared" ref="D81:D92" si="32">INDEX(INDIRECT("'"&amp;D$4&amp;"'!$1:$1048576"),MATCH($A81,INDIRECT("'"&amp;D$4&amp;"'!$A:$A"),0),MATCH($A$2,INDIRECT("'"&amp;D$4&amp;"'!$5:$5"),0))</f>
        <v>960.79</v>
      </c>
      <c r="E81" s="23">
        <f>IFERROR(D81/D16, "NA")</f>
        <v>0.0246654546</v>
      </c>
      <c r="F81" s="22">
        <f t="shared" ref="F81:F92" si="33">INDEX(INDIRECT("'"&amp;F$4&amp;"'!$1:$1048576"),MATCH($A81,INDIRECT("'"&amp;F$4&amp;"'!$A:$A"),0),MATCH($A$2,INDIRECT("'"&amp;F$4&amp;"'!$5:$5"),0))</f>
        <v>536.89</v>
      </c>
      <c r="G81" s="23">
        <f>IFERROR(F81/F16, "NA")</f>
        <v>0.01910075024</v>
      </c>
      <c r="H81" s="22">
        <f t="shared" ref="H81:H92" si="34">INDEX(INDIRECT("'"&amp;H$4&amp;"'!$1:$1048576"),MATCH($A81,INDIRECT("'"&amp;H$4&amp;"'!$A:$A"),0),MATCH($A$2,INDIRECT("'"&amp;H$4&amp;"'!$5:$5"),0))</f>
        <v>621.16</v>
      </c>
      <c r="I81" s="23">
        <f>IFERROR(H81/H16, "NA")</f>
        <v>0.02495213718</v>
      </c>
      <c r="J81" s="22">
        <f>+H81+F81+D81+B81</f>
        <v>3135.01</v>
      </c>
      <c r="K81" s="23">
        <f>IFERROR(J81/J16, "NA")</f>
        <v>0.02264652599</v>
      </c>
    </row>
    <row r="82" ht="16.5" hidden="1" customHeight="1">
      <c r="A82" s="16" t="s">
        <v>183</v>
      </c>
      <c r="B82" s="22">
        <f t="shared" si="31"/>
        <v>0</v>
      </c>
      <c r="C82" s="23">
        <f>IFERROR(B82/B16, "NA")</f>
        <v>0</v>
      </c>
      <c r="D82" s="22">
        <f t="shared" si="32"/>
        <v>0</v>
      </c>
      <c r="E82" s="23">
        <f>IFERROR(D82/D16, "NA")</f>
        <v>0</v>
      </c>
      <c r="F82" s="22">
        <f t="shared" si="33"/>
        <v>0</v>
      </c>
      <c r="G82" s="23">
        <f>IFERROR(F82/F16, "NA")</f>
        <v>0</v>
      </c>
      <c r="H82" s="22">
        <f t="shared" si="34"/>
        <v>0</v>
      </c>
      <c r="I82" s="23">
        <f>IFERROR(H82/H16, "NA")</f>
        <v>0</v>
      </c>
      <c r="J82" s="22" t="str">
        <f t="shared" ref="J82:J87" si="35">+H82+F82+D82+B82+#REF!</f>
        <v>#REF!</v>
      </c>
      <c r="K82" s="23" t="str">
        <f>IFERROR(J82/J16, "NA")</f>
        <v>NA</v>
      </c>
    </row>
    <row r="83" ht="16.5" hidden="1" customHeight="1">
      <c r="A83" s="16" t="s">
        <v>184</v>
      </c>
      <c r="B83" s="22">
        <f t="shared" si="31"/>
        <v>0</v>
      </c>
      <c r="C83" s="23">
        <f>IFERROR(B83/B16, "NA")</f>
        <v>0</v>
      </c>
      <c r="D83" s="22">
        <f t="shared" si="32"/>
        <v>0</v>
      </c>
      <c r="E83" s="23">
        <f>IFERROR(D83/D16, "NA")</f>
        <v>0</v>
      </c>
      <c r="F83" s="22">
        <f t="shared" si="33"/>
        <v>0</v>
      </c>
      <c r="G83" s="23">
        <f>IFERROR(F83/F16, "NA")</f>
        <v>0</v>
      </c>
      <c r="H83" s="22">
        <f t="shared" si="34"/>
        <v>0</v>
      </c>
      <c r="I83" s="23">
        <f>IFERROR(H83/H16, "NA")</f>
        <v>0</v>
      </c>
      <c r="J83" s="22" t="str">
        <f t="shared" si="35"/>
        <v>#REF!</v>
      </c>
      <c r="K83" s="23" t="str">
        <f>IFERROR(J83/J16, "NA")</f>
        <v>NA</v>
      </c>
    </row>
    <row r="84" ht="16.5" hidden="1" customHeight="1">
      <c r="A84" s="16" t="s">
        <v>185</v>
      </c>
      <c r="B84" s="22">
        <f t="shared" si="31"/>
        <v>0</v>
      </c>
      <c r="C84" s="23">
        <f>IFERROR(B84/B16, "NA")</f>
        <v>0</v>
      </c>
      <c r="D84" s="22">
        <f t="shared" si="32"/>
        <v>0</v>
      </c>
      <c r="E84" s="23">
        <f>IFERROR(D84/D16, "NA")</f>
        <v>0</v>
      </c>
      <c r="F84" s="22">
        <f t="shared" si="33"/>
        <v>0</v>
      </c>
      <c r="G84" s="23">
        <f>IFERROR(F84/F16, "NA")</f>
        <v>0</v>
      </c>
      <c r="H84" s="22">
        <f t="shared" si="34"/>
        <v>0</v>
      </c>
      <c r="I84" s="23">
        <f>IFERROR(H84/H16, "NA")</f>
        <v>0</v>
      </c>
      <c r="J84" s="22" t="str">
        <f t="shared" si="35"/>
        <v>#REF!</v>
      </c>
      <c r="K84" s="23" t="str">
        <f>IFERROR(J84/J16, "NA")</f>
        <v>NA</v>
      </c>
    </row>
    <row r="85" ht="16.5" hidden="1" customHeight="1">
      <c r="A85" s="16" t="s">
        <v>186</v>
      </c>
      <c r="B85" s="22">
        <f t="shared" si="31"/>
        <v>0</v>
      </c>
      <c r="C85" s="23">
        <f>IFERROR(B85/B16, "NA")</f>
        <v>0</v>
      </c>
      <c r="D85" s="22">
        <f t="shared" si="32"/>
        <v>0</v>
      </c>
      <c r="E85" s="23">
        <f>IFERROR(D85/D16, "NA")</f>
        <v>0</v>
      </c>
      <c r="F85" s="22">
        <f t="shared" si="33"/>
        <v>0</v>
      </c>
      <c r="G85" s="23">
        <f>IFERROR(F85/F16, "NA")</f>
        <v>0</v>
      </c>
      <c r="H85" s="22">
        <f t="shared" si="34"/>
        <v>0</v>
      </c>
      <c r="I85" s="23">
        <f>IFERROR(H85/H16, "NA")</f>
        <v>0</v>
      </c>
      <c r="J85" s="22" t="str">
        <f t="shared" si="35"/>
        <v>#REF!</v>
      </c>
      <c r="K85" s="23" t="str">
        <f>IFERROR(J85/J16, "NA")</f>
        <v>NA</v>
      </c>
    </row>
    <row r="86" ht="16.5" hidden="1" customHeight="1">
      <c r="A86" s="16" t="s">
        <v>187</v>
      </c>
      <c r="B86" s="22">
        <f t="shared" si="31"/>
        <v>0</v>
      </c>
      <c r="C86" s="23">
        <f>IFERROR(B86/B16, "NA")</f>
        <v>0</v>
      </c>
      <c r="D86" s="22">
        <f t="shared" si="32"/>
        <v>0</v>
      </c>
      <c r="E86" s="23">
        <f>IFERROR(D86/D16, "NA")</f>
        <v>0</v>
      </c>
      <c r="F86" s="22">
        <f t="shared" si="33"/>
        <v>0</v>
      </c>
      <c r="G86" s="23">
        <f>IFERROR(F86/F16, "NA")</f>
        <v>0</v>
      </c>
      <c r="H86" s="22">
        <f t="shared" si="34"/>
        <v>0</v>
      </c>
      <c r="I86" s="23">
        <f>IFERROR(H86/H16, "NA")</f>
        <v>0</v>
      </c>
      <c r="J86" s="22" t="str">
        <f t="shared" si="35"/>
        <v>#REF!</v>
      </c>
      <c r="K86" s="23" t="str">
        <f>IFERROR(J86/J16, "NA")</f>
        <v>NA</v>
      </c>
    </row>
    <row r="87" ht="16.5" hidden="1" customHeight="1">
      <c r="A87" s="16" t="s">
        <v>188</v>
      </c>
      <c r="B87" s="22">
        <f t="shared" si="31"/>
        <v>0</v>
      </c>
      <c r="C87" s="23">
        <f>IFERROR(B87/B16, "NA")</f>
        <v>0</v>
      </c>
      <c r="D87" s="22">
        <f t="shared" si="32"/>
        <v>0</v>
      </c>
      <c r="E87" s="23">
        <f>IFERROR(D87/D16, "NA")</f>
        <v>0</v>
      </c>
      <c r="F87" s="22">
        <f t="shared" si="33"/>
        <v>0</v>
      </c>
      <c r="G87" s="23">
        <f>IFERROR(F87/F16, "NA")</f>
        <v>0</v>
      </c>
      <c r="H87" s="22">
        <f t="shared" si="34"/>
        <v>0</v>
      </c>
      <c r="I87" s="23">
        <f>IFERROR(H87/H16, "NA")</f>
        <v>0</v>
      </c>
      <c r="J87" s="22" t="str">
        <f t="shared" si="35"/>
        <v>#REF!</v>
      </c>
      <c r="K87" s="23" t="str">
        <f>IFERROR(J87/J16, "NA")</f>
        <v>NA</v>
      </c>
    </row>
    <row r="88" ht="16.5" customHeight="1">
      <c r="A88" s="72" t="s">
        <v>189</v>
      </c>
      <c r="B88" s="73">
        <f t="shared" si="31"/>
        <v>1016.17</v>
      </c>
      <c r="C88" s="69">
        <f>IFERROR(B88/B16, "NA")</f>
        <v>0.02186391859</v>
      </c>
      <c r="D88" s="73">
        <f t="shared" si="32"/>
        <v>960.79</v>
      </c>
      <c r="E88" s="69">
        <f>IFERROR(D88/D16, "NA")</f>
        <v>0.0246654546</v>
      </c>
      <c r="F88" s="73">
        <f t="shared" si="33"/>
        <v>536.89</v>
      </c>
      <c r="G88" s="69">
        <f>IFERROR(F88/F16, "NA")</f>
        <v>0.01910075024</v>
      </c>
      <c r="H88" s="73">
        <f t="shared" si="34"/>
        <v>621.16</v>
      </c>
      <c r="I88" s="69">
        <f>IFERROR(H88/H16, "NA")</f>
        <v>0.02495213718</v>
      </c>
      <c r="J88" s="73">
        <f t="shared" ref="J88:J92" si="36">+H88+F88+D88+B88</f>
        <v>3135.01</v>
      </c>
      <c r="K88" s="69">
        <f>IFERROR(J88/J16, "NA")</f>
        <v>0.02264652599</v>
      </c>
    </row>
    <row r="89" ht="16.5" customHeight="1">
      <c r="A89" s="16" t="s">
        <v>190</v>
      </c>
      <c r="B89" s="22">
        <f t="shared" si="31"/>
        <v>0</v>
      </c>
      <c r="C89" s="23">
        <f>IFERROR(B89/B16, "NA")</f>
        <v>0</v>
      </c>
      <c r="D89" s="22">
        <f t="shared" si="32"/>
        <v>0</v>
      </c>
      <c r="E89" s="23">
        <f>IFERROR(D89/D16, "NA")</f>
        <v>0</v>
      </c>
      <c r="F89" s="22">
        <f t="shared" si="33"/>
        <v>0</v>
      </c>
      <c r="G89" s="23">
        <f>IFERROR(F89/F16, "NA")</f>
        <v>0</v>
      </c>
      <c r="H89" s="22">
        <f t="shared" si="34"/>
        <v>0</v>
      </c>
      <c r="I89" s="23">
        <f>IFERROR(H89/H16, "NA")</f>
        <v>0</v>
      </c>
      <c r="J89" s="22">
        <f t="shared" si="36"/>
        <v>0</v>
      </c>
      <c r="K89" s="23">
        <f>IFERROR(J89/J16, "NA")</f>
        <v>0</v>
      </c>
    </row>
    <row r="90" ht="16.5" customHeight="1">
      <c r="A90" s="16" t="s">
        <v>191</v>
      </c>
      <c r="B90" s="22">
        <f t="shared" si="31"/>
        <v>0</v>
      </c>
      <c r="C90" s="23">
        <f>IFERROR(B90/B16, "NA")</f>
        <v>0</v>
      </c>
      <c r="D90" s="22">
        <f t="shared" si="32"/>
        <v>0</v>
      </c>
      <c r="E90" s="23">
        <f>IFERROR(D90/D16, "NA")</f>
        <v>0</v>
      </c>
      <c r="F90" s="22">
        <f t="shared" si="33"/>
        <v>-159.66</v>
      </c>
      <c r="G90" s="23">
        <f>IFERROR(F90/F16, "NA")</f>
        <v>-0.005680168719</v>
      </c>
      <c r="H90" s="22">
        <f t="shared" si="34"/>
        <v>0</v>
      </c>
      <c r="I90" s="23">
        <f>IFERROR(H90/H16, "NA")</f>
        <v>0</v>
      </c>
      <c r="J90" s="22">
        <f t="shared" si="36"/>
        <v>-159.66</v>
      </c>
      <c r="K90" s="23">
        <f>IFERROR(J90/J16, "NA")</f>
        <v>-0.001153343798</v>
      </c>
    </row>
    <row r="91" ht="16.5" customHeight="1">
      <c r="A91" s="72" t="s">
        <v>53</v>
      </c>
      <c r="B91" s="73">
        <f t="shared" si="31"/>
        <v>9305.13</v>
      </c>
      <c r="C91" s="69">
        <f>IFERROR(B91/B16, "NA")</f>
        <v>0.2002092216</v>
      </c>
      <c r="D91" s="73">
        <f t="shared" si="32"/>
        <v>11554.82</v>
      </c>
      <c r="E91" s="69">
        <f>IFERROR(D91/D16, "NA")</f>
        <v>0.2966359851</v>
      </c>
      <c r="F91" s="73">
        <f t="shared" si="33"/>
        <v>5544.61</v>
      </c>
      <c r="G91" s="69">
        <f>IFERROR(F91/F16, "NA")</f>
        <v>0.1972586764</v>
      </c>
      <c r="H91" s="73">
        <f t="shared" si="34"/>
        <v>6746.17</v>
      </c>
      <c r="I91" s="69">
        <f>IFERROR(H91/H16, "NA")</f>
        <v>0.2709951691</v>
      </c>
      <c r="J91" s="73">
        <f t="shared" si="36"/>
        <v>33150.73</v>
      </c>
      <c r="K91" s="69">
        <f>IFERROR(J91/J16, "NA")</f>
        <v>0.2394725594</v>
      </c>
    </row>
    <row r="92" ht="16.5" customHeight="1">
      <c r="A92" s="72" t="s">
        <v>53</v>
      </c>
      <c r="B92" s="94">
        <f t="shared" si="31"/>
        <v>9305.13</v>
      </c>
      <c r="C92" s="96">
        <f>IFERROR(B92/B16, "NA")</f>
        <v>0.2002092216</v>
      </c>
      <c r="D92" s="94">
        <f t="shared" si="32"/>
        <v>11554.82</v>
      </c>
      <c r="E92" s="96">
        <f>IFERROR(D92/D16, "NA")</f>
        <v>0.2966359851</v>
      </c>
      <c r="F92" s="94">
        <f t="shared" si="33"/>
        <v>5544.61</v>
      </c>
      <c r="G92" s="96">
        <f>IFERROR(F92/F16, "NA")</f>
        <v>0.1972586764</v>
      </c>
      <c r="H92" s="94">
        <f t="shared" si="34"/>
        <v>6746.17</v>
      </c>
      <c r="I92" s="96">
        <f>IFERROR(H92/H16, "NA")</f>
        <v>0.2709951691</v>
      </c>
      <c r="J92" s="94">
        <f t="shared" si="36"/>
        <v>33150.73</v>
      </c>
      <c r="K92" s="102">
        <f>IFERROR(J92/J16, "NA")</f>
        <v>0.2394725594</v>
      </c>
    </row>
    <row r="93" ht="3.75" customHeight="1">
      <c r="A93" s="111" t="s">
        <v>6</v>
      </c>
      <c r="B93" s="112"/>
      <c r="C93" s="76"/>
      <c r="D93" s="112"/>
      <c r="E93" s="76"/>
      <c r="F93" s="112"/>
      <c r="G93" s="76"/>
      <c r="H93" s="112"/>
      <c r="I93" s="76"/>
      <c r="J93" s="112"/>
      <c r="K93" s="76"/>
    </row>
    <row r="94" ht="15.0" customHeight="1">
      <c r="A94" s="53" t="s">
        <v>54</v>
      </c>
      <c r="B94" s="106">
        <f t="array" ref="B94">INDEX(INDIRECT("'"&amp;B$4&amp;"'!$1:$1048576"),MATCH($A94,INDIRECT("'"&amp;B$4&amp;"'!$A:$A"),0),MATCH($A$2,INDIRECT("'"&amp;B$4&amp;"'!$5:$5"),0))</f>
        <v>26027.23</v>
      </c>
      <c r="C94" s="107">
        <f>IFERROR(B94/B16, "NA")</f>
        <v>0.5600020053</v>
      </c>
      <c r="D94" s="106">
        <f t="array" ref="D94">INDEX(INDIRECT("'"&amp;D$4&amp;"'!$1:$1048576"),MATCH($A94,INDIRECT("'"&amp;D$4&amp;"'!$A:$A"),0),MATCH($A$2,INDIRECT("'"&amp;D$4&amp;"'!$5:$5"),0))</f>
        <v>17525.97</v>
      </c>
      <c r="E94" s="107">
        <f>IFERROR(D94/D16, "NA")</f>
        <v>0.4499276818</v>
      </c>
      <c r="F94" s="106">
        <f t="array" ref="F94">INDEX(INDIRECT("'"&amp;F$4&amp;"'!$1:$1048576"),MATCH($A94,INDIRECT("'"&amp;F$4&amp;"'!$A:$A"),0),MATCH($A$2,INDIRECT("'"&amp;F$4&amp;"'!$5:$5"),0))</f>
        <v>15666.88</v>
      </c>
      <c r="G94" s="107">
        <f>IFERROR(F94/F16, "NA")</f>
        <v>0.5573751829</v>
      </c>
      <c r="H94" s="106">
        <f t="array" ref="H94">INDEX(INDIRECT("'"&amp;H$4&amp;"'!$1:$1048576"),MATCH($A94,INDIRECT("'"&amp;H$4&amp;"'!$A:$A"),0),MATCH($A$2,INDIRECT("'"&amp;H$4&amp;"'!$5:$5"),0))</f>
        <v>11900.98</v>
      </c>
      <c r="I94" s="107">
        <f>IFERROR(H94/H16, "NA")</f>
        <v>0.4780650484</v>
      </c>
      <c r="J94" s="106">
        <f>+H94+F94+D94+B94</f>
        <v>71121.06</v>
      </c>
      <c r="K94" s="114">
        <f>IFERROR(J94/J16, "NA")</f>
        <v>0.5137607004</v>
      </c>
    </row>
    <row r="95" ht="15.0" customHeight="1">
      <c r="A95" s="111" t="s">
        <v>6</v>
      </c>
      <c r="B95" s="112"/>
      <c r="C95" s="76"/>
      <c r="D95" s="112"/>
      <c r="E95" s="76"/>
      <c r="F95" s="112"/>
      <c r="G95" s="76"/>
      <c r="H95" s="112"/>
      <c r="I95" s="76"/>
      <c r="J95" s="4"/>
    </row>
    <row r="96" ht="15.0" customHeight="1">
      <c r="B96" s="4"/>
      <c r="D96" s="4"/>
      <c r="F96" s="4"/>
      <c r="H96" s="4"/>
      <c r="J96" s="4"/>
    </row>
    <row r="97" ht="14.25" customHeight="1">
      <c r="B97" s="4"/>
      <c r="D97" s="4"/>
      <c r="F97" s="4"/>
      <c r="H97" s="4"/>
      <c r="J97" s="4"/>
    </row>
    <row r="98" ht="14.25" customHeight="1">
      <c r="B98" s="4"/>
      <c r="D98" s="4"/>
      <c r="F98" s="4"/>
      <c r="H98" s="4"/>
      <c r="J98" s="4"/>
    </row>
    <row r="99" ht="14.25" customHeight="1">
      <c r="B99" s="4"/>
      <c r="D99" s="4"/>
      <c r="F99" s="4"/>
      <c r="H99" s="4"/>
      <c r="J99" s="4"/>
    </row>
    <row r="100" ht="14.25" customHeight="1">
      <c r="B100" s="4"/>
      <c r="D100" s="4"/>
      <c r="F100" s="4"/>
      <c r="H100" s="4"/>
      <c r="J100" s="4"/>
    </row>
    <row r="101" ht="14.25" customHeight="1">
      <c r="B101" s="4"/>
      <c r="D101" s="4"/>
      <c r="F101" s="4"/>
      <c r="H101" s="4"/>
      <c r="J101" s="4"/>
    </row>
    <row r="102" ht="14.25" customHeight="1">
      <c r="B102" s="4"/>
      <c r="D102" s="4"/>
      <c r="F102" s="4"/>
      <c r="H102" s="4"/>
      <c r="J102" s="4"/>
    </row>
    <row r="103" ht="14.25" customHeight="1">
      <c r="B103" s="4"/>
      <c r="D103" s="4"/>
      <c r="F103" s="4"/>
      <c r="H103" s="4"/>
      <c r="J103" s="4"/>
    </row>
    <row r="104" ht="14.25" customHeight="1">
      <c r="B104" s="4"/>
      <c r="D104" s="4"/>
      <c r="F104" s="4"/>
      <c r="H104" s="4"/>
      <c r="J104" s="4"/>
    </row>
    <row r="105" ht="14.25" customHeight="1">
      <c r="B105" s="4"/>
      <c r="D105" s="4"/>
      <c r="F105" s="4"/>
      <c r="H105" s="4"/>
      <c r="J105" s="4"/>
    </row>
    <row r="106" ht="14.25" customHeight="1">
      <c r="B106" s="4"/>
      <c r="D106" s="4"/>
      <c r="F106" s="4"/>
      <c r="H106" s="4"/>
      <c r="J106" s="4"/>
    </row>
    <row r="107" ht="14.25" customHeight="1">
      <c r="B107" s="4"/>
      <c r="D107" s="4"/>
      <c r="F107" s="4"/>
      <c r="H107" s="4"/>
      <c r="J107" s="4"/>
    </row>
    <row r="108" ht="14.25" customHeight="1">
      <c r="B108" s="4"/>
      <c r="D108" s="4"/>
      <c r="F108" s="4"/>
      <c r="H108" s="4"/>
      <c r="J108" s="4"/>
    </row>
    <row r="109" ht="14.25" customHeight="1">
      <c r="B109" s="4"/>
      <c r="D109" s="4"/>
      <c r="F109" s="4"/>
      <c r="H109" s="4"/>
      <c r="J109" s="4"/>
    </row>
    <row r="110" ht="14.25" customHeight="1">
      <c r="B110" s="4"/>
      <c r="D110" s="4"/>
      <c r="F110" s="4"/>
      <c r="H110" s="4"/>
      <c r="J110" s="4"/>
    </row>
    <row r="111" ht="14.25" customHeight="1">
      <c r="B111" s="4"/>
      <c r="D111" s="4"/>
      <c r="F111" s="4"/>
      <c r="H111" s="4"/>
      <c r="J111" s="4"/>
    </row>
    <row r="112" ht="14.25" customHeight="1">
      <c r="B112" s="4"/>
      <c r="D112" s="4"/>
      <c r="F112" s="4"/>
      <c r="H112" s="4"/>
      <c r="J112" s="4"/>
    </row>
    <row r="113" ht="14.25" customHeight="1">
      <c r="B113" s="4"/>
      <c r="D113" s="4"/>
      <c r="F113" s="4"/>
      <c r="H113" s="4"/>
      <c r="J113" s="4"/>
    </row>
    <row r="114" ht="14.25" customHeight="1">
      <c r="B114" s="4"/>
      <c r="D114" s="4"/>
      <c r="F114" s="4"/>
      <c r="H114" s="4"/>
      <c r="J114" s="4"/>
    </row>
    <row r="115" ht="14.25" customHeight="1">
      <c r="B115" s="4"/>
      <c r="D115" s="4"/>
      <c r="F115" s="4"/>
      <c r="H115" s="4"/>
      <c r="J115" s="4"/>
    </row>
    <row r="116" ht="14.25" customHeight="1">
      <c r="B116" s="4"/>
      <c r="D116" s="4"/>
      <c r="F116" s="4"/>
      <c r="H116" s="4"/>
      <c r="J116" s="4"/>
    </row>
    <row r="117" ht="14.25" customHeight="1">
      <c r="B117" s="4"/>
      <c r="D117" s="4"/>
      <c r="F117" s="4"/>
      <c r="H117" s="4"/>
      <c r="J117" s="4"/>
    </row>
    <row r="118" ht="14.25" customHeight="1">
      <c r="B118" s="4"/>
      <c r="D118" s="4"/>
      <c r="F118" s="4"/>
      <c r="H118" s="4"/>
      <c r="J118" s="4"/>
    </row>
    <row r="119" ht="14.25" customHeight="1">
      <c r="B119" s="4"/>
      <c r="D119" s="4"/>
      <c r="F119" s="4"/>
      <c r="H119" s="4"/>
      <c r="J119" s="4"/>
    </row>
    <row r="120" ht="14.25" customHeight="1">
      <c r="B120" s="4"/>
      <c r="D120" s="4"/>
      <c r="F120" s="4"/>
      <c r="H120" s="4"/>
      <c r="J120" s="4"/>
    </row>
    <row r="121" ht="14.25" customHeight="1">
      <c r="B121" s="4"/>
      <c r="D121" s="4"/>
      <c r="F121" s="4"/>
      <c r="H121" s="4"/>
      <c r="J121" s="4"/>
    </row>
    <row r="122" ht="14.25" customHeight="1">
      <c r="B122" s="4"/>
      <c r="D122" s="4"/>
      <c r="F122" s="4"/>
      <c r="H122" s="4"/>
      <c r="J122" s="4"/>
    </row>
    <row r="123" ht="14.25" customHeight="1">
      <c r="B123" s="4"/>
      <c r="D123" s="4"/>
      <c r="F123" s="4"/>
      <c r="H123" s="4"/>
      <c r="J123" s="4"/>
    </row>
    <row r="124" ht="14.25" customHeight="1">
      <c r="B124" s="4"/>
      <c r="D124" s="4"/>
      <c r="F124" s="4"/>
      <c r="H124" s="4"/>
      <c r="J124" s="4"/>
    </row>
    <row r="125" ht="14.25" customHeight="1">
      <c r="B125" s="4"/>
      <c r="D125" s="4"/>
      <c r="F125" s="4"/>
      <c r="H125" s="4"/>
      <c r="J125" s="4"/>
    </row>
    <row r="126" ht="14.25" customHeight="1">
      <c r="B126" s="4"/>
      <c r="D126" s="4"/>
      <c r="F126" s="4"/>
      <c r="H126" s="4"/>
      <c r="J126" s="4"/>
    </row>
    <row r="127" ht="14.25" customHeight="1">
      <c r="B127" s="4"/>
      <c r="D127" s="4"/>
      <c r="F127" s="4"/>
      <c r="H127" s="4"/>
      <c r="J127" s="4"/>
    </row>
    <row r="128" ht="14.25" customHeight="1">
      <c r="B128" s="4"/>
      <c r="D128" s="4"/>
      <c r="F128" s="4"/>
      <c r="H128" s="4"/>
      <c r="J128" s="4"/>
    </row>
    <row r="129" ht="14.25" customHeight="1">
      <c r="B129" s="4"/>
      <c r="D129" s="4"/>
      <c r="F129" s="4"/>
      <c r="H129" s="4"/>
      <c r="J129" s="4"/>
    </row>
    <row r="130" ht="14.25" customHeight="1">
      <c r="B130" s="4"/>
      <c r="D130" s="4"/>
      <c r="F130" s="4"/>
      <c r="H130" s="4"/>
      <c r="J130" s="4"/>
    </row>
    <row r="131" ht="14.25" customHeight="1">
      <c r="B131" s="4"/>
      <c r="D131" s="4"/>
      <c r="F131" s="4"/>
      <c r="H131" s="4"/>
      <c r="J131" s="4"/>
    </row>
    <row r="132" ht="14.25" customHeight="1">
      <c r="B132" s="4"/>
      <c r="D132" s="4"/>
      <c r="F132" s="4"/>
      <c r="H132" s="4"/>
      <c r="J132" s="4"/>
    </row>
    <row r="133" ht="14.25" customHeight="1">
      <c r="B133" s="4"/>
      <c r="D133" s="4"/>
      <c r="F133" s="4"/>
      <c r="H133" s="4"/>
      <c r="J133" s="4"/>
    </row>
    <row r="134" ht="14.25" customHeight="1">
      <c r="B134" s="4"/>
      <c r="D134" s="4"/>
      <c r="F134" s="4"/>
      <c r="H134" s="4"/>
      <c r="J134" s="4"/>
    </row>
    <row r="135" ht="14.25" customHeight="1">
      <c r="B135" s="4"/>
      <c r="D135" s="4"/>
      <c r="F135" s="4"/>
      <c r="H135" s="4"/>
      <c r="J135" s="4"/>
    </row>
    <row r="136" ht="14.25" customHeight="1">
      <c r="B136" s="4"/>
      <c r="D136" s="4"/>
      <c r="F136" s="4"/>
      <c r="H136" s="4"/>
      <c r="J136" s="4"/>
    </row>
    <row r="137" ht="14.25" customHeight="1">
      <c r="B137" s="4"/>
      <c r="D137" s="4"/>
      <c r="F137" s="4"/>
      <c r="H137" s="4"/>
      <c r="J137" s="4"/>
    </row>
    <row r="138" ht="14.25" customHeight="1">
      <c r="B138" s="4"/>
      <c r="D138" s="4"/>
      <c r="F138" s="4"/>
      <c r="H138" s="4"/>
      <c r="J138" s="4"/>
    </row>
    <row r="139" ht="14.25" customHeight="1">
      <c r="B139" s="4"/>
      <c r="D139" s="4"/>
      <c r="F139" s="4"/>
      <c r="H139" s="4"/>
      <c r="J139" s="4"/>
    </row>
    <row r="140" ht="14.25" customHeight="1">
      <c r="B140" s="4"/>
      <c r="D140" s="4"/>
      <c r="F140" s="4"/>
      <c r="H140" s="4"/>
      <c r="J140" s="4"/>
    </row>
    <row r="141" ht="14.25" customHeight="1">
      <c r="B141" s="4"/>
      <c r="D141" s="4"/>
      <c r="F141" s="4"/>
      <c r="H141" s="4"/>
      <c r="J141" s="4"/>
    </row>
    <row r="142" ht="14.25" customHeight="1">
      <c r="B142" s="4"/>
      <c r="D142" s="4"/>
      <c r="F142" s="4"/>
      <c r="H142" s="4"/>
      <c r="J142" s="4"/>
    </row>
    <row r="143" ht="14.25" customHeight="1">
      <c r="B143" s="4"/>
      <c r="D143" s="4"/>
      <c r="F143" s="4"/>
      <c r="H143" s="4"/>
      <c r="J143" s="4"/>
    </row>
    <row r="144" ht="14.25" customHeight="1">
      <c r="B144" s="4"/>
      <c r="D144" s="4"/>
      <c r="F144" s="4"/>
      <c r="H144" s="4"/>
      <c r="J144" s="4"/>
    </row>
    <row r="145" ht="14.25" customHeight="1">
      <c r="B145" s="4"/>
      <c r="D145" s="4"/>
      <c r="F145" s="4"/>
      <c r="H145" s="4"/>
      <c r="J145" s="4"/>
    </row>
    <row r="146" ht="14.25" customHeight="1">
      <c r="B146" s="4"/>
      <c r="D146" s="4"/>
      <c r="F146" s="4"/>
      <c r="H146" s="4"/>
      <c r="J146" s="4"/>
    </row>
    <row r="147" ht="14.25" customHeight="1">
      <c r="B147" s="4"/>
      <c r="D147" s="4"/>
      <c r="F147" s="4"/>
      <c r="H147" s="4"/>
      <c r="J147" s="4"/>
    </row>
    <row r="148" ht="14.25" customHeight="1">
      <c r="B148" s="4"/>
      <c r="D148" s="4"/>
      <c r="F148" s="4"/>
      <c r="H148" s="4"/>
      <c r="J148" s="4"/>
    </row>
    <row r="149" ht="14.25" customHeight="1">
      <c r="B149" s="4"/>
      <c r="D149" s="4"/>
      <c r="F149" s="4"/>
      <c r="H149" s="4"/>
      <c r="J149" s="4"/>
    </row>
    <row r="150" ht="14.25" customHeight="1">
      <c r="B150" s="4"/>
      <c r="D150" s="4"/>
      <c r="F150" s="4"/>
      <c r="H150" s="4"/>
      <c r="J150" s="4"/>
    </row>
    <row r="151" ht="14.25" customHeight="1">
      <c r="B151" s="4"/>
      <c r="D151" s="4"/>
      <c r="F151" s="4"/>
      <c r="H151" s="4"/>
      <c r="J151" s="4"/>
    </row>
    <row r="152" ht="14.25" customHeight="1">
      <c r="B152" s="4"/>
      <c r="D152" s="4"/>
      <c r="F152" s="4"/>
      <c r="H152" s="4"/>
      <c r="J152" s="4"/>
    </row>
    <row r="153" ht="14.25" customHeight="1">
      <c r="B153" s="4"/>
      <c r="D153" s="4"/>
      <c r="F153" s="4"/>
      <c r="H153" s="4"/>
      <c r="J153" s="4"/>
    </row>
    <row r="154" ht="14.25" customHeight="1">
      <c r="B154" s="4"/>
      <c r="D154" s="4"/>
      <c r="F154" s="4"/>
      <c r="H154" s="4"/>
      <c r="J154" s="4"/>
    </row>
    <row r="155" ht="14.25" customHeight="1">
      <c r="B155" s="4"/>
      <c r="D155" s="4"/>
      <c r="F155" s="4"/>
      <c r="H155" s="4"/>
      <c r="J155" s="4"/>
    </row>
    <row r="156" ht="14.25" customHeight="1">
      <c r="B156" s="4"/>
      <c r="D156" s="4"/>
      <c r="F156" s="4"/>
      <c r="H156" s="4"/>
      <c r="J156" s="4"/>
    </row>
    <row r="157" ht="14.25" customHeight="1">
      <c r="B157" s="4"/>
      <c r="D157" s="4"/>
      <c r="F157" s="4"/>
      <c r="H157" s="4"/>
      <c r="J157" s="4"/>
    </row>
    <row r="158" ht="14.25" customHeight="1">
      <c r="B158" s="4"/>
      <c r="D158" s="4"/>
      <c r="F158" s="4"/>
      <c r="H158" s="4"/>
      <c r="J158" s="4"/>
    </row>
    <row r="159" ht="14.25" customHeight="1">
      <c r="B159" s="4"/>
      <c r="D159" s="4"/>
      <c r="F159" s="4"/>
      <c r="H159" s="4"/>
      <c r="J159" s="4"/>
    </row>
    <row r="160" ht="14.25" customHeight="1">
      <c r="B160" s="4"/>
      <c r="D160" s="4"/>
      <c r="F160" s="4"/>
      <c r="H160" s="4"/>
      <c r="J160" s="4"/>
    </row>
    <row r="161" ht="14.25" customHeight="1">
      <c r="B161" s="4"/>
      <c r="D161" s="4"/>
      <c r="F161" s="4"/>
      <c r="H161" s="4"/>
      <c r="J161" s="4"/>
    </row>
    <row r="162" ht="14.25" customHeight="1">
      <c r="B162" s="4"/>
      <c r="D162" s="4"/>
      <c r="F162" s="4"/>
      <c r="H162" s="4"/>
      <c r="J162" s="4"/>
    </row>
    <row r="163" ht="14.25" customHeight="1">
      <c r="B163" s="4"/>
      <c r="D163" s="4"/>
      <c r="F163" s="4"/>
      <c r="H163" s="4"/>
      <c r="J163" s="4"/>
    </row>
    <row r="164" ht="14.25" customHeight="1">
      <c r="B164" s="4"/>
      <c r="D164" s="4"/>
      <c r="F164" s="4"/>
      <c r="H164" s="4"/>
      <c r="J164" s="4"/>
    </row>
    <row r="165" ht="14.25" customHeight="1">
      <c r="B165" s="4"/>
      <c r="D165" s="4"/>
      <c r="F165" s="4"/>
      <c r="H165" s="4"/>
      <c r="J165" s="4"/>
    </row>
    <row r="166" ht="14.25" customHeight="1">
      <c r="B166" s="4"/>
      <c r="D166" s="4"/>
      <c r="F166" s="4"/>
      <c r="H166" s="4"/>
      <c r="J166" s="4"/>
    </row>
    <row r="167" ht="14.25" customHeight="1">
      <c r="B167" s="4"/>
      <c r="D167" s="4"/>
      <c r="F167" s="4"/>
      <c r="H167" s="4"/>
      <c r="J167" s="4"/>
    </row>
    <row r="168" ht="14.25" customHeight="1">
      <c r="B168" s="4"/>
      <c r="D168" s="4"/>
      <c r="F168" s="4"/>
      <c r="H168" s="4"/>
      <c r="J168" s="4"/>
    </row>
    <row r="169" ht="14.25" customHeight="1">
      <c r="B169" s="4"/>
      <c r="D169" s="4"/>
      <c r="F169" s="4"/>
      <c r="H169" s="4"/>
      <c r="J169" s="4"/>
    </row>
    <row r="170" ht="14.25" customHeight="1">
      <c r="B170" s="4"/>
      <c r="D170" s="4"/>
      <c r="F170" s="4"/>
      <c r="H170" s="4"/>
      <c r="J170" s="4"/>
    </row>
    <row r="171" ht="14.25" customHeight="1">
      <c r="B171" s="4"/>
      <c r="D171" s="4"/>
      <c r="F171" s="4"/>
      <c r="H171" s="4"/>
      <c r="J171" s="4"/>
    </row>
    <row r="172" ht="14.25" customHeight="1">
      <c r="B172" s="4"/>
      <c r="D172" s="4"/>
      <c r="F172" s="4"/>
      <c r="H172" s="4"/>
      <c r="J172" s="4"/>
    </row>
    <row r="173" ht="14.25" customHeight="1">
      <c r="B173" s="4"/>
      <c r="D173" s="4"/>
      <c r="F173" s="4"/>
      <c r="H173" s="4"/>
      <c r="J173" s="4"/>
    </row>
    <row r="174" ht="14.25" customHeight="1">
      <c r="B174" s="4"/>
      <c r="D174" s="4"/>
      <c r="F174" s="4"/>
      <c r="H174" s="4"/>
      <c r="J174" s="4"/>
    </row>
    <row r="175" ht="14.25" customHeight="1">
      <c r="B175" s="4"/>
      <c r="D175" s="4"/>
      <c r="F175" s="4"/>
      <c r="H175" s="4"/>
      <c r="J175" s="4"/>
    </row>
    <row r="176" ht="14.25" customHeight="1">
      <c r="B176" s="4"/>
      <c r="D176" s="4"/>
      <c r="F176" s="4"/>
      <c r="H176" s="4"/>
      <c r="J176" s="4"/>
    </row>
    <row r="177" ht="14.25" customHeight="1">
      <c r="B177" s="4"/>
      <c r="D177" s="4"/>
      <c r="F177" s="4"/>
      <c r="H177" s="4"/>
      <c r="J177" s="4"/>
    </row>
    <row r="178" ht="14.25" customHeight="1">
      <c r="B178" s="4"/>
      <c r="D178" s="4"/>
      <c r="F178" s="4"/>
      <c r="H178" s="4"/>
      <c r="J178" s="4"/>
    </row>
    <row r="179" ht="14.25" customHeight="1">
      <c r="B179" s="4"/>
      <c r="D179" s="4"/>
      <c r="F179" s="4"/>
      <c r="H179" s="4"/>
      <c r="J179" s="4"/>
    </row>
    <row r="180" ht="14.25" customHeight="1">
      <c r="B180" s="4"/>
      <c r="D180" s="4"/>
      <c r="F180" s="4"/>
      <c r="H180" s="4"/>
      <c r="J180" s="4"/>
    </row>
    <row r="181" ht="14.25" customHeight="1">
      <c r="B181" s="4"/>
      <c r="D181" s="4"/>
      <c r="F181" s="4"/>
      <c r="H181" s="4"/>
      <c r="J181" s="4"/>
    </row>
    <row r="182" ht="14.25" customHeight="1">
      <c r="B182" s="4"/>
      <c r="D182" s="4"/>
      <c r="F182" s="4"/>
      <c r="H182" s="4"/>
      <c r="J182" s="4"/>
    </row>
    <row r="183" ht="14.25" customHeight="1">
      <c r="B183" s="4"/>
      <c r="D183" s="4"/>
      <c r="F183" s="4"/>
      <c r="H183" s="4"/>
      <c r="J183" s="4"/>
    </row>
    <row r="184" ht="14.25" customHeight="1">
      <c r="B184" s="4"/>
      <c r="D184" s="4"/>
      <c r="F184" s="4"/>
      <c r="H184" s="4"/>
      <c r="J184" s="4"/>
    </row>
    <row r="185" ht="14.25" customHeight="1">
      <c r="B185" s="4"/>
      <c r="D185" s="4"/>
      <c r="F185" s="4"/>
      <c r="H185" s="4"/>
      <c r="J185" s="4"/>
    </row>
    <row r="186" ht="14.25" customHeight="1">
      <c r="B186" s="4"/>
      <c r="D186" s="4"/>
      <c r="F186" s="4"/>
      <c r="H186" s="4"/>
      <c r="J186" s="4"/>
    </row>
    <row r="187" ht="14.25" customHeight="1">
      <c r="B187" s="4"/>
      <c r="D187" s="4"/>
      <c r="F187" s="4"/>
      <c r="H187" s="4"/>
      <c r="J187" s="4"/>
    </row>
    <row r="188" ht="14.25" customHeight="1">
      <c r="B188" s="4"/>
      <c r="D188" s="4"/>
      <c r="F188" s="4"/>
      <c r="H188" s="4"/>
      <c r="J188" s="4"/>
    </row>
    <row r="189" ht="14.25" customHeight="1">
      <c r="B189" s="4"/>
      <c r="D189" s="4"/>
      <c r="F189" s="4"/>
      <c r="H189" s="4"/>
      <c r="J189" s="4"/>
    </row>
    <row r="190" ht="14.25" customHeight="1">
      <c r="B190" s="4"/>
      <c r="D190" s="4"/>
      <c r="F190" s="4"/>
      <c r="H190" s="4"/>
      <c r="J190" s="4"/>
    </row>
    <row r="191" ht="14.25" customHeight="1">
      <c r="B191" s="4"/>
      <c r="D191" s="4"/>
      <c r="F191" s="4"/>
      <c r="H191" s="4"/>
      <c r="J191" s="4"/>
    </row>
    <row r="192" ht="14.25" customHeight="1">
      <c r="B192" s="4"/>
      <c r="D192" s="4"/>
      <c r="F192" s="4"/>
      <c r="H192" s="4"/>
      <c r="J192" s="4"/>
    </row>
    <row r="193" ht="14.25" customHeight="1">
      <c r="B193" s="4"/>
      <c r="D193" s="4"/>
      <c r="F193" s="4"/>
      <c r="H193" s="4"/>
      <c r="J193" s="4"/>
    </row>
    <row r="194" ht="14.25" customHeight="1">
      <c r="B194" s="4"/>
      <c r="D194" s="4"/>
      <c r="F194" s="4"/>
      <c r="H194" s="4"/>
      <c r="J194" s="4"/>
    </row>
    <row r="195" ht="14.25" customHeight="1">
      <c r="B195" s="4"/>
      <c r="D195" s="4"/>
      <c r="F195" s="4"/>
      <c r="H195" s="4"/>
      <c r="J195" s="4"/>
    </row>
    <row r="196" ht="14.25" customHeight="1">
      <c r="B196" s="4"/>
      <c r="D196" s="4"/>
      <c r="F196" s="4"/>
      <c r="H196" s="4"/>
      <c r="J196" s="4"/>
    </row>
    <row r="197" ht="14.25" customHeight="1">
      <c r="B197" s="4"/>
      <c r="D197" s="4"/>
      <c r="F197" s="4"/>
      <c r="H197" s="4"/>
      <c r="J197" s="4"/>
    </row>
    <row r="198" ht="14.25" customHeight="1">
      <c r="B198" s="4"/>
      <c r="D198" s="4"/>
      <c r="F198" s="4"/>
      <c r="H198" s="4"/>
      <c r="J198" s="4"/>
    </row>
    <row r="199" ht="14.25" customHeight="1">
      <c r="B199" s="4"/>
      <c r="D199" s="4"/>
      <c r="F199" s="4"/>
      <c r="H199" s="4"/>
      <c r="J199" s="4"/>
    </row>
    <row r="200" ht="14.25" customHeight="1">
      <c r="B200" s="4"/>
      <c r="D200" s="4"/>
      <c r="F200" s="4"/>
      <c r="H200" s="4"/>
      <c r="J200" s="4"/>
    </row>
    <row r="201" ht="14.25" customHeight="1">
      <c r="B201" s="4"/>
      <c r="D201" s="4"/>
      <c r="F201" s="4"/>
      <c r="H201" s="4"/>
      <c r="J201" s="4"/>
    </row>
    <row r="202" ht="14.25" customHeight="1">
      <c r="B202" s="4"/>
      <c r="D202" s="4"/>
      <c r="F202" s="4"/>
      <c r="H202" s="4"/>
      <c r="J202" s="4"/>
    </row>
    <row r="203" ht="14.25" customHeight="1">
      <c r="B203" s="4"/>
      <c r="D203" s="4"/>
      <c r="F203" s="4"/>
      <c r="H203" s="4"/>
      <c r="J203" s="4"/>
    </row>
    <row r="204" ht="14.25" customHeight="1">
      <c r="B204" s="4"/>
      <c r="D204" s="4"/>
      <c r="F204" s="4"/>
      <c r="H204" s="4"/>
      <c r="J204" s="4"/>
    </row>
    <row r="205" ht="14.25" customHeight="1">
      <c r="B205" s="4"/>
      <c r="D205" s="4"/>
      <c r="F205" s="4"/>
      <c r="H205" s="4"/>
      <c r="J205" s="4"/>
    </row>
    <row r="206" ht="14.25" customHeight="1">
      <c r="B206" s="4"/>
      <c r="D206" s="4"/>
      <c r="F206" s="4"/>
      <c r="H206" s="4"/>
      <c r="J206" s="4"/>
    </row>
    <row r="207" ht="14.25" customHeight="1">
      <c r="B207" s="4"/>
      <c r="D207" s="4"/>
      <c r="F207" s="4"/>
      <c r="H207" s="4"/>
      <c r="J207" s="4"/>
    </row>
    <row r="208" ht="14.25" customHeight="1">
      <c r="B208" s="4"/>
      <c r="D208" s="4"/>
      <c r="F208" s="4"/>
      <c r="H208" s="4"/>
      <c r="J208" s="4"/>
    </row>
    <row r="209" ht="14.25" customHeight="1">
      <c r="B209" s="4"/>
      <c r="D209" s="4"/>
      <c r="F209" s="4"/>
      <c r="H209" s="4"/>
      <c r="J209" s="4"/>
    </row>
    <row r="210" ht="14.25" customHeight="1">
      <c r="B210" s="4"/>
      <c r="D210" s="4"/>
      <c r="F210" s="4"/>
      <c r="H210" s="4"/>
      <c r="J210" s="4"/>
    </row>
    <row r="211" ht="14.25" customHeight="1">
      <c r="B211" s="4"/>
      <c r="D211" s="4"/>
      <c r="F211" s="4"/>
      <c r="H211" s="4"/>
      <c r="J211" s="4"/>
    </row>
    <row r="212" ht="14.25" customHeight="1">
      <c r="B212" s="4"/>
      <c r="D212" s="4"/>
      <c r="F212" s="4"/>
      <c r="H212" s="4"/>
      <c r="J212" s="4"/>
    </row>
    <row r="213" ht="14.25" customHeight="1">
      <c r="B213" s="4"/>
      <c r="D213" s="4"/>
      <c r="F213" s="4"/>
      <c r="H213" s="4"/>
      <c r="J213" s="4"/>
    </row>
    <row r="214" ht="14.25" customHeight="1">
      <c r="B214" s="4"/>
      <c r="D214" s="4"/>
      <c r="F214" s="4"/>
      <c r="H214" s="4"/>
      <c r="J214" s="4"/>
    </row>
    <row r="215" ht="14.25" customHeight="1">
      <c r="B215" s="4"/>
      <c r="D215" s="4"/>
      <c r="F215" s="4"/>
      <c r="H215" s="4"/>
      <c r="J215" s="4"/>
    </row>
    <row r="216" ht="14.25" customHeight="1">
      <c r="B216" s="4"/>
      <c r="D216" s="4"/>
      <c r="F216" s="4"/>
      <c r="H216" s="4"/>
      <c r="J216" s="4"/>
    </row>
    <row r="217" ht="14.25" customHeight="1">
      <c r="B217" s="4"/>
      <c r="D217" s="4"/>
      <c r="F217" s="4"/>
      <c r="H217" s="4"/>
      <c r="J217" s="4"/>
    </row>
    <row r="218" ht="14.25" customHeight="1">
      <c r="B218" s="4"/>
      <c r="D218" s="4"/>
      <c r="F218" s="4"/>
      <c r="H218" s="4"/>
      <c r="J218" s="4"/>
    </row>
    <row r="219" ht="14.25" customHeight="1">
      <c r="B219" s="4"/>
      <c r="D219" s="4"/>
      <c r="F219" s="4"/>
      <c r="H219" s="4"/>
      <c r="J219" s="4"/>
    </row>
    <row r="220" ht="14.25" customHeight="1">
      <c r="B220" s="4"/>
      <c r="D220" s="4"/>
      <c r="F220" s="4"/>
      <c r="H220" s="4"/>
      <c r="J220" s="4"/>
    </row>
    <row r="221" ht="14.25" customHeight="1">
      <c r="B221" s="4"/>
      <c r="D221" s="4"/>
      <c r="F221" s="4"/>
      <c r="H221" s="4"/>
      <c r="J221" s="4"/>
    </row>
    <row r="222" ht="14.25" customHeight="1">
      <c r="B222" s="4"/>
      <c r="D222" s="4"/>
      <c r="F222" s="4"/>
      <c r="H222" s="4"/>
      <c r="J222" s="4"/>
    </row>
    <row r="223" ht="14.25" customHeight="1">
      <c r="B223" s="4"/>
      <c r="D223" s="4"/>
      <c r="F223" s="4"/>
      <c r="H223" s="4"/>
      <c r="J223" s="4"/>
    </row>
    <row r="224" ht="14.25" customHeight="1">
      <c r="B224" s="4"/>
      <c r="D224" s="4"/>
      <c r="F224" s="4"/>
      <c r="H224" s="4"/>
      <c r="J224" s="4"/>
    </row>
    <row r="225" ht="14.25" customHeight="1">
      <c r="B225" s="4"/>
      <c r="D225" s="4"/>
      <c r="F225" s="4"/>
      <c r="H225" s="4"/>
      <c r="J225" s="4"/>
    </row>
    <row r="226" ht="14.25" customHeight="1">
      <c r="B226" s="4"/>
      <c r="D226" s="4"/>
      <c r="F226" s="4"/>
      <c r="H226" s="4"/>
      <c r="J226" s="4"/>
    </row>
    <row r="227" ht="14.25" customHeight="1">
      <c r="B227" s="4"/>
      <c r="D227" s="4"/>
      <c r="F227" s="4"/>
      <c r="H227" s="4"/>
      <c r="J227" s="4"/>
    </row>
    <row r="228" ht="14.25" customHeight="1">
      <c r="B228" s="4"/>
      <c r="D228" s="4"/>
      <c r="F228" s="4"/>
      <c r="H228" s="4"/>
      <c r="J228" s="4"/>
    </row>
    <row r="229" ht="14.25" customHeight="1">
      <c r="B229" s="4"/>
      <c r="D229" s="4"/>
      <c r="F229" s="4"/>
      <c r="H229" s="4"/>
      <c r="J229" s="4"/>
    </row>
    <row r="230" ht="14.25" customHeight="1">
      <c r="B230" s="4"/>
      <c r="D230" s="4"/>
      <c r="F230" s="4"/>
      <c r="H230" s="4"/>
      <c r="J230" s="4"/>
    </row>
    <row r="231" ht="14.25" customHeight="1">
      <c r="B231" s="4"/>
      <c r="D231" s="4"/>
      <c r="F231" s="4"/>
      <c r="H231" s="4"/>
      <c r="J231" s="4"/>
    </row>
    <row r="232" ht="14.25" customHeight="1">
      <c r="B232" s="4"/>
      <c r="D232" s="4"/>
      <c r="F232" s="4"/>
      <c r="H232" s="4"/>
      <c r="J232" s="4"/>
    </row>
    <row r="233" ht="14.25" customHeight="1">
      <c r="B233" s="4"/>
      <c r="D233" s="4"/>
      <c r="F233" s="4"/>
      <c r="H233" s="4"/>
      <c r="J233" s="4"/>
    </row>
    <row r="234" ht="14.25" customHeight="1">
      <c r="B234" s="4"/>
      <c r="D234" s="4"/>
      <c r="F234" s="4"/>
      <c r="H234" s="4"/>
      <c r="J234" s="4"/>
    </row>
    <row r="235" ht="14.25" customHeight="1">
      <c r="B235" s="4"/>
      <c r="D235" s="4"/>
      <c r="F235" s="4"/>
      <c r="H235" s="4"/>
      <c r="J235" s="4"/>
    </row>
    <row r="236" ht="14.25" customHeight="1">
      <c r="B236" s="4"/>
      <c r="D236" s="4"/>
      <c r="F236" s="4"/>
      <c r="H236" s="4"/>
      <c r="J236" s="4"/>
    </row>
    <row r="237" ht="14.25" customHeight="1">
      <c r="B237" s="4"/>
      <c r="D237" s="4"/>
      <c r="F237" s="4"/>
      <c r="H237" s="4"/>
      <c r="J237" s="4"/>
    </row>
    <row r="238" ht="14.25" customHeight="1">
      <c r="B238" s="4"/>
      <c r="D238" s="4"/>
      <c r="F238" s="4"/>
      <c r="H238" s="4"/>
      <c r="J238" s="4"/>
    </row>
    <row r="239" ht="14.25" customHeight="1">
      <c r="B239" s="4"/>
      <c r="D239" s="4"/>
      <c r="F239" s="4"/>
      <c r="H239" s="4"/>
      <c r="J239" s="4"/>
    </row>
    <row r="240" ht="14.25" customHeight="1">
      <c r="B240" s="4"/>
      <c r="D240" s="4"/>
      <c r="F240" s="4"/>
      <c r="H240" s="4"/>
      <c r="J240" s="4"/>
    </row>
    <row r="241" ht="14.25" customHeight="1">
      <c r="B241" s="4"/>
      <c r="D241" s="4"/>
      <c r="F241" s="4"/>
      <c r="H241" s="4"/>
      <c r="J241" s="4"/>
    </row>
    <row r="242" ht="14.25" customHeight="1">
      <c r="B242" s="4"/>
      <c r="D242" s="4"/>
      <c r="F242" s="4"/>
      <c r="H242" s="4"/>
      <c r="J242" s="4"/>
    </row>
    <row r="243" ht="14.25" customHeight="1">
      <c r="B243" s="4"/>
      <c r="D243" s="4"/>
      <c r="F243" s="4"/>
      <c r="H243" s="4"/>
      <c r="J243" s="4"/>
    </row>
    <row r="244" ht="14.25" customHeight="1">
      <c r="B244" s="4"/>
      <c r="D244" s="4"/>
      <c r="F244" s="4"/>
      <c r="H244" s="4"/>
      <c r="J244" s="4"/>
    </row>
    <row r="245" ht="14.25" customHeight="1">
      <c r="B245" s="4"/>
      <c r="D245" s="4"/>
      <c r="F245" s="4"/>
      <c r="H245" s="4"/>
      <c r="J245" s="4"/>
    </row>
    <row r="246" ht="14.25" customHeight="1">
      <c r="B246" s="4"/>
      <c r="D246" s="4"/>
      <c r="F246" s="4"/>
      <c r="H246" s="4"/>
      <c r="J246" s="4"/>
    </row>
    <row r="247" ht="14.25" customHeight="1">
      <c r="B247" s="4"/>
      <c r="D247" s="4"/>
      <c r="F247" s="4"/>
      <c r="H247" s="4"/>
      <c r="J247" s="4"/>
    </row>
    <row r="248" ht="14.25" customHeight="1">
      <c r="B248" s="4"/>
      <c r="D248" s="4"/>
      <c r="F248" s="4"/>
      <c r="H248" s="4"/>
      <c r="J248" s="4"/>
    </row>
    <row r="249" ht="14.25" customHeight="1">
      <c r="B249" s="4"/>
      <c r="D249" s="4"/>
      <c r="F249" s="4"/>
      <c r="H249" s="4"/>
      <c r="J249" s="4"/>
    </row>
    <row r="250" ht="14.25" customHeight="1">
      <c r="B250" s="4"/>
      <c r="D250" s="4"/>
      <c r="F250" s="4"/>
      <c r="H250" s="4"/>
      <c r="J250" s="4"/>
    </row>
    <row r="251" ht="14.25" customHeight="1">
      <c r="B251" s="4"/>
      <c r="D251" s="4"/>
      <c r="F251" s="4"/>
      <c r="H251" s="4"/>
      <c r="J251" s="4"/>
    </row>
    <row r="252" ht="14.25" customHeight="1">
      <c r="B252" s="4"/>
      <c r="D252" s="4"/>
      <c r="F252" s="4"/>
      <c r="H252" s="4"/>
      <c r="J252" s="4"/>
    </row>
    <row r="253" ht="14.25" customHeight="1">
      <c r="B253" s="4"/>
      <c r="D253" s="4"/>
      <c r="F253" s="4"/>
      <c r="H253" s="4"/>
      <c r="J253" s="4"/>
    </row>
    <row r="254" ht="14.25" customHeight="1">
      <c r="B254" s="4"/>
      <c r="D254" s="4"/>
      <c r="F254" s="4"/>
      <c r="H254" s="4"/>
      <c r="J254" s="4"/>
    </row>
    <row r="255" ht="14.25" customHeight="1">
      <c r="B255" s="4"/>
      <c r="D255" s="4"/>
      <c r="F255" s="4"/>
      <c r="H255" s="4"/>
      <c r="J255" s="4"/>
    </row>
    <row r="256" ht="14.25" customHeight="1">
      <c r="B256" s="4"/>
      <c r="D256" s="4"/>
      <c r="F256" s="4"/>
      <c r="H256" s="4"/>
      <c r="J256" s="4"/>
    </row>
    <row r="257" ht="14.25" customHeight="1">
      <c r="B257" s="4"/>
      <c r="D257" s="4"/>
      <c r="F257" s="4"/>
      <c r="H257" s="4"/>
      <c r="J257" s="4"/>
    </row>
    <row r="258" ht="14.25" customHeight="1">
      <c r="B258" s="4"/>
      <c r="D258" s="4"/>
      <c r="F258" s="4"/>
      <c r="H258" s="4"/>
      <c r="J258" s="4"/>
    </row>
    <row r="259" ht="14.25" customHeight="1">
      <c r="B259" s="4"/>
      <c r="D259" s="4"/>
      <c r="F259" s="4"/>
      <c r="H259" s="4"/>
      <c r="J259" s="4"/>
    </row>
    <row r="260" ht="14.25" customHeight="1">
      <c r="B260" s="4"/>
      <c r="D260" s="4"/>
      <c r="F260" s="4"/>
      <c r="H260" s="4"/>
      <c r="J260" s="4"/>
    </row>
    <row r="261" ht="14.25" customHeight="1">
      <c r="B261" s="4"/>
      <c r="D261" s="4"/>
      <c r="F261" s="4"/>
      <c r="H261" s="4"/>
      <c r="J261" s="4"/>
    </row>
    <row r="262" ht="14.25" customHeight="1">
      <c r="B262" s="4"/>
      <c r="D262" s="4"/>
      <c r="F262" s="4"/>
      <c r="H262" s="4"/>
      <c r="J262" s="4"/>
    </row>
    <row r="263" ht="14.25" customHeight="1">
      <c r="B263" s="4"/>
      <c r="D263" s="4"/>
      <c r="F263" s="4"/>
      <c r="H263" s="4"/>
      <c r="J263" s="4"/>
    </row>
    <row r="264" ht="14.25" customHeight="1">
      <c r="B264" s="4"/>
      <c r="D264" s="4"/>
      <c r="F264" s="4"/>
      <c r="H264" s="4"/>
      <c r="J264" s="4"/>
    </row>
    <row r="265" ht="14.25" customHeight="1">
      <c r="B265" s="4"/>
      <c r="D265" s="4"/>
      <c r="F265" s="4"/>
      <c r="H265" s="4"/>
      <c r="J265" s="4"/>
    </row>
    <row r="266" ht="14.25" customHeight="1">
      <c r="B266" s="4"/>
      <c r="D266" s="4"/>
      <c r="F266" s="4"/>
      <c r="H266" s="4"/>
      <c r="J266" s="4"/>
    </row>
    <row r="267" ht="14.25" customHeight="1">
      <c r="B267" s="4"/>
      <c r="D267" s="4"/>
      <c r="F267" s="4"/>
      <c r="H267" s="4"/>
      <c r="J267" s="4"/>
    </row>
    <row r="268" ht="14.25" customHeight="1">
      <c r="B268" s="4"/>
      <c r="D268" s="4"/>
      <c r="F268" s="4"/>
      <c r="H268" s="4"/>
      <c r="J268" s="4"/>
    </row>
    <row r="269" ht="14.25" customHeight="1">
      <c r="B269" s="4"/>
      <c r="D269" s="4"/>
      <c r="F269" s="4"/>
      <c r="H269" s="4"/>
      <c r="J269" s="4"/>
    </row>
    <row r="270" ht="14.25" customHeight="1">
      <c r="B270" s="4"/>
      <c r="D270" s="4"/>
      <c r="F270" s="4"/>
      <c r="H270" s="4"/>
      <c r="J270" s="4"/>
    </row>
    <row r="271" ht="14.25" customHeight="1">
      <c r="B271" s="4"/>
      <c r="D271" s="4"/>
      <c r="F271" s="4"/>
      <c r="H271" s="4"/>
      <c r="J271" s="4"/>
    </row>
    <row r="272" ht="14.25" customHeight="1">
      <c r="B272" s="4"/>
      <c r="D272" s="4"/>
      <c r="F272" s="4"/>
      <c r="H272" s="4"/>
      <c r="J272" s="4"/>
    </row>
    <row r="273" ht="14.25" customHeight="1">
      <c r="B273" s="4"/>
      <c r="D273" s="4"/>
      <c r="F273" s="4"/>
      <c r="H273" s="4"/>
      <c r="J273" s="4"/>
    </row>
    <row r="274" ht="14.25" customHeight="1">
      <c r="B274" s="4"/>
      <c r="D274" s="4"/>
      <c r="F274" s="4"/>
      <c r="H274" s="4"/>
      <c r="J274" s="4"/>
    </row>
    <row r="275" ht="14.25" customHeight="1">
      <c r="B275" s="4"/>
      <c r="D275" s="4"/>
      <c r="F275" s="4"/>
      <c r="H275" s="4"/>
      <c r="J275" s="4"/>
    </row>
    <row r="276" ht="14.25" customHeight="1">
      <c r="B276" s="4"/>
      <c r="D276" s="4"/>
      <c r="F276" s="4"/>
      <c r="H276" s="4"/>
      <c r="J276" s="4"/>
    </row>
    <row r="277" ht="14.25" customHeight="1">
      <c r="B277" s="4"/>
      <c r="D277" s="4"/>
      <c r="F277" s="4"/>
      <c r="H277" s="4"/>
      <c r="J277" s="4"/>
    </row>
    <row r="278" ht="14.25" customHeight="1">
      <c r="B278" s="4"/>
      <c r="D278" s="4"/>
      <c r="F278" s="4"/>
      <c r="H278" s="4"/>
      <c r="J278" s="4"/>
    </row>
    <row r="279" ht="14.25" customHeight="1">
      <c r="B279" s="4"/>
      <c r="D279" s="4"/>
      <c r="F279" s="4"/>
      <c r="H279" s="4"/>
      <c r="J279" s="4"/>
    </row>
    <row r="280" ht="14.25" customHeight="1">
      <c r="B280" s="4"/>
      <c r="D280" s="4"/>
      <c r="F280" s="4"/>
      <c r="H280" s="4"/>
      <c r="J280" s="4"/>
    </row>
    <row r="281" ht="14.25" customHeight="1">
      <c r="B281" s="4"/>
      <c r="D281" s="4"/>
      <c r="F281" s="4"/>
      <c r="H281" s="4"/>
      <c r="J281" s="4"/>
    </row>
    <row r="282" ht="14.25" customHeight="1">
      <c r="B282" s="4"/>
      <c r="D282" s="4"/>
      <c r="F282" s="4"/>
      <c r="H282" s="4"/>
      <c r="J282" s="4"/>
    </row>
    <row r="283" ht="14.25" customHeight="1">
      <c r="B283" s="4"/>
      <c r="D283" s="4"/>
      <c r="F283" s="4"/>
      <c r="H283" s="4"/>
      <c r="J283" s="4"/>
    </row>
    <row r="284" ht="14.25" customHeight="1">
      <c r="B284" s="4"/>
      <c r="D284" s="4"/>
      <c r="F284" s="4"/>
      <c r="H284" s="4"/>
      <c r="J284" s="4"/>
    </row>
    <row r="285" ht="14.25" customHeight="1">
      <c r="B285" s="4"/>
      <c r="D285" s="4"/>
      <c r="F285" s="4"/>
      <c r="H285" s="4"/>
      <c r="J285" s="4"/>
    </row>
    <row r="286" ht="14.25" customHeight="1">
      <c r="B286" s="4"/>
      <c r="D286" s="4"/>
      <c r="F286" s="4"/>
      <c r="H286" s="4"/>
      <c r="J286" s="4"/>
    </row>
    <row r="287" ht="14.25" customHeight="1">
      <c r="B287" s="4"/>
      <c r="D287" s="4"/>
      <c r="F287" s="4"/>
      <c r="H287" s="4"/>
      <c r="J287" s="4"/>
    </row>
    <row r="288" ht="14.25" customHeight="1">
      <c r="B288" s="4"/>
      <c r="D288" s="4"/>
      <c r="F288" s="4"/>
      <c r="H288" s="4"/>
      <c r="J288" s="4"/>
    </row>
    <row r="289" ht="14.25" customHeight="1">
      <c r="B289" s="4"/>
      <c r="D289" s="4"/>
      <c r="F289" s="4"/>
      <c r="H289" s="4"/>
      <c r="J289" s="4"/>
    </row>
    <row r="290" ht="14.25" customHeight="1">
      <c r="B290" s="4"/>
      <c r="D290" s="4"/>
      <c r="F290" s="4"/>
      <c r="H290" s="4"/>
      <c r="J290" s="4"/>
    </row>
    <row r="291" ht="14.25" customHeight="1">
      <c r="B291" s="4"/>
      <c r="D291" s="4"/>
      <c r="F291" s="4"/>
      <c r="H291" s="4"/>
      <c r="J291" s="4"/>
    </row>
    <row r="292" ht="14.25" customHeight="1">
      <c r="B292" s="4"/>
      <c r="D292" s="4"/>
      <c r="F292" s="4"/>
      <c r="H292" s="4"/>
      <c r="J292" s="4"/>
    </row>
    <row r="293" ht="14.25" customHeight="1">
      <c r="B293" s="4"/>
      <c r="D293" s="4"/>
      <c r="F293" s="4"/>
      <c r="H293" s="4"/>
      <c r="J293" s="4"/>
    </row>
    <row r="294" ht="14.25" customHeight="1">
      <c r="B294" s="4"/>
      <c r="D294" s="4"/>
      <c r="F294" s="4"/>
      <c r="H294" s="4"/>
      <c r="J294" s="4"/>
    </row>
    <row r="295" ht="14.25" customHeight="1">
      <c r="B295" s="4"/>
      <c r="D295" s="4"/>
      <c r="F295" s="4"/>
      <c r="H295" s="4"/>
      <c r="J295" s="4"/>
    </row>
    <row r="296" ht="14.25" customHeight="1">
      <c r="B296" s="4"/>
      <c r="D296" s="4"/>
      <c r="F296" s="4"/>
      <c r="H296" s="4"/>
      <c r="J296" s="4"/>
    </row>
    <row r="297" ht="14.25" customHeight="1">
      <c r="B297" s="4"/>
      <c r="D297" s="4"/>
      <c r="F297" s="4"/>
      <c r="H297" s="4"/>
      <c r="J297" s="4"/>
    </row>
    <row r="298" ht="14.25" customHeight="1">
      <c r="B298" s="4"/>
      <c r="D298" s="4"/>
      <c r="F298" s="4"/>
      <c r="H298" s="4"/>
      <c r="J298" s="4"/>
    </row>
    <row r="299" ht="14.25" customHeight="1">
      <c r="B299" s="4"/>
      <c r="D299" s="4"/>
      <c r="F299" s="4"/>
      <c r="H299" s="4"/>
      <c r="J299" s="4"/>
    </row>
    <row r="300" ht="14.25" customHeight="1">
      <c r="B300" s="4"/>
      <c r="D300" s="4"/>
      <c r="F300" s="4"/>
      <c r="H300" s="4"/>
      <c r="J300" s="4"/>
    </row>
    <row r="301" ht="14.25" customHeight="1">
      <c r="B301" s="4"/>
      <c r="D301" s="4"/>
      <c r="F301" s="4"/>
      <c r="H301" s="4"/>
      <c r="J301" s="4"/>
    </row>
    <row r="302" ht="14.25" customHeight="1">
      <c r="B302" s="4"/>
      <c r="D302" s="4"/>
      <c r="F302" s="4"/>
      <c r="H302" s="4"/>
      <c r="J302" s="4"/>
    </row>
    <row r="303" ht="14.25" customHeight="1">
      <c r="B303" s="4"/>
      <c r="D303" s="4"/>
      <c r="F303" s="4"/>
      <c r="H303" s="4"/>
      <c r="J303" s="4"/>
    </row>
    <row r="304" ht="14.25" customHeight="1">
      <c r="B304" s="4"/>
      <c r="D304" s="4"/>
      <c r="F304" s="4"/>
      <c r="H304" s="4"/>
      <c r="J304" s="4"/>
    </row>
    <row r="305" ht="14.25" customHeight="1">
      <c r="B305" s="4"/>
      <c r="D305" s="4"/>
      <c r="F305" s="4"/>
      <c r="H305" s="4"/>
      <c r="J305" s="4"/>
    </row>
    <row r="306" ht="14.25" customHeight="1">
      <c r="B306" s="4"/>
      <c r="D306" s="4"/>
      <c r="F306" s="4"/>
      <c r="H306" s="4"/>
      <c r="J306" s="4"/>
    </row>
    <row r="307" ht="14.25" customHeight="1">
      <c r="B307" s="4"/>
      <c r="D307" s="4"/>
      <c r="F307" s="4"/>
      <c r="H307" s="4"/>
      <c r="J307" s="4"/>
    </row>
    <row r="308" ht="14.25" customHeight="1">
      <c r="B308" s="4"/>
      <c r="D308" s="4"/>
      <c r="F308" s="4"/>
      <c r="H308" s="4"/>
      <c r="J308" s="4"/>
    </row>
    <row r="309" ht="14.25" customHeight="1">
      <c r="B309" s="4"/>
      <c r="D309" s="4"/>
      <c r="F309" s="4"/>
      <c r="H309" s="4"/>
      <c r="J309" s="4"/>
    </row>
    <row r="310" ht="14.25" customHeight="1">
      <c r="B310" s="4"/>
      <c r="D310" s="4"/>
      <c r="F310" s="4"/>
      <c r="H310" s="4"/>
      <c r="J310" s="4"/>
    </row>
    <row r="311" ht="14.25" customHeight="1">
      <c r="B311" s="4"/>
      <c r="D311" s="4"/>
      <c r="F311" s="4"/>
      <c r="H311" s="4"/>
      <c r="J311" s="4"/>
    </row>
    <row r="312" ht="14.25" customHeight="1">
      <c r="B312" s="4"/>
      <c r="D312" s="4"/>
      <c r="F312" s="4"/>
      <c r="H312" s="4"/>
      <c r="J312" s="4"/>
    </row>
    <row r="313" ht="14.25" customHeight="1">
      <c r="B313" s="4"/>
      <c r="D313" s="4"/>
      <c r="F313" s="4"/>
      <c r="H313" s="4"/>
      <c r="J313" s="4"/>
    </row>
    <row r="314" ht="14.25" customHeight="1">
      <c r="B314" s="4"/>
      <c r="D314" s="4"/>
      <c r="F314" s="4"/>
      <c r="H314" s="4"/>
      <c r="J314" s="4"/>
    </row>
    <row r="315" ht="14.25" customHeight="1">
      <c r="B315" s="4"/>
      <c r="D315" s="4"/>
      <c r="F315" s="4"/>
      <c r="H315" s="4"/>
      <c r="J315" s="4"/>
    </row>
    <row r="316" ht="14.25" customHeight="1">
      <c r="B316" s="4"/>
      <c r="D316" s="4"/>
      <c r="F316" s="4"/>
      <c r="H316" s="4"/>
      <c r="J316" s="4"/>
    </row>
    <row r="317" ht="14.25" customHeight="1">
      <c r="B317" s="4"/>
      <c r="D317" s="4"/>
      <c r="F317" s="4"/>
      <c r="H317" s="4"/>
      <c r="J317" s="4"/>
    </row>
    <row r="318" ht="14.25" customHeight="1">
      <c r="B318" s="4"/>
      <c r="D318" s="4"/>
      <c r="F318" s="4"/>
      <c r="H318" s="4"/>
      <c r="J318" s="4"/>
    </row>
    <row r="319" ht="14.25" customHeight="1">
      <c r="B319" s="4"/>
      <c r="D319" s="4"/>
      <c r="F319" s="4"/>
      <c r="H319" s="4"/>
      <c r="J319" s="4"/>
    </row>
    <row r="320" ht="14.25" customHeight="1">
      <c r="B320" s="4"/>
      <c r="D320" s="4"/>
      <c r="F320" s="4"/>
      <c r="H320" s="4"/>
      <c r="J320" s="4"/>
    </row>
    <row r="321" ht="14.25" customHeight="1">
      <c r="B321" s="4"/>
      <c r="D321" s="4"/>
      <c r="F321" s="4"/>
      <c r="H321" s="4"/>
      <c r="J321" s="4"/>
    </row>
    <row r="322" ht="14.25" customHeight="1">
      <c r="B322" s="4"/>
      <c r="D322" s="4"/>
      <c r="F322" s="4"/>
      <c r="H322" s="4"/>
      <c r="J322" s="4"/>
    </row>
    <row r="323" ht="14.25" customHeight="1">
      <c r="B323" s="4"/>
      <c r="D323" s="4"/>
      <c r="F323" s="4"/>
      <c r="H323" s="4"/>
      <c r="J323" s="4"/>
    </row>
    <row r="324" ht="14.25" customHeight="1">
      <c r="B324" s="4"/>
      <c r="D324" s="4"/>
      <c r="F324" s="4"/>
      <c r="H324" s="4"/>
      <c r="J324" s="4"/>
    </row>
    <row r="325" ht="14.25" customHeight="1">
      <c r="B325" s="4"/>
      <c r="D325" s="4"/>
      <c r="F325" s="4"/>
      <c r="H325" s="4"/>
      <c r="J325" s="4"/>
    </row>
    <row r="326" ht="14.25" customHeight="1">
      <c r="B326" s="4"/>
      <c r="D326" s="4"/>
      <c r="F326" s="4"/>
      <c r="H326" s="4"/>
      <c r="J326" s="4"/>
    </row>
    <row r="327" ht="14.25" customHeight="1">
      <c r="B327" s="4"/>
      <c r="D327" s="4"/>
      <c r="F327" s="4"/>
      <c r="H327" s="4"/>
      <c r="J327" s="4"/>
    </row>
    <row r="328" ht="14.25" customHeight="1">
      <c r="B328" s="4"/>
      <c r="D328" s="4"/>
      <c r="F328" s="4"/>
      <c r="H328" s="4"/>
      <c r="J328" s="4"/>
    </row>
    <row r="329" ht="14.25" customHeight="1">
      <c r="B329" s="4"/>
      <c r="D329" s="4"/>
      <c r="F329" s="4"/>
      <c r="H329" s="4"/>
      <c r="J329" s="4"/>
    </row>
    <row r="330" ht="14.25" customHeight="1">
      <c r="B330" s="4"/>
      <c r="D330" s="4"/>
      <c r="F330" s="4"/>
      <c r="H330" s="4"/>
      <c r="J330" s="4"/>
    </row>
    <row r="331" ht="14.25" customHeight="1">
      <c r="B331" s="4"/>
      <c r="D331" s="4"/>
      <c r="F331" s="4"/>
      <c r="H331" s="4"/>
      <c r="J331" s="4"/>
    </row>
    <row r="332" ht="14.25" customHeight="1">
      <c r="B332" s="4"/>
      <c r="D332" s="4"/>
      <c r="F332" s="4"/>
      <c r="H332" s="4"/>
      <c r="J332" s="4"/>
    </row>
    <row r="333" ht="14.25" customHeight="1">
      <c r="B333" s="4"/>
      <c r="D333" s="4"/>
      <c r="F333" s="4"/>
      <c r="H333" s="4"/>
      <c r="J333" s="4"/>
    </row>
    <row r="334" ht="14.25" customHeight="1">
      <c r="B334" s="4"/>
      <c r="D334" s="4"/>
      <c r="F334" s="4"/>
      <c r="H334" s="4"/>
      <c r="J334" s="4"/>
    </row>
    <row r="335" ht="14.25" customHeight="1">
      <c r="B335" s="4"/>
      <c r="D335" s="4"/>
      <c r="F335" s="4"/>
      <c r="H335" s="4"/>
      <c r="J335" s="4"/>
    </row>
    <row r="336" ht="14.25" customHeight="1">
      <c r="B336" s="4"/>
      <c r="D336" s="4"/>
      <c r="F336" s="4"/>
      <c r="H336" s="4"/>
      <c r="J336" s="4"/>
    </row>
    <row r="337" ht="14.25" customHeight="1">
      <c r="B337" s="4"/>
      <c r="D337" s="4"/>
      <c r="F337" s="4"/>
      <c r="H337" s="4"/>
      <c r="J337" s="4"/>
    </row>
    <row r="338" ht="14.25" customHeight="1">
      <c r="B338" s="4"/>
      <c r="D338" s="4"/>
      <c r="F338" s="4"/>
      <c r="H338" s="4"/>
      <c r="J338" s="4"/>
    </row>
    <row r="339" ht="14.25" customHeight="1">
      <c r="B339" s="4"/>
      <c r="D339" s="4"/>
      <c r="F339" s="4"/>
      <c r="H339" s="4"/>
      <c r="J339" s="4"/>
    </row>
    <row r="340" ht="14.25" customHeight="1">
      <c r="B340" s="4"/>
      <c r="D340" s="4"/>
      <c r="F340" s="4"/>
      <c r="H340" s="4"/>
      <c r="J340" s="4"/>
    </row>
    <row r="341" ht="14.25" customHeight="1">
      <c r="B341" s="4"/>
      <c r="D341" s="4"/>
      <c r="F341" s="4"/>
      <c r="H341" s="4"/>
      <c r="J341" s="4"/>
    </row>
    <row r="342" ht="14.25" customHeight="1">
      <c r="B342" s="4"/>
      <c r="D342" s="4"/>
      <c r="F342" s="4"/>
      <c r="H342" s="4"/>
      <c r="J342" s="4"/>
    </row>
    <row r="343" ht="14.25" customHeight="1">
      <c r="B343" s="4"/>
      <c r="D343" s="4"/>
      <c r="F343" s="4"/>
      <c r="H343" s="4"/>
      <c r="J343" s="4"/>
    </row>
    <row r="344" ht="14.25" customHeight="1">
      <c r="B344" s="4"/>
      <c r="D344" s="4"/>
      <c r="F344" s="4"/>
      <c r="H344" s="4"/>
      <c r="J344" s="4"/>
    </row>
    <row r="345" ht="14.25" customHeight="1">
      <c r="B345" s="4"/>
      <c r="D345" s="4"/>
      <c r="F345" s="4"/>
      <c r="H345" s="4"/>
      <c r="J345" s="4"/>
    </row>
    <row r="346" ht="14.25" customHeight="1">
      <c r="B346" s="4"/>
      <c r="D346" s="4"/>
      <c r="F346" s="4"/>
      <c r="H346" s="4"/>
      <c r="J346" s="4"/>
    </row>
    <row r="347" ht="14.25" customHeight="1">
      <c r="B347" s="4"/>
      <c r="D347" s="4"/>
      <c r="F347" s="4"/>
      <c r="H347" s="4"/>
      <c r="J347" s="4"/>
    </row>
    <row r="348" ht="14.25" customHeight="1">
      <c r="B348" s="4"/>
      <c r="D348" s="4"/>
      <c r="F348" s="4"/>
      <c r="H348" s="4"/>
      <c r="J348" s="4"/>
    </row>
    <row r="349" ht="14.25" customHeight="1">
      <c r="B349" s="4"/>
      <c r="D349" s="4"/>
      <c r="F349" s="4"/>
      <c r="H349" s="4"/>
      <c r="J349" s="4"/>
    </row>
    <row r="350" ht="14.25" customHeight="1">
      <c r="B350" s="4"/>
      <c r="D350" s="4"/>
      <c r="F350" s="4"/>
      <c r="H350" s="4"/>
      <c r="J350" s="4"/>
    </row>
    <row r="351" ht="14.25" customHeight="1">
      <c r="B351" s="4"/>
      <c r="D351" s="4"/>
      <c r="F351" s="4"/>
      <c r="H351" s="4"/>
      <c r="J351" s="4"/>
    </row>
    <row r="352" ht="14.25" customHeight="1">
      <c r="B352" s="4"/>
      <c r="D352" s="4"/>
      <c r="F352" s="4"/>
      <c r="H352" s="4"/>
      <c r="J352" s="4"/>
    </row>
    <row r="353" ht="14.25" customHeight="1">
      <c r="B353" s="4"/>
      <c r="D353" s="4"/>
      <c r="F353" s="4"/>
      <c r="H353" s="4"/>
      <c r="J353" s="4"/>
    </row>
    <row r="354" ht="14.25" customHeight="1">
      <c r="B354" s="4"/>
      <c r="D354" s="4"/>
      <c r="F354" s="4"/>
      <c r="H354" s="4"/>
      <c r="J354" s="4"/>
    </row>
    <row r="355" ht="14.25" customHeight="1">
      <c r="B355" s="4"/>
      <c r="D355" s="4"/>
      <c r="F355" s="4"/>
      <c r="H355" s="4"/>
      <c r="J355" s="4"/>
    </row>
    <row r="356" ht="14.25" customHeight="1">
      <c r="B356" s="4"/>
      <c r="D356" s="4"/>
      <c r="F356" s="4"/>
      <c r="H356" s="4"/>
      <c r="J356" s="4"/>
    </row>
    <row r="357" ht="14.25" customHeight="1">
      <c r="B357" s="4"/>
      <c r="D357" s="4"/>
      <c r="F357" s="4"/>
      <c r="H357" s="4"/>
      <c r="J357" s="4"/>
    </row>
    <row r="358" ht="14.25" customHeight="1">
      <c r="B358" s="4"/>
      <c r="D358" s="4"/>
      <c r="F358" s="4"/>
      <c r="H358" s="4"/>
      <c r="J358" s="4"/>
    </row>
    <row r="359" ht="14.25" customHeight="1">
      <c r="B359" s="4"/>
      <c r="D359" s="4"/>
      <c r="F359" s="4"/>
      <c r="H359" s="4"/>
      <c r="J359" s="4"/>
    </row>
    <row r="360" ht="14.25" customHeight="1">
      <c r="B360" s="4"/>
      <c r="D360" s="4"/>
      <c r="F360" s="4"/>
      <c r="H360" s="4"/>
      <c r="J360" s="4"/>
    </row>
    <row r="361" ht="14.25" customHeight="1">
      <c r="B361" s="4"/>
      <c r="D361" s="4"/>
      <c r="F361" s="4"/>
      <c r="H361" s="4"/>
      <c r="J361" s="4"/>
    </row>
    <row r="362" ht="14.25" customHeight="1">
      <c r="B362" s="4"/>
      <c r="D362" s="4"/>
      <c r="F362" s="4"/>
      <c r="H362" s="4"/>
      <c r="J362" s="4"/>
    </row>
    <row r="363" ht="14.25" customHeight="1">
      <c r="B363" s="4"/>
      <c r="D363" s="4"/>
      <c r="F363" s="4"/>
      <c r="H363" s="4"/>
      <c r="J363" s="4"/>
    </row>
    <row r="364" ht="14.25" customHeight="1">
      <c r="B364" s="4"/>
      <c r="D364" s="4"/>
      <c r="F364" s="4"/>
      <c r="H364" s="4"/>
      <c r="J364" s="4"/>
    </row>
    <row r="365" ht="14.25" customHeight="1">
      <c r="B365" s="4"/>
      <c r="D365" s="4"/>
      <c r="F365" s="4"/>
      <c r="H365" s="4"/>
      <c r="J365" s="4"/>
    </row>
    <row r="366" ht="14.25" customHeight="1">
      <c r="B366" s="4"/>
      <c r="D366" s="4"/>
      <c r="F366" s="4"/>
      <c r="H366" s="4"/>
      <c r="J366" s="4"/>
    </row>
    <row r="367" ht="14.25" customHeight="1">
      <c r="B367" s="4"/>
      <c r="D367" s="4"/>
      <c r="F367" s="4"/>
      <c r="H367" s="4"/>
      <c r="J367" s="4"/>
    </row>
    <row r="368" ht="14.25" customHeight="1">
      <c r="B368" s="4"/>
      <c r="D368" s="4"/>
      <c r="F368" s="4"/>
      <c r="H368" s="4"/>
      <c r="J368" s="4"/>
    </row>
    <row r="369" ht="14.25" customHeight="1">
      <c r="B369" s="4"/>
      <c r="D369" s="4"/>
      <c r="F369" s="4"/>
      <c r="H369" s="4"/>
      <c r="J369" s="4"/>
    </row>
    <row r="370" ht="14.25" customHeight="1">
      <c r="B370" s="4"/>
      <c r="D370" s="4"/>
      <c r="F370" s="4"/>
      <c r="H370" s="4"/>
      <c r="J370" s="4"/>
    </row>
    <row r="371" ht="14.25" customHeight="1">
      <c r="B371" s="4"/>
      <c r="D371" s="4"/>
      <c r="F371" s="4"/>
      <c r="H371" s="4"/>
      <c r="J371" s="4"/>
    </row>
    <row r="372" ht="14.25" customHeight="1">
      <c r="B372" s="4"/>
      <c r="D372" s="4"/>
      <c r="F372" s="4"/>
      <c r="H372" s="4"/>
      <c r="J372" s="4"/>
    </row>
    <row r="373" ht="14.25" customHeight="1">
      <c r="B373" s="4"/>
      <c r="D373" s="4"/>
      <c r="F373" s="4"/>
      <c r="H373" s="4"/>
      <c r="J373" s="4"/>
    </row>
    <row r="374" ht="14.25" customHeight="1">
      <c r="B374" s="4"/>
      <c r="D374" s="4"/>
      <c r="F374" s="4"/>
      <c r="H374" s="4"/>
      <c r="J374" s="4"/>
    </row>
    <row r="375" ht="14.25" customHeight="1">
      <c r="B375" s="4"/>
      <c r="D375" s="4"/>
      <c r="F375" s="4"/>
      <c r="H375" s="4"/>
      <c r="J375" s="4"/>
    </row>
    <row r="376" ht="14.25" customHeight="1">
      <c r="B376" s="4"/>
      <c r="D376" s="4"/>
      <c r="F376" s="4"/>
      <c r="H376" s="4"/>
      <c r="J376" s="4"/>
    </row>
    <row r="377" ht="14.25" customHeight="1">
      <c r="B377" s="4"/>
      <c r="D377" s="4"/>
      <c r="F377" s="4"/>
      <c r="H377" s="4"/>
      <c r="J377" s="4"/>
    </row>
    <row r="378" ht="14.25" customHeight="1">
      <c r="B378" s="4"/>
      <c r="D378" s="4"/>
      <c r="F378" s="4"/>
      <c r="H378" s="4"/>
      <c r="J378" s="4"/>
    </row>
    <row r="379" ht="14.25" customHeight="1">
      <c r="B379" s="4"/>
      <c r="D379" s="4"/>
      <c r="F379" s="4"/>
      <c r="H379" s="4"/>
      <c r="J379" s="4"/>
    </row>
    <row r="380" ht="14.25" customHeight="1">
      <c r="B380" s="4"/>
      <c r="D380" s="4"/>
      <c r="F380" s="4"/>
      <c r="H380" s="4"/>
      <c r="J380" s="4"/>
    </row>
    <row r="381" ht="14.25" customHeight="1">
      <c r="B381" s="4"/>
      <c r="D381" s="4"/>
      <c r="F381" s="4"/>
      <c r="H381" s="4"/>
      <c r="J381" s="4"/>
    </row>
    <row r="382" ht="14.25" customHeight="1">
      <c r="B382" s="4"/>
      <c r="D382" s="4"/>
      <c r="F382" s="4"/>
      <c r="H382" s="4"/>
      <c r="J382" s="4"/>
    </row>
    <row r="383" ht="14.25" customHeight="1">
      <c r="B383" s="4"/>
      <c r="D383" s="4"/>
      <c r="F383" s="4"/>
      <c r="H383" s="4"/>
      <c r="J383" s="4"/>
    </row>
    <row r="384" ht="14.25" customHeight="1">
      <c r="B384" s="4"/>
      <c r="D384" s="4"/>
      <c r="F384" s="4"/>
      <c r="H384" s="4"/>
      <c r="J384" s="4"/>
    </row>
    <row r="385" ht="14.25" customHeight="1">
      <c r="B385" s="4"/>
      <c r="D385" s="4"/>
      <c r="F385" s="4"/>
      <c r="H385" s="4"/>
      <c r="J385" s="4"/>
    </row>
    <row r="386" ht="14.25" customHeight="1">
      <c r="B386" s="4"/>
      <c r="D386" s="4"/>
      <c r="F386" s="4"/>
      <c r="H386" s="4"/>
      <c r="J386" s="4"/>
    </row>
    <row r="387" ht="14.25" customHeight="1">
      <c r="B387" s="4"/>
      <c r="D387" s="4"/>
      <c r="F387" s="4"/>
      <c r="H387" s="4"/>
      <c r="J387" s="4"/>
    </row>
    <row r="388" ht="14.25" customHeight="1">
      <c r="B388" s="4"/>
      <c r="D388" s="4"/>
      <c r="F388" s="4"/>
      <c r="H388" s="4"/>
      <c r="J388" s="4"/>
    </row>
    <row r="389" ht="14.25" customHeight="1">
      <c r="B389" s="4"/>
      <c r="D389" s="4"/>
      <c r="F389" s="4"/>
      <c r="H389" s="4"/>
      <c r="J389" s="4"/>
    </row>
    <row r="390" ht="14.25" customHeight="1">
      <c r="B390" s="4"/>
      <c r="D390" s="4"/>
      <c r="F390" s="4"/>
      <c r="H390" s="4"/>
      <c r="J390" s="4"/>
    </row>
    <row r="391" ht="14.25" customHeight="1">
      <c r="B391" s="4"/>
      <c r="D391" s="4"/>
      <c r="F391" s="4"/>
      <c r="H391" s="4"/>
      <c r="J391" s="4"/>
    </row>
    <row r="392" ht="14.25" customHeight="1">
      <c r="B392" s="4"/>
      <c r="D392" s="4"/>
      <c r="F392" s="4"/>
      <c r="H392" s="4"/>
      <c r="J392" s="4"/>
    </row>
    <row r="393" ht="14.25" customHeight="1">
      <c r="B393" s="4"/>
      <c r="D393" s="4"/>
      <c r="F393" s="4"/>
      <c r="H393" s="4"/>
      <c r="J393" s="4"/>
    </row>
    <row r="394" ht="14.25" customHeight="1">
      <c r="B394" s="4"/>
      <c r="D394" s="4"/>
      <c r="F394" s="4"/>
      <c r="H394" s="4"/>
      <c r="J394" s="4"/>
    </row>
    <row r="395" ht="14.25" customHeight="1">
      <c r="B395" s="4"/>
      <c r="D395" s="4"/>
      <c r="F395" s="4"/>
      <c r="H395" s="4"/>
      <c r="J395" s="4"/>
    </row>
    <row r="396" ht="14.25" customHeight="1">
      <c r="B396" s="4"/>
      <c r="D396" s="4"/>
      <c r="F396" s="4"/>
      <c r="H396" s="4"/>
      <c r="J396" s="4"/>
    </row>
    <row r="397" ht="14.25" customHeight="1">
      <c r="B397" s="4"/>
      <c r="D397" s="4"/>
      <c r="F397" s="4"/>
      <c r="H397" s="4"/>
      <c r="J397" s="4"/>
    </row>
    <row r="398" ht="14.25" customHeight="1">
      <c r="B398" s="4"/>
      <c r="D398" s="4"/>
      <c r="F398" s="4"/>
      <c r="H398" s="4"/>
      <c r="J398" s="4"/>
    </row>
    <row r="399" ht="14.25" customHeight="1">
      <c r="B399" s="4"/>
      <c r="D399" s="4"/>
      <c r="F399" s="4"/>
      <c r="H399" s="4"/>
      <c r="J399" s="4"/>
    </row>
    <row r="400" ht="14.25" customHeight="1">
      <c r="B400" s="4"/>
      <c r="D400" s="4"/>
      <c r="F400" s="4"/>
      <c r="H400" s="4"/>
      <c r="J400" s="4"/>
    </row>
    <row r="401" ht="14.25" customHeight="1">
      <c r="B401" s="4"/>
      <c r="D401" s="4"/>
      <c r="F401" s="4"/>
      <c r="H401" s="4"/>
      <c r="J401" s="4"/>
    </row>
    <row r="402" ht="14.25" customHeight="1">
      <c r="B402" s="4"/>
      <c r="D402" s="4"/>
      <c r="F402" s="4"/>
      <c r="H402" s="4"/>
      <c r="J402" s="4"/>
    </row>
    <row r="403" ht="14.25" customHeight="1">
      <c r="B403" s="4"/>
      <c r="D403" s="4"/>
      <c r="F403" s="4"/>
      <c r="H403" s="4"/>
      <c r="J403" s="4"/>
    </row>
    <row r="404" ht="14.25" customHeight="1">
      <c r="B404" s="4"/>
      <c r="D404" s="4"/>
      <c r="F404" s="4"/>
      <c r="H404" s="4"/>
      <c r="J404" s="4"/>
    </row>
    <row r="405" ht="14.25" customHeight="1">
      <c r="B405" s="4"/>
      <c r="D405" s="4"/>
      <c r="F405" s="4"/>
      <c r="H405" s="4"/>
      <c r="J405" s="4"/>
    </row>
    <row r="406" ht="14.25" customHeight="1">
      <c r="B406" s="4"/>
      <c r="D406" s="4"/>
      <c r="F406" s="4"/>
      <c r="H406" s="4"/>
      <c r="J406" s="4"/>
    </row>
    <row r="407" ht="14.25" customHeight="1">
      <c r="B407" s="4"/>
      <c r="D407" s="4"/>
      <c r="F407" s="4"/>
      <c r="H407" s="4"/>
      <c r="J407" s="4"/>
    </row>
    <row r="408" ht="14.25" customHeight="1">
      <c r="B408" s="4"/>
      <c r="D408" s="4"/>
      <c r="F408" s="4"/>
      <c r="H408" s="4"/>
      <c r="J408" s="4"/>
    </row>
    <row r="409" ht="14.25" customHeight="1">
      <c r="B409" s="4"/>
      <c r="D409" s="4"/>
      <c r="F409" s="4"/>
      <c r="H409" s="4"/>
      <c r="J409" s="4"/>
    </row>
    <row r="410" ht="14.25" customHeight="1">
      <c r="B410" s="4"/>
      <c r="D410" s="4"/>
      <c r="F410" s="4"/>
      <c r="H410" s="4"/>
      <c r="J410" s="4"/>
    </row>
    <row r="411" ht="14.25" customHeight="1">
      <c r="B411" s="4"/>
      <c r="D411" s="4"/>
      <c r="F411" s="4"/>
      <c r="H411" s="4"/>
      <c r="J411" s="4"/>
    </row>
    <row r="412" ht="14.25" customHeight="1">
      <c r="B412" s="4"/>
      <c r="D412" s="4"/>
      <c r="F412" s="4"/>
      <c r="H412" s="4"/>
      <c r="J412" s="4"/>
    </row>
    <row r="413" ht="14.25" customHeight="1">
      <c r="B413" s="4"/>
      <c r="D413" s="4"/>
      <c r="F413" s="4"/>
      <c r="H413" s="4"/>
      <c r="J413" s="4"/>
    </row>
    <row r="414" ht="14.25" customHeight="1">
      <c r="B414" s="4"/>
      <c r="D414" s="4"/>
      <c r="F414" s="4"/>
      <c r="H414" s="4"/>
      <c r="J414" s="4"/>
    </row>
    <row r="415" ht="14.25" customHeight="1">
      <c r="B415" s="4"/>
      <c r="D415" s="4"/>
      <c r="F415" s="4"/>
      <c r="H415" s="4"/>
      <c r="J415" s="4"/>
    </row>
    <row r="416" ht="14.25" customHeight="1">
      <c r="B416" s="4"/>
      <c r="D416" s="4"/>
      <c r="F416" s="4"/>
      <c r="H416" s="4"/>
      <c r="J416" s="4"/>
    </row>
    <row r="417" ht="14.25" customHeight="1">
      <c r="B417" s="4"/>
      <c r="D417" s="4"/>
      <c r="F417" s="4"/>
      <c r="H417" s="4"/>
      <c r="J417" s="4"/>
    </row>
    <row r="418" ht="14.25" customHeight="1">
      <c r="B418" s="4"/>
      <c r="D418" s="4"/>
      <c r="F418" s="4"/>
      <c r="H418" s="4"/>
      <c r="J418" s="4"/>
    </row>
    <row r="419" ht="14.25" customHeight="1">
      <c r="B419" s="4"/>
      <c r="D419" s="4"/>
      <c r="F419" s="4"/>
      <c r="H419" s="4"/>
      <c r="J419" s="4"/>
    </row>
    <row r="420" ht="14.25" customHeight="1">
      <c r="B420" s="4"/>
      <c r="D420" s="4"/>
      <c r="F420" s="4"/>
      <c r="H420" s="4"/>
      <c r="J420" s="4"/>
    </row>
    <row r="421" ht="14.25" customHeight="1">
      <c r="B421" s="4"/>
      <c r="D421" s="4"/>
      <c r="F421" s="4"/>
      <c r="H421" s="4"/>
      <c r="J421" s="4"/>
    </row>
    <row r="422" ht="14.25" customHeight="1">
      <c r="B422" s="4"/>
      <c r="D422" s="4"/>
      <c r="F422" s="4"/>
      <c r="H422" s="4"/>
      <c r="J422" s="4"/>
    </row>
    <row r="423" ht="14.25" customHeight="1">
      <c r="B423" s="4"/>
      <c r="D423" s="4"/>
      <c r="F423" s="4"/>
      <c r="H423" s="4"/>
      <c r="J423" s="4"/>
    </row>
    <row r="424" ht="14.25" customHeight="1">
      <c r="B424" s="4"/>
      <c r="D424" s="4"/>
      <c r="F424" s="4"/>
      <c r="H424" s="4"/>
      <c r="J424" s="4"/>
    </row>
    <row r="425" ht="14.25" customHeight="1">
      <c r="B425" s="4"/>
      <c r="D425" s="4"/>
      <c r="F425" s="4"/>
      <c r="H425" s="4"/>
      <c r="J425" s="4"/>
    </row>
    <row r="426" ht="14.25" customHeight="1">
      <c r="B426" s="4"/>
      <c r="D426" s="4"/>
      <c r="F426" s="4"/>
      <c r="H426" s="4"/>
      <c r="J426" s="4"/>
    </row>
    <row r="427" ht="14.25" customHeight="1">
      <c r="B427" s="4"/>
      <c r="D427" s="4"/>
      <c r="F427" s="4"/>
      <c r="H427" s="4"/>
      <c r="J427" s="4"/>
    </row>
    <row r="428" ht="14.25" customHeight="1">
      <c r="B428" s="4"/>
      <c r="D428" s="4"/>
      <c r="F428" s="4"/>
      <c r="H428" s="4"/>
      <c r="J428" s="4"/>
    </row>
    <row r="429" ht="14.25" customHeight="1">
      <c r="B429" s="4"/>
      <c r="D429" s="4"/>
      <c r="F429" s="4"/>
      <c r="H429" s="4"/>
      <c r="J429" s="4"/>
    </row>
    <row r="430" ht="14.25" customHeight="1">
      <c r="B430" s="4"/>
      <c r="D430" s="4"/>
      <c r="F430" s="4"/>
      <c r="H430" s="4"/>
      <c r="J430" s="4"/>
    </row>
    <row r="431" ht="14.25" customHeight="1">
      <c r="B431" s="4"/>
      <c r="D431" s="4"/>
      <c r="F431" s="4"/>
      <c r="H431" s="4"/>
      <c r="J431" s="4"/>
    </row>
    <row r="432" ht="14.25" customHeight="1">
      <c r="B432" s="4"/>
      <c r="D432" s="4"/>
      <c r="F432" s="4"/>
      <c r="H432" s="4"/>
      <c r="J432" s="4"/>
    </row>
    <row r="433" ht="14.25" customHeight="1">
      <c r="B433" s="4"/>
      <c r="D433" s="4"/>
      <c r="F433" s="4"/>
      <c r="H433" s="4"/>
      <c r="J433" s="4"/>
    </row>
    <row r="434" ht="14.25" customHeight="1">
      <c r="B434" s="4"/>
      <c r="D434" s="4"/>
      <c r="F434" s="4"/>
      <c r="H434" s="4"/>
      <c r="J434" s="4"/>
    </row>
    <row r="435" ht="14.25" customHeight="1">
      <c r="B435" s="4"/>
      <c r="D435" s="4"/>
      <c r="F435" s="4"/>
      <c r="H435" s="4"/>
      <c r="J435" s="4"/>
    </row>
    <row r="436" ht="14.25" customHeight="1">
      <c r="B436" s="4"/>
      <c r="D436" s="4"/>
      <c r="F436" s="4"/>
      <c r="H436" s="4"/>
      <c r="J436" s="4"/>
    </row>
    <row r="437" ht="14.25" customHeight="1">
      <c r="B437" s="4"/>
      <c r="D437" s="4"/>
      <c r="F437" s="4"/>
      <c r="H437" s="4"/>
      <c r="J437" s="4"/>
    </row>
    <row r="438" ht="14.25" customHeight="1">
      <c r="B438" s="4"/>
      <c r="D438" s="4"/>
      <c r="F438" s="4"/>
      <c r="H438" s="4"/>
      <c r="J438" s="4"/>
    </row>
    <row r="439" ht="14.25" customHeight="1">
      <c r="B439" s="4"/>
      <c r="D439" s="4"/>
      <c r="F439" s="4"/>
      <c r="H439" s="4"/>
      <c r="J439" s="4"/>
    </row>
    <row r="440" ht="14.25" customHeight="1">
      <c r="B440" s="4"/>
      <c r="D440" s="4"/>
      <c r="F440" s="4"/>
      <c r="H440" s="4"/>
      <c r="J440" s="4"/>
    </row>
    <row r="441" ht="14.25" customHeight="1">
      <c r="B441" s="4"/>
      <c r="D441" s="4"/>
      <c r="F441" s="4"/>
      <c r="H441" s="4"/>
      <c r="J441" s="4"/>
    </row>
    <row r="442" ht="14.25" customHeight="1">
      <c r="B442" s="4"/>
      <c r="D442" s="4"/>
      <c r="F442" s="4"/>
      <c r="H442" s="4"/>
      <c r="J442" s="4"/>
    </row>
    <row r="443" ht="14.25" customHeight="1">
      <c r="B443" s="4"/>
      <c r="D443" s="4"/>
      <c r="F443" s="4"/>
      <c r="H443" s="4"/>
      <c r="J443" s="4"/>
    </row>
    <row r="444" ht="14.25" customHeight="1">
      <c r="B444" s="4"/>
      <c r="D444" s="4"/>
      <c r="F444" s="4"/>
      <c r="H444" s="4"/>
      <c r="J444" s="4"/>
    </row>
    <row r="445" ht="14.25" customHeight="1">
      <c r="B445" s="4"/>
      <c r="D445" s="4"/>
      <c r="F445" s="4"/>
      <c r="H445" s="4"/>
      <c r="J445" s="4"/>
    </row>
    <row r="446" ht="14.25" customHeight="1">
      <c r="B446" s="4"/>
      <c r="D446" s="4"/>
      <c r="F446" s="4"/>
      <c r="H446" s="4"/>
      <c r="J446" s="4"/>
    </row>
    <row r="447" ht="14.25" customHeight="1">
      <c r="B447" s="4"/>
      <c r="D447" s="4"/>
      <c r="F447" s="4"/>
      <c r="H447" s="4"/>
      <c r="J447" s="4"/>
    </row>
    <row r="448" ht="14.25" customHeight="1">
      <c r="B448" s="4"/>
      <c r="D448" s="4"/>
      <c r="F448" s="4"/>
      <c r="H448" s="4"/>
      <c r="J448" s="4"/>
    </row>
    <row r="449" ht="14.25" customHeight="1">
      <c r="B449" s="4"/>
      <c r="D449" s="4"/>
      <c r="F449" s="4"/>
      <c r="H449" s="4"/>
      <c r="J449" s="4"/>
    </row>
    <row r="450" ht="14.25" customHeight="1">
      <c r="B450" s="4"/>
      <c r="D450" s="4"/>
      <c r="F450" s="4"/>
      <c r="H450" s="4"/>
      <c r="J450" s="4"/>
    </row>
    <row r="451" ht="14.25" customHeight="1">
      <c r="B451" s="4"/>
      <c r="D451" s="4"/>
      <c r="F451" s="4"/>
      <c r="H451" s="4"/>
      <c r="J451" s="4"/>
    </row>
    <row r="452" ht="14.25" customHeight="1">
      <c r="B452" s="4"/>
      <c r="D452" s="4"/>
      <c r="F452" s="4"/>
      <c r="H452" s="4"/>
      <c r="J452" s="4"/>
    </row>
    <row r="453" ht="14.25" customHeight="1">
      <c r="B453" s="4"/>
      <c r="D453" s="4"/>
      <c r="F453" s="4"/>
      <c r="H453" s="4"/>
      <c r="J453" s="4"/>
    </row>
    <row r="454" ht="14.25" customHeight="1">
      <c r="B454" s="4"/>
      <c r="D454" s="4"/>
      <c r="F454" s="4"/>
      <c r="H454" s="4"/>
      <c r="J454" s="4"/>
    </row>
    <row r="455" ht="14.25" customHeight="1">
      <c r="B455" s="4"/>
      <c r="D455" s="4"/>
      <c r="F455" s="4"/>
      <c r="H455" s="4"/>
      <c r="J455" s="4"/>
    </row>
    <row r="456" ht="14.25" customHeight="1">
      <c r="B456" s="4"/>
      <c r="D456" s="4"/>
      <c r="F456" s="4"/>
      <c r="H456" s="4"/>
      <c r="J456" s="4"/>
    </row>
    <row r="457" ht="14.25" customHeight="1">
      <c r="B457" s="4"/>
      <c r="D457" s="4"/>
      <c r="F457" s="4"/>
      <c r="H457" s="4"/>
      <c r="J457" s="4"/>
    </row>
    <row r="458" ht="14.25" customHeight="1">
      <c r="B458" s="4"/>
      <c r="D458" s="4"/>
      <c r="F458" s="4"/>
      <c r="H458" s="4"/>
      <c r="J458" s="4"/>
    </row>
    <row r="459" ht="14.25" customHeight="1">
      <c r="B459" s="4"/>
      <c r="D459" s="4"/>
      <c r="F459" s="4"/>
      <c r="H459" s="4"/>
      <c r="J459" s="4"/>
    </row>
    <row r="460" ht="14.25" customHeight="1">
      <c r="B460" s="4"/>
      <c r="D460" s="4"/>
      <c r="F460" s="4"/>
      <c r="H460" s="4"/>
      <c r="J460" s="4"/>
    </row>
    <row r="461" ht="14.25" customHeight="1">
      <c r="B461" s="4"/>
      <c r="D461" s="4"/>
      <c r="F461" s="4"/>
      <c r="H461" s="4"/>
      <c r="J461" s="4"/>
    </row>
    <row r="462" ht="14.25" customHeight="1">
      <c r="B462" s="4"/>
      <c r="D462" s="4"/>
      <c r="F462" s="4"/>
      <c r="H462" s="4"/>
      <c r="J462" s="4"/>
    </row>
    <row r="463" ht="14.25" customHeight="1">
      <c r="B463" s="4"/>
      <c r="D463" s="4"/>
      <c r="F463" s="4"/>
      <c r="H463" s="4"/>
      <c r="J463" s="4"/>
    </row>
    <row r="464" ht="14.25" customHeight="1">
      <c r="B464" s="4"/>
      <c r="D464" s="4"/>
      <c r="F464" s="4"/>
      <c r="H464" s="4"/>
      <c r="J464" s="4"/>
    </row>
    <row r="465" ht="14.25" customHeight="1">
      <c r="B465" s="4"/>
      <c r="D465" s="4"/>
      <c r="F465" s="4"/>
      <c r="H465" s="4"/>
      <c r="J465" s="4"/>
    </row>
    <row r="466" ht="14.25" customHeight="1">
      <c r="B466" s="4"/>
      <c r="D466" s="4"/>
      <c r="F466" s="4"/>
      <c r="H466" s="4"/>
      <c r="J466" s="4"/>
    </row>
    <row r="467" ht="14.25" customHeight="1">
      <c r="B467" s="4"/>
      <c r="D467" s="4"/>
      <c r="F467" s="4"/>
      <c r="H467" s="4"/>
      <c r="J467" s="4"/>
    </row>
    <row r="468" ht="14.25" customHeight="1">
      <c r="B468" s="4"/>
      <c r="D468" s="4"/>
      <c r="F468" s="4"/>
      <c r="H468" s="4"/>
      <c r="J468" s="4"/>
    </row>
    <row r="469" ht="14.25" customHeight="1">
      <c r="B469" s="4"/>
      <c r="D469" s="4"/>
      <c r="F469" s="4"/>
      <c r="H469" s="4"/>
      <c r="J469" s="4"/>
    </row>
    <row r="470" ht="14.25" customHeight="1">
      <c r="B470" s="4"/>
      <c r="D470" s="4"/>
      <c r="F470" s="4"/>
      <c r="H470" s="4"/>
      <c r="J470" s="4"/>
    </row>
    <row r="471" ht="14.25" customHeight="1">
      <c r="B471" s="4"/>
      <c r="D471" s="4"/>
      <c r="F471" s="4"/>
      <c r="H471" s="4"/>
      <c r="J471" s="4"/>
    </row>
    <row r="472" ht="14.25" customHeight="1">
      <c r="B472" s="4"/>
      <c r="D472" s="4"/>
      <c r="F472" s="4"/>
      <c r="H472" s="4"/>
      <c r="J472" s="4"/>
    </row>
    <row r="473" ht="14.25" customHeight="1">
      <c r="B473" s="4"/>
      <c r="D473" s="4"/>
      <c r="F473" s="4"/>
      <c r="H473" s="4"/>
      <c r="J473" s="4"/>
    </row>
    <row r="474" ht="14.25" customHeight="1">
      <c r="B474" s="4"/>
      <c r="D474" s="4"/>
      <c r="F474" s="4"/>
      <c r="H474" s="4"/>
      <c r="J474" s="4"/>
    </row>
    <row r="475" ht="14.25" customHeight="1">
      <c r="B475" s="4"/>
      <c r="D475" s="4"/>
      <c r="F475" s="4"/>
      <c r="H475" s="4"/>
      <c r="J475" s="4"/>
    </row>
    <row r="476" ht="14.25" customHeight="1">
      <c r="B476" s="4"/>
      <c r="D476" s="4"/>
      <c r="F476" s="4"/>
      <c r="H476" s="4"/>
      <c r="J476" s="4"/>
    </row>
    <row r="477" ht="14.25" customHeight="1">
      <c r="B477" s="4"/>
      <c r="D477" s="4"/>
      <c r="F477" s="4"/>
      <c r="H477" s="4"/>
      <c r="J477" s="4"/>
    </row>
    <row r="478" ht="14.25" customHeight="1">
      <c r="B478" s="4"/>
      <c r="D478" s="4"/>
      <c r="F478" s="4"/>
      <c r="H478" s="4"/>
      <c r="J478" s="4"/>
    </row>
    <row r="479" ht="14.25" customHeight="1">
      <c r="B479" s="4"/>
      <c r="D479" s="4"/>
      <c r="F479" s="4"/>
      <c r="H479" s="4"/>
      <c r="J479" s="4"/>
    </row>
    <row r="480" ht="14.25" customHeight="1">
      <c r="B480" s="4"/>
      <c r="D480" s="4"/>
      <c r="F480" s="4"/>
      <c r="H480" s="4"/>
      <c r="J480" s="4"/>
    </row>
    <row r="481" ht="14.25" customHeight="1">
      <c r="B481" s="4"/>
      <c r="D481" s="4"/>
      <c r="F481" s="4"/>
      <c r="H481" s="4"/>
      <c r="J481" s="4"/>
    </row>
    <row r="482" ht="14.25" customHeight="1">
      <c r="B482" s="4"/>
      <c r="D482" s="4"/>
      <c r="F482" s="4"/>
      <c r="H482" s="4"/>
      <c r="J482" s="4"/>
    </row>
    <row r="483" ht="14.25" customHeight="1">
      <c r="B483" s="4"/>
      <c r="D483" s="4"/>
      <c r="F483" s="4"/>
      <c r="H483" s="4"/>
      <c r="J483" s="4"/>
    </row>
    <row r="484" ht="14.25" customHeight="1">
      <c r="B484" s="4"/>
      <c r="D484" s="4"/>
      <c r="F484" s="4"/>
      <c r="H484" s="4"/>
      <c r="J484" s="4"/>
    </row>
    <row r="485" ht="14.25" customHeight="1">
      <c r="B485" s="4"/>
      <c r="D485" s="4"/>
      <c r="F485" s="4"/>
      <c r="H485" s="4"/>
      <c r="J485" s="4"/>
    </row>
    <row r="486" ht="14.25" customHeight="1">
      <c r="B486" s="4"/>
      <c r="D486" s="4"/>
      <c r="F486" s="4"/>
      <c r="H486" s="4"/>
      <c r="J486" s="4"/>
    </row>
    <row r="487" ht="14.25" customHeight="1">
      <c r="B487" s="4"/>
      <c r="D487" s="4"/>
      <c r="F487" s="4"/>
      <c r="H487" s="4"/>
      <c r="J487" s="4"/>
    </row>
    <row r="488" ht="14.25" customHeight="1">
      <c r="B488" s="4"/>
      <c r="D488" s="4"/>
      <c r="F488" s="4"/>
      <c r="H488" s="4"/>
      <c r="J488" s="4"/>
    </row>
    <row r="489" ht="14.25" customHeight="1">
      <c r="B489" s="4"/>
      <c r="D489" s="4"/>
      <c r="F489" s="4"/>
      <c r="H489" s="4"/>
      <c r="J489" s="4"/>
    </row>
    <row r="490" ht="14.25" customHeight="1">
      <c r="B490" s="4"/>
      <c r="D490" s="4"/>
      <c r="F490" s="4"/>
      <c r="H490" s="4"/>
      <c r="J490" s="4"/>
    </row>
    <row r="491" ht="14.25" customHeight="1">
      <c r="B491" s="4"/>
      <c r="D491" s="4"/>
      <c r="F491" s="4"/>
      <c r="H491" s="4"/>
      <c r="J491" s="4"/>
    </row>
    <row r="492" ht="14.25" customHeight="1">
      <c r="B492" s="4"/>
      <c r="D492" s="4"/>
      <c r="F492" s="4"/>
      <c r="H492" s="4"/>
      <c r="J492" s="4"/>
    </row>
    <row r="493" ht="14.25" customHeight="1">
      <c r="B493" s="4"/>
      <c r="D493" s="4"/>
      <c r="F493" s="4"/>
      <c r="H493" s="4"/>
      <c r="J493" s="4"/>
    </row>
    <row r="494" ht="14.25" customHeight="1">
      <c r="B494" s="4"/>
      <c r="D494" s="4"/>
      <c r="F494" s="4"/>
      <c r="H494" s="4"/>
      <c r="J494" s="4"/>
    </row>
    <row r="495" ht="14.25" customHeight="1">
      <c r="B495" s="4"/>
      <c r="D495" s="4"/>
      <c r="F495" s="4"/>
      <c r="H495" s="4"/>
      <c r="J495" s="4"/>
    </row>
    <row r="496" ht="14.25" customHeight="1">
      <c r="B496" s="4"/>
      <c r="D496" s="4"/>
      <c r="F496" s="4"/>
      <c r="H496" s="4"/>
      <c r="J496" s="4"/>
    </row>
    <row r="497" ht="14.25" customHeight="1">
      <c r="B497" s="4"/>
      <c r="D497" s="4"/>
      <c r="F497" s="4"/>
      <c r="H497" s="4"/>
      <c r="J497" s="4"/>
    </row>
    <row r="498" ht="14.25" customHeight="1">
      <c r="B498" s="4"/>
      <c r="D498" s="4"/>
      <c r="F498" s="4"/>
      <c r="H498" s="4"/>
      <c r="J498" s="4"/>
    </row>
    <row r="499" ht="14.25" customHeight="1">
      <c r="B499" s="4"/>
      <c r="D499" s="4"/>
      <c r="F499" s="4"/>
      <c r="H499" s="4"/>
      <c r="J499" s="4"/>
    </row>
    <row r="500" ht="14.25" customHeight="1">
      <c r="B500" s="4"/>
      <c r="D500" s="4"/>
      <c r="F500" s="4"/>
      <c r="H500" s="4"/>
      <c r="J500" s="4"/>
    </row>
    <row r="501" ht="14.25" customHeight="1">
      <c r="B501" s="4"/>
      <c r="D501" s="4"/>
      <c r="F501" s="4"/>
      <c r="H501" s="4"/>
      <c r="J501" s="4"/>
    </row>
    <row r="502" ht="14.25" customHeight="1">
      <c r="B502" s="4"/>
      <c r="D502" s="4"/>
      <c r="F502" s="4"/>
      <c r="H502" s="4"/>
      <c r="J502" s="4"/>
    </row>
    <row r="503" ht="14.25" customHeight="1">
      <c r="B503" s="4"/>
      <c r="D503" s="4"/>
      <c r="F503" s="4"/>
      <c r="H503" s="4"/>
      <c r="J503" s="4"/>
    </row>
    <row r="504" ht="14.25" customHeight="1">
      <c r="B504" s="4"/>
      <c r="D504" s="4"/>
      <c r="F504" s="4"/>
      <c r="H504" s="4"/>
      <c r="J504" s="4"/>
    </row>
    <row r="505" ht="14.25" customHeight="1">
      <c r="B505" s="4"/>
      <c r="D505" s="4"/>
      <c r="F505" s="4"/>
      <c r="H505" s="4"/>
      <c r="J505" s="4"/>
    </row>
    <row r="506" ht="14.25" customHeight="1">
      <c r="B506" s="4"/>
      <c r="D506" s="4"/>
      <c r="F506" s="4"/>
      <c r="H506" s="4"/>
      <c r="J506" s="4"/>
    </row>
    <row r="507" ht="14.25" customHeight="1">
      <c r="B507" s="4"/>
      <c r="D507" s="4"/>
      <c r="F507" s="4"/>
      <c r="H507" s="4"/>
      <c r="J507" s="4"/>
    </row>
    <row r="508" ht="14.25" customHeight="1">
      <c r="B508" s="4"/>
      <c r="D508" s="4"/>
      <c r="F508" s="4"/>
      <c r="H508" s="4"/>
      <c r="J508" s="4"/>
    </row>
    <row r="509" ht="14.25" customHeight="1">
      <c r="B509" s="4"/>
      <c r="D509" s="4"/>
      <c r="F509" s="4"/>
      <c r="H509" s="4"/>
      <c r="J509" s="4"/>
    </row>
    <row r="510" ht="14.25" customHeight="1">
      <c r="B510" s="4"/>
      <c r="D510" s="4"/>
      <c r="F510" s="4"/>
      <c r="H510" s="4"/>
      <c r="J510" s="4"/>
    </row>
    <row r="511" ht="14.25" customHeight="1">
      <c r="B511" s="4"/>
      <c r="D511" s="4"/>
      <c r="F511" s="4"/>
      <c r="H511" s="4"/>
      <c r="J511" s="4"/>
    </row>
    <row r="512" ht="14.25" customHeight="1">
      <c r="B512" s="4"/>
      <c r="D512" s="4"/>
      <c r="F512" s="4"/>
      <c r="H512" s="4"/>
      <c r="J512" s="4"/>
    </row>
    <row r="513" ht="14.25" customHeight="1">
      <c r="B513" s="4"/>
      <c r="D513" s="4"/>
      <c r="F513" s="4"/>
      <c r="H513" s="4"/>
      <c r="J513" s="4"/>
    </row>
    <row r="514" ht="14.25" customHeight="1">
      <c r="B514" s="4"/>
      <c r="D514" s="4"/>
      <c r="F514" s="4"/>
      <c r="H514" s="4"/>
      <c r="J514" s="4"/>
    </row>
    <row r="515" ht="14.25" customHeight="1">
      <c r="B515" s="4"/>
      <c r="D515" s="4"/>
      <c r="F515" s="4"/>
      <c r="H515" s="4"/>
      <c r="J515" s="4"/>
    </row>
    <row r="516" ht="14.25" customHeight="1">
      <c r="B516" s="4"/>
      <c r="D516" s="4"/>
      <c r="F516" s="4"/>
      <c r="H516" s="4"/>
      <c r="J516" s="4"/>
    </row>
    <row r="517" ht="14.25" customHeight="1">
      <c r="B517" s="4"/>
      <c r="D517" s="4"/>
      <c r="F517" s="4"/>
      <c r="H517" s="4"/>
      <c r="J517" s="4"/>
    </row>
    <row r="518" ht="14.25" customHeight="1">
      <c r="B518" s="4"/>
      <c r="D518" s="4"/>
      <c r="F518" s="4"/>
      <c r="H518" s="4"/>
      <c r="J518" s="4"/>
    </row>
    <row r="519" ht="14.25" customHeight="1">
      <c r="B519" s="4"/>
      <c r="D519" s="4"/>
      <c r="F519" s="4"/>
      <c r="H519" s="4"/>
      <c r="J519" s="4"/>
    </row>
    <row r="520" ht="14.25" customHeight="1">
      <c r="B520" s="4"/>
      <c r="D520" s="4"/>
      <c r="F520" s="4"/>
      <c r="H520" s="4"/>
      <c r="J520" s="4"/>
    </row>
    <row r="521" ht="14.25" customHeight="1">
      <c r="B521" s="4"/>
      <c r="D521" s="4"/>
      <c r="F521" s="4"/>
      <c r="H521" s="4"/>
      <c r="J521" s="4"/>
    </row>
    <row r="522" ht="14.25" customHeight="1">
      <c r="B522" s="4"/>
      <c r="D522" s="4"/>
      <c r="F522" s="4"/>
      <c r="H522" s="4"/>
      <c r="J522" s="4"/>
    </row>
    <row r="523" ht="14.25" customHeight="1">
      <c r="B523" s="4"/>
      <c r="D523" s="4"/>
      <c r="F523" s="4"/>
      <c r="H523" s="4"/>
      <c r="J523" s="4"/>
    </row>
    <row r="524" ht="14.25" customHeight="1">
      <c r="B524" s="4"/>
      <c r="D524" s="4"/>
      <c r="F524" s="4"/>
      <c r="H524" s="4"/>
      <c r="J524" s="4"/>
    </row>
    <row r="525" ht="14.25" customHeight="1">
      <c r="B525" s="4"/>
      <c r="D525" s="4"/>
      <c r="F525" s="4"/>
      <c r="H525" s="4"/>
      <c r="J525" s="4"/>
    </row>
    <row r="526" ht="14.25" customHeight="1">
      <c r="B526" s="4"/>
      <c r="D526" s="4"/>
      <c r="F526" s="4"/>
      <c r="H526" s="4"/>
      <c r="J526" s="4"/>
    </row>
    <row r="527" ht="14.25" customHeight="1">
      <c r="B527" s="4"/>
      <c r="D527" s="4"/>
      <c r="F527" s="4"/>
      <c r="H527" s="4"/>
      <c r="J527" s="4"/>
    </row>
    <row r="528" ht="14.25" customHeight="1">
      <c r="B528" s="4"/>
      <c r="D528" s="4"/>
      <c r="F528" s="4"/>
      <c r="H528" s="4"/>
      <c r="J528" s="4"/>
    </row>
    <row r="529" ht="14.25" customHeight="1">
      <c r="B529" s="4"/>
      <c r="D529" s="4"/>
      <c r="F529" s="4"/>
      <c r="H529" s="4"/>
      <c r="J529" s="4"/>
    </row>
    <row r="530" ht="14.25" customHeight="1">
      <c r="B530" s="4"/>
      <c r="D530" s="4"/>
      <c r="F530" s="4"/>
      <c r="H530" s="4"/>
      <c r="J530" s="4"/>
    </row>
    <row r="531" ht="14.25" customHeight="1">
      <c r="B531" s="4"/>
      <c r="D531" s="4"/>
      <c r="F531" s="4"/>
      <c r="H531" s="4"/>
      <c r="J531" s="4"/>
    </row>
    <row r="532" ht="14.25" customHeight="1">
      <c r="B532" s="4"/>
      <c r="D532" s="4"/>
      <c r="F532" s="4"/>
      <c r="H532" s="4"/>
      <c r="J532" s="4"/>
    </row>
    <row r="533" ht="14.25" customHeight="1">
      <c r="B533" s="4"/>
      <c r="D533" s="4"/>
      <c r="F533" s="4"/>
      <c r="H533" s="4"/>
      <c r="J533" s="4"/>
    </row>
    <row r="534" ht="14.25" customHeight="1">
      <c r="B534" s="4"/>
      <c r="D534" s="4"/>
      <c r="F534" s="4"/>
      <c r="H534" s="4"/>
      <c r="J534" s="4"/>
    </row>
    <row r="535" ht="14.25" customHeight="1">
      <c r="B535" s="4"/>
      <c r="D535" s="4"/>
      <c r="F535" s="4"/>
      <c r="H535" s="4"/>
      <c r="J535" s="4"/>
    </row>
    <row r="536" ht="14.25" customHeight="1">
      <c r="B536" s="4"/>
      <c r="D536" s="4"/>
      <c r="F536" s="4"/>
      <c r="H536" s="4"/>
      <c r="J536" s="4"/>
    </row>
    <row r="537" ht="14.25" customHeight="1">
      <c r="B537" s="4"/>
      <c r="D537" s="4"/>
      <c r="F537" s="4"/>
      <c r="H537" s="4"/>
      <c r="J537" s="4"/>
    </row>
    <row r="538" ht="14.25" customHeight="1">
      <c r="B538" s="4"/>
      <c r="D538" s="4"/>
      <c r="F538" s="4"/>
      <c r="H538" s="4"/>
      <c r="J538" s="4"/>
    </row>
    <row r="539" ht="14.25" customHeight="1">
      <c r="B539" s="4"/>
      <c r="D539" s="4"/>
      <c r="F539" s="4"/>
      <c r="H539" s="4"/>
      <c r="J539" s="4"/>
    </row>
    <row r="540" ht="14.25" customHeight="1">
      <c r="B540" s="4"/>
      <c r="D540" s="4"/>
      <c r="F540" s="4"/>
      <c r="H540" s="4"/>
      <c r="J540" s="4"/>
    </row>
    <row r="541" ht="14.25" customHeight="1">
      <c r="B541" s="4"/>
      <c r="D541" s="4"/>
      <c r="F541" s="4"/>
      <c r="H541" s="4"/>
      <c r="J541" s="4"/>
    </row>
    <row r="542" ht="14.25" customHeight="1">
      <c r="B542" s="4"/>
      <c r="D542" s="4"/>
      <c r="F542" s="4"/>
      <c r="H542" s="4"/>
      <c r="J542" s="4"/>
    </row>
    <row r="543" ht="14.25" customHeight="1">
      <c r="B543" s="4"/>
      <c r="D543" s="4"/>
      <c r="F543" s="4"/>
      <c r="H543" s="4"/>
      <c r="J543" s="4"/>
    </row>
    <row r="544" ht="14.25" customHeight="1">
      <c r="B544" s="4"/>
      <c r="D544" s="4"/>
      <c r="F544" s="4"/>
      <c r="H544" s="4"/>
      <c r="J544" s="4"/>
    </row>
    <row r="545" ht="14.25" customHeight="1">
      <c r="B545" s="4"/>
      <c r="D545" s="4"/>
      <c r="F545" s="4"/>
      <c r="H545" s="4"/>
      <c r="J545" s="4"/>
    </row>
    <row r="546" ht="14.25" customHeight="1">
      <c r="B546" s="4"/>
      <c r="D546" s="4"/>
      <c r="F546" s="4"/>
      <c r="H546" s="4"/>
      <c r="J546" s="4"/>
    </row>
    <row r="547" ht="14.25" customHeight="1">
      <c r="B547" s="4"/>
      <c r="D547" s="4"/>
      <c r="F547" s="4"/>
      <c r="H547" s="4"/>
      <c r="J547" s="4"/>
    </row>
    <row r="548" ht="14.25" customHeight="1">
      <c r="B548" s="4"/>
      <c r="D548" s="4"/>
      <c r="F548" s="4"/>
      <c r="H548" s="4"/>
      <c r="J548" s="4"/>
    </row>
    <row r="549" ht="14.25" customHeight="1">
      <c r="B549" s="4"/>
      <c r="D549" s="4"/>
      <c r="F549" s="4"/>
      <c r="H549" s="4"/>
      <c r="J549" s="4"/>
    </row>
    <row r="550" ht="14.25" customHeight="1">
      <c r="B550" s="4"/>
      <c r="D550" s="4"/>
      <c r="F550" s="4"/>
      <c r="H550" s="4"/>
      <c r="J550" s="4"/>
    </row>
    <row r="551" ht="14.25" customHeight="1">
      <c r="B551" s="4"/>
      <c r="D551" s="4"/>
      <c r="F551" s="4"/>
      <c r="H551" s="4"/>
      <c r="J551" s="4"/>
    </row>
    <row r="552" ht="14.25" customHeight="1">
      <c r="B552" s="4"/>
      <c r="D552" s="4"/>
      <c r="F552" s="4"/>
      <c r="H552" s="4"/>
      <c r="J552" s="4"/>
    </row>
    <row r="553" ht="14.25" customHeight="1">
      <c r="B553" s="4"/>
      <c r="D553" s="4"/>
      <c r="F553" s="4"/>
      <c r="H553" s="4"/>
      <c r="J553" s="4"/>
    </row>
    <row r="554" ht="14.25" customHeight="1">
      <c r="B554" s="4"/>
      <c r="D554" s="4"/>
      <c r="F554" s="4"/>
      <c r="H554" s="4"/>
      <c r="J554" s="4"/>
    </row>
    <row r="555" ht="14.25" customHeight="1">
      <c r="B555" s="4"/>
      <c r="D555" s="4"/>
      <c r="F555" s="4"/>
      <c r="H555" s="4"/>
      <c r="J555" s="4"/>
    </row>
    <row r="556" ht="14.25" customHeight="1">
      <c r="B556" s="4"/>
      <c r="D556" s="4"/>
      <c r="F556" s="4"/>
      <c r="H556" s="4"/>
      <c r="J556" s="4"/>
    </row>
    <row r="557" ht="14.25" customHeight="1">
      <c r="B557" s="4"/>
      <c r="D557" s="4"/>
      <c r="F557" s="4"/>
      <c r="H557" s="4"/>
      <c r="J557" s="4"/>
    </row>
    <row r="558" ht="14.25" customHeight="1">
      <c r="B558" s="4"/>
      <c r="D558" s="4"/>
      <c r="F558" s="4"/>
      <c r="H558" s="4"/>
      <c r="J558" s="4"/>
    </row>
    <row r="559" ht="14.25" customHeight="1">
      <c r="B559" s="4"/>
      <c r="D559" s="4"/>
      <c r="F559" s="4"/>
      <c r="H559" s="4"/>
      <c r="J559" s="4"/>
    </row>
    <row r="560" ht="14.25" customHeight="1">
      <c r="B560" s="4"/>
      <c r="D560" s="4"/>
      <c r="F560" s="4"/>
      <c r="H560" s="4"/>
      <c r="J560" s="4"/>
    </row>
    <row r="561" ht="14.25" customHeight="1">
      <c r="B561" s="4"/>
      <c r="D561" s="4"/>
      <c r="F561" s="4"/>
      <c r="H561" s="4"/>
      <c r="J561" s="4"/>
    </row>
    <row r="562" ht="14.25" customHeight="1">
      <c r="B562" s="4"/>
      <c r="D562" s="4"/>
      <c r="F562" s="4"/>
      <c r="H562" s="4"/>
      <c r="J562" s="4"/>
    </row>
    <row r="563" ht="14.25" customHeight="1">
      <c r="B563" s="4"/>
      <c r="D563" s="4"/>
      <c r="F563" s="4"/>
      <c r="H563" s="4"/>
      <c r="J563" s="4"/>
    </row>
    <row r="564" ht="14.25" customHeight="1">
      <c r="B564" s="4"/>
      <c r="D564" s="4"/>
      <c r="F564" s="4"/>
      <c r="H564" s="4"/>
      <c r="J564" s="4"/>
    </row>
    <row r="565" ht="14.25" customHeight="1">
      <c r="B565" s="4"/>
      <c r="D565" s="4"/>
      <c r="F565" s="4"/>
      <c r="H565" s="4"/>
      <c r="J565" s="4"/>
    </row>
    <row r="566" ht="14.25" customHeight="1">
      <c r="B566" s="4"/>
      <c r="D566" s="4"/>
      <c r="F566" s="4"/>
      <c r="H566" s="4"/>
      <c r="J566" s="4"/>
    </row>
    <row r="567" ht="14.25" customHeight="1">
      <c r="B567" s="4"/>
      <c r="D567" s="4"/>
      <c r="F567" s="4"/>
      <c r="H567" s="4"/>
      <c r="J567" s="4"/>
    </row>
    <row r="568" ht="14.25" customHeight="1">
      <c r="B568" s="4"/>
      <c r="D568" s="4"/>
      <c r="F568" s="4"/>
      <c r="H568" s="4"/>
      <c r="J568" s="4"/>
    </row>
    <row r="569" ht="14.25" customHeight="1">
      <c r="B569" s="4"/>
      <c r="D569" s="4"/>
      <c r="F569" s="4"/>
      <c r="H569" s="4"/>
      <c r="J569" s="4"/>
    </row>
    <row r="570" ht="14.25" customHeight="1">
      <c r="B570" s="4"/>
      <c r="D570" s="4"/>
      <c r="F570" s="4"/>
      <c r="H570" s="4"/>
      <c r="J570" s="4"/>
    </row>
    <row r="571" ht="14.25" customHeight="1">
      <c r="B571" s="4"/>
      <c r="D571" s="4"/>
      <c r="F571" s="4"/>
      <c r="H571" s="4"/>
      <c r="J571" s="4"/>
    </row>
    <row r="572" ht="14.25" customHeight="1">
      <c r="B572" s="4"/>
      <c r="D572" s="4"/>
      <c r="F572" s="4"/>
      <c r="H572" s="4"/>
      <c r="J572" s="4"/>
    </row>
    <row r="573" ht="14.25" customHeight="1">
      <c r="B573" s="4"/>
      <c r="D573" s="4"/>
      <c r="F573" s="4"/>
      <c r="H573" s="4"/>
      <c r="J573" s="4"/>
    </row>
    <row r="574" ht="14.25" customHeight="1">
      <c r="B574" s="4"/>
      <c r="D574" s="4"/>
      <c r="F574" s="4"/>
      <c r="H574" s="4"/>
      <c r="J574" s="4"/>
    </row>
    <row r="575" ht="14.25" customHeight="1">
      <c r="B575" s="4"/>
      <c r="D575" s="4"/>
      <c r="F575" s="4"/>
      <c r="H575" s="4"/>
      <c r="J575" s="4"/>
    </row>
    <row r="576" ht="14.25" customHeight="1">
      <c r="B576" s="4"/>
      <c r="D576" s="4"/>
      <c r="F576" s="4"/>
      <c r="H576" s="4"/>
      <c r="J576" s="4"/>
    </row>
    <row r="577" ht="14.25" customHeight="1">
      <c r="B577" s="4"/>
      <c r="D577" s="4"/>
      <c r="F577" s="4"/>
      <c r="H577" s="4"/>
      <c r="J577" s="4"/>
    </row>
    <row r="578" ht="14.25" customHeight="1">
      <c r="B578" s="4"/>
      <c r="D578" s="4"/>
      <c r="F578" s="4"/>
      <c r="H578" s="4"/>
      <c r="J578" s="4"/>
    </row>
    <row r="579" ht="14.25" customHeight="1">
      <c r="B579" s="4"/>
      <c r="D579" s="4"/>
      <c r="F579" s="4"/>
      <c r="H579" s="4"/>
      <c r="J579" s="4"/>
    </row>
    <row r="580" ht="14.25" customHeight="1">
      <c r="B580" s="4"/>
      <c r="D580" s="4"/>
      <c r="F580" s="4"/>
      <c r="H580" s="4"/>
      <c r="J580" s="4"/>
    </row>
    <row r="581" ht="14.25" customHeight="1">
      <c r="B581" s="4"/>
      <c r="D581" s="4"/>
      <c r="F581" s="4"/>
      <c r="H581" s="4"/>
      <c r="J581" s="4"/>
    </row>
    <row r="582" ht="14.25" customHeight="1">
      <c r="B582" s="4"/>
      <c r="D582" s="4"/>
      <c r="F582" s="4"/>
      <c r="H582" s="4"/>
      <c r="J582" s="4"/>
    </row>
    <row r="583" ht="14.25" customHeight="1">
      <c r="B583" s="4"/>
      <c r="D583" s="4"/>
      <c r="F583" s="4"/>
      <c r="H583" s="4"/>
      <c r="J583" s="4"/>
    </row>
    <row r="584" ht="14.25" customHeight="1">
      <c r="B584" s="4"/>
      <c r="D584" s="4"/>
      <c r="F584" s="4"/>
      <c r="H584" s="4"/>
      <c r="J584" s="4"/>
    </row>
    <row r="585" ht="14.25" customHeight="1">
      <c r="B585" s="4"/>
      <c r="D585" s="4"/>
      <c r="F585" s="4"/>
      <c r="H585" s="4"/>
      <c r="J585" s="4"/>
    </row>
    <row r="586" ht="14.25" customHeight="1">
      <c r="B586" s="4"/>
      <c r="D586" s="4"/>
      <c r="F586" s="4"/>
      <c r="H586" s="4"/>
      <c r="J586" s="4"/>
    </row>
    <row r="587" ht="14.25" customHeight="1">
      <c r="B587" s="4"/>
      <c r="D587" s="4"/>
      <c r="F587" s="4"/>
      <c r="H587" s="4"/>
      <c r="J587" s="4"/>
    </row>
    <row r="588" ht="14.25" customHeight="1">
      <c r="B588" s="4"/>
      <c r="D588" s="4"/>
      <c r="F588" s="4"/>
      <c r="H588" s="4"/>
      <c r="J588" s="4"/>
    </row>
    <row r="589" ht="14.25" customHeight="1">
      <c r="B589" s="4"/>
      <c r="D589" s="4"/>
      <c r="F589" s="4"/>
      <c r="H589" s="4"/>
      <c r="J589" s="4"/>
    </row>
    <row r="590" ht="14.25" customHeight="1">
      <c r="B590" s="4"/>
      <c r="D590" s="4"/>
      <c r="F590" s="4"/>
      <c r="H590" s="4"/>
      <c r="J590" s="4"/>
    </row>
    <row r="591" ht="14.25" customHeight="1">
      <c r="B591" s="4"/>
      <c r="D591" s="4"/>
      <c r="F591" s="4"/>
      <c r="H591" s="4"/>
      <c r="J591" s="4"/>
    </row>
    <row r="592" ht="14.25" customHeight="1">
      <c r="B592" s="4"/>
      <c r="D592" s="4"/>
      <c r="F592" s="4"/>
      <c r="H592" s="4"/>
      <c r="J592" s="4"/>
    </row>
    <row r="593" ht="14.25" customHeight="1">
      <c r="B593" s="4"/>
      <c r="D593" s="4"/>
      <c r="F593" s="4"/>
      <c r="H593" s="4"/>
      <c r="J593" s="4"/>
    </row>
    <row r="594" ht="14.25" customHeight="1">
      <c r="B594" s="4"/>
      <c r="D594" s="4"/>
      <c r="F594" s="4"/>
      <c r="H594" s="4"/>
      <c r="J594" s="4"/>
    </row>
    <row r="595" ht="14.25" customHeight="1">
      <c r="B595" s="4"/>
      <c r="D595" s="4"/>
      <c r="F595" s="4"/>
      <c r="H595" s="4"/>
      <c r="J595" s="4"/>
    </row>
    <row r="596" ht="14.25" customHeight="1">
      <c r="B596" s="4"/>
      <c r="D596" s="4"/>
      <c r="F596" s="4"/>
      <c r="H596" s="4"/>
      <c r="J596" s="4"/>
    </row>
    <row r="597" ht="14.25" customHeight="1">
      <c r="B597" s="4"/>
      <c r="D597" s="4"/>
      <c r="F597" s="4"/>
      <c r="H597" s="4"/>
      <c r="J597" s="4"/>
    </row>
    <row r="598" ht="14.25" customHeight="1">
      <c r="B598" s="4"/>
      <c r="D598" s="4"/>
      <c r="F598" s="4"/>
      <c r="H598" s="4"/>
      <c r="J598" s="4"/>
    </row>
    <row r="599" ht="14.25" customHeight="1">
      <c r="B599" s="4"/>
      <c r="D599" s="4"/>
      <c r="F599" s="4"/>
      <c r="H599" s="4"/>
      <c r="J599" s="4"/>
    </row>
    <row r="600" ht="14.25" customHeight="1">
      <c r="B600" s="4"/>
      <c r="D600" s="4"/>
      <c r="F600" s="4"/>
      <c r="H600" s="4"/>
      <c r="J600" s="4"/>
    </row>
    <row r="601" ht="14.25" customHeight="1">
      <c r="B601" s="4"/>
      <c r="D601" s="4"/>
      <c r="F601" s="4"/>
      <c r="H601" s="4"/>
      <c r="J601" s="4"/>
    </row>
    <row r="602" ht="14.25" customHeight="1">
      <c r="B602" s="4"/>
      <c r="D602" s="4"/>
      <c r="F602" s="4"/>
      <c r="H602" s="4"/>
      <c r="J602" s="4"/>
    </row>
    <row r="603" ht="14.25" customHeight="1">
      <c r="B603" s="4"/>
      <c r="D603" s="4"/>
      <c r="F603" s="4"/>
      <c r="H603" s="4"/>
      <c r="J603" s="4"/>
    </row>
    <row r="604" ht="14.25" customHeight="1">
      <c r="B604" s="4"/>
      <c r="D604" s="4"/>
      <c r="F604" s="4"/>
      <c r="H604" s="4"/>
      <c r="J604" s="4"/>
    </row>
    <row r="605" ht="14.25" customHeight="1">
      <c r="B605" s="4"/>
      <c r="D605" s="4"/>
      <c r="F605" s="4"/>
      <c r="H605" s="4"/>
      <c r="J605" s="4"/>
    </row>
    <row r="606" ht="14.25" customHeight="1">
      <c r="B606" s="4"/>
      <c r="D606" s="4"/>
      <c r="F606" s="4"/>
      <c r="H606" s="4"/>
      <c r="J606" s="4"/>
    </row>
    <row r="607" ht="14.25" customHeight="1">
      <c r="B607" s="4"/>
      <c r="D607" s="4"/>
      <c r="F607" s="4"/>
      <c r="H607" s="4"/>
      <c r="J607" s="4"/>
    </row>
    <row r="608" ht="14.25" customHeight="1">
      <c r="B608" s="4"/>
      <c r="D608" s="4"/>
      <c r="F608" s="4"/>
      <c r="H608" s="4"/>
      <c r="J608" s="4"/>
    </row>
    <row r="609" ht="14.25" customHeight="1">
      <c r="B609" s="4"/>
      <c r="D609" s="4"/>
      <c r="F609" s="4"/>
      <c r="H609" s="4"/>
      <c r="J609" s="4"/>
    </row>
    <row r="610" ht="14.25" customHeight="1">
      <c r="B610" s="4"/>
      <c r="D610" s="4"/>
      <c r="F610" s="4"/>
      <c r="H610" s="4"/>
      <c r="J610" s="4"/>
    </row>
    <row r="611" ht="14.25" customHeight="1">
      <c r="B611" s="4"/>
      <c r="D611" s="4"/>
      <c r="F611" s="4"/>
      <c r="H611" s="4"/>
      <c r="J611" s="4"/>
    </row>
    <row r="612" ht="14.25" customHeight="1">
      <c r="B612" s="4"/>
      <c r="D612" s="4"/>
      <c r="F612" s="4"/>
      <c r="H612" s="4"/>
      <c r="J612" s="4"/>
    </row>
    <row r="613" ht="14.25" customHeight="1">
      <c r="B613" s="4"/>
      <c r="D613" s="4"/>
      <c r="F613" s="4"/>
      <c r="H613" s="4"/>
      <c r="J613" s="4"/>
    </row>
    <row r="614" ht="14.25" customHeight="1">
      <c r="B614" s="4"/>
      <c r="D614" s="4"/>
      <c r="F614" s="4"/>
      <c r="H614" s="4"/>
      <c r="J614" s="4"/>
    </row>
    <row r="615" ht="14.25" customHeight="1">
      <c r="B615" s="4"/>
      <c r="D615" s="4"/>
      <c r="F615" s="4"/>
      <c r="H615" s="4"/>
      <c r="J615" s="4"/>
    </row>
    <row r="616" ht="14.25" customHeight="1">
      <c r="B616" s="4"/>
      <c r="D616" s="4"/>
      <c r="F616" s="4"/>
      <c r="H616" s="4"/>
      <c r="J616" s="4"/>
    </row>
    <row r="617" ht="14.25" customHeight="1">
      <c r="B617" s="4"/>
      <c r="D617" s="4"/>
      <c r="F617" s="4"/>
      <c r="H617" s="4"/>
      <c r="J617" s="4"/>
    </row>
    <row r="618" ht="14.25" customHeight="1">
      <c r="B618" s="4"/>
      <c r="D618" s="4"/>
      <c r="F618" s="4"/>
      <c r="H618" s="4"/>
      <c r="J618" s="4"/>
    </row>
    <row r="619" ht="14.25" customHeight="1">
      <c r="B619" s="4"/>
      <c r="D619" s="4"/>
      <c r="F619" s="4"/>
      <c r="H619" s="4"/>
      <c r="J619" s="4"/>
    </row>
    <row r="620" ht="14.25" customHeight="1">
      <c r="B620" s="4"/>
      <c r="D620" s="4"/>
      <c r="F620" s="4"/>
      <c r="H620" s="4"/>
      <c r="J620" s="4"/>
    </row>
    <row r="621" ht="14.25" customHeight="1">
      <c r="B621" s="4"/>
      <c r="D621" s="4"/>
      <c r="F621" s="4"/>
      <c r="H621" s="4"/>
      <c r="J621" s="4"/>
    </row>
    <row r="622" ht="14.25" customHeight="1">
      <c r="B622" s="4"/>
      <c r="D622" s="4"/>
      <c r="F622" s="4"/>
      <c r="H622" s="4"/>
      <c r="J622" s="4"/>
    </row>
    <row r="623" ht="14.25" customHeight="1">
      <c r="B623" s="4"/>
      <c r="D623" s="4"/>
      <c r="F623" s="4"/>
      <c r="H623" s="4"/>
      <c r="J623" s="4"/>
    </row>
    <row r="624" ht="14.25" customHeight="1">
      <c r="B624" s="4"/>
      <c r="D624" s="4"/>
      <c r="F624" s="4"/>
      <c r="H624" s="4"/>
      <c r="J624" s="4"/>
    </row>
    <row r="625" ht="14.25" customHeight="1">
      <c r="B625" s="4"/>
      <c r="D625" s="4"/>
      <c r="F625" s="4"/>
      <c r="H625" s="4"/>
      <c r="J625" s="4"/>
    </row>
    <row r="626" ht="14.25" customHeight="1">
      <c r="B626" s="4"/>
      <c r="D626" s="4"/>
      <c r="F626" s="4"/>
      <c r="H626" s="4"/>
      <c r="J626" s="4"/>
    </row>
    <row r="627" ht="14.25" customHeight="1">
      <c r="B627" s="4"/>
      <c r="D627" s="4"/>
      <c r="F627" s="4"/>
      <c r="H627" s="4"/>
      <c r="J627" s="4"/>
    </row>
    <row r="628" ht="14.25" customHeight="1">
      <c r="B628" s="4"/>
      <c r="D628" s="4"/>
      <c r="F628" s="4"/>
      <c r="H628" s="4"/>
      <c r="J628" s="4"/>
    </row>
    <row r="629" ht="14.25" customHeight="1">
      <c r="B629" s="4"/>
      <c r="D629" s="4"/>
      <c r="F629" s="4"/>
      <c r="H629" s="4"/>
      <c r="J629" s="4"/>
    </row>
    <row r="630" ht="14.25" customHeight="1">
      <c r="B630" s="4"/>
      <c r="D630" s="4"/>
      <c r="F630" s="4"/>
      <c r="H630" s="4"/>
      <c r="J630" s="4"/>
    </row>
    <row r="631" ht="14.25" customHeight="1">
      <c r="B631" s="4"/>
      <c r="D631" s="4"/>
      <c r="F631" s="4"/>
      <c r="H631" s="4"/>
      <c r="J631" s="4"/>
    </row>
    <row r="632" ht="14.25" customHeight="1">
      <c r="B632" s="4"/>
      <c r="D632" s="4"/>
      <c r="F632" s="4"/>
      <c r="H632" s="4"/>
      <c r="J632" s="4"/>
    </row>
    <row r="633" ht="14.25" customHeight="1">
      <c r="B633" s="4"/>
      <c r="D633" s="4"/>
      <c r="F633" s="4"/>
      <c r="H633" s="4"/>
      <c r="J633" s="4"/>
    </row>
    <row r="634" ht="14.25" customHeight="1">
      <c r="B634" s="4"/>
      <c r="D634" s="4"/>
      <c r="F634" s="4"/>
      <c r="H634" s="4"/>
      <c r="J634" s="4"/>
    </row>
    <row r="635" ht="14.25" customHeight="1">
      <c r="B635" s="4"/>
      <c r="D635" s="4"/>
      <c r="F635" s="4"/>
      <c r="H635" s="4"/>
      <c r="J635" s="4"/>
    </row>
    <row r="636" ht="14.25" customHeight="1">
      <c r="B636" s="4"/>
      <c r="D636" s="4"/>
      <c r="F636" s="4"/>
      <c r="H636" s="4"/>
      <c r="J636" s="4"/>
    </row>
    <row r="637" ht="14.25" customHeight="1">
      <c r="B637" s="4"/>
      <c r="D637" s="4"/>
      <c r="F637" s="4"/>
      <c r="H637" s="4"/>
      <c r="J637" s="4"/>
    </row>
    <row r="638" ht="14.25" customHeight="1">
      <c r="B638" s="4"/>
      <c r="D638" s="4"/>
      <c r="F638" s="4"/>
      <c r="H638" s="4"/>
      <c r="J638" s="4"/>
    </row>
    <row r="639" ht="14.25" customHeight="1">
      <c r="B639" s="4"/>
      <c r="D639" s="4"/>
      <c r="F639" s="4"/>
      <c r="H639" s="4"/>
      <c r="J639" s="4"/>
    </row>
    <row r="640" ht="14.25" customHeight="1">
      <c r="B640" s="4"/>
      <c r="D640" s="4"/>
      <c r="F640" s="4"/>
      <c r="H640" s="4"/>
      <c r="J640" s="4"/>
    </row>
    <row r="641" ht="14.25" customHeight="1">
      <c r="B641" s="4"/>
      <c r="D641" s="4"/>
      <c r="F641" s="4"/>
      <c r="H641" s="4"/>
      <c r="J641" s="4"/>
    </row>
    <row r="642" ht="14.25" customHeight="1">
      <c r="B642" s="4"/>
      <c r="D642" s="4"/>
      <c r="F642" s="4"/>
      <c r="H642" s="4"/>
      <c r="J642" s="4"/>
    </row>
    <row r="643" ht="14.25" customHeight="1">
      <c r="B643" s="4"/>
      <c r="D643" s="4"/>
      <c r="F643" s="4"/>
      <c r="H643" s="4"/>
      <c r="J643" s="4"/>
    </row>
    <row r="644" ht="14.25" customHeight="1">
      <c r="B644" s="4"/>
      <c r="D644" s="4"/>
      <c r="F644" s="4"/>
      <c r="H644" s="4"/>
      <c r="J644" s="4"/>
    </row>
    <row r="645" ht="14.25" customHeight="1">
      <c r="B645" s="4"/>
      <c r="D645" s="4"/>
      <c r="F645" s="4"/>
      <c r="H645" s="4"/>
      <c r="J645" s="4"/>
    </row>
    <row r="646" ht="14.25" customHeight="1">
      <c r="B646" s="4"/>
      <c r="D646" s="4"/>
      <c r="F646" s="4"/>
      <c r="H646" s="4"/>
      <c r="J646" s="4"/>
    </row>
    <row r="647" ht="14.25" customHeight="1">
      <c r="B647" s="4"/>
      <c r="D647" s="4"/>
      <c r="F647" s="4"/>
      <c r="H647" s="4"/>
      <c r="J647" s="4"/>
    </row>
    <row r="648" ht="14.25" customHeight="1">
      <c r="B648" s="4"/>
      <c r="D648" s="4"/>
      <c r="F648" s="4"/>
      <c r="H648" s="4"/>
      <c r="J648" s="4"/>
    </row>
    <row r="649" ht="14.25" customHeight="1">
      <c r="B649" s="4"/>
      <c r="D649" s="4"/>
      <c r="F649" s="4"/>
      <c r="H649" s="4"/>
      <c r="J649" s="4"/>
    </row>
    <row r="650" ht="14.25" customHeight="1">
      <c r="B650" s="4"/>
      <c r="D650" s="4"/>
      <c r="F650" s="4"/>
      <c r="H650" s="4"/>
      <c r="J650" s="4"/>
    </row>
    <row r="651" ht="14.25" customHeight="1">
      <c r="B651" s="4"/>
      <c r="D651" s="4"/>
      <c r="F651" s="4"/>
      <c r="H651" s="4"/>
      <c r="J651" s="4"/>
    </row>
    <row r="652" ht="14.25" customHeight="1">
      <c r="B652" s="4"/>
      <c r="D652" s="4"/>
      <c r="F652" s="4"/>
      <c r="H652" s="4"/>
      <c r="J652" s="4"/>
    </row>
    <row r="653" ht="14.25" customHeight="1">
      <c r="B653" s="4"/>
      <c r="D653" s="4"/>
      <c r="F653" s="4"/>
      <c r="H653" s="4"/>
      <c r="J653" s="4"/>
    </row>
    <row r="654" ht="14.25" customHeight="1">
      <c r="B654" s="4"/>
      <c r="D654" s="4"/>
      <c r="F654" s="4"/>
      <c r="H654" s="4"/>
      <c r="J654" s="4"/>
    </row>
    <row r="655" ht="14.25" customHeight="1">
      <c r="B655" s="4"/>
      <c r="D655" s="4"/>
      <c r="F655" s="4"/>
      <c r="H655" s="4"/>
      <c r="J655" s="4"/>
    </row>
    <row r="656" ht="14.25" customHeight="1">
      <c r="B656" s="4"/>
      <c r="D656" s="4"/>
      <c r="F656" s="4"/>
      <c r="H656" s="4"/>
      <c r="J656" s="4"/>
    </row>
    <row r="657" ht="14.25" customHeight="1">
      <c r="B657" s="4"/>
      <c r="D657" s="4"/>
      <c r="F657" s="4"/>
      <c r="H657" s="4"/>
      <c r="J657" s="4"/>
    </row>
    <row r="658" ht="14.25" customHeight="1">
      <c r="B658" s="4"/>
      <c r="D658" s="4"/>
      <c r="F658" s="4"/>
      <c r="H658" s="4"/>
      <c r="J658" s="4"/>
    </row>
    <row r="659" ht="14.25" customHeight="1">
      <c r="B659" s="4"/>
      <c r="D659" s="4"/>
      <c r="F659" s="4"/>
      <c r="H659" s="4"/>
      <c r="J659" s="4"/>
    </row>
    <row r="660" ht="14.25" customHeight="1">
      <c r="B660" s="4"/>
      <c r="D660" s="4"/>
      <c r="F660" s="4"/>
      <c r="H660" s="4"/>
      <c r="J660" s="4"/>
    </row>
    <row r="661" ht="14.25" customHeight="1">
      <c r="B661" s="4"/>
      <c r="D661" s="4"/>
      <c r="F661" s="4"/>
      <c r="H661" s="4"/>
      <c r="J661" s="4"/>
    </row>
    <row r="662" ht="14.25" customHeight="1">
      <c r="B662" s="4"/>
      <c r="D662" s="4"/>
      <c r="F662" s="4"/>
      <c r="H662" s="4"/>
      <c r="J662" s="4"/>
    </row>
    <row r="663" ht="14.25" customHeight="1">
      <c r="B663" s="4"/>
      <c r="D663" s="4"/>
      <c r="F663" s="4"/>
      <c r="H663" s="4"/>
      <c r="J663" s="4"/>
    </row>
    <row r="664" ht="14.25" customHeight="1">
      <c r="B664" s="4"/>
      <c r="D664" s="4"/>
      <c r="F664" s="4"/>
      <c r="H664" s="4"/>
      <c r="J664" s="4"/>
    </row>
    <row r="665" ht="14.25" customHeight="1">
      <c r="B665" s="4"/>
      <c r="D665" s="4"/>
      <c r="F665" s="4"/>
      <c r="H665" s="4"/>
      <c r="J665" s="4"/>
    </row>
    <row r="666" ht="14.25" customHeight="1">
      <c r="B666" s="4"/>
      <c r="D666" s="4"/>
      <c r="F666" s="4"/>
      <c r="H666" s="4"/>
      <c r="J666" s="4"/>
    </row>
    <row r="667" ht="14.25" customHeight="1">
      <c r="B667" s="4"/>
      <c r="D667" s="4"/>
      <c r="F667" s="4"/>
      <c r="H667" s="4"/>
      <c r="J667" s="4"/>
    </row>
    <row r="668" ht="14.25" customHeight="1">
      <c r="B668" s="4"/>
      <c r="D668" s="4"/>
      <c r="F668" s="4"/>
      <c r="H668" s="4"/>
      <c r="J668" s="4"/>
    </row>
    <row r="669" ht="14.25" customHeight="1">
      <c r="B669" s="4"/>
      <c r="D669" s="4"/>
      <c r="F669" s="4"/>
      <c r="H669" s="4"/>
      <c r="J669" s="4"/>
    </row>
    <row r="670" ht="14.25" customHeight="1">
      <c r="B670" s="4"/>
      <c r="D670" s="4"/>
      <c r="F670" s="4"/>
      <c r="H670" s="4"/>
      <c r="J670" s="4"/>
    </row>
    <row r="671" ht="14.25" customHeight="1">
      <c r="B671" s="4"/>
      <c r="D671" s="4"/>
      <c r="F671" s="4"/>
      <c r="H671" s="4"/>
      <c r="J671" s="4"/>
    </row>
    <row r="672" ht="14.25" customHeight="1">
      <c r="B672" s="4"/>
      <c r="D672" s="4"/>
      <c r="F672" s="4"/>
      <c r="H672" s="4"/>
      <c r="J672" s="4"/>
    </row>
    <row r="673" ht="14.25" customHeight="1">
      <c r="B673" s="4"/>
      <c r="D673" s="4"/>
      <c r="F673" s="4"/>
      <c r="H673" s="4"/>
      <c r="J673" s="4"/>
    </row>
    <row r="674" ht="14.25" customHeight="1">
      <c r="B674" s="4"/>
      <c r="D674" s="4"/>
      <c r="F674" s="4"/>
      <c r="H674" s="4"/>
      <c r="J674" s="4"/>
    </row>
    <row r="675" ht="14.25" customHeight="1">
      <c r="B675" s="4"/>
      <c r="D675" s="4"/>
      <c r="F675" s="4"/>
      <c r="H675" s="4"/>
      <c r="J675" s="4"/>
    </row>
    <row r="676" ht="14.25" customHeight="1">
      <c r="B676" s="4"/>
      <c r="D676" s="4"/>
      <c r="F676" s="4"/>
      <c r="H676" s="4"/>
      <c r="J676" s="4"/>
    </row>
    <row r="677" ht="14.25" customHeight="1">
      <c r="B677" s="4"/>
      <c r="D677" s="4"/>
      <c r="F677" s="4"/>
      <c r="H677" s="4"/>
      <c r="J677" s="4"/>
    </row>
    <row r="678" ht="14.25" customHeight="1">
      <c r="B678" s="4"/>
      <c r="D678" s="4"/>
      <c r="F678" s="4"/>
      <c r="H678" s="4"/>
      <c r="J678" s="4"/>
    </row>
    <row r="679" ht="14.25" customHeight="1">
      <c r="B679" s="4"/>
      <c r="D679" s="4"/>
      <c r="F679" s="4"/>
      <c r="H679" s="4"/>
      <c r="J679" s="4"/>
    </row>
    <row r="680" ht="14.25" customHeight="1">
      <c r="B680" s="4"/>
      <c r="D680" s="4"/>
      <c r="F680" s="4"/>
      <c r="H680" s="4"/>
      <c r="J680" s="4"/>
    </row>
    <row r="681" ht="14.25" customHeight="1">
      <c r="B681" s="4"/>
      <c r="D681" s="4"/>
      <c r="F681" s="4"/>
      <c r="H681" s="4"/>
      <c r="J681" s="4"/>
    </row>
    <row r="682" ht="14.25" customHeight="1">
      <c r="B682" s="4"/>
      <c r="D682" s="4"/>
      <c r="F682" s="4"/>
      <c r="H682" s="4"/>
      <c r="J682" s="4"/>
    </row>
    <row r="683" ht="14.25" customHeight="1">
      <c r="B683" s="4"/>
      <c r="D683" s="4"/>
      <c r="F683" s="4"/>
      <c r="H683" s="4"/>
      <c r="J683" s="4"/>
    </row>
    <row r="684" ht="14.25" customHeight="1">
      <c r="B684" s="4"/>
      <c r="D684" s="4"/>
      <c r="F684" s="4"/>
      <c r="H684" s="4"/>
      <c r="J684" s="4"/>
    </row>
    <row r="685" ht="14.25" customHeight="1">
      <c r="B685" s="4"/>
      <c r="D685" s="4"/>
      <c r="F685" s="4"/>
      <c r="H685" s="4"/>
      <c r="J685" s="4"/>
    </row>
    <row r="686" ht="14.25" customHeight="1">
      <c r="B686" s="4"/>
      <c r="D686" s="4"/>
      <c r="F686" s="4"/>
      <c r="H686" s="4"/>
      <c r="J686" s="4"/>
    </row>
    <row r="687" ht="14.25" customHeight="1">
      <c r="B687" s="4"/>
      <c r="D687" s="4"/>
      <c r="F687" s="4"/>
      <c r="H687" s="4"/>
      <c r="J687" s="4"/>
    </row>
    <row r="688" ht="14.25" customHeight="1">
      <c r="B688" s="4"/>
      <c r="D688" s="4"/>
      <c r="F688" s="4"/>
      <c r="H688" s="4"/>
      <c r="J688" s="4"/>
    </row>
    <row r="689" ht="14.25" customHeight="1">
      <c r="B689" s="4"/>
      <c r="D689" s="4"/>
      <c r="F689" s="4"/>
      <c r="H689" s="4"/>
      <c r="J689" s="4"/>
    </row>
    <row r="690" ht="14.25" customHeight="1">
      <c r="B690" s="4"/>
      <c r="D690" s="4"/>
      <c r="F690" s="4"/>
      <c r="H690" s="4"/>
      <c r="J690" s="4"/>
    </row>
    <row r="691" ht="14.25" customHeight="1">
      <c r="B691" s="4"/>
      <c r="D691" s="4"/>
      <c r="F691" s="4"/>
      <c r="H691" s="4"/>
      <c r="J691" s="4"/>
    </row>
    <row r="692" ht="14.25" customHeight="1">
      <c r="B692" s="4"/>
      <c r="D692" s="4"/>
      <c r="F692" s="4"/>
      <c r="H692" s="4"/>
      <c r="J692" s="4"/>
    </row>
    <row r="693" ht="14.25" customHeight="1">
      <c r="B693" s="4"/>
      <c r="D693" s="4"/>
      <c r="F693" s="4"/>
      <c r="H693" s="4"/>
      <c r="J693" s="4"/>
    </row>
    <row r="694" ht="14.25" customHeight="1">
      <c r="B694" s="4"/>
      <c r="D694" s="4"/>
      <c r="F694" s="4"/>
      <c r="H694" s="4"/>
      <c r="J694" s="4"/>
    </row>
    <row r="695" ht="14.25" customHeight="1">
      <c r="B695" s="4"/>
      <c r="D695" s="4"/>
      <c r="F695" s="4"/>
      <c r="H695" s="4"/>
      <c r="J695" s="4"/>
    </row>
    <row r="696" ht="14.25" customHeight="1">
      <c r="B696" s="4"/>
      <c r="D696" s="4"/>
      <c r="F696" s="4"/>
      <c r="H696" s="4"/>
      <c r="J696" s="4"/>
    </row>
    <row r="697" ht="14.25" customHeight="1">
      <c r="B697" s="4"/>
      <c r="D697" s="4"/>
      <c r="F697" s="4"/>
      <c r="H697" s="4"/>
      <c r="J697" s="4"/>
    </row>
    <row r="698" ht="14.25" customHeight="1">
      <c r="B698" s="4"/>
      <c r="D698" s="4"/>
      <c r="F698" s="4"/>
      <c r="H698" s="4"/>
      <c r="J698" s="4"/>
    </row>
    <row r="699" ht="14.25" customHeight="1">
      <c r="B699" s="4"/>
      <c r="D699" s="4"/>
      <c r="F699" s="4"/>
      <c r="H699" s="4"/>
      <c r="J699" s="4"/>
    </row>
    <row r="700" ht="14.25" customHeight="1">
      <c r="B700" s="4"/>
      <c r="D700" s="4"/>
      <c r="F700" s="4"/>
      <c r="H700" s="4"/>
      <c r="J700" s="4"/>
    </row>
    <row r="701" ht="14.25" customHeight="1">
      <c r="B701" s="4"/>
      <c r="D701" s="4"/>
      <c r="F701" s="4"/>
      <c r="H701" s="4"/>
      <c r="J701" s="4"/>
    </row>
    <row r="702" ht="14.25" customHeight="1">
      <c r="B702" s="4"/>
      <c r="D702" s="4"/>
      <c r="F702" s="4"/>
      <c r="H702" s="4"/>
      <c r="J702" s="4"/>
    </row>
    <row r="703" ht="14.25" customHeight="1">
      <c r="B703" s="4"/>
      <c r="D703" s="4"/>
      <c r="F703" s="4"/>
      <c r="H703" s="4"/>
      <c r="J703" s="4"/>
    </row>
    <row r="704" ht="14.25" customHeight="1">
      <c r="B704" s="4"/>
      <c r="D704" s="4"/>
      <c r="F704" s="4"/>
      <c r="H704" s="4"/>
      <c r="J704" s="4"/>
    </row>
    <row r="705" ht="14.25" customHeight="1">
      <c r="B705" s="4"/>
      <c r="D705" s="4"/>
      <c r="F705" s="4"/>
      <c r="H705" s="4"/>
      <c r="J705" s="4"/>
    </row>
    <row r="706" ht="14.25" customHeight="1">
      <c r="B706" s="4"/>
      <c r="D706" s="4"/>
      <c r="F706" s="4"/>
      <c r="H706" s="4"/>
      <c r="J706" s="4"/>
    </row>
    <row r="707" ht="14.25" customHeight="1">
      <c r="B707" s="4"/>
      <c r="D707" s="4"/>
      <c r="F707" s="4"/>
      <c r="H707" s="4"/>
      <c r="J707" s="4"/>
    </row>
    <row r="708" ht="14.25" customHeight="1">
      <c r="B708" s="4"/>
      <c r="D708" s="4"/>
      <c r="F708" s="4"/>
      <c r="H708" s="4"/>
      <c r="J708" s="4"/>
    </row>
    <row r="709" ht="14.25" customHeight="1">
      <c r="B709" s="4"/>
      <c r="D709" s="4"/>
      <c r="F709" s="4"/>
      <c r="H709" s="4"/>
      <c r="J709" s="4"/>
    </row>
    <row r="710" ht="14.25" customHeight="1">
      <c r="B710" s="4"/>
      <c r="D710" s="4"/>
      <c r="F710" s="4"/>
      <c r="H710" s="4"/>
      <c r="J710" s="4"/>
    </row>
    <row r="711" ht="14.25" customHeight="1">
      <c r="B711" s="4"/>
      <c r="D711" s="4"/>
      <c r="F711" s="4"/>
      <c r="H711" s="4"/>
      <c r="J711" s="4"/>
    </row>
    <row r="712" ht="14.25" customHeight="1">
      <c r="B712" s="4"/>
      <c r="D712" s="4"/>
      <c r="F712" s="4"/>
      <c r="H712" s="4"/>
      <c r="J712" s="4"/>
    </row>
    <row r="713" ht="14.25" customHeight="1">
      <c r="B713" s="4"/>
      <c r="D713" s="4"/>
      <c r="F713" s="4"/>
      <c r="H713" s="4"/>
      <c r="J713" s="4"/>
    </row>
    <row r="714" ht="14.25" customHeight="1">
      <c r="B714" s="4"/>
      <c r="D714" s="4"/>
      <c r="F714" s="4"/>
      <c r="H714" s="4"/>
      <c r="J714" s="4"/>
    </row>
    <row r="715" ht="14.25" customHeight="1">
      <c r="B715" s="4"/>
      <c r="D715" s="4"/>
      <c r="F715" s="4"/>
      <c r="H715" s="4"/>
      <c r="J715" s="4"/>
    </row>
    <row r="716" ht="14.25" customHeight="1">
      <c r="B716" s="4"/>
      <c r="D716" s="4"/>
      <c r="F716" s="4"/>
      <c r="H716" s="4"/>
      <c r="J716" s="4"/>
    </row>
    <row r="717" ht="14.25" customHeight="1">
      <c r="B717" s="4"/>
      <c r="D717" s="4"/>
      <c r="F717" s="4"/>
      <c r="H717" s="4"/>
      <c r="J717" s="4"/>
    </row>
    <row r="718" ht="14.25" customHeight="1">
      <c r="B718" s="4"/>
      <c r="D718" s="4"/>
      <c r="F718" s="4"/>
      <c r="H718" s="4"/>
      <c r="J718" s="4"/>
    </row>
    <row r="719" ht="14.25" customHeight="1">
      <c r="B719" s="4"/>
      <c r="D719" s="4"/>
      <c r="F719" s="4"/>
      <c r="H719" s="4"/>
      <c r="J719" s="4"/>
    </row>
    <row r="720" ht="14.25" customHeight="1">
      <c r="B720" s="4"/>
      <c r="D720" s="4"/>
      <c r="F720" s="4"/>
      <c r="H720" s="4"/>
      <c r="J720" s="4"/>
    </row>
    <row r="721" ht="14.25" customHeight="1">
      <c r="B721" s="4"/>
      <c r="D721" s="4"/>
      <c r="F721" s="4"/>
      <c r="H721" s="4"/>
      <c r="J721" s="4"/>
    </row>
    <row r="722" ht="14.25" customHeight="1">
      <c r="B722" s="4"/>
      <c r="D722" s="4"/>
      <c r="F722" s="4"/>
      <c r="H722" s="4"/>
      <c r="J722" s="4"/>
    </row>
    <row r="723" ht="14.25" customHeight="1">
      <c r="B723" s="4"/>
      <c r="D723" s="4"/>
      <c r="F723" s="4"/>
      <c r="H723" s="4"/>
      <c r="J723" s="4"/>
    </row>
    <row r="724" ht="14.25" customHeight="1">
      <c r="B724" s="4"/>
      <c r="D724" s="4"/>
      <c r="F724" s="4"/>
      <c r="H724" s="4"/>
      <c r="J724" s="4"/>
    </row>
    <row r="725" ht="14.25" customHeight="1">
      <c r="B725" s="4"/>
      <c r="D725" s="4"/>
      <c r="F725" s="4"/>
      <c r="H725" s="4"/>
      <c r="J725" s="4"/>
    </row>
    <row r="726" ht="14.25" customHeight="1">
      <c r="B726" s="4"/>
      <c r="D726" s="4"/>
      <c r="F726" s="4"/>
      <c r="H726" s="4"/>
      <c r="J726" s="4"/>
    </row>
    <row r="727" ht="14.25" customHeight="1">
      <c r="B727" s="4"/>
      <c r="D727" s="4"/>
      <c r="F727" s="4"/>
      <c r="H727" s="4"/>
      <c r="J727" s="4"/>
    </row>
    <row r="728" ht="14.25" customHeight="1">
      <c r="B728" s="4"/>
      <c r="D728" s="4"/>
      <c r="F728" s="4"/>
      <c r="H728" s="4"/>
      <c r="J728" s="4"/>
    </row>
    <row r="729" ht="14.25" customHeight="1">
      <c r="B729" s="4"/>
      <c r="D729" s="4"/>
      <c r="F729" s="4"/>
      <c r="H729" s="4"/>
      <c r="J729" s="4"/>
    </row>
    <row r="730" ht="14.25" customHeight="1">
      <c r="B730" s="4"/>
      <c r="D730" s="4"/>
      <c r="F730" s="4"/>
      <c r="H730" s="4"/>
      <c r="J730" s="4"/>
    </row>
    <row r="731" ht="14.25" customHeight="1">
      <c r="B731" s="4"/>
      <c r="D731" s="4"/>
      <c r="F731" s="4"/>
      <c r="H731" s="4"/>
      <c r="J731" s="4"/>
    </row>
    <row r="732" ht="14.25" customHeight="1">
      <c r="B732" s="4"/>
      <c r="D732" s="4"/>
      <c r="F732" s="4"/>
      <c r="H732" s="4"/>
      <c r="J732" s="4"/>
    </row>
    <row r="733" ht="14.25" customHeight="1">
      <c r="B733" s="4"/>
      <c r="D733" s="4"/>
      <c r="F733" s="4"/>
      <c r="H733" s="4"/>
      <c r="J733" s="4"/>
    </row>
    <row r="734" ht="14.25" customHeight="1">
      <c r="B734" s="4"/>
      <c r="D734" s="4"/>
      <c r="F734" s="4"/>
      <c r="H734" s="4"/>
      <c r="J734" s="4"/>
    </row>
    <row r="735" ht="14.25" customHeight="1">
      <c r="B735" s="4"/>
      <c r="D735" s="4"/>
      <c r="F735" s="4"/>
      <c r="H735" s="4"/>
      <c r="J735" s="4"/>
    </row>
    <row r="736" ht="14.25" customHeight="1">
      <c r="B736" s="4"/>
      <c r="D736" s="4"/>
      <c r="F736" s="4"/>
      <c r="H736" s="4"/>
      <c r="J736" s="4"/>
    </row>
    <row r="737" ht="14.25" customHeight="1">
      <c r="B737" s="4"/>
      <c r="D737" s="4"/>
      <c r="F737" s="4"/>
      <c r="H737" s="4"/>
      <c r="J737" s="4"/>
    </row>
    <row r="738" ht="14.25" customHeight="1">
      <c r="B738" s="4"/>
      <c r="D738" s="4"/>
      <c r="F738" s="4"/>
      <c r="H738" s="4"/>
      <c r="J738" s="4"/>
    </row>
    <row r="739" ht="14.25" customHeight="1">
      <c r="B739" s="4"/>
      <c r="D739" s="4"/>
      <c r="F739" s="4"/>
      <c r="H739" s="4"/>
      <c r="J739" s="4"/>
    </row>
    <row r="740" ht="14.25" customHeight="1">
      <c r="B740" s="4"/>
      <c r="D740" s="4"/>
      <c r="F740" s="4"/>
      <c r="H740" s="4"/>
      <c r="J740" s="4"/>
    </row>
    <row r="741" ht="14.25" customHeight="1">
      <c r="B741" s="4"/>
      <c r="D741" s="4"/>
      <c r="F741" s="4"/>
      <c r="H741" s="4"/>
      <c r="J741" s="4"/>
    </row>
    <row r="742" ht="14.25" customHeight="1">
      <c r="B742" s="4"/>
      <c r="D742" s="4"/>
      <c r="F742" s="4"/>
      <c r="H742" s="4"/>
      <c r="J742" s="4"/>
    </row>
    <row r="743" ht="14.25" customHeight="1">
      <c r="B743" s="4"/>
      <c r="D743" s="4"/>
      <c r="F743" s="4"/>
      <c r="H743" s="4"/>
      <c r="J743" s="4"/>
    </row>
    <row r="744" ht="14.25" customHeight="1">
      <c r="B744" s="4"/>
      <c r="D744" s="4"/>
      <c r="F744" s="4"/>
      <c r="H744" s="4"/>
      <c r="J744" s="4"/>
    </row>
    <row r="745" ht="14.25" customHeight="1">
      <c r="B745" s="4"/>
      <c r="D745" s="4"/>
      <c r="F745" s="4"/>
      <c r="H745" s="4"/>
      <c r="J745" s="4"/>
    </row>
    <row r="746" ht="14.25" customHeight="1">
      <c r="B746" s="4"/>
      <c r="D746" s="4"/>
      <c r="F746" s="4"/>
      <c r="H746" s="4"/>
      <c r="J746" s="4"/>
    </row>
    <row r="747" ht="14.25" customHeight="1">
      <c r="B747" s="4"/>
      <c r="D747" s="4"/>
      <c r="F747" s="4"/>
      <c r="H747" s="4"/>
      <c r="J747" s="4"/>
    </row>
    <row r="748" ht="14.25" customHeight="1">
      <c r="B748" s="4"/>
      <c r="D748" s="4"/>
      <c r="F748" s="4"/>
      <c r="H748" s="4"/>
      <c r="J748" s="4"/>
    </row>
    <row r="749" ht="14.25" customHeight="1">
      <c r="B749" s="4"/>
      <c r="D749" s="4"/>
      <c r="F749" s="4"/>
      <c r="H749" s="4"/>
      <c r="J749" s="4"/>
    </row>
    <row r="750" ht="14.25" customHeight="1">
      <c r="B750" s="4"/>
      <c r="D750" s="4"/>
      <c r="F750" s="4"/>
      <c r="H750" s="4"/>
      <c r="J750" s="4"/>
    </row>
    <row r="751" ht="14.25" customHeight="1">
      <c r="B751" s="4"/>
      <c r="D751" s="4"/>
      <c r="F751" s="4"/>
      <c r="H751" s="4"/>
      <c r="J751" s="4"/>
    </row>
    <row r="752" ht="14.25" customHeight="1">
      <c r="B752" s="4"/>
      <c r="D752" s="4"/>
      <c r="F752" s="4"/>
      <c r="H752" s="4"/>
      <c r="J752" s="4"/>
    </row>
    <row r="753" ht="14.25" customHeight="1">
      <c r="B753" s="4"/>
      <c r="D753" s="4"/>
      <c r="F753" s="4"/>
      <c r="H753" s="4"/>
      <c r="J753" s="4"/>
    </row>
    <row r="754" ht="14.25" customHeight="1">
      <c r="B754" s="4"/>
      <c r="D754" s="4"/>
      <c r="F754" s="4"/>
      <c r="H754" s="4"/>
      <c r="J754" s="4"/>
    </row>
    <row r="755" ht="14.25" customHeight="1">
      <c r="B755" s="4"/>
      <c r="D755" s="4"/>
      <c r="F755" s="4"/>
      <c r="H755" s="4"/>
      <c r="J755" s="4"/>
    </row>
    <row r="756" ht="14.25" customHeight="1">
      <c r="B756" s="4"/>
      <c r="D756" s="4"/>
      <c r="F756" s="4"/>
      <c r="H756" s="4"/>
      <c r="J756" s="4"/>
    </row>
    <row r="757" ht="14.25" customHeight="1">
      <c r="B757" s="4"/>
      <c r="D757" s="4"/>
      <c r="F757" s="4"/>
      <c r="H757" s="4"/>
      <c r="J757" s="4"/>
    </row>
    <row r="758" ht="14.25" customHeight="1">
      <c r="B758" s="4"/>
      <c r="D758" s="4"/>
      <c r="F758" s="4"/>
      <c r="H758" s="4"/>
      <c r="J758" s="4"/>
    </row>
    <row r="759" ht="14.25" customHeight="1">
      <c r="B759" s="4"/>
      <c r="D759" s="4"/>
      <c r="F759" s="4"/>
      <c r="H759" s="4"/>
      <c r="J759" s="4"/>
    </row>
    <row r="760" ht="14.25" customHeight="1">
      <c r="B760" s="4"/>
      <c r="D760" s="4"/>
      <c r="F760" s="4"/>
      <c r="H760" s="4"/>
      <c r="J760" s="4"/>
    </row>
    <row r="761" ht="14.25" customHeight="1">
      <c r="B761" s="4"/>
      <c r="D761" s="4"/>
      <c r="F761" s="4"/>
      <c r="H761" s="4"/>
      <c r="J761" s="4"/>
    </row>
    <row r="762" ht="14.25" customHeight="1">
      <c r="B762" s="4"/>
      <c r="D762" s="4"/>
      <c r="F762" s="4"/>
      <c r="H762" s="4"/>
      <c r="J762" s="4"/>
    </row>
    <row r="763" ht="14.25" customHeight="1">
      <c r="B763" s="4"/>
      <c r="D763" s="4"/>
      <c r="F763" s="4"/>
      <c r="H763" s="4"/>
      <c r="J763" s="4"/>
    </row>
    <row r="764" ht="14.25" customHeight="1">
      <c r="B764" s="4"/>
      <c r="D764" s="4"/>
      <c r="F764" s="4"/>
      <c r="H764" s="4"/>
      <c r="J764" s="4"/>
    </row>
    <row r="765" ht="14.25" customHeight="1">
      <c r="B765" s="4"/>
      <c r="D765" s="4"/>
      <c r="F765" s="4"/>
      <c r="H765" s="4"/>
      <c r="J765" s="4"/>
    </row>
    <row r="766" ht="14.25" customHeight="1">
      <c r="B766" s="4"/>
      <c r="D766" s="4"/>
      <c r="F766" s="4"/>
      <c r="H766" s="4"/>
      <c r="J766" s="4"/>
    </row>
    <row r="767" ht="14.25" customHeight="1">
      <c r="B767" s="4"/>
      <c r="D767" s="4"/>
      <c r="F767" s="4"/>
      <c r="H767" s="4"/>
      <c r="J767" s="4"/>
    </row>
    <row r="768" ht="14.25" customHeight="1">
      <c r="B768" s="4"/>
      <c r="D768" s="4"/>
      <c r="F768" s="4"/>
      <c r="H768" s="4"/>
      <c r="J768" s="4"/>
    </row>
    <row r="769" ht="14.25" customHeight="1">
      <c r="B769" s="4"/>
      <c r="D769" s="4"/>
      <c r="F769" s="4"/>
      <c r="H769" s="4"/>
      <c r="J769" s="4"/>
    </row>
    <row r="770" ht="14.25" customHeight="1">
      <c r="B770" s="4"/>
      <c r="D770" s="4"/>
      <c r="F770" s="4"/>
      <c r="H770" s="4"/>
      <c r="J770" s="4"/>
    </row>
    <row r="771" ht="14.25" customHeight="1">
      <c r="B771" s="4"/>
      <c r="D771" s="4"/>
      <c r="F771" s="4"/>
      <c r="H771" s="4"/>
      <c r="J771" s="4"/>
    </row>
    <row r="772" ht="14.25" customHeight="1">
      <c r="B772" s="4"/>
      <c r="D772" s="4"/>
      <c r="F772" s="4"/>
      <c r="H772" s="4"/>
      <c r="J772" s="4"/>
    </row>
    <row r="773" ht="14.25" customHeight="1">
      <c r="B773" s="4"/>
      <c r="D773" s="4"/>
      <c r="F773" s="4"/>
      <c r="H773" s="4"/>
      <c r="J773" s="4"/>
    </row>
    <row r="774" ht="14.25" customHeight="1">
      <c r="B774" s="4"/>
      <c r="D774" s="4"/>
      <c r="F774" s="4"/>
      <c r="H774" s="4"/>
      <c r="J774" s="4"/>
    </row>
    <row r="775" ht="14.25" customHeight="1">
      <c r="B775" s="4"/>
      <c r="D775" s="4"/>
      <c r="F775" s="4"/>
      <c r="H775" s="4"/>
      <c r="J775" s="4"/>
    </row>
    <row r="776" ht="14.25" customHeight="1">
      <c r="B776" s="4"/>
      <c r="D776" s="4"/>
      <c r="F776" s="4"/>
      <c r="H776" s="4"/>
      <c r="J776" s="4"/>
    </row>
    <row r="777" ht="14.25" customHeight="1">
      <c r="B777" s="4"/>
      <c r="D777" s="4"/>
      <c r="F777" s="4"/>
      <c r="H777" s="4"/>
      <c r="J777" s="4"/>
    </row>
    <row r="778" ht="14.25" customHeight="1">
      <c r="B778" s="4"/>
      <c r="D778" s="4"/>
      <c r="F778" s="4"/>
      <c r="H778" s="4"/>
      <c r="J778" s="4"/>
    </row>
    <row r="779" ht="14.25" customHeight="1">
      <c r="B779" s="4"/>
      <c r="D779" s="4"/>
      <c r="F779" s="4"/>
      <c r="H779" s="4"/>
      <c r="J779" s="4"/>
    </row>
    <row r="780" ht="14.25" customHeight="1">
      <c r="B780" s="4"/>
      <c r="D780" s="4"/>
      <c r="F780" s="4"/>
      <c r="H780" s="4"/>
      <c r="J780" s="4"/>
    </row>
    <row r="781" ht="14.25" customHeight="1">
      <c r="B781" s="4"/>
      <c r="D781" s="4"/>
      <c r="F781" s="4"/>
      <c r="H781" s="4"/>
      <c r="J781" s="4"/>
    </row>
    <row r="782" ht="14.25" customHeight="1">
      <c r="B782" s="4"/>
      <c r="D782" s="4"/>
      <c r="F782" s="4"/>
      <c r="H782" s="4"/>
      <c r="J782" s="4"/>
    </row>
    <row r="783" ht="14.25" customHeight="1">
      <c r="B783" s="4"/>
      <c r="D783" s="4"/>
      <c r="F783" s="4"/>
      <c r="H783" s="4"/>
      <c r="J783" s="4"/>
    </row>
    <row r="784" ht="14.25" customHeight="1">
      <c r="B784" s="4"/>
      <c r="D784" s="4"/>
      <c r="F784" s="4"/>
      <c r="H784" s="4"/>
      <c r="J784" s="4"/>
    </row>
    <row r="785" ht="14.25" customHeight="1">
      <c r="B785" s="4"/>
      <c r="D785" s="4"/>
      <c r="F785" s="4"/>
      <c r="H785" s="4"/>
      <c r="J785" s="4"/>
    </row>
    <row r="786" ht="14.25" customHeight="1">
      <c r="B786" s="4"/>
      <c r="D786" s="4"/>
      <c r="F786" s="4"/>
      <c r="H786" s="4"/>
      <c r="J786" s="4"/>
    </row>
    <row r="787" ht="14.25" customHeight="1">
      <c r="B787" s="4"/>
      <c r="D787" s="4"/>
      <c r="F787" s="4"/>
      <c r="H787" s="4"/>
      <c r="J787" s="4"/>
    </row>
    <row r="788" ht="14.25" customHeight="1">
      <c r="B788" s="4"/>
      <c r="D788" s="4"/>
      <c r="F788" s="4"/>
      <c r="H788" s="4"/>
      <c r="J788" s="4"/>
    </row>
    <row r="789" ht="14.25" customHeight="1">
      <c r="B789" s="4"/>
      <c r="D789" s="4"/>
      <c r="F789" s="4"/>
      <c r="H789" s="4"/>
      <c r="J789" s="4"/>
    </row>
    <row r="790" ht="14.25" customHeight="1">
      <c r="B790" s="4"/>
      <c r="D790" s="4"/>
      <c r="F790" s="4"/>
      <c r="H790" s="4"/>
      <c r="J790" s="4"/>
    </row>
    <row r="791" ht="14.25" customHeight="1">
      <c r="B791" s="4"/>
      <c r="D791" s="4"/>
      <c r="F791" s="4"/>
      <c r="H791" s="4"/>
      <c r="J791" s="4"/>
    </row>
    <row r="792" ht="14.25" customHeight="1">
      <c r="B792" s="4"/>
      <c r="D792" s="4"/>
      <c r="F792" s="4"/>
      <c r="H792" s="4"/>
      <c r="J792" s="4"/>
    </row>
    <row r="793" ht="14.25" customHeight="1">
      <c r="B793" s="4"/>
      <c r="D793" s="4"/>
      <c r="F793" s="4"/>
      <c r="H793" s="4"/>
      <c r="J793" s="4"/>
    </row>
    <row r="794" ht="14.25" customHeight="1">
      <c r="B794" s="4"/>
      <c r="D794" s="4"/>
      <c r="F794" s="4"/>
      <c r="H794" s="4"/>
      <c r="J794" s="4"/>
    </row>
    <row r="795" ht="14.25" customHeight="1">
      <c r="B795" s="4"/>
      <c r="D795" s="4"/>
      <c r="F795" s="4"/>
      <c r="H795" s="4"/>
      <c r="J795" s="4"/>
    </row>
    <row r="796" ht="14.25" customHeight="1">
      <c r="B796" s="4"/>
      <c r="D796" s="4"/>
      <c r="F796" s="4"/>
      <c r="H796" s="4"/>
      <c r="J796" s="4"/>
    </row>
    <row r="797" ht="14.25" customHeight="1">
      <c r="B797" s="4"/>
      <c r="D797" s="4"/>
      <c r="F797" s="4"/>
      <c r="H797" s="4"/>
      <c r="J797" s="4"/>
    </row>
    <row r="798" ht="14.25" customHeight="1">
      <c r="B798" s="4"/>
      <c r="D798" s="4"/>
      <c r="F798" s="4"/>
      <c r="H798" s="4"/>
      <c r="J798" s="4"/>
    </row>
    <row r="799" ht="14.25" customHeight="1">
      <c r="B799" s="4"/>
      <c r="D799" s="4"/>
      <c r="F799" s="4"/>
      <c r="H799" s="4"/>
      <c r="J799" s="4"/>
    </row>
    <row r="800" ht="14.25" customHeight="1">
      <c r="B800" s="4"/>
      <c r="D800" s="4"/>
      <c r="F800" s="4"/>
      <c r="H800" s="4"/>
      <c r="J800" s="4"/>
    </row>
    <row r="801" ht="14.25" customHeight="1">
      <c r="B801" s="4"/>
      <c r="D801" s="4"/>
      <c r="F801" s="4"/>
      <c r="H801" s="4"/>
      <c r="J801" s="4"/>
    </row>
    <row r="802" ht="14.25" customHeight="1">
      <c r="B802" s="4"/>
      <c r="D802" s="4"/>
      <c r="F802" s="4"/>
      <c r="H802" s="4"/>
      <c r="J802" s="4"/>
    </row>
    <row r="803" ht="14.25" customHeight="1">
      <c r="B803" s="4"/>
      <c r="D803" s="4"/>
      <c r="F803" s="4"/>
      <c r="H803" s="4"/>
      <c r="J803" s="4"/>
    </row>
    <row r="804" ht="14.25" customHeight="1">
      <c r="B804" s="4"/>
      <c r="D804" s="4"/>
      <c r="F804" s="4"/>
      <c r="H804" s="4"/>
      <c r="J804" s="4"/>
    </row>
    <row r="805" ht="14.25" customHeight="1">
      <c r="B805" s="4"/>
      <c r="D805" s="4"/>
      <c r="F805" s="4"/>
      <c r="H805" s="4"/>
      <c r="J805" s="4"/>
    </row>
    <row r="806" ht="14.25" customHeight="1">
      <c r="B806" s="4"/>
      <c r="D806" s="4"/>
      <c r="F806" s="4"/>
      <c r="H806" s="4"/>
      <c r="J806" s="4"/>
    </row>
    <row r="807" ht="14.25" customHeight="1">
      <c r="B807" s="4"/>
      <c r="D807" s="4"/>
      <c r="F807" s="4"/>
      <c r="H807" s="4"/>
      <c r="J807" s="4"/>
    </row>
    <row r="808" ht="14.25" customHeight="1">
      <c r="B808" s="4"/>
      <c r="D808" s="4"/>
      <c r="F808" s="4"/>
      <c r="H808" s="4"/>
      <c r="J808" s="4"/>
    </row>
    <row r="809" ht="14.25" customHeight="1">
      <c r="B809" s="4"/>
      <c r="D809" s="4"/>
      <c r="F809" s="4"/>
      <c r="H809" s="4"/>
      <c r="J809" s="4"/>
    </row>
    <row r="810" ht="14.25" customHeight="1">
      <c r="B810" s="4"/>
      <c r="D810" s="4"/>
      <c r="F810" s="4"/>
      <c r="H810" s="4"/>
      <c r="J810" s="4"/>
    </row>
    <row r="811" ht="14.25" customHeight="1">
      <c r="B811" s="4"/>
      <c r="D811" s="4"/>
      <c r="F811" s="4"/>
      <c r="H811" s="4"/>
      <c r="J811" s="4"/>
    </row>
    <row r="812" ht="14.25" customHeight="1">
      <c r="B812" s="4"/>
      <c r="D812" s="4"/>
      <c r="F812" s="4"/>
      <c r="H812" s="4"/>
      <c r="J812" s="4"/>
    </row>
    <row r="813" ht="14.25" customHeight="1">
      <c r="B813" s="4"/>
      <c r="D813" s="4"/>
      <c r="F813" s="4"/>
      <c r="H813" s="4"/>
      <c r="J813" s="4"/>
    </row>
    <row r="814" ht="14.25" customHeight="1">
      <c r="B814" s="4"/>
      <c r="D814" s="4"/>
      <c r="F814" s="4"/>
      <c r="H814" s="4"/>
      <c r="J814" s="4"/>
    </row>
    <row r="815" ht="14.25" customHeight="1">
      <c r="B815" s="4"/>
      <c r="D815" s="4"/>
      <c r="F815" s="4"/>
      <c r="H815" s="4"/>
      <c r="J815" s="4"/>
    </row>
    <row r="816" ht="14.25" customHeight="1">
      <c r="B816" s="4"/>
      <c r="D816" s="4"/>
      <c r="F816" s="4"/>
      <c r="H816" s="4"/>
      <c r="J816" s="4"/>
    </row>
    <row r="817" ht="14.25" customHeight="1">
      <c r="B817" s="4"/>
      <c r="D817" s="4"/>
      <c r="F817" s="4"/>
      <c r="H817" s="4"/>
      <c r="J817" s="4"/>
    </row>
    <row r="818" ht="14.25" customHeight="1">
      <c r="B818" s="4"/>
      <c r="D818" s="4"/>
      <c r="F818" s="4"/>
      <c r="H818" s="4"/>
      <c r="J818" s="4"/>
    </row>
    <row r="819" ht="14.25" customHeight="1">
      <c r="B819" s="4"/>
      <c r="D819" s="4"/>
      <c r="F819" s="4"/>
      <c r="H819" s="4"/>
      <c r="J819" s="4"/>
    </row>
    <row r="820" ht="14.25" customHeight="1">
      <c r="B820" s="4"/>
      <c r="D820" s="4"/>
      <c r="F820" s="4"/>
      <c r="H820" s="4"/>
      <c r="J820" s="4"/>
    </row>
    <row r="821" ht="14.25" customHeight="1">
      <c r="B821" s="4"/>
      <c r="D821" s="4"/>
      <c r="F821" s="4"/>
      <c r="H821" s="4"/>
      <c r="J821" s="4"/>
    </row>
    <row r="822" ht="14.25" customHeight="1">
      <c r="B822" s="4"/>
      <c r="D822" s="4"/>
      <c r="F822" s="4"/>
      <c r="H822" s="4"/>
      <c r="J822" s="4"/>
    </row>
    <row r="823" ht="14.25" customHeight="1">
      <c r="B823" s="4"/>
      <c r="D823" s="4"/>
      <c r="F823" s="4"/>
      <c r="H823" s="4"/>
      <c r="J823" s="4"/>
    </row>
    <row r="824" ht="14.25" customHeight="1">
      <c r="B824" s="4"/>
      <c r="D824" s="4"/>
      <c r="F824" s="4"/>
      <c r="H824" s="4"/>
      <c r="J824" s="4"/>
    </row>
    <row r="825" ht="14.25" customHeight="1">
      <c r="B825" s="4"/>
      <c r="D825" s="4"/>
      <c r="F825" s="4"/>
      <c r="H825" s="4"/>
      <c r="J825" s="4"/>
    </row>
    <row r="826" ht="14.25" customHeight="1">
      <c r="B826" s="4"/>
      <c r="D826" s="4"/>
      <c r="F826" s="4"/>
      <c r="H826" s="4"/>
      <c r="J826" s="4"/>
    </row>
    <row r="827" ht="14.25" customHeight="1">
      <c r="B827" s="4"/>
      <c r="D827" s="4"/>
      <c r="F827" s="4"/>
      <c r="H827" s="4"/>
      <c r="J827" s="4"/>
    </row>
    <row r="828" ht="14.25" customHeight="1">
      <c r="B828" s="4"/>
      <c r="D828" s="4"/>
      <c r="F828" s="4"/>
      <c r="H828" s="4"/>
      <c r="J828" s="4"/>
    </row>
    <row r="829" ht="14.25" customHeight="1">
      <c r="B829" s="4"/>
      <c r="D829" s="4"/>
      <c r="F829" s="4"/>
      <c r="H829" s="4"/>
      <c r="J829" s="4"/>
    </row>
    <row r="830" ht="14.25" customHeight="1">
      <c r="B830" s="4"/>
      <c r="D830" s="4"/>
      <c r="F830" s="4"/>
      <c r="H830" s="4"/>
      <c r="J830" s="4"/>
    </row>
    <row r="831" ht="14.25" customHeight="1">
      <c r="B831" s="4"/>
      <c r="D831" s="4"/>
      <c r="F831" s="4"/>
      <c r="H831" s="4"/>
      <c r="J831" s="4"/>
    </row>
    <row r="832" ht="14.25" customHeight="1">
      <c r="B832" s="4"/>
      <c r="D832" s="4"/>
      <c r="F832" s="4"/>
      <c r="H832" s="4"/>
      <c r="J832" s="4"/>
    </row>
    <row r="833" ht="14.25" customHeight="1">
      <c r="B833" s="4"/>
      <c r="D833" s="4"/>
      <c r="F833" s="4"/>
      <c r="H833" s="4"/>
      <c r="J833" s="4"/>
    </row>
    <row r="834" ht="14.25" customHeight="1">
      <c r="B834" s="4"/>
      <c r="D834" s="4"/>
      <c r="F834" s="4"/>
      <c r="H834" s="4"/>
      <c r="J834" s="4"/>
    </row>
    <row r="835" ht="14.25" customHeight="1">
      <c r="B835" s="4"/>
      <c r="D835" s="4"/>
      <c r="F835" s="4"/>
      <c r="H835" s="4"/>
      <c r="J835" s="4"/>
    </row>
    <row r="836" ht="14.25" customHeight="1">
      <c r="B836" s="4"/>
      <c r="D836" s="4"/>
      <c r="F836" s="4"/>
      <c r="H836" s="4"/>
      <c r="J836" s="4"/>
    </row>
    <row r="837" ht="14.25" customHeight="1">
      <c r="B837" s="4"/>
      <c r="D837" s="4"/>
      <c r="F837" s="4"/>
      <c r="H837" s="4"/>
      <c r="J837" s="4"/>
    </row>
    <row r="838" ht="14.25" customHeight="1">
      <c r="B838" s="4"/>
      <c r="D838" s="4"/>
      <c r="F838" s="4"/>
      <c r="H838" s="4"/>
      <c r="J838" s="4"/>
    </row>
    <row r="839" ht="14.25" customHeight="1">
      <c r="B839" s="4"/>
      <c r="D839" s="4"/>
      <c r="F839" s="4"/>
      <c r="H839" s="4"/>
      <c r="J839" s="4"/>
    </row>
    <row r="840" ht="14.25" customHeight="1">
      <c r="B840" s="4"/>
      <c r="D840" s="4"/>
      <c r="F840" s="4"/>
      <c r="H840" s="4"/>
      <c r="J840" s="4"/>
    </row>
    <row r="841" ht="14.25" customHeight="1">
      <c r="B841" s="4"/>
      <c r="D841" s="4"/>
      <c r="F841" s="4"/>
      <c r="H841" s="4"/>
      <c r="J841" s="4"/>
    </row>
    <row r="842" ht="14.25" customHeight="1">
      <c r="B842" s="4"/>
      <c r="D842" s="4"/>
      <c r="F842" s="4"/>
      <c r="H842" s="4"/>
      <c r="J842" s="4"/>
    </row>
    <row r="843" ht="14.25" customHeight="1">
      <c r="B843" s="4"/>
      <c r="D843" s="4"/>
      <c r="F843" s="4"/>
      <c r="H843" s="4"/>
      <c r="J843" s="4"/>
    </row>
    <row r="844" ht="14.25" customHeight="1">
      <c r="B844" s="4"/>
      <c r="D844" s="4"/>
      <c r="F844" s="4"/>
      <c r="H844" s="4"/>
      <c r="J844" s="4"/>
    </row>
    <row r="845" ht="14.25" customHeight="1">
      <c r="B845" s="4"/>
      <c r="D845" s="4"/>
      <c r="F845" s="4"/>
      <c r="H845" s="4"/>
      <c r="J845" s="4"/>
    </row>
    <row r="846" ht="14.25" customHeight="1">
      <c r="B846" s="4"/>
      <c r="D846" s="4"/>
      <c r="F846" s="4"/>
      <c r="H846" s="4"/>
      <c r="J846" s="4"/>
    </row>
    <row r="847" ht="14.25" customHeight="1">
      <c r="B847" s="4"/>
      <c r="D847" s="4"/>
      <c r="F847" s="4"/>
      <c r="H847" s="4"/>
      <c r="J847" s="4"/>
    </row>
    <row r="848" ht="14.25" customHeight="1">
      <c r="B848" s="4"/>
      <c r="D848" s="4"/>
      <c r="F848" s="4"/>
      <c r="H848" s="4"/>
      <c r="J848" s="4"/>
    </row>
    <row r="849" ht="14.25" customHeight="1">
      <c r="B849" s="4"/>
      <c r="D849" s="4"/>
      <c r="F849" s="4"/>
      <c r="H849" s="4"/>
      <c r="J849" s="4"/>
    </row>
    <row r="850" ht="14.25" customHeight="1">
      <c r="B850" s="4"/>
      <c r="D850" s="4"/>
      <c r="F850" s="4"/>
      <c r="H850" s="4"/>
      <c r="J850" s="4"/>
    </row>
    <row r="851" ht="14.25" customHeight="1">
      <c r="B851" s="4"/>
      <c r="D851" s="4"/>
      <c r="F851" s="4"/>
      <c r="H851" s="4"/>
      <c r="J851" s="4"/>
    </row>
    <row r="852" ht="14.25" customHeight="1">
      <c r="B852" s="4"/>
      <c r="D852" s="4"/>
      <c r="F852" s="4"/>
      <c r="H852" s="4"/>
      <c r="J852" s="4"/>
    </row>
    <row r="853" ht="14.25" customHeight="1">
      <c r="B853" s="4"/>
      <c r="D853" s="4"/>
      <c r="F853" s="4"/>
      <c r="H853" s="4"/>
      <c r="J853" s="4"/>
    </row>
    <row r="854" ht="14.25" customHeight="1">
      <c r="B854" s="4"/>
      <c r="D854" s="4"/>
      <c r="F854" s="4"/>
      <c r="H854" s="4"/>
      <c r="J854" s="4"/>
    </row>
    <row r="855" ht="14.25" customHeight="1">
      <c r="B855" s="4"/>
      <c r="D855" s="4"/>
      <c r="F855" s="4"/>
      <c r="H855" s="4"/>
      <c r="J855" s="4"/>
    </row>
    <row r="856" ht="14.25" customHeight="1">
      <c r="B856" s="4"/>
      <c r="D856" s="4"/>
      <c r="F856" s="4"/>
      <c r="H856" s="4"/>
      <c r="J856" s="4"/>
    </row>
    <row r="857" ht="14.25" customHeight="1">
      <c r="B857" s="4"/>
      <c r="D857" s="4"/>
      <c r="F857" s="4"/>
      <c r="H857" s="4"/>
      <c r="J857" s="4"/>
    </row>
    <row r="858" ht="14.25" customHeight="1">
      <c r="B858" s="4"/>
      <c r="D858" s="4"/>
      <c r="F858" s="4"/>
      <c r="H858" s="4"/>
      <c r="J858" s="4"/>
    </row>
    <row r="859" ht="14.25" customHeight="1">
      <c r="B859" s="4"/>
      <c r="D859" s="4"/>
      <c r="F859" s="4"/>
      <c r="H859" s="4"/>
      <c r="J859" s="4"/>
    </row>
    <row r="860" ht="14.25" customHeight="1">
      <c r="B860" s="4"/>
      <c r="D860" s="4"/>
      <c r="F860" s="4"/>
      <c r="H860" s="4"/>
      <c r="J860" s="4"/>
    </row>
    <row r="861" ht="14.25" customHeight="1">
      <c r="B861" s="4"/>
      <c r="D861" s="4"/>
      <c r="F861" s="4"/>
      <c r="H861" s="4"/>
      <c r="J861" s="4"/>
    </row>
    <row r="862" ht="14.25" customHeight="1">
      <c r="B862" s="4"/>
      <c r="D862" s="4"/>
      <c r="F862" s="4"/>
      <c r="H862" s="4"/>
      <c r="J862" s="4"/>
    </row>
    <row r="863" ht="14.25" customHeight="1">
      <c r="B863" s="4"/>
      <c r="D863" s="4"/>
      <c r="F863" s="4"/>
      <c r="H863" s="4"/>
      <c r="J863" s="4"/>
    </row>
    <row r="864" ht="14.25" customHeight="1">
      <c r="B864" s="4"/>
      <c r="D864" s="4"/>
      <c r="F864" s="4"/>
      <c r="H864" s="4"/>
      <c r="J864" s="4"/>
    </row>
    <row r="865" ht="14.25" customHeight="1">
      <c r="B865" s="4"/>
      <c r="D865" s="4"/>
      <c r="F865" s="4"/>
      <c r="H865" s="4"/>
      <c r="J865" s="4"/>
    </row>
    <row r="866" ht="14.25" customHeight="1">
      <c r="B866" s="4"/>
      <c r="D866" s="4"/>
      <c r="F866" s="4"/>
      <c r="H866" s="4"/>
      <c r="J866" s="4"/>
    </row>
    <row r="867" ht="14.25" customHeight="1">
      <c r="B867" s="4"/>
      <c r="D867" s="4"/>
      <c r="F867" s="4"/>
      <c r="H867" s="4"/>
      <c r="J867" s="4"/>
    </row>
    <row r="868" ht="14.25" customHeight="1">
      <c r="B868" s="4"/>
      <c r="D868" s="4"/>
      <c r="F868" s="4"/>
      <c r="H868" s="4"/>
      <c r="J868" s="4"/>
    </row>
    <row r="869" ht="14.25" customHeight="1">
      <c r="B869" s="4"/>
      <c r="D869" s="4"/>
      <c r="F869" s="4"/>
      <c r="H869" s="4"/>
      <c r="J869" s="4"/>
    </row>
    <row r="870" ht="14.25" customHeight="1">
      <c r="B870" s="4"/>
      <c r="D870" s="4"/>
      <c r="F870" s="4"/>
      <c r="H870" s="4"/>
      <c r="J870" s="4"/>
    </row>
    <row r="871" ht="14.25" customHeight="1">
      <c r="B871" s="4"/>
      <c r="D871" s="4"/>
      <c r="F871" s="4"/>
      <c r="H871" s="4"/>
      <c r="J871" s="4"/>
    </row>
    <row r="872" ht="14.25" customHeight="1">
      <c r="B872" s="4"/>
      <c r="D872" s="4"/>
      <c r="F872" s="4"/>
      <c r="H872" s="4"/>
      <c r="J872" s="4"/>
    </row>
    <row r="873" ht="14.25" customHeight="1">
      <c r="B873" s="4"/>
      <c r="D873" s="4"/>
      <c r="F873" s="4"/>
      <c r="H873" s="4"/>
      <c r="J873" s="4"/>
    </row>
    <row r="874" ht="14.25" customHeight="1">
      <c r="B874" s="4"/>
      <c r="D874" s="4"/>
      <c r="F874" s="4"/>
      <c r="H874" s="4"/>
      <c r="J874" s="4"/>
    </row>
    <row r="875" ht="14.25" customHeight="1">
      <c r="B875" s="4"/>
      <c r="D875" s="4"/>
      <c r="F875" s="4"/>
      <c r="H875" s="4"/>
      <c r="J875" s="4"/>
    </row>
    <row r="876" ht="14.25" customHeight="1">
      <c r="B876" s="4"/>
      <c r="D876" s="4"/>
      <c r="F876" s="4"/>
      <c r="H876" s="4"/>
      <c r="J876" s="4"/>
    </row>
    <row r="877" ht="14.25" customHeight="1">
      <c r="B877" s="4"/>
      <c r="D877" s="4"/>
      <c r="F877" s="4"/>
      <c r="H877" s="4"/>
      <c r="J877" s="4"/>
    </row>
    <row r="878" ht="14.25" customHeight="1">
      <c r="B878" s="4"/>
      <c r="D878" s="4"/>
      <c r="F878" s="4"/>
      <c r="H878" s="4"/>
      <c r="J878" s="4"/>
    </row>
    <row r="879" ht="14.25" customHeight="1">
      <c r="B879" s="4"/>
      <c r="D879" s="4"/>
      <c r="F879" s="4"/>
      <c r="H879" s="4"/>
      <c r="J879" s="4"/>
    </row>
    <row r="880" ht="14.25" customHeight="1">
      <c r="B880" s="4"/>
      <c r="D880" s="4"/>
      <c r="F880" s="4"/>
      <c r="H880" s="4"/>
      <c r="J880" s="4"/>
    </row>
    <row r="881" ht="14.25" customHeight="1">
      <c r="B881" s="4"/>
      <c r="D881" s="4"/>
      <c r="F881" s="4"/>
      <c r="H881" s="4"/>
      <c r="J881" s="4"/>
    </row>
    <row r="882" ht="14.25" customHeight="1">
      <c r="B882" s="4"/>
      <c r="D882" s="4"/>
      <c r="F882" s="4"/>
      <c r="H882" s="4"/>
      <c r="J882" s="4"/>
    </row>
    <row r="883" ht="14.25" customHeight="1">
      <c r="B883" s="4"/>
      <c r="D883" s="4"/>
      <c r="F883" s="4"/>
      <c r="H883" s="4"/>
      <c r="J883" s="4"/>
    </row>
    <row r="884" ht="14.25" customHeight="1">
      <c r="B884" s="4"/>
      <c r="D884" s="4"/>
      <c r="F884" s="4"/>
      <c r="H884" s="4"/>
      <c r="J884" s="4"/>
    </row>
    <row r="885" ht="14.25" customHeight="1">
      <c r="B885" s="4"/>
      <c r="D885" s="4"/>
      <c r="F885" s="4"/>
      <c r="H885" s="4"/>
      <c r="J885" s="4"/>
    </row>
    <row r="886" ht="14.25" customHeight="1">
      <c r="B886" s="4"/>
      <c r="D886" s="4"/>
      <c r="F886" s="4"/>
      <c r="H886" s="4"/>
      <c r="J886" s="4"/>
    </row>
    <row r="887" ht="14.25" customHeight="1">
      <c r="B887" s="4"/>
      <c r="D887" s="4"/>
      <c r="F887" s="4"/>
      <c r="H887" s="4"/>
      <c r="J887" s="4"/>
    </row>
    <row r="888" ht="14.25" customHeight="1">
      <c r="B888" s="4"/>
      <c r="D888" s="4"/>
      <c r="F888" s="4"/>
      <c r="H888" s="4"/>
      <c r="J888" s="4"/>
    </row>
    <row r="889" ht="14.25" customHeight="1">
      <c r="B889" s="4"/>
      <c r="D889" s="4"/>
      <c r="F889" s="4"/>
      <c r="H889" s="4"/>
      <c r="J889" s="4"/>
    </row>
    <row r="890" ht="14.25" customHeight="1">
      <c r="B890" s="4"/>
      <c r="D890" s="4"/>
      <c r="F890" s="4"/>
      <c r="H890" s="4"/>
      <c r="J890" s="4"/>
    </row>
    <row r="891" ht="14.25" customHeight="1">
      <c r="B891" s="4"/>
      <c r="D891" s="4"/>
      <c r="F891" s="4"/>
      <c r="H891" s="4"/>
      <c r="J891" s="4"/>
    </row>
    <row r="892" ht="14.25" customHeight="1">
      <c r="B892" s="4"/>
      <c r="D892" s="4"/>
      <c r="F892" s="4"/>
      <c r="H892" s="4"/>
      <c r="J892" s="4"/>
    </row>
    <row r="893" ht="14.25" customHeight="1">
      <c r="B893" s="4"/>
      <c r="D893" s="4"/>
      <c r="F893" s="4"/>
      <c r="H893" s="4"/>
      <c r="J893" s="4"/>
    </row>
    <row r="894" ht="14.25" customHeight="1">
      <c r="B894" s="4"/>
      <c r="D894" s="4"/>
      <c r="F894" s="4"/>
      <c r="H894" s="4"/>
      <c r="J894" s="4"/>
    </row>
    <row r="895" ht="14.25" customHeight="1">
      <c r="B895" s="4"/>
      <c r="D895" s="4"/>
      <c r="F895" s="4"/>
      <c r="H895" s="4"/>
      <c r="J895" s="4"/>
    </row>
    <row r="896" ht="14.25" customHeight="1">
      <c r="B896" s="4"/>
      <c r="D896" s="4"/>
      <c r="F896" s="4"/>
      <c r="H896" s="4"/>
      <c r="J896" s="4"/>
    </row>
    <row r="897" ht="14.25" customHeight="1">
      <c r="B897" s="4"/>
      <c r="D897" s="4"/>
      <c r="F897" s="4"/>
      <c r="H897" s="4"/>
      <c r="J897" s="4"/>
    </row>
    <row r="898" ht="14.25" customHeight="1">
      <c r="B898" s="4"/>
      <c r="D898" s="4"/>
      <c r="F898" s="4"/>
      <c r="H898" s="4"/>
      <c r="J898" s="4"/>
    </row>
    <row r="899" ht="14.25" customHeight="1">
      <c r="B899" s="4"/>
      <c r="D899" s="4"/>
      <c r="F899" s="4"/>
      <c r="H899" s="4"/>
      <c r="J899" s="4"/>
    </row>
    <row r="900" ht="14.25" customHeight="1">
      <c r="B900" s="4"/>
      <c r="D900" s="4"/>
      <c r="F900" s="4"/>
      <c r="H900" s="4"/>
      <c r="J900" s="4"/>
    </row>
    <row r="901" ht="14.25" customHeight="1">
      <c r="B901" s="4"/>
      <c r="D901" s="4"/>
      <c r="F901" s="4"/>
      <c r="H901" s="4"/>
      <c r="J901" s="4"/>
    </row>
    <row r="902" ht="14.25" customHeight="1">
      <c r="B902" s="4"/>
      <c r="D902" s="4"/>
      <c r="F902" s="4"/>
      <c r="H902" s="4"/>
      <c r="J902" s="4"/>
    </row>
    <row r="903" ht="14.25" customHeight="1">
      <c r="B903" s="4"/>
      <c r="D903" s="4"/>
      <c r="F903" s="4"/>
      <c r="H903" s="4"/>
      <c r="J903" s="4"/>
    </row>
    <row r="904" ht="14.25" customHeight="1">
      <c r="B904" s="4"/>
      <c r="D904" s="4"/>
      <c r="F904" s="4"/>
      <c r="H904" s="4"/>
      <c r="J904" s="4"/>
    </row>
    <row r="905" ht="14.25" customHeight="1">
      <c r="B905" s="4"/>
      <c r="D905" s="4"/>
      <c r="F905" s="4"/>
      <c r="H905" s="4"/>
      <c r="J905" s="4"/>
    </row>
    <row r="906" ht="14.25" customHeight="1">
      <c r="B906" s="4"/>
      <c r="D906" s="4"/>
      <c r="F906" s="4"/>
      <c r="H906" s="4"/>
      <c r="J906" s="4"/>
    </row>
    <row r="907" ht="14.25" customHeight="1">
      <c r="B907" s="4"/>
      <c r="D907" s="4"/>
      <c r="F907" s="4"/>
      <c r="H907" s="4"/>
      <c r="J907" s="4"/>
    </row>
    <row r="908" ht="14.25" customHeight="1">
      <c r="B908" s="4"/>
      <c r="D908" s="4"/>
      <c r="F908" s="4"/>
      <c r="H908" s="4"/>
      <c r="J908" s="4"/>
    </row>
    <row r="909" ht="14.25" customHeight="1">
      <c r="B909" s="4"/>
      <c r="D909" s="4"/>
      <c r="F909" s="4"/>
      <c r="H909" s="4"/>
      <c r="J909" s="4"/>
    </row>
    <row r="910" ht="14.25" customHeight="1">
      <c r="B910" s="4"/>
      <c r="D910" s="4"/>
      <c r="F910" s="4"/>
      <c r="H910" s="4"/>
      <c r="J910" s="4"/>
    </row>
    <row r="911" ht="14.25" customHeight="1">
      <c r="B911" s="4"/>
      <c r="D911" s="4"/>
      <c r="F911" s="4"/>
      <c r="H911" s="4"/>
      <c r="J911" s="4"/>
    </row>
    <row r="912" ht="14.25" customHeight="1">
      <c r="B912" s="4"/>
      <c r="D912" s="4"/>
      <c r="F912" s="4"/>
      <c r="H912" s="4"/>
      <c r="J912" s="4"/>
    </row>
    <row r="913" ht="14.25" customHeight="1">
      <c r="B913" s="4"/>
      <c r="D913" s="4"/>
      <c r="F913" s="4"/>
      <c r="H913" s="4"/>
      <c r="J913" s="4"/>
    </row>
    <row r="914" ht="14.25" customHeight="1">
      <c r="B914" s="4"/>
      <c r="D914" s="4"/>
      <c r="F914" s="4"/>
      <c r="H914" s="4"/>
      <c r="J914" s="4"/>
    </row>
    <row r="915" ht="14.25" customHeight="1">
      <c r="B915" s="4"/>
      <c r="D915" s="4"/>
      <c r="F915" s="4"/>
      <c r="H915" s="4"/>
      <c r="J915" s="4"/>
    </row>
    <row r="916" ht="14.25" customHeight="1">
      <c r="B916" s="4"/>
      <c r="D916" s="4"/>
      <c r="F916" s="4"/>
      <c r="H916" s="4"/>
      <c r="J916" s="4"/>
    </row>
    <row r="917" ht="14.25" customHeight="1">
      <c r="B917" s="4"/>
      <c r="D917" s="4"/>
      <c r="F917" s="4"/>
      <c r="H917" s="4"/>
      <c r="J917" s="4"/>
    </row>
    <row r="918" ht="14.25" customHeight="1">
      <c r="B918" s="4"/>
      <c r="D918" s="4"/>
      <c r="F918" s="4"/>
      <c r="H918" s="4"/>
      <c r="J918" s="4"/>
    </row>
    <row r="919" ht="14.25" customHeight="1">
      <c r="B919" s="4"/>
      <c r="D919" s="4"/>
      <c r="F919" s="4"/>
      <c r="H919" s="4"/>
      <c r="J919" s="4"/>
    </row>
    <row r="920" ht="14.25" customHeight="1">
      <c r="B920" s="4"/>
      <c r="D920" s="4"/>
      <c r="F920" s="4"/>
      <c r="H920" s="4"/>
      <c r="J920" s="4"/>
    </row>
    <row r="921" ht="14.25" customHeight="1">
      <c r="B921" s="4"/>
      <c r="D921" s="4"/>
      <c r="F921" s="4"/>
      <c r="H921" s="4"/>
      <c r="J921" s="4"/>
    </row>
    <row r="922" ht="14.25" customHeight="1">
      <c r="B922" s="4"/>
      <c r="D922" s="4"/>
      <c r="F922" s="4"/>
      <c r="H922" s="4"/>
      <c r="J922" s="4"/>
    </row>
    <row r="923" ht="14.25" customHeight="1">
      <c r="B923" s="4"/>
      <c r="D923" s="4"/>
      <c r="F923" s="4"/>
      <c r="H923" s="4"/>
      <c r="J923" s="4"/>
    </row>
    <row r="924" ht="14.25" customHeight="1">
      <c r="B924" s="4"/>
      <c r="D924" s="4"/>
      <c r="F924" s="4"/>
      <c r="H924" s="4"/>
      <c r="J924" s="4"/>
    </row>
    <row r="925" ht="14.25" customHeight="1">
      <c r="B925" s="4"/>
      <c r="D925" s="4"/>
      <c r="F925" s="4"/>
      <c r="H925" s="4"/>
      <c r="J925" s="4"/>
    </row>
    <row r="926" ht="14.25" customHeight="1">
      <c r="B926" s="4"/>
      <c r="D926" s="4"/>
      <c r="F926" s="4"/>
      <c r="H926" s="4"/>
      <c r="J926" s="4"/>
    </row>
    <row r="927" ht="14.25" customHeight="1">
      <c r="B927" s="4"/>
      <c r="D927" s="4"/>
      <c r="F927" s="4"/>
      <c r="H927" s="4"/>
      <c r="J927" s="4"/>
    </row>
    <row r="928" ht="14.25" customHeight="1">
      <c r="B928" s="4"/>
      <c r="D928" s="4"/>
      <c r="F928" s="4"/>
      <c r="H928" s="4"/>
      <c r="J928" s="4"/>
    </row>
    <row r="929" ht="14.25" customHeight="1">
      <c r="B929" s="4"/>
      <c r="D929" s="4"/>
      <c r="F929" s="4"/>
      <c r="H929" s="4"/>
      <c r="J929" s="4"/>
    </row>
    <row r="930" ht="14.25" customHeight="1">
      <c r="B930" s="4"/>
      <c r="D930" s="4"/>
      <c r="F930" s="4"/>
      <c r="H930" s="4"/>
      <c r="J930" s="4"/>
    </row>
    <row r="931" ht="14.25" customHeight="1">
      <c r="B931" s="4"/>
      <c r="D931" s="4"/>
      <c r="F931" s="4"/>
      <c r="H931" s="4"/>
      <c r="J931" s="4"/>
    </row>
    <row r="932" ht="14.25" customHeight="1">
      <c r="B932" s="4"/>
      <c r="D932" s="4"/>
      <c r="F932" s="4"/>
      <c r="H932" s="4"/>
      <c r="J932" s="4"/>
    </row>
    <row r="933" ht="14.25" customHeight="1">
      <c r="B933" s="4"/>
      <c r="D933" s="4"/>
      <c r="F933" s="4"/>
      <c r="H933" s="4"/>
      <c r="J933" s="4"/>
    </row>
    <row r="934" ht="14.25" customHeight="1">
      <c r="B934" s="4"/>
      <c r="D934" s="4"/>
      <c r="F934" s="4"/>
      <c r="H934" s="4"/>
      <c r="J934" s="4"/>
    </row>
    <row r="935" ht="14.25" customHeight="1">
      <c r="B935" s="4"/>
      <c r="D935" s="4"/>
      <c r="F935" s="4"/>
      <c r="H935" s="4"/>
      <c r="J935" s="4"/>
    </row>
    <row r="936" ht="14.25" customHeight="1">
      <c r="B936" s="4"/>
      <c r="D936" s="4"/>
      <c r="F936" s="4"/>
      <c r="H936" s="4"/>
      <c r="J936" s="4"/>
    </row>
    <row r="937" ht="14.25" customHeight="1">
      <c r="B937" s="4"/>
      <c r="D937" s="4"/>
      <c r="F937" s="4"/>
      <c r="H937" s="4"/>
      <c r="J937" s="4"/>
    </row>
    <row r="938" ht="14.25" customHeight="1">
      <c r="B938" s="4"/>
      <c r="D938" s="4"/>
      <c r="F938" s="4"/>
      <c r="H938" s="4"/>
      <c r="J938" s="4"/>
    </row>
    <row r="939" ht="14.25" customHeight="1">
      <c r="B939" s="4"/>
      <c r="D939" s="4"/>
      <c r="F939" s="4"/>
      <c r="H939" s="4"/>
      <c r="J939" s="4"/>
    </row>
    <row r="940" ht="14.25" customHeight="1">
      <c r="B940" s="4"/>
      <c r="D940" s="4"/>
      <c r="F940" s="4"/>
      <c r="H940" s="4"/>
      <c r="J940" s="4"/>
    </row>
    <row r="941" ht="14.25" customHeight="1">
      <c r="B941" s="4"/>
      <c r="D941" s="4"/>
      <c r="F941" s="4"/>
      <c r="H941" s="4"/>
      <c r="J941" s="4"/>
    </row>
    <row r="942" ht="14.25" customHeight="1">
      <c r="B942" s="4"/>
      <c r="D942" s="4"/>
      <c r="F942" s="4"/>
      <c r="H942" s="4"/>
      <c r="J942" s="4"/>
    </row>
    <row r="943" ht="14.25" customHeight="1">
      <c r="B943" s="4"/>
      <c r="D943" s="4"/>
      <c r="F943" s="4"/>
      <c r="H943" s="4"/>
      <c r="J943" s="4"/>
    </row>
    <row r="944" ht="14.25" customHeight="1">
      <c r="B944" s="4"/>
      <c r="D944" s="4"/>
      <c r="F944" s="4"/>
      <c r="H944" s="4"/>
      <c r="J944" s="4"/>
    </row>
    <row r="945" ht="14.25" customHeight="1">
      <c r="B945" s="4"/>
      <c r="D945" s="4"/>
      <c r="F945" s="4"/>
      <c r="H945" s="4"/>
      <c r="J945" s="4"/>
    </row>
    <row r="946" ht="14.25" customHeight="1">
      <c r="B946" s="4"/>
      <c r="D946" s="4"/>
      <c r="F946" s="4"/>
      <c r="H946" s="4"/>
      <c r="J946" s="4"/>
    </row>
    <row r="947" ht="14.25" customHeight="1">
      <c r="B947" s="4"/>
      <c r="D947" s="4"/>
      <c r="F947" s="4"/>
      <c r="H947" s="4"/>
      <c r="J947" s="4"/>
    </row>
    <row r="948" ht="14.25" customHeight="1">
      <c r="B948" s="4"/>
      <c r="D948" s="4"/>
      <c r="F948" s="4"/>
      <c r="H948" s="4"/>
      <c r="J948" s="4"/>
    </row>
    <row r="949" ht="14.25" customHeight="1">
      <c r="B949" s="4"/>
      <c r="D949" s="4"/>
      <c r="F949" s="4"/>
      <c r="H949" s="4"/>
      <c r="J949" s="4"/>
    </row>
    <row r="950" ht="14.25" customHeight="1">
      <c r="B950" s="4"/>
      <c r="D950" s="4"/>
      <c r="F950" s="4"/>
      <c r="H950" s="4"/>
      <c r="J950" s="4"/>
    </row>
    <row r="951" ht="14.25" customHeight="1">
      <c r="B951" s="4"/>
      <c r="D951" s="4"/>
      <c r="F951" s="4"/>
      <c r="H951" s="4"/>
      <c r="J951" s="4"/>
    </row>
    <row r="952" ht="14.25" customHeight="1">
      <c r="B952" s="4"/>
      <c r="D952" s="4"/>
      <c r="F952" s="4"/>
      <c r="H952" s="4"/>
      <c r="J952" s="4"/>
    </row>
    <row r="953" ht="14.25" customHeight="1">
      <c r="B953" s="4"/>
      <c r="D953" s="4"/>
      <c r="F953" s="4"/>
      <c r="H953" s="4"/>
      <c r="J953" s="4"/>
    </row>
    <row r="954" ht="14.25" customHeight="1">
      <c r="B954" s="4"/>
      <c r="D954" s="4"/>
      <c r="F954" s="4"/>
      <c r="H954" s="4"/>
      <c r="J954" s="4"/>
    </row>
    <row r="955" ht="14.25" customHeight="1">
      <c r="B955" s="4"/>
      <c r="D955" s="4"/>
      <c r="F955" s="4"/>
      <c r="H955" s="4"/>
      <c r="J955" s="4"/>
    </row>
    <row r="956" ht="14.25" customHeight="1">
      <c r="B956" s="4"/>
      <c r="D956" s="4"/>
      <c r="F956" s="4"/>
      <c r="H956" s="4"/>
      <c r="J956" s="4"/>
    </row>
    <row r="957" ht="14.25" customHeight="1">
      <c r="B957" s="4"/>
      <c r="D957" s="4"/>
      <c r="F957" s="4"/>
      <c r="H957" s="4"/>
      <c r="J957" s="4"/>
    </row>
    <row r="958" ht="14.25" customHeight="1">
      <c r="B958" s="4"/>
      <c r="D958" s="4"/>
      <c r="F958" s="4"/>
      <c r="H958" s="4"/>
      <c r="J958" s="4"/>
    </row>
    <row r="959" ht="14.25" customHeight="1">
      <c r="B959" s="4"/>
      <c r="D959" s="4"/>
      <c r="F959" s="4"/>
      <c r="H959" s="4"/>
      <c r="J959" s="4"/>
    </row>
    <row r="960" ht="14.25" customHeight="1">
      <c r="B960" s="4"/>
      <c r="D960" s="4"/>
      <c r="F960" s="4"/>
      <c r="H960" s="4"/>
      <c r="J960" s="4"/>
    </row>
    <row r="961" ht="14.25" customHeight="1">
      <c r="B961" s="4"/>
      <c r="D961" s="4"/>
      <c r="F961" s="4"/>
      <c r="H961" s="4"/>
      <c r="J961" s="4"/>
    </row>
    <row r="962" ht="14.25" customHeight="1">
      <c r="B962" s="4"/>
      <c r="D962" s="4"/>
      <c r="F962" s="4"/>
      <c r="H962" s="4"/>
      <c r="J962" s="4"/>
    </row>
    <row r="963" ht="14.25" customHeight="1">
      <c r="B963" s="4"/>
      <c r="D963" s="4"/>
      <c r="F963" s="4"/>
      <c r="H963" s="4"/>
      <c r="J963" s="4"/>
    </row>
    <row r="964" ht="14.25" customHeight="1">
      <c r="B964" s="4"/>
      <c r="D964" s="4"/>
      <c r="F964" s="4"/>
      <c r="H964" s="4"/>
      <c r="J964" s="4"/>
    </row>
    <row r="965" ht="14.25" customHeight="1">
      <c r="B965" s="4"/>
      <c r="D965" s="4"/>
      <c r="F965" s="4"/>
      <c r="H965" s="4"/>
      <c r="J965" s="4"/>
    </row>
    <row r="966" ht="14.25" customHeight="1">
      <c r="B966" s="4"/>
      <c r="D966" s="4"/>
      <c r="F966" s="4"/>
      <c r="H966" s="4"/>
      <c r="J966" s="4"/>
    </row>
    <row r="967" ht="14.25" customHeight="1">
      <c r="B967" s="4"/>
      <c r="D967" s="4"/>
      <c r="F967" s="4"/>
      <c r="H967" s="4"/>
      <c r="J967" s="4"/>
    </row>
    <row r="968" ht="14.25" customHeight="1">
      <c r="B968" s="4"/>
      <c r="D968" s="4"/>
      <c r="F968" s="4"/>
      <c r="H968" s="4"/>
      <c r="J968" s="4"/>
    </row>
    <row r="969" ht="14.25" customHeight="1">
      <c r="B969" s="4"/>
      <c r="D969" s="4"/>
      <c r="F969" s="4"/>
      <c r="H969" s="4"/>
      <c r="J969" s="4"/>
    </row>
    <row r="970" ht="14.25" customHeight="1">
      <c r="B970" s="4"/>
      <c r="D970" s="4"/>
      <c r="F970" s="4"/>
      <c r="H970" s="4"/>
      <c r="J970" s="4"/>
    </row>
    <row r="971" ht="14.25" customHeight="1">
      <c r="B971" s="4"/>
      <c r="D971" s="4"/>
      <c r="F971" s="4"/>
      <c r="H971" s="4"/>
      <c r="J971" s="4"/>
    </row>
    <row r="972" ht="14.25" customHeight="1">
      <c r="B972" s="4"/>
      <c r="D972" s="4"/>
      <c r="F972" s="4"/>
      <c r="H972" s="4"/>
      <c r="J972" s="4"/>
    </row>
    <row r="973" ht="14.25" customHeight="1">
      <c r="B973" s="4"/>
      <c r="D973" s="4"/>
      <c r="F973" s="4"/>
      <c r="H973" s="4"/>
      <c r="J973" s="4"/>
    </row>
    <row r="974" ht="14.25" customHeight="1">
      <c r="B974" s="4"/>
      <c r="D974" s="4"/>
      <c r="F974" s="4"/>
      <c r="H974" s="4"/>
      <c r="J974" s="4"/>
    </row>
    <row r="975" ht="14.25" customHeight="1">
      <c r="B975" s="4"/>
      <c r="D975" s="4"/>
      <c r="F975" s="4"/>
      <c r="H975" s="4"/>
      <c r="J975" s="4"/>
    </row>
    <row r="976" ht="14.25" customHeight="1">
      <c r="B976" s="4"/>
      <c r="D976" s="4"/>
      <c r="F976" s="4"/>
      <c r="H976" s="4"/>
      <c r="J976" s="4"/>
    </row>
    <row r="977" ht="14.25" customHeight="1">
      <c r="B977" s="4"/>
      <c r="D977" s="4"/>
      <c r="F977" s="4"/>
      <c r="H977" s="4"/>
      <c r="J977" s="4"/>
    </row>
    <row r="978" ht="14.25" customHeight="1">
      <c r="B978" s="4"/>
      <c r="D978" s="4"/>
      <c r="F978" s="4"/>
      <c r="H978" s="4"/>
      <c r="J978" s="4"/>
    </row>
    <row r="979" ht="14.25" customHeight="1">
      <c r="B979" s="4"/>
      <c r="D979" s="4"/>
      <c r="F979" s="4"/>
      <c r="H979" s="4"/>
      <c r="J979" s="4"/>
    </row>
    <row r="980" ht="14.25" customHeight="1">
      <c r="B980" s="4"/>
      <c r="D980" s="4"/>
      <c r="F980" s="4"/>
      <c r="H980" s="4"/>
      <c r="J980" s="4"/>
    </row>
    <row r="981" ht="14.25" customHeight="1">
      <c r="B981" s="4"/>
      <c r="D981" s="4"/>
      <c r="F981" s="4"/>
      <c r="H981" s="4"/>
      <c r="J981" s="4"/>
    </row>
    <row r="982" ht="14.25" customHeight="1">
      <c r="B982" s="4"/>
      <c r="D982" s="4"/>
      <c r="F982" s="4"/>
      <c r="H982" s="4"/>
      <c r="J982" s="4"/>
    </row>
    <row r="983" ht="14.25" customHeight="1">
      <c r="B983" s="4"/>
      <c r="D983" s="4"/>
      <c r="F983" s="4"/>
      <c r="H983" s="4"/>
      <c r="J983" s="4"/>
    </row>
    <row r="984" ht="14.25" customHeight="1">
      <c r="B984" s="4"/>
      <c r="D984" s="4"/>
      <c r="F984" s="4"/>
      <c r="H984" s="4"/>
      <c r="J984" s="4"/>
    </row>
    <row r="985" ht="14.25" customHeight="1">
      <c r="B985" s="4"/>
      <c r="D985" s="4"/>
      <c r="F985" s="4"/>
      <c r="H985" s="4"/>
      <c r="J985" s="4"/>
    </row>
    <row r="986" ht="14.25" customHeight="1">
      <c r="B986" s="4"/>
      <c r="D986" s="4"/>
      <c r="F986" s="4"/>
      <c r="H986" s="4"/>
      <c r="J986" s="4"/>
    </row>
    <row r="987" ht="14.25" customHeight="1">
      <c r="B987" s="4"/>
      <c r="D987" s="4"/>
      <c r="F987" s="4"/>
      <c r="H987" s="4"/>
      <c r="J987" s="4"/>
    </row>
    <row r="988" ht="14.25" customHeight="1">
      <c r="B988" s="4"/>
      <c r="D988" s="4"/>
      <c r="F988" s="4"/>
      <c r="H988" s="4"/>
      <c r="J988" s="4"/>
    </row>
    <row r="989" ht="14.25" customHeight="1">
      <c r="B989" s="4"/>
      <c r="D989" s="4"/>
      <c r="F989" s="4"/>
      <c r="H989" s="4"/>
      <c r="J989" s="4"/>
    </row>
    <row r="990" ht="14.25" customHeight="1">
      <c r="B990" s="4"/>
      <c r="D990" s="4"/>
      <c r="F990" s="4"/>
      <c r="H990" s="4"/>
      <c r="J990" s="4"/>
    </row>
    <row r="991" ht="14.25" customHeight="1">
      <c r="B991" s="4"/>
      <c r="D991" s="4"/>
      <c r="F991" s="4"/>
      <c r="H991" s="4"/>
      <c r="J991" s="4"/>
    </row>
    <row r="992" ht="14.25" customHeight="1">
      <c r="B992" s="4"/>
      <c r="D992" s="4"/>
      <c r="F992" s="4"/>
      <c r="H992" s="4"/>
      <c r="J992" s="4"/>
    </row>
    <row r="993" ht="14.25" customHeight="1">
      <c r="B993" s="4"/>
      <c r="D993" s="4"/>
      <c r="F993" s="4"/>
      <c r="H993" s="4"/>
      <c r="J993" s="4"/>
    </row>
    <row r="994" ht="14.25" customHeight="1">
      <c r="B994" s="4"/>
      <c r="D994" s="4"/>
      <c r="F994" s="4"/>
      <c r="H994" s="4"/>
      <c r="J994" s="4"/>
    </row>
    <row r="995" ht="14.25" customHeight="1">
      <c r="B995" s="4"/>
      <c r="D995" s="4"/>
      <c r="F995" s="4"/>
      <c r="H995" s="4"/>
      <c r="J995" s="4"/>
    </row>
    <row r="996" ht="14.25" customHeight="1">
      <c r="B996" s="4"/>
      <c r="D996" s="4"/>
      <c r="F996" s="4"/>
      <c r="H996" s="4"/>
      <c r="J996" s="4"/>
    </row>
    <row r="997" ht="14.25" customHeight="1">
      <c r="B997" s="4"/>
      <c r="D997" s="4"/>
      <c r="F997" s="4"/>
      <c r="H997" s="4"/>
      <c r="J997" s="4"/>
    </row>
    <row r="998" ht="14.25" customHeight="1">
      <c r="B998" s="4"/>
      <c r="D998" s="4"/>
      <c r="F998" s="4"/>
      <c r="H998" s="4"/>
      <c r="J998" s="4"/>
    </row>
    <row r="999" ht="14.25" customHeight="1">
      <c r="B999" s="4"/>
      <c r="D999" s="4"/>
      <c r="F999" s="4"/>
      <c r="H999" s="4"/>
      <c r="J999" s="4"/>
    </row>
    <row r="1000" ht="14.25" customHeight="1">
      <c r="B1000" s="4"/>
      <c r="D1000" s="4"/>
      <c r="F1000" s="4"/>
      <c r="H1000" s="4"/>
      <c r="J1000" s="4"/>
    </row>
  </sheetData>
  <mergeCells count="8">
    <mergeCell ref="A1:I1"/>
    <mergeCell ref="A2:I2"/>
    <mergeCell ref="A3:I3"/>
    <mergeCell ref="B4:C4"/>
    <mergeCell ref="D4:E4"/>
    <mergeCell ref="F4:G4"/>
    <mergeCell ref="H4:I4"/>
    <mergeCell ref="J4:K4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75"/>
  <cols>
    <col customWidth="1" min="1" max="1" width="37.5"/>
    <col customWidth="1" min="2" max="2" width="15.0"/>
    <col customWidth="1" min="3" max="3" width="8.25"/>
    <col customWidth="1" min="4" max="4" width="15.0"/>
    <col customWidth="1" min="5" max="5" width="8.25"/>
    <col customWidth="1" min="6" max="6" width="15.0"/>
    <col customWidth="1" min="7" max="7" width="8.25"/>
    <col customWidth="1" min="8" max="8" width="15.0"/>
    <col customWidth="1" min="9" max="9" width="8.25"/>
    <col customWidth="1" min="10" max="10" width="15.0"/>
    <col customWidth="1" min="11" max="11" width="8.25"/>
    <col customWidth="1" min="12" max="12" width="15.0"/>
    <col customWidth="1" min="13" max="13" width="8.25"/>
    <col customWidth="1" min="14" max="14" width="15.0"/>
    <col customWidth="1" min="15" max="15" width="8.25"/>
    <col customWidth="1" min="16" max="16" width="15.0"/>
    <col customWidth="1" min="17" max="17" width="8.25"/>
    <col customWidth="1" min="18" max="18" width="15.0"/>
    <col customWidth="1" min="19" max="19" width="8.25"/>
    <col customWidth="1" min="20" max="20" width="15.0"/>
    <col customWidth="1" min="21" max="21" width="8.25"/>
    <col customWidth="1" min="22" max="22" width="15.0"/>
    <col customWidth="1" min="23" max="23" width="8.25"/>
    <col customWidth="1" min="24" max="24" width="15.0"/>
    <col customWidth="1" min="25" max="25" width="8.25"/>
    <col customWidth="1" min="26" max="26" width="15.0"/>
    <col customWidth="1" min="27" max="27" width="8.25"/>
    <col customWidth="1" min="28" max="28" width="15.0"/>
    <col customWidth="1" min="29" max="29" width="8.25"/>
    <col customWidth="1" min="30" max="30" width="14.63"/>
    <col customWidth="1" hidden="1" min="31" max="31" width="7.63"/>
    <col customWidth="1" min="32" max="32" width="14.63"/>
    <col customWidth="1" min="33" max="33" width="15.0"/>
    <col customWidth="1" min="34" max="34" width="8.25"/>
    <col customWidth="1" min="35" max="35" width="14.63"/>
    <col customWidth="1" hidden="1" min="36" max="36" width="7.63"/>
    <col customWidth="1" min="37" max="37" width="14.63"/>
    <col customWidth="1" hidden="1" min="38" max="38" width="7.63"/>
  </cols>
  <sheetData>
    <row r="1" ht="14.25" customHeight="1">
      <c r="A1" s="3" t="s">
        <v>0</v>
      </c>
    </row>
    <row r="2" ht="14.25" customHeight="1">
      <c r="A2" s="5" t="s">
        <v>2</v>
      </c>
    </row>
    <row r="3" ht="14.25" customHeight="1">
      <c r="A3" s="6" t="s">
        <v>4</v>
      </c>
    </row>
    <row r="4" ht="14.25" customHeight="1"/>
    <row r="5" ht="13.5" customHeight="1">
      <c r="A5" s="8" t="s">
        <v>6</v>
      </c>
      <c r="B5" s="1" t="s">
        <v>9</v>
      </c>
      <c r="D5" s="1" t="s">
        <v>11</v>
      </c>
      <c r="F5" s="1" t="s">
        <v>13</v>
      </c>
      <c r="H5" s="1" t="s">
        <v>14</v>
      </c>
      <c r="J5" s="1" t="s">
        <v>16</v>
      </c>
      <c r="L5" s="1" t="s">
        <v>19</v>
      </c>
      <c r="N5" s="1" t="s">
        <v>20</v>
      </c>
      <c r="P5" s="1" t="s">
        <v>21</v>
      </c>
      <c r="R5" s="1" t="s">
        <v>22</v>
      </c>
      <c r="T5" s="1" t="s">
        <v>23</v>
      </c>
      <c r="V5" s="1" t="s">
        <v>24</v>
      </c>
      <c r="X5" s="1" t="s">
        <v>25</v>
      </c>
      <c r="Z5" s="1" t="s">
        <v>26</v>
      </c>
      <c r="AB5" s="1" t="s">
        <v>27</v>
      </c>
      <c r="AD5" s="15" t="s">
        <v>28</v>
      </c>
      <c r="AF5" s="15" t="s">
        <v>30</v>
      </c>
      <c r="AG5" s="1" t="s">
        <v>31</v>
      </c>
      <c r="AI5" s="15" t="s">
        <v>32</v>
      </c>
      <c r="AK5" s="15" t="s">
        <v>34</v>
      </c>
    </row>
    <row r="6" ht="16.5" customHeight="1">
      <c r="A6" s="17" t="s">
        <v>17</v>
      </c>
      <c r="B6" s="19"/>
      <c r="C6" s="13"/>
      <c r="D6" s="19"/>
      <c r="E6" s="13"/>
      <c r="F6" s="19"/>
      <c r="G6" s="13"/>
      <c r="H6" s="19"/>
      <c r="I6" s="13"/>
      <c r="J6" s="19"/>
      <c r="K6" s="13"/>
      <c r="L6" s="19"/>
      <c r="M6" s="13"/>
      <c r="N6" s="19"/>
      <c r="O6" s="13"/>
      <c r="P6" s="19"/>
      <c r="Q6" s="13"/>
      <c r="R6" s="19"/>
      <c r="S6" s="13"/>
      <c r="T6" s="19"/>
      <c r="U6" s="13"/>
      <c r="V6" s="19"/>
      <c r="W6" s="13"/>
      <c r="X6" s="19"/>
      <c r="Y6" s="13"/>
      <c r="Z6" s="19"/>
      <c r="AA6" s="13"/>
      <c r="AB6" s="19"/>
      <c r="AC6" s="13"/>
      <c r="AD6" s="24"/>
      <c r="AE6" s="25"/>
      <c r="AF6" s="24"/>
      <c r="AG6" s="19"/>
      <c r="AH6" s="13"/>
      <c r="AI6" s="24"/>
      <c r="AJ6" s="25"/>
      <c r="AK6" s="24"/>
      <c r="AL6" s="25"/>
    </row>
    <row r="7" ht="16.5" customHeight="1">
      <c r="A7" s="26" t="s">
        <v>17</v>
      </c>
      <c r="B7" s="27">
        <v>125426.53</v>
      </c>
      <c r="C7" s="23">
        <f>IFERROR(B7/B148, "NA")</f>
        <v>1</v>
      </c>
      <c r="D7" s="27">
        <v>133941.41999999995</v>
      </c>
      <c r="E7" s="23">
        <f>IFERROR(D7/D148, "NA")</f>
        <v>1</v>
      </c>
      <c r="F7" s="27">
        <v>128005.73999999999</v>
      </c>
      <c r="G7" s="23">
        <f>IFERROR(F7/F148, "NA")</f>
        <v>1</v>
      </c>
      <c r="H7" s="27">
        <v>115765.26999999995</v>
      </c>
      <c r="I7" s="23">
        <f>IFERROR(H7/H148, "NA")</f>
        <v>1</v>
      </c>
      <c r="J7" s="27">
        <v>135190.86000000004</v>
      </c>
      <c r="K7" s="23">
        <f>IFERROR(J7/J148, "NA")</f>
        <v>1</v>
      </c>
      <c r="L7" s="27">
        <v>126751.91</v>
      </c>
      <c r="M7" s="23">
        <f>IFERROR(L7/L148, "NA")</f>
        <v>1</v>
      </c>
      <c r="N7" s="27">
        <v>136718.77000000005</v>
      </c>
      <c r="O7" s="23">
        <f>IFERROR(N7/N148, "NA")</f>
        <v>1</v>
      </c>
      <c r="P7" s="27">
        <v>149692.49000000005</v>
      </c>
      <c r="Q7" s="23">
        <f>IFERROR(P7/P148, "NA")</f>
        <v>1</v>
      </c>
      <c r="R7" s="27">
        <v>123097.31000000003</v>
      </c>
      <c r="S7" s="23">
        <f>IFERROR(R7/R148, "NA")</f>
        <v>1</v>
      </c>
      <c r="T7" s="27">
        <v>168119.85999999996</v>
      </c>
      <c r="U7" s="23">
        <f>IFERROR(T7/T148, "NA")</f>
        <v>1</v>
      </c>
      <c r="V7" s="27">
        <v>166350.60999999993</v>
      </c>
      <c r="W7" s="23">
        <f>IFERROR(V7/V148, "NA")</f>
        <v>1</v>
      </c>
      <c r="X7" s="27">
        <v>138432.2700000001</v>
      </c>
      <c r="Y7" s="23">
        <f>IFERROR(X7/X148, "NA")</f>
        <v>1</v>
      </c>
      <c r="Z7" s="27">
        <v>596000.05</v>
      </c>
      <c r="AA7" s="23">
        <f>IFERROR(Z7/Z148, "NA")</f>
        <v>1</v>
      </c>
      <c r="AB7" s="59">
        <f t="shared" ref="AB7:AB9" si="1">IFERROR((R7+T7+V7+X7)/4, "NA")</f>
        <v>149000.0125</v>
      </c>
      <c r="AC7" s="23">
        <f>IFERROR(AB7/AB148, "NA")</f>
        <v>1</v>
      </c>
      <c r="AD7" s="61">
        <f t="shared" ref="AD7:AD9" si="2">IFERROR(X7-AB7, "NA")</f>
        <v>-10567.7425</v>
      </c>
      <c r="AE7" s="63">
        <f>IFERROR(AD7/AD148, "NA")</f>
        <v>1</v>
      </c>
      <c r="AF7" s="61">
        <f t="shared" ref="AF7:AF9" si="3">IFERROR((X7-AB7)/AB7, "NA")</f>
        <v>-0.07092444036</v>
      </c>
      <c r="AG7" s="59">
        <f t="shared" ref="AG7:AG9" si="4">IFERROR((J7+L7+N7+P7+R7+T7+V7+X7)/8, "NA")</f>
        <v>143044.26</v>
      </c>
      <c r="AH7" s="23">
        <f>IFERROR(AG7/AG148, "NA")</f>
        <v>1</v>
      </c>
      <c r="AI7" s="61">
        <f t="shared" ref="AI7:AI9" si="5">IFERROR(X7-AG7, "NA")</f>
        <v>-4611.99</v>
      </c>
      <c r="AJ7" s="63">
        <f>IFERROR(AI7/AI148, "NA")</f>
        <v>1</v>
      </c>
      <c r="AK7" s="61">
        <f t="shared" ref="AK7:AK9" si="6">IFERROR((X7-AG7)/AG7, "NA")</f>
        <v>-0.03224169918</v>
      </c>
      <c r="AL7" s="63">
        <f>IFERROR(AK7/AK148, "NA")</f>
        <v>1</v>
      </c>
    </row>
    <row r="8" ht="30.75" hidden="1" customHeight="1">
      <c r="A8" s="26" t="s">
        <v>57</v>
      </c>
      <c r="B8" s="27">
        <v>0.0</v>
      </c>
      <c r="C8" s="23">
        <f>IFERROR(B8/B148, "NA")</f>
        <v>0</v>
      </c>
      <c r="D8" s="27">
        <v>0.0</v>
      </c>
      <c r="E8" s="23">
        <f>IFERROR(D8/D148, "NA")</f>
        <v>0</v>
      </c>
      <c r="F8" s="27">
        <v>0.0</v>
      </c>
      <c r="G8" s="23">
        <f>IFERROR(F8/F148, "NA")</f>
        <v>0</v>
      </c>
      <c r="H8" s="27">
        <v>0.0</v>
      </c>
      <c r="I8" s="23">
        <f>IFERROR(H8/H148, "NA")</f>
        <v>0</v>
      </c>
      <c r="J8" s="27">
        <v>0.0</v>
      </c>
      <c r="K8" s="23">
        <f>IFERROR(J8/J148, "NA")</f>
        <v>0</v>
      </c>
      <c r="L8" s="27">
        <v>0.0</v>
      </c>
      <c r="M8" s="23">
        <f>IFERROR(L8/L148, "NA")</f>
        <v>0</v>
      </c>
      <c r="N8" s="27">
        <v>0.0</v>
      </c>
      <c r="O8" s="23">
        <f>IFERROR(N8/N148, "NA")</f>
        <v>0</v>
      </c>
      <c r="P8" s="27">
        <v>0.0</v>
      </c>
      <c r="Q8" s="23">
        <f>IFERROR(P8/P148, "NA")</f>
        <v>0</v>
      </c>
      <c r="R8" s="27">
        <v>0.0</v>
      </c>
      <c r="S8" s="23">
        <f>IFERROR(R8/R148, "NA")</f>
        <v>0</v>
      </c>
      <c r="T8" s="27">
        <v>0.0</v>
      </c>
      <c r="U8" s="23">
        <f>IFERROR(T8/T148, "NA")</f>
        <v>0</v>
      </c>
      <c r="V8" s="27">
        <v>0.0</v>
      </c>
      <c r="W8" s="23">
        <f>IFERROR(V8/V148, "NA")</f>
        <v>0</v>
      </c>
      <c r="X8" s="27">
        <v>0.0</v>
      </c>
      <c r="Y8" s="23">
        <f>IFERROR(X8/X148, "NA")</f>
        <v>0</v>
      </c>
      <c r="Z8" s="27">
        <v>0.0</v>
      </c>
      <c r="AA8" s="23">
        <f>IFERROR(Z8/Z148, "NA")</f>
        <v>0</v>
      </c>
      <c r="AB8" s="59">
        <f t="shared" si="1"/>
        <v>0</v>
      </c>
      <c r="AC8" s="23">
        <f>IFERROR(AB8/AB148, "NA")</f>
        <v>0</v>
      </c>
      <c r="AD8" s="61">
        <f t="shared" si="2"/>
        <v>0</v>
      </c>
      <c r="AE8" s="63">
        <f>IFERROR(AD8/AD148, "NA")</f>
        <v>0</v>
      </c>
      <c r="AF8" s="61" t="str">
        <f t="shared" si="3"/>
        <v>NA</v>
      </c>
      <c r="AG8" s="59">
        <f t="shared" si="4"/>
        <v>0</v>
      </c>
      <c r="AH8" s="23">
        <f>IFERROR(AG8/AG148, "NA")</f>
        <v>0</v>
      </c>
      <c r="AI8" s="61">
        <f t="shared" si="5"/>
        <v>0</v>
      </c>
      <c r="AJ8" s="63">
        <f>IFERROR(AI8/AI148, "NA")</f>
        <v>0</v>
      </c>
      <c r="AK8" s="61" t="str">
        <f t="shared" si="6"/>
        <v>NA</v>
      </c>
      <c r="AL8" s="63" t="str">
        <f>IFERROR(AK8/AK148, "NA")</f>
        <v>NA</v>
      </c>
    </row>
    <row r="9" ht="16.5" customHeight="1">
      <c r="A9" s="66" t="s">
        <v>51</v>
      </c>
      <c r="B9" s="67">
        <f>IFERROR(B7+B8, "NA")</f>
        <v>125426.53</v>
      </c>
      <c r="C9" s="69">
        <f>IFERROR(B9/B148, "NA")</f>
        <v>1</v>
      </c>
      <c r="D9" s="67">
        <f>IFERROR(D7+D8, "NA")</f>
        <v>133941.42</v>
      </c>
      <c r="E9" s="69">
        <f>IFERROR(D9/D148, "NA")</f>
        <v>1</v>
      </c>
      <c r="F9" s="67">
        <f>IFERROR(F7+F8, "NA")</f>
        <v>128005.74</v>
      </c>
      <c r="G9" s="69">
        <f>IFERROR(F9/F148, "NA")</f>
        <v>1</v>
      </c>
      <c r="H9" s="67">
        <f>IFERROR(H7+H8, "NA")</f>
        <v>115765.27</v>
      </c>
      <c r="I9" s="69">
        <f>IFERROR(H9/H148, "NA")</f>
        <v>1</v>
      </c>
      <c r="J9" s="67">
        <f>IFERROR(J7+J8, "NA")</f>
        <v>135190.86</v>
      </c>
      <c r="K9" s="69">
        <f>IFERROR(J9/J148, "NA")</f>
        <v>1</v>
      </c>
      <c r="L9" s="67">
        <f>IFERROR(L7+L8, "NA")</f>
        <v>126751.91</v>
      </c>
      <c r="M9" s="69">
        <f>IFERROR(L9/L148, "NA")</f>
        <v>1</v>
      </c>
      <c r="N9" s="67">
        <f>IFERROR(N7+N8, "NA")</f>
        <v>136718.77</v>
      </c>
      <c r="O9" s="69">
        <f>IFERROR(N9/N148, "NA")</f>
        <v>1</v>
      </c>
      <c r="P9" s="67">
        <f>IFERROR(P7+P8, "NA")</f>
        <v>149692.49</v>
      </c>
      <c r="Q9" s="69">
        <f>IFERROR(P9/P148, "NA")</f>
        <v>1</v>
      </c>
      <c r="R9" s="67">
        <f>IFERROR(R7+R8, "NA")</f>
        <v>123097.31</v>
      </c>
      <c r="S9" s="69">
        <f>IFERROR(R9/R148, "NA")</f>
        <v>1</v>
      </c>
      <c r="T9" s="67">
        <f>IFERROR(T7+T8, "NA")</f>
        <v>168119.86</v>
      </c>
      <c r="U9" s="69">
        <f>IFERROR(T9/T148, "NA")</f>
        <v>1</v>
      </c>
      <c r="V9" s="67">
        <f>IFERROR(V7+V8, "NA")</f>
        <v>166350.61</v>
      </c>
      <c r="W9" s="69">
        <f>IFERROR(V9/V148, "NA")</f>
        <v>1</v>
      </c>
      <c r="X9" s="67">
        <f>IFERROR(X7+X8, "NA")</f>
        <v>138432.27</v>
      </c>
      <c r="Y9" s="69">
        <f>IFERROR(X9/X148, "NA")</f>
        <v>1</v>
      </c>
      <c r="Z9" s="67">
        <f>IFERROR(Z7+Z8, "NA")</f>
        <v>596000.05</v>
      </c>
      <c r="AA9" s="69">
        <f>IFERROR(Z9/Z148, "NA")</f>
        <v>1</v>
      </c>
      <c r="AB9" s="67">
        <f t="shared" si="1"/>
        <v>149000.0125</v>
      </c>
      <c r="AC9" s="69">
        <f>IFERROR(AB9/AB148, "NA")</f>
        <v>1</v>
      </c>
      <c r="AD9" s="70">
        <f t="shared" si="2"/>
        <v>-10567.7425</v>
      </c>
      <c r="AE9" s="71">
        <f>IFERROR(AD9/AD148, "NA")</f>
        <v>1</v>
      </c>
      <c r="AF9" s="70">
        <f t="shared" si="3"/>
        <v>-0.07092444036</v>
      </c>
      <c r="AG9" s="67">
        <f t="shared" si="4"/>
        <v>143044.26</v>
      </c>
      <c r="AH9" s="69">
        <f>IFERROR(AG9/AG148, "NA")</f>
        <v>1</v>
      </c>
      <c r="AI9" s="70">
        <f t="shared" si="5"/>
        <v>-4611.99</v>
      </c>
      <c r="AJ9" s="71">
        <f>IFERROR(AI9/AI148, "NA")</f>
        <v>1</v>
      </c>
      <c r="AK9" s="70">
        <f t="shared" si="6"/>
        <v>-0.03224169918</v>
      </c>
      <c r="AL9" s="71">
        <f>IFERROR(AK9/AK148, "NA")</f>
        <v>1</v>
      </c>
    </row>
    <row r="10" ht="3.75" customHeight="1">
      <c r="A10" s="74" t="s">
        <v>6</v>
      </c>
      <c r="B10" s="75"/>
      <c r="C10" s="76"/>
      <c r="D10" s="75"/>
      <c r="E10" s="76"/>
      <c r="F10" s="75"/>
      <c r="G10" s="76"/>
      <c r="H10" s="75"/>
      <c r="I10" s="76"/>
      <c r="J10" s="75"/>
      <c r="K10" s="76"/>
      <c r="L10" s="75"/>
      <c r="M10" s="76"/>
      <c r="N10" s="75"/>
      <c r="O10" s="76"/>
      <c r="P10" s="75"/>
      <c r="Q10" s="76"/>
      <c r="R10" s="75"/>
      <c r="S10" s="76"/>
      <c r="T10" s="75"/>
      <c r="U10" s="76"/>
      <c r="V10" s="75"/>
      <c r="W10" s="76"/>
      <c r="X10" s="75"/>
      <c r="Y10" s="76"/>
      <c r="Z10" s="75"/>
      <c r="AA10" s="76"/>
      <c r="AB10" s="75"/>
      <c r="AC10" s="76"/>
      <c r="AD10" s="77"/>
      <c r="AE10" s="78"/>
      <c r="AF10" s="77"/>
      <c r="AG10" s="75"/>
      <c r="AH10" s="76"/>
      <c r="AI10" s="77"/>
      <c r="AJ10" s="78"/>
      <c r="AK10" s="77"/>
      <c r="AL10" s="78"/>
    </row>
    <row r="11" ht="16.5" customHeight="1">
      <c r="A11" s="17" t="s">
        <v>64</v>
      </c>
      <c r="B11" s="19"/>
      <c r="C11" s="13"/>
      <c r="D11" s="19"/>
      <c r="E11" s="13"/>
      <c r="F11" s="19"/>
      <c r="G11" s="13"/>
      <c r="H11" s="19"/>
      <c r="I11" s="13"/>
      <c r="J11" s="19"/>
      <c r="K11" s="13"/>
      <c r="L11" s="19"/>
      <c r="M11" s="13"/>
      <c r="N11" s="19"/>
      <c r="O11" s="13"/>
      <c r="P11" s="19"/>
      <c r="Q11" s="13"/>
      <c r="R11" s="19"/>
      <c r="S11" s="13"/>
      <c r="T11" s="19"/>
      <c r="U11" s="13"/>
      <c r="V11" s="19"/>
      <c r="W11" s="13"/>
      <c r="X11" s="19"/>
      <c r="Y11" s="13"/>
      <c r="Z11" s="19"/>
      <c r="AA11" s="13"/>
      <c r="AB11" s="19"/>
      <c r="AC11" s="13"/>
      <c r="AD11" s="24"/>
      <c r="AE11" s="25"/>
      <c r="AF11" s="24"/>
      <c r="AG11" s="19"/>
      <c r="AH11" s="13"/>
      <c r="AI11" s="24"/>
      <c r="AJ11" s="25"/>
      <c r="AK11" s="24"/>
      <c r="AL11" s="25"/>
    </row>
    <row r="12" ht="16.5" customHeight="1">
      <c r="A12" s="17" t="s">
        <v>65</v>
      </c>
      <c r="B12" s="19"/>
      <c r="C12" s="13"/>
      <c r="D12" s="19"/>
      <c r="E12" s="13"/>
      <c r="F12" s="19"/>
      <c r="G12" s="13"/>
      <c r="H12" s="19"/>
      <c r="I12" s="13"/>
      <c r="J12" s="19"/>
      <c r="K12" s="13"/>
      <c r="L12" s="19"/>
      <c r="M12" s="13"/>
      <c r="N12" s="19"/>
      <c r="O12" s="13"/>
      <c r="P12" s="19"/>
      <c r="Q12" s="13"/>
      <c r="R12" s="19"/>
      <c r="S12" s="13"/>
      <c r="T12" s="19"/>
      <c r="U12" s="13"/>
      <c r="V12" s="19"/>
      <c r="W12" s="13"/>
      <c r="X12" s="19"/>
      <c r="Y12" s="13"/>
      <c r="Z12" s="19"/>
      <c r="AA12" s="13"/>
      <c r="AB12" s="19"/>
      <c r="AC12" s="13"/>
      <c r="AD12" s="24"/>
      <c r="AE12" s="25"/>
      <c r="AF12" s="24"/>
      <c r="AG12" s="19"/>
      <c r="AH12" s="13"/>
      <c r="AI12" s="24"/>
      <c r="AJ12" s="25"/>
      <c r="AK12" s="24"/>
      <c r="AL12" s="25"/>
    </row>
    <row r="13" ht="16.5" hidden="1" customHeight="1">
      <c r="A13" s="26" t="s">
        <v>66</v>
      </c>
      <c r="B13" s="27">
        <v>0.0</v>
      </c>
      <c r="C13" s="23">
        <f>IFERROR(B13/B148, "NA")</f>
        <v>0</v>
      </c>
      <c r="D13" s="27">
        <v>0.0</v>
      </c>
      <c r="E13" s="23">
        <f>IFERROR(D13/D148, "NA")</f>
        <v>0</v>
      </c>
      <c r="F13" s="27">
        <v>0.0</v>
      </c>
      <c r="G13" s="23">
        <f>IFERROR(F13/F148, "NA")</f>
        <v>0</v>
      </c>
      <c r="H13" s="27">
        <v>0.0</v>
      </c>
      <c r="I13" s="23">
        <f>IFERROR(H13/H148, "NA")</f>
        <v>0</v>
      </c>
      <c r="J13" s="27">
        <v>0.0</v>
      </c>
      <c r="K13" s="23">
        <f>IFERROR(J13/J148, "NA")</f>
        <v>0</v>
      </c>
      <c r="L13" s="27">
        <v>0.0</v>
      </c>
      <c r="M13" s="23">
        <f>IFERROR(L13/L148, "NA")</f>
        <v>0</v>
      </c>
      <c r="N13" s="27">
        <v>0.0</v>
      </c>
      <c r="O13" s="23">
        <f>IFERROR(N13/N148, "NA")</f>
        <v>0</v>
      </c>
      <c r="P13" s="27">
        <v>0.0</v>
      </c>
      <c r="Q13" s="23">
        <f>IFERROR(P13/P148, "NA")</f>
        <v>0</v>
      </c>
      <c r="R13" s="27">
        <v>0.0</v>
      </c>
      <c r="S13" s="23">
        <f>IFERROR(R13/R148, "NA")</f>
        <v>0</v>
      </c>
      <c r="T13" s="27">
        <v>0.0</v>
      </c>
      <c r="U13" s="23">
        <f>IFERROR(T13/T148, "NA")</f>
        <v>0</v>
      </c>
      <c r="V13" s="27">
        <v>0.0</v>
      </c>
      <c r="W13" s="23">
        <f>IFERROR(V13/V148, "NA")</f>
        <v>0</v>
      </c>
      <c r="X13" s="27">
        <v>0.0</v>
      </c>
      <c r="Y13" s="23">
        <f>IFERROR(X13/X148, "NA")</f>
        <v>0</v>
      </c>
      <c r="Z13" s="27">
        <v>0.0</v>
      </c>
      <c r="AA13" s="23">
        <f>IFERROR(Z13/Z148, "NA")</f>
        <v>0</v>
      </c>
      <c r="AB13" s="59">
        <f>IFERROR((R13+T13+V13+X13)/4, "NA")</f>
        <v>0</v>
      </c>
      <c r="AC13" s="23">
        <f>IFERROR(AB13/AB148, "NA")</f>
        <v>0</v>
      </c>
      <c r="AD13" s="61">
        <f>IFERROR(X13-AB13, "NA")</f>
        <v>0</v>
      </c>
      <c r="AE13" s="63">
        <f>IFERROR(AD13/AD148, "NA")</f>
        <v>0</v>
      </c>
      <c r="AF13" s="61" t="str">
        <f>IFERROR((X13-AB13)/AB13, "NA")</f>
        <v>NA</v>
      </c>
      <c r="AG13" s="59">
        <f>IFERROR((J13+L13+N13+P13+R13+T13+V13+X13)/8, "NA")</f>
        <v>0</v>
      </c>
      <c r="AH13" s="23">
        <f>IFERROR(AG13/AG148, "NA")</f>
        <v>0</v>
      </c>
      <c r="AI13" s="61">
        <f>IFERROR(X13-AG13, "NA")</f>
        <v>0</v>
      </c>
      <c r="AJ13" s="63">
        <f>IFERROR(AI13/AI148, "NA")</f>
        <v>0</v>
      </c>
      <c r="AK13" s="61" t="str">
        <f>IFERROR((X13-AG13)/AG13, "NA")</f>
        <v>NA</v>
      </c>
      <c r="AL13" s="63" t="str">
        <f>IFERROR(AK13/AK148, "NA")</f>
        <v>NA</v>
      </c>
    </row>
    <row r="14" ht="16.5" customHeight="1">
      <c r="A14" s="17" t="s">
        <v>67</v>
      </c>
      <c r="B14" s="19"/>
      <c r="C14" s="13"/>
      <c r="D14" s="19"/>
      <c r="E14" s="13"/>
      <c r="F14" s="19"/>
      <c r="G14" s="13"/>
      <c r="H14" s="19"/>
      <c r="I14" s="13"/>
      <c r="J14" s="19"/>
      <c r="K14" s="13"/>
      <c r="L14" s="19"/>
      <c r="M14" s="13"/>
      <c r="N14" s="19"/>
      <c r="O14" s="13"/>
      <c r="P14" s="19"/>
      <c r="Q14" s="13"/>
      <c r="R14" s="19"/>
      <c r="S14" s="13"/>
      <c r="T14" s="19"/>
      <c r="U14" s="13"/>
      <c r="V14" s="19"/>
      <c r="W14" s="13"/>
      <c r="X14" s="19"/>
      <c r="Y14" s="13"/>
      <c r="Z14" s="19"/>
      <c r="AA14" s="13"/>
      <c r="AB14" s="19"/>
      <c r="AC14" s="13"/>
      <c r="AD14" s="24"/>
      <c r="AE14" s="25"/>
      <c r="AF14" s="24"/>
      <c r="AG14" s="19"/>
      <c r="AH14" s="13"/>
      <c r="AI14" s="24"/>
      <c r="AJ14" s="25"/>
      <c r="AK14" s="24"/>
      <c r="AL14" s="25"/>
    </row>
    <row r="15" ht="16.5" hidden="1" customHeight="1">
      <c r="A15" s="26" t="s">
        <v>68</v>
      </c>
      <c r="B15" s="27">
        <v>0.0</v>
      </c>
      <c r="C15" s="23">
        <f>IFERROR(B15/B148, "NA")</f>
        <v>0</v>
      </c>
      <c r="D15" s="27">
        <v>0.0</v>
      </c>
      <c r="E15" s="23">
        <f>IFERROR(D15/D148, "NA")</f>
        <v>0</v>
      </c>
      <c r="F15" s="27">
        <v>0.0</v>
      </c>
      <c r="G15" s="23">
        <f>IFERROR(F15/F148, "NA")</f>
        <v>0</v>
      </c>
      <c r="H15" s="27">
        <v>0.0</v>
      </c>
      <c r="I15" s="23">
        <f>IFERROR(H15/H148, "NA")</f>
        <v>0</v>
      </c>
      <c r="J15" s="27">
        <v>0.0</v>
      </c>
      <c r="K15" s="23">
        <f>IFERROR(J15/J148, "NA")</f>
        <v>0</v>
      </c>
      <c r="L15" s="27">
        <v>0.0</v>
      </c>
      <c r="M15" s="23">
        <f>IFERROR(L15/L148, "NA")</f>
        <v>0</v>
      </c>
      <c r="N15" s="27">
        <v>0.0</v>
      </c>
      <c r="O15" s="23">
        <f>IFERROR(N15/N148, "NA")</f>
        <v>0</v>
      </c>
      <c r="P15" s="27">
        <v>0.0</v>
      </c>
      <c r="Q15" s="23">
        <f>IFERROR(P15/P148, "NA")</f>
        <v>0</v>
      </c>
      <c r="R15" s="27">
        <v>0.0</v>
      </c>
      <c r="S15" s="23">
        <f>IFERROR(R15/R148, "NA")</f>
        <v>0</v>
      </c>
      <c r="T15" s="27">
        <v>0.0</v>
      </c>
      <c r="U15" s="23">
        <f>IFERROR(T15/T148, "NA")</f>
        <v>0</v>
      </c>
      <c r="V15" s="27">
        <v>0.0</v>
      </c>
      <c r="W15" s="23">
        <f>IFERROR(V15/V148, "NA")</f>
        <v>0</v>
      </c>
      <c r="X15" s="27">
        <v>0.0</v>
      </c>
      <c r="Y15" s="23">
        <f>IFERROR(X15/X148, "NA")</f>
        <v>0</v>
      </c>
      <c r="Z15" s="27">
        <v>0.0</v>
      </c>
      <c r="AA15" s="23">
        <f>IFERROR(Z15/Z148, "NA")</f>
        <v>0</v>
      </c>
      <c r="AB15" s="59">
        <f t="shared" ref="AB15:AB27" si="7">IFERROR((R15+T15+V15+X15)/4, "NA")</f>
        <v>0</v>
      </c>
      <c r="AC15" s="23">
        <f>IFERROR(AB15/AB148, "NA")</f>
        <v>0</v>
      </c>
      <c r="AD15" s="61">
        <f t="shared" ref="AD15:AD27" si="8">IFERROR(X15-AB15, "NA")</f>
        <v>0</v>
      </c>
      <c r="AE15" s="63">
        <f>IFERROR(AD15/AD148, "NA")</f>
        <v>0</v>
      </c>
      <c r="AF15" s="61" t="str">
        <f t="shared" ref="AF15:AF27" si="9">IFERROR((X15-AB15)/AB15, "NA")</f>
        <v>NA</v>
      </c>
      <c r="AG15" s="59">
        <f t="shared" ref="AG15:AG27" si="10">IFERROR((J15+L15+N15+P15+R15+T15+V15+X15)/8, "NA")</f>
        <v>0</v>
      </c>
      <c r="AH15" s="23">
        <f>IFERROR(AG15/AG148, "NA")</f>
        <v>0</v>
      </c>
      <c r="AI15" s="61">
        <f t="shared" ref="AI15:AI27" si="11">IFERROR(X15-AG15, "NA")</f>
        <v>0</v>
      </c>
      <c r="AJ15" s="63">
        <f>IFERROR(AI15/AI148, "NA")</f>
        <v>0</v>
      </c>
      <c r="AK15" s="61" t="str">
        <f t="shared" ref="AK15:AK27" si="12">IFERROR((X15-AG15)/AG15, "NA")</f>
        <v>NA</v>
      </c>
      <c r="AL15" s="63" t="str">
        <f>IFERROR(AK15/AK148, "NA")</f>
        <v>NA</v>
      </c>
    </row>
    <row r="16" ht="16.5" customHeight="1">
      <c r="A16" s="26" t="s">
        <v>69</v>
      </c>
      <c r="B16" s="27">
        <v>6859.92</v>
      </c>
      <c r="C16" s="23">
        <f>IFERROR(B16/B148, "NA")</f>
        <v>0.05469273526</v>
      </c>
      <c r="D16" s="27">
        <v>6504.17</v>
      </c>
      <c r="E16" s="23">
        <f>IFERROR(D16/D148, "NA")</f>
        <v>0.0485598107</v>
      </c>
      <c r="F16" s="27">
        <v>6787.8099999999995</v>
      </c>
      <c r="G16" s="23">
        <f>IFERROR(F16/F148, "NA")</f>
        <v>0.05302738768</v>
      </c>
      <c r="H16" s="27">
        <v>6323.0599999999995</v>
      </c>
      <c r="I16" s="23">
        <f>IFERROR(H16/H148, "NA")</f>
        <v>0.0546196627</v>
      </c>
      <c r="J16" s="27">
        <v>6116.04</v>
      </c>
      <c r="K16" s="23">
        <f>IFERROR(J16/J148, "NA")</f>
        <v>0.04524004064</v>
      </c>
      <c r="L16" s="27">
        <v>5910.54</v>
      </c>
      <c r="M16" s="23">
        <f>IFERROR(L16/L148, "NA")</f>
        <v>0.04663077661</v>
      </c>
      <c r="N16" s="27">
        <v>5996.81</v>
      </c>
      <c r="O16" s="23">
        <f>IFERROR(N16/N148, "NA")</f>
        <v>0.0438623753</v>
      </c>
      <c r="P16" s="27">
        <v>6977.5599999999995</v>
      </c>
      <c r="Q16" s="23">
        <f>IFERROR(P16/P148, "NA")</f>
        <v>0.04661262566</v>
      </c>
      <c r="R16" s="27">
        <v>5125.6900000000005</v>
      </c>
      <c r="S16" s="23">
        <f>IFERROR(R16/R148, "NA")</f>
        <v>0.04163933395</v>
      </c>
      <c r="T16" s="27">
        <v>7452.200000000001</v>
      </c>
      <c r="U16" s="23">
        <f>IFERROR(T16/T148, "NA")</f>
        <v>0.04432670834</v>
      </c>
      <c r="V16" s="27">
        <v>6999.16</v>
      </c>
      <c r="W16" s="23">
        <f>IFERROR(V16/V148, "NA")</f>
        <v>0.04207474803</v>
      </c>
      <c r="X16" s="27">
        <v>5345.61</v>
      </c>
      <c r="Y16" s="23">
        <f>IFERROR(X16/X148, "NA")</f>
        <v>0.03861534597</v>
      </c>
      <c r="Z16" s="27">
        <v>24922.660000000003</v>
      </c>
      <c r="AA16" s="23">
        <f>IFERROR(Z16/Z148, "NA")</f>
        <v>0.04181654012</v>
      </c>
      <c r="AB16" s="59">
        <f t="shared" si="7"/>
        <v>6230.665</v>
      </c>
      <c r="AC16" s="23">
        <f>IFERROR(AB16/AB148, "NA")</f>
        <v>0.04181654012</v>
      </c>
      <c r="AD16" s="61">
        <f t="shared" si="8"/>
        <v>-885.055</v>
      </c>
      <c r="AE16" s="63">
        <f>IFERROR(AD16/AD148, "NA")</f>
        <v>0.08375062129</v>
      </c>
      <c r="AF16" s="61">
        <f t="shared" si="9"/>
        <v>-0.1420482404</v>
      </c>
      <c r="AG16" s="59">
        <f t="shared" si="10"/>
        <v>6240.45125</v>
      </c>
      <c r="AH16" s="23">
        <f>IFERROR(AG16/AG148, "NA")</f>
        <v>0.04362601652</v>
      </c>
      <c r="AI16" s="61">
        <f t="shared" si="11"/>
        <v>-894.84125</v>
      </c>
      <c r="AJ16" s="63">
        <f>IFERROR(AI16/AI148, "NA")</f>
        <v>0.1940249762</v>
      </c>
      <c r="AK16" s="61">
        <f t="shared" si="12"/>
        <v>-0.1433936769</v>
      </c>
      <c r="AL16" s="63">
        <f>IFERROR(AK16/AK148, "NA")</f>
        <v>4.447460293</v>
      </c>
    </row>
    <row r="17" ht="16.5" customHeight="1">
      <c r="A17" s="26" t="s">
        <v>70</v>
      </c>
      <c r="B17" s="27">
        <v>3211.34</v>
      </c>
      <c r="C17" s="23">
        <f>IFERROR(B17/B148, "NA")</f>
        <v>0.02560335521</v>
      </c>
      <c r="D17" s="27">
        <v>3450.26</v>
      </c>
      <c r="E17" s="23">
        <f>IFERROR(D17/D148, "NA")</f>
        <v>0.02575947007</v>
      </c>
      <c r="F17" s="27">
        <v>3404.3</v>
      </c>
      <c r="G17" s="23">
        <f>IFERROR(F17/F148, "NA")</f>
        <v>0.02659490113</v>
      </c>
      <c r="H17" s="27">
        <v>3032.23</v>
      </c>
      <c r="I17" s="23">
        <f>IFERROR(H17/H148, "NA")</f>
        <v>0.02619291606</v>
      </c>
      <c r="J17" s="27">
        <v>3689.61</v>
      </c>
      <c r="K17" s="23">
        <f>IFERROR(J17/J148, "NA")</f>
        <v>0.02729185982</v>
      </c>
      <c r="L17" s="27">
        <v>3583.66</v>
      </c>
      <c r="M17" s="23">
        <f>IFERROR(L17/L148, "NA")</f>
        <v>0.02827302563</v>
      </c>
      <c r="N17" s="27">
        <v>3246.62</v>
      </c>
      <c r="O17" s="23">
        <f>IFERROR(N17/N148, "NA")</f>
        <v>0.02374670281</v>
      </c>
      <c r="P17" s="27">
        <v>3501.02</v>
      </c>
      <c r="Q17" s="23">
        <f>IFERROR(P17/P148, "NA")</f>
        <v>0.02338808046</v>
      </c>
      <c r="R17" s="27">
        <v>3185.6899999999996</v>
      </c>
      <c r="S17" s="23">
        <f>IFERROR(R17/R148, "NA")</f>
        <v>0.02587944448</v>
      </c>
      <c r="T17" s="27">
        <v>3951.9399999999996</v>
      </c>
      <c r="U17" s="23">
        <f>IFERROR(T17/T148, "NA")</f>
        <v>0.02350668148</v>
      </c>
      <c r="V17" s="27">
        <v>4358.68</v>
      </c>
      <c r="W17" s="23">
        <f>IFERROR(V17/V148, "NA")</f>
        <v>0.02620176746</v>
      </c>
      <c r="X17" s="27">
        <v>3124.7700000000004</v>
      </c>
      <c r="Y17" s="23">
        <f>IFERROR(X17/X148, "NA")</f>
        <v>0.0225725548</v>
      </c>
      <c r="Z17" s="27">
        <v>14621.079999999998</v>
      </c>
      <c r="AA17" s="23">
        <f>IFERROR(Z17/Z148, "NA")</f>
        <v>0.02453201136</v>
      </c>
      <c r="AB17" s="59">
        <f t="shared" si="7"/>
        <v>3655.27</v>
      </c>
      <c r="AC17" s="23">
        <f>IFERROR(AB17/AB148, "NA")</f>
        <v>0.02453201136</v>
      </c>
      <c r="AD17" s="61">
        <f t="shared" si="8"/>
        <v>-530.5</v>
      </c>
      <c r="AE17" s="63">
        <f>IFERROR(AD17/AD148, "NA")</f>
        <v>0.05019993627</v>
      </c>
      <c r="AF17" s="61">
        <f t="shared" si="9"/>
        <v>-0.1451329177</v>
      </c>
      <c r="AG17" s="59">
        <f t="shared" si="10"/>
        <v>3580.24875</v>
      </c>
      <c r="AH17" s="23">
        <f>IFERROR(AG17/AG148, "NA")</f>
        <v>0.02502895782</v>
      </c>
      <c r="AI17" s="61">
        <f t="shared" si="11"/>
        <v>-455.47875</v>
      </c>
      <c r="AJ17" s="63">
        <f>IFERROR(AI17/AI148, "NA")</f>
        <v>0.09875970026</v>
      </c>
      <c r="AK17" s="61">
        <f t="shared" si="12"/>
        <v>-0.1272198615</v>
      </c>
      <c r="AL17" s="63">
        <f>IFERROR(AK17/AK148, "NA")</f>
        <v>3.945817519</v>
      </c>
    </row>
    <row r="18" ht="16.5" customHeight="1">
      <c r="A18" s="26" t="s">
        <v>73</v>
      </c>
      <c r="B18" s="27">
        <v>5726.9800000000005</v>
      </c>
      <c r="C18" s="23">
        <f>IFERROR(B18/B148, "NA")</f>
        <v>0.045660037</v>
      </c>
      <c r="D18" s="27">
        <v>5874.91</v>
      </c>
      <c r="E18" s="23">
        <f>IFERROR(D18/D148, "NA")</f>
        <v>0.04386178674</v>
      </c>
      <c r="F18" s="27">
        <v>5328.209999999999</v>
      </c>
      <c r="G18" s="23">
        <f>IFERROR(F18/F148, "NA")</f>
        <v>0.04162477401</v>
      </c>
      <c r="H18" s="27">
        <v>5129.57</v>
      </c>
      <c r="I18" s="23">
        <f>IFERROR(H18/H148, "NA")</f>
        <v>0.04431009404</v>
      </c>
      <c r="J18" s="27">
        <v>6555.110000000001</v>
      </c>
      <c r="K18" s="23">
        <f>IFERROR(J18/J148, "NA")</f>
        <v>0.04848781937</v>
      </c>
      <c r="L18" s="27">
        <v>5450.2</v>
      </c>
      <c r="M18" s="23">
        <f>IFERROR(L18/L148, "NA")</f>
        <v>0.04299895757</v>
      </c>
      <c r="N18" s="27">
        <v>5725.9</v>
      </c>
      <c r="O18" s="23">
        <f>IFERROR(N18/N148, "NA")</f>
        <v>0.04188086244</v>
      </c>
      <c r="P18" s="27">
        <v>6431.610000000001</v>
      </c>
      <c r="Q18" s="23">
        <f>IFERROR(P18/P148, "NA")</f>
        <v>0.0429654821</v>
      </c>
      <c r="R18" s="27">
        <v>4078.89</v>
      </c>
      <c r="S18" s="23">
        <f>IFERROR(R18/R148, "NA")</f>
        <v>0.03313549256</v>
      </c>
      <c r="T18" s="27">
        <v>6017.6</v>
      </c>
      <c r="U18" s="23">
        <f>IFERROR(T18/T148, "NA")</f>
        <v>0.03579351065</v>
      </c>
      <c r="V18" s="27">
        <v>5378.05</v>
      </c>
      <c r="W18" s="23">
        <f>IFERROR(V18/V148, "NA")</f>
        <v>0.03232960793</v>
      </c>
      <c r="X18" s="27">
        <v>5330.59</v>
      </c>
      <c r="Y18" s="23">
        <f>IFERROR(X18/X148, "NA")</f>
        <v>0.03850684526</v>
      </c>
      <c r="Z18" s="27">
        <v>20805.129999999997</v>
      </c>
      <c r="AA18" s="23">
        <f>IFERROR(Z18/Z148, "NA")</f>
        <v>0.03490793331</v>
      </c>
      <c r="AB18" s="59">
        <f t="shared" si="7"/>
        <v>5201.2825</v>
      </c>
      <c r="AC18" s="23">
        <f>IFERROR(AB18/AB148, "NA")</f>
        <v>0.03490793331</v>
      </c>
      <c r="AD18" s="61">
        <f t="shared" si="8"/>
        <v>129.3075</v>
      </c>
      <c r="AE18" s="63">
        <f>IFERROR(AD18/AD148, "NA")</f>
        <v>-0.01223605704</v>
      </c>
      <c r="AF18" s="61">
        <f t="shared" si="9"/>
        <v>0.02486069542</v>
      </c>
      <c r="AG18" s="59">
        <f t="shared" si="10"/>
        <v>5620.99375</v>
      </c>
      <c r="AH18" s="23">
        <f>IFERROR(AG18/AG148, "NA")</f>
        <v>0.03929548624</v>
      </c>
      <c r="AI18" s="61">
        <f t="shared" si="11"/>
        <v>-290.40375</v>
      </c>
      <c r="AJ18" s="63">
        <f>IFERROR(AI18/AI148, "NA")</f>
        <v>0.06296712482</v>
      </c>
      <c r="AK18" s="61">
        <f t="shared" si="12"/>
        <v>-0.05166412967</v>
      </c>
      <c r="AL18" s="63">
        <f>IFERROR(AK18/AK148, "NA")</f>
        <v>1.602400959</v>
      </c>
    </row>
    <row r="19" ht="16.5" customHeight="1">
      <c r="A19" s="26" t="s">
        <v>74</v>
      </c>
      <c r="B19" s="27">
        <v>2538.79</v>
      </c>
      <c r="C19" s="23">
        <f>IFERROR(B19/B148, "NA")</f>
        <v>0.02024125199</v>
      </c>
      <c r="D19" s="27">
        <v>2914.2799999999997</v>
      </c>
      <c r="E19" s="23">
        <f>IFERROR(D19/D148, "NA")</f>
        <v>0.02175786997</v>
      </c>
      <c r="F19" s="27">
        <v>3118.6400000000003</v>
      </c>
      <c r="G19" s="23">
        <f>IFERROR(F19/F148, "NA")</f>
        <v>0.02436328246</v>
      </c>
      <c r="H19" s="27">
        <v>2565.11</v>
      </c>
      <c r="I19" s="23">
        <f>IFERROR(H19/H148, "NA")</f>
        <v>0.02215785442</v>
      </c>
      <c r="J19" s="27">
        <v>3171.0200000000004</v>
      </c>
      <c r="K19" s="23">
        <f>IFERROR(J19/J148, "NA")</f>
        <v>0.02345587564</v>
      </c>
      <c r="L19" s="27">
        <v>2551.67</v>
      </c>
      <c r="M19" s="23">
        <f>IFERROR(L19/L148, "NA")</f>
        <v>0.02013121538</v>
      </c>
      <c r="N19" s="27">
        <v>2978.3099999999995</v>
      </c>
      <c r="O19" s="23">
        <f>IFERROR(N19/N148, "NA")</f>
        <v>0.0217842071</v>
      </c>
      <c r="P19" s="27">
        <v>2756.3999999999996</v>
      </c>
      <c r="Q19" s="23">
        <f>IFERROR(P19/P148, "NA")</f>
        <v>0.01841374941</v>
      </c>
      <c r="R19" s="27">
        <v>2706.55</v>
      </c>
      <c r="S19" s="23">
        <f>IFERROR(R19/R148, "NA")</f>
        <v>0.02198707673</v>
      </c>
      <c r="T19" s="27">
        <v>2960.49</v>
      </c>
      <c r="U19" s="23">
        <f>IFERROR(T19/T148, "NA")</f>
        <v>0.01760940082</v>
      </c>
      <c r="V19" s="27">
        <v>3341.6299999999997</v>
      </c>
      <c r="W19" s="23">
        <f>IFERROR(V19/V148, "NA")</f>
        <v>0.02008787344</v>
      </c>
      <c r="X19" s="27">
        <v>2825.4100000000003</v>
      </c>
      <c r="Y19" s="23">
        <f>IFERROR(X19/X148, "NA")</f>
        <v>0.02041005323</v>
      </c>
      <c r="Z19" s="27">
        <v>11834.080000000002</v>
      </c>
      <c r="AA19" s="23">
        <f>IFERROR(Z19/Z148, "NA")</f>
        <v>0.01985583726</v>
      </c>
      <c r="AB19" s="59">
        <f t="shared" si="7"/>
        <v>2958.52</v>
      </c>
      <c r="AC19" s="23">
        <f>IFERROR(AB19/AB148, "NA")</f>
        <v>0.01985583726</v>
      </c>
      <c r="AD19" s="61">
        <f t="shared" si="8"/>
        <v>-133.11</v>
      </c>
      <c r="AE19" s="63">
        <f>IFERROR(AD19/AD148, "NA")</f>
        <v>0.01259587845</v>
      </c>
      <c r="AF19" s="61">
        <f t="shared" si="9"/>
        <v>-0.04499209064</v>
      </c>
      <c r="AG19" s="59">
        <f t="shared" si="10"/>
        <v>2911.435</v>
      </c>
      <c r="AH19" s="23">
        <f>IFERROR(AG19/AG148, "NA")</f>
        <v>0.02035338573</v>
      </c>
      <c r="AI19" s="61">
        <f t="shared" si="11"/>
        <v>-86.025</v>
      </c>
      <c r="AJ19" s="63">
        <f>IFERROR(AI19/AI148, "NA")</f>
        <v>0.01865246889</v>
      </c>
      <c r="AK19" s="61">
        <f t="shared" si="12"/>
        <v>-0.0295472851</v>
      </c>
      <c r="AL19" s="63">
        <f>IFERROR(AK19/AK148, "NA")</f>
        <v>0.9164307668</v>
      </c>
    </row>
    <row r="20" ht="16.5" customHeight="1">
      <c r="A20" s="26" t="s">
        <v>75</v>
      </c>
      <c r="B20" s="27">
        <v>1233.62</v>
      </c>
      <c r="C20" s="23">
        <f>IFERROR(B20/B148, "NA")</f>
        <v>0.009835399257</v>
      </c>
      <c r="D20" s="27">
        <v>1651.8000000000002</v>
      </c>
      <c r="E20" s="23">
        <f>IFERROR(D20/D148, "NA")</f>
        <v>0.01233225689</v>
      </c>
      <c r="F20" s="27">
        <v>1651.3</v>
      </c>
      <c r="G20" s="23">
        <f>IFERROR(F20/F148, "NA")</f>
        <v>0.01290020276</v>
      </c>
      <c r="H20" s="27">
        <v>1482.24</v>
      </c>
      <c r="I20" s="23">
        <f>IFERROR(H20/H148, "NA")</f>
        <v>0.01280384005</v>
      </c>
      <c r="J20" s="27">
        <v>1780.38</v>
      </c>
      <c r="K20" s="23">
        <f>IFERROR(J20/J148, "NA")</f>
        <v>0.01316938142</v>
      </c>
      <c r="L20" s="27">
        <v>1421.23</v>
      </c>
      <c r="M20" s="23">
        <f>IFERROR(L20/L148, "NA")</f>
        <v>0.011212691</v>
      </c>
      <c r="N20" s="27">
        <v>1622.16</v>
      </c>
      <c r="O20" s="23">
        <f>IFERROR(N20/N148, "NA")</f>
        <v>0.01186493998</v>
      </c>
      <c r="P20" s="27">
        <v>1663.08</v>
      </c>
      <c r="Q20" s="23">
        <f>IFERROR(P20/P148, "NA")</f>
        <v>0.01110997619</v>
      </c>
      <c r="R20" s="27">
        <v>1486.54</v>
      </c>
      <c r="S20" s="23">
        <f>IFERROR(R20/R148, "NA")</f>
        <v>0.01207613716</v>
      </c>
      <c r="T20" s="27">
        <v>2019.0300000000002</v>
      </c>
      <c r="U20" s="23">
        <f>IFERROR(T20/T148, "NA")</f>
        <v>0.01200946753</v>
      </c>
      <c r="V20" s="27">
        <v>1618.86</v>
      </c>
      <c r="W20" s="23">
        <f>IFERROR(V20/V148, "NA")</f>
        <v>0.00973161445</v>
      </c>
      <c r="X20" s="27">
        <v>1710.0200000000002</v>
      </c>
      <c r="Y20" s="23">
        <f>IFERROR(X20/X148, "NA")</f>
        <v>0.01235275561</v>
      </c>
      <c r="Z20" s="27">
        <v>6834.45</v>
      </c>
      <c r="AA20" s="23">
        <f>IFERROR(Z20/Z148, "NA")</f>
        <v>0.01146719702</v>
      </c>
      <c r="AB20" s="59">
        <f t="shared" si="7"/>
        <v>1708.6125</v>
      </c>
      <c r="AC20" s="23">
        <f>IFERROR(AB20/AB148, "NA")</f>
        <v>0.01146719702</v>
      </c>
      <c r="AD20" s="61">
        <f t="shared" si="8"/>
        <v>1.4075</v>
      </c>
      <c r="AE20" s="63">
        <f>IFERROR(AD20/AD148, "NA")</f>
        <v>-0.0001331883323</v>
      </c>
      <c r="AF20" s="61">
        <f t="shared" si="9"/>
        <v>0.0008237678233</v>
      </c>
      <c r="AG20" s="59">
        <f t="shared" si="10"/>
        <v>1665.1625</v>
      </c>
      <c r="AH20" s="23">
        <f>IFERROR(AG20/AG148, "NA")</f>
        <v>0.01164089003</v>
      </c>
      <c r="AI20" s="61">
        <f t="shared" si="11"/>
        <v>44.8575</v>
      </c>
      <c r="AJ20" s="63">
        <f>IFERROR(AI20/AI148, "NA")</f>
        <v>-0.009726278678</v>
      </c>
      <c r="AK20" s="61">
        <f t="shared" si="12"/>
        <v>0.02693881228</v>
      </c>
      <c r="AL20" s="63">
        <f>IFERROR(AK20/AK148, "NA")</f>
        <v>-0.8355270648</v>
      </c>
    </row>
    <row r="21" ht="16.5" customHeight="1">
      <c r="A21" s="26" t="s">
        <v>76</v>
      </c>
      <c r="B21" s="27">
        <v>901.7</v>
      </c>
      <c r="C21" s="23">
        <f>IFERROR(B21/B148, "NA")</f>
        <v>0.007189069171</v>
      </c>
      <c r="D21" s="27">
        <v>906.3</v>
      </c>
      <c r="E21" s="23">
        <f>IFERROR(D21/D148, "NA")</f>
        <v>0.00676639086</v>
      </c>
      <c r="F21" s="27">
        <v>1025.3</v>
      </c>
      <c r="G21" s="23">
        <f>IFERROR(F21/F148, "NA")</f>
        <v>0.008009797061</v>
      </c>
      <c r="H21" s="27">
        <v>1010.49</v>
      </c>
      <c r="I21" s="23">
        <f>IFERROR(H21/H148, "NA")</f>
        <v>0.008728783684</v>
      </c>
      <c r="J21" s="27">
        <v>1105.0700000000002</v>
      </c>
      <c r="K21" s="23">
        <f>IFERROR(J21/J148, "NA")</f>
        <v>0.008174147276</v>
      </c>
      <c r="L21" s="27">
        <v>901.98</v>
      </c>
      <c r="M21" s="23">
        <f>IFERROR(L21/L148, "NA")</f>
        <v>0.007116105785</v>
      </c>
      <c r="N21" s="27">
        <v>1168.3899999999999</v>
      </c>
      <c r="O21" s="23">
        <f>IFERROR(N21/N148, "NA")</f>
        <v>0.008545937036</v>
      </c>
      <c r="P21" s="27">
        <v>842.56</v>
      </c>
      <c r="Q21" s="23">
        <f>IFERROR(P21/P148, "NA")</f>
        <v>0.005628605684</v>
      </c>
      <c r="R21" s="27">
        <v>995.38</v>
      </c>
      <c r="S21" s="23">
        <f>IFERROR(R21/R148, "NA")</f>
        <v>0.008086123084</v>
      </c>
      <c r="T21" s="27">
        <v>1375.1399999999999</v>
      </c>
      <c r="U21" s="23">
        <f>IFERROR(T21/T148, "NA")</f>
        <v>0.008179521444</v>
      </c>
      <c r="V21" s="27">
        <v>1183.13</v>
      </c>
      <c r="W21" s="23">
        <f>IFERROR(V21/V148, "NA")</f>
        <v>0.007112267277</v>
      </c>
      <c r="X21" s="27">
        <v>1134.37</v>
      </c>
      <c r="Y21" s="23">
        <f>IFERROR(X21/X148, "NA")</f>
        <v>0.008194404383</v>
      </c>
      <c r="Z21" s="27">
        <v>4688.0199999999995</v>
      </c>
      <c r="AA21" s="23">
        <f>IFERROR(Z21/Z148, "NA")</f>
        <v>0.007865804709</v>
      </c>
      <c r="AB21" s="59">
        <f t="shared" si="7"/>
        <v>1172.005</v>
      </c>
      <c r="AC21" s="23">
        <f>IFERROR(AB21/AB148, "NA")</f>
        <v>0.007865804709</v>
      </c>
      <c r="AD21" s="61">
        <f t="shared" si="8"/>
        <v>-37.635</v>
      </c>
      <c r="AE21" s="63">
        <f>IFERROR(AD21/AD148, "NA")</f>
        <v>0.003561309334</v>
      </c>
      <c r="AF21" s="61">
        <f t="shared" si="9"/>
        <v>-0.03211163775</v>
      </c>
      <c r="AG21" s="59">
        <f t="shared" si="10"/>
        <v>1088.2525</v>
      </c>
      <c r="AH21" s="23">
        <f>IFERROR(AG21/AG148, "NA")</f>
        <v>0.007607802648</v>
      </c>
      <c r="AI21" s="61">
        <f t="shared" si="11"/>
        <v>46.1175</v>
      </c>
      <c r="AJ21" s="63">
        <f>IFERROR(AI21/AI148, "NA")</f>
        <v>-0.009999479617</v>
      </c>
      <c r="AK21" s="61">
        <f t="shared" si="12"/>
        <v>0.04237757322</v>
      </c>
      <c r="AL21" s="63">
        <f>IFERROR(AK21/AK148, "NA")</f>
        <v>-1.314371584</v>
      </c>
    </row>
    <row r="22" ht="16.5" hidden="1" customHeight="1">
      <c r="A22" s="26" t="s">
        <v>77</v>
      </c>
      <c r="B22" s="27">
        <v>0.0</v>
      </c>
      <c r="C22" s="23">
        <f>IFERROR(B22/B148, "NA")</f>
        <v>0</v>
      </c>
      <c r="D22" s="27">
        <v>0.0</v>
      </c>
      <c r="E22" s="23">
        <f>IFERROR(D22/D148, "NA")</f>
        <v>0</v>
      </c>
      <c r="F22" s="27">
        <v>0.0</v>
      </c>
      <c r="G22" s="23">
        <f>IFERROR(F22/F148, "NA")</f>
        <v>0</v>
      </c>
      <c r="H22" s="27">
        <v>0.0</v>
      </c>
      <c r="I22" s="23">
        <f>IFERROR(H22/H148, "NA")</f>
        <v>0</v>
      </c>
      <c r="J22" s="27">
        <v>0.0</v>
      </c>
      <c r="K22" s="23">
        <f>IFERROR(J22/J148, "NA")</f>
        <v>0</v>
      </c>
      <c r="L22" s="27">
        <v>0.0</v>
      </c>
      <c r="M22" s="23">
        <f>IFERROR(L22/L148, "NA")</f>
        <v>0</v>
      </c>
      <c r="N22" s="27">
        <v>0.0</v>
      </c>
      <c r="O22" s="23">
        <f>IFERROR(N22/N148, "NA")</f>
        <v>0</v>
      </c>
      <c r="P22" s="27">
        <v>0.0</v>
      </c>
      <c r="Q22" s="23">
        <f>IFERROR(P22/P148, "NA")</f>
        <v>0</v>
      </c>
      <c r="R22" s="27">
        <v>0.0</v>
      </c>
      <c r="S22" s="23">
        <f>IFERROR(R22/R148, "NA")</f>
        <v>0</v>
      </c>
      <c r="T22" s="27">
        <v>0.0</v>
      </c>
      <c r="U22" s="23">
        <f>IFERROR(T22/T148, "NA")</f>
        <v>0</v>
      </c>
      <c r="V22" s="27">
        <v>0.0</v>
      </c>
      <c r="W22" s="23">
        <f>IFERROR(V22/V148, "NA")</f>
        <v>0</v>
      </c>
      <c r="X22" s="27">
        <v>0.0</v>
      </c>
      <c r="Y22" s="23">
        <f>IFERROR(X22/X148, "NA")</f>
        <v>0</v>
      </c>
      <c r="Z22" s="27">
        <v>0.0</v>
      </c>
      <c r="AA22" s="23">
        <f>IFERROR(Z22/Z148, "NA")</f>
        <v>0</v>
      </c>
      <c r="AB22" s="59">
        <f t="shared" si="7"/>
        <v>0</v>
      </c>
      <c r="AC22" s="23">
        <f>IFERROR(AB22/AB148, "NA")</f>
        <v>0</v>
      </c>
      <c r="AD22" s="61">
        <f t="shared" si="8"/>
        <v>0</v>
      </c>
      <c r="AE22" s="63">
        <f>IFERROR(AD22/AD148, "NA")</f>
        <v>0</v>
      </c>
      <c r="AF22" s="61" t="str">
        <f t="shared" si="9"/>
        <v>NA</v>
      </c>
      <c r="AG22" s="59">
        <f t="shared" si="10"/>
        <v>0</v>
      </c>
      <c r="AH22" s="23">
        <f>IFERROR(AG22/AG148, "NA")</f>
        <v>0</v>
      </c>
      <c r="AI22" s="61">
        <f t="shared" si="11"/>
        <v>0</v>
      </c>
      <c r="AJ22" s="63">
        <f>IFERROR(AI22/AI148, "NA")</f>
        <v>0</v>
      </c>
      <c r="AK22" s="61" t="str">
        <f t="shared" si="12"/>
        <v>NA</v>
      </c>
      <c r="AL22" s="63" t="str">
        <f>IFERROR(AK22/AK148, "NA")</f>
        <v>NA</v>
      </c>
    </row>
    <row r="23" ht="16.5" customHeight="1">
      <c r="A23" s="26" t="s">
        <v>78</v>
      </c>
      <c r="B23" s="27">
        <v>629.8700000000001</v>
      </c>
      <c r="C23" s="23">
        <f>IFERROR(B23/B148, "NA")</f>
        <v>0.00502182433</v>
      </c>
      <c r="D23" s="27">
        <v>737.6700000000001</v>
      </c>
      <c r="E23" s="23">
        <f>IFERROR(D23/D148, "NA")</f>
        <v>0.005507407641</v>
      </c>
      <c r="F23" s="27">
        <v>443.81</v>
      </c>
      <c r="G23" s="23">
        <f>IFERROR(F23/F148, "NA")</f>
        <v>0.003467110147</v>
      </c>
      <c r="H23" s="27">
        <v>692.73</v>
      </c>
      <c r="I23" s="23">
        <f>IFERROR(H23/H148, "NA")</f>
        <v>0.005983919011</v>
      </c>
      <c r="J23" s="27">
        <v>389.79</v>
      </c>
      <c r="K23" s="23">
        <f>IFERROR(J23/J148, "NA")</f>
        <v>0.002883257049</v>
      </c>
      <c r="L23" s="27">
        <v>923.38</v>
      </c>
      <c r="M23" s="23">
        <f>IFERROR(L23/L148, "NA")</f>
        <v>0.007284939533</v>
      </c>
      <c r="N23" s="27">
        <v>557.07</v>
      </c>
      <c r="O23" s="23">
        <f>IFERROR(N23/N148, "NA")</f>
        <v>0.004074568547</v>
      </c>
      <c r="P23" s="27">
        <v>1081.45</v>
      </c>
      <c r="Q23" s="23">
        <f>IFERROR(P23/P148, "NA")</f>
        <v>0.007224477327</v>
      </c>
      <c r="R23" s="27">
        <v>747.8</v>
      </c>
      <c r="S23" s="23">
        <f>IFERROR(R23/R148, "NA")</f>
        <v>0.006074868736</v>
      </c>
      <c r="T23" s="27">
        <v>974.11</v>
      </c>
      <c r="U23" s="23">
        <f>IFERROR(T23/T148, "NA")</f>
        <v>0.005794139967</v>
      </c>
      <c r="V23" s="27">
        <v>565.4200000000001</v>
      </c>
      <c r="W23" s="23">
        <f>IFERROR(V23/V148, "NA")</f>
        <v>0.003398965594</v>
      </c>
      <c r="X23" s="27">
        <v>638.37</v>
      </c>
      <c r="Y23" s="23">
        <f>IFERROR(X23/X148, "NA")</f>
        <v>0.004611424778</v>
      </c>
      <c r="Z23" s="27">
        <v>2925.7</v>
      </c>
      <c r="AA23" s="23">
        <f>IFERROR(Z23/Z148, "NA")</f>
        <v>0.004908892206</v>
      </c>
      <c r="AB23" s="59">
        <f t="shared" si="7"/>
        <v>731.425</v>
      </c>
      <c r="AC23" s="23">
        <f>IFERROR(AB23/AB148, "NA")</f>
        <v>0.004908892206</v>
      </c>
      <c r="AD23" s="61">
        <f t="shared" si="8"/>
        <v>-93.055</v>
      </c>
      <c r="AE23" s="63">
        <f>IFERROR(AD23/AD148, "NA")</f>
        <v>0.008805570348</v>
      </c>
      <c r="AF23" s="61">
        <f t="shared" si="9"/>
        <v>-0.127224254</v>
      </c>
      <c r="AG23" s="59">
        <f t="shared" si="10"/>
        <v>734.67375</v>
      </c>
      <c r="AH23" s="23">
        <f>IFERROR(AG23/AG148, "NA")</f>
        <v>0.005135989029</v>
      </c>
      <c r="AI23" s="61">
        <f t="shared" si="11"/>
        <v>-96.30375</v>
      </c>
      <c r="AJ23" s="63">
        <f>IFERROR(AI23/AI148, "NA")</f>
        <v>0.0208811706</v>
      </c>
      <c r="AK23" s="61">
        <f t="shared" si="12"/>
        <v>-0.1310836953</v>
      </c>
      <c r="AL23" s="63">
        <f>IFERROR(AK23/AK148, "NA")</f>
        <v>4.065657166</v>
      </c>
    </row>
    <row r="24" ht="16.5" customHeight="1">
      <c r="A24" s="26" t="s">
        <v>79</v>
      </c>
      <c r="B24" s="27">
        <v>7306.61</v>
      </c>
      <c r="C24" s="23">
        <f>IFERROR(B24/B148, "NA")</f>
        <v>0.05825410302</v>
      </c>
      <c r="D24" s="27">
        <v>8894.05</v>
      </c>
      <c r="E24" s="23">
        <f>IFERROR(D24/D148, "NA")</f>
        <v>0.06640253627</v>
      </c>
      <c r="F24" s="27">
        <v>7095.6</v>
      </c>
      <c r="G24" s="23">
        <f>IFERROR(F24/F148, "NA")</f>
        <v>0.05543188923</v>
      </c>
      <c r="H24" s="27">
        <v>6902.17</v>
      </c>
      <c r="I24" s="23">
        <f>IFERROR(H24/H148, "NA")</f>
        <v>0.05962211292</v>
      </c>
      <c r="J24" s="27">
        <v>7504.86</v>
      </c>
      <c r="K24" s="23">
        <f>IFERROR(J24/J148, "NA")</f>
        <v>0.05551307241</v>
      </c>
      <c r="L24" s="27">
        <v>6691.97</v>
      </c>
      <c r="M24" s="23">
        <f>IFERROR(L24/L148, "NA")</f>
        <v>0.05279581191</v>
      </c>
      <c r="N24" s="27">
        <v>8455.0</v>
      </c>
      <c r="O24" s="23">
        <f>IFERROR(N24/N148, "NA")</f>
        <v>0.06184227667</v>
      </c>
      <c r="P24" s="27">
        <v>8234.26</v>
      </c>
      <c r="Q24" s="23">
        <f>IFERROR(P24/P148, "NA")</f>
        <v>0.0550078364</v>
      </c>
      <c r="R24" s="27">
        <v>7440.529999999999</v>
      </c>
      <c r="S24" s="23">
        <f>IFERROR(R24/R148, "NA")</f>
        <v>0.06044429403</v>
      </c>
      <c r="T24" s="27">
        <v>8909.449999999999</v>
      </c>
      <c r="U24" s="23">
        <f>IFERROR(T24/T148, "NA")</f>
        <v>0.05299463133</v>
      </c>
      <c r="V24" s="27">
        <v>9034.55</v>
      </c>
      <c r="W24" s="23">
        <f>IFERROR(V24/V148, "NA")</f>
        <v>0.05431029078</v>
      </c>
      <c r="X24" s="27">
        <v>7754.539999999999</v>
      </c>
      <c r="Y24" s="23">
        <f>IFERROR(X24/X148, "NA")</f>
        <v>0.05601685214</v>
      </c>
      <c r="Z24" s="27">
        <v>33139.07</v>
      </c>
      <c r="AA24" s="23">
        <f>IFERROR(Z24/Z148, "NA")</f>
        <v>0.05560246178</v>
      </c>
      <c r="AB24" s="59">
        <f t="shared" si="7"/>
        <v>8284.7675</v>
      </c>
      <c r="AC24" s="23">
        <f>IFERROR(AB24/AB148, "NA")</f>
        <v>0.05560246178</v>
      </c>
      <c r="AD24" s="61">
        <f t="shared" si="8"/>
        <v>-530.2275</v>
      </c>
      <c r="AE24" s="63">
        <f>IFERROR(AD24/AD148, "NA")</f>
        <v>0.05017415025</v>
      </c>
      <c r="AF24" s="61">
        <f t="shared" si="9"/>
        <v>-0.06400028727</v>
      </c>
      <c r="AG24" s="59">
        <f t="shared" si="10"/>
        <v>8003.145</v>
      </c>
      <c r="AH24" s="23">
        <f>IFERROR(AG24/AG148, "NA")</f>
        <v>0.05594873223</v>
      </c>
      <c r="AI24" s="61">
        <f t="shared" si="11"/>
        <v>-248.605</v>
      </c>
      <c r="AJ24" s="63">
        <f>IFERROR(AI24/AI148, "NA")</f>
        <v>0.05390406311</v>
      </c>
      <c r="AK24" s="61">
        <f t="shared" si="12"/>
        <v>-0.0310634132</v>
      </c>
      <c r="AL24" s="63">
        <f>IFERROR(AK24/AK148, "NA")</f>
        <v>0.9634545941</v>
      </c>
    </row>
    <row r="25" ht="16.5" hidden="1" customHeight="1">
      <c r="A25" s="26" t="s">
        <v>80</v>
      </c>
      <c r="B25" s="27">
        <v>0.0</v>
      </c>
      <c r="C25" s="23">
        <f>IFERROR(B25/B148, "NA")</f>
        <v>0</v>
      </c>
      <c r="D25" s="27">
        <v>0.0</v>
      </c>
      <c r="E25" s="23">
        <f>IFERROR(D25/D148, "NA")</f>
        <v>0</v>
      </c>
      <c r="F25" s="27">
        <v>0.0</v>
      </c>
      <c r="G25" s="23">
        <f>IFERROR(F25/F148, "NA")</f>
        <v>0</v>
      </c>
      <c r="H25" s="27">
        <v>0.0</v>
      </c>
      <c r="I25" s="23">
        <f>IFERROR(H25/H148, "NA")</f>
        <v>0</v>
      </c>
      <c r="J25" s="27">
        <v>0.0</v>
      </c>
      <c r="K25" s="23">
        <f>IFERROR(J25/J148, "NA")</f>
        <v>0</v>
      </c>
      <c r="L25" s="27">
        <v>0.0</v>
      </c>
      <c r="M25" s="23">
        <f>IFERROR(L25/L148, "NA")</f>
        <v>0</v>
      </c>
      <c r="N25" s="27">
        <v>0.0</v>
      </c>
      <c r="O25" s="23">
        <f>IFERROR(N25/N148, "NA")</f>
        <v>0</v>
      </c>
      <c r="P25" s="27">
        <v>0.0</v>
      </c>
      <c r="Q25" s="23">
        <f>IFERROR(P25/P148, "NA")</f>
        <v>0</v>
      </c>
      <c r="R25" s="27">
        <v>0.0</v>
      </c>
      <c r="S25" s="23">
        <f>IFERROR(R25/R148, "NA")</f>
        <v>0</v>
      </c>
      <c r="T25" s="27">
        <v>0.0</v>
      </c>
      <c r="U25" s="23">
        <f>IFERROR(T25/T148, "NA")</f>
        <v>0</v>
      </c>
      <c r="V25" s="27">
        <v>0.0</v>
      </c>
      <c r="W25" s="23">
        <f>IFERROR(V25/V148, "NA")</f>
        <v>0</v>
      </c>
      <c r="X25" s="27">
        <v>0.0</v>
      </c>
      <c r="Y25" s="23">
        <f>IFERROR(X25/X148, "NA")</f>
        <v>0</v>
      </c>
      <c r="Z25" s="27">
        <v>0.0</v>
      </c>
      <c r="AA25" s="23">
        <f>IFERROR(Z25/Z148, "NA")</f>
        <v>0</v>
      </c>
      <c r="AB25" s="59">
        <f t="shared" si="7"/>
        <v>0</v>
      </c>
      <c r="AC25" s="23">
        <f>IFERROR(AB25/AB148, "NA")</f>
        <v>0</v>
      </c>
      <c r="AD25" s="61">
        <f t="shared" si="8"/>
        <v>0</v>
      </c>
      <c r="AE25" s="63">
        <f>IFERROR(AD25/AD148, "NA")</f>
        <v>0</v>
      </c>
      <c r="AF25" s="61" t="str">
        <f t="shared" si="9"/>
        <v>NA</v>
      </c>
      <c r="AG25" s="59">
        <f t="shared" si="10"/>
        <v>0</v>
      </c>
      <c r="AH25" s="23">
        <f>IFERROR(AG25/AG148, "NA")</f>
        <v>0</v>
      </c>
      <c r="AI25" s="61">
        <f t="shared" si="11"/>
        <v>0</v>
      </c>
      <c r="AJ25" s="63">
        <f>IFERROR(AI25/AI148, "NA")</f>
        <v>0</v>
      </c>
      <c r="AK25" s="61" t="str">
        <f t="shared" si="12"/>
        <v>NA</v>
      </c>
      <c r="AL25" s="63" t="str">
        <f>IFERROR(AK25/AK148, "NA")</f>
        <v>NA</v>
      </c>
    </row>
    <row r="26" ht="16.5" hidden="1" customHeight="1">
      <c r="A26" s="26" t="s">
        <v>81</v>
      </c>
      <c r="B26" s="27">
        <v>0.0</v>
      </c>
      <c r="C26" s="23">
        <f>IFERROR(B26/B148, "NA")</f>
        <v>0</v>
      </c>
      <c r="D26" s="27">
        <v>0.0</v>
      </c>
      <c r="E26" s="23">
        <f>IFERROR(D26/D148, "NA")</f>
        <v>0</v>
      </c>
      <c r="F26" s="27">
        <v>0.0</v>
      </c>
      <c r="G26" s="23">
        <f>IFERROR(F26/F148, "NA")</f>
        <v>0</v>
      </c>
      <c r="H26" s="27">
        <v>0.0</v>
      </c>
      <c r="I26" s="23">
        <f>IFERROR(H26/H148, "NA")</f>
        <v>0</v>
      </c>
      <c r="J26" s="27">
        <v>0.0</v>
      </c>
      <c r="K26" s="23">
        <f>IFERROR(J26/J148, "NA")</f>
        <v>0</v>
      </c>
      <c r="L26" s="27">
        <v>0.0</v>
      </c>
      <c r="M26" s="23">
        <f>IFERROR(L26/L148, "NA")</f>
        <v>0</v>
      </c>
      <c r="N26" s="27">
        <v>0.0</v>
      </c>
      <c r="O26" s="23">
        <f>IFERROR(N26/N148, "NA")</f>
        <v>0</v>
      </c>
      <c r="P26" s="27">
        <v>0.0</v>
      </c>
      <c r="Q26" s="23">
        <f>IFERROR(P26/P148, "NA")</f>
        <v>0</v>
      </c>
      <c r="R26" s="27">
        <v>0.0</v>
      </c>
      <c r="S26" s="23">
        <f>IFERROR(R26/R148, "NA")</f>
        <v>0</v>
      </c>
      <c r="T26" s="27">
        <v>0.0</v>
      </c>
      <c r="U26" s="23">
        <f>IFERROR(T26/T148, "NA")</f>
        <v>0</v>
      </c>
      <c r="V26" s="27">
        <v>0.0</v>
      </c>
      <c r="W26" s="23">
        <f>IFERROR(V26/V148, "NA")</f>
        <v>0</v>
      </c>
      <c r="X26" s="27">
        <v>0.0</v>
      </c>
      <c r="Y26" s="23">
        <f>IFERROR(X26/X148, "NA")</f>
        <v>0</v>
      </c>
      <c r="Z26" s="27">
        <v>0.0</v>
      </c>
      <c r="AA26" s="23">
        <f>IFERROR(Z26/Z148, "NA")</f>
        <v>0</v>
      </c>
      <c r="AB26" s="59">
        <f t="shared" si="7"/>
        <v>0</v>
      </c>
      <c r="AC26" s="23">
        <f>IFERROR(AB26/AB148, "NA")</f>
        <v>0</v>
      </c>
      <c r="AD26" s="61">
        <f t="shared" si="8"/>
        <v>0</v>
      </c>
      <c r="AE26" s="63">
        <f>IFERROR(AD26/AD148, "NA")</f>
        <v>0</v>
      </c>
      <c r="AF26" s="61" t="str">
        <f t="shared" si="9"/>
        <v>NA</v>
      </c>
      <c r="AG26" s="59">
        <f t="shared" si="10"/>
        <v>0</v>
      </c>
      <c r="AH26" s="23">
        <f>IFERROR(AG26/AG148, "NA")</f>
        <v>0</v>
      </c>
      <c r="AI26" s="61">
        <f t="shared" si="11"/>
        <v>0</v>
      </c>
      <c r="AJ26" s="63">
        <f>IFERROR(AI26/AI148, "NA")</f>
        <v>0</v>
      </c>
      <c r="AK26" s="61" t="str">
        <f t="shared" si="12"/>
        <v>NA</v>
      </c>
      <c r="AL26" s="63" t="str">
        <f>IFERROR(AK26/AK148, "NA")</f>
        <v>NA</v>
      </c>
    </row>
    <row r="27" ht="16.5" customHeight="1">
      <c r="A27" s="66" t="s">
        <v>84</v>
      </c>
      <c r="B27" s="67">
        <f>IFERROR(B15+B16+B17+B18+B19+B20+B21+B22+B23+B24+B25+B26, "NA")</f>
        <v>28408.83</v>
      </c>
      <c r="C27" s="69">
        <f>IFERROR(B27/B148, "NA")</f>
        <v>0.2264977752</v>
      </c>
      <c r="D27" s="67">
        <f>IFERROR(D15+D16+D17+D18+D19+D20+D21+D22+D23+D24+D25+D26, "NA")</f>
        <v>30933.44</v>
      </c>
      <c r="E27" s="69">
        <f>IFERROR(D27/D148, "NA")</f>
        <v>0.2309475292</v>
      </c>
      <c r="F27" s="67">
        <f>IFERROR(F15+F16+F17+F18+F19+F20+F21+F22+F23+F24+F25+F26, "NA")</f>
        <v>28854.97</v>
      </c>
      <c r="G27" s="69">
        <f>IFERROR(F27/F148, "NA")</f>
        <v>0.2254193445</v>
      </c>
      <c r="H27" s="67">
        <f>IFERROR(H15+H16+H17+H18+H19+H20+H21+H22+H23+H24+H25+H26, "NA")</f>
        <v>27137.6</v>
      </c>
      <c r="I27" s="69">
        <f>IFERROR(H27/H148, "NA")</f>
        <v>0.2344191829</v>
      </c>
      <c r="J27" s="67">
        <f>IFERROR(J15+J16+J17+J18+J19+J20+J21+J22+J23+J24+J25+J26, "NA")</f>
        <v>30311.88</v>
      </c>
      <c r="K27" s="69">
        <f>IFERROR(J27/J148, "NA")</f>
        <v>0.2242154536</v>
      </c>
      <c r="L27" s="67">
        <f>IFERROR(L15+L16+L17+L18+L19+L20+L21+L22+L23+L24+L25+L26, "NA")</f>
        <v>27434.63</v>
      </c>
      <c r="M27" s="69">
        <f>IFERROR(L27/L148, "NA")</f>
        <v>0.2164435234</v>
      </c>
      <c r="N27" s="67">
        <f>IFERROR(N15+N16+N17+N18+N19+N20+N21+N22+N23+N24+N25+N26, "NA")</f>
        <v>29750.26</v>
      </c>
      <c r="O27" s="69">
        <f>IFERROR(N27/N148, "NA")</f>
        <v>0.2176018699</v>
      </c>
      <c r="P27" s="67">
        <f>IFERROR(P15+P16+P17+P18+P19+P20+P21+P22+P23+P24+P25+P26, "NA")</f>
        <v>31487.94</v>
      </c>
      <c r="Q27" s="69">
        <f>IFERROR(P27/P148, "NA")</f>
        <v>0.2103508332</v>
      </c>
      <c r="R27" s="67">
        <f>IFERROR(R15+R16+R17+R18+R19+R20+R21+R22+R23+R24+R25+R26, "NA")</f>
        <v>25767.07</v>
      </c>
      <c r="S27" s="69">
        <f>IFERROR(R27/R148, "NA")</f>
        <v>0.2093227707</v>
      </c>
      <c r="T27" s="67">
        <f>IFERROR(T15+T16+T17+T18+T19+T20+T21+T22+T23+T24+T25+T26, "NA")</f>
        <v>33659.96</v>
      </c>
      <c r="U27" s="69">
        <f>IFERROR(T27/T148, "NA")</f>
        <v>0.2002140616</v>
      </c>
      <c r="V27" s="67">
        <f>IFERROR(V15+V16+V17+V18+V19+V20+V21+V22+V23+V24+V25+V26, "NA")</f>
        <v>32479.48</v>
      </c>
      <c r="W27" s="69">
        <f>IFERROR(V27/V148, "NA")</f>
        <v>0.195247135</v>
      </c>
      <c r="X27" s="67">
        <f>IFERROR(X15+X16+X17+X18+X19+X20+X21+X22+X23+X24+X25+X26, "NA")</f>
        <v>27863.68</v>
      </c>
      <c r="Y27" s="69">
        <f>IFERROR(X27/X148, "NA")</f>
        <v>0.2012802362</v>
      </c>
      <c r="Z27" s="67">
        <f>IFERROR(Z15+Z16+Z17+Z18+Z19+Z20+Z21+Z22+Z23+Z24+Z25+Z26, "NA")</f>
        <v>119770.19</v>
      </c>
      <c r="AA27" s="69">
        <f>IFERROR(Z27/Z148, "NA")</f>
        <v>0.2009566778</v>
      </c>
      <c r="AB27" s="67">
        <f t="shared" si="7"/>
        <v>29942.5475</v>
      </c>
      <c r="AC27" s="69">
        <f>IFERROR(AB27/AB148, "NA")</f>
        <v>0.2009566778</v>
      </c>
      <c r="AD27" s="70">
        <f t="shared" si="8"/>
        <v>-2078.8675</v>
      </c>
      <c r="AE27" s="71">
        <f>IFERROR(AD27/AD148, "NA")</f>
        <v>0.1967182206</v>
      </c>
      <c r="AF27" s="70">
        <f t="shared" si="9"/>
        <v>-0.06942854478</v>
      </c>
      <c r="AG27" s="67">
        <f t="shared" si="10"/>
        <v>29844.3625</v>
      </c>
      <c r="AH27" s="69">
        <f>IFERROR(AG27/AG148, "NA")</f>
        <v>0.2086372602</v>
      </c>
      <c r="AI27" s="70">
        <f t="shared" si="11"/>
        <v>-1980.6825</v>
      </c>
      <c r="AJ27" s="71">
        <f>IFERROR(AI27/AI148, "NA")</f>
        <v>0.4294637456</v>
      </c>
      <c r="AK27" s="70">
        <f t="shared" si="12"/>
        <v>-0.06636705676</v>
      </c>
      <c r="AL27" s="71">
        <f>IFERROR(AK27/AK148, "NA")</f>
        <v>2.05842305</v>
      </c>
    </row>
    <row r="28" ht="16.5" customHeight="1">
      <c r="A28" s="17" t="s">
        <v>85</v>
      </c>
      <c r="B28" s="19"/>
      <c r="C28" s="13"/>
      <c r="D28" s="19"/>
      <c r="E28" s="13"/>
      <c r="F28" s="19"/>
      <c r="G28" s="13"/>
      <c r="H28" s="19"/>
      <c r="I28" s="13"/>
      <c r="J28" s="19"/>
      <c r="K28" s="13"/>
      <c r="L28" s="19"/>
      <c r="M28" s="13"/>
      <c r="N28" s="19"/>
      <c r="O28" s="13"/>
      <c r="P28" s="19"/>
      <c r="Q28" s="13"/>
      <c r="R28" s="19"/>
      <c r="S28" s="13"/>
      <c r="T28" s="19"/>
      <c r="U28" s="13"/>
      <c r="V28" s="19"/>
      <c r="W28" s="13"/>
      <c r="X28" s="19"/>
      <c r="Y28" s="13"/>
      <c r="Z28" s="19"/>
      <c r="AA28" s="13"/>
      <c r="AB28" s="19"/>
      <c r="AC28" s="13"/>
      <c r="AD28" s="24"/>
      <c r="AE28" s="25"/>
      <c r="AF28" s="24"/>
      <c r="AG28" s="19"/>
      <c r="AH28" s="13"/>
      <c r="AI28" s="24"/>
      <c r="AJ28" s="25"/>
      <c r="AK28" s="24"/>
      <c r="AL28" s="25"/>
    </row>
    <row r="29" ht="16.5" hidden="1" customHeight="1">
      <c r="A29" s="26" t="s">
        <v>86</v>
      </c>
      <c r="B29" s="27">
        <v>0.0</v>
      </c>
      <c r="C29" s="23">
        <f>IFERROR(B29/B148, "NA")</f>
        <v>0</v>
      </c>
      <c r="D29" s="27">
        <v>0.0</v>
      </c>
      <c r="E29" s="23">
        <f>IFERROR(D29/D148, "NA")</f>
        <v>0</v>
      </c>
      <c r="F29" s="27">
        <v>0.0</v>
      </c>
      <c r="G29" s="23">
        <f>IFERROR(F29/F148, "NA")</f>
        <v>0</v>
      </c>
      <c r="H29" s="27">
        <v>0.0</v>
      </c>
      <c r="I29" s="23">
        <f>IFERROR(H29/H148, "NA")</f>
        <v>0</v>
      </c>
      <c r="J29" s="27">
        <v>0.0</v>
      </c>
      <c r="K29" s="23">
        <f>IFERROR(J29/J148, "NA")</f>
        <v>0</v>
      </c>
      <c r="L29" s="27">
        <v>0.0</v>
      </c>
      <c r="M29" s="23">
        <f>IFERROR(L29/L148, "NA")</f>
        <v>0</v>
      </c>
      <c r="N29" s="27">
        <v>0.0</v>
      </c>
      <c r="O29" s="23">
        <f>IFERROR(N29/N148, "NA")</f>
        <v>0</v>
      </c>
      <c r="P29" s="27">
        <v>0.0</v>
      </c>
      <c r="Q29" s="23">
        <f>IFERROR(P29/P148, "NA")</f>
        <v>0</v>
      </c>
      <c r="R29" s="27">
        <v>0.0</v>
      </c>
      <c r="S29" s="23">
        <f>IFERROR(R29/R148, "NA")</f>
        <v>0</v>
      </c>
      <c r="T29" s="27">
        <v>0.0</v>
      </c>
      <c r="U29" s="23">
        <f>IFERROR(T29/T148, "NA")</f>
        <v>0</v>
      </c>
      <c r="V29" s="27">
        <v>0.0</v>
      </c>
      <c r="W29" s="23">
        <f>IFERROR(V29/V148, "NA")</f>
        <v>0</v>
      </c>
      <c r="X29" s="27">
        <v>0.0</v>
      </c>
      <c r="Y29" s="23">
        <f>IFERROR(X29/X148, "NA")</f>
        <v>0</v>
      </c>
      <c r="Z29" s="27">
        <v>0.0</v>
      </c>
      <c r="AA29" s="23">
        <f>IFERROR(Z29/Z148, "NA")</f>
        <v>0</v>
      </c>
      <c r="AB29" s="59">
        <f t="shared" ref="AB29:AB35" si="13">IFERROR((R29+T29+V29+X29)/4, "NA")</f>
        <v>0</v>
      </c>
      <c r="AC29" s="23">
        <f>IFERROR(AB29/AB148, "NA")</f>
        <v>0</v>
      </c>
      <c r="AD29" s="61">
        <f t="shared" ref="AD29:AD35" si="14">IFERROR(X29-AB29, "NA")</f>
        <v>0</v>
      </c>
      <c r="AE29" s="63">
        <f>IFERROR(AD29/AD148, "NA")</f>
        <v>0</v>
      </c>
      <c r="AF29" s="61" t="str">
        <f t="shared" ref="AF29:AF35" si="15">IFERROR((X29-AB29)/AB29, "NA")</f>
        <v>NA</v>
      </c>
      <c r="AG29" s="59">
        <f t="shared" ref="AG29:AG35" si="16">IFERROR((J29+L29+N29+P29+R29+T29+V29+X29)/8, "NA")</f>
        <v>0</v>
      </c>
      <c r="AH29" s="23">
        <f>IFERROR(AG29/AG148, "NA")</f>
        <v>0</v>
      </c>
      <c r="AI29" s="61">
        <f t="shared" ref="AI29:AI35" si="17">IFERROR(X29-AG29, "NA")</f>
        <v>0</v>
      </c>
      <c r="AJ29" s="63">
        <f>IFERROR(AI29/AI148, "NA")</f>
        <v>0</v>
      </c>
      <c r="AK29" s="61" t="str">
        <f t="shared" ref="AK29:AK35" si="18">IFERROR((X29-AG29)/AG29, "NA")</f>
        <v>NA</v>
      </c>
      <c r="AL29" s="63" t="str">
        <f>IFERROR(AK29/AK148, "NA")</f>
        <v>NA</v>
      </c>
    </row>
    <row r="30" ht="16.5" customHeight="1">
      <c r="A30" s="26" t="s">
        <v>87</v>
      </c>
      <c r="B30" s="27">
        <v>1259.31</v>
      </c>
      <c r="C30" s="23">
        <f>IFERROR(B30/B148, "NA")</f>
        <v>0.01004022036</v>
      </c>
      <c r="D30" s="27">
        <v>1780.73</v>
      </c>
      <c r="E30" s="23">
        <f>IFERROR(D30/D148, "NA")</f>
        <v>0.01329484188</v>
      </c>
      <c r="F30" s="27">
        <v>1358.8999999999999</v>
      </c>
      <c r="G30" s="23">
        <f>IFERROR(F30/F148, "NA")</f>
        <v>0.01061593019</v>
      </c>
      <c r="H30" s="27">
        <v>1434.42</v>
      </c>
      <c r="I30" s="23">
        <f>IFERROR(H30/H148, "NA")</f>
        <v>0.01239076279</v>
      </c>
      <c r="J30" s="27">
        <v>1994.1</v>
      </c>
      <c r="K30" s="23">
        <f>IFERROR(J30/J148, "NA")</f>
        <v>0.01475025752</v>
      </c>
      <c r="L30" s="27">
        <v>1231.1100000000001</v>
      </c>
      <c r="M30" s="23">
        <f>IFERROR(L30/L148, "NA")</f>
        <v>0.009712753046</v>
      </c>
      <c r="N30" s="27">
        <v>2090.69</v>
      </c>
      <c r="O30" s="23">
        <f>IFERROR(N30/N148, "NA")</f>
        <v>0.01529190176</v>
      </c>
      <c r="P30" s="27">
        <v>1596.54</v>
      </c>
      <c r="Q30" s="23">
        <f>IFERROR(P30/P148, "NA")</f>
        <v>0.01066546491</v>
      </c>
      <c r="R30" s="27">
        <v>1410.54</v>
      </c>
      <c r="S30" s="23">
        <f>IFERROR(R30/R148, "NA")</f>
        <v>0.01145873943</v>
      </c>
      <c r="T30" s="27">
        <v>1616.5300000000002</v>
      </c>
      <c r="U30" s="23">
        <f>IFERROR(T30/T148, "NA")</f>
        <v>0.009615342292</v>
      </c>
      <c r="V30" s="27">
        <v>1966.42</v>
      </c>
      <c r="W30" s="23">
        <f>IFERROR(V30/V148, "NA")</f>
        <v>0.01182093651</v>
      </c>
      <c r="X30" s="27">
        <v>557.23</v>
      </c>
      <c r="Y30" s="23">
        <f>IFERROR(X30/X148, "NA")</f>
        <v>0.004025289768</v>
      </c>
      <c r="Z30" s="27">
        <v>5550.72</v>
      </c>
      <c r="AA30" s="23">
        <f>IFERROR(Z30/Z148, "NA")</f>
        <v>0.009313287809</v>
      </c>
      <c r="AB30" s="59">
        <f t="shared" si="13"/>
        <v>1387.68</v>
      </c>
      <c r="AC30" s="23">
        <f>IFERROR(AB30/AB148, "NA")</f>
        <v>0.009313287809</v>
      </c>
      <c r="AD30" s="61">
        <f t="shared" si="14"/>
        <v>-830.45</v>
      </c>
      <c r="AE30" s="63">
        <f>IFERROR(AD30/AD148, "NA")</f>
        <v>0.07858348176</v>
      </c>
      <c r="AF30" s="61">
        <f t="shared" si="15"/>
        <v>-0.5984448864</v>
      </c>
      <c r="AG30" s="59">
        <f t="shared" si="16"/>
        <v>1557.895</v>
      </c>
      <c r="AH30" s="23">
        <f>IFERROR(AG30/AG148, "NA")</f>
        <v>0.01089099975</v>
      </c>
      <c r="AI30" s="61">
        <f t="shared" si="17"/>
        <v>-1000.665</v>
      </c>
      <c r="AJ30" s="63">
        <f>IFERROR(AI30/AI148, "NA")</f>
        <v>0.2169703317</v>
      </c>
      <c r="AK30" s="61">
        <f t="shared" si="18"/>
        <v>-0.6423186415</v>
      </c>
      <c r="AL30" s="63">
        <f>IFERROR(AK30/AK148, "NA")</f>
        <v>19.92198482</v>
      </c>
    </row>
    <row r="31" ht="16.5" customHeight="1">
      <c r="A31" s="26" t="s">
        <v>88</v>
      </c>
      <c r="B31" s="27">
        <v>45.42</v>
      </c>
      <c r="C31" s="23">
        <f>IFERROR(B31/B148, "NA")</f>
        <v>0.0003621243448</v>
      </c>
      <c r="D31" s="27">
        <v>29.060000000000002</v>
      </c>
      <c r="E31" s="23">
        <f>IFERROR(D31/D148, "NA")</f>
        <v>0.000216960519</v>
      </c>
      <c r="F31" s="27">
        <v>56.06000000000001</v>
      </c>
      <c r="G31" s="23">
        <f>IFERROR(F31/F148, "NA")</f>
        <v>0.0004379491107</v>
      </c>
      <c r="H31" s="27">
        <v>92.21</v>
      </c>
      <c r="I31" s="23">
        <f>IFERROR(H31/H148, "NA")</f>
        <v>0.0007965255901</v>
      </c>
      <c r="J31" s="27">
        <v>82.44</v>
      </c>
      <c r="K31" s="23">
        <f>IFERROR(J31/J148, "NA")</f>
        <v>0.0006098045386</v>
      </c>
      <c r="L31" s="27">
        <v>67.85000000000001</v>
      </c>
      <c r="M31" s="23">
        <f>IFERROR(L31/L148, "NA")</f>
        <v>0.0005352976535</v>
      </c>
      <c r="N31" s="27">
        <v>112.12</v>
      </c>
      <c r="O31" s="23">
        <f>IFERROR(N31/N148, "NA")</f>
        <v>0.0008200775943</v>
      </c>
      <c r="P31" s="27">
        <v>29.259999999999998</v>
      </c>
      <c r="Q31" s="23">
        <f>IFERROR(P31/P148, "NA")</f>
        <v>0.0001954673878</v>
      </c>
      <c r="R31" s="27">
        <v>63.17</v>
      </c>
      <c r="S31" s="23">
        <f>IFERROR(R31/R148, "NA")</f>
        <v>0.0005131712464</v>
      </c>
      <c r="T31" s="27">
        <v>72.48</v>
      </c>
      <c r="U31" s="23">
        <f>IFERROR(T31/T148, "NA")</f>
        <v>0.0004311209871</v>
      </c>
      <c r="V31" s="27">
        <v>37.89</v>
      </c>
      <c r="W31" s="23">
        <f>IFERROR(V31/V148, "NA")</f>
        <v>0.000227771933</v>
      </c>
      <c r="X31" s="27">
        <v>48.86</v>
      </c>
      <c r="Y31" s="23">
        <f>IFERROR(X31/X148, "NA")</f>
        <v>0.000352952386</v>
      </c>
      <c r="Z31" s="27">
        <v>222.4</v>
      </c>
      <c r="AA31" s="23">
        <f>IFERROR(Z31/Z148, "NA")</f>
        <v>0.0003731543311</v>
      </c>
      <c r="AB31" s="59">
        <f t="shared" si="13"/>
        <v>55.6</v>
      </c>
      <c r="AC31" s="23">
        <f>IFERROR(AB31/AB148, "NA")</f>
        <v>0.0003731543311</v>
      </c>
      <c r="AD31" s="61">
        <f t="shared" si="14"/>
        <v>-6.74</v>
      </c>
      <c r="AE31" s="63">
        <f>IFERROR(AD31/AD148, "NA")</f>
        <v>0.0006377899537</v>
      </c>
      <c r="AF31" s="61">
        <f t="shared" si="15"/>
        <v>-0.1212230216</v>
      </c>
      <c r="AG31" s="59">
        <f t="shared" si="16"/>
        <v>64.25875</v>
      </c>
      <c r="AH31" s="23">
        <f>IFERROR(AG31/AG148, "NA")</f>
        <v>0.0004492228489</v>
      </c>
      <c r="AI31" s="61">
        <f t="shared" si="17"/>
        <v>-15.39875</v>
      </c>
      <c r="AJ31" s="63">
        <f>IFERROR(AI31/AI148, "NA")</f>
        <v>0.003338851559</v>
      </c>
      <c r="AK31" s="61">
        <f t="shared" si="18"/>
        <v>-0.2396366254</v>
      </c>
      <c r="AL31" s="63">
        <f>IFERROR(AK31/AK148, "NA")</f>
        <v>7.432506086</v>
      </c>
    </row>
    <row r="32" ht="16.5" customHeight="1">
      <c r="A32" s="26" t="s">
        <v>89</v>
      </c>
      <c r="B32" s="27">
        <v>59.599999999999994</v>
      </c>
      <c r="C32" s="23">
        <f>IFERROR(B32/B148, "NA")</f>
        <v>0.0004751785767</v>
      </c>
      <c r="D32" s="27">
        <v>-1.4</v>
      </c>
      <c r="E32" s="23">
        <f>IFERROR(D32/D148, "NA")</f>
        <v>-0.00001045233058</v>
      </c>
      <c r="F32" s="27">
        <v>1.6</v>
      </c>
      <c r="G32" s="23">
        <f>IFERROR(F32/F148, "NA")</f>
        <v>0.00001249943948</v>
      </c>
      <c r="H32" s="27">
        <v>1.44</v>
      </c>
      <c r="I32" s="23">
        <f>IFERROR(H32/H148, "NA")</f>
        <v>0.00001243896378</v>
      </c>
      <c r="J32" s="27">
        <v>1.56</v>
      </c>
      <c r="K32" s="23">
        <f>IFERROR(J32/J148, "NA")</f>
        <v>0.00001153924163</v>
      </c>
      <c r="L32" s="27">
        <v>2.79</v>
      </c>
      <c r="M32" s="23">
        <f>IFERROR(L32/L148, "NA")</f>
        <v>0.00002201150263</v>
      </c>
      <c r="N32" s="27">
        <v>1.2</v>
      </c>
      <c r="O32" s="23">
        <f>IFERROR(N32/N148, "NA")</f>
        <v>0.000008777141573</v>
      </c>
      <c r="P32" s="27">
        <v>158.75</v>
      </c>
      <c r="Q32" s="23">
        <f>IFERROR(P32/P148, "NA")</f>
        <v>0.001060507444</v>
      </c>
      <c r="R32" s="27">
        <v>-2.8099999999999996</v>
      </c>
      <c r="S32" s="23">
        <f>IFERROR(R32/R148, "NA")</f>
        <v>-0.00002282746877</v>
      </c>
      <c r="T32" s="27">
        <v>-0.3899999999999999</v>
      </c>
      <c r="U32" s="23">
        <f>IFERROR(T32/T148, "NA")</f>
        <v>-0.000002319773523</v>
      </c>
      <c r="V32" s="27">
        <v>-30.7</v>
      </c>
      <c r="W32" s="23">
        <f>IFERROR(V32/V148, "NA")</f>
        <v>-0.0001845499695</v>
      </c>
      <c r="X32" s="27">
        <v>28.5</v>
      </c>
      <c r="Y32" s="23">
        <f>IFERROR(X32/X148, "NA")</f>
        <v>0.0002058768523</v>
      </c>
      <c r="Z32" s="27">
        <v>-5.4</v>
      </c>
      <c r="AA32" s="23">
        <f>IFERROR(Z32/Z148, "NA")</f>
        <v>-0.000009060401924</v>
      </c>
      <c r="AB32" s="59">
        <f t="shared" si="13"/>
        <v>-1.35</v>
      </c>
      <c r="AC32" s="23">
        <f>IFERROR(AB32/AB148, "NA")</f>
        <v>-0.000009060401924</v>
      </c>
      <c r="AD32" s="61">
        <f t="shared" si="14"/>
        <v>29.85</v>
      </c>
      <c r="AE32" s="63">
        <f>IFERROR(AD32/AD148, "NA")</f>
        <v>-0.002824633549</v>
      </c>
      <c r="AF32" s="61">
        <f t="shared" si="15"/>
        <v>-22.11111111</v>
      </c>
      <c r="AG32" s="59">
        <f t="shared" si="16"/>
        <v>19.8625</v>
      </c>
      <c r="AH32" s="23">
        <f>IFERROR(AG32/AG148, "NA")</f>
        <v>0.0001388556241</v>
      </c>
      <c r="AI32" s="61">
        <f t="shared" si="17"/>
        <v>8.6375</v>
      </c>
      <c r="AJ32" s="63">
        <f>IFERROR(AI32/AI148, "NA")</f>
        <v>-0.001872835804</v>
      </c>
      <c r="AK32" s="61">
        <f t="shared" si="18"/>
        <v>0.4348646948</v>
      </c>
      <c r="AL32" s="63">
        <f>IFERROR(AK32/AK148, "NA")</f>
        <v>-13.48764817</v>
      </c>
    </row>
    <row r="33" ht="16.5" customHeight="1">
      <c r="A33" s="26" t="s">
        <v>90</v>
      </c>
      <c r="B33" s="27">
        <v>3.35</v>
      </c>
      <c r="C33" s="23">
        <f>IFERROR(B33/B148, "NA")</f>
        <v>0.00002670886295</v>
      </c>
      <c r="D33" s="27">
        <v>0.27</v>
      </c>
      <c r="E33" s="23">
        <f>IFERROR(D33/D148, "NA")</f>
        <v>0.000002015806612</v>
      </c>
      <c r="F33" s="27">
        <v>6.58</v>
      </c>
      <c r="G33" s="23">
        <f>IFERROR(F33/F148, "NA")</f>
        <v>0.00005140394485</v>
      </c>
      <c r="H33" s="27">
        <v>6.89</v>
      </c>
      <c r="I33" s="23">
        <f>IFERROR(H33/H148, "NA")</f>
        <v>0.0000595169864</v>
      </c>
      <c r="J33" s="27">
        <v>9.82</v>
      </c>
      <c r="K33" s="23">
        <f>IFERROR(J33/J148, "NA")</f>
        <v>0.00007263804668</v>
      </c>
      <c r="L33" s="27">
        <v>0.0</v>
      </c>
      <c r="M33" s="23">
        <f>IFERROR(L33/L148, "NA")</f>
        <v>0</v>
      </c>
      <c r="N33" s="27">
        <v>27.75</v>
      </c>
      <c r="O33" s="23">
        <f>IFERROR(N33/N148, "NA")</f>
        <v>0.0002029713989</v>
      </c>
      <c r="P33" s="27">
        <v>-4.07</v>
      </c>
      <c r="Q33" s="23">
        <f>IFERROR(P33/P148, "NA")</f>
        <v>-0.00002718907275</v>
      </c>
      <c r="R33" s="27">
        <v>6.600000000000001</v>
      </c>
      <c r="S33" s="23">
        <f>IFERROR(R33/R148, "NA")</f>
        <v>0.00005361611883</v>
      </c>
      <c r="T33" s="27">
        <v>85.06</v>
      </c>
      <c r="U33" s="23">
        <f>IFERROR(T33/T148, "NA")</f>
        <v>0.0005059485536</v>
      </c>
      <c r="V33" s="27">
        <v>-78.02</v>
      </c>
      <c r="W33" s="23">
        <f>IFERROR(V33/V148, "NA")</f>
        <v>-0.0004690094013</v>
      </c>
      <c r="X33" s="27">
        <v>-13.72</v>
      </c>
      <c r="Y33" s="23">
        <f>IFERROR(X33/X148, "NA")</f>
        <v>-0.00009910983906</v>
      </c>
      <c r="Z33" s="27">
        <v>-0.0799999999999983</v>
      </c>
      <c r="AA33" s="23">
        <f>IFERROR(Z33/Z148, "NA")</f>
        <v>-0.0000001342281767</v>
      </c>
      <c r="AB33" s="59">
        <f t="shared" si="13"/>
        <v>-0.02</v>
      </c>
      <c r="AC33" s="23">
        <f>IFERROR(AB33/AB148, "NA")</f>
        <v>-0.0000001342281767</v>
      </c>
      <c r="AD33" s="61">
        <f t="shared" si="14"/>
        <v>-13.7</v>
      </c>
      <c r="AE33" s="63">
        <f>IFERROR(AD33/AD148, "NA")</f>
        <v>0.001296397977</v>
      </c>
      <c r="AF33" s="61">
        <f t="shared" si="15"/>
        <v>685</v>
      </c>
      <c r="AG33" s="59">
        <f t="shared" si="16"/>
        <v>4.1775</v>
      </c>
      <c r="AH33" s="23">
        <f>IFERROR(AG33/AG148, "NA")</f>
        <v>0.00002920424769</v>
      </c>
      <c r="AI33" s="61">
        <f t="shared" si="17"/>
        <v>-17.8975</v>
      </c>
      <c r="AJ33" s="63">
        <f>IFERROR(AI33/AI148, "NA")</f>
        <v>0.003880645882</v>
      </c>
      <c r="AK33" s="61">
        <f t="shared" si="18"/>
        <v>-4.284260922</v>
      </c>
      <c r="AL33" s="63">
        <f>IFERROR(AK33/AK148, "NA")</f>
        <v>132.8795017</v>
      </c>
    </row>
    <row r="34" ht="16.5" customHeight="1">
      <c r="A34" s="66" t="s">
        <v>91</v>
      </c>
      <c r="B34" s="67">
        <f>IFERROR(B29+B30+B31+B32+B33, "NA")</f>
        <v>1367.68</v>
      </c>
      <c r="C34" s="69">
        <f>IFERROR(B34/B148, "NA")</f>
        <v>0.01090423214</v>
      </c>
      <c r="D34" s="67">
        <f>IFERROR(D29+D30+D31+D32+D33, "NA")</f>
        <v>1808.66</v>
      </c>
      <c r="E34" s="69">
        <f>IFERROR(D34/D148, "NA")</f>
        <v>0.01350336587</v>
      </c>
      <c r="F34" s="67">
        <f>IFERROR(F29+F30+F31+F32+F33, "NA")</f>
        <v>1423.14</v>
      </c>
      <c r="G34" s="69">
        <f>IFERROR(F34/F148, "NA")</f>
        <v>0.01111778269</v>
      </c>
      <c r="H34" s="67">
        <f>IFERROR(H29+H30+H31+H32+H33, "NA")</f>
        <v>1534.96</v>
      </c>
      <c r="I34" s="69">
        <f>IFERROR(H34/H148, "NA")</f>
        <v>0.01325924433</v>
      </c>
      <c r="J34" s="67">
        <f>IFERROR(J29+J30+J31+J32+J33, "NA")</f>
        <v>2087.92</v>
      </c>
      <c r="K34" s="69">
        <f>IFERROR(J34/J148, "NA")</f>
        <v>0.01544423935</v>
      </c>
      <c r="L34" s="67">
        <f>IFERROR(L29+L30+L31+L32+L33, "NA")</f>
        <v>1301.75</v>
      </c>
      <c r="M34" s="69">
        <f>IFERROR(L34/L148, "NA")</f>
        <v>0.0102700622</v>
      </c>
      <c r="N34" s="67">
        <f>IFERROR(N29+N30+N31+N32+N33, "NA")</f>
        <v>2231.76</v>
      </c>
      <c r="O34" s="69">
        <f>IFERROR(N34/N148, "NA")</f>
        <v>0.0163237279</v>
      </c>
      <c r="P34" s="67">
        <f>IFERROR(P29+P30+P31+P32+P33, "NA")</f>
        <v>1780.48</v>
      </c>
      <c r="Q34" s="69">
        <f>IFERROR(P34/P148, "NA")</f>
        <v>0.01189425067</v>
      </c>
      <c r="R34" s="67">
        <f>IFERROR(R29+R30+R31+R32+R33, "NA")</f>
        <v>1477.5</v>
      </c>
      <c r="S34" s="69">
        <f>IFERROR(R34/R148, "NA")</f>
        <v>0.01200269933</v>
      </c>
      <c r="T34" s="67">
        <f>IFERROR(T29+T30+T31+T32+T33, "NA")</f>
        <v>1773.68</v>
      </c>
      <c r="U34" s="69">
        <f>IFERROR(T34/T148, "NA")</f>
        <v>0.01055009206</v>
      </c>
      <c r="V34" s="67">
        <f>IFERROR(V29+V30+V31+V32+V33, "NA")</f>
        <v>1895.59</v>
      </c>
      <c r="W34" s="69">
        <f>IFERROR(V34/V148, "NA")</f>
        <v>0.01139514908</v>
      </c>
      <c r="X34" s="67">
        <f>IFERROR(X29+X30+X31+X32+X33, "NA")</f>
        <v>620.87</v>
      </c>
      <c r="Y34" s="69">
        <f>IFERROR(X34/X148, "NA")</f>
        <v>0.004485009167</v>
      </c>
      <c r="Z34" s="67">
        <f>IFERROR(Z29+Z30+Z31+Z32+Z33, "NA")</f>
        <v>5767.64</v>
      </c>
      <c r="AA34" s="69">
        <f>IFERROR(Z34/Z148, "NA")</f>
        <v>0.00967724751</v>
      </c>
      <c r="AB34" s="67">
        <f t="shared" si="13"/>
        <v>1441.91</v>
      </c>
      <c r="AC34" s="69">
        <f>IFERROR(AB34/AB148, "NA")</f>
        <v>0.00967724751</v>
      </c>
      <c r="AD34" s="70">
        <f t="shared" si="14"/>
        <v>-821.04</v>
      </c>
      <c r="AE34" s="71">
        <f>IFERROR(AD34/AD148, "NA")</f>
        <v>0.07769303614</v>
      </c>
      <c r="AF34" s="70">
        <f t="shared" si="15"/>
        <v>-0.5694114057</v>
      </c>
      <c r="AG34" s="67">
        <f t="shared" si="16"/>
        <v>1646.19375</v>
      </c>
      <c r="AH34" s="69">
        <f>IFERROR(AG34/AG148, "NA")</f>
        <v>0.01150828247</v>
      </c>
      <c r="AI34" s="70">
        <f t="shared" si="17"/>
        <v>-1025.32375</v>
      </c>
      <c r="AJ34" s="71">
        <f>IFERROR(AI34/AI148, "NA")</f>
        <v>0.2223169933</v>
      </c>
      <c r="AK34" s="70">
        <f t="shared" si="18"/>
        <v>-0.6228451238</v>
      </c>
      <c r="AL34" s="71">
        <f>IFERROR(AK34/AK148, "NA")</f>
        <v>19.31799935</v>
      </c>
    </row>
    <row r="35" ht="16.5" customHeight="1">
      <c r="A35" s="66" t="s">
        <v>93</v>
      </c>
      <c r="B35" s="67">
        <f>IFERROR(B13+B15+B16+B17+B18+B19+B20+B21+B22+B23+B24+B25+B26+B29+B30+B31+B32+B33, "NA")</f>
        <v>29776.51</v>
      </c>
      <c r="C35" s="69">
        <f>IFERROR(B35/B148, "NA")</f>
        <v>0.2374020074</v>
      </c>
      <c r="D35" s="67">
        <f>IFERROR(D13+D15+D16+D17+D18+D19+D20+D21+D22+D23+D24+D25+D26+D29+D30+D31+D32+D33, "NA")</f>
        <v>32742.1</v>
      </c>
      <c r="E35" s="69">
        <f>IFERROR(D35/D148, "NA")</f>
        <v>0.244450895</v>
      </c>
      <c r="F35" s="67">
        <f>IFERROR(F13+F15+F16+F17+F18+F19+F20+F21+F22+F23+F24+F25+F26+F29+F30+F31+F32+F33, "NA")</f>
        <v>30278.11</v>
      </c>
      <c r="G35" s="69">
        <f>IFERROR(F35/F148, "NA")</f>
        <v>0.2365371272</v>
      </c>
      <c r="H35" s="67">
        <f>IFERROR(H13+H15+H16+H17+H18+H19+H20+H21+H22+H23+H24+H25+H26+H29+H30+H31+H32+H33, "NA")</f>
        <v>28672.56</v>
      </c>
      <c r="I35" s="69">
        <f>IFERROR(H35/H148, "NA")</f>
        <v>0.2476784272</v>
      </c>
      <c r="J35" s="67">
        <f>IFERROR(J13+J15+J16+J17+J18+J19+J20+J21+J22+J23+J24+J25+J26+J29+J30+J31+J32+J33, "NA")</f>
        <v>32399.8</v>
      </c>
      <c r="K35" s="69">
        <f>IFERROR(J35/J148, "NA")</f>
        <v>0.239659693</v>
      </c>
      <c r="L35" s="67">
        <f>IFERROR(L13+L15+L16+L17+L18+L19+L20+L21+L22+L23+L24+L25+L26+L29+L30+L31+L32+L33, "NA")</f>
        <v>28736.38</v>
      </c>
      <c r="M35" s="69">
        <f>IFERROR(L35/L148, "NA")</f>
        <v>0.2267135856</v>
      </c>
      <c r="N35" s="67">
        <f>IFERROR(N13+N15+N16+N17+N18+N19+N20+N21+N22+N23+N24+N25+N26+N29+N30+N31+N32+N33, "NA")</f>
        <v>31982.02</v>
      </c>
      <c r="O35" s="69">
        <f>IFERROR(N35/N148, "NA")</f>
        <v>0.2339255978</v>
      </c>
      <c r="P35" s="67">
        <f>IFERROR(P13+P15+P16+P17+P18+P19+P20+P21+P22+P23+P24+P25+P26+P29+P30+P31+P32+P33, "NA")</f>
        <v>33268.42</v>
      </c>
      <c r="Q35" s="69">
        <f>IFERROR(P35/P148, "NA")</f>
        <v>0.2222450839</v>
      </c>
      <c r="R35" s="67">
        <f>IFERROR(R13+R15+R16+R17+R18+R19+R20+R21+R22+R23+R24+R25+R26+R29+R30+R31+R32+R33, "NA")</f>
        <v>27244.57</v>
      </c>
      <c r="S35" s="69">
        <f>IFERROR(R35/R148, "NA")</f>
        <v>0.2213254701</v>
      </c>
      <c r="T35" s="67">
        <f>IFERROR(T13+T15+T16+T17+T18+T19+T20+T21+T22+T23+T24+T25+T26+T29+T30+T31+T32+T33, "NA")</f>
        <v>35433.64</v>
      </c>
      <c r="U35" s="69">
        <f>IFERROR(T35/T148, "NA")</f>
        <v>0.2107641536</v>
      </c>
      <c r="V35" s="67">
        <f>IFERROR(V13+V15+V16+V17+V18+V19+V20+V21+V22+V23+V24+V25+V26+V29+V30+V31+V32+V33, "NA")</f>
        <v>34375.07</v>
      </c>
      <c r="W35" s="69">
        <f>IFERROR(V35/V148, "NA")</f>
        <v>0.206642284</v>
      </c>
      <c r="X35" s="67">
        <f>IFERROR(X13+X15+X16+X17+X18+X19+X20+X21+X22+X23+X24+X25+X26+X29+X30+X31+X32+X33, "NA")</f>
        <v>28484.55</v>
      </c>
      <c r="Y35" s="69">
        <f>IFERROR(X35/X148, "NA")</f>
        <v>0.2057652453</v>
      </c>
      <c r="Z35" s="67">
        <f>IFERROR(Z13+Z15+Z16+Z17+Z18+Z19+Z20+Z21+Z22+Z23+Z24+Z25+Z26+Z29+Z30+Z31+Z32+Z33, "NA")</f>
        <v>125537.83</v>
      </c>
      <c r="AA35" s="69">
        <f>IFERROR(Z35/Z148, "NA")</f>
        <v>0.2106339253</v>
      </c>
      <c r="AB35" s="67">
        <f t="shared" si="13"/>
        <v>31384.4575</v>
      </c>
      <c r="AC35" s="69">
        <f>IFERROR(AB35/AB148, "NA")</f>
        <v>0.2106339253</v>
      </c>
      <c r="AD35" s="70">
        <f t="shared" si="14"/>
        <v>-2899.9075</v>
      </c>
      <c r="AE35" s="71">
        <f>IFERROR(AD35/AD148, "NA")</f>
        <v>0.2744112567</v>
      </c>
      <c r="AF35" s="70">
        <f t="shared" si="15"/>
        <v>-0.09239947831</v>
      </c>
      <c r="AG35" s="67">
        <f t="shared" si="16"/>
        <v>31490.55625</v>
      </c>
      <c r="AH35" s="69">
        <f>IFERROR(AG35/AG148, "NA")</f>
        <v>0.2201455427</v>
      </c>
      <c r="AI35" s="70">
        <f t="shared" si="17"/>
        <v>-3006.00625</v>
      </c>
      <c r="AJ35" s="71">
        <f>IFERROR(AI35/AI148, "NA")</f>
        <v>0.6517807389</v>
      </c>
      <c r="AK35" s="70">
        <f t="shared" si="18"/>
        <v>-0.09545738812</v>
      </c>
      <c r="AL35" s="71">
        <f>IFERROR(AK35/AK148, "NA")</f>
        <v>2.960681061</v>
      </c>
    </row>
    <row r="36" ht="16.5" customHeight="1">
      <c r="A36" s="17" t="s">
        <v>94</v>
      </c>
      <c r="B36" s="19"/>
      <c r="C36" s="13"/>
      <c r="D36" s="19"/>
      <c r="E36" s="13"/>
      <c r="F36" s="19"/>
      <c r="G36" s="13"/>
      <c r="H36" s="19"/>
      <c r="I36" s="13"/>
      <c r="J36" s="19"/>
      <c r="K36" s="13"/>
      <c r="L36" s="19"/>
      <c r="M36" s="13"/>
      <c r="N36" s="19"/>
      <c r="O36" s="13"/>
      <c r="P36" s="19"/>
      <c r="Q36" s="13"/>
      <c r="R36" s="19"/>
      <c r="S36" s="13"/>
      <c r="T36" s="19"/>
      <c r="U36" s="13"/>
      <c r="V36" s="19"/>
      <c r="W36" s="13"/>
      <c r="X36" s="19"/>
      <c r="Y36" s="13"/>
      <c r="Z36" s="19"/>
      <c r="AA36" s="13"/>
      <c r="AB36" s="19"/>
      <c r="AC36" s="13"/>
      <c r="AD36" s="24"/>
      <c r="AE36" s="25"/>
      <c r="AF36" s="24"/>
      <c r="AG36" s="19"/>
      <c r="AH36" s="13"/>
      <c r="AI36" s="24"/>
      <c r="AJ36" s="25"/>
      <c r="AK36" s="24"/>
      <c r="AL36" s="25"/>
    </row>
    <row r="37" ht="16.5" hidden="1" customHeight="1">
      <c r="A37" s="26" t="s">
        <v>95</v>
      </c>
      <c r="B37" s="27">
        <v>0.0</v>
      </c>
      <c r="C37" s="23">
        <f>IFERROR(B37/B148, "NA")</f>
        <v>0</v>
      </c>
      <c r="D37" s="27">
        <v>0.0</v>
      </c>
      <c r="E37" s="23">
        <f>IFERROR(D37/D148, "NA")</f>
        <v>0</v>
      </c>
      <c r="F37" s="27">
        <v>0.0</v>
      </c>
      <c r="G37" s="23">
        <f>IFERROR(F37/F148, "NA")</f>
        <v>0</v>
      </c>
      <c r="H37" s="27">
        <v>0.0</v>
      </c>
      <c r="I37" s="23">
        <f>IFERROR(H37/H148, "NA")</f>
        <v>0</v>
      </c>
      <c r="J37" s="27">
        <v>0.0</v>
      </c>
      <c r="K37" s="23">
        <f>IFERROR(J37/J148, "NA")</f>
        <v>0</v>
      </c>
      <c r="L37" s="27">
        <v>0.0</v>
      </c>
      <c r="M37" s="23">
        <f>IFERROR(L37/L148, "NA")</f>
        <v>0</v>
      </c>
      <c r="N37" s="27">
        <v>0.0</v>
      </c>
      <c r="O37" s="23">
        <f>IFERROR(N37/N148, "NA")</f>
        <v>0</v>
      </c>
      <c r="P37" s="27">
        <v>0.0</v>
      </c>
      <c r="Q37" s="23">
        <f>IFERROR(P37/P148, "NA")</f>
        <v>0</v>
      </c>
      <c r="R37" s="27">
        <v>0.0</v>
      </c>
      <c r="S37" s="23">
        <f>IFERROR(R37/R148, "NA")</f>
        <v>0</v>
      </c>
      <c r="T37" s="27">
        <v>0.0</v>
      </c>
      <c r="U37" s="23">
        <f>IFERROR(T37/T148, "NA")</f>
        <v>0</v>
      </c>
      <c r="V37" s="27">
        <v>0.0</v>
      </c>
      <c r="W37" s="23">
        <f>IFERROR(V37/V148, "NA")</f>
        <v>0</v>
      </c>
      <c r="X37" s="27">
        <v>0.0</v>
      </c>
      <c r="Y37" s="23">
        <f>IFERROR(X37/X148, "NA")</f>
        <v>0</v>
      </c>
      <c r="Z37" s="27">
        <v>0.0</v>
      </c>
      <c r="AA37" s="23">
        <f>IFERROR(Z37/Z148, "NA")</f>
        <v>0</v>
      </c>
      <c r="AB37" s="59">
        <f>IFERROR((R37+T37+V37+X37)/4, "NA")</f>
        <v>0</v>
      </c>
      <c r="AC37" s="23">
        <f>IFERROR(AB37/AB148, "NA")</f>
        <v>0</v>
      </c>
      <c r="AD37" s="61">
        <f>IFERROR(X37-AB37, "NA")</f>
        <v>0</v>
      </c>
      <c r="AE37" s="63">
        <f>IFERROR(AD37/AD148, "NA")</f>
        <v>0</v>
      </c>
      <c r="AF37" s="61" t="str">
        <f>IFERROR((X37-AB37)/AB37, "NA")</f>
        <v>NA</v>
      </c>
      <c r="AG37" s="59">
        <f>IFERROR((J37+L37+N37+P37+R37+T37+V37+X37)/8, "NA")</f>
        <v>0</v>
      </c>
      <c r="AH37" s="23">
        <f>IFERROR(AG37/AG148, "NA")</f>
        <v>0</v>
      </c>
      <c r="AI37" s="61">
        <f>IFERROR(X37-AG37, "NA")</f>
        <v>0</v>
      </c>
      <c r="AJ37" s="63">
        <f>IFERROR(AI37/AI148, "NA")</f>
        <v>0</v>
      </c>
      <c r="AK37" s="61" t="str">
        <f>IFERROR((X37-AG37)/AG37, "NA")</f>
        <v>NA</v>
      </c>
      <c r="AL37" s="63" t="str">
        <f>IFERROR(AK37/AK148, "NA")</f>
        <v>NA</v>
      </c>
    </row>
    <row r="38" ht="16.5" customHeight="1">
      <c r="A38" s="17" t="s">
        <v>96</v>
      </c>
      <c r="B38" s="19"/>
      <c r="C38" s="13"/>
      <c r="D38" s="19"/>
      <c r="E38" s="13"/>
      <c r="F38" s="19"/>
      <c r="G38" s="13"/>
      <c r="H38" s="19"/>
      <c r="I38" s="13"/>
      <c r="J38" s="19"/>
      <c r="K38" s="13"/>
      <c r="L38" s="19"/>
      <c r="M38" s="13"/>
      <c r="N38" s="19"/>
      <c r="O38" s="13"/>
      <c r="P38" s="19"/>
      <c r="Q38" s="13"/>
      <c r="R38" s="19"/>
      <c r="S38" s="13"/>
      <c r="T38" s="19"/>
      <c r="U38" s="13"/>
      <c r="V38" s="19"/>
      <c r="W38" s="13"/>
      <c r="X38" s="19"/>
      <c r="Y38" s="13"/>
      <c r="Z38" s="19"/>
      <c r="AA38" s="13"/>
      <c r="AB38" s="19"/>
      <c r="AC38" s="13"/>
      <c r="AD38" s="24"/>
      <c r="AE38" s="25"/>
      <c r="AF38" s="24"/>
      <c r="AG38" s="19"/>
      <c r="AH38" s="13"/>
      <c r="AI38" s="24"/>
      <c r="AJ38" s="25"/>
      <c r="AK38" s="24"/>
      <c r="AL38" s="25"/>
    </row>
    <row r="39" ht="16.5" hidden="1" customHeight="1">
      <c r="A39" s="26" t="s">
        <v>97</v>
      </c>
      <c r="B39" s="27">
        <v>0.0</v>
      </c>
      <c r="C39" s="23">
        <f>IFERROR(B39/B148, "NA")</f>
        <v>0</v>
      </c>
      <c r="D39" s="27">
        <v>0.0</v>
      </c>
      <c r="E39" s="23">
        <f>IFERROR(D39/D148, "NA")</f>
        <v>0</v>
      </c>
      <c r="F39" s="27">
        <v>0.0</v>
      </c>
      <c r="G39" s="23">
        <f>IFERROR(F39/F148, "NA")</f>
        <v>0</v>
      </c>
      <c r="H39" s="27">
        <v>0.0</v>
      </c>
      <c r="I39" s="23">
        <f>IFERROR(H39/H148, "NA")</f>
        <v>0</v>
      </c>
      <c r="J39" s="27">
        <v>0.0</v>
      </c>
      <c r="K39" s="23">
        <f>IFERROR(J39/J148, "NA")</f>
        <v>0</v>
      </c>
      <c r="L39" s="27">
        <v>0.0</v>
      </c>
      <c r="M39" s="23">
        <f>IFERROR(L39/L148, "NA")</f>
        <v>0</v>
      </c>
      <c r="N39" s="27">
        <v>0.0</v>
      </c>
      <c r="O39" s="23">
        <f>IFERROR(N39/N148, "NA")</f>
        <v>0</v>
      </c>
      <c r="P39" s="27">
        <v>0.0</v>
      </c>
      <c r="Q39" s="23">
        <f>IFERROR(P39/P148, "NA")</f>
        <v>0</v>
      </c>
      <c r="R39" s="27">
        <v>0.0</v>
      </c>
      <c r="S39" s="23">
        <f>IFERROR(R39/R148, "NA")</f>
        <v>0</v>
      </c>
      <c r="T39" s="27">
        <v>0.0</v>
      </c>
      <c r="U39" s="23">
        <f>IFERROR(T39/T148, "NA")</f>
        <v>0</v>
      </c>
      <c r="V39" s="27">
        <v>0.0</v>
      </c>
      <c r="W39" s="23">
        <f>IFERROR(V39/V148, "NA")</f>
        <v>0</v>
      </c>
      <c r="X39" s="27">
        <v>0.0</v>
      </c>
      <c r="Y39" s="23">
        <f>IFERROR(X39/X148, "NA")</f>
        <v>0</v>
      </c>
      <c r="Z39" s="27">
        <v>0.0</v>
      </c>
      <c r="AA39" s="23">
        <f>IFERROR(Z39/Z148, "NA")</f>
        <v>0</v>
      </c>
      <c r="AB39" s="59">
        <f t="shared" ref="AB39:AB44" si="19">IFERROR((R39+T39+V39+X39)/4, "NA")</f>
        <v>0</v>
      </c>
      <c r="AC39" s="23">
        <f>IFERROR(AB39/AB148, "NA")</f>
        <v>0</v>
      </c>
      <c r="AD39" s="61">
        <f t="shared" ref="AD39:AD44" si="20">IFERROR(X39-AB39, "NA")</f>
        <v>0</v>
      </c>
      <c r="AE39" s="63">
        <f>IFERROR(AD39/AD148, "NA")</f>
        <v>0</v>
      </c>
      <c r="AF39" s="61" t="str">
        <f t="shared" ref="AF39:AF44" si="21">IFERROR((X39-AB39)/AB39, "NA")</f>
        <v>NA</v>
      </c>
      <c r="AG39" s="59">
        <f t="shared" ref="AG39:AG44" si="22">IFERROR((J39+L39+N39+P39+R39+T39+V39+X39)/8, "NA")</f>
        <v>0</v>
      </c>
      <c r="AH39" s="23">
        <f>IFERROR(AG39/AG148, "NA")</f>
        <v>0</v>
      </c>
      <c r="AI39" s="61">
        <f t="shared" ref="AI39:AI44" si="23">IFERROR(X39-AG39, "NA")</f>
        <v>0</v>
      </c>
      <c r="AJ39" s="63">
        <f>IFERROR(AI39/AI148, "NA")</f>
        <v>0</v>
      </c>
      <c r="AK39" s="61" t="str">
        <f t="shared" ref="AK39:AK44" si="24">IFERROR((X39-AG39)/AG39, "NA")</f>
        <v>NA</v>
      </c>
      <c r="AL39" s="63" t="str">
        <f>IFERROR(AK39/AK148, "NA")</f>
        <v>NA</v>
      </c>
    </row>
    <row r="40" ht="16.5" customHeight="1">
      <c r="A40" s="26" t="s">
        <v>98</v>
      </c>
      <c r="B40" s="27">
        <v>3641.4700000000003</v>
      </c>
      <c r="C40" s="23">
        <f>IFERROR(B40/B148, "NA")</f>
        <v>0.02903269348</v>
      </c>
      <c r="D40" s="27">
        <v>3923.86</v>
      </c>
      <c r="E40" s="23">
        <f>IFERROR(D40/D148, "NA")</f>
        <v>0.02929534419</v>
      </c>
      <c r="F40" s="27">
        <v>3993.36</v>
      </c>
      <c r="G40" s="23">
        <f>IFERROR(F40/F148, "NA")</f>
        <v>0.03119672602</v>
      </c>
      <c r="H40" s="27">
        <v>3186.51</v>
      </c>
      <c r="I40" s="23">
        <f>IFERROR(H40/H148, "NA")</f>
        <v>0.02752561282</v>
      </c>
      <c r="J40" s="27">
        <v>3693.2099999999996</v>
      </c>
      <c r="K40" s="23">
        <f>IFERROR(J40/J148, "NA")</f>
        <v>0.02731848884</v>
      </c>
      <c r="L40" s="27">
        <v>3889.5200000000004</v>
      </c>
      <c r="M40" s="23">
        <f>IFERROR(L40/L148, "NA")</f>
        <v>0.03068608591</v>
      </c>
      <c r="N40" s="27">
        <v>3192.06</v>
      </c>
      <c r="O40" s="23">
        <f>IFERROR(N40/N148, "NA")</f>
        <v>0.02334763544</v>
      </c>
      <c r="P40" s="27">
        <v>4103.48</v>
      </c>
      <c r="Q40" s="23">
        <f>IFERROR(P40/P148, "NA")</f>
        <v>0.02741273126</v>
      </c>
      <c r="R40" s="27">
        <v>3662.3900000000003</v>
      </c>
      <c r="S40" s="23">
        <f>IFERROR(R40/R148, "NA")</f>
        <v>0.02975199052</v>
      </c>
      <c r="T40" s="27">
        <v>3942.89</v>
      </c>
      <c r="U40" s="23">
        <f>IFERROR(T40/T148, "NA")</f>
        <v>0.02345285084</v>
      </c>
      <c r="V40" s="27">
        <v>3972.9</v>
      </c>
      <c r="W40" s="23">
        <f>IFERROR(V40/V148, "NA")</f>
        <v>0.0238826897</v>
      </c>
      <c r="X40" s="27">
        <v>3558.7200000000003</v>
      </c>
      <c r="Y40" s="23">
        <f>IFERROR(X40/X148, "NA")</f>
        <v>0.02570730076</v>
      </c>
      <c r="Z40" s="27">
        <v>15136.9</v>
      </c>
      <c r="AA40" s="23">
        <f>IFERROR(Z40/Z148, "NA")</f>
        <v>0.02539748109</v>
      </c>
      <c r="AB40" s="59">
        <f t="shared" si="19"/>
        <v>3784.225</v>
      </c>
      <c r="AC40" s="23">
        <f>IFERROR(AB40/AB148, "NA")</f>
        <v>0.02539748109</v>
      </c>
      <c r="AD40" s="61">
        <f t="shared" si="20"/>
        <v>-225.505</v>
      </c>
      <c r="AE40" s="63">
        <f>IFERROR(AD40/AD148, "NA")</f>
        <v>0.02133899459</v>
      </c>
      <c r="AF40" s="61">
        <f t="shared" si="21"/>
        <v>-0.05959080129</v>
      </c>
      <c r="AG40" s="59">
        <f t="shared" si="22"/>
        <v>3751.89625</v>
      </c>
      <c r="AH40" s="23">
        <f>IFERROR(AG40/AG148, "NA")</f>
        <v>0.02622891859</v>
      </c>
      <c r="AI40" s="61">
        <f t="shared" si="23"/>
        <v>-193.17625</v>
      </c>
      <c r="AJ40" s="63">
        <f>IFERROR(AI40/AI148, "NA")</f>
        <v>0.04188566107</v>
      </c>
      <c r="AK40" s="61">
        <f t="shared" si="24"/>
        <v>-0.05148763109</v>
      </c>
      <c r="AL40" s="63">
        <f>IFERROR(AK40/AK148, "NA")</f>
        <v>1.596926725</v>
      </c>
    </row>
    <row r="41" ht="16.5" customHeight="1">
      <c r="A41" s="26" t="s">
        <v>99</v>
      </c>
      <c r="B41" s="27">
        <v>1450.28</v>
      </c>
      <c r="C41" s="23">
        <f>IFERROR(B41/B148, "NA")</f>
        <v>0.011562785</v>
      </c>
      <c r="D41" s="27">
        <v>1638.44</v>
      </c>
      <c r="E41" s="23">
        <f>IFERROR(D41/D148, "NA")</f>
        <v>0.0122325118</v>
      </c>
      <c r="F41" s="27">
        <v>1195.81</v>
      </c>
      <c r="G41" s="23">
        <f>IFERROR(F41/F148, "NA")</f>
        <v>0.009341846702</v>
      </c>
      <c r="H41" s="27">
        <v>1235.2700000000002</v>
      </c>
      <c r="I41" s="23">
        <f>IFERROR(H41/H148, "NA")</f>
        <v>0.01067047138</v>
      </c>
      <c r="J41" s="27">
        <v>1598.96</v>
      </c>
      <c r="K41" s="23">
        <f>IFERROR(J41/J148, "NA")</f>
        <v>0.01182742679</v>
      </c>
      <c r="L41" s="27">
        <v>1169.6000000000001</v>
      </c>
      <c r="M41" s="23">
        <f>IFERROR(L41/L148, "NA")</f>
        <v>0.009227474363</v>
      </c>
      <c r="N41" s="27">
        <v>1904.04</v>
      </c>
      <c r="O41" s="23">
        <f>IFERROR(N41/N148, "NA")</f>
        <v>0.01392669053</v>
      </c>
      <c r="P41" s="27">
        <v>878.4000000000001</v>
      </c>
      <c r="Q41" s="23">
        <f>IFERROR(P41/P148, "NA")</f>
        <v>0.005868029852</v>
      </c>
      <c r="R41" s="27">
        <v>1440.48</v>
      </c>
      <c r="S41" s="23">
        <f>IFERROR(R41/R148, "NA")</f>
        <v>0.01170196164</v>
      </c>
      <c r="T41" s="27">
        <v>1895.9699999999998</v>
      </c>
      <c r="U41" s="23">
        <f>IFERROR(T41/T148, "NA")</f>
        <v>0.01127748976</v>
      </c>
      <c r="V41" s="27">
        <v>1472.76</v>
      </c>
      <c r="W41" s="23">
        <f>IFERROR(V41/V148, "NA")</f>
        <v>0.00885334896</v>
      </c>
      <c r="X41" s="27">
        <v>2233.42</v>
      </c>
      <c r="Y41" s="23">
        <f>IFERROR(X41/X148, "NA")</f>
        <v>0.01613366594</v>
      </c>
      <c r="Z41" s="27">
        <v>7042.63</v>
      </c>
      <c r="AA41" s="23">
        <f>IFERROR(Z41/Z148, "NA")</f>
        <v>0.0118164923</v>
      </c>
      <c r="AB41" s="59">
        <f t="shared" si="19"/>
        <v>1760.6575</v>
      </c>
      <c r="AC41" s="23">
        <f>IFERROR(AB41/AB148, "NA")</f>
        <v>0.0118164923</v>
      </c>
      <c r="AD41" s="61">
        <f t="shared" si="20"/>
        <v>472.7625</v>
      </c>
      <c r="AE41" s="63">
        <f>IFERROR(AD41/AD148, "NA")</f>
        <v>-0.04473637582</v>
      </c>
      <c r="AF41" s="61">
        <f t="shared" si="21"/>
        <v>0.2685147452</v>
      </c>
      <c r="AG41" s="59">
        <f t="shared" si="22"/>
        <v>1574.20375</v>
      </c>
      <c r="AH41" s="23">
        <f>IFERROR(AG41/AG148, "NA")</f>
        <v>0.01100501167</v>
      </c>
      <c r="AI41" s="61">
        <f t="shared" si="23"/>
        <v>659.21625</v>
      </c>
      <c r="AJ41" s="63">
        <f>IFERROR(AI41/AI148, "NA")</f>
        <v>-0.1429353164</v>
      </c>
      <c r="AK41" s="61">
        <f t="shared" si="24"/>
        <v>0.4187617073</v>
      </c>
      <c r="AL41" s="63">
        <f>IFERROR(AK41/AK148, "NA")</f>
        <v>-12.98820217</v>
      </c>
    </row>
    <row r="42" ht="16.5" hidden="1" customHeight="1">
      <c r="A42" s="26" t="s">
        <v>100</v>
      </c>
      <c r="B42" s="27">
        <v>0.0</v>
      </c>
      <c r="C42" s="23">
        <f>IFERROR(B42/B148, "NA")</f>
        <v>0</v>
      </c>
      <c r="D42" s="27">
        <v>0.0</v>
      </c>
      <c r="E42" s="23">
        <f>IFERROR(D42/D148, "NA")</f>
        <v>0</v>
      </c>
      <c r="F42" s="27">
        <v>0.0</v>
      </c>
      <c r="G42" s="23">
        <f>IFERROR(F42/F148, "NA")</f>
        <v>0</v>
      </c>
      <c r="H42" s="27">
        <v>0.0</v>
      </c>
      <c r="I42" s="23">
        <f>IFERROR(H42/H148, "NA")</f>
        <v>0</v>
      </c>
      <c r="J42" s="27">
        <v>0.0</v>
      </c>
      <c r="K42" s="23">
        <f>IFERROR(J42/J148, "NA")</f>
        <v>0</v>
      </c>
      <c r="L42" s="27">
        <v>0.0</v>
      </c>
      <c r="M42" s="23">
        <f>IFERROR(L42/L148, "NA")</f>
        <v>0</v>
      </c>
      <c r="N42" s="27">
        <v>0.0</v>
      </c>
      <c r="O42" s="23">
        <f>IFERROR(N42/N148, "NA")</f>
        <v>0</v>
      </c>
      <c r="P42" s="27">
        <v>0.0</v>
      </c>
      <c r="Q42" s="23">
        <f>IFERROR(P42/P148, "NA")</f>
        <v>0</v>
      </c>
      <c r="R42" s="27">
        <v>0.0</v>
      </c>
      <c r="S42" s="23">
        <f>IFERROR(R42/R148, "NA")</f>
        <v>0</v>
      </c>
      <c r="T42" s="27">
        <v>0.0</v>
      </c>
      <c r="U42" s="23">
        <f>IFERROR(T42/T148, "NA")</f>
        <v>0</v>
      </c>
      <c r="V42" s="27">
        <v>0.0</v>
      </c>
      <c r="W42" s="23">
        <f>IFERROR(V42/V148, "NA")</f>
        <v>0</v>
      </c>
      <c r="X42" s="27">
        <v>0.0</v>
      </c>
      <c r="Y42" s="23">
        <f>IFERROR(X42/X148, "NA")</f>
        <v>0</v>
      </c>
      <c r="Z42" s="27">
        <v>0.0</v>
      </c>
      <c r="AA42" s="23">
        <f>IFERROR(Z42/Z148, "NA")</f>
        <v>0</v>
      </c>
      <c r="AB42" s="59">
        <f t="shared" si="19"/>
        <v>0</v>
      </c>
      <c r="AC42" s="23">
        <f>IFERROR(AB42/AB148, "NA")</f>
        <v>0</v>
      </c>
      <c r="AD42" s="61">
        <f t="shared" si="20"/>
        <v>0</v>
      </c>
      <c r="AE42" s="63">
        <f>IFERROR(AD42/AD148, "NA")</f>
        <v>0</v>
      </c>
      <c r="AF42" s="61" t="str">
        <f t="shared" si="21"/>
        <v>NA</v>
      </c>
      <c r="AG42" s="59">
        <f t="shared" si="22"/>
        <v>0</v>
      </c>
      <c r="AH42" s="23">
        <f>IFERROR(AG42/AG148, "NA")</f>
        <v>0</v>
      </c>
      <c r="AI42" s="61">
        <f t="shared" si="23"/>
        <v>0</v>
      </c>
      <c r="AJ42" s="63">
        <f>IFERROR(AI42/AI148, "NA")</f>
        <v>0</v>
      </c>
      <c r="AK42" s="61" t="str">
        <f t="shared" si="24"/>
        <v>NA</v>
      </c>
      <c r="AL42" s="63" t="str">
        <f>IFERROR(AK42/AK148, "NA")</f>
        <v>NA</v>
      </c>
    </row>
    <row r="43" ht="16.5" hidden="1" customHeight="1">
      <c r="A43" s="26" t="s">
        <v>101</v>
      </c>
      <c r="B43" s="27">
        <v>0.0</v>
      </c>
      <c r="C43" s="23">
        <f>IFERROR(B43/B148, "NA")</f>
        <v>0</v>
      </c>
      <c r="D43" s="27">
        <v>0.0</v>
      </c>
      <c r="E43" s="23">
        <f>IFERROR(D43/D148, "NA")</f>
        <v>0</v>
      </c>
      <c r="F43" s="27">
        <v>0.0</v>
      </c>
      <c r="G43" s="23">
        <f>IFERROR(F43/F148, "NA")</f>
        <v>0</v>
      </c>
      <c r="H43" s="27">
        <v>0.0</v>
      </c>
      <c r="I43" s="23">
        <f>IFERROR(H43/H148, "NA")</f>
        <v>0</v>
      </c>
      <c r="J43" s="27">
        <v>0.0</v>
      </c>
      <c r="K43" s="23">
        <f>IFERROR(J43/J148, "NA")</f>
        <v>0</v>
      </c>
      <c r="L43" s="27">
        <v>0.0</v>
      </c>
      <c r="M43" s="23">
        <f>IFERROR(L43/L148, "NA")</f>
        <v>0</v>
      </c>
      <c r="N43" s="27">
        <v>0.0</v>
      </c>
      <c r="O43" s="23">
        <f>IFERROR(N43/N148, "NA")</f>
        <v>0</v>
      </c>
      <c r="P43" s="27">
        <v>0.0</v>
      </c>
      <c r="Q43" s="23">
        <f>IFERROR(P43/P148, "NA")</f>
        <v>0</v>
      </c>
      <c r="R43" s="27">
        <v>0.0</v>
      </c>
      <c r="S43" s="23">
        <f>IFERROR(R43/R148, "NA")</f>
        <v>0</v>
      </c>
      <c r="T43" s="27">
        <v>0.0</v>
      </c>
      <c r="U43" s="23">
        <f>IFERROR(T43/T148, "NA")</f>
        <v>0</v>
      </c>
      <c r="V43" s="27">
        <v>0.0</v>
      </c>
      <c r="W43" s="23">
        <f>IFERROR(V43/V148, "NA")</f>
        <v>0</v>
      </c>
      <c r="X43" s="27">
        <v>0.0</v>
      </c>
      <c r="Y43" s="23">
        <f>IFERROR(X43/X148, "NA")</f>
        <v>0</v>
      </c>
      <c r="Z43" s="27">
        <v>0.0</v>
      </c>
      <c r="AA43" s="23">
        <f>IFERROR(Z43/Z148, "NA")</f>
        <v>0</v>
      </c>
      <c r="AB43" s="59">
        <f t="shared" si="19"/>
        <v>0</v>
      </c>
      <c r="AC43" s="23">
        <f>IFERROR(AB43/AB148, "NA")</f>
        <v>0</v>
      </c>
      <c r="AD43" s="61">
        <f t="shared" si="20"/>
        <v>0</v>
      </c>
      <c r="AE43" s="63">
        <f>IFERROR(AD43/AD148, "NA")</f>
        <v>0</v>
      </c>
      <c r="AF43" s="61" t="str">
        <f t="shared" si="21"/>
        <v>NA</v>
      </c>
      <c r="AG43" s="59">
        <f t="shared" si="22"/>
        <v>0</v>
      </c>
      <c r="AH43" s="23">
        <f>IFERROR(AG43/AG148, "NA")</f>
        <v>0</v>
      </c>
      <c r="AI43" s="61">
        <f t="shared" si="23"/>
        <v>0</v>
      </c>
      <c r="AJ43" s="63">
        <f>IFERROR(AI43/AI148, "NA")</f>
        <v>0</v>
      </c>
      <c r="AK43" s="61" t="str">
        <f t="shared" si="24"/>
        <v>NA</v>
      </c>
      <c r="AL43" s="63" t="str">
        <f>IFERROR(AK43/AK148, "NA")</f>
        <v>NA</v>
      </c>
    </row>
    <row r="44" ht="16.5" customHeight="1">
      <c r="A44" s="66" t="s">
        <v>102</v>
      </c>
      <c r="B44" s="67">
        <f>IFERROR(B39+B40+B41+B42+B43, "NA")</f>
        <v>5091.75</v>
      </c>
      <c r="C44" s="69">
        <f>IFERROR(B44/B148, "NA")</f>
        <v>0.04059547848</v>
      </c>
      <c r="D44" s="67">
        <f>IFERROR(D39+D40+D41+D42+D43, "NA")</f>
        <v>5562.3</v>
      </c>
      <c r="E44" s="69">
        <f>IFERROR(D44/D148, "NA")</f>
        <v>0.04152785598</v>
      </c>
      <c r="F44" s="67">
        <f>IFERROR(F39+F40+F41+F42+F43, "NA")</f>
        <v>5189.17</v>
      </c>
      <c r="G44" s="69">
        <f>IFERROR(F44/F148, "NA")</f>
        <v>0.04053857272</v>
      </c>
      <c r="H44" s="67">
        <f>IFERROR(H39+H40+H41+H42+H43, "NA")</f>
        <v>4421.78</v>
      </c>
      <c r="I44" s="69">
        <f>IFERROR(H44/H148, "NA")</f>
        <v>0.0381960842</v>
      </c>
      <c r="J44" s="67">
        <f>IFERROR(J39+J40+J41+J42+J43, "NA")</f>
        <v>5292.17</v>
      </c>
      <c r="K44" s="69">
        <f>IFERROR(J44/J148, "NA")</f>
        <v>0.03914591563</v>
      </c>
      <c r="L44" s="67">
        <f>IFERROR(L39+L40+L41+L42+L43, "NA")</f>
        <v>5059.12</v>
      </c>
      <c r="M44" s="69">
        <f>IFERROR(L44/L148, "NA")</f>
        <v>0.03991356028</v>
      </c>
      <c r="N44" s="67">
        <f>IFERROR(N39+N40+N41+N42+N43, "NA")</f>
        <v>5096.1</v>
      </c>
      <c r="O44" s="69">
        <f>IFERROR(N44/N148, "NA")</f>
        <v>0.03727432598</v>
      </c>
      <c r="P44" s="67">
        <f>IFERROR(P39+P40+P41+P42+P43, "NA")</f>
        <v>4981.88</v>
      </c>
      <c r="Q44" s="69">
        <f>IFERROR(P44/P148, "NA")</f>
        <v>0.03328076111</v>
      </c>
      <c r="R44" s="67">
        <f>IFERROR(R39+R40+R41+R42+R43, "NA")</f>
        <v>5102.87</v>
      </c>
      <c r="S44" s="69">
        <f>IFERROR(R44/R148, "NA")</f>
        <v>0.04145395216</v>
      </c>
      <c r="T44" s="67">
        <f>IFERROR(T39+T40+T41+T42+T43, "NA")</f>
        <v>5838.86</v>
      </c>
      <c r="U44" s="69">
        <f>IFERROR(T44/T148, "NA")</f>
        <v>0.0347303406</v>
      </c>
      <c r="V44" s="67">
        <f>IFERROR(V39+V40+V41+V42+V43, "NA")</f>
        <v>5445.66</v>
      </c>
      <c r="W44" s="69">
        <f>IFERROR(V44/V148, "NA")</f>
        <v>0.03273603866</v>
      </c>
      <c r="X44" s="67">
        <f>IFERROR(X39+X40+X41+X42+X43, "NA")</f>
        <v>5792.14</v>
      </c>
      <c r="Y44" s="69">
        <f>IFERROR(X44/X148, "NA")</f>
        <v>0.04184096671</v>
      </c>
      <c r="Z44" s="67">
        <f>IFERROR(Z39+Z40+Z41+Z42+Z43, "NA")</f>
        <v>22179.53</v>
      </c>
      <c r="AA44" s="69">
        <f>IFERROR(Z44/Z148, "NA")</f>
        <v>0.03721397339</v>
      </c>
      <c r="AB44" s="67">
        <f t="shared" si="19"/>
        <v>5544.8825</v>
      </c>
      <c r="AC44" s="69">
        <f>IFERROR(AB44/AB148, "NA")</f>
        <v>0.03721397339</v>
      </c>
      <c r="AD44" s="70">
        <f t="shared" si="20"/>
        <v>247.2575</v>
      </c>
      <c r="AE44" s="71">
        <f>IFERROR(AD44/AD148, "NA")</f>
        <v>-0.02339738123</v>
      </c>
      <c r="AF44" s="70">
        <f t="shared" si="21"/>
        <v>0.04459201796</v>
      </c>
      <c r="AG44" s="67">
        <f t="shared" si="22"/>
        <v>5326.1</v>
      </c>
      <c r="AH44" s="69">
        <f>IFERROR(AG44/AG148, "NA")</f>
        <v>0.03723393025</v>
      </c>
      <c r="AI44" s="70">
        <f t="shared" si="23"/>
        <v>466.04</v>
      </c>
      <c r="AJ44" s="71">
        <f>IFERROR(AI44/AI148, "NA")</f>
        <v>-0.1010496554</v>
      </c>
      <c r="AK44" s="70">
        <f t="shared" si="24"/>
        <v>0.08750117347</v>
      </c>
      <c r="AL44" s="71">
        <f>IFERROR(AK44/AK148, "NA")</f>
        <v>-2.713913215</v>
      </c>
    </row>
    <row r="45" ht="16.5" customHeight="1">
      <c r="A45" s="17" t="s">
        <v>103</v>
      </c>
      <c r="B45" s="19"/>
      <c r="C45" s="13"/>
      <c r="D45" s="19"/>
      <c r="E45" s="13"/>
      <c r="F45" s="19"/>
      <c r="G45" s="13"/>
      <c r="H45" s="19"/>
      <c r="I45" s="13"/>
      <c r="J45" s="19"/>
      <c r="K45" s="13"/>
      <c r="L45" s="19"/>
      <c r="M45" s="13"/>
      <c r="N45" s="19"/>
      <c r="O45" s="13"/>
      <c r="P45" s="19"/>
      <c r="Q45" s="13"/>
      <c r="R45" s="19"/>
      <c r="S45" s="13"/>
      <c r="T45" s="19"/>
      <c r="U45" s="13"/>
      <c r="V45" s="19"/>
      <c r="W45" s="13"/>
      <c r="X45" s="19"/>
      <c r="Y45" s="13"/>
      <c r="Z45" s="19"/>
      <c r="AA45" s="13"/>
      <c r="AB45" s="19"/>
      <c r="AC45" s="13"/>
      <c r="AD45" s="24"/>
      <c r="AE45" s="25"/>
      <c r="AF45" s="24"/>
      <c r="AG45" s="19"/>
      <c r="AH45" s="13"/>
      <c r="AI45" s="24"/>
      <c r="AJ45" s="25"/>
      <c r="AK45" s="24"/>
      <c r="AL45" s="25"/>
    </row>
    <row r="46" ht="16.5" hidden="1" customHeight="1">
      <c r="A46" s="26" t="s">
        <v>104</v>
      </c>
      <c r="B46" s="27">
        <v>0.0</v>
      </c>
      <c r="C46" s="23">
        <f>IFERROR(B46/B148, "NA")</f>
        <v>0</v>
      </c>
      <c r="D46" s="27">
        <v>0.0</v>
      </c>
      <c r="E46" s="23">
        <f>IFERROR(D46/D148, "NA")</f>
        <v>0</v>
      </c>
      <c r="F46" s="27">
        <v>0.0</v>
      </c>
      <c r="G46" s="23">
        <f>IFERROR(F46/F148, "NA")</f>
        <v>0</v>
      </c>
      <c r="H46" s="27">
        <v>0.0</v>
      </c>
      <c r="I46" s="23">
        <f>IFERROR(H46/H148, "NA")</f>
        <v>0</v>
      </c>
      <c r="J46" s="27">
        <v>0.0</v>
      </c>
      <c r="K46" s="23">
        <f>IFERROR(J46/J148, "NA")</f>
        <v>0</v>
      </c>
      <c r="L46" s="27">
        <v>0.0</v>
      </c>
      <c r="M46" s="23">
        <f>IFERROR(L46/L148, "NA")</f>
        <v>0</v>
      </c>
      <c r="N46" s="27">
        <v>0.0</v>
      </c>
      <c r="O46" s="23">
        <f>IFERROR(N46/N148, "NA")</f>
        <v>0</v>
      </c>
      <c r="P46" s="27">
        <v>0.0</v>
      </c>
      <c r="Q46" s="23">
        <f>IFERROR(P46/P148, "NA")</f>
        <v>0</v>
      </c>
      <c r="R46" s="27">
        <v>0.0</v>
      </c>
      <c r="S46" s="23">
        <f>IFERROR(R46/R148, "NA")</f>
        <v>0</v>
      </c>
      <c r="T46" s="27">
        <v>0.0</v>
      </c>
      <c r="U46" s="23">
        <f>IFERROR(T46/T148, "NA")</f>
        <v>0</v>
      </c>
      <c r="V46" s="27">
        <v>0.0</v>
      </c>
      <c r="W46" s="23">
        <f>IFERROR(V46/V148, "NA")</f>
        <v>0</v>
      </c>
      <c r="X46" s="27">
        <v>0.0</v>
      </c>
      <c r="Y46" s="23">
        <f>IFERROR(X46/X148, "NA")</f>
        <v>0</v>
      </c>
      <c r="Z46" s="27">
        <v>0.0</v>
      </c>
      <c r="AA46" s="23">
        <f>IFERROR(Z46/Z148, "NA")</f>
        <v>0</v>
      </c>
      <c r="AB46" s="59">
        <f t="shared" ref="AB46:AB57" si="25">IFERROR((R46+T46+V46+X46)/4, "NA")</f>
        <v>0</v>
      </c>
      <c r="AC46" s="23">
        <f>IFERROR(AB46/AB148, "NA")</f>
        <v>0</v>
      </c>
      <c r="AD46" s="61">
        <f t="shared" ref="AD46:AD57" si="26">IFERROR(X46-AB46, "NA")</f>
        <v>0</v>
      </c>
      <c r="AE46" s="63">
        <f>IFERROR(AD46/AD148, "NA")</f>
        <v>0</v>
      </c>
      <c r="AF46" s="61" t="str">
        <f t="shared" ref="AF46:AF57" si="27">IFERROR((X46-AB46)/AB46, "NA")</f>
        <v>NA</v>
      </c>
      <c r="AG46" s="59">
        <f t="shared" ref="AG46:AG57" si="28">IFERROR((J46+L46+N46+P46+R46+T46+V46+X46)/8, "NA")</f>
        <v>0</v>
      </c>
      <c r="AH46" s="23">
        <f>IFERROR(AG46/AG148, "NA")</f>
        <v>0</v>
      </c>
      <c r="AI46" s="61">
        <f t="shared" ref="AI46:AI57" si="29">IFERROR(X46-AG46, "NA")</f>
        <v>0</v>
      </c>
      <c r="AJ46" s="63">
        <f>IFERROR(AI46/AI148, "NA")</f>
        <v>0</v>
      </c>
      <c r="AK46" s="61" t="str">
        <f t="shared" ref="AK46:AK57" si="30">IFERROR((X46-AG46)/AG46, "NA")</f>
        <v>NA</v>
      </c>
      <c r="AL46" s="63" t="str">
        <f>IFERROR(AK46/AK148, "NA")</f>
        <v>NA</v>
      </c>
    </row>
    <row r="47" ht="16.5" customHeight="1">
      <c r="A47" s="26" t="s">
        <v>107</v>
      </c>
      <c r="B47" s="27">
        <v>409.22</v>
      </c>
      <c r="C47" s="23">
        <f>IFERROR(B47/B148, "NA")</f>
        <v>0.003262627133</v>
      </c>
      <c r="D47" s="27">
        <v>338.55999999999995</v>
      </c>
      <c r="E47" s="23">
        <f>IFERROR(D47/D148, "NA")</f>
        <v>0.002527672172</v>
      </c>
      <c r="F47" s="27">
        <v>406.11</v>
      </c>
      <c r="G47" s="23">
        <f>IFERROR(F47/F148, "NA")</f>
        <v>0.003172592104</v>
      </c>
      <c r="H47" s="27">
        <v>356.33</v>
      </c>
      <c r="I47" s="23">
        <f>IFERROR(H47/H148, "NA")</f>
        <v>0.003078038863</v>
      </c>
      <c r="J47" s="27">
        <v>361.61</v>
      </c>
      <c r="K47" s="23">
        <f>IFERROR(J47/J148, "NA")</f>
        <v>0.002674811004</v>
      </c>
      <c r="L47" s="27">
        <v>458.79999999999995</v>
      </c>
      <c r="M47" s="23">
        <f>IFERROR(L47/L148, "NA")</f>
        <v>0.003619669321</v>
      </c>
      <c r="N47" s="27">
        <v>321.67999999999995</v>
      </c>
      <c r="O47" s="23">
        <f>IFERROR(N47/N148, "NA")</f>
        <v>0.002352859084</v>
      </c>
      <c r="P47" s="27">
        <v>272.64</v>
      </c>
      <c r="Q47" s="23">
        <f>IFERROR(P47/P148, "NA")</f>
        <v>0.001821333856</v>
      </c>
      <c r="R47" s="27">
        <v>291.20000000000005</v>
      </c>
      <c r="S47" s="23">
        <f>IFERROR(R47/R148, "NA")</f>
        <v>0.002365608152</v>
      </c>
      <c r="T47" s="27">
        <v>352.73</v>
      </c>
      <c r="U47" s="23">
        <f>IFERROR(T47/T148, "NA")</f>
        <v>0.002098086449</v>
      </c>
      <c r="V47" s="27">
        <v>398.49</v>
      </c>
      <c r="W47" s="23">
        <f>IFERROR(V47/V148, "NA")</f>
        <v>0.00239548265</v>
      </c>
      <c r="X47" s="27">
        <v>390.62</v>
      </c>
      <c r="Y47" s="23">
        <f>IFERROR(X47/X148, "NA")</f>
        <v>0.002821740913</v>
      </c>
      <c r="Z47" s="27">
        <v>1433.04</v>
      </c>
      <c r="AA47" s="23">
        <f>IFERROR(Z47/Z148, "NA")</f>
        <v>0.002404429328</v>
      </c>
      <c r="AB47" s="59">
        <f t="shared" si="25"/>
        <v>358.26</v>
      </c>
      <c r="AC47" s="23">
        <f>IFERROR(AB47/AB148, "NA")</f>
        <v>0.002404429328</v>
      </c>
      <c r="AD47" s="61">
        <f t="shared" si="26"/>
        <v>32.36</v>
      </c>
      <c r="AE47" s="63">
        <f>IFERROR(AD47/AD148, "NA")</f>
        <v>-0.003062148799</v>
      </c>
      <c r="AF47" s="61">
        <f t="shared" si="27"/>
        <v>0.09032546196</v>
      </c>
      <c r="AG47" s="59">
        <f t="shared" si="28"/>
        <v>355.97125</v>
      </c>
      <c r="AH47" s="23">
        <f>IFERROR(AG47/AG148, "NA")</f>
        <v>0.002488539212</v>
      </c>
      <c r="AI47" s="61">
        <f t="shared" si="29"/>
        <v>34.64875</v>
      </c>
      <c r="AJ47" s="63">
        <f>IFERROR(AI47/AI148, "NA")</f>
        <v>-0.007512754798</v>
      </c>
      <c r="AK47" s="61">
        <f t="shared" si="30"/>
        <v>0.09733581013</v>
      </c>
      <c r="AL47" s="63">
        <f>IFERROR(AK47/AK148, "NA")</f>
        <v>-3.0189417</v>
      </c>
    </row>
    <row r="48" ht="16.5" customHeight="1">
      <c r="A48" s="26" t="s">
        <v>108</v>
      </c>
      <c r="B48" s="27">
        <v>0.0</v>
      </c>
      <c r="C48" s="23">
        <f>IFERROR(B48/B148, "NA")</f>
        <v>0</v>
      </c>
      <c r="D48" s="27">
        <v>0.0</v>
      </c>
      <c r="E48" s="23">
        <f>IFERROR(D48/D148, "NA")</f>
        <v>0</v>
      </c>
      <c r="F48" s="27">
        <v>7.53</v>
      </c>
      <c r="G48" s="23">
        <f>IFERROR(F48/F148, "NA")</f>
        <v>0.00005882548704</v>
      </c>
      <c r="H48" s="27">
        <v>0.0</v>
      </c>
      <c r="I48" s="23">
        <f>IFERROR(H48/H148, "NA")</f>
        <v>0</v>
      </c>
      <c r="J48" s="27">
        <v>0.0</v>
      </c>
      <c r="K48" s="23">
        <f>IFERROR(J48/J148, "NA")</f>
        <v>0</v>
      </c>
      <c r="L48" s="27">
        <v>0.0</v>
      </c>
      <c r="M48" s="23">
        <f>IFERROR(L48/L148, "NA")</f>
        <v>0</v>
      </c>
      <c r="N48" s="27">
        <v>0.0</v>
      </c>
      <c r="O48" s="23">
        <f>IFERROR(N48/N148, "NA")</f>
        <v>0</v>
      </c>
      <c r="P48" s="27">
        <v>0.0</v>
      </c>
      <c r="Q48" s="23">
        <f>IFERROR(P48/P148, "NA")</f>
        <v>0</v>
      </c>
      <c r="R48" s="27">
        <v>0.0</v>
      </c>
      <c r="S48" s="23">
        <f>IFERROR(R48/R148, "NA")</f>
        <v>0</v>
      </c>
      <c r="T48" s="27">
        <v>0.0</v>
      </c>
      <c r="U48" s="23">
        <f>IFERROR(T48/T148, "NA")</f>
        <v>0</v>
      </c>
      <c r="V48" s="27">
        <v>0.0</v>
      </c>
      <c r="W48" s="23">
        <f>IFERROR(V48/V148, "NA")</f>
        <v>0</v>
      </c>
      <c r="X48" s="27">
        <v>0.0</v>
      </c>
      <c r="Y48" s="23">
        <f>IFERROR(X48/X148, "NA")</f>
        <v>0</v>
      </c>
      <c r="Z48" s="27">
        <v>0.0</v>
      </c>
      <c r="AA48" s="23">
        <f>IFERROR(Z48/Z148, "NA")</f>
        <v>0</v>
      </c>
      <c r="AB48" s="59">
        <f t="shared" si="25"/>
        <v>0</v>
      </c>
      <c r="AC48" s="23">
        <f>IFERROR(AB48/AB148, "NA")</f>
        <v>0</v>
      </c>
      <c r="AD48" s="61">
        <f t="shared" si="26"/>
        <v>0</v>
      </c>
      <c r="AE48" s="63">
        <f>IFERROR(AD48/AD148, "NA")</f>
        <v>0</v>
      </c>
      <c r="AF48" s="61" t="str">
        <f t="shared" si="27"/>
        <v>NA</v>
      </c>
      <c r="AG48" s="59">
        <f t="shared" si="28"/>
        <v>0</v>
      </c>
      <c r="AH48" s="23">
        <f>IFERROR(AG48/AG148, "NA")</f>
        <v>0</v>
      </c>
      <c r="AI48" s="61">
        <f t="shared" si="29"/>
        <v>0</v>
      </c>
      <c r="AJ48" s="63">
        <f>IFERROR(AI48/AI148, "NA")</f>
        <v>0</v>
      </c>
      <c r="AK48" s="61" t="str">
        <f t="shared" si="30"/>
        <v>NA</v>
      </c>
      <c r="AL48" s="63" t="str">
        <f>IFERROR(AK48/AK148, "NA")</f>
        <v>NA</v>
      </c>
    </row>
    <row r="49" ht="16.5" hidden="1" customHeight="1">
      <c r="A49" s="26" t="s">
        <v>109</v>
      </c>
      <c r="B49" s="27">
        <v>0.0</v>
      </c>
      <c r="C49" s="23">
        <f>IFERROR(B49/B148, "NA")</f>
        <v>0</v>
      </c>
      <c r="D49" s="27">
        <v>0.0</v>
      </c>
      <c r="E49" s="23">
        <f>IFERROR(D49/D148, "NA")</f>
        <v>0</v>
      </c>
      <c r="F49" s="27">
        <v>0.0</v>
      </c>
      <c r="G49" s="23">
        <f>IFERROR(F49/F148, "NA")</f>
        <v>0</v>
      </c>
      <c r="H49" s="27">
        <v>0.0</v>
      </c>
      <c r="I49" s="23">
        <f>IFERROR(H49/H148, "NA")</f>
        <v>0</v>
      </c>
      <c r="J49" s="27">
        <v>0.0</v>
      </c>
      <c r="K49" s="23">
        <f>IFERROR(J49/J148, "NA")</f>
        <v>0</v>
      </c>
      <c r="L49" s="27">
        <v>0.0</v>
      </c>
      <c r="M49" s="23">
        <f>IFERROR(L49/L148, "NA")</f>
        <v>0</v>
      </c>
      <c r="N49" s="27">
        <v>0.0</v>
      </c>
      <c r="O49" s="23">
        <f>IFERROR(N49/N148, "NA")</f>
        <v>0</v>
      </c>
      <c r="P49" s="27">
        <v>0.0</v>
      </c>
      <c r="Q49" s="23">
        <f>IFERROR(P49/P148, "NA")</f>
        <v>0</v>
      </c>
      <c r="R49" s="27">
        <v>0.0</v>
      </c>
      <c r="S49" s="23">
        <f>IFERROR(R49/R148, "NA")</f>
        <v>0</v>
      </c>
      <c r="T49" s="27">
        <v>0.0</v>
      </c>
      <c r="U49" s="23">
        <f>IFERROR(T49/T148, "NA")</f>
        <v>0</v>
      </c>
      <c r="V49" s="27">
        <v>0.0</v>
      </c>
      <c r="W49" s="23">
        <f>IFERROR(V49/V148, "NA")</f>
        <v>0</v>
      </c>
      <c r="X49" s="27">
        <v>0.0</v>
      </c>
      <c r="Y49" s="23">
        <f>IFERROR(X49/X148, "NA")</f>
        <v>0</v>
      </c>
      <c r="Z49" s="27">
        <v>0.0</v>
      </c>
      <c r="AA49" s="23">
        <f>IFERROR(Z49/Z148, "NA")</f>
        <v>0</v>
      </c>
      <c r="AB49" s="59">
        <f t="shared" si="25"/>
        <v>0</v>
      </c>
      <c r="AC49" s="23">
        <f>IFERROR(AB49/AB148, "NA")</f>
        <v>0</v>
      </c>
      <c r="AD49" s="61">
        <f t="shared" si="26"/>
        <v>0</v>
      </c>
      <c r="AE49" s="63">
        <f>IFERROR(AD49/AD148, "NA")</f>
        <v>0</v>
      </c>
      <c r="AF49" s="61" t="str">
        <f t="shared" si="27"/>
        <v>NA</v>
      </c>
      <c r="AG49" s="59">
        <f t="shared" si="28"/>
        <v>0</v>
      </c>
      <c r="AH49" s="23">
        <f>IFERROR(AG49/AG148, "NA")</f>
        <v>0</v>
      </c>
      <c r="AI49" s="61">
        <f t="shared" si="29"/>
        <v>0</v>
      </c>
      <c r="AJ49" s="63">
        <f>IFERROR(AI49/AI148, "NA")</f>
        <v>0</v>
      </c>
      <c r="AK49" s="61" t="str">
        <f t="shared" si="30"/>
        <v>NA</v>
      </c>
      <c r="AL49" s="63" t="str">
        <f>IFERROR(AK49/AK148, "NA")</f>
        <v>NA</v>
      </c>
    </row>
    <row r="50" ht="16.5" hidden="1" customHeight="1">
      <c r="A50" s="26" t="s">
        <v>110</v>
      </c>
      <c r="B50" s="27">
        <v>0.0</v>
      </c>
      <c r="C50" s="23">
        <f>IFERROR(B50/B148, "NA")</f>
        <v>0</v>
      </c>
      <c r="D50" s="27">
        <v>0.0</v>
      </c>
      <c r="E50" s="23">
        <f>IFERROR(D50/D148, "NA")</f>
        <v>0</v>
      </c>
      <c r="F50" s="27">
        <v>0.0</v>
      </c>
      <c r="G50" s="23">
        <f>IFERROR(F50/F148, "NA")</f>
        <v>0</v>
      </c>
      <c r="H50" s="27">
        <v>0.0</v>
      </c>
      <c r="I50" s="23">
        <f>IFERROR(H50/H148, "NA")</f>
        <v>0</v>
      </c>
      <c r="J50" s="27">
        <v>0.0</v>
      </c>
      <c r="K50" s="23">
        <f>IFERROR(J50/J148, "NA")</f>
        <v>0</v>
      </c>
      <c r="L50" s="27">
        <v>0.0</v>
      </c>
      <c r="M50" s="23">
        <f>IFERROR(L50/L148, "NA")</f>
        <v>0</v>
      </c>
      <c r="N50" s="27">
        <v>0.0</v>
      </c>
      <c r="O50" s="23">
        <f>IFERROR(N50/N148, "NA")</f>
        <v>0</v>
      </c>
      <c r="P50" s="27">
        <v>0.0</v>
      </c>
      <c r="Q50" s="23">
        <f>IFERROR(P50/P148, "NA")</f>
        <v>0</v>
      </c>
      <c r="R50" s="27">
        <v>0.0</v>
      </c>
      <c r="S50" s="23">
        <f>IFERROR(R50/R148, "NA")</f>
        <v>0</v>
      </c>
      <c r="T50" s="27">
        <v>0.0</v>
      </c>
      <c r="U50" s="23">
        <f>IFERROR(T50/T148, "NA")</f>
        <v>0</v>
      </c>
      <c r="V50" s="27">
        <v>0.0</v>
      </c>
      <c r="W50" s="23">
        <f>IFERROR(V50/V148, "NA")</f>
        <v>0</v>
      </c>
      <c r="X50" s="27">
        <v>0.0</v>
      </c>
      <c r="Y50" s="23">
        <f>IFERROR(X50/X148, "NA")</f>
        <v>0</v>
      </c>
      <c r="Z50" s="27">
        <v>0.0</v>
      </c>
      <c r="AA50" s="23">
        <f>IFERROR(Z50/Z148, "NA")</f>
        <v>0</v>
      </c>
      <c r="AB50" s="59">
        <f t="shared" si="25"/>
        <v>0</v>
      </c>
      <c r="AC50" s="23">
        <f>IFERROR(AB50/AB148, "NA")</f>
        <v>0</v>
      </c>
      <c r="AD50" s="61">
        <f t="shared" si="26"/>
        <v>0</v>
      </c>
      <c r="AE50" s="63">
        <f>IFERROR(AD50/AD148, "NA")</f>
        <v>0</v>
      </c>
      <c r="AF50" s="61" t="str">
        <f t="shared" si="27"/>
        <v>NA</v>
      </c>
      <c r="AG50" s="59">
        <f t="shared" si="28"/>
        <v>0</v>
      </c>
      <c r="AH50" s="23">
        <f>IFERROR(AG50/AG148, "NA")</f>
        <v>0</v>
      </c>
      <c r="AI50" s="61">
        <f t="shared" si="29"/>
        <v>0</v>
      </c>
      <c r="AJ50" s="63">
        <f>IFERROR(AI50/AI148, "NA")</f>
        <v>0</v>
      </c>
      <c r="AK50" s="61" t="str">
        <f t="shared" si="30"/>
        <v>NA</v>
      </c>
      <c r="AL50" s="63" t="str">
        <f>IFERROR(AK50/AK148, "NA")</f>
        <v>NA</v>
      </c>
    </row>
    <row r="51" ht="16.5" hidden="1" customHeight="1">
      <c r="A51" s="26" t="s">
        <v>111</v>
      </c>
      <c r="B51" s="27">
        <v>0.0</v>
      </c>
      <c r="C51" s="23">
        <f>IFERROR(B51/B148, "NA")</f>
        <v>0</v>
      </c>
      <c r="D51" s="27">
        <v>0.0</v>
      </c>
      <c r="E51" s="23">
        <f>IFERROR(D51/D148, "NA")</f>
        <v>0</v>
      </c>
      <c r="F51" s="27">
        <v>0.0</v>
      </c>
      <c r="G51" s="23">
        <f>IFERROR(F51/F148, "NA")</f>
        <v>0</v>
      </c>
      <c r="H51" s="27">
        <v>0.0</v>
      </c>
      <c r="I51" s="23">
        <f>IFERROR(H51/H148, "NA")</f>
        <v>0</v>
      </c>
      <c r="J51" s="27">
        <v>0.0</v>
      </c>
      <c r="K51" s="23">
        <f>IFERROR(J51/J148, "NA")</f>
        <v>0</v>
      </c>
      <c r="L51" s="27">
        <v>0.0</v>
      </c>
      <c r="M51" s="23">
        <f>IFERROR(L51/L148, "NA")</f>
        <v>0</v>
      </c>
      <c r="N51" s="27">
        <v>0.0</v>
      </c>
      <c r="O51" s="23">
        <f>IFERROR(N51/N148, "NA")</f>
        <v>0</v>
      </c>
      <c r="P51" s="27">
        <v>0.0</v>
      </c>
      <c r="Q51" s="23">
        <f>IFERROR(P51/P148, "NA")</f>
        <v>0</v>
      </c>
      <c r="R51" s="27">
        <v>0.0</v>
      </c>
      <c r="S51" s="23">
        <f>IFERROR(R51/R148, "NA")</f>
        <v>0</v>
      </c>
      <c r="T51" s="27">
        <v>0.0</v>
      </c>
      <c r="U51" s="23">
        <f>IFERROR(T51/T148, "NA")</f>
        <v>0</v>
      </c>
      <c r="V51" s="27">
        <v>0.0</v>
      </c>
      <c r="W51" s="23">
        <f>IFERROR(V51/V148, "NA")</f>
        <v>0</v>
      </c>
      <c r="X51" s="27">
        <v>0.0</v>
      </c>
      <c r="Y51" s="23">
        <f>IFERROR(X51/X148, "NA")</f>
        <v>0</v>
      </c>
      <c r="Z51" s="27">
        <v>0.0</v>
      </c>
      <c r="AA51" s="23">
        <f>IFERROR(Z51/Z148, "NA")</f>
        <v>0</v>
      </c>
      <c r="AB51" s="59">
        <f t="shared" si="25"/>
        <v>0</v>
      </c>
      <c r="AC51" s="23">
        <f>IFERROR(AB51/AB148, "NA")</f>
        <v>0</v>
      </c>
      <c r="AD51" s="61">
        <f t="shared" si="26"/>
        <v>0</v>
      </c>
      <c r="AE51" s="63">
        <f>IFERROR(AD51/AD148, "NA")</f>
        <v>0</v>
      </c>
      <c r="AF51" s="61" t="str">
        <f t="shared" si="27"/>
        <v>NA</v>
      </c>
      <c r="AG51" s="59">
        <f t="shared" si="28"/>
        <v>0</v>
      </c>
      <c r="AH51" s="23">
        <f>IFERROR(AG51/AG148, "NA")</f>
        <v>0</v>
      </c>
      <c r="AI51" s="61">
        <f t="shared" si="29"/>
        <v>0</v>
      </c>
      <c r="AJ51" s="63">
        <f>IFERROR(AI51/AI148, "NA")</f>
        <v>0</v>
      </c>
      <c r="AK51" s="61" t="str">
        <f t="shared" si="30"/>
        <v>NA</v>
      </c>
      <c r="AL51" s="63" t="str">
        <f>IFERROR(AK51/AK148, "NA")</f>
        <v>NA</v>
      </c>
    </row>
    <row r="52" ht="16.5" customHeight="1">
      <c r="A52" s="66" t="s">
        <v>112</v>
      </c>
      <c r="B52" s="67">
        <f>IFERROR(B46+B47+B48+B49+B50+B51, "NA")</f>
        <v>409.22</v>
      </c>
      <c r="C52" s="69">
        <f>IFERROR(B52/B148, "NA")</f>
        <v>0.003262627133</v>
      </c>
      <c r="D52" s="67">
        <f>IFERROR(D46+D47+D48+D49+D50+D51, "NA")</f>
        <v>338.56</v>
      </c>
      <c r="E52" s="69">
        <f>IFERROR(D52/D148, "NA")</f>
        <v>0.002527672172</v>
      </c>
      <c r="F52" s="67">
        <f>IFERROR(F46+F47+F48+F49+F50+F51, "NA")</f>
        <v>413.64</v>
      </c>
      <c r="G52" s="69">
        <f>IFERROR(F52/F148, "NA")</f>
        <v>0.003231417591</v>
      </c>
      <c r="H52" s="67">
        <f>IFERROR(H46+H47+H48+H49+H50+H51, "NA")</f>
        <v>356.33</v>
      </c>
      <c r="I52" s="69">
        <f>IFERROR(H52/H148, "NA")</f>
        <v>0.003078038863</v>
      </c>
      <c r="J52" s="67">
        <f>IFERROR(J46+J47+J48+J49+J50+J51, "NA")</f>
        <v>361.61</v>
      </c>
      <c r="K52" s="69">
        <f>IFERROR(J52/J148, "NA")</f>
        <v>0.002674811004</v>
      </c>
      <c r="L52" s="67">
        <f>IFERROR(L46+L47+L48+L49+L50+L51, "NA")</f>
        <v>458.8</v>
      </c>
      <c r="M52" s="69">
        <f>IFERROR(L52/L148, "NA")</f>
        <v>0.003619669321</v>
      </c>
      <c r="N52" s="67">
        <f>IFERROR(N46+N47+N48+N49+N50+N51, "NA")</f>
        <v>321.68</v>
      </c>
      <c r="O52" s="69">
        <f>IFERROR(N52/N148, "NA")</f>
        <v>0.002352859084</v>
      </c>
      <c r="P52" s="67">
        <f>IFERROR(P46+P47+P48+P49+P50+P51, "NA")</f>
        <v>272.64</v>
      </c>
      <c r="Q52" s="69">
        <f>IFERROR(P52/P148, "NA")</f>
        <v>0.001821333856</v>
      </c>
      <c r="R52" s="67">
        <f>IFERROR(R46+R47+R48+R49+R50+R51, "NA")</f>
        <v>291.2</v>
      </c>
      <c r="S52" s="69">
        <f>IFERROR(R52/R148, "NA")</f>
        <v>0.002365608152</v>
      </c>
      <c r="T52" s="67">
        <f>IFERROR(T46+T47+T48+T49+T50+T51, "NA")</f>
        <v>352.73</v>
      </c>
      <c r="U52" s="69">
        <f>IFERROR(T52/T148, "NA")</f>
        <v>0.002098086449</v>
      </c>
      <c r="V52" s="67">
        <f>IFERROR(V46+V47+V48+V49+V50+V51, "NA")</f>
        <v>398.49</v>
      </c>
      <c r="W52" s="69">
        <f>IFERROR(V52/V148, "NA")</f>
        <v>0.00239548265</v>
      </c>
      <c r="X52" s="67">
        <f>IFERROR(X46+X47+X48+X49+X50+X51, "NA")</f>
        <v>390.62</v>
      </c>
      <c r="Y52" s="69">
        <f>IFERROR(X52/X148, "NA")</f>
        <v>0.002821740913</v>
      </c>
      <c r="Z52" s="67">
        <f>IFERROR(Z46+Z47+Z48+Z49+Z50+Z51, "NA")</f>
        <v>1433.04</v>
      </c>
      <c r="AA52" s="69">
        <f>IFERROR(Z52/Z148, "NA")</f>
        <v>0.002404429328</v>
      </c>
      <c r="AB52" s="67">
        <f t="shared" si="25"/>
        <v>358.26</v>
      </c>
      <c r="AC52" s="69">
        <f>IFERROR(AB52/AB148, "NA")</f>
        <v>0.002404429328</v>
      </c>
      <c r="AD52" s="70">
        <f t="shared" si="26"/>
        <v>32.36</v>
      </c>
      <c r="AE52" s="71">
        <f>IFERROR(AD52/AD148, "NA")</f>
        <v>-0.003062148799</v>
      </c>
      <c r="AF52" s="70">
        <f t="shared" si="27"/>
        <v>0.09032546196</v>
      </c>
      <c r="AG52" s="67">
        <f t="shared" si="28"/>
        <v>355.97125</v>
      </c>
      <c r="AH52" s="69">
        <f>IFERROR(AG52/AG148, "NA")</f>
        <v>0.002488539212</v>
      </c>
      <c r="AI52" s="70">
        <f t="shared" si="29"/>
        <v>34.64875</v>
      </c>
      <c r="AJ52" s="71">
        <f>IFERROR(AI52/AI148, "NA")</f>
        <v>-0.007512754798</v>
      </c>
      <c r="AK52" s="70">
        <f t="shared" si="30"/>
        <v>0.09733581013</v>
      </c>
      <c r="AL52" s="71">
        <f>IFERROR(AK52/AK148, "NA")</f>
        <v>-3.0189417</v>
      </c>
    </row>
    <row r="53" ht="16.5" customHeight="1">
      <c r="A53" s="26" t="s">
        <v>113</v>
      </c>
      <c r="B53" s="27">
        <v>189.33</v>
      </c>
      <c r="C53" s="23">
        <f>IFERROR(B53/B148, "NA")</f>
        <v>0.00150948926</v>
      </c>
      <c r="D53" s="27">
        <v>205.57999999999998</v>
      </c>
      <c r="E53" s="23">
        <f>IFERROR(D53/D148, "NA")</f>
        <v>0.001534850086</v>
      </c>
      <c r="F53" s="27">
        <v>210.8</v>
      </c>
      <c r="G53" s="23">
        <f>IFERROR(F53/F148, "NA")</f>
        <v>0.001646801151</v>
      </c>
      <c r="H53" s="27">
        <v>147.4</v>
      </c>
      <c r="I53" s="23">
        <f>IFERROR(H53/H148, "NA")</f>
        <v>0.001273266153</v>
      </c>
      <c r="J53" s="27">
        <v>269.28</v>
      </c>
      <c r="K53" s="23">
        <f>IFERROR(J53/J148, "NA")</f>
        <v>0.001991850633</v>
      </c>
      <c r="L53" s="27">
        <v>196.35</v>
      </c>
      <c r="M53" s="23">
        <f>IFERROR(L53/L148, "NA")</f>
        <v>0.001549089083</v>
      </c>
      <c r="N53" s="27">
        <v>158.17</v>
      </c>
      <c r="O53" s="23">
        <f>IFERROR(N53/N148, "NA")</f>
        <v>0.001156900402</v>
      </c>
      <c r="P53" s="27">
        <v>227.5</v>
      </c>
      <c r="Q53" s="23">
        <f>IFERROR(P53/P148, "NA")</f>
        <v>0.001519782322</v>
      </c>
      <c r="R53" s="27">
        <v>172.69</v>
      </c>
      <c r="S53" s="23">
        <f>IFERROR(R53/R148, "NA")</f>
        <v>0.001402873873</v>
      </c>
      <c r="T53" s="27">
        <v>279.76</v>
      </c>
      <c r="U53" s="23">
        <f>IFERROR(T53/T148, "NA")</f>
        <v>0.001664050874</v>
      </c>
      <c r="V53" s="27">
        <v>214.64000000000001</v>
      </c>
      <c r="W53" s="23">
        <f>IFERROR(V53/V148, "NA")</f>
        <v>0.001290286823</v>
      </c>
      <c r="X53" s="27">
        <v>296.46000000000004</v>
      </c>
      <c r="Y53" s="23">
        <f>IFERROR(X53/X148, "NA")</f>
        <v>0.002141552689</v>
      </c>
      <c r="Z53" s="27">
        <v>963.55</v>
      </c>
      <c r="AA53" s="23">
        <f>IFERROR(Z53/Z148, "NA")</f>
        <v>0.001616694495</v>
      </c>
      <c r="AB53" s="59">
        <f t="shared" si="25"/>
        <v>240.8875</v>
      </c>
      <c r="AC53" s="23">
        <f>IFERROR(AB53/AB148, "NA")</f>
        <v>0.001616694495</v>
      </c>
      <c r="AD53" s="61">
        <f t="shared" si="26"/>
        <v>55.5725</v>
      </c>
      <c r="AE53" s="63">
        <f>IFERROR(AD53/AD148, "NA")</f>
        <v>-0.005258691722</v>
      </c>
      <c r="AF53" s="61">
        <f t="shared" si="27"/>
        <v>0.2306989777</v>
      </c>
      <c r="AG53" s="59">
        <f t="shared" si="28"/>
        <v>226.85625</v>
      </c>
      <c r="AH53" s="23">
        <f>IFERROR(AG53/AG148, "NA")</f>
        <v>0.001585916485</v>
      </c>
      <c r="AI53" s="61">
        <f t="shared" si="29"/>
        <v>69.60375</v>
      </c>
      <c r="AJ53" s="63">
        <f>IFERROR(AI53/AI148, "NA")</f>
        <v>-0.0150919126</v>
      </c>
      <c r="AK53" s="61">
        <f t="shared" si="30"/>
        <v>0.3068187454</v>
      </c>
      <c r="AL53" s="63">
        <f>IFERROR(AK53/AK148, "NA")</f>
        <v>-9.516208921</v>
      </c>
    </row>
    <row r="54" ht="16.5" customHeight="1">
      <c r="A54" s="26" t="s">
        <v>114</v>
      </c>
      <c r="B54" s="27">
        <v>161.75</v>
      </c>
      <c r="C54" s="23">
        <f>IFERROR(B54/B148, "NA")</f>
        <v>0.001289599577</v>
      </c>
      <c r="D54" s="27">
        <v>177.25</v>
      </c>
      <c r="E54" s="23">
        <f>IFERROR(D54/D148, "NA")</f>
        <v>0.001323339711</v>
      </c>
      <c r="F54" s="27">
        <v>154.75</v>
      </c>
      <c r="G54" s="23">
        <f>IFERROR(F54/F148, "NA")</f>
        <v>0.001208930162</v>
      </c>
      <c r="H54" s="27">
        <v>152.49</v>
      </c>
      <c r="I54" s="23">
        <f>IFERROR(H54/H148, "NA")</f>
        <v>0.001317234435</v>
      </c>
      <c r="J54" s="27">
        <v>189.25</v>
      </c>
      <c r="K54" s="23">
        <f>IFERROR(J54/J148, "NA")</f>
        <v>0.001399872743</v>
      </c>
      <c r="L54" s="27">
        <v>144.31</v>
      </c>
      <c r="M54" s="23">
        <f>IFERROR(L54/L148, "NA")</f>
        <v>0.001138523277</v>
      </c>
      <c r="N54" s="27">
        <v>158.93</v>
      </c>
      <c r="O54" s="23">
        <f>IFERROR(N54/N148, "NA")</f>
        <v>0.001162459259</v>
      </c>
      <c r="P54" s="27">
        <v>140.0</v>
      </c>
      <c r="Q54" s="23">
        <f>IFERROR(P54/P148, "NA")</f>
        <v>0.0009352506595</v>
      </c>
      <c r="R54" s="27">
        <v>146.0</v>
      </c>
      <c r="S54" s="23">
        <f>IFERROR(R54/R148, "NA")</f>
        <v>0.001186053538</v>
      </c>
      <c r="T54" s="27">
        <v>140.81</v>
      </c>
      <c r="U54" s="23">
        <f>IFERROR(T54/T148, "NA")</f>
        <v>0.0008375572047</v>
      </c>
      <c r="V54" s="27">
        <v>130.31</v>
      </c>
      <c r="W54" s="23">
        <f>IFERROR(V54/V148, "NA")</f>
        <v>0.0007833454894</v>
      </c>
      <c r="X54" s="27">
        <v>130.81</v>
      </c>
      <c r="Y54" s="23">
        <f>IFERROR(X54/X148, "NA")</f>
        <v>0.0009449386332</v>
      </c>
      <c r="Z54" s="27">
        <v>547.9300000000001</v>
      </c>
      <c r="AA54" s="23">
        <f>IFERROR(Z54/Z148, "NA")</f>
        <v>0.0009193455605</v>
      </c>
      <c r="AB54" s="59">
        <f t="shared" si="25"/>
        <v>136.9825</v>
      </c>
      <c r="AC54" s="23">
        <f>IFERROR(AB54/AB148, "NA")</f>
        <v>0.0009193455605</v>
      </c>
      <c r="AD54" s="61">
        <f t="shared" si="26"/>
        <v>-6.1725</v>
      </c>
      <c r="AE54" s="63">
        <f>IFERROR(AD54/AD148, "NA")</f>
        <v>0.0005840887966</v>
      </c>
      <c r="AF54" s="61">
        <f t="shared" si="27"/>
        <v>-0.04506050043</v>
      </c>
      <c r="AG54" s="59">
        <f t="shared" si="28"/>
        <v>147.5525</v>
      </c>
      <c r="AH54" s="23">
        <f>IFERROR(AG54/AG148, "NA")</f>
        <v>0.001031516399</v>
      </c>
      <c r="AI54" s="61">
        <f t="shared" si="29"/>
        <v>-16.7425</v>
      </c>
      <c r="AJ54" s="63">
        <f>IFERROR(AI54/AI148, "NA")</f>
        <v>0.003630211687</v>
      </c>
      <c r="AK54" s="61">
        <f t="shared" si="30"/>
        <v>-0.1134680876</v>
      </c>
      <c r="AL54" s="63">
        <f>IFERROR(AK54/AK148, "NA")</f>
        <v>3.519296145</v>
      </c>
    </row>
    <row r="55" ht="16.5" customHeight="1">
      <c r="A55" s="26" t="s">
        <v>115</v>
      </c>
      <c r="B55" s="27">
        <v>-1573.71</v>
      </c>
      <c r="C55" s="23">
        <f>IFERROR(B55/B148, "NA")</f>
        <v>-0.01254686708</v>
      </c>
      <c r="D55" s="27">
        <v>-957.18</v>
      </c>
      <c r="E55" s="23">
        <f>IFERROR(D55/D148, "NA")</f>
        <v>-0.007146258417</v>
      </c>
      <c r="F55" s="27">
        <v>-798.8</v>
      </c>
      <c r="G55" s="23">
        <f>IFERROR(F55/F148, "NA")</f>
        <v>-0.00624034516</v>
      </c>
      <c r="H55" s="27">
        <v>-944.77</v>
      </c>
      <c r="I55" s="23">
        <f>IFERROR(H55/H148, "NA")</f>
        <v>-0.008161083199</v>
      </c>
      <c r="J55" s="27">
        <v>-1081.68</v>
      </c>
      <c r="K55" s="23">
        <f>IFERROR(J55/J148, "NA")</f>
        <v>-0.008001132621</v>
      </c>
      <c r="L55" s="27">
        <v>-1005.6500000000001</v>
      </c>
      <c r="M55" s="23">
        <f>IFERROR(L55/L148, "NA")</f>
        <v>-0.00793400273</v>
      </c>
      <c r="N55" s="27">
        <v>-1114.4</v>
      </c>
      <c r="O55" s="23">
        <f>IFERROR(N55/N148, "NA")</f>
        <v>-0.008151038808</v>
      </c>
      <c r="P55" s="27">
        <v>-823.2299999999999</v>
      </c>
      <c r="Q55" s="23">
        <f>IFERROR(P55/P148, "NA")</f>
        <v>-0.005499474289</v>
      </c>
      <c r="R55" s="27">
        <v>-1046.73</v>
      </c>
      <c r="S55" s="23">
        <f>IFERROR(R55/R148, "NA")</f>
        <v>-0.008503272736</v>
      </c>
      <c r="T55" s="27">
        <v>-969.1200000000001</v>
      </c>
      <c r="U55" s="23">
        <f>IFERROR(T55/T148, "NA")</f>
        <v>-0.005764458762</v>
      </c>
      <c r="V55" s="27">
        <v>-850.5899999999999</v>
      </c>
      <c r="W55" s="23">
        <f>IFERROR(V55/V148, "NA")</f>
        <v>-0.005113236435</v>
      </c>
      <c r="X55" s="27">
        <v>-934.0999999999999</v>
      </c>
      <c r="Y55" s="23">
        <f>IFERROR(X55/X148, "NA")</f>
        <v>-0.00674770413</v>
      </c>
      <c r="Z55" s="27">
        <v>-3800.54</v>
      </c>
      <c r="AA55" s="23">
        <f>IFERROR(Z55/Z148, "NA")</f>
        <v>-0.006376744431</v>
      </c>
      <c r="AB55" s="59">
        <f t="shared" si="25"/>
        <v>-950.135</v>
      </c>
      <c r="AC55" s="23">
        <f>IFERROR(AB55/AB148, "NA")</f>
        <v>-0.006376744431</v>
      </c>
      <c r="AD55" s="61">
        <f t="shared" si="26"/>
        <v>16.035</v>
      </c>
      <c r="AE55" s="63">
        <f>IFERROR(AD55/AD148, "NA")</f>
        <v>-0.001517353399</v>
      </c>
      <c r="AF55" s="61">
        <f t="shared" si="27"/>
        <v>-0.01687654912</v>
      </c>
      <c r="AG55" s="59">
        <f t="shared" si="28"/>
        <v>-978.1875</v>
      </c>
      <c r="AH55" s="23">
        <f>IFERROR(AG55/AG148, "NA")</f>
        <v>-0.006838355485</v>
      </c>
      <c r="AI55" s="61">
        <f t="shared" si="29"/>
        <v>44.0875</v>
      </c>
      <c r="AJ55" s="63">
        <f>IFERROR(AI55/AI148, "NA")</f>
        <v>-0.009559322548</v>
      </c>
      <c r="AK55" s="61">
        <f t="shared" si="30"/>
        <v>-0.04507060252</v>
      </c>
      <c r="AL55" s="63">
        <f>IFERROR(AK55/AK148, "NA")</f>
        <v>1.397897867</v>
      </c>
    </row>
    <row r="56" ht="16.5" customHeight="1">
      <c r="A56" s="66" t="s">
        <v>116</v>
      </c>
      <c r="B56" s="67">
        <f>IFERROR(B37+B39+B40+B41+B42+B43+B46+B47+B48+B49+B50+B51+B53+B54+B55, "NA")</f>
        <v>4278.34</v>
      </c>
      <c r="C56" s="69">
        <f>IFERROR(B56/B148, "NA")</f>
        <v>0.03411032738</v>
      </c>
      <c r="D56" s="67">
        <f>IFERROR(D37+D39+D40+D41+D42+D43+D46+D47+D48+D49+D50+D51+D53+D54+D55, "NA")</f>
        <v>5326.51</v>
      </c>
      <c r="E56" s="69">
        <f>IFERROR(D56/D148, "NA")</f>
        <v>0.03976745954</v>
      </c>
      <c r="F56" s="67">
        <f>IFERROR(F37+F39+F40+F41+F42+F43+F46+F47+F48+F49+F50+F51+F53+F54+F55, "NA")</f>
        <v>5169.56</v>
      </c>
      <c r="G56" s="69">
        <f>IFERROR(F56/F148, "NA")</f>
        <v>0.04038537647</v>
      </c>
      <c r="H56" s="67">
        <f>IFERROR(H37+H39+H40+H41+H42+H43+H46+H47+H48+H49+H50+H51+H53+H54+H55, "NA")</f>
        <v>4133.23</v>
      </c>
      <c r="I56" s="69">
        <f>IFERROR(H56/H148, "NA")</f>
        <v>0.03570354045</v>
      </c>
      <c r="J56" s="67">
        <f>IFERROR(J37+J39+J40+J41+J42+J43+J46+J47+J48+J49+J50+J51+J53+J54+J55, "NA")</f>
        <v>5030.63</v>
      </c>
      <c r="K56" s="69">
        <f>IFERROR(J56/J148, "NA")</f>
        <v>0.03721131739</v>
      </c>
      <c r="L56" s="67">
        <f>IFERROR(L37+L39+L40+L41+L42+L43+L46+L47+L48+L49+L50+L51+L53+L54+L55, "NA")</f>
        <v>4852.93</v>
      </c>
      <c r="M56" s="69">
        <f>IFERROR(L56/L148, "NA")</f>
        <v>0.03828683923</v>
      </c>
      <c r="N56" s="67">
        <f>IFERROR(N37+N39+N40+N41+N42+N43+N46+N47+N48+N49+N50+N51+N53+N54+N55, "NA")</f>
        <v>4620.48</v>
      </c>
      <c r="O56" s="69">
        <f>IFERROR(N56/N148, "NA")</f>
        <v>0.03379550591</v>
      </c>
      <c r="P56" s="67">
        <f>IFERROR(P37+P39+P40+P41+P42+P43+P46+P47+P48+P49+P50+P51+P53+P54+P55, "NA")</f>
        <v>4798.79</v>
      </c>
      <c r="Q56" s="69">
        <f>IFERROR(P56/P148, "NA")</f>
        <v>0.03205765366</v>
      </c>
      <c r="R56" s="67">
        <f>IFERROR(R37+R39+R40+R41+R42+R43+R46+R47+R48+R49+R50+R51+R53+R54+R55, "NA")</f>
        <v>4666.03</v>
      </c>
      <c r="S56" s="69">
        <f>IFERROR(R56/R148, "NA")</f>
        <v>0.03790521499</v>
      </c>
      <c r="T56" s="67">
        <f>IFERROR(T37+T39+T40+T41+T42+T43+T46+T47+T48+T49+T50+T51+T53+T54+T55, "NA")</f>
        <v>5643.04</v>
      </c>
      <c r="U56" s="69">
        <f>IFERROR(T56/T148, "NA")</f>
        <v>0.03356557637</v>
      </c>
      <c r="V56" s="67">
        <f>IFERROR(V37+V39+V40+V41+V42+V43+V46+V47+V48+V49+V50+V51+V53+V54+V55, "NA")</f>
        <v>5338.51</v>
      </c>
      <c r="W56" s="69">
        <f>IFERROR(V56/V148, "NA")</f>
        <v>0.03209191719</v>
      </c>
      <c r="X56" s="67">
        <f>IFERROR(X37+X39+X40+X41+X42+X43+X46+X47+X48+X49+X50+X51+X53+X54+X55, "NA")</f>
        <v>5675.93</v>
      </c>
      <c r="Y56" s="69">
        <f>IFERROR(X56/X148, "NA")</f>
        <v>0.04100149481</v>
      </c>
      <c r="Z56" s="67">
        <f>IFERROR(Z37+Z39+Z40+Z41+Z42+Z43+Z46+Z47+Z48+Z49+Z50+Z51+Z53+Z54+Z55, "NA")</f>
        <v>21323.51</v>
      </c>
      <c r="AA56" s="69">
        <f>IFERROR(Z56/Z148, "NA")</f>
        <v>0.03577769834</v>
      </c>
      <c r="AB56" s="67">
        <f t="shared" si="25"/>
        <v>5330.8775</v>
      </c>
      <c r="AC56" s="69">
        <f>IFERROR(AB56/AB148, "NA")</f>
        <v>0.03577769834</v>
      </c>
      <c r="AD56" s="70">
        <f t="shared" si="26"/>
        <v>345.0525</v>
      </c>
      <c r="AE56" s="71">
        <f>IFERROR(AD56/AD148, "NA")</f>
        <v>-0.03265148635</v>
      </c>
      <c r="AF56" s="70">
        <f t="shared" si="27"/>
        <v>0.06472714858</v>
      </c>
      <c r="AG56" s="67">
        <f t="shared" si="28"/>
        <v>5078.2925</v>
      </c>
      <c r="AH56" s="69">
        <f>IFERROR(AG56/AG148, "NA")</f>
        <v>0.03550154686</v>
      </c>
      <c r="AI56" s="70">
        <f t="shared" si="29"/>
        <v>597.6375</v>
      </c>
      <c r="AJ56" s="71">
        <f>IFERROR(AI56/AI148, "NA")</f>
        <v>-0.1295834336</v>
      </c>
      <c r="AK56" s="70">
        <f t="shared" si="30"/>
        <v>0.1176847336</v>
      </c>
      <c r="AL56" s="71">
        <f>IFERROR(AK56/AK148, "NA")</f>
        <v>-3.650078519</v>
      </c>
    </row>
    <row r="57" ht="16.5" customHeight="1">
      <c r="A57" s="66" t="s">
        <v>52</v>
      </c>
      <c r="B57" s="115">
        <f>IFERROR(B13+B15+B16+B17+B18+B19+B20+B21+B22+B23+B24+B25+B26+B29+B30+B31+B32+B33+B37+B39+B40+B41+B42+B43+B46+B47+B48+B49+B50+B51+B53+B54+B55, "NA")</f>
        <v>34054.85</v>
      </c>
      <c r="C57" s="96">
        <f>IFERROR(B57/B148, "NA")</f>
        <v>0.2715123348</v>
      </c>
      <c r="D57" s="115">
        <f>IFERROR(D13+D15+D16+D17+D18+D19+D20+D21+D22+D23+D24+D25+D26+D29+D30+D31+D32+D33+D37+D39+D40+D41+D42+D43+D46+D47+D48+D49+D50+D51+D53+D54+D55, "NA")</f>
        <v>38068.61</v>
      </c>
      <c r="E57" s="96">
        <f>IFERROR(D57/D148, "NA")</f>
        <v>0.2842183546</v>
      </c>
      <c r="F57" s="115">
        <f>IFERROR(F13+F15+F16+F17+F18+F19+F20+F21+F22+F23+F24+F25+F26+F29+F30+F31+F32+F33+F37+F39+F40+F41+F42+F43+F46+F47+F48+F49+F50+F51+F53+F54+F55, "NA")</f>
        <v>35447.67</v>
      </c>
      <c r="G57" s="96">
        <f>IFERROR(F57/F148, "NA")</f>
        <v>0.2769225036</v>
      </c>
      <c r="H57" s="115">
        <f>IFERROR(H13+H15+H16+H17+H18+H19+H20+H21+H22+H23+H24+H25+H26+H29+H30+H31+H32+H33+H37+H39+H40+H41+H42+H43+H46+H47+H48+H49+H50+H51+H53+H54+H55, "NA")</f>
        <v>32805.79</v>
      </c>
      <c r="I57" s="96">
        <f>IFERROR(H57/H148, "NA")</f>
        <v>0.2833819677</v>
      </c>
      <c r="J57" s="115">
        <f>IFERROR(J13+J15+J16+J17+J18+J19+J20+J21+J22+J23+J24+J25+J26+J29+J30+J31+J32+J33+J37+J39+J40+J41+J42+J43+J46+J47+J48+J49+J50+J51+J53+J54+J55, "NA")</f>
        <v>37430.43</v>
      </c>
      <c r="K57" s="96">
        <f>IFERROR(J57/J148, "NA")</f>
        <v>0.2768710104</v>
      </c>
      <c r="L57" s="115">
        <f>IFERROR(L13+L15+L16+L17+L18+L19+L20+L21+L22+L23+L24+L25+L26+L29+L30+L31+L32+L33+L37+L39+L40+L41+L42+L43+L46+L47+L48+L49+L50+L51+L53+L54+L55, "NA")</f>
        <v>33589.31</v>
      </c>
      <c r="M57" s="96">
        <f>IFERROR(L57/L148, "NA")</f>
        <v>0.2650004248</v>
      </c>
      <c r="N57" s="115">
        <f>IFERROR(N13+N15+N16+N17+N18+N19+N20+N21+N22+N23+N24+N25+N26+N29+N30+N31+N32+N33+N37+N39+N40+N41+N42+N43+N46+N47+N48+N49+N50+N51+N53+N54+N55, "NA")</f>
        <v>36602.5</v>
      </c>
      <c r="O57" s="96">
        <f>IFERROR(N57/N148, "NA")</f>
        <v>0.2677211037</v>
      </c>
      <c r="P57" s="115">
        <f>IFERROR(P13+P15+P16+P17+P18+P19+P20+P21+P22+P23+P24+P25+P26+P29+P30+P31+P32+P33+P37+P39+P40+P41+P42+P43+P46+P47+P48+P49+P50+P51+P53+P54+P55, "NA")</f>
        <v>38067.21</v>
      </c>
      <c r="Q57" s="96">
        <f>IFERROR(P57/P148, "NA")</f>
        <v>0.2543027376</v>
      </c>
      <c r="R57" s="115">
        <f>IFERROR(R13+R15+R16+R17+R18+R19+R20+R21+R22+R23+R24+R25+R26+R29+R30+R31+R32+R33+R37+R39+R40+R41+R42+R43+R46+R47+R48+R49+R50+R51+R53+R54+R55, "NA")</f>
        <v>31910.6</v>
      </c>
      <c r="S57" s="96">
        <f>IFERROR(R57/R148, "NA")</f>
        <v>0.2592306851</v>
      </c>
      <c r="T57" s="115">
        <f>IFERROR(T13+T15+T16+T17+T18+T19+T20+T21+T22+T23+T24+T25+T26+T29+T30+T31+T32+T33+T37+T39+T40+T41+T42+T43+T46+T47+T48+T49+T50+T51+T53+T54+T55, "NA")</f>
        <v>41076.68</v>
      </c>
      <c r="U57" s="96">
        <f>IFERROR(T57/T148, "NA")</f>
        <v>0.24432973</v>
      </c>
      <c r="V57" s="115">
        <f>IFERROR(V13+V15+V16+V17+V18+V19+V20+V21+V22+V23+V24+V25+V26+V29+V30+V31+V32+V33+V37+V39+V40+V41+V42+V43+V46+V47+V48+V49+V50+V51+V53+V54+V55, "NA")</f>
        <v>39713.58</v>
      </c>
      <c r="W57" s="96">
        <f>IFERROR(V57/V148, "NA")</f>
        <v>0.2387342012</v>
      </c>
      <c r="X57" s="115">
        <f>IFERROR(X13+X15+X16+X17+X18+X19+X20+X21+X22+X23+X24+X25+X26+X29+X30+X31+X32+X33+X37+X39+X40+X41+X42+X43+X46+X47+X48+X49+X50+X51+X53+X54+X55, "NA")</f>
        <v>34160.48</v>
      </c>
      <c r="Y57" s="96">
        <f>IFERROR(X57/X148, "NA")</f>
        <v>0.2467667402</v>
      </c>
      <c r="Z57" s="115">
        <f>IFERROR(Z13+Z15+Z16+Z17+Z18+Z19+Z20+Z21+Z22+Z23+Z24+Z25+Z26+Z29+Z30+Z31+Z32+Z33+Z37+Z39+Z40+Z41+Z42+Z43+Z46+Z47+Z48+Z49+Z50+Z51+Z53+Z54+Z55, "NA")</f>
        <v>146861.34</v>
      </c>
      <c r="AA57" s="96">
        <f>IFERROR(Z57/Z148, "NA")</f>
        <v>0.2464116236</v>
      </c>
      <c r="AB57" s="115">
        <f t="shared" si="25"/>
        <v>36715.335</v>
      </c>
      <c r="AC57" s="96">
        <f>IFERROR(AB57/AB148, "NA")</f>
        <v>0.2464116236</v>
      </c>
      <c r="AD57" s="116">
        <f t="shared" si="26"/>
        <v>-2554.855</v>
      </c>
      <c r="AE57" s="117">
        <f>IFERROR(AD57/AD148, "NA")</f>
        <v>0.2417597704</v>
      </c>
      <c r="AF57" s="116">
        <f t="shared" si="27"/>
        <v>-0.06958550153</v>
      </c>
      <c r="AG57" s="115">
        <f t="shared" si="28"/>
        <v>36568.84875</v>
      </c>
      <c r="AH57" s="96">
        <f>IFERROR(AG57/AG148, "NA")</f>
        <v>0.2556470896</v>
      </c>
      <c r="AI57" s="116">
        <f t="shared" si="29"/>
        <v>-2408.36875</v>
      </c>
      <c r="AJ57" s="117">
        <f>IFERROR(AI57/AI148, "NA")</f>
        <v>0.5221973053</v>
      </c>
      <c r="AK57" s="116">
        <f t="shared" si="30"/>
        <v>-0.0658584788</v>
      </c>
      <c r="AL57" s="117">
        <f>IFERROR(AK57/AK148, "NA")</f>
        <v>2.042649131</v>
      </c>
    </row>
    <row r="58" ht="3.75" customHeight="1">
      <c r="A58" s="74" t="s">
        <v>6</v>
      </c>
      <c r="B58" s="75"/>
      <c r="C58" s="76"/>
      <c r="D58" s="75"/>
      <c r="E58" s="76"/>
      <c r="F58" s="75"/>
      <c r="G58" s="76"/>
      <c r="H58" s="75"/>
      <c r="I58" s="76"/>
      <c r="J58" s="75"/>
      <c r="K58" s="76"/>
      <c r="L58" s="75"/>
      <c r="M58" s="76"/>
      <c r="N58" s="75"/>
      <c r="O58" s="76"/>
      <c r="P58" s="75"/>
      <c r="Q58" s="76"/>
      <c r="R58" s="75"/>
      <c r="S58" s="76"/>
      <c r="T58" s="75"/>
      <c r="U58" s="76"/>
      <c r="V58" s="75"/>
      <c r="W58" s="76"/>
      <c r="X58" s="75"/>
      <c r="Y58" s="76"/>
      <c r="Z58" s="75"/>
      <c r="AA58" s="76"/>
      <c r="AB58" s="75"/>
      <c r="AC58" s="76"/>
      <c r="AD58" s="77"/>
      <c r="AE58" s="78"/>
      <c r="AF58" s="77"/>
      <c r="AG58" s="75"/>
      <c r="AH58" s="76"/>
      <c r="AI58" s="77"/>
      <c r="AJ58" s="78"/>
      <c r="AK58" s="77"/>
      <c r="AL58" s="78"/>
    </row>
    <row r="59" ht="16.5" customHeight="1">
      <c r="A59" s="118" t="s">
        <v>121</v>
      </c>
      <c r="B59" s="119">
        <f>IFERROR(B9-B57, "NA")</f>
        <v>91371.68</v>
      </c>
      <c r="C59" s="107">
        <f>IFERROR(B59/B148, "NA")</f>
        <v>0.7284876652</v>
      </c>
      <c r="D59" s="119">
        <f>IFERROR(D9-D57, "NA")</f>
        <v>95872.81</v>
      </c>
      <c r="E59" s="107">
        <f>IFERROR(D59/D148, "NA")</f>
        <v>0.7157816454</v>
      </c>
      <c r="F59" s="119">
        <f>IFERROR(F9-F57, "NA")</f>
        <v>92558.07</v>
      </c>
      <c r="G59" s="107">
        <f>IFERROR(F59/F148, "NA")</f>
        <v>0.7230774964</v>
      </c>
      <c r="H59" s="119">
        <f>IFERROR(H9-H57, "NA")</f>
        <v>82959.48</v>
      </c>
      <c r="I59" s="107">
        <f>IFERROR(H59/H148, "NA")</f>
        <v>0.7166180323</v>
      </c>
      <c r="J59" s="119">
        <f>IFERROR(J9-J57, "NA")</f>
        <v>97760.43</v>
      </c>
      <c r="K59" s="107">
        <f>IFERROR(J59/J148, "NA")</f>
        <v>0.7231289896</v>
      </c>
      <c r="L59" s="119">
        <f>IFERROR(L9-L57, "NA")</f>
        <v>93162.6</v>
      </c>
      <c r="M59" s="107">
        <f>IFERROR(L59/L148, "NA")</f>
        <v>0.7349995752</v>
      </c>
      <c r="N59" s="119">
        <f>IFERROR(N9-N57, "NA")</f>
        <v>100116.27</v>
      </c>
      <c r="O59" s="107">
        <f>IFERROR(N59/N148, "NA")</f>
        <v>0.7322788963</v>
      </c>
      <c r="P59" s="119">
        <f>IFERROR(P9-P57, "NA")</f>
        <v>111625.28</v>
      </c>
      <c r="Q59" s="107">
        <f>IFERROR(P59/P148, "NA")</f>
        <v>0.7456972624</v>
      </c>
      <c r="R59" s="119">
        <f>IFERROR(R9-R57, "NA")</f>
        <v>91186.71</v>
      </c>
      <c r="S59" s="107">
        <f>IFERROR(R59/R148, "NA")</f>
        <v>0.7407693149</v>
      </c>
      <c r="T59" s="119">
        <f>IFERROR(T9-T57, "NA")</f>
        <v>127043.18</v>
      </c>
      <c r="U59" s="107">
        <f>IFERROR(T59/T148, "NA")</f>
        <v>0.75567027</v>
      </c>
      <c r="V59" s="119">
        <f>IFERROR(V9-V57, "NA")</f>
        <v>126637.03</v>
      </c>
      <c r="W59" s="107">
        <f>IFERROR(V59/V148, "NA")</f>
        <v>0.7612657988</v>
      </c>
      <c r="X59" s="119">
        <f>IFERROR(X9-X57, "NA")</f>
        <v>104271.79</v>
      </c>
      <c r="Y59" s="107">
        <f>IFERROR(X59/X148, "NA")</f>
        <v>0.7532332598</v>
      </c>
      <c r="Z59" s="119">
        <f>IFERROR(Z9-Z57, "NA")</f>
        <v>449138.71</v>
      </c>
      <c r="AA59" s="107">
        <f>IFERROR(Z59/Z148, "NA")</f>
        <v>0.7535883764</v>
      </c>
      <c r="AB59" s="119">
        <f>IFERROR((R59+T59+V59+X59)/4, "NA")</f>
        <v>112284.6775</v>
      </c>
      <c r="AC59" s="107">
        <f>IFERROR(AB59/AB148, "NA")</f>
        <v>0.7535883764</v>
      </c>
      <c r="AD59" s="70">
        <f>IFERROR(X59-AB59, "NA")</f>
        <v>-8012.8875</v>
      </c>
      <c r="AE59" s="71">
        <f>IFERROR(AD59/AD148, "NA")</f>
        <v>0.7582402296</v>
      </c>
      <c r="AF59" s="70">
        <f>IFERROR((X59-AB59)/AB59, "NA")</f>
        <v>-0.07136225243</v>
      </c>
      <c r="AG59" s="119">
        <f>IFERROR((J59+L59+N59+P59+R59+T59+V59+X59)/8, "NA")</f>
        <v>106475.4113</v>
      </c>
      <c r="AH59" s="107">
        <f>IFERROR(AG59/AG148, "NA")</f>
        <v>0.7443529104</v>
      </c>
      <c r="AI59" s="70">
        <f>IFERROR(X59-AG59, "NA")</f>
        <v>-2203.62125</v>
      </c>
      <c r="AJ59" s="71">
        <f>IFERROR(AI59/AI148, "NA")</f>
        <v>0.4778026947</v>
      </c>
      <c r="AK59" s="70">
        <f>IFERROR((X59-AG59)/AG59, "NA")</f>
        <v>-0.02069605765</v>
      </c>
      <c r="AL59" s="71">
        <f>IFERROR(AK59/AK148, "NA")</f>
        <v>0.6419034413</v>
      </c>
    </row>
    <row r="60" ht="3.75" customHeight="1">
      <c r="A60" s="120" t="s">
        <v>6</v>
      </c>
      <c r="B60" s="121"/>
      <c r="C60" s="76"/>
      <c r="D60" s="121"/>
      <c r="E60" s="76"/>
      <c r="F60" s="121"/>
      <c r="G60" s="76"/>
      <c r="H60" s="121"/>
      <c r="I60" s="76"/>
      <c r="J60" s="121"/>
      <c r="K60" s="76"/>
      <c r="L60" s="121"/>
      <c r="M60" s="76"/>
      <c r="N60" s="121"/>
      <c r="O60" s="76"/>
      <c r="P60" s="121"/>
      <c r="Q60" s="76"/>
      <c r="R60" s="121"/>
      <c r="S60" s="76"/>
      <c r="T60" s="121"/>
      <c r="U60" s="76"/>
      <c r="V60" s="121"/>
      <c r="W60" s="76"/>
      <c r="X60" s="121"/>
      <c r="Y60" s="76"/>
      <c r="Z60" s="121"/>
      <c r="AA60" s="76"/>
      <c r="AB60" s="121"/>
      <c r="AC60" s="76"/>
      <c r="AD60" s="122"/>
      <c r="AE60" s="78"/>
      <c r="AF60" s="122"/>
      <c r="AG60" s="121"/>
      <c r="AH60" s="76"/>
      <c r="AI60" s="122"/>
      <c r="AJ60" s="78"/>
      <c r="AK60" s="122"/>
      <c r="AL60" s="78"/>
    </row>
    <row r="61" ht="16.5" customHeight="1">
      <c r="A61" s="17" t="s">
        <v>131</v>
      </c>
      <c r="B61" s="19"/>
      <c r="C61" s="13"/>
      <c r="D61" s="19"/>
      <c r="E61" s="13"/>
      <c r="F61" s="19"/>
      <c r="G61" s="13"/>
      <c r="H61" s="19"/>
      <c r="I61" s="13"/>
      <c r="J61" s="19"/>
      <c r="K61" s="13"/>
      <c r="L61" s="19"/>
      <c r="M61" s="13"/>
      <c r="N61" s="19"/>
      <c r="O61" s="13"/>
      <c r="P61" s="19"/>
      <c r="Q61" s="13"/>
      <c r="R61" s="19"/>
      <c r="S61" s="13"/>
      <c r="T61" s="19"/>
      <c r="U61" s="13"/>
      <c r="V61" s="19"/>
      <c r="W61" s="13"/>
      <c r="X61" s="19"/>
      <c r="Y61" s="13"/>
      <c r="Z61" s="19"/>
      <c r="AA61" s="13"/>
      <c r="AB61" s="19"/>
      <c r="AC61" s="13"/>
      <c r="AD61" s="24"/>
      <c r="AE61" s="25"/>
      <c r="AF61" s="24"/>
      <c r="AG61" s="19"/>
      <c r="AH61" s="13"/>
      <c r="AI61" s="24"/>
      <c r="AJ61" s="25"/>
      <c r="AK61" s="24"/>
      <c r="AL61" s="25"/>
    </row>
    <row r="62" ht="16.5" customHeight="1">
      <c r="A62" s="17" t="s">
        <v>131</v>
      </c>
      <c r="B62" s="19"/>
      <c r="C62" s="13"/>
      <c r="D62" s="19"/>
      <c r="E62" s="13"/>
      <c r="F62" s="19"/>
      <c r="G62" s="13"/>
      <c r="H62" s="19"/>
      <c r="I62" s="13"/>
      <c r="J62" s="19"/>
      <c r="K62" s="13"/>
      <c r="L62" s="19"/>
      <c r="M62" s="13"/>
      <c r="N62" s="19"/>
      <c r="O62" s="13"/>
      <c r="P62" s="19"/>
      <c r="Q62" s="13"/>
      <c r="R62" s="19"/>
      <c r="S62" s="13"/>
      <c r="T62" s="19"/>
      <c r="U62" s="13"/>
      <c r="V62" s="19"/>
      <c r="W62" s="13"/>
      <c r="X62" s="19"/>
      <c r="Y62" s="13"/>
      <c r="Z62" s="19"/>
      <c r="AA62" s="13"/>
      <c r="AB62" s="19"/>
      <c r="AC62" s="13"/>
      <c r="AD62" s="24"/>
      <c r="AE62" s="25"/>
      <c r="AF62" s="24"/>
      <c r="AG62" s="19"/>
      <c r="AH62" s="13"/>
      <c r="AI62" s="24"/>
      <c r="AJ62" s="25"/>
      <c r="AK62" s="24"/>
      <c r="AL62" s="25"/>
    </row>
    <row r="63" ht="16.5" hidden="1" customHeight="1">
      <c r="A63" s="26" t="s">
        <v>134</v>
      </c>
      <c r="B63" s="27">
        <v>0.0</v>
      </c>
      <c r="C63" s="23">
        <f>IFERROR(B63/B148, "NA")</f>
        <v>0</v>
      </c>
      <c r="D63" s="27">
        <v>0.0</v>
      </c>
      <c r="E63" s="23">
        <f>IFERROR(D63/D148, "NA")</f>
        <v>0</v>
      </c>
      <c r="F63" s="27">
        <v>0.0</v>
      </c>
      <c r="G63" s="23">
        <f>IFERROR(F63/F148, "NA")</f>
        <v>0</v>
      </c>
      <c r="H63" s="27">
        <v>0.0</v>
      </c>
      <c r="I63" s="23">
        <f>IFERROR(H63/H148, "NA")</f>
        <v>0</v>
      </c>
      <c r="J63" s="27">
        <v>0.0</v>
      </c>
      <c r="K63" s="23">
        <f>IFERROR(J63/J148, "NA")</f>
        <v>0</v>
      </c>
      <c r="L63" s="27">
        <v>0.0</v>
      </c>
      <c r="M63" s="23">
        <f>IFERROR(L63/L148, "NA")</f>
        <v>0</v>
      </c>
      <c r="N63" s="27">
        <v>0.0</v>
      </c>
      <c r="O63" s="23">
        <f>IFERROR(N63/N148, "NA")</f>
        <v>0</v>
      </c>
      <c r="P63" s="27">
        <v>0.0</v>
      </c>
      <c r="Q63" s="23">
        <f>IFERROR(P63/P148, "NA")</f>
        <v>0</v>
      </c>
      <c r="R63" s="27">
        <v>0.0</v>
      </c>
      <c r="S63" s="23">
        <f>IFERROR(R63/R148, "NA")</f>
        <v>0</v>
      </c>
      <c r="T63" s="27">
        <v>0.0</v>
      </c>
      <c r="U63" s="23">
        <f>IFERROR(T63/T148, "NA")</f>
        <v>0</v>
      </c>
      <c r="V63" s="27">
        <v>0.0</v>
      </c>
      <c r="W63" s="23">
        <f>IFERROR(V63/V148, "NA")</f>
        <v>0</v>
      </c>
      <c r="X63" s="27">
        <v>0.0</v>
      </c>
      <c r="Y63" s="23">
        <f>IFERROR(X63/X148, "NA")</f>
        <v>0</v>
      </c>
      <c r="Z63" s="27">
        <v>0.0</v>
      </c>
      <c r="AA63" s="23">
        <f>IFERROR(Z63/Z148, "NA")</f>
        <v>0</v>
      </c>
      <c r="AB63" s="59">
        <f>IFERROR((R63+T63+V63+X63)/4, "NA")</f>
        <v>0</v>
      </c>
      <c r="AC63" s="23">
        <f>IFERROR(AB63/AB148, "NA")</f>
        <v>0</v>
      </c>
      <c r="AD63" s="61">
        <f>IFERROR(X63-AB63, "NA")</f>
        <v>0</v>
      </c>
      <c r="AE63" s="63">
        <f>IFERROR(AD63/AD148, "NA")</f>
        <v>0</v>
      </c>
      <c r="AF63" s="61" t="str">
        <f>IFERROR((X63-AB63)/AB63, "NA")</f>
        <v>NA</v>
      </c>
      <c r="AG63" s="59">
        <f>IFERROR((J63+L63+N63+P63+R63+T63+V63+X63)/8, "NA")</f>
        <v>0</v>
      </c>
      <c r="AH63" s="23">
        <f>IFERROR(AG63/AG148, "NA")</f>
        <v>0</v>
      </c>
      <c r="AI63" s="61">
        <f>IFERROR(X63-AG63, "NA")</f>
        <v>0</v>
      </c>
      <c r="AJ63" s="63">
        <f>IFERROR(AI63/AI148, "NA")</f>
        <v>0</v>
      </c>
      <c r="AK63" s="61" t="str">
        <f>IFERROR((X63-AG63)/AG63, "NA")</f>
        <v>NA</v>
      </c>
      <c r="AL63" s="63" t="str">
        <f>IFERROR(AK63/AK148, "NA")</f>
        <v>NA</v>
      </c>
    </row>
    <row r="64" ht="16.5" customHeight="1">
      <c r="A64" s="17" t="s">
        <v>136</v>
      </c>
      <c r="B64" s="19"/>
      <c r="C64" s="13"/>
      <c r="D64" s="19"/>
      <c r="E64" s="13"/>
      <c r="F64" s="19"/>
      <c r="G64" s="13"/>
      <c r="H64" s="19"/>
      <c r="I64" s="13"/>
      <c r="J64" s="19"/>
      <c r="K64" s="13"/>
      <c r="L64" s="19"/>
      <c r="M64" s="13"/>
      <c r="N64" s="19"/>
      <c r="O64" s="13"/>
      <c r="P64" s="19"/>
      <c r="Q64" s="13"/>
      <c r="R64" s="19"/>
      <c r="S64" s="13"/>
      <c r="T64" s="19"/>
      <c r="U64" s="13"/>
      <c r="V64" s="19"/>
      <c r="W64" s="13"/>
      <c r="X64" s="19"/>
      <c r="Y64" s="13"/>
      <c r="Z64" s="19"/>
      <c r="AA64" s="13"/>
      <c r="AB64" s="19"/>
      <c r="AC64" s="13"/>
      <c r="AD64" s="24"/>
      <c r="AE64" s="25"/>
      <c r="AF64" s="24"/>
      <c r="AG64" s="19"/>
      <c r="AH64" s="13"/>
      <c r="AI64" s="24"/>
      <c r="AJ64" s="25"/>
      <c r="AK64" s="24"/>
      <c r="AL64" s="25"/>
    </row>
    <row r="65" ht="16.5" hidden="1" customHeight="1">
      <c r="A65" s="26" t="s">
        <v>137</v>
      </c>
      <c r="B65" s="27">
        <v>0.0</v>
      </c>
      <c r="C65" s="23">
        <f>IFERROR(B65/B148, "NA")</f>
        <v>0</v>
      </c>
      <c r="D65" s="27">
        <v>0.0</v>
      </c>
      <c r="E65" s="23">
        <f>IFERROR(D65/D148, "NA")</f>
        <v>0</v>
      </c>
      <c r="F65" s="27">
        <v>0.0</v>
      </c>
      <c r="G65" s="23">
        <f>IFERROR(F65/F148, "NA")</f>
        <v>0</v>
      </c>
      <c r="H65" s="27">
        <v>0.0</v>
      </c>
      <c r="I65" s="23">
        <f>IFERROR(H65/H148, "NA")</f>
        <v>0</v>
      </c>
      <c r="J65" s="27">
        <v>0.0</v>
      </c>
      <c r="K65" s="23">
        <f>IFERROR(J65/J148, "NA")</f>
        <v>0</v>
      </c>
      <c r="L65" s="27">
        <v>0.0</v>
      </c>
      <c r="M65" s="23">
        <f>IFERROR(L65/L148, "NA")</f>
        <v>0</v>
      </c>
      <c r="N65" s="27">
        <v>0.0</v>
      </c>
      <c r="O65" s="23">
        <f>IFERROR(N65/N148, "NA")</f>
        <v>0</v>
      </c>
      <c r="P65" s="27">
        <v>0.0</v>
      </c>
      <c r="Q65" s="23">
        <f>IFERROR(P65/P148, "NA")</f>
        <v>0</v>
      </c>
      <c r="R65" s="27">
        <v>0.0</v>
      </c>
      <c r="S65" s="23">
        <f>IFERROR(R65/R148, "NA")</f>
        <v>0</v>
      </c>
      <c r="T65" s="27">
        <v>0.0</v>
      </c>
      <c r="U65" s="23">
        <f>IFERROR(T65/T148, "NA")</f>
        <v>0</v>
      </c>
      <c r="V65" s="27">
        <v>0.0</v>
      </c>
      <c r="W65" s="23">
        <f>IFERROR(V65/V148, "NA")</f>
        <v>0</v>
      </c>
      <c r="X65" s="27">
        <v>0.0</v>
      </c>
      <c r="Y65" s="23">
        <f>IFERROR(X65/X148, "NA")</f>
        <v>0</v>
      </c>
      <c r="Z65" s="27">
        <v>0.0</v>
      </c>
      <c r="AA65" s="23">
        <f>IFERROR(Z65/Z148, "NA")</f>
        <v>0</v>
      </c>
      <c r="AB65" s="59">
        <f t="shared" ref="AB65:AB72" si="31">IFERROR((R65+T65+V65+X65)/4, "NA")</f>
        <v>0</v>
      </c>
      <c r="AC65" s="23">
        <f>IFERROR(AB65/AB148, "NA")</f>
        <v>0</v>
      </c>
      <c r="AD65" s="61">
        <f t="shared" ref="AD65:AD72" si="32">IFERROR(X65-AB65, "NA")</f>
        <v>0</v>
      </c>
      <c r="AE65" s="63">
        <f>IFERROR(AD65/AD148, "NA")</f>
        <v>0</v>
      </c>
      <c r="AF65" s="61" t="str">
        <f t="shared" ref="AF65:AF72" si="33">IFERROR((X65-AB65)/AB65, "NA")</f>
        <v>NA</v>
      </c>
      <c r="AG65" s="59">
        <f t="shared" ref="AG65:AG72" si="34">IFERROR((J65+L65+N65+P65+R65+T65+V65+X65)/8, "NA")</f>
        <v>0</v>
      </c>
      <c r="AH65" s="23">
        <f>IFERROR(AG65/AG148, "NA")</f>
        <v>0</v>
      </c>
      <c r="AI65" s="61">
        <f t="shared" ref="AI65:AI72" si="35">IFERROR(X65-AG65, "NA")</f>
        <v>0</v>
      </c>
      <c r="AJ65" s="63">
        <f>IFERROR(AI65/AI148, "NA")</f>
        <v>0</v>
      </c>
      <c r="AK65" s="61" t="str">
        <f t="shared" ref="AK65:AK72" si="36">IFERROR((X65-AG65)/AG65, "NA")</f>
        <v>NA</v>
      </c>
      <c r="AL65" s="63" t="str">
        <f>IFERROR(AK65/AK148, "NA")</f>
        <v>NA</v>
      </c>
    </row>
    <row r="66" ht="16.5" customHeight="1">
      <c r="A66" s="26" t="s">
        <v>144</v>
      </c>
      <c r="B66" s="27">
        <v>6688.85</v>
      </c>
      <c r="C66" s="23">
        <f>IFERROR(B66/B148, "NA")</f>
        <v>0.05332882924</v>
      </c>
      <c r="D66" s="27">
        <v>6688.85</v>
      </c>
      <c r="E66" s="23">
        <f>IFERROR(D66/D148, "NA")</f>
        <v>0.04993862242</v>
      </c>
      <c r="F66" s="27">
        <v>6688.85</v>
      </c>
      <c r="G66" s="23">
        <f>IFERROR(F66/F148, "NA")</f>
        <v>0.05225429735</v>
      </c>
      <c r="H66" s="27">
        <v>6688.85</v>
      </c>
      <c r="I66" s="23">
        <f>IFERROR(H66/H148, "NA")</f>
        <v>0.05777941865</v>
      </c>
      <c r="J66" s="27">
        <v>6688.85</v>
      </c>
      <c r="K66" s="23">
        <f>IFERROR(J66/J148, "NA")</f>
        <v>0.04947708743</v>
      </c>
      <c r="L66" s="27">
        <v>6688.85</v>
      </c>
      <c r="M66" s="23">
        <f>IFERROR(L66/L148, "NA")</f>
        <v>0.0527711969</v>
      </c>
      <c r="N66" s="27">
        <v>6688.85</v>
      </c>
      <c r="O66" s="23">
        <f>IFERROR(N66/N148, "NA")</f>
        <v>0.04892415284</v>
      </c>
      <c r="P66" s="27">
        <v>6688.85</v>
      </c>
      <c r="Q66" s="23">
        <f>IFERROR(P66/P148, "NA")</f>
        <v>0.04468393839</v>
      </c>
      <c r="R66" s="27">
        <v>6688.85</v>
      </c>
      <c r="S66" s="23">
        <f>IFERROR(R66/R148, "NA")</f>
        <v>0.05433790552</v>
      </c>
      <c r="T66" s="27">
        <v>5361.93</v>
      </c>
      <c r="U66" s="23">
        <f>IFERROR(T66/T148, "NA")</f>
        <v>0.03189349551</v>
      </c>
      <c r="V66" s="27">
        <v>5361.93</v>
      </c>
      <c r="W66" s="23">
        <f>IFERROR(V66/V148, "NA")</f>
        <v>0.03223270417</v>
      </c>
      <c r="X66" s="27">
        <v>5361.93</v>
      </c>
      <c r="Y66" s="23">
        <f>IFERROR(X66/X148, "NA")</f>
        <v>0.03873323756</v>
      </c>
      <c r="Z66" s="27">
        <v>22774.64</v>
      </c>
      <c r="AA66" s="23">
        <f>IFERROR(Z66/Z148, "NA")</f>
        <v>0.03821248002</v>
      </c>
      <c r="AB66" s="59">
        <f t="shared" si="31"/>
        <v>5693.66</v>
      </c>
      <c r="AC66" s="23">
        <f>IFERROR(AB66/AB148, "NA")</f>
        <v>0.03821248002</v>
      </c>
      <c r="AD66" s="61">
        <f t="shared" si="32"/>
        <v>-331.73</v>
      </c>
      <c r="AE66" s="63">
        <f>IFERROR(AD66/AD148, "NA")</f>
        <v>0.03139081029</v>
      </c>
      <c r="AF66" s="61">
        <f t="shared" si="33"/>
        <v>-0.05826305048</v>
      </c>
      <c r="AG66" s="59">
        <f t="shared" si="34"/>
        <v>6191.255</v>
      </c>
      <c r="AH66" s="23">
        <f>IFERROR(AG66/AG148, "NA")</f>
        <v>0.04328209325</v>
      </c>
      <c r="AI66" s="61">
        <f t="shared" si="35"/>
        <v>-829.325</v>
      </c>
      <c r="AJ66" s="63">
        <f>IFERROR(AI66/AI148, "NA")</f>
        <v>0.1798193405</v>
      </c>
      <c r="AK66" s="61">
        <f t="shared" si="36"/>
        <v>-0.1339510325</v>
      </c>
      <c r="AL66" s="63">
        <f>IFERROR(AK66/AK148, "NA")</f>
        <v>4.154589738</v>
      </c>
    </row>
    <row r="67" ht="16.5" hidden="1" customHeight="1">
      <c r="A67" s="26" t="s">
        <v>146</v>
      </c>
      <c r="B67" s="27">
        <v>0.0</v>
      </c>
      <c r="C67" s="23">
        <f>IFERROR(B67/B148, "NA")</f>
        <v>0</v>
      </c>
      <c r="D67" s="27">
        <v>0.0</v>
      </c>
      <c r="E67" s="23">
        <f>IFERROR(D67/D148, "NA")</f>
        <v>0</v>
      </c>
      <c r="F67" s="27">
        <v>0.0</v>
      </c>
      <c r="G67" s="23">
        <f>IFERROR(F67/F148, "NA")</f>
        <v>0</v>
      </c>
      <c r="H67" s="27">
        <v>0.0</v>
      </c>
      <c r="I67" s="23">
        <f>IFERROR(H67/H148, "NA")</f>
        <v>0</v>
      </c>
      <c r="J67" s="27">
        <v>0.0</v>
      </c>
      <c r="K67" s="23">
        <f>IFERROR(J67/J148, "NA")</f>
        <v>0</v>
      </c>
      <c r="L67" s="27">
        <v>0.0</v>
      </c>
      <c r="M67" s="23">
        <f>IFERROR(L67/L148, "NA")</f>
        <v>0</v>
      </c>
      <c r="N67" s="27">
        <v>0.0</v>
      </c>
      <c r="O67" s="23">
        <f>IFERROR(N67/N148, "NA")</f>
        <v>0</v>
      </c>
      <c r="P67" s="27">
        <v>0.0</v>
      </c>
      <c r="Q67" s="23">
        <f>IFERROR(P67/P148, "NA")</f>
        <v>0</v>
      </c>
      <c r="R67" s="27">
        <v>0.0</v>
      </c>
      <c r="S67" s="23">
        <f>IFERROR(R67/R148, "NA")</f>
        <v>0</v>
      </c>
      <c r="T67" s="27">
        <v>0.0</v>
      </c>
      <c r="U67" s="23">
        <f>IFERROR(T67/T148, "NA")</f>
        <v>0</v>
      </c>
      <c r="V67" s="27">
        <v>0.0</v>
      </c>
      <c r="W67" s="23">
        <f>IFERROR(V67/V148, "NA")</f>
        <v>0</v>
      </c>
      <c r="X67" s="27">
        <v>0.0</v>
      </c>
      <c r="Y67" s="23">
        <f>IFERROR(X67/X148, "NA")</f>
        <v>0</v>
      </c>
      <c r="Z67" s="27">
        <v>0.0</v>
      </c>
      <c r="AA67" s="23">
        <f>IFERROR(Z67/Z148, "NA")</f>
        <v>0</v>
      </c>
      <c r="AB67" s="59">
        <f t="shared" si="31"/>
        <v>0</v>
      </c>
      <c r="AC67" s="23">
        <f>IFERROR(AB67/AB148, "NA")</f>
        <v>0</v>
      </c>
      <c r="AD67" s="61">
        <f t="shared" si="32"/>
        <v>0</v>
      </c>
      <c r="AE67" s="63">
        <f>IFERROR(AD67/AD148, "NA")</f>
        <v>0</v>
      </c>
      <c r="AF67" s="61" t="str">
        <f t="shared" si="33"/>
        <v>NA</v>
      </c>
      <c r="AG67" s="59">
        <f t="shared" si="34"/>
        <v>0</v>
      </c>
      <c r="AH67" s="23">
        <f>IFERROR(AG67/AG148, "NA")</f>
        <v>0</v>
      </c>
      <c r="AI67" s="61">
        <f t="shared" si="35"/>
        <v>0</v>
      </c>
      <c r="AJ67" s="63">
        <f>IFERROR(AI67/AI148, "NA")</f>
        <v>0</v>
      </c>
      <c r="AK67" s="61" t="str">
        <f t="shared" si="36"/>
        <v>NA</v>
      </c>
      <c r="AL67" s="63" t="str">
        <f>IFERROR(AK67/AK148, "NA")</f>
        <v>NA</v>
      </c>
    </row>
    <row r="68" ht="16.5" customHeight="1">
      <c r="A68" s="26" t="s">
        <v>150</v>
      </c>
      <c r="B68" s="27">
        <v>22389.930000000004</v>
      </c>
      <c r="C68" s="23">
        <f>IFERROR(B68/B148, "NA")</f>
        <v>0.1785103199</v>
      </c>
      <c r="D68" s="27">
        <v>22654.3</v>
      </c>
      <c r="E68" s="23">
        <f>IFERROR(D68/D148, "NA")</f>
        <v>0.1691358804</v>
      </c>
      <c r="F68" s="27">
        <v>21727.510000000002</v>
      </c>
      <c r="G68" s="23">
        <f>IFERROR(F68/F148, "NA")</f>
        <v>0.1697385602</v>
      </c>
      <c r="H68" s="27">
        <v>21203.81</v>
      </c>
      <c r="I68" s="23">
        <f>IFERROR(H68/H148, "NA")</f>
        <v>0.1831621003</v>
      </c>
      <c r="J68" s="27">
        <v>23108.69</v>
      </c>
      <c r="K68" s="23">
        <f>IFERROR(J68/J148, "NA")</f>
        <v>0.170933819</v>
      </c>
      <c r="L68" s="27">
        <v>22196.1</v>
      </c>
      <c r="M68" s="23">
        <f>IFERROR(L68/L148, "NA")</f>
        <v>0.175114521</v>
      </c>
      <c r="N68" s="27">
        <v>22945.510000000002</v>
      </c>
      <c r="O68" s="23">
        <f>IFERROR(N68/N148, "NA")</f>
        <v>0.1678299914</v>
      </c>
      <c r="P68" s="27">
        <v>23048.149999999998</v>
      </c>
      <c r="Q68" s="23">
        <f>IFERROR(P68/P148, "NA")</f>
        <v>0.1539699821</v>
      </c>
      <c r="R68" s="27">
        <v>21093.800000000003</v>
      </c>
      <c r="S68" s="23">
        <f>IFERROR(R68/R148, "NA")</f>
        <v>0.1713587405</v>
      </c>
      <c r="T68" s="27">
        <v>28208.299999999996</v>
      </c>
      <c r="U68" s="23">
        <f>IFERROR(T68/T148, "NA")</f>
        <v>0.1677868397</v>
      </c>
      <c r="V68" s="27">
        <v>29356.46</v>
      </c>
      <c r="W68" s="23">
        <f>IFERROR(V68/V148, "NA")</f>
        <v>0.1764734136</v>
      </c>
      <c r="X68" s="27">
        <v>26938.22</v>
      </c>
      <c r="Y68" s="23">
        <f>IFERROR(X68/X148, "NA")</f>
        <v>0.1945949452</v>
      </c>
      <c r="Z68" s="27">
        <v>105596.78</v>
      </c>
      <c r="AA68" s="23">
        <f>IFERROR(Z68/Z148, "NA")</f>
        <v>0.1771757905</v>
      </c>
      <c r="AB68" s="59">
        <f t="shared" si="31"/>
        <v>26399.195</v>
      </c>
      <c r="AC68" s="23">
        <f>IFERROR(AB68/AB148, "NA")</f>
        <v>0.1771757905</v>
      </c>
      <c r="AD68" s="61">
        <f t="shared" si="32"/>
        <v>539.025</v>
      </c>
      <c r="AE68" s="63">
        <f>IFERROR(AD68/AD148, "NA")</f>
        <v>-0.05100663647</v>
      </c>
      <c r="AF68" s="61">
        <f t="shared" si="33"/>
        <v>0.02041823624</v>
      </c>
      <c r="AG68" s="59">
        <f t="shared" si="34"/>
        <v>24611.90375</v>
      </c>
      <c r="AH68" s="23">
        <f>IFERROR(AG68/AG148, "NA")</f>
        <v>0.1720579613</v>
      </c>
      <c r="AI68" s="61">
        <f t="shared" si="35"/>
        <v>2326.31625</v>
      </c>
      <c r="AJ68" s="63">
        <f>IFERROR(AI68/AI148, "NA")</f>
        <v>-0.5044061782</v>
      </c>
      <c r="AK68" s="61">
        <f t="shared" si="36"/>
        <v>0.09451996374</v>
      </c>
      <c r="AL68" s="63">
        <f>IFERROR(AK68/AK148, "NA")</f>
        <v>-2.931606154</v>
      </c>
    </row>
    <row r="69" ht="16.5" customHeight="1">
      <c r="A69" s="26" t="s">
        <v>153</v>
      </c>
      <c r="B69" s="27">
        <v>410.89</v>
      </c>
      <c r="C69" s="23">
        <f>IFERROR(B69/B148, "NA")</f>
        <v>0.003275941701</v>
      </c>
      <c r="D69" s="27">
        <v>287.64</v>
      </c>
      <c r="E69" s="23">
        <f>IFERROR(D69/D148, "NA")</f>
        <v>0.002147505977</v>
      </c>
      <c r="F69" s="27">
        <v>245.57</v>
      </c>
      <c r="G69" s="23">
        <f>IFERROR(F69/F148, "NA")</f>
        <v>0.001918429595</v>
      </c>
      <c r="H69" s="27">
        <v>184.34</v>
      </c>
      <c r="I69" s="23">
        <f>IFERROR(H69/H148, "NA")</f>
        <v>0.001592360127</v>
      </c>
      <c r="J69" s="27">
        <v>670.44</v>
      </c>
      <c r="K69" s="23">
        <f>IFERROR(J69/J148, "NA")</f>
        <v>0.004959211</v>
      </c>
      <c r="L69" s="27">
        <v>340.71999999999997</v>
      </c>
      <c r="M69" s="23">
        <f>IFERROR(L69/L148, "NA")</f>
        <v>0.002688085726</v>
      </c>
      <c r="N69" s="27">
        <v>256.44</v>
      </c>
      <c r="O69" s="23">
        <f>IFERROR(N69/N148, "NA")</f>
        <v>0.001875675154</v>
      </c>
      <c r="P69" s="27">
        <v>926.77</v>
      </c>
      <c r="Q69" s="23">
        <f>IFERROR(P69/P148, "NA")</f>
        <v>0.006191158955</v>
      </c>
      <c r="R69" s="27">
        <v>74.06</v>
      </c>
      <c r="S69" s="23">
        <f>IFERROR(R69/R148, "NA")</f>
        <v>0.0006016378425</v>
      </c>
      <c r="T69" s="27">
        <v>810.69</v>
      </c>
      <c r="U69" s="23">
        <f>IFERROR(T69/T148, "NA")</f>
        <v>0.004822095379</v>
      </c>
      <c r="V69" s="27">
        <v>611.21</v>
      </c>
      <c r="W69" s="23">
        <f>IFERROR(V69/V148, "NA")</f>
        <v>0.003674227585</v>
      </c>
      <c r="X69" s="27">
        <v>280.23</v>
      </c>
      <c r="Y69" s="23">
        <f>IFERROR(X69/X148, "NA")</f>
        <v>0.002024311239</v>
      </c>
      <c r="Z69" s="27">
        <v>1776.1899999999998</v>
      </c>
      <c r="AA69" s="23">
        <f>IFERROR(Z69/Z148, "NA")</f>
        <v>0.002980184314</v>
      </c>
      <c r="AB69" s="59">
        <f t="shared" si="31"/>
        <v>444.0475</v>
      </c>
      <c r="AC69" s="23">
        <f>IFERROR(AB69/AB148, "NA")</f>
        <v>0.002980184314</v>
      </c>
      <c r="AD69" s="61">
        <f t="shared" si="32"/>
        <v>-163.8175</v>
      </c>
      <c r="AE69" s="63">
        <f>IFERROR(AD69/AD148, "NA")</f>
        <v>0.01550165515</v>
      </c>
      <c r="AF69" s="61">
        <f t="shared" si="33"/>
        <v>-0.3689188657</v>
      </c>
      <c r="AG69" s="59">
        <f t="shared" si="34"/>
        <v>496.32</v>
      </c>
      <c r="AH69" s="23">
        <f>IFERROR(AG69/AG148, "NA")</f>
        <v>0.003469695324</v>
      </c>
      <c r="AI69" s="61">
        <f t="shared" si="35"/>
        <v>-216.09</v>
      </c>
      <c r="AJ69" s="63">
        <f>IFERROR(AI69/AI148, "NA")</f>
        <v>0.04685396109</v>
      </c>
      <c r="AK69" s="61">
        <f t="shared" si="36"/>
        <v>-0.4353844294</v>
      </c>
      <c r="AL69" s="63">
        <f>IFERROR(AK69/AK148, "NA")</f>
        <v>13.50376812</v>
      </c>
    </row>
    <row r="70" ht="16.5" customHeight="1">
      <c r="A70" s="66" t="s">
        <v>156</v>
      </c>
      <c r="B70" s="67">
        <f>IFERROR(B65+B66+B67+B68+B69, "NA")</f>
        <v>29489.67</v>
      </c>
      <c r="C70" s="69">
        <f>IFERROR(B70/B148, "NA")</f>
        <v>0.2351150909</v>
      </c>
      <c r="D70" s="67">
        <f>IFERROR(D65+D66+D67+D68+D69, "NA")</f>
        <v>29630.79</v>
      </c>
      <c r="E70" s="69">
        <f>IFERROR(D70/D148, "NA")</f>
        <v>0.2212220088</v>
      </c>
      <c r="F70" s="67">
        <f>IFERROR(F65+F66+F67+F68+F69, "NA")</f>
        <v>28661.93</v>
      </c>
      <c r="G70" s="69">
        <f>IFERROR(F70/F148, "NA")</f>
        <v>0.2239112871</v>
      </c>
      <c r="H70" s="67">
        <f>IFERROR(H65+H66+H67+H68+H69, "NA")</f>
        <v>28077</v>
      </c>
      <c r="I70" s="69">
        <f>IFERROR(H70/H148, "NA")</f>
        <v>0.2425338791</v>
      </c>
      <c r="J70" s="67">
        <f>IFERROR(J65+J66+J67+J68+J69, "NA")</f>
        <v>30467.98</v>
      </c>
      <c r="K70" s="69">
        <f>IFERROR(J70/J148, "NA")</f>
        <v>0.2253701175</v>
      </c>
      <c r="L70" s="67">
        <f>IFERROR(L65+L66+L67+L68+L69, "NA")</f>
        <v>29225.67</v>
      </c>
      <c r="M70" s="69">
        <f>IFERROR(L70/L148, "NA")</f>
        <v>0.2305738036</v>
      </c>
      <c r="N70" s="67">
        <f>IFERROR(N65+N66+N67+N68+N69, "NA")</f>
        <v>29890.8</v>
      </c>
      <c r="O70" s="69">
        <f>IFERROR(N70/N148, "NA")</f>
        <v>0.2186298194</v>
      </c>
      <c r="P70" s="67">
        <f>IFERROR(P65+P66+P67+P68+P69, "NA")</f>
        <v>30663.77</v>
      </c>
      <c r="Q70" s="69">
        <f>IFERROR(P70/P148, "NA")</f>
        <v>0.2048450794</v>
      </c>
      <c r="R70" s="67">
        <f>IFERROR(R65+R66+R67+R68+R69, "NA")</f>
        <v>27856.71</v>
      </c>
      <c r="S70" s="69">
        <f>IFERROR(R70/R148, "NA")</f>
        <v>0.2262982839</v>
      </c>
      <c r="T70" s="67">
        <f>IFERROR(T65+T66+T67+T68+T69, "NA")</f>
        <v>34380.92</v>
      </c>
      <c r="U70" s="69">
        <f>IFERROR(T70/T148, "NA")</f>
        <v>0.2045024306</v>
      </c>
      <c r="V70" s="67">
        <f>IFERROR(V65+V66+V67+V68+V69, "NA")</f>
        <v>35329.6</v>
      </c>
      <c r="W70" s="69">
        <f>IFERROR(V70/V148, "NA")</f>
        <v>0.2123803453</v>
      </c>
      <c r="X70" s="67">
        <f>IFERROR(X65+X66+X67+X68+X69, "NA")</f>
        <v>32580.38</v>
      </c>
      <c r="Y70" s="69">
        <f>IFERROR(X70/X148, "NA")</f>
        <v>0.235352494</v>
      </c>
      <c r="Z70" s="67">
        <f>IFERROR(Z65+Z66+Z67+Z68+Z69, "NA")</f>
        <v>130147.61</v>
      </c>
      <c r="AA70" s="69">
        <f>IFERROR(Z70/Z148, "NA")</f>
        <v>0.2183684548</v>
      </c>
      <c r="AB70" s="67">
        <f t="shared" si="31"/>
        <v>32536.9025</v>
      </c>
      <c r="AC70" s="69">
        <f>IFERROR(AB70/AB148, "NA")</f>
        <v>0.2183684548</v>
      </c>
      <c r="AD70" s="70">
        <f t="shared" si="32"/>
        <v>43.4775</v>
      </c>
      <c r="AE70" s="71">
        <f>IFERROR(AD70/AD148, "NA")</f>
        <v>-0.004114171026</v>
      </c>
      <c r="AF70" s="70">
        <f t="shared" si="33"/>
        <v>0.001336251968</v>
      </c>
      <c r="AG70" s="67">
        <f t="shared" si="34"/>
        <v>31299.47875</v>
      </c>
      <c r="AH70" s="69">
        <f>IFERROR(AG70/AG148, "NA")</f>
        <v>0.2188097499</v>
      </c>
      <c r="AI70" s="70">
        <f t="shared" si="35"/>
        <v>1280.90125</v>
      </c>
      <c r="AJ70" s="71">
        <f>IFERROR(AI70/AI148, "NA")</f>
        <v>-0.2777328767</v>
      </c>
      <c r="AK70" s="70">
        <f t="shared" si="36"/>
        <v>0.04092404414</v>
      </c>
      <c r="AL70" s="71">
        <f>IFERROR(AK70/AK148, "NA")</f>
        <v>-1.269289311</v>
      </c>
    </row>
    <row r="71" ht="16.5" hidden="1" customHeight="1">
      <c r="A71" s="26" t="s">
        <v>162</v>
      </c>
      <c r="B71" s="27">
        <v>0.0</v>
      </c>
      <c r="C71" s="23">
        <f>IFERROR(B71/B148, "NA")</f>
        <v>0</v>
      </c>
      <c r="D71" s="27">
        <v>0.0</v>
      </c>
      <c r="E71" s="23">
        <f>IFERROR(D71/D148, "NA")</f>
        <v>0</v>
      </c>
      <c r="F71" s="27">
        <v>0.0</v>
      </c>
      <c r="G71" s="23">
        <f>IFERROR(F71/F148, "NA")</f>
        <v>0</v>
      </c>
      <c r="H71" s="27">
        <v>0.0</v>
      </c>
      <c r="I71" s="23">
        <f>IFERROR(H71/H148, "NA")</f>
        <v>0</v>
      </c>
      <c r="J71" s="27">
        <v>0.0</v>
      </c>
      <c r="K71" s="23">
        <f>IFERROR(J71/J148, "NA")</f>
        <v>0</v>
      </c>
      <c r="L71" s="27">
        <v>0.0</v>
      </c>
      <c r="M71" s="23">
        <f>IFERROR(L71/L148, "NA")</f>
        <v>0</v>
      </c>
      <c r="N71" s="27">
        <v>0.0</v>
      </c>
      <c r="O71" s="23">
        <f>IFERROR(N71/N148, "NA")</f>
        <v>0</v>
      </c>
      <c r="P71" s="27">
        <v>0.0</v>
      </c>
      <c r="Q71" s="23">
        <f>IFERROR(P71/P148, "NA")</f>
        <v>0</v>
      </c>
      <c r="R71" s="27">
        <v>0.0</v>
      </c>
      <c r="S71" s="23">
        <f>IFERROR(R71/R148, "NA")</f>
        <v>0</v>
      </c>
      <c r="T71" s="27">
        <v>0.0</v>
      </c>
      <c r="U71" s="23">
        <f>IFERROR(T71/T148, "NA")</f>
        <v>0</v>
      </c>
      <c r="V71" s="27">
        <v>0.0</v>
      </c>
      <c r="W71" s="23">
        <f>IFERROR(V71/V148, "NA")</f>
        <v>0</v>
      </c>
      <c r="X71" s="27">
        <v>0.0</v>
      </c>
      <c r="Y71" s="23">
        <f>IFERROR(X71/X148, "NA")</f>
        <v>0</v>
      </c>
      <c r="Z71" s="27">
        <v>0.0</v>
      </c>
      <c r="AA71" s="23">
        <f>IFERROR(Z71/Z148, "NA")</f>
        <v>0</v>
      </c>
      <c r="AB71" s="59">
        <f t="shared" si="31"/>
        <v>0</v>
      </c>
      <c r="AC71" s="23">
        <f>IFERROR(AB71/AB148, "NA")</f>
        <v>0</v>
      </c>
      <c r="AD71" s="61">
        <f t="shared" si="32"/>
        <v>0</v>
      </c>
      <c r="AE71" s="63">
        <f>IFERROR(AD71/AD148, "NA")</f>
        <v>0</v>
      </c>
      <c r="AF71" s="61" t="str">
        <f t="shared" si="33"/>
        <v>NA</v>
      </c>
      <c r="AG71" s="59">
        <f t="shared" si="34"/>
        <v>0</v>
      </c>
      <c r="AH71" s="23">
        <f>IFERROR(AG71/AG148, "NA")</f>
        <v>0</v>
      </c>
      <c r="AI71" s="61">
        <f t="shared" si="35"/>
        <v>0</v>
      </c>
      <c r="AJ71" s="63">
        <f>IFERROR(AI71/AI148, "NA")</f>
        <v>0</v>
      </c>
      <c r="AK71" s="61" t="str">
        <f t="shared" si="36"/>
        <v>NA</v>
      </c>
      <c r="AL71" s="63" t="str">
        <f>IFERROR(AK71/AK148, "NA")</f>
        <v>NA</v>
      </c>
    </row>
    <row r="72" ht="16.5" customHeight="1">
      <c r="A72" s="26" t="s">
        <v>167</v>
      </c>
      <c r="B72" s="27">
        <v>0.0</v>
      </c>
      <c r="C72" s="23">
        <f>IFERROR(B72/B148, "NA")</f>
        <v>0</v>
      </c>
      <c r="D72" s="27">
        <v>0.0</v>
      </c>
      <c r="E72" s="23">
        <f>IFERROR(D72/D148, "NA")</f>
        <v>0</v>
      </c>
      <c r="F72" s="27">
        <v>95.0</v>
      </c>
      <c r="G72" s="23">
        <f>IFERROR(F72/F148, "NA")</f>
        <v>0.000742154219</v>
      </c>
      <c r="H72" s="27">
        <v>0.0</v>
      </c>
      <c r="I72" s="23">
        <f>IFERROR(H72/H148, "NA")</f>
        <v>0</v>
      </c>
      <c r="J72" s="27">
        <v>0.0</v>
      </c>
      <c r="K72" s="23">
        <f>IFERROR(J72/J148, "NA")</f>
        <v>0</v>
      </c>
      <c r="L72" s="27">
        <v>0.0</v>
      </c>
      <c r="M72" s="23">
        <f>IFERROR(L72/L148, "NA")</f>
        <v>0</v>
      </c>
      <c r="N72" s="27">
        <v>0.0</v>
      </c>
      <c r="O72" s="23">
        <f>IFERROR(N72/N148, "NA")</f>
        <v>0</v>
      </c>
      <c r="P72" s="27">
        <v>2449.0</v>
      </c>
      <c r="Q72" s="23">
        <f>IFERROR(P72/P148, "NA")</f>
        <v>0.01636020618</v>
      </c>
      <c r="R72" s="27">
        <v>0.0</v>
      </c>
      <c r="S72" s="23">
        <f>IFERROR(R72/R148, "NA")</f>
        <v>0</v>
      </c>
      <c r="T72" s="27">
        <v>0.0</v>
      </c>
      <c r="U72" s="23">
        <f>IFERROR(T72/T148, "NA")</f>
        <v>0</v>
      </c>
      <c r="V72" s="27">
        <v>0.0</v>
      </c>
      <c r="W72" s="23">
        <f>IFERROR(V72/V148, "NA")</f>
        <v>0</v>
      </c>
      <c r="X72" s="27">
        <v>-2405.0</v>
      </c>
      <c r="Y72" s="23">
        <f>IFERROR(X72/X148, "NA")</f>
        <v>-0.01737311683</v>
      </c>
      <c r="Z72" s="27">
        <v>-2405.0</v>
      </c>
      <c r="AA72" s="23">
        <f>IFERROR(Z72/Z148, "NA")</f>
        <v>-0.004035234561</v>
      </c>
      <c r="AB72" s="59">
        <f t="shared" si="31"/>
        <v>-601.25</v>
      </c>
      <c r="AC72" s="23">
        <f>IFERROR(AB72/AB148, "NA")</f>
        <v>-0.004035234561</v>
      </c>
      <c r="AD72" s="61">
        <f t="shared" si="32"/>
        <v>-1803.75</v>
      </c>
      <c r="AE72" s="63">
        <f>IFERROR(AD72/AD148, "NA")</f>
        <v>0.1706845147</v>
      </c>
      <c r="AF72" s="61">
        <f t="shared" si="33"/>
        <v>3</v>
      </c>
      <c r="AG72" s="59">
        <f t="shared" si="34"/>
        <v>5.5</v>
      </c>
      <c r="AH72" s="23">
        <f>IFERROR(AG72/AG148, "NA")</f>
        <v>0.0000384496379</v>
      </c>
      <c r="AI72" s="61">
        <f t="shared" si="35"/>
        <v>-2410.5</v>
      </c>
      <c r="AJ72" s="63">
        <f>IFERROR(AI72/AI148, "NA")</f>
        <v>0.522659416</v>
      </c>
      <c r="AK72" s="61">
        <f t="shared" si="36"/>
        <v>-438.2727273</v>
      </c>
      <c r="AL72" s="63">
        <f>IFERROR(AK72/AK148, "NA")</f>
        <v>13593.3508</v>
      </c>
    </row>
    <row r="73" ht="16.5" customHeight="1">
      <c r="A73" s="17" t="s">
        <v>175</v>
      </c>
      <c r="B73" s="19"/>
      <c r="C73" s="13"/>
      <c r="D73" s="19"/>
      <c r="E73" s="13"/>
      <c r="F73" s="19"/>
      <c r="G73" s="13"/>
      <c r="H73" s="19"/>
      <c r="I73" s="13"/>
      <c r="J73" s="19"/>
      <c r="K73" s="13"/>
      <c r="L73" s="19"/>
      <c r="M73" s="13"/>
      <c r="N73" s="19"/>
      <c r="O73" s="13"/>
      <c r="P73" s="19"/>
      <c r="Q73" s="13"/>
      <c r="R73" s="19"/>
      <c r="S73" s="13"/>
      <c r="T73" s="19"/>
      <c r="U73" s="13"/>
      <c r="V73" s="19"/>
      <c r="W73" s="13"/>
      <c r="X73" s="19"/>
      <c r="Y73" s="13"/>
      <c r="Z73" s="19"/>
      <c r="AA73" s="13"/>
      <c r="AB73" s="19"/>
      <c r="AC73" s="13"/>
      <c r="AD73" s="24"/>
      <c r="AE73" s="25"/>
      <c r="AF73" s="24"/>
      <c r="AG73" s="19"/>
      <c r="AH73" s="13"/>
      <c r="AI73" s="24"/>
      <c r="AJ73" s="25"/>
      <c r="AK73" s="24"/>
      <c r="AL73" s="25"/>
    </row>
    <row r="74" ht="16.5" customHeight="1">
      <c r="A74" s="26" t="s">
        <v>177</v>
      </c>
      <c r="B74" s="27">
        <v>3027.7400000000002</v>
      </c>
      <c r="C74" s="23">
        <f>IFERROR(B74/B148, "NA")</f>
        <v>0.02413955006</v>
      </c>
      <c r="D74" s="27">
        <v>2728.3700000000003</v>
      </c>
      <c r="E74" s="23">
        <f>IFERROR(D74/D148, "NA")</f>
        <v>0.02036987513</v>
      </c>
      <c r="F74" s="27">
        <v>2599.24</v>
      </c>
      <c r="G74" s="23">
        <f>IFERROR(F74/F148, "NA")</f>
        <v>0.02030565192</v>
      </c>
      <c r="H74" s="27">
        <v>2567.3900000000003</v>
      </c>
      <c r="I74" s="23">
        <f>IFERROR(H74/H148, "NA")</f>
        <v>0.02217754945</v>
      </c>
      <c r="J74" s="27">
        <v>2799.66</v>
      </c>
      <c r="K74" s="23">
        <f>IFERROR(J74/J148, "NA")</f>
        <v>0.02070894438</v>
      </c>
      <c r="L74" s="27">
        <v>2693.8399999999997</v>
      </c>
      <c r="M74" s="23">
        <f>IFERROR(L74/L148, "NA")</f>
        <v>0.02125285528</v>
      </c>
      <c r="N74" s="27">
        <v>2715.1499999999996</v>
      </c>
      <c r="O74" s="23">
        <f>IFERROR(N74/N148, "NA")</f>
        <v>0.01985937995</v>
      </c>
      <c r="P74" s="27">
        <v>2772.2599999999998</v>
      </c>
      <c r="Q74" s="23">
        <f>IFERROR(P74/P148, "NA")</f>
        <v>0.01851969995</v>
      </c>
      <c r="R74" s="27">
        <v>2496.55</v>
      </c>
      <c r="S74" s="23">
        <f>IFERROR(R74/R148, "NA")</f>
        <v>0.02028110931</v>
      </c>
      <c r="T74" s="27">
        <v>3139.09</v>
      </c>
      <c r="U74" s="23">
        <f>IFERROR(T74/T148, "NA")</f>
        <v>0.01867173813</v>
      </c>
      <c r="V74" s="27">
        <v>3222.61</v>
      </c>
      <c r="W74" s="23">
        <f>IFERROR(V74/V148, "NA")</f>
        <v>0.01937239665</v>
      </c>
      <c r="X74" s="27">
        <v>3135.0099999999998</v>
      </c>
      <c r="Y74" s="23">
        <f>IFERROR(X74/X148, "NA")</f>
        <v>0.02264652599</v>
      </c>
      <c r="Z74" s="27">
        <v>11993.260000000002</v>
      </c>
      <c r="AA74" s="23">
        <f>IFERROR(Z74/Z148, "NA")</f>
        <v>0.02012291777</v>
      </c>
      <c r="AB74" s="59">
        <f t="shared" ref="AB74:AB85" si="37">IFERROR((R74+T74+V74+X74)/4, "NA")</f>
        <v>2998.315</v>
      </c>
      <c r="AC74" s="23">
        <f>IFERROR(AB74/AB148, "NA")</f>
        <v>0.02012291777</v>
      </c>
      <c r="AD74" s="61">
        <f t="shared" ref="AD74:AD85" si="38">IFERROR(X74-AB74, "NA")</f>
        <v>136.695</v>
      </c>
      <c r="AE74" s="63">
        <f>IFERROR(AD74/AD148, "NA")</f>
        <v>-0.01293511836</v>
      </c>
      <c r="AF74" s="61">
        <f t="shared" ref="AF74:AF85" si="39">IFERROR((X74-AB74)/AB74, "NA")</f>
        <v>0.04559060672</v>
      </c>
      <c r="AG74" s="59">
        <f t="shared" ref="AG74:AG85" si="40">IFERROR((J74+L74+N74+P74+R74+T74+V74+X74)/8, "NA")</f>
        <v>2871.77125</v>
      </c>
      <c r="AH74" s="23">
        <f>IFERROR(AG74/AG148, "NA")</f>
        <v>0.02007610267</v>
      </c>
      <c r="AI74" s="61">
        <f t="shared" ref="AI74:AI85" si="41">IFERROR(X74-AG74, "NA")</f>
        <v>263.23875</v>
      </c>
      <c r="AJ74" s="63">
        <f>IFERROR(AI74/AI148, "NA")</f>
        <v>-0.05707704266</v>
      </c>
      <c r="AK74" s="61">
        <f t="shared" ref="AK74:AK85" si="42">IFERROR((X74-AG74)/AG74, "NA")</f>
        <v>0.09166424728</v>
      </c>
      <c r="AL74" s="63">
        <f>IFERROR(AK74/AK148, "NA")</f>
        <v>-2.843034009</v>
      </c>
    </row>
    <row r="75" ht="16.5" hidden="1" customHeight="1">
      <c r="A75" s="26" t="s">
        <v>183</v>
      </c>
      <c r="B75" s="27">
        <v>0.0</v>
      </c>
      <c r="C75" s="23">
        <f>IFERROR(B75/B148, "NA")</f>
        <v>0</v>
      </c>
      <c r="D75" s="27">
        <v>0.0</v>
      </c>
      <c r="E75" s="23">
        <f>IFERROR(D75/D148, "NA")</f>
        <v>0</v>
      </c>
      <c r="F75" s="27">
        <v>0.0</v>
      </c>
      <c r="G75" s="23">
        <f>IFERROR(F75/F148, "NA")</f>
        <v>0</v>
      </c>
      <c r="H75" s="27">
        <v>0.0</v>
      </c>
      <c r="I75" s="23">
        <f>IFERROR(H75/H148, "NA")</f>
        <v>0</v>
      </c>
      <c r="J75" s="27">
        <v>0.0</v>
      </c>
      <c r="K75" s="23">
        <f>IFERROR(J75/J148, "NA")</f>
        <v>0</v>
      </c>
      <c r="L75" s="27">
        <v>0.0</v>
      </c>
      <c r="M75" s="23">
        <f>IFERROR(L75/L148, "NA")</f>
        <v>0</v>
      </c>
      <c r="N75" s="27">
        <v>0.0</v>
      </c>
      <c r="O75" s="23">
        <f>IFERROR(N75/N148, "NA")</f>
        <v>0</v>
      </c>
      <c r="P75" s="27">
        <v>0.0</v>
      </c>
      <c r="Q75" s="23">
        <f>IFERROR(P75/P148, "NA")</f>
        <v>0</v>
      </c>
      <c r="R75" s="27">
        <v>0.0</v>
      </c>
      <c r="S75" s="23">
        <f>IFERROR(R75/R148, "NA")</f>
        <v>0</v>
      </c>
      <c r="T75" s="27">
        <v>0.0</v>
      </c>
      <c r="U75" s="23">
        <f>IFERROR(T75/T148, "NA")</f>
        <v>0</v>
      </c>
      <c r="V75" s="27">
        <v>0.0</v>
      </c>
      <c r="W75" s="23">
        <f>IFERROR(V75/V148, "NA")</f>
        <v>0</v>
      </c>
      <c r="X75" s="27">
        <v>0.0</v>
      </c>
      <c r="Y75" s="23">
        <f>IFERROR(X75/X148, "NA")</f>
        <v>0</v>
      </c>
      <c r="Z75" s="27">
        <v>0.0</v>
      </c>
      <c r="AA75" s="23">
        <f>IFERROR(Z75/Z148, "NA")</f>
        <v>0</v>
      </c>
      <c r="AB75" s="59">
        <f t="shared" si="37"/>
        <v>0</v>
      </c>
      <c r="AC75" s="23">
        <f>IFERROR(AB75/AB148, "NA")</f>
        <v>0</v>
      </c>
      <c r="AD75" s="61">
        <f t="shared" si="38"/>
        <v>0</v>
      </c>
      <c r="AE75" s="63">
        <f>IFERROR(AD75/AD148, "NA")</f>
        <v>0</v>
      </c>
      <c r="AF75" s="61" t="str">
        <f t="shared" si="39"/>
        <v>NA</v>
      </c>
      <c r="AG75" s="59">
        <f t="shared" si="40"/>
        <v>0</v>
      </c>
      <c r="AH75" s="23">
        <f>IFERROR(AG75/AG148, "NA")</f>
        <v>0</v>
      </c>
      <c r="AI75" s="61">
        <f t="shared" si="41"/>
        <v>0</v>
      </c>
      <c r="AJ75" s="63">
        <f>IFERROR(AI75/AI148, "NA")</f>
        <v>0</v>
      </c>
      <c r="AK75" s="61" t="str">
        <f t="shared" si="42"/>
        <v>NA</v>
      </c>
      <c r="AL75" s="63" t="str">
        <f>IFERROR(AK75/AK148, "NA")</f>
        <v>NA</v>
      </c>
    </row>
    <row r="76" ht="16.5" hidden="1" customHeight="1">
      <c r="A76" s="26" t="s">
        <v>184</v>
      </c>
      <c r="B76" s="27">
        <v>0.0</v>
      </c>
      <c r="C76" s="23">
        <f>IFERROR(B76/B148, "NA")</f>
        <v>0</v>
      </c>
      <c r="D76" s="27">
        <v>0.0</v>
      </c>
      <c r="E76" s="23">
        <f>IFERROR(D76/D148, "NA")</f>
        <v>0</v>
      </c>
      <c r="F76" s="27">
        <v>0.0</v>
      </c>
      <c r="G76" s="23">
        <f>IFERROR(F76/F148, "NA")</f>
        <v>0</v>
      </c>
      <c r="H76" s="27">
        <v>0.0</v>
      </c>
      <c r="I76" s="23">
        <f>IFERROR(H76/H148, "NA")</f>
        <v>0</v>
      </c>
      <c r="J76" s="27">
        <v>0.0</v>
      </c>
      <c r="K76" s="23">
        <f>IFERROR(J76/J148, "NA")</f>
        <v>0</v>
      </c>
      <c r="L76" s="27">
        <v>0.0</v>
      </c>
      <c r="M76" s="23">
        <f>IFERROR(L76/L148, "NA")</f>
        <v>0</v>
      </c>
      <c r="N76" s="27">
        <v>0.0</v>
      </c>
      <c r="O76" s="23">
        <f>IFERROR(N76/N148, "NA")</f>
        <v>0</v>
      </c>
      <c r="P76" s="27">
        <v>0.0</v>
      </c>
      <c r="Q76" s="23">
        <f>IFERROR(P76/P148, "NA")</f>
        <v>0</v>
      </c>
      <c r="R76" s="27">
        <v>0.0</v>
      </c>
      <c r="S76" s="23">
        <f>IFERROR(R76/R148, "NA")</f>
        <v>0</v>
      </c>
      <c r="T76" s="27">
        <v>0.0</v>
      </c>
      <c r="U76" s="23">
        <f>IFERROR(T76/T148, "NA")</f>
        <v>0</v>
      </c>
      <c r="V76" s="27">
        <v>0.0</v>
      </c>
      <c r="W76" s="23">
        <f>IFERROR(V76/V148, "NA")</f>
        <v>0</v>
      </c>
      <c r="X76" s="27">
        <v>0.0</v>
      </c>
      <c r="Y76" s="23">
        <f>IFERROR(X76/X148, "NA")</f>
        <v>0</v>
      </c>
      <c r="Z76" s="27">
        <v>0.0</v>
      </c>
      <c r="AA76" s="23">
        <f>IFERROR(Z76/Z148, "NA")</f>
        <v>0</v>
      </c>
      <c r="AB76" s="59">
        <f t="shared" si="37"/>
        <v>0</v>
      </c>
      <c r="AC76" s="23">
        <f>IFERROR(AB76/AB148, "NA")</f>
        <v>0</v>
      </c>
      <c r="AD76" s="61">
        <f t="shared" si="38"/>
        <v>0</v>
      </c>
      <c r="AE76" s="63">
        <f>IFERROR(AD76/AD148, "NA")</f>
        <v>0</v>
      </c>
      <c r="AF76" s="61" t="str">
        <f t="shared" si="39"/>
        <v>NA</v>
      </c>
      <c r="AG76" s="59">
        <f t="shared" si="40"/>
        <v>0</v>
      </c>
      <c r="AH76" s="23">
        <f>IFERROR(AG76/AG148, "NA")</f>
        <v>0</v>
      </c>
      <c r="AI76" s="61">
        <f t="shared" si="41"/>
        <v>0</v>
      </c>
      <c r="AJ76" s="63">
        <f>IFERROR(AI76/AI148, "NA")</f>
        <v>0</v>
      </c>
      <c r="AK76" s="61" t="str">
        <f t="shared" si="42"/>
        <v>NA</v>
      </c>
      <c r="AL76" s="63" t="str">
        <f>IFERROR(AK76/AK148, "NA")</f>
        <v>NA</v>
      </c>
    </row>
    <row r="77" ht="16.5" hidden="1" customHeight="1">
      <c r="A77" s="26" t="s">
        <v>185</v>
      </c>
      <c r="B77" s="27">
        <v>0.0</v>
      </c>
      <c r="C77" s="23">
        <f>IFERROR(B77/B148, "NA")</f>
        <v>0</v>
      </c>
      <c r="D77" s="27">
        <v>0.0</v>
      </c>
      <c r="E77" s="23">
        <f>IFERROR(D77/D148, "NA")</f>
        <v>0</v>
      </c>
      <c r="F77" s="27">
        <v>0.0</v>
      </c>
      <c r="G77" s="23">
        <f>IFERROR(F77/F148, "NA")</f>
        <v>0</v>
      </c>
      <c r="H77" s="27">
        <v>0.0</v>
      </c>
      <c r="I77" s="23">
        <f>IFERROR(H77/H148, "NA")</f>
        <v>0</v>
      </c>
      <c r="J77" s="27">
        <v>0.0</v>
      </c>
      <c r="K77" s="23">
        <f>IFERROR(J77/J148, "NA")</f>
        <v>0</v>
      </c>
      <c r="L77" s="27">
        <v>0.0</v>
      </c>
      <c r="M77" s="23">
        <f>IFERROR(L77/L148, "NA")</f>
        <v>0</v>
      </c>
      <c r="N77" s="27">
        <v>0.0</v>
      </c>
      <c r="O77" s="23">
        <f>IFERROR(N77/N148, "NA")</f>
        <v>0</v>
      </c>
      <c r="P77" s="27">
        <v>0.0</v>
      </c>
      <c r="Q77" s="23">
        <f>IFERROR(P77/P148, "NA")</f>
        <v>0</v>
      </c>
      <c r="R77" s="27">
        <v>0.0</v>
      </c>
      <c r="S77" s="23">
        <f>IFERROR(R77/R148, "NA")</f>
        <v>0</v>
      </c>
      <c r="T77" s="27">
        <v>0.0</v>
      </c>
      <c r="U77" s="23">
        <f>IFERROR(T77/T148, "NA")</f>
        <v>0</v>
      </c>
      <c r="V77" s="27">
        <v>0.0</v>
      </c>
      <c r="W77" s="23">
        <f>IFERROR(V77/V148, "NA")</f>
        <v>0</v>
      </c>
      <c r="X77" s="27">
        <v>0.0</v>
      </c>
      <c r="Y77" s="23">
        <f>IFERROR(X77/X148, "NA")</f>
        <v>0</v>
      </c>
      <c r="Z77" s="27">
        <v>0.0</v>
      </c>
      <c r="AA77" s="23">
        <f>IFERROR(Z77/Z148, "NA")</f>
        <v>0</v>
      </c>
      <c r="AB77" s="59">
        <f t="shared" si="37"/>
        <v>0</v>
      </c>
      <c r="AC77" s="23">
        <f>IFERROR(AB77/AB148, "NA")</f>
        <v>0</v>
      </c>
      <c r="AD77" s="61">
        <f t="shared" si="38"/>
        <v>0</v>
      </c>
      <c r="AE77" s="63">
        <f>IFERROR(AD77/AD148, "NA")</f>
        <v>0</v>
      </c>
      <c r="AF77" s="61" t="str">
        <f t="shared" si="39"/>
        <v>NA</v>
      </c>
      <c r="AG77" s="59">
        <f t="shared" si="40"/>
        <v>0</v>
      </c>
      <c r="AH77" s="23">
        <f>IFERROR(AG77/AG148, "NA")</f>
        <v>0</v>
      </c>
      <c r="AI77" s="61">
        <f t="shared" si="41"/>
        <v>0</v>
      </c>
      <c r="AJ77" s="63">
        <f>IFERROR(AI77/AI148, "NA")</f>
        <v>0</v>
      </c>
      <c r="AK77" s="61" t="str">
        <f t="shared" si="42"/>
        <v>NA</v>
      </c>
      <c r="AL77" s="63" t="str">
        <f>IFERROR(AK77/AK148, "NA")</f>
        <v>NA</v>
      </c>
    </row>
    <row r="78" ht="16.5" hidden="1" customHeight="1">
      <c r="A78" s="26" t="s">
        <v>186</v>
      </c>
      <c r="B78" s="27">
        <v>0.0</v>
      </c>
      <c r="C78" s="23">
        <f>IFERROR(B78/B148, "NA")</f>
        <v>0</v>
      </c>
      <c r="D78" s="27">
        <v>0.0</v>
      </c>
      <c r="E78" s="23">
        <f>IFERROR(D78/D148, "NA")</f>
        <v>0</v>
      </c>
      <c r="F78" s="27">
        <v>0.0</v>
      </c>
      <c r="G78" s="23">
        <f>IFERROR(F78/F148, "NA")</f>
        <v>0</v>
      </c>
      <c r="H78" s="27">
        <v>0.0</v>
      </c>
      <c r="I78" s="23">
        <f>IFERROR(H78/H148, "NA")</f>
        <v>0</v>
      </c>
      <c r="J78" s="27">
        <v>0.0</v>
      </c>
      <c r="K78" s="23">
        <f>IFERROR(J78/J148, "NA")</f>
        <v>0</v>
      </c>
      <c r="L78" s="27">
        <v>0.0</v>
      </c>
      <c r="M78" s="23">
        <f>IFERROR(L78/L148, "NA")</f>
        <v>0</v>
      </c>
      <c r="N78" s="27">
        <v>0.0</v>
      </c>
      <c r="O78" s="23">
        <f>IFERROR(N78/N148, "NA")</f>
        <v>0</v>
      </c>
      <c r="P78" s="27">
        <v>0.0</v>
      </c>
      <c r="Q78" s="23">
        <f>IFERROR(P78/P148, "NA")</f>
        <v>0</v>
      </c>
      <c r="R78" s="27">
        <v>0.0</v>
      </c>
      <c r="S78" s="23">
        <f>IFERROR(R78/R148, "NA")</f>
        <v>0</v>
      </c>
      <c r="T78" s="27">
        <v>0.0</v>
      </c>
      <c r="U78" s="23">
        <f>IFERROR(T78/T148, "NA")</f>
        <v>0</v>
      </c>
      <c r="V78" s="27">
        <v>0.0</v>
      </c>
      <c r="W78" s="23">
        <f>IFERROR(V78/V148, "NA")</f>
        <v>0</v>
      </c>
      <c r="X78" s="27">
        <v>0.0</v>
      </c>
      <c r="Y78" s="23">
        <f>IFERROR(X78/X148, "NA")</f>
        <v>0</v>
      </c>
      <c r="Z78" s="27">
        <v>0.0</v>
      </c>
      <c r="AA78" s="23">
        <f>IFERROR(Z78/Z148, "NA")</f>
        <v>0</v>
      </c>
      <c r="AB78" s="59">
        <f t="shared" si="37"/>
        <v>0</v>
      </c>
      <c r="AC78" s="23">
        <f>IFERROR(AB78/AB148, "NA")</f>
        <v>0</v>
      </c>
      <c r="AD78" s="61">
        <f t="shared" si="38"/>
        <v>0</v>
      </c>
      <c r="AE78" s="63">
        <f>IFERROR(AD78/AD148, "NA")</f>
        <v>0</v>
      </c>
      <c r="AF78" s="61" t="str">
        <f t="shared" si="39"/>
        <v>NA</v>
      </c>
      <c r="AG78" s="59">
        <f t="shared" si="40"/>
        <v>0</v>
      </c>
      <c r="AH78" s="23">
        <f>IFERROR(AG78/AG148, "NA")</f>
        <v>0</v>
      </c>
      <c r="AI78" s="61">
        <f t="shared" si="41"/>
        <v>0</v>
      </c>
      <c r="AJ78" s="63">
        <f>IFERROR(AI78/AI148, "NA")</f>
        <v>0</v>
      </c>
      <c r="AK78" s="61" t="str">
        <f t="shared" si="42"/>
        <v>NA</v>
      </c>
      <c r="AL78" s="63" t="str">
        <f>IFERROR(AK78/AK148, "NA")</f>
        <v>NA</v>
      </c>
    </row>
    <row r="79" ht="16.5" hidden="1" customHeight="1">
      <c r="A79" s="26" t="s">
        <v>187</v>
      </c>
      <c r="B79" s="27">
        <v>0.0</v>
      </c>
      <c r="C79" s="23">
        <f>IFERROR(B79/B148, "NA")</f>
        <v>0</v>
      </c>
      <c r="D79" s="27">
        <v>0.0</v>
      </c>
      <c r="E79" s="23">
        <f>IFERROR(D79/D148, "NA")</f>
        <v>0</v>
      </c>
      <c r="F79" s="27">
        <v>0.0</v>
      </c>
      <c r="G79" s="23">
        <f>IFERROR(F79/F148, "NA")</f>
        <v>0</v>
      </c>
      <c r="H79" s="27">
        <v>0.0</v>
      </c>
      <c r="I79" s="23">
        <f>IFERROR(H79/H148, "NA")</f>
        <v>0</v>
      </c>
      <c r="J79" s="27">
        <v>0.0</v>
      </c>
      <c r="K79" s="23">
        <f>IFERROR(J79/J148, "NA")</f>
        <v>0</v>
      </c>
      <c r="L79" s="27">
        <v>0.0</v>
      </c>
      <c r="M79" s="23">
        <f>IFERROR(L79/L148, "NA")</f>
        <v>0</v>
      </c>
      <c r="N79" s="27">
        <v>0.0</v>
      </c>
      <c r="O79" s="23">
        <f>IFERROR(N79/N148, "NA")</f>
        <v>0</v>
      </c>
      <c r="P79" s="27">
        <v>0.0</v>
      </c>
      <c r="Q79" s="23">
        <f>IFERROR(P79/P148, "NA")</f>
        <v>0</v>
      </c>
      <c r="R79" s="27">
        <v>0.0</v>
      </c>
      <c r="S79" s="23">
        <f>IFERROR(R79/R148, "NA")</f>
        <v>0</v>
      </c>
      <c r="T79" s="27">
        <v>0.0</v>
      </c>
      <c r="U79" s="23">
        <f>IFERROR(T79/T148, "NA")</f>
        <v>0</v>
      </c>
      <c r="V79" s="27">
        <v>0.0</v>
      </c>
      <c r="W79" s="23">
        <f>IFERROR(V79/V148, "NA")</f>
        <v>0</v>
      </c>
      <c r="X79" s="27">
        <v>0.0</v>
      </c>
      <c r="Y79" s="23">
        <f>IFERROR(X79/X148, "NA")</f>
        <v>0</v>
      </c>
      <c r="Z79" s="27">
        <v>0.0</v>
      </c>
      <c r="AA79" s="23">
        <f>IFERROR(Z79/Z148, "NA")</f>
        <v>0</v>
      </c>
      <c r="AB79" s="59">
        <f t="shared" si="37"/>
        <v>0</v>
      </c>
      <c r="AC79" s="23">
        <f>IFERROR(AB79/AB148, "NA")</f>
        <v>0</v>
      </c>
      <c r="AD79" s="61">
        <f t="shared" si="38"/>
        <v>0</v>
      </c>
      <c r="AE79" s="63">
        <f>IFERROR(AD79/AD148, "NA")</f>
        <v>0</v>
      </c>
      <c r="AF79" s="61" t="str">
        <f t="shared" si="39"/>
        <v>NA</v>
      </c>
      <c r="AG79" s="59">
        <f t="shared" si="40"/>
        <v>0</v>
      </c>
      <c r="AH79" s="23">
        <f>IFERROR(AG79/AG148, "NA")</f>
        <v>0</v>
      </c>
      <c r="AI79" s="61">
        <f t="shared" si="41"/>
        <v>0</v>
      </c>
      <c r="AJ79" s="63">
        <f>IFERROR(AI79/AI148, "NA")</f>
        <v>0</v>
      </c>
      <c r="AK79" s="61" t="str">
        <f t="shared" si="42"/>
        <v>NA</v>
      </c>
      <c r="AL79" s="63" t="str">
        <f>IFERROR(AK79/AK148, "NA")</f>
        <v>NA</v>
      </c>
    </row>
    <row r="80" ht="16.5" hidden="1" customHeight="1">
      <c r="A80" s="26" t="s">
        <v>188</v>
      </c>
      <c r="B80" s="27">
        <v>0.0</v>
      </c>
      <c r="C80" s="23">
        <f>IFERROR(B80/B148, "NA")</f>
        <v>0</v>
      </c>
      <c r="D80" s="27">
        <v>0.0</v>
      </c>
      <c r="E80" s="23">
        <f>IFERROR(D80/D148, "NA")</f>
        <v>0</v>
      </c>
      <c r="F80" s="27">
        <v>0.0</v>
      </c>
      <c r="G80" s="23">
        <f>IFERROR(F80/F148, "NA")</f>
        <v>0</v>
      </c>
      <c r="H80" s="27">
        <v>0.0</v>
      </c>
      <c r="I80" s="23">
        <f>IFERROR(H80/H148, "NA")</f>
        <v>0</v>
      </c>
      <c r="J80" s="27">
        <v>0.0</v>
      </c>
      <c r="K80" s="23">
        <f>IFERROR(J80/J148, "NA")</f>
        <v>0</v>
      </c>
      <c r="L80" s="27">
        <v>0.0</v>
      </c>
      <c r="M80" s="23">
        <f>IFERROR(L80/L148, "NA")</f>
        <v>0</v>
      </c>
      <c r="N80" s="27">
        <v>0.0</v>
      </c>
      <c r="O80" s="23">
        <f>IFERROR(N80/N148, "NA")</f>
        <v>0</v>
      </c>
      <c r="P80" s="27">
        <v>0.0</v>
      </c>
      <c r="Q80" s="23">
        <f>IFERROR(P80/P148, "NA")</f>
        <v>0</v>
      </c>
      <c r="R80" s="27">
        <v>0.0</v>
      </c>
      <c r="S80" s="23">
        <f>IFERROR(R80/R148, "NA")</f>
        <v>0</v>
      </c>
      <c r="T80" s="27">
        <v>0.0</v>
      </c>
      <c r="U80" s="23">
        <f>IFERROR(T80/T148, "NA")</f>
        <v>0</v>
      </c>
      <c r="V80" s="27">
        <v>0.0</v>
      </c>
      <c r="W80" s="23">
        <f>IFERROR(V80/V148, "NA")</f>
        <v>0</v>
      </c>
      <c r="X80" s="27">
        <v>0.0</v>
      </c>
      <c r="Y80" s="23">
        <f>IFERROR(X80/X148, "NA")</f>
        <v>0</v>
      </c>
      <c r="Z80" s="27">
        <v>0.0</v>
      </c>
      <c r="AA80" s="23">
        <f>IFERROR(Z80/Z148, "NA")</f>
        <v>0</v>
      </c>
      <c r="AB80" s="59">
        <f t="shared" si="37"/>
        <v>0</v>
      </c>
      <c r="AC80" s="23">
        <f>IFERROR(AB80/AB148, "NA")</f>
        <v>0</v>
      </c>
      <c r="AD80" s="61">
        <f t="shared" si="38"/>
        <v>0</v>
      </c>
      <c r="AE80" s="63">
        <f>IFERROR(AD80/AD148, "NA")</f>
        <v>0</v>
      </c>
      <c r="AF80" s="61" t="str">
        <f t="shared" si="39"/>
        <v>NA</v>
      </c>
      <c r="AG80" s="59">
        <f t="shared" si="40"/>
        <v>0</v>
      </c>
      <c r="AH80" s="23">
        <f>IFERROR(AG80/AG148, "NA")</f>
        <v>0</v>
      </c>
      <c r="AI80" s="61">
        <f t="shared" si="41"/>
        <v>0</v>
      </c>
      <c r="AJ80" s="63">
        <f>IFERROR(AI80/AI148, "NA")</f>
        <v>0</v>
      </c>
      <c r="AK80" s="61" t="str">
        <f t="shared" si="42"/>
        <v>NA</v>
      </c>
      <c r="AL80" s="63" t="str">
        <f>IFERROR(AK80/AK148, "NA")</f>
        <v>NA</v>
      </c>
    </row>
    <row r="81" ht="16.5" customHeight="1">
      <c r="A81" s="66" t="s">
        <v>189</v>
      </c>
      <c r="B81" s="67">
        <f>IFERROR(B74+B75+B76+B77+B78+B79+B80, "NA")</f>
        <v>3027.74</v>
      </c>
      <c r="C81" s="69">
        <f>IFERROR(B81/B148, "NA")</f>
        <v>0.02413955006</v>
      </c>
      <c r="D81" s="67">
        <f>IFERROR(D74+D75+D76+D77+D78+D79+D80, "NA")</f>
        <v>2728.37</v>
      </c>
      <c r="E81" s="69">
        <f>IFERROR(D81/D148, "NA")</f>
        <v>0.02036987513</v>
      </c>
      <c r="F81" s="67">
        <f>IFERROR(F74+F75+F76+F77+F78+F79+F80, "NA")</f>
        <v>2599.24</v>
      </c>
      <c r="G81" s="69">
        <f>IFERROR(F81/F148, "NA")</f>
        <v>0.02030565192</v>
      </c>
      <c r="H81" s="67">
        <f>IFERROR(H74+H75+H76+H77+H78+H79+H80, "NA")</f>
        <v>2567.39</v>
      </c>
      <c r="I81" s="69">
        <f>IFERROR(H81/H148, "NA")</f>
        <v>0.02217754945</v>
      </c>
      <c r="J81" s="67">
        <f>IFERROR(J74+J75+J76+J77+J78+J79+J80, "NA")</f>
        <v>2799.66</v>
      </c>
      <c r="K81" s="69">
        <f>IFERROR(J81/J148, "NA")</f>
        <v>0.02070894438</v>
      </c>
      <c r="L81" s="67">
        <f>IFERROR(L74+L75+L76+L77+L78+L79+L80, "NA")</f>
        <v>2693.84</v>
      </c>
      <c r="M81" s="69">
        <f>IFERROR(L81/L148, "NA")</f>
        <v>0.02125285528</v>
      </c>
      <c r="N81" s="67">
        <f>IFERROR(N74+N75+N76+N77+N78+N79+N80, "NA")</f>
        <v>2715.15</v>
      </c>
      <c r="O81" s="69">
        <f>IFERROR(N81/N148, "NA")</f>
        <v>0.01985937995</v>
      </c>
      <c r="P81" s="67">
        <f>IFERROR(P74+P75+P76+P77+P78+P79+P80, "NA")</f>
        <v>2772.26</v>
      </c>
      <c r="Q81" s="69">
        <f>IFERROR(P81/P148, "NA")</f>
        <v>0.01851969995</v>
      </c>
      <c r="R81" s="67">
        <f>IFERROR(R74+R75+R76+R77+R78+R79+R80, "NA")</f>
        <v>2496.55</v>
      </c>
      <c r="S81" s="69">
        <f>IFERROR(R81/R148, "NA")</f>
        <v>0.02028110931</v>
      </c>
      <c r="T81" s="67">
        <f>IFERROR(T74+T75+T76+T77+T78+T79+T80, "NA")</f>
        <v>3139.09</v>
      </c>
      <c r="U81" s="69">
        <f>IFERROR(T81/T148, "NA")</f>
        <v>0.01867173813</v>
      </c>
      <c r="V81" s="67">
        <f>IFERROR(V74+V75+V76+V77+V78+V79+V80, "NA")</f>
        <v>3222.61</v>
      </c>
      <c r="W81" s="69">
        <f>IFERROR(V81/V148, "NA")</f>
        <v>0.01937239665</v>
      </c>
      <c r="X81" s="67">
        <f>IFERROR(X74+X75+X76+X77+X78+X79+X80, "NA")</f>
        <v>3135.01</v>
      </c>
      <c r="Y81" s="69">
        <f>IFERROR(X81/X148, "NA")</f>
        <v>0.02264652599</v>
      </c>
      <c r="Z81" s="67">
        <f>IFERROR(Z74+Z75+Z76+Z77+Z78+Z79+Z80, "NA")</f>
        <v>11993.26</v>
      </c>
      <c r="AA81" s="69">
        <f>IFERROR(Z81/Z148, "NA")</f>
        <v>0.02012291777</v>
      </c>
      <c r="AB81" s="67">
        <f t="shared" si="37"/>
        <v>2998.315</v>
      </c>
      <c r="AC81" s="69">
        <f>IFERROR(AB81/AB148, "NA")</f>
        <v>0.02012291777</v>
      </c>
      <c r="AD81" s="70">
        <f t="shared" si="38"/>
        <v>136.695</v>
      </c>
      <c r="AE81" s="71">
        <f>IFERROR(AD81/AD148, "NA")</f>
        <v>-0.01293511836</v>
      </c>
      <c r="AF81" s="70">
        <f t="shared" si="39"/>
        <v>0.04559060672</v>
      </c>
      <c r="AG81" s="67">
        <f t="shared" si="40"/>
        <v>2871.77125</v>
      </c>
      <c r="AH81" s="69">
        <f>IFERROR(AG81/AG148, "NA")</f>
        <v>0.02007610267</v>
      </c>
      <c r="AI81" s="70">
        <f t="shared" si="41"/>
        <v>263.23875</v>
      </c>
      <c r="AJ81" s="71">
        <f>IFERROR(AI81/AI148, "NA")</f>
        <v>-0.05707704266</v>
      </c>
      <c r="AK81" s="70">
        <f t="shared" si="42"/>
        <v>0.09166424728</v>
      </c>
      <c r="AL81" s="71">
        <f>IFERROR(AK81/AK148, "NA")</f>
        <v>-2.843034009</v>
      </c>
    </row>
    <row r="82" ht="16.5" customHeight="1">
      <c r="A82" s="26" t="s">
        <v>190</v>
      </c>
      <c r="B82" s="27">
        <v>0.0</v>
      </c>
      <c r="C82" s="23">
        <f>IFERROR(B82/B148, "NA")</f>
        <v>0</v>
      </c>
      <c r="D82" s="27">
        <v>0.0</v>
      </c>
      <c r="E82" s="23">
        <f>IFERROR(D82/D148, "NA")</f>
        <v>0</v>
      </c>
      <c r="F82" s="27">
        <v>0.0</v>
      </c>
      <c r="G82" s="23">
        <f>IFERROR(F82/F148, "NA")</f>
        <v>0</v>
      </c>
      <c r="H82" s="27">
        <v>1048.6399999999999</v>
      </c>
      <c r="I82" s="23">
        <f>IFERROR(H82/H148, "NA")</f>
        <v>0.009058329843</v>
      </c>
      <c r="J82" s="27">
        <v>0.0</v>
      </c>
      <c r="K82" s="23">
        <f>IFERROR(J82/J148, "NA")</f>
        <v>0</v>
      </c>
      <c r="L82" s="27">
        <v>0.0</v>
      </c>
      <c r="M82" s="23">
        <f>IFERROR(L82/L148, "NA")</f>
        <v>0</v>
      </c>
      <c r="N82" s="27">
        <v>0.0</v>
      </c>
      <c r="O82" s="23">
        <f>IFERROR(N82/N148, "NA")</f>
        <v>0</v>
      </c>
      <c r="P82" s="27">
        <v>0.0</v>
      </c>
      <c r="Q82" s="23">
        <f>IFERROR(P82/P148, "NA")</f>
        <v>0</v>
      </c>
      <c r="R82" s="27">
        <v>1021.04</v>
      </c>
      <c r="S82" s="23">
        <f>IFERROR(R82/R148, "NA")</f>
        <v>0.008294576055</v>
      </c>
      <c r="T82" s="27">
        <v>0.0</v>
      </c>
      <c r="U82" s="23">
        <f>IFERROR(T82/T148, "NA")</f>
        <v>0</v>
      </c>
      <c r="V82" s="27">
        <v>0.0</v>
      </c>
      <c r="W82" s="23">
        <f>IFERROR(V82/V148, "NA")</f>
        <v>0</v>
      </c>
      <c r="X82" s="27">
        <v>0.0</v>
      </c>
      <c r="Y82" s="23">
        <f>IFERROR(X82/X148, "NA")</f>
        <v>0</v>
      </c>
      <c r="Z82" s="27">
        <v>1021.04</v>
      </c>
      <c r="AA82" s="23">
        <f>IFERROR(Z82/Z148, "NA")</f>
        <v>0.001713154219</v>
      </c>
      <c r="AB82" s="59">
        <f t="shared" si="37"/>
        <v>255.26</v>
      </c>
      <c r="AC82" s="23">
        <f>IFERROR(AB82/AB148, "NA")</f>
        <v>0.001713154219</v>
      </c>
      <c r="AD82" s="61">
        <f t="shared" si="38"/>
        <v>-255.26</v>
      </c>
      <c r="AE82" s="63">
        <f>IFERROR(AD82/AD148, "NA")</f>
        <v>0.02415463851</v>
      </c>
      <c r="AF82" s="61">
        <f t="shared" si="39"/>
        <v>-1</v>
      </c>
      <c r="AG82" s="59">
        <f t="shared" si="40"/>
        <v>127.63</v>
      </c>
      <c r="AH82" s="23">
        <f>IFERROR(AG82/AG148, "NA")</f>
        <v>0.0008922413245</v>
      </c>
      <c r="AI82" s="61">
        <f t="shared" si="41"/>
        <v>-127.63</v>
      </c>
      <c r="AJ82" s="63">
        <f>IFERROR(AI82/AI148, "NA")</f>
        <v>0.02767352054</v>
      </c>
      <c r="AK82" s="61">
        <f t="shared" si="42"/>
        <v>-1</v>
      </c>
      <c r="AL82" s="63">
        <f>IFERROR(AK82/AK148, "NA")</f>
        <v>31.01573507</v>
      </c>
    </row>
    <row r="83" ht="16.5" customHeight="1">
      <c r="A83" s="26" t="s">
        <v>191</v>
      </c>
      <c r="B83" s="27">
        <v>-297.74</v>
      </c>
      <c r="C83" s="23">
        <f>IFERROR(B83/B148, "NA")</f>
        <v>-0.002373819957</v>
      </c>
      <c r="D83" s="27">
        <v>2812.2999999999997</v>
      </c>
      <c r="E83" s="23">
        <f>IFERROR(D83/D148, "NA")</f>
        <v>0.02099649235</v>
      </c>
      <c r="F83" s="27">
        <v>-297.74</v>
      </c>
      <c r="G83" s="23">
        <f>IFERROR(F83/F148, "NA")</f>
        <v>-0.002325989444</v>
      </c>
      <c r="H83" s="27">
        <v>-297.74</v>
      </c>
      <c r="I83" s="23">
        <f>IFERROR(H83/H148, "NA")</f>
        <v>-0.002571928524</v>
      </c>
      <c r="J83" s="27">
        <v>-220.91</v>
      </c>
      <c r="K83" s="23">
        <f>IFERROR(J83/J148, "NA")</f>
        <v>-0.001634060172</v>
      </c>
      <c r="L83" s="27">
        <v>-220.91</v>
      </c>
      <c r="M83" s="23">
        <f>IFERROR(L83/L148, "NA")</f>
        <v>-0.001742853421</v>
      </c>
      <c r="N83" s="27">
        <v>2889.13</v>
      </c>
      <c r="O83" s="23">
        <f>IFERROR(N83/N148, "NA")</f>
        <v>0.02113191919</v>
      </c>
      <c r="P83" s="27">
        <v>-220.91</v>
      </c>
      <c r="Q83" s="23">
        <f>IFERROR(P83/P148, "NA")</f>
        <v>-0.001475758737</v>
      </c>
      <c r="R83" s="27">
        <v>-220.91</v>
      </c>
      <c r="S83" s="23">
        <f>IFERROR(R83/R148, "NA")</f>
        <v>-0.001794596486</v>
      </c>
      <c r="T83" s="27">
        <v>-109.13</v>
      </c>
      <c r="U83" s="23">
        <f>IFERROR(T83/T148, "NA")</f>
        <v>-0.000649120217</v>
      </c>
      <c r="V83" s="27">
        <v>1775.7800000000002</v>
      </c>
      <c r="W83" s="23">
        <f>IFERROR(V83/V148, "NA")</f>
        <v>0.01067492328</v>
      </c>
      <c r="X83" s="27">
        <v>-159.66</v>
      </c>
      <c r="Y83" s="23">
        <f>IFERROR(X83/X148, "NA")</f>
        <v>-0.001153343798</v>
      </c>
      <c r="Z83" s="27">
        <v>1286.08</v>
      </c>
      <c r="AA83" s="23">
        <f>IFERROR(Z83/Z148, "NA")</f>
        <v>0.002157852168</v>
      </c>
      <c r="AB83" s="59">
        <f t="shared" si="37"/>
        <v>321.52</v>
      </c>
      <c r="AC83" s="23">
        <f>IFERROR(AB83/AB148, "NA")</f>
        <v>0.002157852168</v>
      </c>
      <c r="AD83" s="61">
        <f t="shared" si="38"/>
        <v>-481.18</v>
      </c>
      <c r="AE83" s="63">
        <f>IFERROR(AD83/AD148, "NA")</f>
        <v>0.04553290355</v>
      </c>
      <c r="AF83" s="61">
        <f t="shared" si="39"/>
        <v>-1.496578751</v>
      </c>
      <c r="AG83" s="59">
        <f t="shared" si="40"/>
        <v>439.06</v>
      </c>
      <c r="AH83" s="23">
        <f>IFERROR(AG83/AG148, "NA")</f>
        <v>0.003069399639</v>
      </c>
      <c r="AI83" s="61">
        <f t="shared" si="41"/>
        <v>-598.72</v>
      </c>
      <c r="AJ83" s="63">
        <f>IFERROR(AI83/AI148, "NA")</f>
        <v>0.1298181479</v>
      </c>
      <c r="AK83" s="61">
        <f t="shared" si="42"/>
        <v>-1.363640505</v>
      </c>
      <c r="AL83" s="63">
        <f>IFERROR(AK83/AK148, "NA")</f>
        <v>42.29431263</v>
      </c>
    </row>
    <row r="84" ht="16.5" customHeight="1">
      <c r="A84" s="66" t="s">
        <v>53</v>
      </c>
      <c r="B84" s="67">
        <f>IFERROR(B63+B65+B66+B67+B68+B69+B71+B72+B74+B75+B76+B77+B78+B79+B80+B82+B83, "NA")</f>
        <v>32219.67</v>
      </c>
      <c r="C84" s="69">
        <f>IFERROR(B84/B148, "NA")</f>
        <v>0.256880821</v>
      </c>
      <c r="D84" s="67">
        <f>IFERROR(D63+D65+D66+D67+D68+D69+D71+D72+D74+D75+D76+D77+D78+D79+D80+D82+D83, "NA")</f>
        <v>35171.46</v>
      </c>
      <c r="E84" s="69">
        <f>IFERROR(D84/D148, "NA")</f>
        <v>0.2625883763</v>
      </c>
      <c r="F84" s="67">
        <f>IFERROR(F63+F65+F66+F67+F68+F69+F71+F72+F74+F75+F76+F77+F78+F79+F80+F82+F83, "NA")</f>
        <v>31058.43</v>
      </c>
      <c r="G84" s="69">
        <f>IFERROR(F84/F148, "NA")</f>
        <v>0.2426331038</v>
      </c>
      <c r="H84" s="67">
        <f>IFERROR(H63+H65+H66+H67+H68+H69+H71+H72+H74+H75+H76+H77+H78+H79+H80+H82+H83, "NA")</f>
        <v>31395.29</v>
      </c>
      <c r="I84" s="69">
        <f>IFERROR(H84/H148, "NA")</f>
        <v>0.2711978299</v>
      </c>
      <c r="J84" s="67">
        <f>IFERROR(J63+J65+J66+J67+J68+J69+J71+J72+J74+J75+J76+J77+J78+J79+J80+J82+J83, "NA")</f>
        <v>33046.73</v>
      </c>
      <c r="K84" s="69">
        <f>IFERROR(J84/J148, "NA")</f>
        <v>0.2444450017</v>
      </c>
      <c r="L84" s="67">
        <f>IFERROR(L63+L65+L66+L67+L68+L69+L71+L72+L74+L75+L76+L77+L78+L79+L80+L82+L83, "NA")</f>
        <v>31698.6</v>
      </c>
      <c r="M84" s="69">
        <f>IFERROR(L84/L148, "NA")</f>
        <v>0.2500838054</v>
      </c>
      <c r="N84" s="67">
        <f>IFERROR(N63+N65+N66+N67+N68+N69+N71+N72+N74+N75+N76+N77+N78+N79+N80+N82+N83, "NA")</f>
        <v>35495.08</v>
      </c>
      <c r="O84" s="69">
        <f>IFERROR(N84/N148, "NA")</f>
        <v>0.2596211186</v>
      </c>
      <c r="P84" s="67">
        <f>IFERROR(P63+P65+P66+P67+P68+P69+P71+P72+P74+P75+P76+P77+P78+P79+P80+P82+P83, "NA")</f>
        <v>35664.12</v>
      </c>
      <c r="Q84" s="69">
        <f>IFERROR(P84/P148, "NA")</f>
        <v>0.2382492268</v>
      </c>
      <c r="R84" s="67">
        <f>IFERROR(R63+R65+R66+R67+R68+R69+R71+R72+R74+R75+R76+R77+R78+R79+R80+R82+R83, "NA")</f>
        <v>31153.39</v>
      </c>
      <c r="S84" s="69">
        <f>IFERROR(R84/R148, "NA")</f>
        <v>0.2530793727</v>
      </c>
      <c r="T84" s="67">
        <f>IFERROR(T63+T65+T66+T67+T68+T69+T71+T72+T74+T75+T76+T77+T78+T79+T80+T82+T83, "NA")</f>
        <v>37410.88</v>
      </c>
      <c r="U84" s="69">
        <f>IFERROR(T84/T148, "NA")</f>
        <v>0.2225250485</v>
      </c>
      <c r="V84" s="67">
        <f>IFERROR(V63+V65+V66+V67+V68+V69+V71+V72+V74+V75+V76+V77+V78+V79+V80+V82+V83, "NA")</f>
        <v>40327.99</v>
      </c>
      <c r="W84" s="69">
        <f>IFERROR(V84/V148, "NA")</f>
        <v>0.2424276653</v>
      </c>
      <c r="X84" s="67">
        <f>IFERROR(X63+X65+X66+X67+X68+X69+X71+X72+X74+X75+X76+X77+X78+X79+X80+X82+X83, "NA")</f>
        <v>33150.73</v>
      </c>
      <c r="Y84" s="69">
        <f>IFERROR(X84/X148, "NA")</f>
        <v>0.2394725594</v>
      </c>
      <c r="Z84" s="67">
        <f>IFERROR(Z63+Z65+Z66+Z67+Z68+Z69+Z71+Z72+Z74+Z75+Z76+Z77+Z78+Z79+Z80+Z82+Z83, "NA")</f>
        <v>142042.99</v>
      </c>
      <c r="AA84" s="69">
        <f>IFERROR(Z84/Z148, "NA")</f>
        <v>0.2383271444</v>
      </c>
      <c r="AB84" s="67">
        <f t="shared" si="37"/>
        <v>35510.7475</v>
      </c>
      <c r="AC84" s="69">
        <f>IFERROR(AB84/AB148, "NA")</f>
        <v>0.2383271444</v>
      </c>
      <c r="AD84" s="70">
        <f t="shared" si="38"/>
        <v>-2360.0175</v>
      </c>
      <c r="AE84" s="71">
        <f>IFERROR(AD84/AD148, "NA")</f>
        <v>0.2233227674</v>
      </c>
      <c r="AF84" s="70">
        <f t="shared" si="39"/>
        <v>-0.06645924589</v>
      </c>
      <c r="AG84" s="67">
        <f t="shared" si="40"/>
        <v>34743.44</v>
      </c>
      <c r="AH84" s="69">
        <f>IFERROR(AG84/AG148, "NA")</f>
        <v>0.2428859431</v>
      </c>
      <c r="AI84" s="70">
        <f t="shared" si="41"/>
        <v>-1592.71</v>
      </c>
      <c r="AJ84" s="71">
        <f>IFERROR(AI84/AI148, "NA")</f>
        <v>0.3453411651</v>
      </c>
      <c r="AK84" s="70">
        <f t="shared" si="42"/>
        <v>-0.04584203522</v>
      </c>
      <c r="AL84" s="71">
        <f>IFERROR(AK84/AK148, "NA")</f>
        <v>1.421824419</v>
      </c>
    </row>
    <row r="85" ht="16.5" customHeight="1">
      <c r="A85" s="66" t="s">
        <v>53</v>
      </c>
      <c r="B85" s="115">
        <f>IFERROR(B63+B65+B66+B67+B68+B69+B71+B72+B74+B75+B76+B77+B78+B79+B80+B82+B83, "NA")</f>
        <v>32219.67</v>
      </c>
      <c r="C85" s="96">
        <f>IFERROR(B85/B148, "NA")</f>
        <v>0.256880821</v>
      </c>
      <c r="D85" s="115">
        <f>IFERROR(D63+D65+D66+D67+D68+D69+D71+D72+D74+D75+D76+D77+D78+D79+D80+D82+D83, "NA")</f>
        <v>35171.46</v>
      </c>
      <c r="E85" s="96">
        <f>IFERROR(D85/D148, "NA")</f>
        <v>0.2625883763</v>
      </c>
      <c r="F85" s="115">
        <f>IFERROR(F63+F65+F66+F67+F68+F69+F71+F72+F74+F75+F76+F77+F78+F79+F80+F82+F83, "NA")</f>
        <v>31058.43</v>
      </c>
      <c r="G85" s="96">
        <f>IFERROR(F85/F148, "NA")</f>
        <v>0.2426331038</v>
      </c>
      <c r="H85" s="115">
        <f>IFERROR(H63+H65+H66+H67+H68+H69+H71+H72+H74+H75+H76+H77+H78+H79+H80+H82+H83, "NA")</f>
        <v>31395.29</v>
      </c>
      <c r="I85" s="96">
        <f>IFERROR(H85/H148, "NA")</f>
        <v>0.2711978299</v>
      </c>
      <c r="J85" s="115">
        <f>IFERROR(J63+J65+J66+J67+J68+J69+J71+J72+J74+J75+J76+J77+J78+J79+J80+J82+J83, "NA")</f>
        <v>33046.73</v>
      </c>
      <c r="K85" s="96">
        <f>IFERROR(J85/J148, "NA")</f>
        <v>0.2444450017</v>
      </c>
      <c r="L85" s="115">
        <f>IFERROR(L63+L65+L66+L67+L68+L69+L71+L72+L74+L75+L76+L77+L78+L79+L80+L82+L83, "NA")</f>
        <v>31698.6</v>
      </c>
      <c r="M85" s="96">
        <f>IFERROR(L85/L148, "NA")</f>
        <v>0.2500838054</v>
      </c>
      <c r="N85" s="115">
        <f>IFERROR(N63+N65+N66+N67+N68+N69+N71+N72+N74+N75+N76+N77+N78+N79+N80+N82+N83, "NA")</f>
        <v>35495.08</v>
      </c>
      <c r="O85" s="96">
        <f>IFERROR(N85/N148, "NA")</f>
        <v>0.2596211186</v>
      </c>
      <c r="P85" s="115">
        <f>IFERROR(P63+P65+P66+P67+P68+P69+P71+P72+P74+P75+P76+P77+P78+P79+P80+P82+P83, "NA")</f>
        <v>35664.12</v>
      </c>
      <c r="Q85" s="96">
        <f>IFERROR(P85/P148, "NA")</f>
        <v>0.2382492268</v>
      </c>
      <c r="R85" s="115">
        <f>IFERROR(R63+R65+R66+R67+R68+R69+R71+R72+R74+R75+R76+R77+R78+R79+R80+R82+R83, "NA")</f>
        <v>31153.39</v>
      </c>
      <c r="S85" s="96">
        <f>IFERROR(R85/R148, "NA")</f>
        <v>0.2530793727</v>
      </c>
      <c r="T85" s="115">
        <f>IFERROR(T63+T65+T66+T67+T68+T69+T71+T72+T74+T75+T76+T77+T78+T79+T80+T82+T83, "NA")</f>
        <v>37410.88</v>
      </c>
      <c r="U85" s="96">
        <f>IFERROR(T85/T148, "NA")</f>
        <v>0.2225250485</v>
      </c>
      <c r="V85" s="115">
        <f>IFERROR(V63+V65+V66+V67+V68+V69+V71+V72+V74+V75+V76+V77+V78+V79+V80+V82+V83, "NA")</f>
        <v>40327.99</v>
      </c>
      <c r="W85" s="96">
        <f>IFERROR(V85/V148, "NA")</f>
        <v>0.2424276653</v>
      </c>
      <c r="X85" s="115">
        <f>IFERROR(X63+X65+X66+X67+X68+X69+X71+X72+X74+X75+X76+X77+X78+X79+X80+X82+X83, "NA")</f>
        <v>33150.73</v>
      </c>
      <c r="Y85" s="96">
        <f>IFERROR(X85/X148, "NA")</f>
        <v>0.2394725594</v>
      </c>
      <c r="Z85" s="115">
        <f>IFERROR(Z63+Z65+Z66+Z67+Z68+Z69+Z71+Z72+Z74+Z75+Z76+Z77+Z78+Z79+Z80+Z82+Z83, "NA")</f>
        <v>142042.99</v>
      </c>
      <c r="AA85" s="96">
        <f>IFERROR(Z85/Z148, "NA")</f>
        <v>0.2383271444</v>
      </c>
      <c r="AB85" s="115">
        <f t="shared" si="37"/>
        <v>35510.7475</v>
      </c>
      <c r="AC85" s="96">
        <f>IFERROR(AB85/AB148, "NA")</f>
        <v>0.2383271444</v>
      </c>
      <c r="AD85" s="116">
        <f t="shared" si="38"/>
        <v>-2360.0175</v>
      </c>
      <c r="AE85" s="117">
        <f>IFERROR(AD85/AD148, "NA")</f>
        <v>0.2233227674</v>
      </c>
      <c r="AF85" s="116">
        <f t="shared" si="39"/>
        <v>-0.06645924589</v>
      </c>
      <c r="AG85" s="115">
        <f t="shared" si="40"/>
        <v>34743.44</v>
      </c>
      <c r="AH85" s="96">
        <f>IFERROR(AG85/AG148, "NA")</f>
        <v>0.2428859431</v>
      </c>
      <c r="AI85" s="116">
        <f t="shared" si="41"/>
        <v>-1592.71</v>
      </c>
      <c r="AJ85" s="117">
        <f>IFERROR(AI85/AI148, "NA")</f>
        <v>0.3453411651</v>
      </c>
      <c r="AK85" s="116">
        <f t="shared" si="42"/>
        <v>-0.04584203522</v>
      </c>
      <c r="AL85" s="117">
        <f>IFERROR(AK85/AK148, "NA")</f>
        <v>1.421824419</v>
      </c>
    </row>
    <row r="86" ht="3.75" customHeight="1">
      <c r="A86" s="120" t="s">
        <v>6</v>
      </c>
      <c r="B86" s="121"/>
      <c r="C86" s="76"/>
      <c r="D86" s="121"/>
      <c r="E86" s="76"/>
      <c r="F86" s="121"/>
      <c r="G86" s="76"/>
      <c r="H86" s="121"/>
      <c r="I86" s="76"/>
      <c r="J86" s="121"/>
      <c r="K86" s="76"/>
      <c r="L86" s="121"/>
      <c r="M86" s="76"/>
      <c r="N86" s="121"/>
      <c r="O86" s="76"/>
      <c r="P86" s="121"/>
      <c r="Q86" s="76"/>
      <c r="R86" s="121"/>
      <c r="S86" s="76"/>
      <c r="T86" s="121"/>
      <c r="U86" s="76"/>
      <c r="V86" s="121"/>
      <c r="W86" s="76"/>
      <c r="X86" s="121"/>
      <c r="Y86" s="76"/>
      <c r="Z86" s="121"/>
      <c r="AA86" s="76"/>
      <c r="AB86" s="121"/>
      <c r="AC86" s="76"/>
      <c r="AD86" s="122"/>
      <c r="AE86" s="78"/>
      <c r="AF86" s="122"/>
      <c r="AG86" s="121"/>
      <c r="AH86" s="76"/>
      <c r="AI86" s="122"/>
      <c r="AJ86" s="78"/>
      <c r="AK86" s="122"/>
      <c r="AL86" s="78"/>
    </row>
    <row r="87" ht="16.5" customHeight="1">
      <c r="A87" s="118" t="s">
        <v>54</v>
      </c>
      <c r="B87" s="119">
        <f>IFERROR(B59-B85, "NA")</f>
        <v>59152.01</v>
      </c>
      <c r="C87" s="107">
        <f>IFERROR(B87/B148, "NA")</f>
        <v>0.4716068443</v>
      </c>
      <c r="D87" s="119">
        <f>IFERROR(D59-D85, "NA")</f>
        <v>60701.35</v>
      </c>
      <c r="E87" s="107">
        <f>IFERROR(D87/D148, "NA")</f>
        <v>0.4531932691</v>
      </c>
      <c r="F87" s="119">
        <f>IFERROR(F59-F85, "NA")</f>
        <v>61499.64</v>
      </c>
      <c r="G87" s="107">
        <f>IFERROR(F87/F148, "NA")</f>
        <v>0.4804443926</v>
      </c>
      <c r="H87" s="119">
        <f>IFERROR(H59-H85, "NA")</f>
        <v>51564.19</v>
      </c>
      <c r="I87" s="107">
        <f>IFERROR(H87/H148, "NA")</f>
        <v>0.4454202024</v>
      </c>
      <c r="J87" s="119">
        <f>IFERROR(J59-J85, "NA")</f>
        <v>64713.7</v>
      </c>
      <c r="K87" s="107">
        <f>IFERROR(J87/J148, "NA")</f>
        <v>0.478683988</v>
      </c>
      <c r="L87" s="119">
        <f>IFERROR(L59-L85, "NA")</f>
        <v>61464</v>
      </c>
      <c r="M87" s="107">
        <f>IFERROR(L87/L148, "NA")</f>
        <v>0.4849157697</v>
      </c>
      <c r="N87" s="119">
        <f>IFERROR(N59-N85, "NA")</f>
        <v>64621.19</v>
      </c>
      <c r="O87" s="107">
        <f>IFERROR(N87/N148, "NA")</f>
        <v>0.4726577777</v>
      </c>
      <c r="P87" s="119">
        <f>IFERROR(P59-P85, "NA")</f>
        <v>75961.16</v>
      </c>
      <c r="Q87" s="107">
        <f>IFERROR(P87/P148, "NA")</f>
        <v>0.5074480356</v>
      </c>
      <c r="R87" s="119">
        <f>IFERROR(R59-R85, "NA")</f>
        <v>60033.32</v>
      </c>
      <c r="S87" s="107">
        <f>IFERROR(R87/R148, "NA")</f>
        <v>0.4876899422</v>
      </c>
      <c r="T87" s="119">
        <f>IFERROR(T59-T85, "NA")</f>
        <v>89632.3</v>
      </c>
      <c r="U87" s="107">
        <f>IFERROR(T87/T148, "NA")</f>
        <v>0.5331452215</v>
      </c>
      <c r="V87" s="119">
        <f>IFERROR(V59-V85, "NA")</f>
        <v>86309.04</v>
      </c>
      <c r="W87" s="107">
        <f>IFERROR(V87/V148, "NA")</f>
        <v>0.5188381335</v>
      </c>
      <c r="X87" s="119">
        <f>IFERROR(X59-X85, "NA")</f>
        <v>71121.06</v>
      </c>
      <c r="Y87" s="107">
        <f>IFERROR(X87/X148, "NA")</f>
        <v>0.5137607004</v>
      </c>
      <c r="Z87" s="119">
        <f>IFERROR(Z59-Z85, "NA")</f>
        <v>307095.72</v>
      </c>
      <c r="AA87" s="107">
        <f>IFERROR(Z87/Z148, "NA")</f>
        <v>0.5152612319</v>
      </c>
      <c r="AB87" s="119">
        <f>IFERROR((R87+T87+V87+X87)/4, "NA")</f>
        <v>76773.93</v>
      </c>
      <c r="AC87" s="107">
        <f>IFERROR(AB87/AB148, "NA")</f>
        <v>0.5152612319</v>
      </c>
      <c r="AD87" s="70">
        <f>IFERROR(X87-AB87, "NA")</f>
        <v>-5652.87</v>
      </c>
      <c r="AE87" s="71">
        <f>IFERROR(AD87/AD148, "NA")</f>
        <v>0.5349174623</v>
      </c>
      <c r="AF87" s="70">
        <f>IFERROR((X87-AB87)/AB87, "NA")</f>
        <v>-0.07363007208</v>
      </c>
      <c r="AG87" s="119">
        <f>IFERROR((J87+L87+N87+P87+R87+T87+V87+X87)/8, "NA")</f>
        <v>71731.97125</v>
      </c>
      <c r="AH87" s="107">
        <f>IFERROR(AG87/AG148, "NA")</f>
        <v>0.5014669673</v>
      </c>
      <c r="AI87" s="70">
        <f>IFERROR(X87-AG87, "NA")</f>
        <v>-610.91125</v>
      </c>
      <c r="AJ87" s="71">
        <f>IFERROR(AI87/AI148, "NA")</f>
        <v>0.1324615296</v>
      </c>
      <c r="AK87" s="70">
        <f>IFERROR((X87-AG87)/AG87, "NA")</f>
        <v>-0.008516582486</v>
      </c>
      <c r="AL87" s="71">
        <f>IFERROR(AK87/AK148, "NA")</f>
        <v>0.2641480661</v>
      </c>
    </row>
    <row r="88" ht="3.75" customHeight="1">
      <c r="A88" s="120" t="s">
        <v>6</v>
      </c>
      <c r="B88" s="121"/>
      <c r="C88" s="76"/>
      <c r="D88" s="121"/>
      <c r="E88" s="76"/>
      <c r="F88" s="121"/>
      <c r="G88" s="76"/>
      <c r="H88" s="121"/>
      <c r="I88" s="76"/>
      <c r="J88" s="121"/>
      <c r="K88" s="76"/>
      <c r="L88" s="121"/>
      <c r="M88" s="76"/>
      <c r="N88" s="121"/>
      <c r="O88" s="76"/>
      <c r="P88" s="121"/>
      <c r="Q88" s="76"/>
      <c r="R88" s="121"/>
      <c r="S88" s="76"/>
      <c r="T88" s="121"/>
      <c r="U88" s="76"/>
      <c r="V88" s="121"/>
      <c r="W88" s="76"/>
      <c r="X88" s="121"/>
      <c r="Y88" s="76"/>
      <c r="Z88" s="121"/>
      <c r="AA88" s="76"/>
      <c r="AB88" s="121"/>
      <c r="AC88" s="76"/>
      <c r="AD88" s="122"/>
      <c r="AE88" s="78"/>
      <c r="AF88" s="122"/>
      <c r="AG88" s="121"/>
      <c r="AH88" s="76"/>
      <c r="AI88" s="122"/>
      <c r="AJ88" s="78"/>
      <c r="AK88" s="122"/>
      <c r="AL88" s="78"/>
    </row>
    <row r="89" ht="16.5" hidden="1" customHeight="1">
      <c r="A89" s="17" t="s">
        <v>193</v>
      </c>
      <c r="B89" s="19"/>
      <c r="C89" s="13"/>
      <c r="D89" s="19"/>
      <c r="E89" s="13"/>
      <c r="F89" s="19"/>
      <c r="G89" s="13"/>
      <c r="H89" s="19"/>
      <c r="I89" s="13"/>
      <c r="J89" s="19"/>
      <c r="K89" s="13"/>
      <c r="L89" s="19"/>
      <c r="M89" s="13"/>
      <c r="N89" s="19"/>
      <c r="O89" s="13"/>
      <c r="P89" s="19"/>
      <c r="Q89" s="13"/>
      <c r="R89" s="19"/>
      <c r="S89" s="13"/>
      <c r="T89" s="19"/>
      <c r="U89" s="13"/>
      <c r="V89" s="19"/>
      <c r="W89" s="13"/>
      <c r="X89" s="19"/>
      <c r="Y89" s="13"/>
      <c r="Z89" s="19"/>
      <c r="AA89" s="13"/>
      <c r="AB89" s="19"/>
      <c r="AC89" s="13"/>
      <c r="AD89" s="24"/>
      <c r="AE89" s="25"/>
      <c r="AF89" s="24"/>
      <c r="AG89" s="19"/>
      <c r="AH89" s="13"/>
      <c r="AI89" s="24"/>
      <c r="AJ89" s="25"/>
      <c r="AK89" s="24"/>
      <c r="AL89" s="25"/>
    </row>
    <row r="90" ht="16.5" hidden="1" customHeight="1">
      <c r="A90" s="26" t="s">
        <v>194</v>
      </c>
      <c r="B90" s="27">
        <v>2392.42</v>
      </c>
      <c r="C90" s="23">
        <f>IFERROR(B90/B148, "NA")</f>
        <v>0.019074274</v>
      </c>
      <c r="D90" s="27">
        <v>4307.560000000001</v>
      </c>
      <c r="E90" s="23">
        <f>IFERROR(D90/D148, "NA")</f>
        <v>0.03216002936</v>
      </c>
      <c r="F90" s="27">
        <v>3736.3699999999994</v>
      </c>
      <c r="G90" s="23">
        <f>IFERROR(F90/F148, "NA")</f>
        <v>0.02918908168</v>
      </c>
      <c r="H90" s="27">
        <v>2176.33</v>
      </c>
      <c r="I90" s="23">
        <f>IFERROR(H90/H148, "NA")</f>
        <v>0.01879950697</v>
      </c>
      <c r="J90" s="27">
        <v>1534.1099999999997</v>
      </c>
      <c r="K90" s="23">
        <f>IFERROR(J90/J148, "NA")</f>
        <v>0.0113477346</v>
      </c>
      <c r="L90" s="27">
        <v>2228.44</v>
      </c>
      <c r="M90" s="23">
        <f>IFERROR(L90/L148, "NA")</f>
        <v>0.01758111574</v>
      </c>
      <c r="N90" s="27">
        <v>2760.5899999999997</v>
      </c>
      <c r="O90" s="23">
        <f>IFERROR(N90/N148, "NA")</f>
        <v>0.02019174105</v>
      </c>
      <c r="P90" s="27">
        <v>3078.1600000000003</v>
      </c>
      <c r="Q90" s="23">
        <f>IFERROR(P90/P148, "NA")</f>
        <v>0.02056322264</v>
      </c>
      <c r="R90" s="27">
        <v>2775.24</v>
      </c>
      <c r="S90" s="23">
        <f>IFERROR(R90/R148, "NA")</f>
        <v>0.02254509055</v>
      </c>
      <c r="T90" s="27">
        <v>3628.63</v>
      </c>
      <c r="U90" s="23">
        <f>IFERROR(T90/T148, "NA")</f>
        <v>0.02158358923</v>
      </c>
      <c r="V90" s="27">
        <v>2207.7</v>
      </c>
      <c r="W90" s="23">
        <f>IFERROR(V90/V148, "NA")</f>
        <v>0.01327136702</v>
      </c>
      <c r="X90" s="27">
        <v>2803.209999999999</v>
      </c>
      <c r="Y90" s="23">
        <f>IFERROR(X90/X148, "NA")</f>
        <v>0.020249686</v>
      </c>
      <c r="Z90" s="27">
        <v>11414.779999999999</v>
      </c>
      <c r="AA90" s="23">
        <f>IFERROR(Z90/Z148, "NA")</f>
        <v>0.01915231383</v>
      </c>
      <c r="AB90" s="59">
        <f t="shared" ref="AB90:AB99" si="43">IFERROR((R90+T90+V90+X90)/4, "NA")</f>
        <v>2853.695</v>
      </c>
      <c r="AC90" s="23">
        <f>IFERROR(AB90/AB148, "NA")</f>
        <v>0.01915231383</v>
      </c>
      <c r="AD90" s="61">
        <f t="shared" ref="AD90:AD99" si="44">IFERROR(X90-AB90, "NA")</f>
        <v>-50.485</v>
      </c>
      <c r="AE90" s="63">
        <f>IFERROR(AD90/AD148, "NA")</f>
        <v>0.00477727386</v>
      </c>
      <c r="AF90" s="61">
        <f t="shared" ref="AF90:AF99" si="45">IFERROR((X90-AB90)/AB90, "NA")</f>
        <v>-0.01769109873</v>
      </c>
      <c r="AG90" s="59">
        <f t="shared" ref="AG90:AG99" si="46">IFERROR((J90+L90+N90+P90+R90+T90+V90+X90)/8, "NA")</f>
        <v>2627.01</v>
      </c>
      <c r="AH90" s="23">
        <f>IFERROR(AG90/AG148, "NA")</f>
        <v>0.01836501514</v>
      </c>
      <c r="AI90" s="61">
        <f t="shared" ref="AI90:AI99" si="47">IFERROR(X90-AG90, "NA")</f>
        <v>176.2</v>
      </c>
      <c r="AJ90" s="63">
        <f>IFERROR(AI90/AI148, "NA")</f>
        <v>-0.03820476627</v>
      </c>
      <c r="AK90" s="61">
        <f t="shared" ref="AK90:AK99" si="48">IFERROR((X90-AG90)/AG90, "NA")</f>
        <v>0.06707245119</v>
      </c>
      <c r="AL90" s="63">
        <f>IFERROR(AK90/AK148, "NA")</f>
        <v>-2.080301377</v>
      </c>
    </row>
    <row r="91" ht="16.5" hidden="1" customHeight="1">
      <c r="A91" s="26" t="s">
        <v>195</v>
      </c>
      <c r="B91" s="27">
        <v>3013.23</v>
      </c>
      <c r="C91" s="23">
        <f>IFERROR(B91/B148, "NA")</f>
        <v>0.02402386481</v>
      </c>
      <c r="D91" s="27">
        <v>3523.6299999999997</v>
      </c>
      <c r="E91" s="23">
        <f>IFERROR(D91/D148, "NA")</f>
        <v>0.02630724685</v>
      </c>
      <c r="F91" s="27">
        <v>3978.79</v>
      </c>
      <c r="G91" s="23">
        <f>IFERROR(F91/F148, "NA")</f>
        <v>0.031082903</v>
      </c>
      <c r="H91" s="27">
        <v>2058.41</v>
      </c>
      <c r="I91" s="23">
        <f>IFERROR(H91/H148, "NA")</f>
        <v>0.01778089405</v>
      </c>
      <c r="J91" s="27">
        <v>2376.0800000000004</v>
      </c>
      <c r="K91" s="23">
        <f>IFERROR(J91/J148, "NA")</f>
        <v>0.0175757444</v>
      </c>
      <c r="L91" s="27">
        <v>1849.46</v>
      </c>
      <c r="M91" s="23">
        <f>IFERROR(L91/L148, "NA")</f>
        <v>0.01459118052</v>
      </c>
      <c r="N91" s="27">
        <v>6030.459999999999</v>
      </c>
      <c r="O91" s="23">
        <f>IFERROR(N91/N148, "NA")</f>
        <v>0.04410850098</v>
      </c>
      <c r="P91" s="27">
        <v>11001.4</v>
      </c>
      <c r="Q91" s="23">
        <f>IFERROR(P91/P148, "NA")</f>
        <v>0.0734933329</v>
      </c>
      <c r="R91" s="27">
        <v>10001.31</v>
      </c>
      <c r="S91" s="23">
        <f>IFERROR(R91/R148, "NA")</f>
        <v>0.08124718566</v>
      </c>
      <c r="T91" s="27">
        <v>11660.550000000001</v>
      </c>
      <c r="U91" s="23">
        <f>IFERROR(T91/T148, "NA")</f>
        <v>0.06935855169</v>
      </c>
      <c r="V91" s="27">
        <v>13200.490000000003</v>
      </c>
      <c r="W91" s="23">
        <f>IFERROR(V91/V148, "NA")</f>
        <v>0.07935342107</v>
      </c>
      <c r="X91" s="27">
        <v>3549.3699999999994</v>
      </c>
      <c r="Y91" s="23">
        <f>IFERROR(X91/X148, "NA")</f>
        <v>0.02563975871</v>
      </c>
      <c r="Z91" s="27">
        <v>38411.719999999994</v>
      </c>
      <c r="AA91" s="23">
        <f>IFERROR(Z91/Z148, "NA")</f>
        <v>0.06444918922</v>
      </c>
      <c r="AB91" s="59">
        <f t="shared" si="43"/>
        <v>9602.93</v>
      </c>
      <c r="AC91" s="23">
        <f>IFERROR(AB91/AB148, "NA")</f>
        <v>0.06444918922</v>
      </c>
      <c r="AD91" s="61">
        <f t="shared" si="44"/>
        <v>-6053.56</v>
      </c>
      <c r="AE91" s="63">
        <f>IFERROR(AD91/AD148, "NA")</f>
        <v>0.5728337911</v>
      </c>
      <c r="AF91" s="61">
        <f t="shared" si="45"/>
        <v>-0.6303867674</v>
      </c>
      <c r="AG91" s="59">
        <f t="shared" si="46"/>
        <v>7458.64</v>
      </c>
      <c r="AH91" s="23">
        <f>IFERROR(AG91/AG148, "NA")</f>
        <v>0.05214218313</v>
      </c>
      <c r="AI91" s="61">
        <f t="shared" si="47"/>
        <v>-3909.27</v>
      </c>
      <c r="AJ91" s="63">
        <f>IFERROR(AI91/AI148, "NA")</f>
        <v>0.8476319333</v>
      </c>
      <c r="AK91" s="61">
        <f t="shared" si="48"/>
        <v>-0.5241263823</v>
      </c>
      <c r="AL91" s="63">
        <f>IFERROR(AK91/AK148, "NA")</f>
        <v>16.25616502</v>
      </c>
    </row>
    <row r="92" ht="16.5" hidden="1" customHeight="1">
      <c r="A92" s="26" t="s">
        <v>196</v>
      </c>
      <c r="B92" s="27">
        <v>1809.03</v>
      </c>
      <c r="C92" s="23">
        <f>IFERROR(B92/B148, "NA")</f>
        <v>0.01442302518</v>
      </c>
      <c r="D92" s="27">
        <v>1980.6299999999999</v>
      </c>
      <c r="E92" s="23">
        <f>IFERROR(D92/D148, "NA")</f>
        <v>0.01478728537</v>
      </c>
      <c r="F92" s="27">
        <v>2281.4500000000003</v>
      </c>
      <c r="G92" s="23">
        <f>IFERROR(F92/F148, "NA")</f>
        <v>0.01782302887</v>
      </c>
      <c r="H92" s="27">
        <v>1989.3200000000002</v>
      </c>
      <c r="I92" s="23">
        <f>IFERROR(H92/H148, "NA")</f>
        <v>0.01718408293</v>
      </c>
      <c r="J92" s="27">
        <v>2289.94</v>
      </c>
      <c r="K92" s="23">
        <f>IFERROR(J92/J148, "NA")</f>
        <v>0.01693857114</v>
      </c>
      <c r="L92" s="27">
        <v>1576.95</v>
      </c>
      <c r="M92" s="23">
        <f>IFERROR(L92/L148, "NA")</f>
        <v>0.01244123264</v>
      </c>
      <c r="N92" s="27">
        <v>2342.59</v>
      </c>
      <c r="O92" s="23">
        <f>IFERROR(N92/N148, "NA")</f>
        <v>0.01713437006</v>
      </c>
      <c r="P92" s="27">
        <v>2000.31</v>
      </c>
      <c r="Q92" s="23">
        <f>IFERROR(P92/P148, "NA")</f>
        <v>0.01336279462</v>
      </c>
      <c r="R92" s="27">
        <v>1606.7600000000002</v>
      </c>
      <c r="S92" s="23">
        <f>IFERROR(R92/R148, "NA")</f>
        <v>0.01305276289</v>
      </c>
      <c r="T92" s="27">
        <v>2270.69</v>
      </c>
      <c r="U92" s="23">
        <f>IFERROR(T92/T148, "NA")</f>
        <v>0.01350637575</v>
      </c>
      <c r="V92" s="27">
        <v>2193.84</v>
      </c>
      <c r="W92" s="23">
        <f>IFERROR(V92/V148, "NA")</f>
        <v>0.01318804902</v>
      </c>
      <c r="X92" s="27">
        <v>0.0</v>
      </c>
      <c r="Y92" s="23">
        <f>IFERROR(X92/X148, "NA")</f>
        <v>0</v>
      </c>
      <c r="Z92" s="27">
        <v>6071.29</v>
      </c>
      <c r="AA92" s="23">
        <f>IFERROR(Z92/Z148, "NA")</f>
        <v>0.01018672733</v>
      </c>
      <c r="AB92" s="59">
        <f t="shared" si="43"/>
        <v>1517.8225</v>
      </c>
      <c r="AC92" s="23">
        <f>IFERROR(AB92/AB148, "NA")</f>
        <v>0.01018672733</v>
      </c>
      <c r="AD92" s="61">
        <f t="shared" si="44"/>
        <v>-1517.8225</v>
      </c>
      <c r="AE92" s="63">
        <f>IFERROR(AD92/AD148, "NA")</f>
        <v>0.1436278846</v>
      </c>
      <c r="AF92" s="61">
        <f t="shared" si="45"/>
        <v>-1</v>
      </c>
      <c r="AG92" s="59">
        <f t="shared" si="46"/>
        <v>1785.135</v>
      </c>
      <c r="AH92" s="23">
        <f>IFERROR(AG92/AG148, "NA")</f>
        <v>0.01247959897</v>
      </c>
      <c r="AI92" s="61">
        <f t="shared" si="47"/>
        <v>-1785.135</v>
      </c>
      <c r="AJ92" s="63">
        <f>IFERROR(AI92/AI148, "NA")</f>
        <v>0.3870639355</v>
      </c>
      <c r="AK92" s="61">
        <f t="shared" si="48"/>
        <v>-1</v>
      </c>
      <c r="AL92" s="63">
        <f>IFERROR(AK92/AK148, "NA")</f>
        <v>31.01573507</v>
      </c>
    </row>
    <row r="93" ht="16.5" hidden="1" customHeight="1">
      <c r="A93" s="26" t="s">
        <v>197</v>
      </c>
      <c r="B93" s="27">
        <v>10715.010000000002</v>
      </c>
      <c r="C93" s="23">
        <f>IFERROR(B93/B148, "NA")</f>
        <v>0.08542857719</v>
      </c>
      <c r="D93" s="27">
        <v>11203.87</v>
      </c>
      <c r="E93" s="23">
        <f>IFERROR(D93/D148, "NA")</f>
        <v>0.08364753786</v>
      </c>
      <c r="F93" s="27">
        <v>9973.53</v>
      </c>
      <c r="G93" s="23">
        <f>IFERROR(F93/F148, "NA")</f>
        <v>0.07791470914</v>
      </c>
      <c r="H93" s="27">
        <v>8375.95</v>
      </c>
      <c r="I93" s="23">
        <f>IFERROR(H93/H148, "NA")</f>
        <v>0.07235287405</v>
      </c>
      <c r="J93" s="27">
        <v>11601.640000000001</v>
      </c>
      <c r="K93" s="23">
        <f>IFERROR(J93/J148, "NA")</f>
        <v>0.08581674826</v>
      </c>
      <c r="L93" s="27">
        <v>10669.54</v>
      </c>
      <c r="M93" s="23">
        <f>IFERROR(L93/L148, "NA")</f>
        <v>0.08417656192</v>
      </c>
      <c r="N93" s="27">
        <v>11700.53</v>
      </c>
      <c r="O93" s="23">
        <f>IFERROR(N93/N148, "NA")</f>
        <v>0.08558100691</v>
      </c>
      <c r="P93" s="27">
        <v>14078.039999999999</v>
      </c>
      <c r="Q93" s="23">
        <f>IFERROR(P93/P148, "NA")</f>
        <v>0.09404640139</v>
      </c>
      <c r="R93" s="27">
        <v>10171.449999999999</v>
      </c>
      <c r="S93" s="23">
        <f>IFERROR(R93/R148, "NA")</f>
        <v>0.08262934422</v>
      </c>
      <c r="T93" s="27">
        <v>16845.82</v>
      </c>
      <c r="U93" s="23">
        <f>IFERROR(T93/T148, "NA")</f>
        <v>0.1002012493</v>
      </c>
      <c r="V93" s="27">
        <v>15941.210000000003</v>
      </c>
      <c r="W93" s="23">
        <f>IFERROR(V93/V148, "NA")</f>
        <v>0.09582898434</v>
      </c>
      <c r="X93" s="27">
        <v>9950.780000000002</v>
      </c>
      <c r="Y93" s="23">
        <f>IFERROR(X93/X148, "NA")</f>
        <v>0.07188193909</v>
      </c>
      <c r="Z93" s="27">
        <v>52909.26</v>
      </c>
      <c r="AA93" s="23">
        <f>IFERROR(Z93/Z148, "NA")</f>
        <v>0.08877391873</v>
      </c>
      <c r="AB93" s="59">
        <f t="shared" si="43"/>
        <v>13227.315</v>
      </c>
      <c r="AC93" s="23">
        <f>IFERROR(AB93/AB148, "NA")</f>
        <v>0.08877391873</v>
      </c>
      <c r="AD93" s="61">
        <f t="shared" si="44"/>
        <v>-3276.535</v>
      </c>
      <c r="AE93" s="63">
        <f>IFERROR(AD93/AD148, "NA")</f>
        <v>0.3100506092</v>
      </c>
      <c r="AF93" s="61">
        <f t="shared" si="45"/>
        <v>-0.2477097582</v>
      </c>
      <c r="AG93" s="59">
        <f t="shared" si="46"/>
        <v>12619.87625</v>
      </c>
      <c r="AH93" s="23">
        <f>IFERROR(AG93/AG148, "NA")</f>
        <v>0.08822357674</v>
      </c>
      <c r="AI93" s="61">
        <f t="shared" si="47"/>
        <v>-2669.09625</v>
      </c>
      <c r="AJ93" s="63">
        <f>IFERROR(AI93/AI148, "NA")</f>
        <v>0.5787298433</v>
      </c>
      <c r="AK93" s="61">
        <f t="shared" si="48"/>
        <v>-0.2114993996</v>
      </c>
      <c r="AL93" s="63">
        <f>IFERROR(AK93/AK148, "NA")</f>
        <v>6.559809346</v>
      </c>
    </row>
    <row r="94" ht="16.5" hidden="1" customHeight="1">
      <c r="A94" s="26" t="s">
        <v>198</v>
      </c>
      <c r="B94" s="27">
        <v>3282.9700000000003</v>
      </c>
      <c r="C94" s="23">
        <f>IFERROR(B94/B148, "NA")</f>
        <v>0.02617444651</v>
      </c>
      <c r="D94" s="27">
        <v>3605.25</v>
      </c>
      <c r="E94" s="23">
        <f>IFERROR(D94/D148, "NA")</f>
        <v>0.02691661773</v>
      </c>
      <c r="F94" s="27">
        <v>3475.29</v>
      </c>
      <c r="G94" s="23">
        <f>IFERROR(F94/F148, "NA")</f>
        <v>0.02714948564</v>
      </c>
      <c r="H94" s="27">
        <v>3058.6400000000003</v>
      </c>
      <c r="I94" s="23">
        <f>IFERROR(H94/H148, "NA")</f>
        <v>0.02642105011</v>
      </c>
      <c r="J94" s="27">
        <v>3660.86</v>
      </c>
      <c r="K94" s="23">
        <f>IFERROR(J94/J148, "NA")</f>
        <v>0.02707919751</v>
      </c>
      <c r="L94" s="27">
        <v>3283.0400000000004</v>
      </c>
      <c r="M94" s="23">
        <f>IFERROR(L94/L148, "NA")</f>
        <v>0.02590130594</v>
      </c>
      <c r="N94" s="27">
        <v>3761.34</v>
      </c>
      <c r="O94" s="23">
        <f>IFERROR(N94/N148, "NA")</f>
        <v>0.0275115114</v>
      </c>
      <c r="P94" s="27">
        <v>3902.21</v>
      </c>
      <c r="Q94" s="23">
        <f>IFERROR(P94/P148, "NA")</f>
        <v>0.02606817483</v>
      </c>
      <c r="R94" s="27">
        <v>3352.45</v>
      </c>
      <c r="S94" s="23">
        <f>IFERROR(R94/R148, "NA")</f>
        <v>0.02723414508</v>
      </c>
      <c r="T94" s="27">
        <v>4855.4</v>
      </c>
      <c r="U94" s="23">
        <f>IFERROR(T94/T148, "NA")</f>
        <v>0.02888058555</v>
      </c>
      <c r="V94" s="27">
        <v>4332.75</v>
      </c>
      <c r="W94" s="23">
        <f>IFERROR(V94/V148, "NA")</f>
        <v>0.02604589187</v>
      </c>
      <c r="X94" s="27">
        <v>2995.87</v>
      </c>
      <c r="Y94" s="23">
        <f>IFERROR(X94/X148, "NA")</f>
        <v>0.02164141352</v>
      </c>
      <c r="Z94" s="27">
        <v>15536.47</v>
      </c>
      <c r="AA94" s="23">
        <f>IFERROR(Z94/Z148, "NA")</f>
        <v>0.0260679005</v>
      </c>
      <c r="AB94" s="59">
        <f t="shared" si="43"/>
        <v>3884.1175</v>
      </c>
      <c r="AC94" s="23">
        <f>IFERROR(AB94/AB148, "NA")</f>
        <v>0.0260679005</v>
      </c>
      <c r="AD94" s="61">
        <f t="shared" si="44"/>
        <v>-888.2475</v>
      </c>
      <c r="AE94" s="63">
        <f>IFERROR(AD94/AD148, "NA")</f>
        <v>0.08405271987</v>
      </c>
      <c r="AF94" s="61">
        <f t="shared" si="45"/>
        <v>-0.2286870827</v>
      </c>
      <c r="AG94" s="59">
        <f t="shared" si="46"/>
        <v>3767.99</v>
      </c>
      <c r="AH94" s="23">
        <f>IFERROR(AG94/AG148, "NA")</f>
        <v>0.02634142747</v>
      </c>
      <c r="AI94" s="61">
        <f t="shared" si="47"/>
        <v>-772.12</v>
      </c>
      <c r="AJ94" s="63">
        <f>IFERROR(AI94/AI148, "NA")</f>
        <v>0.167415801</v>
      </c>
      <c r="AK94" s="61">
        <f t="shared" si="48"/>
        <v>-0.2049156181</v>
      </c>
      <c r="AL94" s="63">
        <f>IFERROR(AK94/AK148, "NA")</f>
        <v>6.355608525</v>
      </c>
    </row>
    <row r="95" ht="16.5" hidden="1" customHeight="1">
      <c r="A95" s="26" t="s">
        <v>199</v>
      </c>
      <c r="B95" s="27">
        <v>0.0</v>
      </c>
      <c r="C95" s="23">
        <f>IFERROR(B95/B148, "NA")</f>
        <v>0</v>
      </c>
      <c r="D95" s="27">
        <v>0.0</v>
      </c>
      <c r="E95" s="23">
        <f>IFERROR(D95/D148, "NA")</f>
        <v>0</v>
      </c>
      <c r="F95" s="27">
        <v>5004.49</v>
      </c>
      <c r="G95" s="23">
        <f>IFERROR(F95/F148, "NA")</f>
        <v>0.03909582492</v>
      </c>
      <c r="H95" s="27">
        <v>0.0</v>
      </c>
      <c r="I95" s="23">
        <f>IFERROR(H95/H148, "NA")</f>
        <v>0</v>
      </c>
      <c r="J95" s="27">
        <v>0.0</v>
      </c>
      <c r="K95" s="23">
        <f>IFERROR(J95/J148, "NA")</f>
        <v>0</v>
      </c>
      <c r="L95" s="27">
        <v>0.0</v>
      </c>
      <c r="M95" s="23">
        <f>IFERROR(L95/L148, "NA")</f>
        <v>0</v>
      </c>
      <c r="N95" s="27">
        <v>0.0</v>
      </c>
      <c r="O95" s="23">
        <f>IFERROR(N95/N148, "NA")</f>
        <v>0</v>
      </c>
      <c r="P95" s="27">
        <v>4191.009999999999</v>
      </c>
      <c r="Q95" s="23">
        <f>IFERROR(P95/P148, "NA")</f>
        <v>0.02799746333</v>
      </c>
      <c r="R95" s="27">
        <v>0.0</v>
      </c>
      <c r="S95" s="23">
        <f>IFERROR(R95/R148, "NA")</f>
        <v>0</v>
      </c>
      <c r="T95" s="27">
        <v>-1346.0</v>
      </c>
      <c r="U95" s="23">
        <f>IFERROR(T95/T148, "NA")</f>
        <v>-0.008006192725</v>
      </c>
      <c r="V95" s="27">
        <v>0.0</v>
      </c>
      <c r="W95" s="23">
        <f>IFERROR(V95/V148, "NA")</f>
        <v>0</v>
      </c>
      <c r="X95" s="27">
        <v>2624.66</v>
      </c>
      <c r="Y95" s="23">
        <f>IFERROR(X95/X148, "NA")</f>
        <v>0.01895988558</v>
      </c>
      <c r="Z95" s="27">
        <v>1278.6599999999999</v>
      </c>
      <c r="AA95" s="23">
        <f>IFERROR(Z95/Z148, "NA")</f>
        <v>0.002145402505</v>
      </c>
      <c r="AB95" s="59">
        <f t="shared" si="43"/>
        <v>319.665</v>
      </c>
      <c r="AC95" s="23">
        <f>IFERROR(AB95/AB148, "NA")</f>
        <v>0.002145402505</v>
      </c>
      <c r="AD95" s="61">
        <f t="shared" si="44"/>
        <v>2304.995</v>
      </c>
      <c r="AE95" s="63">
        <f>IFERROR(AD95/AD148, "NA")</f>
        <v>-0.2181161208</v>
      </c>
      <c r="AF95" s="61">
        <f t="shared" si="45"/>
        <v>7.210658033</v>
      </c>
      <c r="AG95" s="59">
        <f t="shared" si="46"/>
        <v>683.70875</v>
      </c>
      <c r="AH95" s="23">
        <f>IFERROR(AG95/AG148, "NA")</f>
        <v>0.004779700702</v>
      </c>
      <c r="AI95" s="61">
        <f t="shared" si="47"/>
        <v>1940.95125</v>
      </c>
      <c r="AJ95" s="63">
        <f>IFERROR(AI95/AI148, "NA")</f>
        <v>-0.4208489719</v>
      </c>
      <c r="AK95" s="61">
        <f t="shared" si="48"/>
        <v>2.838856823</v>
      </c>
      <c r="AL95" s="63">
        <f>IFERROR(AK95/AK148, "NA")</f>
        <v>-88.04923114</v>
      </c>
    </row>
    <row r="96" ht="16.5" hidden="1" customHeight="1">
      <c r="A96" s="26" t="s">
        <v>200</v>
      </c>
      <c r="B96" s="27">
        <v>0.0</v>
      </c>
      <c r="C96" s="23">
        <f>IFERROR(B96/B148, "NA")</f>
        <v>0</v>
      </c>
      <c r="D96" s="27">
        <v>0.0</v>
      </c>
      <c r="E96" s="23">
        <f>IFERROR(D96/D148, "NA")</f>
        <v>0</v>
      </c>
      <c r="F96" s="27">
        <v>0.0</v>
      </c>
      <c r="G96" s="23">
        <f>IFERROR(F96/F148, "NA")</f>
        <v>0</v>
      </c>
      <c r="H96" s="27">
        <v>0.0</v>
      </c>
      <c r="I96" s="23">
        <f>IFERROR(H96/H148, "NA")</f>
        <v>0</v>
      </c>
      <c r="J96" s="27">
        <v>0.0</v>
      </c>
      <c r="K96" s="23">
        <f>IFERROR(J96/J148, "NA")</f>
        <v>0</v>
      </c>
      <c r="L96" s="27">
        <v>0.0</v>
      </c>
      <c r="M96" s="23">
        <f>IFERROR(L96/L148, "NA")</f>
        <v>0</v>
      </c>
      <c r="N96" s="27">
        <v>0.0</v>
      </c>
      <c r="O96" s="23">
        <f>IFERROR(N96/N148, "NA")</f>
        <v>0</v>
      </c>
      <c r="P96" s="27">
        <v>0.0</v>
      </c>
      <c r="Q96" s="23">
        <f>IFERROR(P96/P148, "NA")</f>
        <v>0</v>
      </c>
      <c r="R96" s="27">
        <v>0.0</v>
      </c>
      <c r="S96" s="23">
        <f>IFERROR(R96/R148, "NA")</f>
        <v>0</v>
      </c>
      <c r="T96" s="27">
        <v>0.0</v>
      </c>
      <c r="U96" s="23">
        <f>IFERROR(T96/T148, "NA")</f>
        <v>0</v>
      </c>
      <c r="V96" s="27">
        <v>0.0</v>
      </c>
      <c r="W96" s="23">
        <f>IFERROR(V96/V148, "NA")</f>
        <v>0</v>
      </c>
      <c r="X96" s="27">
        <v>0.0</v>
      </c>
      <c r="Y96" s="23">
        <f>IFERROR(X96/X148, "NA")</f>
        <v>0</v>
      </c>
      <c r="Z96" s="27">
        <v>0.0</v>
      </c>
      <c r="AA96" s="23">
        <f>IFERROR(Z96/Z148, "NA")</f>
        <v>0</v>
      </c>
      <c r="AB96" s="59">
        <f t="shared" si="43"/>
        <v>0</v>
      </c>
      <c r="AC96" s="23">
        <f>IFERROR(AB96/AB148, "NA")</f>
        <v>0</v>
      </c>
      <c r="AD96" s="61">
        <f t="shared" si="44"/>
        <v>0</v>
      </c>
      <c r="AE96" s="63">
        <f>IFERROR(AD96/AD148, "NA")</f>
        <v>0</v>
      </c>
      <c r="AF96" s="61" t="str">
        <f t="shared" si="45"/>
        <v>NA</v>
      </c>
      <c r="AG96" s="59">
        <f t="shared" si="46"/>
        <v>0</v>
      </c>
      <c r="AH96" s="23">
        <f>IFERROR(AG96/AG148, "NA")</f>
        <v>0</v>
      </c>
      <c r="AI96" s="61">
        <f t="shared" si="47"/>
        <v>0</v>
      </c>
      <c r="AJ96" s="63">
        <f>IFERROR(AI96/AI148, "NA")</f>
        <v>0</v>
      </c>
      <c r="AK96" s="61" t="str">
        <f t="shared" si="48"/>
        <v>NA</v>
      </c>
      <c r="AL96" s="63" t="str">
        <f>IFERROR(AK96/AK148, "NA")</f>
        <v>NA</v>
      </c>
    </row>
    <row r="97" ht="16.5" hidden="1" customHeight="1">
      <c r="A97" s="26" t="s">
        <v>201</v>
      </c>
      <c r="B97" s="27">
        <v>6828.17</v>
      </c>
      <c r="C97" s="23">
        <f>IFERROR(B97/B148, "NA")</f>
        <v>0.05443959902</v>
      </c>
      <c r="D97" s="27">
        <v>1459.1200000000001</v>
      </c>
      <c r="E97" s="23">
        <f>IFERROR(D97/D148, "NA")</f>
        <v>0.01089371757</v>
      </c>
      <c r="F97" s="27">
        <v>1983.58</v>
      </c>
      <c r="G97" s="23">
        <f>IFERROR(F97/F148, "NA")</f>
        <v>0.01549602385</v>
      </c>
      <c r="H97" s="27">
        <v>1931.98</v>
      </c>
      <c r="I97" s="23">
        <f>IFERROR(H97/H148, "NA")</f>
        <v>0.0166887703</v>
      </c>
      <c r="J97" s="27">
        <v>222.33</v>
      </c>
      <c r="K97" s="23">
        <f>IFERROR(J97/J148, "NA")</f>
        <v>0.001644563841</v>
      </c>
      <c r="L97" s="27">
        <v>1899.3999999999999</v>
      </c>
      <c r="M97" s="23">
        <f>IFERROR(L97/L148, "NA")</f>
        <v>0.01498517853</v>
      </c>
      <c r="N97" s="27">
        <v>4733.74</v>
      </c>
      <c r="O97" s="23">
        <f>IFERROR(N97/N148, "NA")</f>
        <v>0.03462392179</v>
      </c>
      <c r="P97" s="27">
        <v>2400.5199999999995</v>
      </c>
      <c r="Q97" s="23">
        <f>IFERROR(P97/P148, "NA")</f>
        <v>0.01603634224</v>
      </c>
      <c r="R97" s="27">
        <v>3630.01</v>
      </c>
      <c r="S97" s="23">
        <f>IFERROR(R97/R148, "NA")</f>
        <v>0.02948894659</v>
      </c>
      <c r="T97" s="27">
        <v>2747.8900000000003</v>
      </c>
      <c r="U97" s="23">
        <f>IFERROR(T97/T148, "NA")</f>
        <v>0.01634482684</v>
      </c>
      <c r="V97" s="27">
        <v>1425.8</v>
      </c>
      <c r="W97" s="23">
        <f>IFERROR(V97/V148, "NA")</f>
        <v>0.008571053632</v>
      </c>
      <c r="X97" s="27">
        <v>0.0</v>
      </c>
      <c r="Y97" s="23">
        <f>IFERROR(X97/X148, "NA")</f>
        <v>0</v>
      </c>
      <c r="Z97" s="27">
        <v>7803.7</v>
      </c>
      <c r="AA97" s="23">
        <f>IFERROR(Z97/Z148, "NA")</f>
        <v>0.01309345528</v>
      </c>
      <c r="AB97" s="59">
        <f t="shared" si="43"/>
        <v>1950.925</v>
      </c>
      <c r="AC97" s="23">
        <f>IFERROR(AB97/AB148, "NA")</f>
        <v>0.01309345528</v>
      </c>
      <c r="AD97" s="61">
        <f t="shared" si="44"/>
        <v>-1950.925</v>
      </c>
      <c r="AE97" s="63">
        <f>IFERROR(AD97/AD148, "NA")</f>
        <v>0.1846113302</v>
      </c>
      <c r="AF97" s="61">
        <f t="shared" si="45"/>
        <v>-1</v>
      </c>
      <c r="AG97" s="59">
        <f t="shared" si="46"/>
        <v>2132.46125</v>
      </c>
      <c r="AH97" s="23">
        <f>IFERROR(AG97/AG148, "NA")</f>
        <v>0.01490770234</v>
      </c>
      <c r="AI97" s="61">
        <f t="shared" si="47"/>
        <v>-2132.46125</v>
      </c>
      <c r="AJ97" s="63">
        <f>IFERROR(AI97/AI148, "NA")</f>
        <v>0.4623733464</v>
      </c>
      <c r="AK97" s="61">
        <f t="shared" si="48"/>
        <v>-1</v>
      </c>
      <c r="AL97" s="63">
        <f>IFERROR(AK97/AK148, "NA")</f>
        <v>31.01573507</v>
      </c>
    </row>
    <row r="98" ht="16.5" hidden="1" customHeight="1">
      <c r="A98" s="26" t="s">
        <v>202</v>
      </c>
      <c r="B98" s="27">
        <v>2430.47</v>
      </c>
      <c r="C98" s="23">
        <f>IFERROR(B98/B148, "NA")</f>
        <v>0.01937763885</v>
      </c>
      <c r="D98" s="27">
        <v>12051.37</v>
      </c>
      <c r="E98" s="23">
        <f>IFERROR(D98/D148, "NA")</f>
        <v>0.08997493083</v>
      </c>
      <c r="F98" s="27">
        <v>4557.38</v>
      </c>
      <c r="G98" s="23">
        <f>IFERROR(F98/F148, "NA")</f>
        <v>0.03560293468</v>
      </c>
      <c r="H98" s="27">
        <v>1447.5199999999998</v>
      </c>
      <c r="I98" s="23">
        <f>IFERROR(H98/H148, "NA")</f>
        <v>0.01250392281</v>
      </c>
      <c r="J98" s="27">
        <v>2925.55</v>
      </c>
      <c r="K98" s="23">
        <f>IFERROR(J98/J148, "NA")</f>
        <v>0.02164014638</v>
      </c>
      <c r="L98" s="27">
        <v>3789.8700000000003</v>
      </c>
      <c r="M98" s="23">
        <f>IFERROR(L98/L148, "NA")</f>
        <v>0.02989990447</v>
      </c>
      <c r="N98" s="27">
        <v>9271.900000000001</v>
      </c>
      <c r="O98" s="23">
        <f>IFERROR(N98/N148, "NA")</f>
        <v>0.06781731579</v>
      </c>
      <c r="P98" s="27">
        <v>4059.21</v>
      </c>
      <c r="Q98" s="23">
        <f>IFERROR(P98/P148, "NA")</f>
        <v>0.02711699164</v>
      </c>
      <c r="R98" s="27">
        <v>2003.01</v>
      </c>
      <c r="S98" s="23">
        <f>IFERROR(R98/R148, "NA")</f>
        <v>0.01627176093</v>
      </c>
      <c r="T98" s="27">
        <v>1911.5499999999995</v>
      </c>
      <c r="U98" s="23">
        <f>IFERROR(T98/T148, "NA")</f>
        <v>0.01137016174</v>
      </c>
      <c r="V98" s="27">
        <v>9271.610000000002</v>
      </c>
      <c r="W98" s="23">
        <f>IFERROR(V98/V148, "NA")</f>
        <v>0.05573535318</v>
      </c>
      <c r="X98" s="27">
        <v>971.0999999999999</v>
      </c>
      <c r="Y98" s="23">
        <f>IFERROR(X98/X148, "NA")</f>
        <v>0.00701498285</v>
      </c>
      <c r="Z98" s="27">
        <v>14157.27</v>
      </c>
      <c r="AA98" s="23">
        <f>IFERROR(Z98/Z148, "NA")</f>
        <v>0.02375380673</v>
      </c>
      <c r="AB98" s="59">
        <f t="shared" si="43"/>
        <v>3539.3175</v>
      </c>
      <c r="AC98" s="23">
        <f>IFERROR(AB98/AB148, "NA")</f>
        <v>0.02375380673</v>
      </c>
      <c r="AD98" s="61">
        <f t="shared" si="44"/>
        <v>-2568.2175</v>
      </c>
      <c r="AE98" s="63">
        <f>IFERROR(AD98/AD148, "NA")</f>
        <v>0.2430242315</v>
      </c>
      <c r="AF98" s="61">
        <f t="shared" si="45"/>
        <v>-0.7256250675</v>
      </c>
      <c r="AG98" s="59">
        <f t="shared" si="46"/>
        <v>4275.475</v>
      </c>
      <c r="AH98" s="23">
        <f>IFERROR(AG98/AG148, "NA")</f>
        <v>0.02988917556</v>
      </c>
      <c r="AI98" s="61">
        <f t="shared" si="47"/>
        <v>-3304.375</v>
      </c>
      <c r="AJ98" s="63">
        <f>IFERROR(AI98/AI148, "NA")</f>
        <v>0.7164748839</v>
      </c>
      <c r="AK98" s="61">
        <f t="shared" si="48"/>
        <v>-0.7728673422</v>
      </c>
      <c r="AL98" s="63">
        <f>IFERROR(AK98/AK148, "NA")</f>
        <v>23.97104873</v>
      </c>
    </row>
    <row r="99" ht="16.5" hidden="1" customHeight="1">
      <c r="A99" s="66" t="s">
        <v>203</v>
      </c>
      <c r="B99" s="67">
        <f>IFERROR(B90+B91+B92+B93+B94+B95+B96+B97+B98, "NA")</f>
        <v>30471.3</v>
      </c>
      <c r="C99" s="69">
        <f>IFERROR(B99/B148, "NA")</f>
        <v>0.2429414256</v>
      </c>
      <c r="D99" s="67">
        <f>IFERROR(D90+D91+D92+D93+D94+D95+D96+D97+D98, "NA")</f>
        <v>38131.43</v>
      </c>
      <c r="E99" s="69">
        <f>IFERROR(D99/D148, "NA")</f>
        <v>0.2846873656</v>
      </c>
      <c r="F99" s="67">
        <f>IFERROR(F90+F91+F92+F93+F94+F95+F96+F97+F98, "NA")</f>
        <v>34990.88</v>
      </c>
      <c r="G99" s="69">
        <f>IFERROR(F99/F148, "NA")</f>
        <v>0.2733539918</v>
      </c>
      <c r="H99" s="67">
        <f>IFERROR(H90+H91+H92+H93+H94+H95+H96+H97+H98, "NA")</f>
        <v>21038.15</v>
      </c>
      <c r="I99" s="69">
        <f>IFERROR(H99/H148, "NA")</f>
        <v>0.1817311012</v>
      </c>
      <c r="J99" s="67">
        <f>IFERROR(J90+J91+J92+J93+J94+J95+J96+J97+J98, "NA")</f>
        <v>24610.51</v>
      </c>
      <c r="K99" s="69">
        <f>IFERROR(J99/J148, "NA")</f>
        <v>0.1820427061</v>
      </c>
      <c r="L99" s="67">
        <f>IFERROR(L90+L91+L92+L93+L94+L95+L96+L97+L98, "NA")</f>
        <v>25296.7</v>
      </c>
      <c r="M99" s="69">
        <f>IFERROR(L99/L148, "NA")</f>
        <v>0.1995764798</v>
      </c>
      <c r="N99" s="67">
        <f>IFERROR(N90+N91+N92+N93+N94+N95+N96+N97+N98, "NA")</f>
        <v>40601.15</v>
      </c>
      <c r="O99" s="69">
        <f>IFERROR(N99/N148, "NA")</f>
        <v>0.296968368</v>
      </c>
      <c r="P99" s="67">
        <f>IFERROR(P90+P91+P92+P93+P94+P95+P96+P97+P98, "NA")</f>
        <v>44710.86</v>
      </c>
      <c r="Q99" s="69">
        <f>IFERROR(P99/P148, "NA")</f>
        <v>0.2986847236</v>
      </c>
      <c r="R99" s="67">
        <f>IFERROR(R90+R91+R92+R93+R94+R95+R96+R97+R98, "NA")</f>
        <v>33540.23</v>
      </c>
      <c r="S99" s="69">
        <f>IFERROR(R99/R148, "NA")</f>
        <v>0.2724692359</v>
      </c>
      <c r="T99" s="67">
        <f>IFERROR(T90+T91+T92+T93+T94+T95+T96+T97+T98, "NA")</f>
        <v>42574.53</v>
      </c>
      <c r="U99" s="69">
        <f>IFERROR(T99/T148, "NA")</f>
        <v>0.2532391474</v>
      </c>
      <c r="V99" s="67">
        <f>IFERROR(V90+V91+V92+V93+V94+V95+V96+V97+V98, "NA")</f>
        <v>48573.4</v>
      </c>
      <c r="W99" s="69">
        <f>IFERROR(V99/V148, "NA")</f>
        <v>0.2919941201</v>
      </c>
      <c r="X99" s="67">
        <f>IFERROR(X90+X91+X92+X93+X94+X95+X96+X97+X98, "NA")</f>
        <v>22894.99</v>
      </c>
      <c r="Y99" s="69">
        <f>IFERROR(X99/X148, "NA")</f>
        <v>0.1653876658</v>
      </c>
      <c r="Z99" s="67">
        <f>IFERROR(Z90+Z91+Z92+Z93+Z94+Z95+Z96+Z97+Z98, "NA")</f>
        <v>147583.15</v>
      </c>
      <c r="AA99" s="69">
        <f>IFERROR(Z99/Z148, "NA")</f>
        <v>0.2476227141</v>
      </c>
      <c r="AB99" s="67">
        <f t="shared" si="43"/>
        <v>36895.7875</v>
      </c>
      <c r="AC99" s="69">
        <f>IFERROR(AB99/AB148, "NA")</f>
        <v>0.2476227141</v>
      </c>
      <c r="AD99" s="70">
        <f t="shared" si="44"/>
        <v>-14000.7975</v>
      </c>
      <c r="AE99" s="71">
        <f>IFERROR(AD99/AD148, "NA")</f>
        <v>1.32486172</v>
      </c>
      <c r="AF99" s="70">
        <f t="shared" si="45"/>
        <v>-0.3794687266</v>
      </c>
      <c r="AG99" s="67">
        <f t="shared" si="46"/>
        <v>35350.29625</v>
      </c>
      <c r="AH99" s="69">
        <f>IFERROR(AG99/AG148, "NA")</f>
        <v>0.2471283801</v>
      </c>
      <c r="AI99" s="70">
        <f t="shared" si="47"/>
        <v>-12455.30625</v>
      </c>
      <c r="AJ99" s="71">
        <f>IFERROR(AI99/AI148, "NA")</f>
        <v>2.700636005</v>
      </c>
      <c r="AK99" s="70">
        <f t="shared" si="48"/>
        <v>-0.3523395154</v>
      </c>
      <c r="AL99" s="71">
        <f>IFERROR(AK99/AK148, "NA")</f>
        <v>10.92806907</v>
      </c>
    </row>
    <row r="100" ht="16.5" hidden="1" customHeight="1">
      <c r="A100" s="120" t="s">
        <v>6</v>
      </c>
      <c r="B100" s="121"/>
      <c r="C100" s="76"/>
      <c r="D100" s="121"/>
      <c r="E100" s="76"/>
      <c r="F100" s="121"/>
      <c r="G100" s="76"/>
      <c r="H100" s="121"/>
      <c r="I100" s="76"/>
      <c r="J100" s="121"/>
      <c r="K100" s="76"/>
      <c r="L100" s="121"/>
      <c r="M100" s="76"/>
      <c r="N100" s="121"/>
      <c r="O100" s="76"/>
      <c r="P100" s="121"/>
      <c r="Q100" s="76"/>
      <c r="R100" s="121"/>
      <c r="S100" s="76"/>
      <c r="T100" s="121"/>
      <c r="U100" s="76"/>
      <c r="V100" s="121"/>
      <c r="W100" s="76"/>
      <c r="X100" s="121"/>
      <c r="Y100" s="76"/>
      <c r="Z100" s="121"/>
      <c r="AA100" s="76"/>
      <c r="AB100" s="121"/>
      <c r="AC100" s="76"/>
      <c r="AD100" s="122"/>
      <c r="AE100" s="78"/>
      <c r="AF100" s="122"/>
      <c r="AG100" s="121"/>
      <c r="AH100" s="76"/>
      <c r="AI100" s="122"/>
      <c r="AJ100" s="78"/>
      <c r="AK100" s="122"/>
      <c r="AL100" s="78"/>
    </row>
    <row r="101" ht="16.5" hidden="1" customHeight="1">
      <c r="A101" s="118" t="s">
        <v>204</v>
      </c>
      <c r="B101" s="119">
        <f>IFERROR(B87-B99, "NA")</f>
        <v>28680.71</v>
      </c>
      <c r="C101" s="107">
        <f>IFERROR(B101/B148, "NA")</f>
        <v>0.2286654187</v>
      </c>
      <c r="D101" s="119">
        <f>IFERROR(D87-D99, "NA")</f>
        <v>22569.92</v>
      </c>
      <c r="E101" s="107">
        <f>IFERROR(D101/D148, "NA")</f>
        <v>0.1685059036</v>
      </c>
      <c r="F101" s="119">
        <f>IFERROR(F87-F99, "NA")</f>
        <v>26508.76</v>
      </c>
      <c r="G101" s="107">
        <f>IFERROR(F101/F148, "NA")</f>
        <v>0.2070904008</v>
      </c>
      <c r="H101" s="119">
        <f>IFERROR(H87-H99, "NA")</f>
        <v>30526.04</v>
      </c>
      <c r="I101" s="107">
        <f>IFERROR(H101/H148, "NA")</f>
        <v>0.2636891012</v>
      </c>
      <c r="J101" s="119">
        <f>IFERROR(J87-J99, "NA")</f>
        <v>40103.19</v>
      </c>
      <c r="K101" s="107">
        <f>IFERROR(J101/J148, "NA")</f>
        <v>0.2966412818</v>
      </c>
      <c r="L101" s="119">
        <f>IFERROR(L87-L99, "NA")</f>
        <v>36167.3</v>
      </c>
      <c r="M101" s="107">
        <f>IFERROR(L101/L148, "NA")</f>
        <v>0.28533929</v>
      </c>
      <c r="N101" s="119">
        <f>IFERROR(N87-N99, "NA")</f>
        <v>24020.04</v>
      </c>
      <c r="O101" s="107">
        <f>IFERROR(N101/N148, "NA")</f>
        <v>0.1756894097</v>
      </c>
      <c r="P101" s="119">
        <f>IFERROR(P87-P99, "NA")</f>
        <v>31250.3</v>
      </c>
      <c r="Q101" s="107">
        <f>IFERROR(P101/P148, "NA")</f>
        <v>0.208763312</v>
      </c>
      <c r="R101" s="119">
        <f>IFERROR(R87-R99, "NA")</f>
        <v>26493.09</v>
      </c>
      <c r="S101" s="107">
        <f>IFERROR(R101/R148, "NA")</f>
        <v>0.2152207063</v>
      </c>
      <c r="T101" s="119">
        <f>IFERROR(T87-T99, "NA")</f>
        <v>47057.77</v>
      </c>
      <c r="U101" s="107">
        <f>IFERROR(T101/T148, "NA")</f>
        <v>0.2799060742</v>
      </c>
      <c r="V101" s="119">
        <f>IFERROR(V87-V99, "NA")</f>
        <v>37735.64</v>
      </c>
      <c r="W101" s="107">
        <f>IFERROR(V101/V148, "NA")</f>
        <v>0.2268440134</v>
      </c>
      <c r="X101" s="119">
        <f>IFERROR(X87-X99, "NA")</f>
        <v>48226.07</v>
      </c>
      <c r="Y101" s="107">
        <f>IFERROR(X101/X148, "NA")</f>
        <v>0.3483730347</v>
      </c>
      <c r="Z101" s="119">
        <f>IFERROR(Z87-Z99, "NA")</f>
        <v>159512.57</v>
      </c>
      <c r="AA101" s="107">
        <f>IFERROR(Z101/Z148, "NA")</f>
        <v>0.2676385178</v>
      </c>
      <c r="AB101" s="119">
        <f>IFERROR((R101+T101+V101+X101)/4, "NA")</f>
        <v>39878.1425</v>
      </c>
      <c r="AC101" s="107">
        <f>IFERROR(AB101/AB148, "NA")</f>
        <v>0.2676385178</v>
      </c>
      <c r="AD101" s="70">
        <f>IFERROR(X101-AB101, "NA")</f>
        <v>8347.9275</v>
      </c>
      <c r="AE101" s="71">
        <f>IFERROR(AD101/AD148, "NA")</f>
        <v>-0.7899442573</v>
      </c>
      <c r="AF101" s="70">
        <f>IFERROR((X101-AB101)/AB101, "NA")</f>
        <v>0.2093359163</v>
      </c>
      <c r="AG101" s="119">
        <f>IFERROR((J101+L101+N101+P101+R101+T101+V101+X101)/8, "NA")</f>
        <v>36381.675</v>
      </c>
      <c r="AH101" s="107">
        <f>IFERROR(AG101/AG148, "NA")</f>
        <v>0.2543385872</v>
      </c>
      <c r="AI101" s="70">
        <f>IFERROR(X101-AG101, "NA")</f>
        <v>11844.395</v>
      </c>
      <c r="AJ101" s="71">
        <f>IFERROR(AI101/AI148, "NA")</f>
        <v>-2.568174476</v>
      </c>
      <c r="AK101" s="70">
        <f>IFERROR((X101-AG101)/AG101, "NA")</f>
        <v>0.3255593647</v>
      </c>
      <c r="AL101" s="71">
        <f>IFERROR(AK101/AK148, "NA")</f>
        <v>-10.09746301</v>
      </c>
    </row>
    <row r="102" ht="3.75" hidden="1" customHeight="1">
      <c r="A102" s="120" t="s">
        <v>6</v>
      </c>
      <c r="B102" s="121"/>
      <c r="C102" s="76"/>
      <c r="D102" s="121"/>
      <c r="E102" s="76"/>
      <c r="F102" s="121"/>
      <c r="G102" s="76"/>
      <c r="H102" s="121"/>
      <c r="I102" s="76"/>
      <c r="J102" s="121"/>
      <c r="K102" s="76"/>
      <c r="L102" s="121"/>
      <c r="M102" s="76"/>
      <c r="N102" s="121"/>
      <c r="O102" s="76"/>
      <c r="P102" s="121"/>
      <c r="Q102" s="76"/>
      <c r="R102" s="121"/>
      <c r="S102" s="76"/>
      <c r="T102" s="121"/>
      <c r="U102" s="76"/>
      <c r="V102" s="121"/>
      <c r="W102" s="76"/>
      <c r="X102" s="121"/>
      <c r="Y102" s="76"/>
      <c r="Z102" s="121"/>
      <c r="AA102" s="76"/>
      <c r="AB102" s="121"/>
      <c r="AC102" s="76"/>
      <c r="AD102" s="122"/>
      <c r="AE102" s="78"/>
      <c r="AF102" s="122"/>
      <c r="AG102" s="121"/>
      <c r="AH102" s="76"/>
      <c r="AI102" s="122"/>
      <c r="AJ102" s="78"/>
      <c r="AK102" s="122"/>
      <c r="AL102" s="78"/>
    </row>
    <row r="103" ht="16.5" hidden="1" customHeight="1">
      <c r="A103" s="17" t="s">
        <v>205</v>
      </c>
      <c r="B103" s="19"/>
      <c r="C103" s="13"/>
      <c r="D103" s="19"/>
      <c r="E103" s="13"/>
      <c r="F103" s="19"/>
      <c r="G103" s="13"/>
      <c r="H103" s="19"/>
      <c r="I103" s="13"/>
      <c r="J103" s="19"/>
      <c r="K103" s="13"/>
      <c r="L103" s="19"/>
      <c r="M103" s="13"/>
      <c r="N103" s="19"/>
      <c r="O103" s="13"/>
      <c r="P103" s="19"/>
      <c r="Q103" s="13"/>
      <c r="R103" s="19"/>
      <c r="S103" s="13"/>
      <c r="T103" s="19"/>
      <c r="U103" s="13"/>
      <c r="V103" s="19"/>
      <c r="W103" s="13"/>
      <c r="X103" s="19"/>
      <c r="Y103" s="13"/>
      <c r="Z103" s="19"/>
      <c r="AA103" s="13"/>
      <c r="AB103" s="19"/>
      <c r="AC103" s="13"/>
      <c r="AD103" s="24"/>
      <c r="AE103" s="25"/>
      <c r="AF103" s="24"/>
      <c r="AG103" s="19"/>
      <c r="AH103" s="13"/>
      <c r="AI103" s="24"/>
      <c r="AJ103" s="25"/>
      <c r="AK103" s="24"/>
      <c r="AL103" s="25"/>
    </row>
    <row r="104" ht="16.5" hidden="1" customHeight="1">
      <c r="A104" s="123" t="s">
        <v>206</v>
      </c>
      <c r="B104" s="124">
        <v>-294.71</v>
      </c>
      <c r="C104" s="107">
        <f>IFERROR(B104/B148, "NA")</f>
        <v>-0.002349662388</v>
      </c>
      <c r="D104" s="124">
        <v>12313.260000000002</v>
      </c>
      <c r="E104" s="107">
        <f>IFERROR(D104/D148, "NA")</f>
        <v>0.09193018859</v>
      </c>
      <c r="F104" s="124">
        <v>68584.26</v>
      </c>
      <c r="G104" s="107">
        <f>IFERROR(F104/F148, "NA")</f>
        <v>0.5357905044</v>
      </c>
      <c r="H104" s="124">
        <v>-5736.97</v>
      </c>
      <c r="I104" s="107">
        <f>IFERROR(H104/H148, "NA")</f>
        <v>-0.04955691806</v>
      </c>
      <c r="J104" s="124">
        <v>-544.22</v>
      </c>
      <c r="K104" s="107">
        <f>IFERROR(J104/J148, "NA")</f>
        <v>-0.004025568001</v>
      </c>
      <c r="L104" s="124">
        <v>0.0</v>
      </c>
      <c r="M104" s="107">
        <f>IFERROR(L104/L148, "NA")</f>
        <v>0</v>
      </c>
      <c r="N104" s="124">
        <v>11114.62</v>
      </c>
      <c r="O104" s="107">
        <f>IFERROR(N104/N148, "NA")</f>
        <v>0.08129549439</v>
      </c>
      <c r="P104" s="124">
        <v>82425.87999999999</v>
      </c>
      <c r="Q104" s="107">
        <f>IFERROR(P104/P148, "NA")</f>
        <v>0.5506347045</v>
      </c>
      <c r="R104" s="124">
        <v>-6844.3099999999995</v>
      </c>
      <c r="S104" s="107">
        <f>IFERROR(R104/R148, "NA")</f>
        <v>-0.05560080882</v>
      </c>
      <c r="T104" s="124">
        <v>0.0</v>
      </c>
      <c r="U104" s="107">
        <f>IFERROR(T104/T148, "NA")</f>
        <v>0</v>
      </c>
      <c r="V104" s="124">
        <v>7396.790000000001</v>
      </c>
      <c r="W104" s="107">
        <f>IFERROR(V104/V148, "NA")</f>
        <v>0.04446506087</v>
      </c>
      <c r="X104" s="124">
        <v>2530.39</v>
      </c>
      <c r="Y104" s="107">
        <f>IFERROR(X104/X148, "NA")</f>
        <v>0.01827890274</v>
      </c>
      <c r="Z104" s="124">
        <v>3082.870000000001</v>
      </c>
      <c r="AA104" s="107">
        <f>IFERROR(Z104/Z148, "NA")</f>
        <v>0.005172600237</v>
      </c>
      <c r="AB104" s="119">
        <f t="shared" ref="AB104:AB105" si="49">IFERROR((R104+T104+V104+X104)/4, "NA")</f>
        <v>770.7175</v>
      </c>
      <c r="AC104" s="107">
        <f>IFERROR(AB104/AB148, "NA")</f>
        <v>0.005172600237</v>
      </c>
      <c r="AD104" s="70">
        <f t="shared" ref="AD104:AD105" si="50">IFERROR(X104-AB104, "NA")</f>
        <v>1759.6725</v>
      </c>
      <c r="AE104" s="71">
        <f>IFERROR(AD104/AD148, "NA")</f>
        <v>-0.1665135671</v>
      </c>
      <c r="AF104" s="70">
        <f t="shared" ref="AF104:AF105" si="51">IFERROR((X104-AB104)/AB104, "NA")</f>
        <v>2.28316147</v>
      </c>
      <c r="AG104" s="119">
        <f t="shared" ref="AG104:AG105" si="52">IFERROR((J104+L104+N104+P104+R104+T104+V104+X104)/8, "NA")</f>
        <v>12009.89375</v>
      </c>
      <c r="AH104" s="107">
        <f>IFERROR(AG104/AG148, "NA")</f>
        <v>0.0839592847</v>
      </c>
      <c r="AI104" s="70">
        <f t="shared" ref="AI104:AI105" si="53">IFERROR(X104-AG104, "NA")</f>
        <v>-9479.50375</v>
      </c>
      <c r="AJ104" s="71">
        <f>IFERROR(AI104/AI148, "NA")</f>
        <v>2.055404229</v>
      </c>
      <c r="AK104" s="70">
        <f t="shared" ref="AK104:AK105" si="54">IFERROR((X104-AG104)/AG104, "NA")</f>
        <v>-0.7893078779</v>
      </c>
      <c r="AL104" s="71">
        <f>IFERROR(AK104/AK148, "NA")</f>
        <v>24.48096403</v>
      </c>
    </row>
    <row r="105" ht="16.5" hidden="1" customHeight="1">
      <c r="A105" s="66" t="s">
        <v>207</v>
      </c>
      <c r="B105" s="67">
        <f>IFERROR(B104, "NA")</f>
        <v>-294.71</v>
      </c>
      <c r="C105" s="69">
        <f>IFERROR(B105/B148, "NA")</f>
        <v>-0.002349662388</v>
      </c>
      <c r="D105" s="67">
        <f>IFERROR(D104, "NA")</f>
        <v>12313.26</v>
      </c>
      <c r="E105" s="69">
        <f>IFERROR(D105/D148, "NA")</f>
        <v>0.09193018859</v>
      </c>
      <c r="F105" s="67">
        <f>IFERROR(F104, "NA")</f>
        <v>68584.26</v>
      </c>
      <c r="G105" s="69">
        <f>IFERROR(F105/F148, "NA")</f>
        <v>0.5357905044</v>
      </c>
      <c r="H105" s="67">
        <f>IFERROR(H104, "NA")</f>
        <v>-5736.97</v>
      </c>
      <c r="I105" s="69">
        <f>IFERROR(H105/H148, "NA")</f>
        <v>-0.04955691806</v>
      </c>
      <c r="J105" s="67">
        <f>IFERROR(J104, "NA")</f>
        <v>-544.22</v>
      </c>
      <c r="K105" s="69">
        <f>IFERROR(J105/J148, "NA")</f>
        <v>-0.004025568001</v>
      </c>
      <c r="L105" s="67">
        <f>IFERROR(L104, "NA")</f>
        <v>0</v>
      </c>
      <c r="M105" s="69">
        <f>IFERROR(L105/L148, "NA")</f>
        <v>0</v>
      </c>
      <c r="N105" s="67">
        <f>IFERROR(N104, "NA")</f>
        <v>11114.62</v>
      </c>
      <c r="O105" s="69">
        <f>IFERROR(N105/N148, "NA")</f>
        <v>0.08129549439</v>
      </c>
      <c r="P105" s="67">
        <f>IFERROR(P104, "NA")</f>
        <v>82425.88</v>
      </c>
      <c r="Q105" s="69">
        <f>IFERROR(P105/P148, "NA")</f>
        <v>0.5506347045</v>
      </c>
      <c r="R105" s="67">
        <f>IFERROR(R104, "NA")</f>
        <v>-6844.31</v>
      </c>
      <c r="S105" s="69">
        <f>IFERROR(R105/R148, "NA")</f>
        <v>-0.05560080882</v>
      </c>
      <c r="T105" s="67">
        <f>IFERROR(T104, "NA")</f>
        <v>0</v>
      </c>
      <c r="U105" s="69">
        <f>IFERROR(T105/T148, "NA")</f>
        <v>0</v>
      </c>
      <c r="V105" s="67">
        <f>IFERROR(V104, "NA")</f>
        <v>7396.79</v>
      </c>
      <c r="W105" s="69">
        <f>IFERROR(V105/V148, "NA")</f>
        <v>0.04446506087</v>
      </c>
      <c r="X105" s="67">
        <f>IFERROR(X104, "NA")</f>
        <v>2530.39</v>
      </c>
      <c r="Y105" s="69">
        <f>IFERROR(X105/X148, "NA")</f>
        <v>0.01827890274</v>
      </c>
      <c r="Z105" s="67">
        <f>IFERROR(Z104, "NA")</f>
        <v>3082.87</v>
      </c>
      <c r="AA105" s="69">
        <f>IFERROR(Z105/Z148, "NA")</f>
        <v>0.005172600237</v>
      </c>
      <c r="AB105" s="67">
        <f t="shared" si="49"/>
        <v>770.7175</v>
      </c>
      <c r="AC105" s="69">
        <f>IFERROR(AB105/AB148, "NA")</f>
        <v>0.005172600237</v>
      </c>
      <c r="AD105" s="70">
        <f t="shared" si="50"/>
        <v>1759.6725</v>
      </c>
      <c r="AE105" s="71">
        <f>IFERROR(AD105/AD148, "NA")</f>
        <v>-0.1665135671</v>
      </c>
      <c r="AF105" s="70">
        <f t="shared" si="51"/>
        <v>2.28316147</v>
      </c>
      <c r="AG105" s="67">
        <f t="shared" si="52"/>
        <v>12009.89375</v>
      </c>
      <c r="AH105" s="69">
        <f>IFERROR(AG105/AG148, "NA")</f>
        <v>0.0839592847</v>
      </c>
      <c r="AI105" s="70">
        <f t="shared" si="53"/>
        <v>-9479.50375</v>
      </c>
      <c r="AJ105" s="71">
        <f>IFERROR(AI105/AI148, "NA")</f>
        <v>2.055404229</v>
      </c>
      <c r="AK105" s="70">
        <f t="shared" si="54"/>
        <v>-0.7893078779</v>
      </c>
      <c r="AL105" s="71">
        <f>IFERROR(AK105/AK148, "NA")</f>
        <v>24.48096403</v>
      </c>
    </row>
    <row r="106" ht="16.5" hidden="1" customHeight="1">
      <c r="A106" s="120" t="s">
        <v>6</v>
      </c>
      <c r="B106" s="121"/>
      <c r="C106" s="76"/>
      <c r="D106" s="121"/>
      <c r="E106" s="76"/>
      <c r="F106" s="121"/>
      <c r="G106" s="76"/>
      <c r="H106" s="121"/>
      <c r="I106" s="76"/>
      <c r="J106" s="121"/>
      <c r="K106" s="76"/>
      <c r="L106" s="121"/>
      <c r="M106" s="76"/>
      <c r="N106" s="121"/>
      <c r="O106" s="76"/>
      <c r="P106" s="121"/>
      <c r="Q106" s="76"/>
      <c r="R106" s="121"/>
      <c r="S106" s="76"/>
      <c r="T106" s="121"/>
      <c r="U106" s="76"/>
      <c r="V106" s="121"/>
      <c r="W106" s="76"/>
      <c r="X106" s="121"/>
      <c r="Y106" s="76"/>
      <c r="Z106" s="121"/>
      <c r="AA106" s="76"/>
      <c r="AB106" s="121"/>
      <c r="AC106" s="76"/>
      <c r="AD106" s="122"/>
      <c r="AE106" s="78"/>
      <c r="AF106" s="122"/>
      <c r="AG106" s="121"/>
      <c r="AH106" s="76"/>
      <c r="AI106" s="122"/>
      <c r="AJ106" s="78"/>
      <c r="AK106" s="122"/>
      <c r="AL106" s="78"/>
    </row>
    <row r="107" ht="16.5" hidden="1" customHeight="1">
      <c r="A107" s="118" t="s">
        <v>208</v>
      </c>
      <c r="B107" s="119">
        <f>IFERROR(B87-B99-B105, "NA")</f>
        <v>28975.42</v>
      </c>
      <c r="C107" s="107">
        <f>IFERROR(B107/B148, "NA")</f>
        <v>0.2310150811</v>
      </c>
      <c r="D107" s="119">
        <f>IFERROR(D87-D99-D105, "NA")</f>
        <v>10256.66</v>
      </c>
      <c r="E107" s="107">
        <f>IFERROR(D107/D148, "NA")</f>
        <v>0.07657571497</v>
      </c>
      <c r="F107" s="119">
        <f>IFERROR(F87-F99-F105, "NA")</f>
        <v>-42075.5</v>
      </c>
      <c r="G107" s="107">
        <f>IFERROR(F107/F148, "NA")</f>
        <v>-0.3287001036</v>
      </c>
      <c r="H107" s="119">
        <f>IFERROR(H87-H99-H105, "NA")</f>
        <v>36263.01</v>
      </c>
      <c r="I107" s="107">
        <f>IFERROR(H107/H148, "NA")</f>
        <v>0.3132460193</v>
      </c>
      <c r="J107" s="119">
        <f>IFERROR(J87-J99-J105, "NA")</f>
        <v>40647.41</v>
      </c>
      <c r="K107" s="107">
        <f>IFERROR(J107/J148, "NA")</f>
        <v>0.3006668498</v>
      </c>
      <c r="L107" s="119">
        <f>IFERROR(L87-L99-L105, "NA")</f>
        <v>36167.3</v>
      </c>
      <c r="M107" s="107">
        <f>IFERROR(L107/L148, "NA")</f>
        <v>0.28533929</v>
      </c>
      <c r="N107" s="119">
        <f>IFERROR(N87-N99-N105, "NA")</f>
        <v>12905.42</v>
      </c>
      <c r="O107" s="107">
        <f>IFERROR(N107/N148, "NA")</f>
        <v>0.09439391533</v>
      </c>
      <c r="P107" s="119">
        <f>IFERROR(P87-P99-P105, "NA")</f>
        <v>-51175.58</v>
      </c>
      <c r="Q107" s="107">
        <f>IFERROR(P107/P148, "NA")</f>
        <v>-0.3418713925</v>
      </c>
      <c r="R107" s="119">
        <f>IFERROR(R87-R99-R105, "NA")</f>
        <v>33337.4</v>
      </c>
      <c r="S107" s="107">
        <f>IFERROR(R107/R148, "NA")</f>
        <v>0.2708215151</v>
      </c>
      <c r="T107" s="119">
        <f>IFERROR(T87-T99-T105, "NA")</f>
        <v>47057.77</v>
      </c>
      <c r="U107" s="107">
        <f>IFERROR(T107/T148, "NA")</f>
        <v>0.2799060742</v>
      </c>
      <c r="V107" s="119">
        <f>IFERROR(V87-V99-V105, "NA")</f>
        <v>30338.85</v>
      </c>
      <c r="W107" s="107">
        <f>IFERROR(V107/V148, "NA")</f>
        <v>0.1823789525</v>
      </c>
      <c r="X107" s="119">
        <f>IFERROR(X87-X99-X105, "NA")</f>
        <v>45695.68</v>
      </c>
      <c r="Y107" s="107">
        <f>IFERROR(X107/X148, "NA")</f>
        <v>0.330094132</v>
      </c>
      <c r="Z107" s="119">
        <f>IFERROR(Z87-Z99-Z105, "NA")</f>
        <v>156429.7</v>
      </c>
      <c r="AA107" s="107">
        <f>IFERROR(Z107/Z148, "NA")</f>
        <v>0.2624659176</v>
      </c>
      <c r="AB107" s="119">
        <f>IFERROR((R107+T107+V107+X107)/4, "NA")</f>
        <v>39107.425</v>
      </c>
      <c r="AC107" s="107">
        <f>IFERROR(AB107/AB148, "NA")</f>
        <v>0.2624659176</v>
      </c>
      <c r="AD107" s="70">
        <f>IFERROR(X107-AB107, "NA")</f>
        <v>6588.255</v>
      </c>
      <c r="AE107" s="71">
        <f>IFERROR(AD107/AD148, "NA")</f>
        <v>-0.6234306901</v>
      </c>
      <c r="AF107" s="70">
        <f>IFERROR((X107-AB107)/AB107, "NA")</f>
        <v>0.1684655791</v>
      </c>
      <c r="AG107" s="119">
        <f>IFERROR((J107+L107+N107+P107+R107+T107+V107+X107)/8, "NA")</f>
        <v>24371.78125</v>
      </c>
      <c r="AH107" s="107">
        <f>IFERROR(AG107/AG148, "NA")</f>
        <v>0.1703793025</v>
      </c>
      <c r="AI107" s="70">
        <f>IFERROR(X107-AG107, "NA")</f>
        <v>21323.89875</v>
      </c>
      <c r="AJ107" s="71">
        <f>IFERROR(AI107/AI148, "NA")</f>
        <v>-4.623578705</v>
      </c>
      <c r="AK107" s="70">
        <f>IFERROR((X107-AG107)/AG107, "NA")</f>
        <v>0.8749421526</v>
      </c>
      <c r="AL107" s="71">
        <f>IFERROR(AK107/AK148, "NA")</f>
        <v>-27.13697401</v>
      </c>
    </row>
    <row r="108" ht="3.75" hidden="1" customHeight="1">
      <c r="A108" s="120" t="s">
        <v>6</v>
      </c>
      <c r="B108" s="121"/>
      <c r="C108" s="76"/>
      <c r="D108" s="121"/>
      <c r="E108" s="76"/>
      <c r="F108" s="121"/>
      <c r="G108" s="76"/>
      <c r="H108" s="121"/>
      <c r="I108" s="76"/>
      <c r="J108" s="121"/>
      <c r="K108" s="76"/>
      <c r="L108" s="121"/>
      <c r="M108" s="76"/>
      <c r="N108" s="121"/>
      <c r="O108" s="76"/>
      <c r="P108" s="121"/>
      <c r="Q108" s="76"/>
      <c r="R108" s="121"/>
      <c r="S108" s="76"/>
      <c r="T108" s="121"/>
      <c r="U108" s="76"/>
      <c r="V108" s="121"/>
      <c r="W108" s="76"/>
      <c r="X108" s="121"/>
      <c r="Y108" s="76"/>
      <c r="Z108" s="121"/>
      <c r="AA108" s="76"/>
      <c r="AB108" s="121"/>
      <c r="AC108" s="76"/>
      <c r="AD108" s="122"/>
      <c r="AE108" s="78"/>
      <c r="AF108" s="122"/>
      <c r="AG108" s="121"/>
      <c r="AH108" s="76"/>
      <c r="AI108" s="122"/>
      <c r="AJ108" s="78"/>
      <c r="AK108" s="122"/>
      <c r="AL108" s="78"/>
    </row>
    <row r="109" ht="16.5" hidden="1" customHeight="1">
      <c r="A109" s="17" t="s">
        <v>209</v>
      </c>
      <c r="B109" s="19"/>
      <c r="C109" s="13"/>
      <c r="D109" s="19"/>
      <c r="E109" s="13"/>
      <c r="F109" s="19"/>
      <c r="G109" s="13"/>
      <c r="H109" s="19"/>
      <c r="I109" s="13"/>
      <c r="J109" s="19"/>
      <c r="K109" s="13"/>
      <c r="L109" s="19"/>
      <c r="M109" s="13"/>
      <c r="N109" s="19"/>
      <c r="O109" s="13"/>
      <c r="P109" s="19"/>
      <c r="Q109" s="13"/>
      <c r="R109" s="19"/>
      <c r="S109" s="13"/>
      <c r="T109" s="19"/>
      <c r="U109" s="13"/>
      <c r="V109" s="19"/>
      <c r="W109" s="13"/>
      <c r="X109" s="19"/>
      <c r="Y109" s="13"/>
      <c r="Z109" s="19"/>
      <c r="AA109" s="13"/>
      <c r="AB109" s="19"/>
      <c r="AC109" s="13"/>
      <c r="AD109" s="24"/>
      <c r="AE109" s="25"/>
      <c r="AF109" s="24"/>
      <c r="AG109" s="19"/>
      <c r="AH109" s="13"/>
      <c r="AI109" s="24"/>
      <c r="AJ109" s="25"/>
      <c r="AK109" s="24"/>
      <c r="AL109" s="25"/>
    </row>
    <row r="110" ht="16.5" hidden="1" customHeight="1">
      <c r="A110" s="26" t="s">
        <v>210</v>
      </c>
      <c r="B110" s="27">
        <v>0.0</v>
      </c>
      <c r="C110" s="23">
        <f>IFERROR(B110/B148, "NA")</f>
        <v>0</v>
      </c>
      <c r="D110" s="27">
        <v>0.0</v>
      </c>
      <c r="E110" s="23">
        <f>IFERROR(D110/D148, "NA")</f>
        <v>0</v>
      </c>
      <c r="F110" s="27">
        <v>0.0</v>
      </c>
      <c r="G110" s="23">
        <f>IFERROR(F110/F148, "NA")</f>
        <v>0</v>
      </c>
      <c r="H110" s="27">
        <v>0.0</v>
      </c>
      <c r="I110" s="23">
        <f>IFERROR(H110/H148, "NA")</f>
        <v>0</v>
      </c>
      <c r="J110" s="27">
        <v>0.0</v>
      </c>
      <c r="K110" s="23">
        <f>IFERROR(J110/J148, "NA")</f>
        <v>0</v>
      </c>
      <c r="L110" s="27">
        <v>0.0</v>
      </c>
      <c r="M110" s="23">
        <f>IFERROR(L110/L148, "NA")</f>
        <v>0</v>
      </c>
      <c r="N110" s="27">
        <v>0.0</v>
      </c>
      <c r="O110" s="23">
        <f>IFERROR(N110/N148, "NA")</f>
        <v>0</v>
      </c>
      <c r="P110" s="27">
        <v>0.0</v>
      </c>
      <c r="Q110" s="23">
        <f>IFERROR(P110/P148, "NA")</f>
        <v>0</v>
      </c>
      <c r="R110" s="27">
        <v>0.0</v>
      </c>
      <c r="S110" s="23">
        <f>IFERROR(R110/R148, "NA")</f>
        <v>0</v>
      </c>
      <c r="T110" s="27">
        <v>0.0</v>
      </c>
      <c r="U110" s="23">
        <f>IFERROR(T110/T148, "NA")</f>
        <v>0</v>
      </c>
      <c r="V110" s="27">
        <v>0.0</v>
      </c>
      <c r="W110" s="23">
        <f>IFERROR(V110/V148, "NA")</f>
        <v>0</v>
      </c>
      <c r="X110" s="27">
        <v>0.0</v>
      </c>
      <c r="Y110" s="23">
        <f>IFERROR(X110/X148, "NA")</f>
        <v>0</v>
      </c>
      <c r="Z110" s="27">
        <v>0.0</v>
      </c>
      <c r="AA110" s="23">
        <f>IFERROR(Z110/Z148, "NA")</f>
        <v>0</v>
      </c>
      <c r="AB110" s="59">
        <f t="shared" ref="AB110:AB135" si="55">IFERROR((R110+T110+V110+X110)/4, "NA")</f>
        <v>0</v>
      </c>
      <c r="AC110" s="23">
        <f>IFERROR(AB110/AB148, "NA")</f>
        <v>0</v>
      </c>
      <c r="AD110" s="61">
        <f t="shared" ref="AD110:AD135" si="56">IFERROR(X110-AB110, "NA")</f>
        <v>0</v>
      </c>
      <c r="AE110" s="63">
        <f>IFERROR(AD110/AD148, "NA")</f>
        <v>0</v>
      </c>
      <c r="AF110" s="61" t="str">
        <f t="shared" ref="AF110:AF135" si="57">IFERROR((X110-AB110)/AB110, "NA")</f>
        <v>NA</v>
      </c>
      <c r="AG110" s="59">
        <f t="shared" ref="AG110:AG135" si="58">IFERROR((J110+L110+N110+P110+R110+T110+V110+X110)/8, "NA")</f>
        <v>0</v>
      </c>
      <c r="AH110" s="23">
        <f>IFERROR(AG110/AG148, "NA")</f>
        <v>0</v>
      </c>
      <c r="AI110" s="61">
        <f t="shared" ref="AI110:AI135" si="59">IFERROR(X110-AG110, "NA")</f>
        <v>0</v>
      </c>
      <c r="AJ110" s="63">
        <f>IFERROR(AI110/AI148, "NA")</f>
        <v>0</v>
      </c>
      <c r="AK110" s="61" t="str">
        <f t="shared" ref="AK110:AK135" si="60">IFERROR((X110-AG110)/AG110, "NA")</f>
        <v>NA</v>
      </c>
      <c r="AL110" s="63" t="str">
        <f>IFERROR(AK110/AK148, "NA")</f>
        <v>NA</v>
      </c>
    </row>
    <row r="111" ht="16.5" hidden="1" customHeight="1">
      <c r="A111" s="26" t="s">
        <v>211</v>
      </c>
      <c r="B111" s="27">
        <v>0.0</v>
      </c>
      <c r="C111" s="23">
        <f>IFERROR(B111/B148, "NA")</f>
        <v>0</v>
      </c>
      <c r="D111" s="27">
        <v>0.0</v>
      </c>
      <c r="E111" s="23">
        <f>IFERROR(D111/D148, "NA")</f>
        <v>0</v>
      </c>
      <c r="F111" s="27">
        <v>0.0</v>
      </c>
      <c r="G111" s="23">
        <f>IFERROR(F111/F148, "NA")</f>
        <v>0</v>
      </c>
      <c r="H111" s="27">
        <v>0.0</v>
      </c>
      <c r="I111" s="23">
        <f>IFERROR(H111/H148, "NA")</f>
        <v>0</v>
      </c>
      <c r="J111" s="27">
        <v>0.0</v>
      </c>
      <c r="K111" s="23">
        <f>IFERROR(J111/J148, "NA")</f>
        <v>0</v>
      </c>
      <c r="L111" s="27">
        <v>0.0</v>
      </c>
      <c r="M111" s="23">
        <f>IFERROR(L111/L148, "NA")</f>
        <v>0</v>
      </c>
      <c r="N111" s="27">
        <v>0.0</v>
      </c>
      <c r="O111" s="23">
        <f>IFERROR(N111/N148, "NA")</f>
        <v>0</v>
      </c>
      <c r="P111" s="27">
        <v>0.0</v>
      </c>
      <c r="Q111" s="23">
        <f>IFERROR(P111/P148, "NA")</f>
        <v>0</v>
      </c>
      <c r="R111" s="27">
        <v>0.0</v>
      </c>
      <c r="S111" s="23">
        <f>IFERROR(R111/R148, "NA")</f>
        <v>0</v>
      </c>
      <c r="T111" s="27">
        <v>0.0</v>
      </c>
      <c r="U111" s="23">
        <f>IFERROR(T111/T148, "NA")</f>
        <v>0</v>
      </c>
      <c r="V111" s="27">
        <v>0.0</v>
      </c>
      <c r="W111" s="23">
        <f>IFERROR(V111/V148, "NA")</f>
        <v>0</v>
      </c>
      <c r="X111" s="27">
        <v>0.0</v>
      </c>
      <c r="Y111" s="23">
        <f>IFERROR(X111/X148, "NA")</f>
        <v>0</v>
      </c>
      <c r="Z111" s="27">
        <v>0.0</v>
      </c>
      <c r="AA111" s="23">
        <f>IFERROR(Z111/Z148, "NA")</f>
        <v>0</v>
      </c>
      <c r="AB111" s="59">
        <f t="shared" si="55"/>
        <v>0</v>
      </c>
      <c r="AC111" s="23">
        <f>IFERROR(AB111/AB148, "NA")</f>
        <v>0</v>
      </c>
      <c r="AD111" s="61">
        <f t="shared" si="56"/>
        <v>0</v>
      </c>
      <c r="AE111" s="63">
        <f>IFERROR(AD111/AD148, "NA")</f>
        <v>0</v>
      </c>
      <c r="AF111" s="61" t="str">
        <f t="shared" si="57"/>
        <v>NA</v>
      </c>
      <c r="AG111" s="59">
        <f t="shared" si="58"/>
        <v>0</v>
      </c>
      <c r="AH111" s="23">
        <f>IFERROR(AG111/AG148, "NA")</f>
        <v>0</v>
      </c>
      <c r="AI111" s="61">
        <f t="shared" si="59"/>
        <v>0</v>
      </c>
      <c r="AJ111" s="63">
        <f>IFERROR(AI111/AI148, "NA")</f>
        <v>0</v>
      </c>
      <c r="AK111" s="61" t="str">
        <f t="shared" si="60"/>
        <v>NA</v>
      </c>
      <c r="AL111" s="63" t="str">
        <f>IFERROR(AK111/AK148, "NA")</f>
        <v>NA</v>
      </c>
    </row>
    <row r="112" ht="16.5" hidden="1" customHeight="1">
      <c r="A112" s="26" t="s">
        <v>212</v>
      </c>
      <c r="B112" s="27">
        <v>0.0</v>
      </c>
      <c r="C112" s="23">
        <f>IFERROR(B112/B148, "NA")</f>
        <v>0</v>
      </c>
      <c r="D112" s="27">
        <v>0.0</v>
      </c>
      <c r="E112" s="23">
        <f>IFERROR(D112/D148, "NA")</f>
        <v>0</v>
      </c>
      <c r="F112" s="27">
        <v>0.0</v>
      </c>
      <c r="G112" s="23">
        <f>IFERROR(F112/F148, "NA")</f>
        <v>0</v>
      </c>
      <c r="H112" s="27">
        <v>0.0</v>
      </c>
      <c r="I112" s="23">
        <f>IFERROR(H112/H148, "NA")</f>
        <v>0</v>
      </c>
      <c r="J112" s="27">
        <v>0.0</v>
      </c>
      <c r="K112" s="23">
        <f>IFERROR(J112/J148, "NA")</f>
        <v>0</v>
      </c>
      <c r="L112" s="27">
        <v>0.0</v>
      </c>
      <c r="M112" s="23">
        <f>IFERROR(L112/L148, "NA")</f>
        <v>0</v>
      </c>
      <c r="N112" s="27">
        <v>0.0</v>
      </c>
      <c r="O112" s="23">
        <f>IFERROR(N112/N148, "NA")</f>
        <v>0</v>
      </c>
      <c r="P112" s="27">
        <v>0.0</v>
      </c>
      <c r="Q112" s="23">
        <f>IFERROR(P112/P148, "NA")</f>
        <v>0</v>
      </c>
      <c r="R112" s="27">
        <v>0.0</v>
      </c>
      <c r="S112" s="23">
        <f>IFERROR(R112/R148, "NA")</f>
        <v>0</v>
      </c>
      <c r="T112" s="27">
        <v>0.0</v>
      </c>
      <c r="U112" s="23">
        <f>IFERROR(T112/T148, "NA")</f>
        <v>0</v>
      </c>
      <c r="V112" s="27">
        <v>0.0</v>
      </c>
      <c r="W112" s="23">
        <f>IFERROR(V112/V148, "NA")</f>
        <v>0</v>
      </c>
      <c r="X112" s="27">
        <v>0.0</v>
      </c>
      <c r="Y112" s="23">
        <f>IFERROR(X112/X148, "NA")</f>
        <v>0</v>
      </c>
      <c r="Z112" s="27">
        <v>0.0</v>
      </c>
      <c r="AA112" s="23">
        <f>IFERROR(Z112/Z148, "NA")</f>
        <v>0</v>
      </c>
      <c r="AB112" s="59">
        <f t="shared" si="55"/>
        <v>0</v>
      </c>
      <c r="AC112" s="23">
        <f>IFERROR(AB112/AB148, "NA")</f>
        <v>0</v>
      </c>
      <c r="AD112" s="61">
        <f t="shared" si="56"/>
        <v>0</v>
      </c>
      <c r="AE112" s="63">
        <f>IFERROR(AD112/AD148, "NA")</f>
        <v>0</v>
      </c>
      <c r="AF112" s="61" t="str">
        <f t="shared" si="57"/>
        <v>NA</v>
      </c>
      <c r="AG112" s="59">
        <f t="shared" si="58"/>
        <v>0</v>
      </c>
      <c r="AH112" s="23">
        <f>IFERROR(AG112/AG148, "NA")</f>
        <v>0</v>
      </c>
      <c r="AI112" s="61">
        <f t="shared" si="59"/>
        <v>0</v>
      </c>
      <c r="AJ112" s="63">
        <f>IFERROR(AI112/AI148, "NA")</f>
        <v>0</v>
      </c>
      <c r="AK112" s="61" t="str">
        <f t="shared" si="60"/>
        <v>NA</v>
      </c>
      <c r="AL112" s="63" t="str">
        <f>IFERROR(AK112/AK148, "NA")</f>
        <v>NA</v>
      </c>
    </row>
    <row r="113" ht="16.5" hidden="1" customHeight="1">
      <c r="A113" s="26" t="s">
        <v>213</v>
      </c>
      <c r="B113" s="27">
        <v>0.0</v>
      </c>
      <c r="C113" s="23">
        <f>IFERROR(B113/B148, "NA")</f>
        <v>0</v>
      </c>
      <c r="D113" s="27">
        <v>0.0</v>
      </c>
      <c r="E113" s="23">
        <f>IFERROR(D113/D148, "NA")</f>
        <v>0</v>
      </c>
      <c r="F113" s="27">
        <v>0.0</v>
      </c>
      <c r="G113" s="23">
        <f>IFERROR(F113/F148, "NA")</f>
        <v>0</v>
      </c>
      <c r="H113" s="27">
        <v>0.0</v>
      </c>
      <c r="I113" s="23">
        <f>IFERROR(H113/H148, "NA")</f>
        <v>0</v>
      </c>
      <c r="J113" s="27">
        <v>0.0</v>
      </c>
      <c r="K113" s="23">
        <f>IFERROR(J113/J148, "NA")</f>
        <v>0</v>
      </c>
      <c r="L113" s="27">
        <v>0.0</v>
      </c>
      <c r="M113" s="23">
        <f>IFERROR(L113/L148, "NA")</f>
        <v>0</v>
      </c>
      <c r="N113" s="27">
        <v>0.0</v>
      </c>
      <c r="O113" s="23">
        <f>IFERROR(N113/N148, "NA")</f>
        <v>0</v>
      </c>
      <c r="P113" s="27">
        <v>0.0</v>
      </c>
      <c r="Q113" s="23">
        <f>IFERROR(P113/P148, "NA")</f>
        <v>0</v>
      </c>
      <c r="R113" s="27">
        <v>0.0</v>
      </c>
      <c r="S113" s="23">
        <f>IFERROR(R113/R148, "NA")</f>
        <v>0</v>
      </c>
      <c r="T113" s="27">
        <v>0.0</v>
      </c>
      <c r="U113" s="23">
        <f>IFERROR(T113/T148, "NA")</f>
        <v>0</v>
      </c>
      <c r="V113" s="27">
        <v>0.0</v>
      </c>
      <c r="W113" s="23">
        <f>IFERROR(V113/V148, "NA")</f>
        <v>0</v>
      </c>
      <c r="X113" s="27">
        <v>0.0</v>
      </c>
      <c r="Y113" s="23">
        <f>IFERROR(X113/X148, "NA")</f>
        <v>0</v>
      </c>
      <c r="Z113" s="27">
        <v>0.0</v>
      </c>
      <c r="AA113" s="23">
        <f>IFERROR(Z113/Z148, "NA")</f>
        <v>0</v>
      </c>
      <c r="AB113" s="59">
        <f t="shared" si="55"/>
        <v>0</v>
      </c>
      <c r="AC113" s="23">
        <f>IFERROR(AB113/AB148, "NA")</f>
        <v>0</v>
      </c>
      <c r="AD113" s="61">
        <f t="shared" si="56"/>
        <v>0</v>
      </c>
      <c r="AE113" s="63">
        <f>IFERROR(AD113/AD148, "NA")</f>
        <v>0</v>
      </c>
      <c r="AF113" s="61" t="str">
        <f t="shared" si="57"/>
        <v>NA</v>
      </c>
      <c r="AG113" s="59">
        <f t="shared" si="58"/>
        <v>0</v>
      </c>
      <c r="AH113" s="23">
        <f>IFERROR(AG113/AG148, "NA")</f>
        <v>0</v>
      </c>
      <c r="AI113" s="61">
        <f t="shared" si="59"/>
        <v>0</v>
      </c>
      <c r="AJ113" s="63">
        <f>IFERROR(AI113/AI148, "NA")</f>
        <v>0</v>
      </c>
      <c r="AK113" s="61" t="str">
        <f t="shared" si="60"/>
        <v>NA</v>
      </c>
      <c r="AL113" s="63" t="str">
        <f>IFERROR(AK113/AK148, "NA")</f>
        <v>NA</v>
      </c>
    </row>
    <row r="114" ht="16.5" hidden="1" customHeight="1">
      <c r="A114" s="26" t="s">
        <v>214</v>
      </c>
      <c r="B114" s="27">
        <v>0.0</v>
      </c>
      <c r="C114" s="23">
        <f>IFERROR(B114/B148, "NA")</f>
        <v>0</v>
      </c>
      <c r="D114" s="27">
        <v>0.0</v>
      </c>
      <c r="E114" s="23">
        <f>IFERROR(D114/D148, "NA")</f>
        <v>0</v>
      </c>
      <c r="F114" s="27">
        <v>0.0</v>
      </c>
      <c r="G114" s="23">
        <f>IFERROR(F114/F148, "NA")</f>
        <v>0</v>
      </c>
      <c r="H114" s="27">
        <v>0.0</v>
      </c>
      <c r="I114" s="23">
        <f>IFERROR(H114/H148, "NA")</f>
        <v>0</v>
      </c>
      <c r="J114" s="27">
        <v>0.0</v>
      </c>
      <c r="K114" s="23">
        <f>IFERROR(J114/J148, "NA")</f>
        <v>0</v>
      </c>
      <c r="L114" s="27">
        <v>0.0</v>
      </c>
      <c r="M114" s="23">
        <f>IFERROR(L114/L148, "NA")</f>
        <v>0</v>
      </c>
      <c r="N114" s="27">
        <v>0.0</v>
      </c>
      <c r="O114" s="23">
        <f>IFERROR(N114/N148, "NA")</f>
        <v>0</v>
      </c>
      <c r="P114" s="27">
        <v>0.0</v>
      </c>
      <c r="Q114" s="23">
        <f>IFERROR(P114/P148, "NA")</f>
        <v>0</v>
      </c>
      <c r="R114" s="27">
        <v>0.0</v>
      </c>
      <c r="S114" s="23">
        <f>IFERROR(R114/R148, "NA")</f>
        <v>0</v>
      </c>
      <c r="T114" s="27">
        <v>0.0</v>
      </c>
      <c r="U114" s="23">
        <f>IFERROR(T114/T148, "NA")</f>
        <v>0</v>
      </c>
      <c r="V114" s="27">
        <v>0.0</v>
      </c>
      <c r="W114" s="23">
        <f>IFERROR(V114/V148, "NA")</f>
        <v>0</v>
      </c>
      <c r="X114" s="27">
        <v>0.0</v>
      </c>
      <c r="Y114" s="23">
        <f>IFERROR(X114/X148, "NA")</f>
        <v>0</v>
      </c>
      <c r="Z114" s="27">
        <v>0.0</v>
      </c>
      <c r="AA114" s="23">
        <f>IFERROR(Z114/Z148, "NA")</f>
        <v>0</v>
      </c>
      <c r="AB114" s="59">
        <f t="shared" si="55"/>
        <v>0</v>
      </c>
      <c r="AC114" s="23">
        <f>IFERROR(AB114/AB148, "NA")</f>
        <v>0</v>
      </c>
      <c r="AD114" s="61">
        <f t="shared" si="56"/>
        <v>0</v>
      </c>
      <c r="AE114" s="63">
        <f>IFERROR(AD114/AD148, "NA")</f>
        <v>0</v>
      </c>
      <c r="AF114" s="61" t="str">
        <f t="shared" si="57"/>
        <v>NA</v>
      </c>
      <c r="AG114" s="59">
        <f t="shared" si="58"/>
        <v>0</v>
      </c>
      <c r="AH114" s="23">
        <f>IFERROR(AG114/AG148, "NA")</f>
        <v>0</v>
      </c>
      <c r="AI114" s="61">
        <f t="shared" si="59"/>
        <v>0</v>
      </c>
      <c r="AJ114" s="63">
        <f>IFERROR(AI114/AI148, "NA")</f>
        <v>0</v>
      </c>
      <c r="AK114" s="61" t="str">
        <f t="shared" si="60"/>
        <v>NA</v>
      </c>
      <c r="AL114" s="63" t="str">
        <f>IFERROR(AK114/AK148, "NA")</f>
        <v>NA</v>
      </c>
    </row>
    <row r="115" ht="16.5" hidden="1" customHeight="1">
      <c r="A115" s="26" t="s">
        <v>215</v>
      </c>
      <c r="B115" s="27">
        <v>0.0</v>
      </c>
      <c r="C115" s="23">
        <f>IFERROR(B115/B148, "NA")</f>
        <v>0</v>
      </c>
      <c r="D115" s="27">
        <v>0.0</v>
      </c>
      <c r="E115" s="23">
        <f>IFERROR(D115/D148, "NA")</f>
        <v>0</v>
      </c>
      <c r="F115" s="27">
        <v>0.0</v>
      </c>
      <c r="G115" s="23">
        <f>IFERROR(F115/F148, "NA")</f>
        <v>0</v>
      </c>
      <c r="H115" s="27">
        <v>0.0</v>
      </c>
      <c r="I115" s="23">
        <f>IFERROR(H115/H148, "NA")</f>
        <v>0</v>
      </c>
      <c r="J115" s="27">
        <v>0.0</v>
      </c>
      <c r="K115" s="23">
        <f>IFERROR(J115/J148, "NA")</f>
        <v>0</v>
      </c>
      <c r="L115" s="27">
        <v>0.0</v>
      </c>
      <c r="M115" s="23">
        <f>IFERROR(L115/L148, "NA")</f>
        <v>0</v>
      </c>
      <c r="N115" s="27">
        <v>0.0</v>
      </c>
      <c r="O115" s="23">
        <f>IFERROR(N115/N148, "NA")</f>
        <v>0</v>
      </c>
      <c r="P115" s="27">
        <v>0.0</v>
      </c>
      <c r="Q115" s="23">
        <f>IFERROR(P115/P148, "NA")</f>
        <v>0</v>
      </c>
      <c r="R115" s="27">
        <v>0.0</v>
      </c>
      <c r="S115" s="23">
        <f>IFERROR(R115/R148, "NA")</f>
        <v>0</v>
      </c>
      <c r="T115" s="27">
        <v>0.0</v>
      </c>
      <c r="U115" s="23">
        <f>IFERROR(T115/T148, "NA")</f>
        <v>0</v>
      </c>
      <c r="V115" s="27">
        <v>0.0</v>
      </c>
      <c r="W115" s="23">
        <f>IFERROR(V115/V148, "NA")</f>
        <v>0</v>
      </c>
      <c r="X115" s="27">
        <v>0.0</v>
      </c>
      <c r="Y115" s="23">
        <f>IFERROR(X115/X148, "NA")</f>
        <v>0</v>
      </c>
      <c r="Z115" s="27">
        <v>0.0</v>
      </c>
      <c r="AA115" s="23">
        <f>IFERROR(Z115/Z148, "NA")</f>
        <v>0</v>
      </c>
      <c r="AB115" s="59">
        <f t="shared" si="55"/>
        <v>0</v>
      </c>
      <c r="AC115" s="23">
        <f>IFERROR(AB115/AB148, "NA")</f>
        <v>0</v>
      </c>
      <c r="AD115" s="61">
        <f t="shared" si="56"/>
        <v>0</v>
      </c>
      <c r="AE115" s="63">
        <f>IFERROR(AD115/AD148, "NA")</f>
        <v>0</v>
      </c>
      <c r="AF115" s="61" t="str">
        <f t="shared" si="57"/>
        <v>NA</v>
      </c>
      <c r="AG115" s="59">
        <f t="shared" si="58"/>
        <v>0</v>
      </c>
      <c r="AH115" s="23">
        <f>IFERROR(AG115/AG148, "NA")</f>
        <v>0</v>
      </c>
      <c r="AI115" s="61">
        <f t="shared" si="59"/>
        <v>0</v>
      </c>
      <c r="AJ115" s="63">
        <f>IFERROR(AI115/AI148, "NA")</f>
        <v>0</v>
      </c>
      <c r="AK115" s="61" t="str">
        <f t="shared" si="60"/>
        <v>NA</v>
      </c>
      <c r="AL115" s="63" t="str">
        <f>IFERROR(AK115/AK148, "NA")</f>
        <v>NA</v>
      </c>
    </row>
    <row r="116" ht="16.5" hidden="1" customHeight="1">
      <c r="A116" s="26" t="s">
        <v>216</v>
      </c>
      <c r="B116" s="27">
        <v>0.0</v>
      </c>
      <c r="C116" s="23">
        <f>IFERROR(B116/B148, "NA")</f>
        <v>0</v>
      </c>
      <c r="D116" s="27">
        <v>0.0</v>
      </c>
      <c r="E116" s="23">
        <f>IFERROR(D116/D148, "NA")</f>
        <v>0</v>
      </c>
      <c r="F116" s="27">
        <v>0.0</v>
      </c>
      <c r="G116" s="23">
        <f>IFERROR(F116/F148, "NA")</f>
        <v>0</v>
      </c>
      <c r="H116" s="27">
        <v>0.0</v>
      </c>
      <c r="I116" s="23">
        <f>IFERROR(H116/H148, "NA")</f>
        <v>0</v>
      </c>
      <c r="J116" s="27">
        <v>0.0</v>
      </c>
      <c r="K116" s="23">
        <f>IFERROR(J116/J148, "NA")</f>
        <v>0</v>
      </c>
      <c r="L116" s="27">
        <v>0.0</v>
      </c>
      <c r="M116" s="23">
        <f>IFERROR(L116/L148, "NA")</f>
        <v>0</v>
      </c>
      <c r="N116" s="27">
        <v>0.0</v>
      </c>
      <c r="O116" s="23">
        <f>IFERROR(N116/N148, "NA")</f>
        <v>0</v>
      </c>
      <c r="P116" s="27">
        <v>0.0</v>
      </c>
      <c r="Q116" s="23">
        <f>IFERROR(P116/P148, "NA")</f>
        <v>0</v>
      </c>
      <c r="R116" s="27">
        <v>0.0</v>
      </c>
      <c r="S116" s="23">
        <f>IFERROR(R116/R148, "NA")</f>
        <v>0</v>
      </c>
      <c r="T116" s="27">
        <v>0.0</v>
      </c>
      <c r="U116" s="23">
        <f>IFERROR(T116/T148, "NA")</f>
        <v>0</v>
      </c>
      <c r="V116" s="27">
        <v>0.0</v>
      </c>
      <c r="W116" s="23">
        <f>IFERROR(V116/V148, "NA")</f>
        <v>0</v>
      </c>
      <c r="X116" s="27">
        <v>0.0</v>
      </c>
      <c r="Y116" s="23">
        <f>IFERROR(X116/X148, "NA")</f>
        <v>0</v>
      </c>
      <c r="Z116" s="27">
        <v>0.0</v>
      </c>
      <c r="AA116" s="23">
        <f>IFERROR(Z116/Z148, "NA")</f>
        <v>0</v>
      </c>
      <c r="AB116" s="59">
        <f t="shared" si="55"/>
        <v>0</v>
      </c>
      <c r="AC116" s="23">
        <f>IFERROR(AB116/AB148, "NA")</f>
        <v>0</v>
      </c>
      <c r="AD116" s="61">
        <f t="shared" si="56"/>
        <v>0</v>
      </c>
      <c r="AE116" s="63">
        <f>IFERROR(AD116/AD148, "NA")</f>
        <v>0</v>
      </c>
      <c r="AF116" s="61" t="str">
        <f t="shared" si="57"/>
        <v>NA</v>
      </c>
      <c r="AG116" s="59">
        <f t="shared" si="58"/>
        <v>0</v>
      </c>
      <c r="AH116" s="23">
        <f>IFERROR(AG116/AG148, "NA")</f>
        <v>0</v>
      </c>
      <c r="AI116" s="61">
        <f t="shared" si="59"/>
        <v>0</v>
      </c>
      <c r="AJ116" s="63">
        <f>IFERROR(AI116/AI148, "NA")</f>
        <v>0</v>
      </c>
      <c r="AK116" s="61" t="str">
        <f t="shared" si="60"/>
        <v>NA</v>
      </c>
      <c r="AL116" s="63" t="str">
        <f>IFERROR(AK116/AK148, "NA")</f>
        <v>NA</v>
      </c>
    </row>
    <row r="117" ht="16.5" hidden="1" customHeight="1">
      <c r="A117" s="26" t="s">
        <v>217</v>
      </c>
      <c r="B117" s="27">
        <v>0.0</v>
      </c>
      <c r="C117" s="23">
        <f>IFERROR(B117/B148, "NA")</f>
        <v>0</v>
      </c>
      <c r="D117" s="27">
        <v>0.0</v>
      </c>
      <c r="E117" s="23">
        <f>IFERROR(D117/D148, "NA")</f>
        <v>0</v>
      </c>
      <c r="F117" s="27">
        <v>0.0</v>
      </c>
      <c r="G117" s="23">
        <f>IFERROR(F117/F148, "NA")</f>
        <v>0</v>
      </c>
      <c r="H117" s="27">
        <v>0.0</v>
      </c>
      <c r="I117" s="23">
        <f>IFERROR(H117/H148, "NA")</f>
        <v>0</v>
      </c>
      <c r="J117" s="27">
        <v>0.0</v>
      </c>
      <c r="K117" s="23">
        <f>IFERROR(J117/J148, "NA")</f>
        <v>0</v>
      </c>
      <c r="L117" s="27">
        <v>0.0</v>
      </c>
      <c r="M117" s="23">
        <f>IFERROR(L117/L148, "NA")</f>
        <v>0</v>
      </c>
      <c r="N117" s="27">
        <v>0.0</v>
      </c>
      <c r="O117" s="23">
        <f>IFERROR(N117/N148, "NA")</f>
        <v>0</v>
      </c>
      <c r="P117" s="27">
        <v>0.0</v>
      </c>
      <c r="Q117" s="23">
        <f>IFERROR(P117/P148, "NA")</f>
        <v>0</v>
      </c>
      <c r="R117" s="27">
        <v>0.0</v>
      </c>
      <c r="S117" s="23">
        <f>IFERROR(R117/R148, "NA")</f>
        <v>0</v>
      </c>
      <c r="T117" s="27">
        <v>0.0</v>
      </c>
      <c r="U117" s="23">
        <f>IFERROR(T117/T148, "NA")</f>
        <v>0</v>
      </c>
      <c r="V117" s="27">
        <v>0.0</v>
      </c>
      <c r="W117" s="23">
        <f>IFERROR(V117/V148, "NA")</f>
        <v>0</v>
      </c>
      <c r="X117" s="27">
        <v>0.0</v>
      </c>
      <c r="Y117" s="23">
        <f>IFERROR(X117/X148, "NA")</f>
        <v>0</v>
      </c>
      <c r="Z117" s="27">
        <v>0.0</v>
      </c>
      <c r="AA117" s="23">
        <f>IFERROR(Z117/Z148, "NA")</f>
        <v>0</v>
      </c>
      <c r="AB117" s="59">
        <f t="shared" si="55"/>
        <v>0</v>
      </c>
      <c r="AC117" s="23">
        <f>IFERROR(AB117/AB148, "NA")</f>
        <v>0</v>
      </c>
      <c r="AD117" s="61">
        <f t="shared" si="56"/>
        <v>0</v>
      </c>
      <c r="AE117" s="63">
        <f>IFERROR(AD117/AD148, "NA")</f>
        <v>0</v>
      </c>
      <c r="AF117" s="61" t="str">
        <f t="shared" si="57"/>
        <v>NA</v>
      </c>
      <c r="AG117" s="59">
        <f t="shared" si="58"/>
        <v>0</v>
      </c>
      <c r="AH117" s="23">
        <f>IFERROR(AG117/AG148, "NA")</f>
        <v>0</v>
      </c>
      <c r="AI117" s="61">
        <f t="shared" si="59"/>
        <v>0</v>
      </c>
      <c r="AJ117" s="63">
        <f>IFERROR(AI117/AI148, "NA")</f>
        <v>0</v>
      </c>
      <c r="AK117" s="61" t="str">
        <f t="shared" si="60"/>
        <v>NA</v>
      </c>
      <c r="AL117" s="63" t="str">
        <f>IFERROR(AK117/AK148, "NA")</f>
        <v>NA</v>
      </c>
    </row>
    <row r="118" ht="16.5" hidden="1" customHeight="1">
      <c r="A118" s="26" t="s">
        <v>218</v>
      </c>
      <c r="B118" s="27">
        <v>0.0</v>
      </c>
      <c r="C118" s="23">
        <f>IFERROR(B118/B148, "NA")</f>
        <v>0</v>
      </c>
      <c r="D118" s="27">
        <v>0.0</v>
      </c>
      <c r="E118" s="23">
        <f>IFERROR(D118/D148, "NA")</f>
        <v>0</v>
      </c>
      <c r="F118" s="27">
        <v>0.0</v>
      </c>
      <c r="G118" s="23">
        <f>IFERROR(F118/F148, "NA")</f>
        <v>0</v>
      </c>
      <c r="H118" s="27">
        <v>0.0</v>
      </c>
      <c r="I118" s="23">
        <f>IFERROR(H118/H148, "NA")</f>
        <v>0</v>
      </c>
      <c r="J118" s="27">
        <v>0.0</v>
      </c>
      <c r="K118" s="23">
        <f>IFERROR(J118/J148, "NA")</f>
        <v>0</v>
      </c>
      <c r="L118" s="27">
        <v>0.0</v>
      </c>
      <c r="M118" s="23">
        <f>IFERROR(L118/L148, "NA")</f>
        <v>0</v>
      </c>
      <c r="N118" s="27">
        <v>0.0</v>
      </c>
      <c r="O118" s="23">
        <f>IFERROR(N118/N148, "NA")</f>
        <v>0</v>
      </c>
      <c r="P118" s="27">
        <v>0.0</v>
      </c>
      <c r="Q118" s="23">
        <f>IFERROR(P118/P148, "NA")</f>
        <v>0</v>
      </c>
      <c r="R118" s="27">
        <v>0.0</v>
      </c>
      <c r="S118" s="23">
        <f>IFERROR(R118/R148, "NA")</f>
        <v>0</v>
      </c>
      <c r="T118" s="27">
        <v>0.0</v>
      </c>
      <c r="U118" s="23">
        <f>IFERROR(T118/T148, "NA")</f>
        <v>0</v>
      </c>
      <c r="V118" s="27">
        <v>0.0</v>
      </c>
      <c r="W118" s="23">
        <f>IFERROR(V118/V148, "NA")</f>
        <v>0</v>
      </c>
      <c r="X118" s="27">
        <v>0.0</v>
      </c>
      <c r="Y118" s="23">
        <f>IFERROR(X118/X148, "NA")</f>
        <v>0</v>
      </c>
      <c r="Z118" s="27">
        <v>0.0</v>
      </c>
      <c r="AA118" s="23">
        <f>IFERROR(Z118/Z148, "NA")</f>
        <v>0</v>
      </c>
      <c r="AB118" s="59">
        <f t="shared" si="55"/>
        <v>0</v>
      </c>
      <c r="AC118" s="23">
        <f>IFERROR(AB118/AB148, "NA")</f>
        <v>0</v>
      </c>
      <c r="AD118" s="61">
        <f t="shared" si="56"/>
        <v>0</v>
      </c>
      <c r="AE118" s="63">
        <f>IFERROR(AD118/AD148, "NA")</f>
        <v>0</v>
      </c>
      <c r="AF118" s="61" t="str">
        <f t="shared" si="57"/>
        <v>NA</v>
      </c>
      <c r="AG118" s="59">
        <f t="shared" si="58"/>
        <v>0</v>
      </c>
      <c r="AH118" s="23">
        <f>IFERROR(AG118/AG148, "NA")</f>
        <v>0</v>
      </c>
      <c r="AI118" s="61">
        <f t="shared" si="59"/>
        <v>0</v>
      </c>
      <c r="AJ118" s="63">
        <f>IFERROR(AI118/AI148, "NA")</f>
        <v>0</v>
      </c>
      <c r="AK118" s="61" t="str">
        <f t="shared" si="60"/>
        <v>NA</v>
      </c>
      <c r="AL118" s="63" t="str">
        <f>IFERROR(AK118/AK148, "NA")</f>
        <v>NA</v>
      </c>
    </row>
    <row r="119" ht="16.5" hidden="1" customHeight="1">
      <c r="A119" s="26" t="s">
        <v>219</v>
      </c>
      <c r="B119" s="27">
        <v>0.0</v>
      </c>
      <c r="C119" s="23">
        <f>IFERROR(B119/B148, "NA")</f>
        <v>0</v>
      </c>
      <c r="D119" s="27">
        <v>0.0</v>
      </c>
      <c r="E119" s="23">
        <f>IFERROR(D119/D148, "NA")</f>
        <v>0</v>
      </c>
      <c r="F119" s="27">
        <v>0.0</v>
      </c>
      <c r="G119" s="23">
        <f>IFERROR(F119/F148, "NA")</f>
        <v>0</v>
      </c>
      <c r="H119" s="27">
        <v>0.0</v>
      </c>
      <c r="I119" s="23">
        <f>IFERROR(H119/H148, "NA")</f>
        <v>0</v>
      </c>
      <c r="J119" s="27">
        <v>0.0</v>
      </c>
      <c r="K119" s="23">
        <f>IFERROR(J119/J148, "NA")</f>
        <v>0</v>
      </c>
      <c r="L119" s="27">
        <v>0.0</v>
      </c>
      <c r="M119" s="23">
        <f>IFERROR(L119/L148, "NA")</f>
        <v>0</v>
      </c>
      <c r="N119" s="27">
        <v>0.0</v>
      </c>
      <c r="O119" s="23">
        <f>IFERROR(N119/N148, "NA")</f>
        <v>0</v>
      </c>
      <c r="P119" s="27">
        <v>0.0</v>
      </c>
      <c r="Q119" s="23">
        <f>IFERROR(P119/P148, "NA")</f>
        <v>0</v>
      </c>
      <c r="R119" s="27">
        <v>0.0</v>
      </c>
      <c r="S119" s="23">
        <f>IFERROR(R119/R148, "NA")</f>
        <v>0</v>
      </c>
      <c r="T119" s="27">
        <v>0.0</v>
      </c>
      <c r="U119" s="23">
        <f>IFERROR(T119/T148, "NA")</f>
        <v>0</v>
      </c>
      <c r="V119" s="27">
        <v>0.0</v>
      </c>
      <c r="W119" s="23">
        <f>IFERROR(V119/V148, "NA")</f>
        <v>0</v>
      </c>
      <c r="X119" s="27">
        <v>0.0</v>
      </c>
      <c r="Y119" s="23">
        <f>IFERROR(X119/X148, "NA")</f>
        <v>0</v>
      </c>
      <c r="Z119" s="27">
        <v>0.0</v>
      </c>
      <c r="AA119" s="23">
        <f>IFERROR(Z119/Z148, "NA")</f>
        <v>0</v>
      </c>
      <c r="AB119" s="59">
        <f t="shared" si="55"/>
        <v>0</v>
      </c>
      <c r="AC119" s="23">
        <f>IFERROR(AB119/AB148, "NA")</f>
        <v>0</v>
      </c>
      <c r="AD119" s="61">
        <f t="shared" si="56"/>
        <v>0</v>
      </c>
      <c r="AE119" s="63">
        <f>IFERROR(AD119/AD148, "NA")</f>
        <v>0</v>
      </c>
      <c r="AF119" s="61" t="str">
        <f t="shared" si="57"/>
        <v>NA</v>
      </c>
      <c r="AG119" s="59">
        <f t="shared" si="58"/>
        <v>0</v>
      </c>
      <c r="AH119" s="23">
        <f>IFERROR(AG119/AG148, "NA")</f>
        <v>0</v>
      </c>
      <c r="AI119" s="61">
        <f t="shared" si="59"/>
        <v>0</v>
      </c>
      <c r="AJ119" s="63">
        <f>IFERROR(AI119/AI148, "NA")</f>
        <v>0</v>
      </c>
      <c r="AK119" s="61" t="str">
        <f t="shared" si="60"/>
        <v>NA</v>
      </c>
      <c r="AL119" s="63" t="str">
        <f>IFERROR(AK119/AK148, "NA")</f>
        <v>NA</v>
      </c>
    </row>
    <row r="120" ht="16.5" hidden="1" customHeight="1">
      <c r="A120" s="26" t="s">
        <v>220</v>
      </c>
      <c r="B120" s="27">
        <v>0.0</v>
      </c>
      <c r="C120" s="23">
        <f>IFERROR(B120/B148, "NA")</f>
        <v>0</v>
      </c>
      <c r="D120" s="27">
        <v>0.0</v>
      </c>
      <c r="E120" s="23">
        <f>IFERROR(D120/D148, "NA")</f>
        <v>0</v>
      </c>
      <c r="F120" s="27">
        <v>0.0</v>
      </c>
      <c r="G120" s="23">
        <f>IFERROR(F120/F148, "NA")</f>
        <v>0</v>
      </c>
      <c r="H120" s="27">
        <v>0.0</v>
      </c>
      <c r="I120" s="23">
        <f>IFERROR(H120/H148, "NA")</f>
        <v>0</v>
      </c>
      <c r="J120" s="27">
        <v>0.0</v>
      </c>
      <c r="K120" s="23">
        <f>IFERROR(J120/J148, "NA")</f>
        <v>0</v>
      </c>
      <c r="L120" s="27">
        <v>0.0</v>
      </c>
      <c r="M120" s="23">
        <f>IFERROR(L120/L148, "NA")</f>
        <v>0</v>
      </c>
      <c r="N120" s="27">
        <v>0.0</v>
      </c>
      <c r="O120" s="23">
        <f>IFERROR(N120/N148, "NA")</f>
        <v>0</v>
      </c>
      <c r="P120" s="27">
        <v>0.0</v>
      </c>
      <c r="Q120" s="23">
        <f>IFERROR(P120/P148, "NA")</f>
        <v>0</v>
      </c>
      <c r="R120" s="27">
        <v>0.0</v>
      </c>
      <c r="S120" s="23">
        <f>IFERROR(R120/R148, "NA")</f>
        <v>0</v>
      </c>
      <c r="T120" s="27">
        <v>0.0</v>
      </c>
      <c r="U120" s="23">
        <f>IFERROR(T120/T148, "NA")</f>
        <v>0</v>
      </c>
      <c r="V120" s="27">
        <v>0.0</v>
      </c>
      <c r="W120" s="23">
        <f>IFERROR(V120/V148, "NA")</f>
        <v>0</v>
      </c>
      <c r="X120" s="27">
        <v>0.0</v>
      </c>
      <c r="Y120" s="23">
        <f>IFERROR(X120/X148, "NA")</f>
        <v>0</v>
      </c>
      <c r="Z120" s="27">
        <v>0.0</v>
      </c>
      <c r="AA120" s="23">
        <f>IFERROR(Z120/Z148, "NA")</f>
        <v>0</v>
      </c>
      <c r="AB120" s="59">
        <f t="shared" si="55"/>
        <v>0</v>
      </c>
      <c r="AC120" s="23">
        <f>IFERROR(AB120/AB148, "NA")</f>
        <v>0</v>
      </c>
      <c r="AD120" s="61">
        <f t="shared" si="56"/>
        <v>0</v>
      </c>
      <c r="AE120" s="63">
        <f>IFERROR(AD120/AD148, "NA")</f>
        <v>0</v>
      </c>
      <c r="AF120" s="61" t="str">
        <f t="shared" si="57"/>
        <v>NA</v>
      </c>
      <c r="AG120" s="59">
        <f t="shared" si="58"/>
        <v>0</v>
      </c>
      <c r="AH120" s="23">
        <f>IFERROR(AG120/AG148, "NA")</f>
        <v>0</v>
      </c>
      <c r="AI120" s="61">
        <f t="shared" si="59"/>
        <v>0</v>
      </c>
      <c r="AJ120" s="63">
        <f>IFERROR(AI120/AI148, "NA")</f>
        <v>0</v>
      </c>
      <c r="AK120" s="61" t="str">
        <f t="shared" si="60"/>
        <v>NA</v>
      </c>
      <c r="AL120" s="63" t="str">
        <f>IFERROR(AK120/AK148, "NA")</f>
        <v>NA</v>
      </c>
    </row>
    <row r="121" ht="16.5" hidden="1" customHeight="1">
      <c r="A121" s="26" t="s">
        <v>221</v>
      </c>
      <c r="B121" s="27">
        <v>0.0</v>
      </c>
      <c r="C121" s="23">
        <f>IFERROR(B121/B148, "NA")</f>
        <v>0</v>
      </c>
      <c r="D121" s="27">
        <v>0.0</v>
      </c>
      <c r="E121" s="23">
        <f>IFERROR(D121/D148, "NA")</f>
        <v>0</v>
      </c>
      <c r="F121" s="27">
        <v>0.0</v>
      </c>
      <c r="G121" s="23">
        <f>IFERROR(F121/F148, "NA")</f>
        <v>0</v>
      </c>
      <c r="H121" s="27">
        <v>0.0</v>
      </c>
      <c r="I121" s="23">
        <f>IFERROR(H121/H148, "NA")</f>
        <v>0</v>
      </c>
      <c r="J121" s="27">
        <v>0.0</v>
      </c>
      <c r="K121" s="23">
        <f>IFERROR(J121/J148, "NA")</f>
        <v>0</v>
      </c>
      <c r="L121" s="27">
        <v>0.0</v>
      </c>
      <c r="M121" s="23">
        <f>IFERROR(L121/L148, "NA")</f>
        <v>0</v>
      </c>
      <c r="N121" s="27">
        <v>0.0</v>
      </c>
      <c r="O121" s="23">
        <f>IFERROR(N121/N148, "NA")</f>
        <v>0</v>
      </c>
      <c r="P121" s="27">
        <v>0.0</v>
      </c>
      <c r="Q121" s="23">
        <f>IFERROR(P121/P148, "NA")</f>
        <v>0</v>
      </c>
      <c r="R121" s="27">
        <v>0.0</v>
      </c>
      <c r="S121" s="23">
        <f>IFERROR(R121/R148, "NA")</f>
        <v>0</v>
      </c>
      <c r="T121" s="27">
        <v>0.0</v>
      </c>
      <c r="U121" s="23">
        <f>IFERROR(T121/T148, "NA")</f>
        <v>0</v>
      </c>
      <c r="V121" s="27">
        <v>0.0</v>
      </c>
      <c r="W121" s="23">
        <f>IFERROR(V121/V148, "NA")</f>
        <v>0</v>
      </c>
      <c r="X121" s="27">
        <v>0.0</v>
      </c>
      <c r="Y121" s="23">
        <f>IFERROR(X121/X148, "NA")</f>
        <v>0</v>
      </c>
      <c r="Z121" s="27">
        <v>0.0</v>
      </c>
      <c r="AA121" s="23">
        <f>IFERROR(Z121/Z148, "NA")</f>
        <v>0</v>
      </c>
      <c r="AB121" s="59">
        <f t="shared" si="55"/>
        <v>0</v>
      </c>
      <c r="AC121" s="23">
        <f>IFERROR(AB121/AB148, "NA")</f>
        <v>0</v>
      </c>
      <c r="AD121" s="61">
        <f t="shared" si="56"/>
        <v>0</v>
      </c>
      <c r="AE121" s="63">
        <f>IFERROR(AD121/AD148, "NA")</f>
        <v>0</v>
      </c>
      <c r="AF121" s="61" t="str">
        <f t="shared" si="57"/>
        <v>NA</v>
      </c>
      <c r="AG121" s="59">
        <f t="shared" si="58"/>
        <v>0</v>
      </c>
      <c r="AH121" s="23">
        <f>IFERROR(AG121/AG148, "NA")</f>
        <v>0</v>
      </c>
      <c r="AI121" s="61">
        <f t="shared" si="59"/>
        <v>0</v>
      </c>
      <c r="AJ121" s="63">
        <f>IFERROR(AI121/AI148, "NA")</f>
        <v>0</v>
      </c>
      <c r="AK121" s="61" t="str">
        <f t="shared" si="60"/>
        <v>NA</v>
      </c>
      <c r="AL121" s="63" t="str">
        <f>IFERROR(AK121/AK148, "NA")</f>
        <v>NA</v>
      </c>
    </row>
    <row r="122" ht="16.5" hidden="1" customHeight="1">
      <c r="A122" s="26" t="s">
        <v>222</v>
      </c>
      <c r="B122" s="27">
        <v>0.0</v>
      </c>
      <c r="C122" s="23">
        <f>IFERROR(B122/B148, "NA")</f>
        <v>0</v>
      </c>
      <c r="D122" s="27">
        <v>0.0</v>
      </c>
      <c r="E122" s="23">
        <f>IFERROR(D122/D148, "NA")</f>
        <v>0</v>
      </c>
      <c r="F122" s="27">
        <v>0.0</v>
      </c>
      <c r="G122" s="23">
        <f>IFERROR(F122/F148, "NA")</f>
        <v>0</v>
      </c>
      <c r="H122" s="27">
        <v>0.0</v>
      </c>
      <c r="I122" s="23">
        <f>IFERROR(H122/H148, "NA")</f>
        <v>0</v>
      </c>
      <c r="J122" s="27">
        <v>0.0</v>
      </c>
      <c r="K122" s="23">
        <f>IFERROR(J122/J148, "NA")</f>
        <v>0</v>
      </c>
      <c r="L122" s="27">
        <v>0.0</v>
      </c>
      <c r="M122" s="23">
        <f>IFERROR(L122/L148, "NA")</f>
        <v>0</v>
      </c>
      <c r="N122" s="27">
        <v>0.0</v>
      </c>
      <c r="O122" s="23">
        <f>IFERROR(N122/N148, "NA")</f>
        <v>0</v>
      </c>
      <c r="P122" s="27">
        <v>0.0</v>
      </c>
      <c r="Q122" s="23">
        <f>IFERROR(P122/P148, "NA")</f>
        <v>0</v>
      </c>
      <c r="R122" s="27">
        <v>0.0</v>
      </c>
      <c r="S122" s="23">
        <f>IFERROR(R122/R148, "NA")</f>
        <v>0</v>
      </c>
      <c r="T122" s="27">
        <v>0.0</v>
      </c>
      <c r="U122" s="23">
        <f>IFERROR(T122/T148, "NA")</f>
        <v>0</v>
      </c>
      <c r="V122" s="27">
        <v>0.0</v>
      </c>
      <c r="W122" s="23">
        <f>IFERROR(V122/V148, "NA")</f>
        <v>0</v>
      </c>
      <c r="X122" s="27">
        <v>0.0</v>
      </c>
      <c r="Y122" s="23">
        <f>IFERROR(X122/X148, "NA")</f>
        <v>0</v>
      </c>
      <c r="Z122" s="27">
        <v>0.0</v>
      </c>
      <c r="AA122" s="23">
        <f>IFERROR(Z122/Z148, "NA")</f>
        <v>0</v>
      </c>
      <c r="AB122" s="59">
        <f t="shared" si="55"/>
        <v>0</v>
      </c>
      <c r="AC122" s="23">
        <f>IFERROR(AB122/AB148, "NA")</f>
        <v>0</v>
      </c>
      <c r="AD122" s="61">
        <f t="shared" si="56"/>
        <v>0</v>
      </c>
      <c r="AE122" s="63">
        <f>IFERROR(AD122/AD148, "NA")</f>
        <v>0</v>
      </c>
      <c r="AF122" s="61" t="str">
        <f t="shared" si="57"/>
        <v>NA</v>
      </c>
      <c r="AG122" s="59">
        <f t="shared" si="58"/>
        <v>0</v>
      </c>
      <c r="AH122" s="23">
        <f>IFERROR(AG122/AG148, "NA")</f>
        <v>0</v>
      </c>
      <c r="AI122" s="61">
        <f t="shared" si="59"/>
        <v>0</v>
      </c>
      <c r="AJ122" s="63">
        <f>IFERROR(AI122/AI148, "NA")</f>
        <v>0</v>
      </c>
      <c r="AK122" s="61" t="str">
        <f t="shared" si="60"/>
        <v>NA</v>
      </c>
      <c r="AL122" s="63" t="str">
        <f>IFERROR(AK122/AK148, "NA")</f>
        <v>NA</v>
      </c>
    </row>
    <row r="123" ht="16.5" hidden="1" customHeight="1">
      <c r="A123" s="26" t="s">
        <v>223</v>
      </c>
      <c r="B123" s="27">
        <v>0.0</v>
      </c>
      <c r="C123" s="23">
        <f>IFERROR(B123/B148, "NA")</f>
        <v>0</v>
      </c>
      <c r="D123" s="27">
        <v>0.0</v>
      </c>
      <c r="E123" s="23">
        <f>IFERROR(D123/D148, "NA")</f>
        <v>0</v>
      </c>
      <c r="F123" s="27">
        <v>0.0</v>
      </c>
      <c r="G123" s="23">
        <f>IFERROR(F123/F148, "NA")</f>
        <v>0</v>
      </c>
      <c r="H123" s="27">
        <v>0.0</v>
      </c>
      <c r="I123" s="23">
        <f>IFERROR(H123/H148, "NA")</f>
        <v>0</v>
      </c>
      <c r="J123" s="27">
        <v>0.0</v>
      </c>
      <c r="K123" s="23">
        <f>IFERROR(J123/J148, "NA")</f>
        <v>0</v>
      </c>
      <c r="L123" s="27">
        <v>0.0</v>
      </c>
      <c r="M123" s="23">
        <f>IFERROR(L123/L148, "NA")</f>
        <v>0</v>
      </c>
      <c r="N123" s="27">
        <v>0.0</v>
      </c>
      <c r="O123" s="23">
        <f>IFERROR(N123/N148, "NA")</f>
        <v>0</v>
      </c>
      <c r="P123" s="27">
        <v>0.0</v>
      </c>
      <c r="Q123" s="23">
        <f>IFERROR(P123/P148, "NA")</f>
        <v>0</v>
      </c>
      <c r="R123" s="27">
        <v>0.0</v>
      </c>
      <c r="S123" s="23">
        <f>IFERROR(R123/R148, "NA")</f>
        <v>0</v>
      </c>
      <c r="T123" s="27">
        <v>0.0</v>
      </c>
      <c r="U123" s="23">
        <f>IFERROR(T123/T148, "NA")</f>
        <v>0</v>
      </c>
      <c r="V123" s="27">
        <v>0.0</v>
      </c>
      <c r="W123" s="23">
        <f>IFERROR(V123/V148, "NA")</f>
        <v>0</v>
      </c>
      <c r="X123" s="27">
        <v>0.0</v>
      </c>
      <c r="Y123" s="23">
        <f>IFERROR(X123/X148, "NA")</f>
        <v>0</v>
      </c>
      <c r="Z123" s="27">
        <v>0.0</v>
      </c>
      <c r="AA123" s="23">
        <f>IFERROR(Z123/Z148, "NA")</f>
        <v>0</v>
      </c>
      <c r="AB123" s="59">
        <f t="shared" si="55"/>
        <v>0</v>
      </c>
      <c r="AC123" s="23">
        <f>IFERROR(AB123/AB148, "NA")</f>
        <v>0</v>
      </c>
      <c r="AD123" s="61">
        <f t="shared" si="56"/>
        <v>0</v>
      </c>
      <c r="AE123" s="63">
        <f>IFERROR(AD123/AD148, "NA")</f>
        <v>0</v>
      </c>
      <c r="AF123" s="61" t="str">
        <f t="shared" si="57"/>
        <v>NA</v>
      </c>
      <c r="AG123" s="59">
        <f t="shared" si="58"/>
        <v>0</v>
      </c>
      <c r="AH123" s="23">
        <f>IFERROR(AG123/AG148, "NA")</f>
        <v>0</v>
      </c>
      <c r="AI123" s="61">
        <f t="shared" si="59"/>
        <v>0</v>
      </c>
      <c r="AJ123" s="63">
        <f>IFERROR(AI123/AI148, "NA")</f>
        <v>0</v>
      </c>
      <c r="AK123" s="61" t="str">
        <f t="shared" si="60"/>
        <v>NA</v>
      </c>
      <c r="AL123" s="63" t="str">
        <f>IFERROR(AK123/AK148, "NA")</f>
        <v>NA</v>
      </c>
    </row>
    <row r="124" ht="16.5" hidden="1" customHeight="1">
      <c r="A124" s="26" t="s">
        <v>224</v>
      </c>
      <c r="B124" s="27">
        <v>0.0</v>
      </c>
      <c r="C124" s="23">
        <f>IFERROR(B124/B148, "NA")</f>
        <v>0</v>
      </c>
      <c r="D124" s="27">
        <v>0.0</v>
      </c>
      <c r="E124" s="23">
        <f>IFERROR(D124/D148, "NA")</f>
        <v>0</v>
      </c>
      <c r="F124" s="27">
        <v>0.0</v>
      </c>
      <c r="G124" s="23">
        <f>IFERROR(F124/F148, "NA")</f>
        <v>0</v>
      </c>
      <c r="H124" s="27">
        <v>0.0</v>
      </c>
      <c r="I124" s="23">
        <f>IFERROR(H124/H148, "NA")</f>
        <v>0</v>
      </c>
      <c r="J124" s="27">
        <v>0.0</v>
      </c>
      <c r="K124" s="23">
        <f>IFERROR(J124/J148, "NA")</f>
        <v>0</v>
      </c>
      <c r="L124" s="27">
        <v>0.0</v>
      </c>
      <c r="M124" s="23">
        <f>IFERROR(L124/L148, "NA")</f>
        <v>0</v>
      </c>
      <c r="N124" s="27">
        <v>0.0</v>
      </c>
      <c r="O124" s="23">
        <f>IFERROR(N124/N148, "NA")</f>
        <v>0</v>
      </c>
      <c r="P124" s="27">
        <v>0.0</v>
      </c>
      <c r="Q124" s="23">
        <f>IFERROR(P124/P148, "NA")</f>
        <v>0</v>
      </c>
      <c r="R124" s="27">
        <v>0.0</v>
      </c>
      <c r="S124" s="23">
        <f>IFERROR(R124/R148, "NA")</f>
        <v>0</v>
      </c>
      <c r="T124" s="27">
        <v>0.0</v>
      </c>
      <c r="U124" s="23">
        <f>IFERROR(T124/T148, "NA")</f>
        <v>0</v>
      </c>
      <c r="V124" s="27">
        <v>0.0</v>
      </c>
      <c r="W124" s="23">
        <f>IFERROR(V124/V148, "NA")</f>
        <v>0</v>
      </c>
      <c r="X124" s="27">
        <v>0.0</v>
      </c>
      <c r="Y124" s="23">
        <f>IFERROR(X124/X148, "NA")</f>
        <v>0</v>
      </c>
      <c r="Z124" s="27">
        <v>0.0</v>
      </c>
      <c r="AA124" s="23">
        <f>IFERROR(Z124/Z148, "NA")</f>
        <v>0</v>
      </c>
      <c r="AB124" s="59">
        <f t="shared" si="55"/>
        <v>0</v>
      </c>
      <c r="AC124" s="23">
        <f>IFERROR(AB124/AB148, "NA")</f>
        <v>0</v>
      </c>
      <c r="AD124" s="61">
        <f t="shared" si="56"/>
        <v>0</v>
      </c>
      <c r="AE124" s="63">
        <f>IFERROR(AD124/AD148, "NA")</f>
        <v>0</v>
      </c>
      <c r="AF124" s="61" t="str">
        <f t="shared" si="57"/>
        <v>NA</v>
      </c>
      <c r="AG124" s="59">
        <f t="shared" si="58"/>
        <v>0</v>
      </c>
      <c r="AH124" s="23">
        <f>IFERROR(AG124/AG148, "NA")</f>
        <v>0</v>
      </c>
      <c r="AI124" s="61">
        <f t="shared" si="59"/>
        <v>0</v>
      </c>
      <c r="AJ124" s="63">
        <f>IFERROR(AI124/AI148, "NA")</f>
        <v>0</v>
      </c>
      <c r="AK124" s="61" t="str">
        <f t="shared" si="60"/>
        <v>NA</v>
      </c>
      <c r="AL124" s="63" t="str">
        <f>IFERROR(AK124/AK148, "NA")</f>
        <v>NA</v>
      </c>
    </row>
    <row r="125" ht="16.5" hidden="1" customHeight="1">
      <c r="A125" s="26" t="s">
        <v>225</v>
      </c>
      <c r="B125" s="27">
        <v>0.0</v>
      </c>
      <c r="C125" s="23">
        <f>IFERROR(B125/B148, "NA")</f>
        <v>0</v>
      </c>
      <c r="D125" s="27">
        <v>0.0</v>
      </c>
      <c r="E125" s="23">
        <f>IFERROR(D125/D148, "NA")</f>
        <v>0</v>
      </c>
      <c r="F125" s="27">
        <v>0.0</v>
      </c>
      <c r="G125" s="23">
        <f>IFERROR(F125/F148, "NA")</f>
        <v>0</v>
      </c>
      <c r="H125" s="27">
        <v>0.0</v>
      </c>
      <c r="I125" s="23">
        <f>IFERROR(H125/H148, "NA")</f>
        <v>0</v>
      </c>
      <c r="J125" s="27">
        <v>0.0</v>
      </c>
      <c r="K125" s="23">
        <f>IFERROR(J125/J148, "NA")</f>
        <v>0</v>
      </c>
      <c r="L125" s="27">
        <v>0.0</v>
      </c>
      <c r="M125" s="23">
        <f>IFERROR(L125/L148, "NA")</f>
        <v>0</v>
      </c>
      <c r="N125" s="27">
        <v>0.0</v>
      </c>
      <c r="O125" s="23">
        <f>IFERROR(N125/N148, "NA")</f>
        <v>0</v>
      </c>
      <c r="P125" s="27">
        <v>0.0</v>
      </c>
      <c r="Q125" s="23">
        <f>IFERROR(P125/P148, "NA")</f>
        <v>0</v>
      </c>
      <c r="R125" s="27">
        <v>0.0</v>
      </c>
      <c r="S125" s="23">
        <f>IFERROR(R125/R148, "NA")</f>
        <v>0</v>
      </c>
      <c r="T125" s="27">
        <v>0.0</v>
      </c>
      <c r="U125" s="23">
        <f>IFERROR(T125/T148, "NA")</f>
        <v>0</v>
      </c>
      <c r="V125" s="27">
        <v>0.0</v>
      </c>
      <c r="W125" s="23">
        <f>IFERROR(V125/V148, "NA")</f>
        <v>0</v>
      </c>
      <c r="X125" s="27">
        <v>0.0</v>
      </c>
      <c r="Y125" s="23">
        <f>IFERROR(X125/X148, "NA")</f>
        <v>0</v>
      </c>
      <c r="Z125" s="27">
        <v>0.0</v>
      </c>
      <c r="AA125" s="23">
        <f>IFERROR(Z125/Z148, "NA")</f>
        <v>0</v>
      </c>
      <c r="AB125" s="59">
        <f t="shared" si="55"/>
        <v>0</v>
      </c>
      <c r="AC125" s="23">
        <f>IFERROR(AB125/AB148, "NA")</f>
        <v>0</v>
      </c>
      <c r="AD125" s="61">
        <f t="shared" si="56"/>
        <v>0</v>
      </c>
      <c r="AE125" s="63">
        <f>IFERROR(AD125/AD148, "NA")</f>
        <v>0</v>
      </c>
      <c r="AF125" s="61" t="str">
        <f t="shared" si="57"/>
        <v>NA</v>
      </c>
      <c r="AG125" s="59">
        <f t="shared" si="58"/>
        <v>0</v>
      </c>
      <c r="AH125" s="23">
        <f>IFERROR(AG125/AG148, "NA")</f>
        <v>0</v>
      </c>
      <c r="AI125" s="61">
        <f t="shared" si="59"/>
        <v>0</v>
      </c>
      <c r="AJ125" s="63">
        <f>IFERROR(AI125/AI148, "NA")</f>
        <v>0</v>
      </c>
      <c r="AK125" s="61" t="str">
        <f t="shared" si="60"/>
        <v>NA</v>
      </c>
      <c r="AL125" s="63" t="str">
        <f>IFERROR(AK125/AK148, "NA")</f>
        <v>NA</v>
      </c>
    </row>
    <row r="126" ht="16.5" hidden="1" customHeight="1">
      <c r="A126" s="26" t="s">
        <v>226</v>
      </c>
      <c r="B126" s="27">
        <v>0.0</v>
      </c>
      <c r="C126" s="23">
        <f>IFERROR(B126/B148, "NA")</f>
        <v>0</v>
      </c>
      <c r="D126" s="27">
        <v>0.0</v>
      </c>
      <c r="E126" s="23">
        <f>IFERROR(D126/D148, "NA")</f>
        <v>0</v>
      </c>
      <c r="F126" s="27">
        <v>0.0</v>
      </c>
      <c r="G126" s="23">
        <f>IFERROR(F126/F148, "NA")</f>
        <v>0</v>
      </c>
      <c r="H126" s="27">
        <v>0.0</v>
      </c>
      <c r="I126" s="23">
        <f>IFERROR(H126/H148, "NA")</f>
        <v>0</v>
      </c>
      <c r="J126" s="27">
        <v>0.0</v>
      </c>
      <c r="K126" s="23">
        <f>IFERROR(J126/J148, "NA")</f>
        <v>0</v>
      </c>
      <c r="L126" s="27">
        <v>0.0</v>
      </c>
      <c r="M126" s="23">
        <f>IFERROR(L126/L148, "NA")</f>
        <v>0</v>
      </c>
      <c r="N126" s="27">
        <v>0.0</v>
      </c>
      <c r="O126" s="23">
        <f>IFERROR(N126/N148, "NA")</f>
        <v>0</v>
      </c>
      <c r="P126" s="27">
        <v>0.0</v>
      </c>
      <c r="Q126" s="23">
        <f>IFERROR(P126/P148, "NA")</f>
        <v>0</v>
      </c>
      <c r="R126" s="27">
        <v>0.0</v>
      </c>
      <c r="S126" s="23">
        <f>IFERROR(R126/R148, "NA")</f>
        <v>0</v>
      </c>
      <c r="T126" s="27">
        <v>0.0</v>
      </c>
      <c r="U126" s="23">
        <f>IFERROR(T126/T148, "NA")</f>
        <v>0</v>
      </c>
      <c r="V126" s="27">
        <v>0.0</v>
      </c>
      <c r="W126" s="23">
        <f>IFERROR(V126/V148, "NA")</f>
        <v>0</v>
      </c>
      <c r="X126" s="27">
        <v>0.0</v>
      </c>
      <c r="Y126" s="23">
        <f>IFERROR(X126/X148, "NA")</f>
        <v>0</v>
      </c>
      <c r="Z126" s="27">
        <v>0.0</v>
      </c>
      <c r="AA126" s="23">
        <f>IFERROR(Z126/Z148, "NA")</f>
        <v>0</v>
      </c>
      <c r="AB126" s="59">
        <f t="shared" si="55"/>
        <v>0</v>
      </c>
      <c r="AC126" s="23">
        <f>IFERROR(AB126/AB148, "NA")</f>
        <v>0</v>
      </c>
      <c r="AD126" s="61">
        <f t="shared" si="56"/>
        <v>0</v>
      </c>
      <c r="AE126" s="63">
        <f>IFERROR(AD126/AD148, "NA")</f>
        <v>0</v>
      </c>
      <c r="AF126" s="61" t="str">
        <f t="shared" si="57"/>
        <v>NA</v>
      </c>
      <c r="AG126" s="59">
        <f t="shared" si="58"/>
        <v>0</v>
      </c>
      <c r="AH126" s="23">
        <f>IFERROR(AG126/AG148, "NA")</f>
        <v>0</v>
      </c>
      <c r="AI126" s="61">
        <f t="shared" si="59"/>
        <v>0</v>
      </c>
      <c r="AJ126" s="63">
        <f>IFERROR(AI126/AI148, "NA")</f>
        <v>0</v>
      </c>
      <c r="AK126" s="61" t="str">
        <f t="shared" si="60"/>
        <v>NA</v>
      </c>
      <c r="AL126" s="63" t="str">
        <f>IFERROR(AK126/AK148, "NA")</f>
        <v>NA</v>
      </c>
    </row>
    <row r="127" ht="16.5" hidden="1" customHeight="1">
      <c r="A127" s="26" t="s">
        <v>227</v>
      </c>
      <c r="B127" s="27">
        <v>0.0</v>
      </c>
      <c r="C127" s="23">
        <f>IFERROR(B127/B148, "NA")</f>
        <v>0</v>
      </c>
      <c r="D127" s="27">
        <v>0.0</v>
      </c>
      <c r="E127" s="23">
        <f>IFERROR(D127/D148, "NA")</f>
        <v>0</v>
      </c>
      <c r="F127" s="27">
        <v>0.0</v>
      </c>
      <c r="G127" s="23">
        <f>IFERROR(F127/F148, "NA")</f>
        <v>0</v>
      </c>
      <c r="H127" s="27">
        <v>0.0</v>
      </c>
      <c r="I127" s="23">
        <f>IFERROR(H127/H148, "NA")</f>
        <v>0</v>
      </c>
      <c r="J127" s="27">
        <v>0.0</v>
      </c>
      <c r="K127" s="23">
        <f>IFERROR(J127/J148, "NA")</f>
        <v>0</v>
      </c>
      <c r="L127" s="27">
        <v>0.0</v>
      </c>
      <c r="M127" s="23">
        <f>IFERROR(L127/L148, "NA")</f>
        <v>0</v>
      </c>
      <c r="N127" s="27">
        <v>0.0</v>
      </c>
      <c r="O127" s="23">
        <f>IFERROR(N127/N148, "NA")</f>
        <v>0</v>
      </c>
      <c r="P127" s="27">
        <v>0.0</v>
      </c>
      <c r="Q127" s="23">
        <f>IFERROR(P127/P148, "NA")</f>
        <v>0</v>
      </c>
      <c r="R127" s="27">
        <v>0.0</v>
      </c>
      <c r="S127" s="23">
        <f>IFERROR(R127/R148, "NA")</f>
        <v>0</v>
      </c>
      <c r="T127" s="27">
        <v>0.0</v>
      </c>
      <c r="U127" s="23">
        <f>IFERROR(T127/T148, "NA")</f>
        <v>0</v>
      </c>
      <c r="V127" s="27">
        <v>0.0</v>
      </c>
      <c r="W127" s="23">
        <f>IFERROR(V127/V148, "NA")</f>
        <v>0</v>
      </c>
      <c r="X127" s="27">
        <v>0.0</v>
      </c>
      <c r="Y127" s="23">
        <f>IFERROR(X127/X148, "NA")</f>
        <v>0</v>
      </c>
      <c r="Z127" s="27">
        <v>0.0</v>
      </c>
      <c r="AA127" s="23">
        <f>IFERROR(Z127/Z148, "NA")</f>
        <v>0</v>
      </c>
      <c r="AB127" s="59">
        <f t="shared" si="55"/>
        <v>0</v>
      </c>
      <c r="AC127" s="23">
        <f>IFERROR(AB127/AB148, "NA")</f>
        <v>0</v>
      </c>
      <c r="AD127" s="61">
        <f t="shared" si="56"/>
        <v>0</v>
      </c>
      <c r="AE127" s="63">
        <f>IFERROR(AD127/AD148, "NA")</f>
        <v>0</v>
      </c>
      <c r="AF127" s="61" t="str">
        <f t="shared" si="57"/>
        <v>NA</v>
      </c>
      <c r="AG127" s="59">
        <f t="shared" si="58"/>
        <v>0</v>
      </c>
      <c r="AH127" s="23">
        <f>IFERROR(AG127/AG148, "NA")</f>
        <v>0</v>
      </c>
      <c r="AI127" s="61">
        <f t="shared" si="59"/>
        <v>0</v>
      </c>
      <c r="AJ127" s="63">
        <f>IFERROR(AI127/AI148, "NA")</f>
        <v>0</v>
      </c>
      <c r="AK127" s="61" t="str">
        <f t="shared" si="60"/>
        <v>NA</v>
      </c>
      <c r="AL127" s="63" t="str">
        <f>IFERROR(AK127/AK148, "NA")</f>
        <v>NA</v>
      </c>
    </row>
    <row r="128" ht="16.5" hidden="1" customHeight="1">
      <c r="A128" s="26" t="s">
        <v>228</v>
      </c>
      <c r="B128" s="27">
        <v>2055.75</v>
      </c>
      <c r="C128" s="23">
        <f>IFERROR(B128/B148, "NA")</f>
        <v>0.01639007314</v>
      </c>
      <c r="D128" s="27">
        <v>2210.92</v>
      </c>
      <c r="E128" s="23">
        <f>IFERROR(D128/D148, "NA")</f>
        <v>0.01650661909</v>
      </c>
      <c r="F128" s="27">
        <v>-6330.3</v>
      </c>
      <c r="G128" s="23">
        <f>IFERROR(F128/F148, "NA")</f>
        <v>-0.04945325108</v>
      </c>
      <c r="H128" s="27">
        <v>2037.8000000000002</v>
      </c>
      <c r="I128" s="23">
        <f>IFERROR(H128/H148, "NA")</f>
        <v>0.01760286138</v>
      </c>
      <c r="J128" s="27">
        <v>2151.5099999999998</v>
      </c>
      <c r="K128" s="23">
        <f>IFERROR(J128/J148, "NA")</f>
        <v>0.01591461139</v>
      </c>
      <c r="L128" s="27">
        <v>2074.51</v>
      </c>
      <c r="M128" s="23">
        <f>IFERROR(L128/L148, "NA")</f>
        <v>0.01636669617</v>
      </c>
      <c r="N128" s="27">
        <v>2026.8800000000003</v>
      </c>
      <c r="O128" s="23">
        <f>IFERROR(N128/N148, "NA")</f>
        <v>0.01482517726</v>
      </c>
      <c r="P128" s="27">
        <v>-8290.7</v>
      </c>
      <c r="Q128" s="23">
        <f>IFERROR(P128/P148, "NA")</f>
        <v>-0.05538487602</v>
      </c>
      <c r="R128" s="27">
        <v>1635.1200000000003</v>
      </c>
      <c r="S128" s="23">
        <f>IFERROR(R128/R148, "NA")</f>
        <v>0.01328314973</v>
      </c>
      <c r="T128" s="27">
        <v>1789.2500000000002</v>
      </c>
      <c r="U128" s="23">
        <f>IFERROR(T128/T148, "NA")</f>
        <v>0.01064270456</v>
      </c>
      <c r="V128" s="27">
        <v>1861.8899999999999</v>
      </c>
      <c r="W128" s="23">
        <f>IFERROR(V128/V148, "NA")</f>
        <v>0.01119256491</v>
      </c>
      <c r="X128" s="27">
        <v>1737.73</v>
      </c>
      <c r="Y128" s="23">
        <f>IFERROR(X128/X148, "NA")</f>
        <v>0.0125529257</v>
      </c>
      <c r="Z128" s="27">
        <v>7023.990000000001</v>
      </c>
      <c r="AA128" s="23">
        <f>IFERROR(Z128/Z148, "NA")</f>
        <v>0.01178521713</v>
      </c>
      <c r="AB128" s="59">
        <f t="shared" si="55"/>
        <v>1755.9975</v>
      </c>
      <c r="AC128" s="23">
        <f>IFERROR(AB128/AB148, "NA")</f>
        <v>0.01178521713</v>
      </c>
      <c r="AD128" s="61">
        <f t="shared" si="56"/>
        <v>-18.2675</v>
      </c>
      <c r="AE128" s="63">
        <f>IFERROR(AD128/AD148, "NA")</f>
        <v>0.001728609493</v>
      </c>
      <c r="AF128" s="61">
        <f t="shared" si="57"/>
        <v>-0.01040291914</v>
      </c>
      <c r="AG128" s="59">
        <f t="shared" si="58"/>
        <v>623.27375</v>
      </c>
      <c r="AH128" s="23">
        <f>IFERROR(AG128/AG148, "NA")</f>
        <v>0.00435720909</v>
      </c>
      <c r="AI128" s="61">
        <f t="shared" si="59"/>
        <v>1114.45625</v>
      </c>
      <c r="AJ128" s="63">
        <f>IFERROR(AI128/AI148, "NA")</f>
        <v>-0.2416432494</v>
      </c>
      <c r="AK128" s="61">
        <f t="shared" si="60"/>
        <v>1.788068646</v>
      </c>
      <c r="AL128" s="63">
        <f>IFERROR(AK128/AK148, "NA")</f>
        <v>-55.4582634</v>
      </c>
    </row>
    <row r="129" ht="16.5" hidden="1" customHeight="1">
      <c r="A129" s="26" t="s">
        <v>229</v>
      </c>
      <c r="B129" s="27">
        <v>0.0</v>
      </c>
      <c r="C129" s="23">
        <f>IFERROR(B129/B148, "NA")</f>
        <v>0</v>
      </c>
      <c r="D129" s="27">
        <v>0.0</v>
      </c>
      <c r="E129" s="23">
        <f>IFERROR(D129/D148, "NA")</f>
        <v>0</v>
      </c>
      <c r="F129" s="27">
        <v>0.0</v>
      </c>
      <c r="G129" s="23">
        <f>IFERROR(F129/F148, "NA")</f>
        <v>0</v>
      </c>
      <c r="H129" s="27">
        <v>0.0</v>
      </c>
      <c r="I129" s="23">
        <f>IFERROR(H129/H148, "NA")</f>
        <v>0</v>
      </c>
      <c r="J129" s="27">
        <v>0.0</v>
      </c>
      <c r="K129" s="23">
        <f>IFERROR(J129/J148, "NA")</f>
        <v>0</v>
      </c>
      <c r="L129" s="27">
        <v>0.0</v>
      </c>
      <c r="M129" s="23">
        <f>IFERROR(L129/L148, "NA")</f>
        <v>0</v>
      </c>
      <c r="N129" s="27">
        <v>0.0</v>
      </c>
      <c r="O129" s="23">
        <f>IFERROR(N129/N148, "NA")</f>
        <v>0</v>
      </c>
      <c r="P129" s="27">
        <v>0.0</v>
      </c>
      <c r="Q129" s="23">
        <f>IFERROR(P129/P148, "NA")</f>
        <v>0</v>
      </c>
      <c r="R129" s="27">
        <v>0.0</v>
      </c>
      <c r="S129" s="23">
        <f>IFERROR(R129/R148, "NA")</f>
        <v>0</v>
      </c>
      <c r="T129" s="27">
        <v>0.0</v>
      </c>
      <c r="U129" s="23">
        <f>IFERROR(T129/T148, "NA")</f>
        <v>0</v>
      </c>
      <c r="V129" s="27">
        <v>0.0</v>
      </c>
      <c r="W129" s="23">
        <f>IFERROR(V129/V148, "NA")</f>
        <v>0</v>
      </c>
      <c r="X129" s="27">
        <v>0.0</v>
      </c>
      <c r="Y129" s="23">
        <f>IFERROR(X129/X148, "NA")</f>
        <v>0</v>
      </c>
      <c r="Z129" s="27">
        <v>0.0</v>
      </c>
      <c r="AA129" s="23">
        <f>IFERROR(Z129/Z148, "NA")</f>
        <v>0</v>
      </c>
      <c r="AB129" s="59">
        <f t="shared" si="55"/>
        <v>0</v>
      </c>
      <c r="AC129" s="23">
        <f>IFERROR(AB129/AB148, "NA")</f>
        <v>0</v>
      </c>
      <c r="AD129" s="61">
        <f t="shared" si="56"/>
        <v>0</v>
      </c>
      <c r="AE129" s="63">
        <f>IFERROR(AD129/AD148, "NA")</f>
        <v>0</v>
      </c>
      <c r="AF129" s="61" t="str">
        <f t="shared" si="57"/>
        <v>NA</v>
      </c>
      <c r="AG129" s="59">
        <f t="shared" si="58"/>
        <v>0</v>
      </c>
      <c r="AH129" s="23">
        <f>IFERROR(AG129/AG148, "NA")</f>
        <v>0</v>
      </c>
      <c r="AI129" s="61">
        <f t="shared" si="59"/>
        <v>0</v>
      </c>
      <c r="AJ129" s="63">
        <f>IFERROR(AI129/AI148, "NA")</f>
        <v>0</v>
      </c>
      <c r="AK129" s="61" t="str">
        <f t="shared" si="60"/>
        <v>NA</v>
      </c>
      <c r="AL129" s="63" t="str">
        <f>IFERROR(AK129/AK148, "NA")</f>
        <v>NA</v>
      </c>
    </row>
    <row r="130" ht="16.5" hidden="1" customHeight="1">
      <c r="A130" s="26" t="s">
        <v>230</v>
      </c>
      <c r="B130" s="27">
        <v>0.0</v>
      </c>
      <c r="C130" s="23">
        <f>IFERROR(B130/B148, "NA")</f>
        <v>0</v>
      </c>
      <c r="D130" s="27">
        <v>0.0</v>
      </c>
      <c r="E130" s="23">
        <f>IFERROR(D130/D148, "NA")</f>
        <v>0</v>
      </c>
      <c r="F130" s="27">
        <v>0.0</v>
      </c>
      <c r="G130" s="23">
        <f>IFERROR(F130/F148, "NA")</f>
        <v>0</v>
      </c>
      <c r="H130" s="27">
        <v>0.0</v>
      </c>
      <c r="I130" s="23">
        <f>IFERROR(H130/H148, "NA")</f>
        <v>0</v>
      </c>
      <c r="J130" s="27">
        <v>0.0</v>
      </c>
      <c r="K130" s="23">
        <f>IFERROR(J130/J148, "NA")</f>
        <v>0</v>
      </c>
      <c r="L130" s="27">
        <v>0.0</v>
      </c>
      <c r="M130" s="23">
        <f>IFERROR(L130/L148, "NA")</f>
        <v>0</v>
      </c>
      <c r="N130" s="27">
        <v>0.0</v>
      </c>
      <c r="O130" s="23">
        <f>IFERROR(N130/N148, "NA")</f>
        <v>0</v>
      </c>
      <c r="P130" s="27">
        <v>0.0</v>
      </c>
      <c r="Q130" s="23">
        <f>IFERROR(P130/P148, "NA")</f>
        <v>0</v>
      </c>
      <c r="R130" s="27">
        <v>0.0</v>
      </c>
      <c r="S130" s="23">
        <f>IFERROR(R130/R148, "NA")</f>
        <v>0</v>
      </c>
      <c r="T130" s="27">
        <v>0.0</v>
      </c>
      <c r="U130" s="23">
        <f>IFERROR(T130/T148, "NA")</f>
        <v>0</v>
      </c>
      <c r="V130" s="27">
        <v>0.0</v>
      </c>
      <c r="W130" s="23">
        <f>IFERROR(V130/V148, "NA")</f>
        <v>0</v>
      </c>
      <c r="X130" s="27">
        <v>0.0</v>
      </c>
      <c r="Y130" s="23">
        <f>IFERROR(X130/X148, "NA")</f>
        <v>0</v>
      </c>
      <c r="Z130" s="27">
        <v>0.0</v>
      </c>
      <c r="AA130" s="23">
        <f>IFERROR(Z130/Z148, "NA")</f>
        <v>0</v>
      </c>
      <c r="AB130" s="59">
        <f t="shared" si="55"/>
        <v>0</v>
      </c>
      <c r="AC130" s="23">
        <f>IFERROR(AB130/AB148, "NA")</f>
        <v>0</v>
      </c>
      <c r="AD130" s="61">
        <f t="shared" si="56"/>
        <v>0</v>
      </c>
      <c r="AE130" s="63">
        <f>IFERROR(AD130/AD148, "NA")</f>
        <v>0</v>
      </c>
      <c r="AF130" s="61" t="str">
        <f t="shared" si="57"/>
        <v>NA</v>
      </c>
      <c r="AG130" s="59">
        <f t="shared" si="58"/>
        <v>0</v>
      </c>
      <c r="AH130" s="23">
        <f>IFERROR(AG130/AG148, "NA")</f>
        <v>0</v>
      </c>
      <c r="AI130" s="61">
        <f t="shared" si="59"/>
        <v>0</v>
      </c>
      <c r="AJ130" s="63">
        <f>IFERROR(AI130/AI148, "NA")</f>
        <v>0</v>
      </c>
      <c r="AK130" s="61" t="str">
        <f t="shared" si="60"/>
        <v>NA</v>
      </c>
      <c r="AL130" s="63" t="str">
        <f>IFERROR(AK130/AK148, "NA")</f>
        <v>NA</v>
      </c>
    </row>
    <row r="131" ht="16.5" hidden="1" customHeight="1">
      <c r="A131" s="26" t="s">
        <v>231</v>
      </c>
      <c r="B131" s="27">
        <v>0.0</v>
      </c>
      <c r="C131" s="23">
        <f>IFERROR(B131/B148, "NA")</f>
        <v>0</v>
      </c>
      <c r="D131" s="27">
        <v>0.0</v>
      </c>
      <c r="E131" s="23">
        <f>IFERROR(D131/D148, "NA")</f>
        <v>0</v>
      </c>
      <c r="F131" s="27">
        <v>0.0</v>
      </c>
      <c r="G131" s="23">
        <f>IFERROR(F131/F148, "NA")</f>
        <v>0</v>
      </c>
      <c r="H131" s="27">
        <v>0.0</v>
      </c>
      <c r="I131" s="23">
        <f>IFERROR(H131/H148, "NA")</f>
        <v>0</v>
      </c>
      <c r="J131" s="27">
        <v>0.0</v>
      </c>
      <c r="K131" s="23">
        <f>IFERROR(J131/J148, "NA")</f>
        <v>0</v>
      </c>
      <c r="L131" s="27">
        <v>0.0</v>
      </c>
      <c r="M131" s="23">
        <f>IFERROR(L131/L148, "NA")</f>
        <v>0</v>
      </c>
      <c r="N131" s="27">
        <v>0.0</v>
      </c>
      <c r="O131" s="23">
        <f>IFERROR(N131/N148, "NA")</f>
        <v>0</v>
      </c>
      <c r="P131" s="27">
        <v>0.0</v>
      </c>
      <c r="Q131" s="23">
        <f>IFERROR(P131/P148, "NA")</f>
        <v>0</v>
      </c>
      <c r="R131" s="27">
        <v>0.0</v>
      </c>
      <c r="S131" s="23">
        <f>IFERROR(R131/R148, "NA")</f>
        <v>0</v>
      </c>
      <c r="T131" s="27">
        <v>0.0</v>
      </c>
      <c r="U131" s="23">
        <f>IFERROR(T131/T148, "NA")</f>
        <v>0</v>
      </c>
      <c r="V131" s="27">
        <v>0.0</v>
      </c>
      <c r="W131" s="23">
        <f>IFERROR(V131/V148, "NA")</f>
        <v>0</v>
      </c>
      <c r="X131" s="27">
        <v>0.0</v>
      </c>
      <c r="Y131" s="23">
        <f>IFERROR(X131/X148, "NA")</f>
        <v>0</v>
      </c>
      <c r="Z131" s="27">
        <v>0.0</v>
      </c>
      <c r="AA131" s="23">
        <f>IFERROR(Z131/Z148, "NA")</f>
        <v>0</v>
      </c>
      <c r="AB131" s="59">
        <f t="shared" si="55"/>
        <v>0</v>
      </c>
      <c r="AC131" s="23">
        <f>IFERROR(AB131/AB148, "NA")</f>
        <v>0</v>
      </c>
      <c r="AD131" s="61">
        <f t="shared" si="56"/>
        <v>0</v>
      </c>
      <c r="AE131" s="63">
        <f>IFERROR(AD131/AD148, "NA")</f>
        <v>0</v>
      </c>
      <c r="AF131" s="61" t="str">
        <f t="shared" si="57"/>
        <v>NA</v>
      </c>
      <c r="AG131" s="59">
        <f t="shared" si="58"/>
        <v>0</v>
      </c>
      <c r="AH131" s="23">
        <f>IFERROR(AG131/AG148, "NA")</f>
        <v>0</v>
      </c>
      <c r="AI131" s="61">
        <f t="shared" si="59"/>
        <v>0</v>
      </c>
      <c r="AJ131" s="63">
        <f>IFERROR(AI131/AI148, "NA")</f>
        <v>0</v>
      </c>
      <c r="AK131" s="61" t="str">
        <f t="shared" si="60"/>
        <v>NA</v>
      </c>
      <c r="AL131" s="63" t="str">
        <f>IFERROR(AK131/AK148, "NA")</f>
        <v>NA</v>
      </c>
    </row>
    <row r="132" ht="16.5" hidden="1" customHeight="1">
      <c r="A132" s="26" t="s">
        <v>232</v>
      </c>
      <c r="B132" s="27">
        <v>0.0</v>
      </c>
      <c r="C132" s="23">
        <f>IFERROR(B132/B148, "NA")</f>
        <v>0</v>
      </c>
      <c r="D132" s="27">
        <v>0.0</v>
      </c>
      <c r="E132" s="23">
        <f>IFERROR(D132/D148, "NA")</f>
        <v>0</v>
      </c>
      <c r="F132" s="27">
        <v>0.0</v>
      </c>
      <c r="G132" s="23">
        <f>IFERROR(F132/F148, "NA")</f>
        <v>0</v>
      </c>
      <c r="H132" s="27">
        <v>0.0</v>
      </c>
      <c r="I132" s="23">
        <f>IFERROR(H132/H148, "NA")</f>
        <v>0</v>
      </c>
      <c r="J132" s="27">
        <v>0.0</v>
      </c>
      <c r="K132" s="23">
        <f>IFERROR(J132/J148, "NA")</f>
        <v>0</v>
      </c>
      <c r="L132" s="27">
        <v>0.0</v>
      </c>
      <c r="M132" s="23">
        <f>IFERROR(L132/L148, "NA")</f>
        <v>0</v>
      </c>
      <c r="N132" s="27">
        <v>0.0</v>
      </c>
      <c r="O132" s="23">
        <f>IFERROR(N132/N148, "NA")</f>
        <v>0</v>
      </c>
      <c r="P132" s="27">
        <v>0.0</v>
      </c>
      <c r="Q132" s="23">
        <f>IFERROR(P132/P148, "NA")</f>
        <v>0</v>
      </c>
      <c r="R132" s="27">
        <v>0.0</v>
      </c>
      <c r="S132" s="23">
        <f>IFERROR(R132/R148, "NA")</f>
        <v>0</v>
      </c>
      <c r="T132" s="27">
        <v>0.0</v>
      </c>
      <c r="U132" s="23">
        <f>IFERROR(T132/T148, "NA")</f>
        <v>0</v>
      </c>
      <c r="V132" s="27">
        <v>0.0</v>
      </c>
      <c r="W132" s="23">
        <f>IFERROR(V132/V148, "NA")</f>
        <v>0</v>
      </c>
      <c r="X132" s="27">
        <v>0.0</v>
      </c>
      <c r="Y132" s="23">
        <f>IFERROR(X132/X148, "NA")</f>
        <v>0</v>
      </c>
      <c r="Z132" s="27">
        <v>0.0</v>
      </c>
      <c r="AA132" s="23">
        <f>IFERROR(Z132/Z148, "NA")</f>
        <v>0</v>
      </c>
      <c r="AB132" s="59">
        <f t="shared" si="55"/>
        <v>0</v>
      </c>
      <c r="AC132" s="23">
        <f>IFERROR(AB132/AB148, "NA")</f>
        <v>0</v>
      </c>
      <c r="AD132" s="61">
        <f t="shared" si="56"/>
        <v>0</v>
      </c>
      <c r="AE132" s="63">
        <f>IFERROR(AD132/AD148, "NA")</f>
        <v>0</v>
      </c>
      <c r="AF132" s="61" t="str">
        <f t="shared" si="57"/>
        <v>NA</v>
      </c>
      <c r="AG132" s="59">
        <f t="shared" si="58"/>
        <v>0</v>
      </c>
      <c r="AH132" s="23">
        <f>IFERROR(AG132/AG148, "NA")</f>
        <v>0</v>
      </c>
      <c r="AI132" s="61">
        <f t="shared" si="59"/>
        <v>0</v>
      </c>
      <c r="AJ132" s="63">
        <f>IFERROR(AI132/AI148, "NA")</f>
        <v>0</v>
      </c>
      <c r="AK132" s="61" t="str">
        <f t="shared" si="60"/>
        <v>NA</v>
      </c>
      <c r="AL132" s="63" t="str">
        <f>IFERROR(AK132/AK148, "NA")</f>
        <v>NA</v>
      </c>
    </row>
    <row r="133" ht="16.5" hidden="1" customHeight="1">
      <c r="A133" s="26" t="s">
        <v>233</v>
      </c>
      <c r="B133" s="27">
        <v>0.0</v>
      </c>
      <c r="C133" s="23">
        <f>IFERROR(B133/B148, "NA")</f>
        <v>0</v>
      </c>
      <c r="D133" s="27">
        <v>0.0</v>
      </c>
      <c r="E133" s="23">
        <f>IFERROR(D133/D148, "NA")</f>
        <v>0</v>
      </c>
      <c r="F133" s="27">
        <v>0.0</v>
      </c>
      <c r="G133" s="23">
        <f>IFERROR(F133/F148, "NA")</f>
        <v>0</v>
      </c>
      <c r="H133" s="27">
        <v>0.0</v>
      </c>
      <c r="I133" s="23">
        <f>IFERROR(H133/H148, "NA")</f>
        <v>0</v>
      </c>
      <c r="J133" s="27">
        <v>0.0</v>
      </c>
      <c r="K133" s="23">
        <f>IFERROR(J133/J148, "NA")</f>
        <v>0</v>
      </c>
      <c r="L133" s="27">
        <v>0.0</v>
      </c>
      <c r="M133" s="23">
        <f>IFERROR(L133/L148, "NA")</f>
        <v>0</v>
      </c>
      <c r="N133" s="27">
        <v>0.0</v>
      </c>
      <c r="O133" s="23">
        <f>IFERROR(N133/N148, "NA")</f>
        <v>0</v>
      </c>
      <c r="P133" s="27">
        <v>0.0</v>
      </c>
      <c r="Q133" s="23">
        <f>IFERROR(P133/P148, "NA")</f>
        <v>0</v>
      </c>
      <c r="R133" s="27">
        <v>0.0</v>
      </c>
      <c r="S133" s="23">
        <f>IFERROR(R133/R148, "NA")</f>
        <v>0</v>
      </c>
      <c r="T133" s="27">
        <v>0.0</v>
      </c>
      <c r="U133" s="23">
        <f>IFERROR(T133/T148, "NA")</f>
        <v>0</v>
      </c>
      <c r="V133" s="27">
        <v>0.0</v>
      </c>
      <c r="W133" s="23">
        <f>IFERROR(V133/V148, "NA")</f>
        <v>0</v>
      </c>
      <c r="X133" s="27">
        <v>0.0</v>
      </c>
      <c r="Y133" s="23">
        <f>IFERROR(X133/X148, "NA")</f>
        <v>0</v>
      </c>
      <c r="Z133" s="27">
        <v>0.0</v>
      </c>
      <c r="AA133" s="23">
        <f>IFERROR(Z133/Z148, "NA")</f>
        <v>0</v>
      </c>
      <c r="AB133" s="59">
        <f t="shared" si="55"/>
        <v>0</v>
      </c>
      <c r="AC133" s="23">
        <f>IFERROR(AB133/AB148, "NA")</f>
        <v>0</v>
      </c>
      <c r="AD133" s="61">
        <f t="shared" si="56"/>
        <v>0</v>
      </c>
      <c r="AE133" s="63">
        <f>IFERROR(AD133/AD148, "NA")</f>
        <v>0</v>
      </c>
      <c r="AF133" s="61" t="str">
        <f t="shared" si="57"/>
        <v>NA</v>
      </c>
      <c r="AG133" s="59">
        <f t="shared" si="58"/>
        <v>0</v>
      </c>
      <c r="AH133" s="23">
        <f>IFERROR(AG133/AG148, "NA")</f>
        <v>0</v>
      </c>
      <c r="AI133" s="61">
        <f t="shared" si="59"/>
        <v>0</v>
      </c>
      <c r="AJ133" s="63">
        <f>IFERROR(AI133/AI148, "NA")</f>
        <v>0</v>
      </c>
      <c r="AK133" s="61" t="str">
        <f t="shared" si="60"/>
        <v>NA</v>
      </c>
      <c r="AL133" s="63" t="str">
        <f>IFERROR(AK133/AK148, "NA")</f>
        <v>NA</v>
      </c>
    </row>
    <row r="134" ht="16.5" hidden="1" customHeight="1">
      <c r="A134" s="26" t="s">
        <v>234</v>
      </c>
      <c r="B134" s="27">
        <v>0.0</v>
      </c>
      <c r="C134" s="23">
        <f>IFERROR(B134/B148, "NA")</f>
        <v>0</v>
      </c>
      <c r="D134" s="27">
        <v>0.0</v>
      </c>
      <c r="E134" s="23">
        <f>IFERROR(D134/D148, "NA")</f>
        <v>0</v>
      </c>
      <c r="F134" s="27">
        <v>0.0</v>
      </c>
      <c r="G134" s="23">
        <f>IFERROR(F134/F148, "NA")</f>
        <v>0</v>
      </c>
      <c r="H134" s="27">
        <v>0.0</v>
      </c>
      <c r="I134" s="23">
        <f>IFERROR(H134/H148, "NA")</f>
        <v>0</v>
      </c>
      <c r="J134" s="27">
        <v>0.0</v>
      </c>
      <c r="K134" s="23">
        <f>IFERROR(J134/J148, "NA")</f>
        <v>0</v>
      </c>
      <c r="L134" s="27">
        <v>0.0</v>
      </c>
      <c r="M134" s="23">
        <f>IFERROR(L134/L148, "NA")</f>
        <v>0</v>
      </c>
      <c r="N134" s="27">
        <v>0.0</v>
      </c>
      <c r="O134" s="23">
        <f>IFERROR(N134/N148, "NA")</f>
        <v>0</v>
      </c>
      <c r="P134" s="27">
        <v>0.0</v>
      </c>
      <c r="Q134" s="23">
        <f>IFERROR(P134/P148, "NA")</f>
        <v>0</v>
      </c>
      <c r="R134" s="27">
        <v>0.0</v>
      </c>
      <c r="S134" s="23">
        <f>IFERROR(R134/R148, "NA")</f>
        <v>0</v>
      </c>
      <c r="T134" s="27">
        <v>0.0</v>
      </c>
      <c r="U134" s="23">
        <f>IFERROR(T134/T148, "NA")</f>
        <v>0</v>
      </c>
      <c r="V134" s="27">
        <v>0.0</v>
      </c>
      <c r="W134" s="23">
        <f>IFERROR(V134/V148, "NA")</f>
        <v>0</v>
      </c>
      <c r="X134" s="27">
        <v>0.0</v>
      </c>
      <c r="Y134" s="23">
        <f>IFERROR(X134/X148, "NA")</f>
        <v>0</v>
      </c>
      <c r="Z134" s="27">
        <v>0.0</v>
      </c>
      <c r="AA134" s="23">
        <f>IFERROR(Z134/Z148, "NA")</f>
        <v>0</v>
      </c>
      <c r="AB134" s="59">
        <f t="shared" si="55"/>
        <v>0</v>
      </c>
      <c r="AC134" s="23">
        <f>IFERROR(AB134/AB148, "NA")</f>
        <v>0</v>
      </c>
      <c r="AD134" s="61">
        <f t="shared" si="56"/>
        <v>0</v>
      </c>
      <c r="AE134" s="63">
        <f>IFERROR(AD134/AD148, "NA")</f>
        <v>0</v>
      </c>
      <c r="AF134" s="61" t="str">
        <f t="shared" si="57"/>
        <v>NA</v>
      </c>
      <c r="AG134" s="59">
        <f t="shared" si="58"/>
        <v>0</v>
      </c>
      <c r="AH134" s="23">
        <f>IFERROR(AG134/AG148, "NA")</f>
        <v>0</v>
      </c>
      <c r="AI134" s="61">
        <f t="shared" si="59"/>
        <v>0</v>
      </c>
      <c r="AJ134" s="63">
        <f>IFERROR(AI134/AI148, "NA")</f>
        <v>0</v>
      </c>
      <c r="AK134" s="61" t="str">
        <f t="shared" si="60"/>
        <v>NA</v>
      </c>
      <c r="AL134" s="63" t="str">
        <f>IFERROR(AK134/AK148, "NA")</f>
        <v>NA</v>
      </c>
    </row>
    <row r="135" ht="16.5" hidden="1" customHeight="1">
      <c r="A135" s="66" t="s">
        <v>235</v>
      </c>
      <c r="B135" s="67">
        <f>IFERROR(B110+B111+B112+B113+B114+B115+B116+B117+B118+B119+B120+B121+B122+B123+B124+B125+B126+B127+B128+B129+B130+B131+B132+B133+B134, "NA")</f>
        <v>2055.75</v>
      </c>
      <c r="C135" s="69">
        <f>IFERROR(B135/B148, "NA")</f>
        <v>0.01639007314</v>
      </c>
      <c r="D135" s="67">
        <f>IFERROR(D110+D111+D112+D113+D114+D115+D116+D117+D118+D119+D120+D121+D122+D123+D124+D125+D126+D127+D128+D129+D130+D131+D132+D133+D134, "NA")</f>
        <v>2210.92</v>
      </c>
      <c r="E135" s="69">
        <f>IFERROR(D135/D148, "NA")</f>
        <v>0.01650661909</v>
      </c>
      <c r="F135" s="67">
        <f>IFERROR(F110+F111+F112+F113+F114+F115+F116+F117+F118+F119+F120+F121+F122+F123+F124+F125+F126+F127+F128+F129+F130+F131+F132+F133+F134, "NA")</f>
        <v>-6330.3</v>
      </c>
      <c r="G135" s="69">
        <f>IFERROR(F135/F148, "NA")</f>
        <v>-0.04945325108</v>
      </c>
      <c r="H135" s="67">
        <f>IFERROR(H110+H111+H112+H113+H114+H115+H116+H117+H118+H119+H120+H121+H122+H123+H124+H125+H126+H127+H128+H129+H130+H131+H132+H133+H134, "NA")</f>
        <v>2037.8</v>
      </c>
      <c r="I135" s="69">
        <f>IFERROR(H135/H148, "NA")</f>
        <v>0.01760286138</v>
      </c>
      <c r="J135" s="67">
        <f>IFERROR(J110+J111+J112+J113+J114+J115+J116+J117+J118+J119+J120+J121+J122+J123+J124+J125+J126+J127+J128+J129+J130+J131+J132+J133+J134, "NA")</f>
        <v>2151.51</v>
      </c>
      <c r="K135" s="69">
        <f>IFERROR(J135/J148, "NA")</f>
        <v>0.01591461139</v>
      </c>
      <c r="L135" s="67">
        <f>IFERROR(L110+L111+L112+L113+L114+L115+L116+L117+L118+L119+L120+L121+L122+L123+L124+L125+L126+L127+L128+L129+L130+L131+L132+L133+L134, "NA")</f>
        <v>2074.51</v>
      </c>
      <c r="M135" s="69">
        <f>IFERROR(L135/L148, "NA")</f>
        <v>0.01636669617</v>
      </c>
      <c r="N135" s="67">
        <f>IFERROR(N110+N111+N112+N113+N114+N115+N116+N117+N118+N119+N120+N121+N122+N123+N124+N125+N126+N127+N128+N129+N130+N131+N132+N133+N134, "NA")</f>
        <v>2026.88</v>
      </c>
      <c r="O135" s="69">
        <f>IFERROR(N135/N148, "NA")</f>
        <v>0.01482517726</v>
      </c>
      <c r="P135" s="67">
        <f>IFERROR(P110+P111+P112+P113+P114+P115+P116+P117+P118+P119+P120+P121+P122+P123+P124+P125+P126+P127+P128+P129+P130+P131+P132+P133+P134, "NA")</f>
        <v>-8290.7</v>
      </c>
      <c r="Q135" s="69">
        <f>IFERROR(P135/P148, "NA")</f>
        <v>-0.05538487602</v>
      </c>
      <c r="R135" s="67">
        <f>IFERROR(R110+R111+R112+R113+R114+R115+R116+R117+R118+R119+R120+R121+R122+R123+R124+R125+R126+R127+R128+R129+R130+R131+R132+R133+R134, "NA")</f>
        <v>1635.12</v>
      </c>
      <c r="S135" s="69">
        <f>IFERROR(R135/R148, "NA")</f>
        <v>0.01328314973</v>
      </c>
      <c r="T135" s="67">
        <f>IFERROR(T110+T111+T112+T113+T114+T115+T116+T117+T118+T119+T120+T121+T122+T123+T124+T125+T126+T127+T128+T129+T130+T131+T132+T133+T134, "NA")</f>
        <v>1789.25</v>
      </c>
      <c r="U135" s="69">
        <f>IFERROR(T135/T148, "NA")</f>
        <v>0.01064270456</v>
      </c>
      <c r="V135" s="67">
        <f>IFERROR(V110+V111+V112+V113+V114+V115+V116+V117+V118+V119+V120+V121+V122+V123+V124+V125+V126+V127+V128+V129+V130+V131+V132+V133+V134, "NA")</f>
        <v>1861.89</v>
      </c>
      <c r="W135" s="69">
        <f>IFERROR(V135/V148, "NA")</f>
        <v>0.01119256491</v>
      </c>
      <c r="X135" s="67">
        <f>IFERROR(X110+X111+X112+X113+X114+X115+X116+X117+X118+X119+X120+X121+X122+X123+X124+X125+X126+X127+X128+X129+X130+X131+X132+X133+X134, "NA")</f>
        <v>1737.73</v>
      </c>
      <c r="Y135" s="69">
        <f>IFERROR(X135/X148, "NA")</f>
        <v>0.0125529257</v>
      </c>
      <c r="Z135" s="67">
        <f>IFERROR(Z110+Z111+Z112+Z113+Z114+Z115+Z116+Z117+Z118+Z119+Z120+Z121+Z122+Z123+Z124+Z125+Z126+Z127+Z128+Z129+Z130+Z131+Z132+Z133+Z134, "NA")</f>
        <v>7023.99</v>
      </c>
      <c r="AA135" s="69">
        <f>IFERROR(Z135/Z148, "NA")</f>
        <v>0.01178521713</v>
      </c>
      <c r="AB135" s="67">
        <f t="shared" si="55"/>
        <v>1755.9975</v>
      </c>
      <c r="AC135" s="69">
        <f>IFERROR(AB135/AB148, "NA")</f>
        <v>0.01178521713</v>
      </c>
      <c r="AD135" s="70">
        <f t="shared" si="56"/>
        <v>-18.2675</v>
      </c>
      <c r="AE135" s="71">
        <f>IFERROR(AD135/AD148, "NA")</f>
        <v>0.001728609493</v>
      </c>
      <c r="AF135" s="70">
        <f t="shared" si="57"/>
        <v>-0.01040291914</v>
      </c>
      <c r="AG135" s="67">
        <f t="shared" si="58"/>
        <v>623.27375</v>
      </c>
      <c r="AH135" s="69">
        <f>IFERROR(AG135/AG148, "NA")</f>
        <v>0.00435720909</v>
      </c>
      <c r="AI135" s="70">
        <f t="shared" si="59"/>
        <v>1114.45625</v>
      </c>
      <c r="AJ135" s="71">
        <f>IFERROR(AI135/AI148, "NA")</f>
        <v>-0.2416432494</v>
      </c>
      <c r="AK135" s="70">
        <f t="shared" si="60"/>
        <v>1.788068646</v>
      </c>
      <c r="AL135" s="71">
        <f>IFERROR(AK135/AK148, "NA")</f>
        <v>-55.4582634</v>
      </c>
    </row>
    <row r="136" ht="16.5" hidden="1" customHeight="1">
      <c r="A136" s="120" t="s">
        <v>6</v>
      </c>
      <c r="B136" s="121"/>
      <c r="C136" s="76"/>
      <c r="D136" s="121"/>
      <c r="E136" s="76"/>
      <c r="F136" s="121"/>
      <c r="G136" s="76"/>
      <c r="H136" s="121"/>
      <c r="I136" s="76"/>
      <c r="J136" s="121"/>
      <c r="K136" s="76"/>
      <c r="L136" s="121"/>
      <c r="M136" s="76"/>
      <c r="N136" s="121"/>
      <c r="O136" s="76"/>
      <c r="P136" s="121"/>
      <c r="Q136" s="76"/>
      <c r="R136" s="121"/>
      <c r="S136" s="76"/>
      <c r="T136" s="121"/>
      <c r="U136" s="76"/>
      <c r="V136" s="121"/>
      <c r="W136" s="76"/>
      <c r="X136" s="121"/>
      <c r="Y136" s="76"/>
      <c r="Z136" s="121"/>
      <c r="AA136" s="76"/>
      <c r="AB136" s="121"/>
      <c r="AC136" s="76"/>
      <c r="AD136" s="122"/>
      <c r="AE136" s="78"/>
      <c r="AF136" s="122"/>
      <c r="AG136" s="121"/>
      <c r="AH136" s="76"/>
      <c r="AI136" s="122"/>
      <c r="AJ136" s="78"/>
      <c r="AK136" s="122"/>
      <c r="AL136" s="78"/>
    </row>
    <row r="137" ht="16.5" hidden="1" customHeight="1">
      <c r="A137" s="118" t="s">
        <v>236</v>
      </c>
      <c r="B137" s="119">
        <f>IFERROR(B107-B135, "NA")</f>
        <v>26919.67</v>
      </c>
      <c r="C137" s="107">
        <f>IFERROR(B137/B148, "NA")</f>
        <v>0.214625008</v>
      </c>
      <c r="D137" s="119">
        <f>IFERROR(D107-D135, "NA")</f>
        <v>8045.74</v>
      </c>
      <c r="E137" s="107">
        <f>IFERROR(D137/D148, "NA")</f>
        <v>0.06006909588</v>
      </c>
      <c r="F137" s="119">
        <f>IFERROR(F107-F135, "NA")</f>
        <v>-35745.2</v>
      </c>
      <c r="G137" s="107">
        <f>IFERROR(F137/F148, "NA")</f>
        <v>-0.2792468525</v>
      </c>
      <c r="H137" s="119">
        <f>IFERROR(H107-H135, "NA")</f>
        <v>34225.21</v>
      </c>
      <c r="I137" s="107">
        <f>IFERROR(H137/H148, "NA")</f>
        <v>0.2956431579</v>
      </c>
      <c r="J137" s="119">
        <f>IFERROR(J107-J135, "NA")</f>
        <v>38495.9</v>
      </c>
      <c r="K137" s="107">
        <f>IFERROR(J137/J148, "NA")</f>
        <v>0.2847522384</v>
      </c>
      <c r="L137" s="119">
        <f>IFERROR(L107-L135, "NA")</f>
        <v>34092.79</v>
      </c>
      <c r="M137" s="107">
        <f>IFERROR(L137/L148, "NA")</f>
        <v>0.2689725938</v>
      </c>
      <c r="N137" s="119">
        <f>IFERROR(N107-N135, "NA")</f>
        <v>10878.54</v>
      </c>
      <c r="O137" s="107">
        <f>IFERROR(N137/N148, "NA")</f>
        <v>0.07956873807</v>
      </c>
      <c r="P137" s="119">
        <f>IFERROR(P107-P135, "NA")</f>
        <v>-42884.88</v>
      </c>
      <c r="Q137" s="107">
        <f>IFERROR(P137/P148, "NA")</f>
        <v>-0.2864865165</v>
      </c>
      <c r="R137" s="119">
        <f>IFERROR(R107-R135, "NA")</f>
        <v>31702.28</v>
      </c>
      <c r="S137" s="107">
        <f>IFERROR(R137/R148, "NA")</f>
        <v>0.2575383654</v>
      </c>
      <c r="T137" s="119">
        <f>IFERROR(T107-T135, "NA")</f>
        <v>45268.52</v>
      </c>
      <c r="U137" s="107">
        <f>IFERROR(T137/T148, "NA")</f>
        <v>0.2692633696</v>
      </c>
      <c r="V137" s="119">
        <f>IFERROR(V107-V135, "NA")</f>
        <v>28476.96</v>
      </c>
      <c r="W137" s="107">
        <f>IFERROR(V137/V148, "NA")</f>
        <v>0.1711863876</v>
      </c>
      <c r="X137" s="119">
        <f>IFERROR(X107-X135, "NA")</f>
        <v>43957.95</v>
      </c>
      <c r="Y137" s="107">
        <f>IFERROR(X137/X148, "NA")</f>
        <v>0.3175412063</v>
      </c>
      <c r="Z137" s="119">
        <f>IFERROR(Z107-Z135, "NA")</f>
        <v>149405.71</v>
      </c>
      <c r="AA137" s="107">
        <f>IFERROR(Z137/Z148, "NA")</f>
        <v>0.2506807004</v>
      </c>
      <c r="AB137" s="119">
        <f>IFERROR((R137+T137+V137+X137)/4, "NA")</f>
        <v>37351.4275</v>
      </c>
      <c r="AC137" s="107">
        <f>IFERROR(AB137/AB148, "NA")</f>
        <v>0.2506807004</v>
      </c>
      <c r="AD137" s="70">
        <f>IFERROR(X137-AB137, "NA")</f>
        <v>6606.5225</v>
      </c>
      <c r="AE137" s="71">
        <f>IFERROR(AD137/AD148, "NA")</f>
        <v>-0.6251592996</v>
      </c>
      <c r="AF137" s="70">
        <f>IFERROR((X137-AB137)/AB137, "NA")</f>
        <v>0.1768746991</v>
      </c>
      <c r="AG137" s="119">
        <f>IFERROR((J137+L137+N137+P137+R137+T137+V137+X137)/8, "NA")</f>
        <v>23748.5075</v>
      </c>
      <c r="AH137" s="107">
        <f>IFERROR(AG137/AG148, "NA")</f>
        <v>0.1660220934</v>
      </c>
      <c r="AI137" s="70">
        <f>IFERROR(X137-AG137, "NA")</f>
        <v>20209.4425</v>
      </c>
      <c r="AJ137" s="71">
        <f>IFERROR(AI137/AI148, "NA")</f>
        <v>-4.381935455</v>
      </c>
      <c r="AK137" s="70">
        <f>IFERROR((X137-AG137)/AG137, "NA")</f>
        <v>0.8509773719</v>
      </c>
      <c r="AL137" s="71">
        <f>IFERROR(AK137/AK148, "NA")</f>
        <v>-26.39368872</v>
      </c>
    </row>
    <row r="138" ht="3.75" hidden="1" customHeight="1">
      <c r="A138" s="120" t="s">
        <v>6</v>
      </c>
      <c r="B138" s="121"/>
      <c r="C138" s="76"/>
      <c r="D138" s="121"/>
      <c r="E138" s="76"/>
      <c r="F138" s="121"/>
      <c r="G138" s="76"/>
      <c r="H138" s="121"/>
      <c r="I138" s="76"/>
      <c r="J138" s="121"/>
      <c r="K138" s="76"/>
      <c r="L138" s="121"/>
      <c r="M138" s="76"/>
      <c r="N138" s="121"/>
      <c r="O138" s="76"/>
      <c r="P138" s="121"/>
      <c r="Q138" s="76"/>
      <c r="R138" s="121"/>
      <c r="S138" s="76"/>
      <c r="T138" s="121"/>
      <c r="U138" s="76"/>
      <c r="V138" s="121"/>
      <c r="W138" s="76"/>
      <c r="X138" s="121"/>
      <c r="Y138" s="76"/>
      <c r="Z138" s="121"/>
      <c r="AA138" s="76"/>
      <c r="AB138" s="121"/>
      <c r="AC138" s="76"/>
      <c r="AD138" s="122"/>
      <c r="AE138" s="78"/>
      <c r="AF138" s="122"/>
      <c r="AG138" s="121"/>
      <c r="AH138" s="76"/>
      <c r="AI138" s="122"/>
      <c r="AJ138" s="78"/>
      <c r="AK138" s="122"/>
      <c r="AL138" s="78"/>
    </row>
    <row r="139" ht="16.5" hidden="1" customHeight="1">
      <c r="A139" s="17" t="s">
        <v>237</v>
      </c>
      <c r="B139" s="19"/>
      <c r="C139" s="13"/>
      <c r="D139" s="19"/>
      <c r="E139" s="13"/>
      <c r="F139" s="19"/>
      <c r="G139" s="13"/>
      <c r="H139" s="19"/>
      <c r="I139" s="13"/>
      <c r="J139" s="19"/>
      <c r="K139" s="13"/>
      <c r="L139" s="19"/>
      <c r="M139" s="13"/>
      <c r="N139" s="19"/>
      <c r="O139" s="13"/>
      <c r="P139" s="19"/>
      <c r="Q139" s="13"/>
      <c r="R139" s="19"/>
      <c r="S139" s="13"/>
      <c r="T139" s="19"/>
      <c r="U139" s="13"/>
      <c r="V139" s="19"/>
      <c r="W139" s="13"/>
      <c r="X139" s="19"/>
      <c r="Y139" s="13"/>
      <c r="Z139" s="19"/>
      <c r="AA139" s="13"/>
      <c r="AB139" s="19"/>
      <c r="AC139" s="13"/>
      <c r="AD139" s="24"/>
      <c r="AE139" s="25"/>
      <c r="AF139" s="24"/>
      <c r="AG139" s="19"/>
      <c r="AH139" s="13"/>
      <c r="AI139" s="24"/>
      <c r="AJ139" s="25"/>
      <c r="AK139" s="24"/>
      <c r="AL139" s="25"/>
    </row>
    <row r="140" ht="16.5" hidden="1" customHeight="1">
      <c r="A140" s="26" t="s">
        <v>238</v>
      </c>
      <c r="B140" s="27">
        <v>0.0</v>
      </c>
      <c r="C140" s="23">
        <f>IFERROR(B140/B148, "NA")</f>
        <v>0</v>
      </c>
      <c r="D140" s="27">
        <v>0.0</v>
      </c>
      <c r="E140" s="23">
        <f>IFERROR(D140/D148, "NA")</f>
        <v>0</v>
      </c>
      <c r="F140" s="27">
        <v>26807.71</v>
      </c>
      <c r="G140" s="23">
        <f>IFERROR(F140/F148, "NA")</f>
        <v>0.2094258429</v>
      </c>
      <c r="H140" s="27">
        <v>0.0</v>
      </c>
      <c r="I140" s="23">
        <f>IFERROR(H140/H148, "NA")</f>
        <v>0</v>
      </c>
      <c r="J140" s="27">
        <v>0.0</v>
      </c>
      <c r="K140" s="23">
        <f>IFERROR(J140/J148, "NA")</f>
        <v>0</v>
      </c>
      <c r="L140" s="27">
        <v>0.0</v>
      </c>
      <c r="M140" s="23">
        <f>IFERROR(L140/L148, "NA")</f>
        <v>0</v>
      </c>
      <c r="N140" s="27">
        <v>-390.07000000000005</v>
      </c>
      <c r="O140" s="23">
        <f>IFERROR(N140/N148, "NA")</f>
        <v>-0.002853083011</v>
      </c>
      <c r="P140" s="27">
        <v>28287.869999999995</v>
      </c>
      <c r="Q140" s="23">
        <f>IFERROR(P140/P148, "NA")</f>
        <v>0.1889732077</v>
      </c>
      <c r="R140" s="27">
        <v>0.0</v>
      </c>
      <c r="S140" s="23">
        <f>IFERROR(R140/R148, "NA")</f>
        <v>0</v>
      </c>
      <c r="T140" s="27">
        <v>0.0</v>
      </c>
      <c r="U140" s="23">
        <f>IFERROR(T140/T148, "NA")</f>
        <v>0</v>
      </c>
      <c r="V140" s="27">
        <v>0.0</v>
      </c>
      <c r="W140" s="23">
        <f>IFERROR(V140/V148, "NA")</f>
        <v>0</v>
      </c>
      <c r="X140" s="27">
        <v>-251.08999999999997</v>
      </c>
      <c r="Y140" s="23">
        <f>IFERROR(X140/X148, "NA")</f>
        <v>-0.001813811187</v>
      </c>
      <c r="Z140" s="27">
        <v>-251.08999999999997</v>
      </c>
      <c r="AA140" s="23">
        <f>IFERROR(Z140/Z148, "NA")</f>
        <v>-0.000421291911</v>
      </c>
      <c r="AB140" s="59">
        <f t="shared" ref="AB140:AB141" si="61">IFERROR((R140+T140+V140+X140)/4, "NA")</f>
        <v>-62.7725</v>
      </c>
      <c r="AC140" s="23">
        <f>IFERROR(AB140/AB148, "NA")</f>
        <v>-0.000421291911</v>
      </c>
      <c r="AD140" s="61">
        <f t="shared" ref="AD140:AD141" si="62">IFERROR(X140-AB140, "NA")</f>
        <v>-188.3175</v>
      </c>
      <c r="AE140" s="63">
        <f>IFERROR(AD140/AD148, "NA")</f>
        <v>0.0178200311</v>
      </c>
      <c r="AF140" s="61">
        <f t="shared" ref="AF140:AF141" si="63">IFERROR((X140-AB140)/AB140, "NA")</f>
        <v>3</v>
      </c>
      <c r="AG140" s="59">
        <f t="shared" ref="AG140:AG141" si="64">IFERROR((J140+L140+N140+P140+R140+T140+V140+X140)/8, "NA")</f>
        <v>3455.83875</v>
      </c>
      <c r="AH140" s="23">
        <f>IFERROR(AG140/AG148, "NA")</f>
        <v>0.02415922701</v>
      </c>
      <c r="AI140" s="61">
        <f t="shared" ref="AI140:AI141" si="65">IFERROR(X140-AG140, "NA")</f>
        <v>-3706.92875</v>
      </c>
      <c r="AJ140" s="63">
        <f>IFERROR(AI140/AI148, "NA")</f>
        <v>0.8037590606</v>
      </c>
      <c r="AK140" s="61">
        <f t="shared" ref="AK140:AK141" si="66">IFERROR((X140-AG140)/AG140, "NA")</f>
        <v>-1.072656746</v>
      </c>
      <c r="AL140" s="63">
        <f>IFERROR(AK140/AK148, "NA")</f>
        <v>33.26923747</v>
      </c>
    </row>
    <row r="141" ht="16.5" hidden="1" customHeight="1">
      <c r="A141" s="66" t="s">
        <v>239</v>
      </c>
      <c r="B141" s="67">
        <f>IFERROR(B140, "NA")</f>
        <v>0</v>
      </c>
      <c r="C141" s="69">
        <f>IFERROR(B141/B148, "NA")</f>
        <v>0</v>
      </c>
      <c r="D141" s="67">
        <f>IFERROR(D140, "NA")</f>
        <v>0</v>
      </c>
      <c r="E141" s="69">
        <f>IFERROR(D141/D148, "NA")</f>
        <v>0</v>
      </c>
      <c r="F141" s="67">
        <f>IFERROR(F140, "NA")</f>
        <v>26807.71</v>
      </c>
      <c r="G141" s="69">
        <f>IFERROR(F141/F148, "NA")</f>
        <v>0.2094258429</v>
      </c>
      <c r="H141" s="67">
        <f>IFERROR(H140, "NA")</f>
        <v>0</v>
      </c>
      <c r="I141" s="69">
        <f>IFERROR(H141/H148, "NA")</f>
        <v>0</v>
      </c>
      <c r="J141" s="67">
        <f>IFERROR(J140, "NA")</f>
        <v>0</v>
      </c>
      <c r="K141" s="69">
        <f>IFERROR(J141/J148, "NA")</f>
        <v>0</v>
      </c>
      <c r="L141" s="67">
        <f>IFERROR(L140, "NA")</f>
        <v>0</v>
      </c>
      <c r="M141" s="69">
        <f>IFERROR(L141/L148, "NA")</f>
        <v>0</v>
      </c>
      <c r="N141" s="67">
        <f>IFERROR(N140, "NA")</f>
        <v>-390.07</v>
      </c>
      <c r="O141" s="69">
        <f>IFERROR(N141/N148, "NA")</f>
        <v>-0.002853083011</v>
      </c>
      <c r="P141" s="67">
        <f>IFERROR(P140, "NA")</f>
        <v>28287.87</v>
      </c>
      <c r="Q141" s="69">
        <f>IFERROR(P141/P148, "NA")</f>
        <v>0.1889732077</v>
      </c>
      <c r="R141" s="67">
        <f>IFERROR(R140, "NA")</f>
        <v>0</v>
      </c>
      <c r="S141" s="69">
        <f>IFERROR(R141/R148, "NA")</f>
        <v>0</v>
      </c>
      <c r="T141" s="67">
        <f>IFERROR(T140, "NA")</f>
        <v>0</v>
      </c>
      <c r="U141" s="69">
        <f>IFERROR(T141/T148, "NA")</f>
        <v>0</v>
      </c>
      <c r="V141" s="67">
        <f>IFERROR(V140, "NA")</f>
        <v>0</v>
      </c>
      <c r="W141" s="69">
        <f>IFERROR(V141/V148, "NA")</f>
        <v>0</v>
      </c>
      <c r="X141" s="67">
        <f>IFERROR(X140, "NA")</f>
        <v>-251.09</v>
      </c>
      <c r="Y141" s="69">
        <f>IFERROR(X141/X148, "NA")</f>
        <v>-0.001813811187</v>
      </c>
      <c r="Z141" s="67">
        <f>IFERROR(Z140, "NA")</f>
        <v>-251.09</v>
      </c>
      <c r="AA141" s="69">
        <f>IFERROR(Z141/Z148, "NA")</f>
        <v>-0.000421291911</v>
      </c>
      <c r="AB141" s="67">
        <f t="shared" si="61"/>
        <v>-62.7725</v>
      </c>
      <c r="AC141" s="69">
        <f>IFERROR(AB141/AB148, "NA")</f>
        <v>-0.000421291911</v>
      </c>
      <c r="AD141" s="70">
        <f t="shared" si="62"/>
        <v>-188.3175</v>
      </c>
      <c r="AE141" s="71">
        <f>IFERROR(AD141/AD148, "NA")</f>
        <v>0.0178200311</v>
      </c>
      <c r="AF141" s="70">
        <f t="shared" si="63"/>
        <v>3</v>
      </c>
      <c r="AG141" s="67">
        <f t="shared" si="64"/>
        <v>3455.83875</v>
      </c>
      <c r="AH141" s="69">
        <f>IFERROR(AG141/AG148, "NA")</f>
        <v>0.02415922701</v>
      </c>
      <c r="AI141" s="70">
        <f t="shared" si="65"/>
        <v>-3706.92875</v>
      </c>
      <c r="AJ141" s="71">
        <f>IFERROR(AI141/AI148, "NA")</f>
        <v>0.8037590606</v>
      </c>
      <c r="AK141" s="70">
        <f t="shared" si="66"/>
        <v>-1.072656746</v>
      </c>
      <c r="AL141" s="71">
        <f>IFERROR(AK141/AK148, "NA")</f>
        <v>33.26923747</v>
      </c>
    </row>
    <row r="142" ht="3.75" hidden="1" customHeight="1">
      <c r="A142" s="120" t="s">
        <v>6</v>
      </c>
      <c r="B142" s="121"/>
      <c r="C142" s="76"/>
      <c r="D142" s="121"/>
      <c r="E142" s="76"/>
      <c r="F142" s="121"/>
      <c r="G142" s="76"/>
      <c r="H142" s="121"/>
      <c r="I142" s="76"/>
      <c r="J142" s="121"/>
      <c r="K142" s="76"/>
      <c r="L142" s="121"/>
      <c r="M142" s="76"/>
      <c r="N142" s="121"/>
      <c r="O142" s="76"/>
      <c r="P142" s="121"/>
      <c r="Q142" s="76"/>
      <c r="R142" s="121"/>
      <c r="S142" s="76"/>
      <c r="T142" s="121"/>
      <c r="U142" s="76"/>
      <c r="V142" s="121"/>
      <c r="W142" s="76"/>
      <c r="X142" s="121"/>
      <c r="Y142" s="76"/>
      <c r="Z142" s="121"/>
      <c r="AA142" s="76"/>
      <c r="AB142" s="121"/>
      <c r="AC142" s="76"/>
      <c r="AD142" s="122"/>
      <c r="AE142" s="78"/>
      <c r="AF142" s="122"/>
      <c r="AG142" s="121"/>
      <c r="AH142" s="76"/>
      <c r="AI142" s="122"/>
      <c r="AJ142" s="78"/>
      <c r="AK142" s="122"/>
      <c r="AL142" s="78"/>
    </row>
    <row r="143" ht="16.5" hidden="1" customHeight="1">
      <c r="A143" s="17" t="s">
        <v>240</v>
      </c>
      <c r="B143" s="19"/>
      <c r="C143" s="13"/>
      <c r="D143" s="19"/>
      <c r="E143" s="13"/>
      <c r="F143" s="19"/>
      <c r="G143" s="13"/>
      <c r="H143" s="19"/>
      <c r="I143" s="13"/>
      <c r="J143" s="19"/>
      <c r="K143" s="13"/>
      <c r="L143" s="19"/>
      <c r="M143" s="13"/>
      <c r="N143" s="19"/>
      <c r="O143" s="13"/>
      <c r="P143" s="19"/>
      <c r="Q143" s="13"/>
      <c r="R143" s="19"/>
      <c r="S143" s="13"/>
      <c r="T143" s="19"/>
      <c r="U143" s="13"/>
      <c r="V143" s="19"/>
      <c r="W143" s="13"/>
      <c r="X143" s="19"/>
      <c r="Y143" s="13"/>
      <c r="Z143" s="19"/>
      <c r="AA143" s="13"/>
      <c r="AB143" s="19"/>
      <c r="AC143" s="13"/>
      <c r="AD143" s="24"/>
      <c r="AE143" s="25"/>
      <c r="AF143" s="24"/>
      <c r="AG143" s="19"/>
      <c r="AH143" s="13"/>
      <c r="AI143" s="24"/>
      <c r="AJ143" s="25"/>
      <c r="AK143" s="24"/>
      <c r="AL143" s="25"/>
    </row>
    <row r="144" ht="16.5" hidden="1" customHeight="1">
      <c r="A144" s="26" t="s">
        <v>241</v>
      </c>
      <c r="B144" s="27">
        <v>0.0</v>
      </c>
      <c r="C144" s="23">
        <f>IFERROR(B144/B148, "NA")</f>
        <v>0</v>
      </c>
      <c r="D144" s="27">
        <v>0.0</v>
      </c>
      <c r="E144" s="23">
        <f>IFERROR(D144/D148, "NA")</f>
        <v>0</v>
      </c>
      <c r="F144" s="27">
        <v>0.0</v>
      </c>
      <c r="G144" s="23">
        <f>IFERROR(F144/F148, "NA")</f>
        <v>0</v>
      </c>
      <c r="H144" s="27">
        <v>0.0</v>
      </c>
      <c r="I144" s="23">
        <f>IFERROR(H144/H148, "NA")</f>
        <v>0</v>
      </c>
      <c r="J144" s="27">
        <v>0.0</v>
      </c>
      <c r="K144" s="23">
        <f>IFERROR(J144/J148, "NA")</f>
        <v>0</v>
      </c>
      <c r="L144" s="27">
        <v>0.0</v>
      </c>
      <c r="M144" s="23">
        <f>IFERROR(L144/L148, "NA")</f>
        <v>0</v>
      </c>
      <c r="N144" s="27">
        <v>0.0</v>
      </c>
      <c r="O144" s="23">
        <f>IFERROR(N144/N148, "NA")</f>
        <v>0</v>
      </c>
      <c r="P144" s="27">
        <v>0.0</v>
      </c>
      <c r="Q144" s="23">
        <f>IFERROR(P144/P148, "NA")</f>
        <v>0</v>
      </c>
      <c r="R144" s="27">
        <v>0.0</v>
      </c>
      <c r="S144" s="23">
        <f>IFERROR(R144/R148, "NA")</f>
        <v>0</v>
      </c>
      <c r="T144" s="27">
        <v>0.0</v>
      </c>
      <c r="U144" s="23">
        <f>IFERROR(T144/T148, "NA")</f>
        <v>0</v>
      </c>
      <c r="V144" s="27">
        <v>0.0</v>
      </c>
      <c r="W144" s="23">
        <f>IFERROR(V144/V148, "NA")</f>
        <v>0</v>
      </c>
      <c r="X144" s="27">
        <v>0.0</v>
      </c>
      <c r="Y144" s="23">
        <f>IFERROR(X144/X148, "NA")</f>
        <v>0</v>
      </c>
      <c r="Z144" s="27">
        <v>0.0</v>
      </c>
      <c r="AA144" s="23">
        <f>IFERROR(Z144/Z148, "NA")</f>
        <v>0</v>
      </c>
      <c r="AB144" s="59">
        <f t="shared" ref="AB144:AB145" si="67">IFERROR((R144+T144+V144+X144)/4, "NA")</f>
        <v>0</v>
      </c>
      <c r="AC144" s="23">
        <f>IFERROR(AB144/AB148, "NA")</f>
        <v>0</v>
      </c>
      <c r="AD144" s="61">
        <f t="shared" ref="AD144:AD145" si="68">IFERROR(X144-AB144, "NA")</f>
        <v>0</v>
      </c>
      <c r="AE144" s="63">
        <f>IFERROR(AD144/AD148, "NA")</f>
        <v>0</v>
      </c>
      <c r="AF144" s="61" t="str">
        <f t="shared" ref="AF144:AF145" si="69">IFERROR((X144-AB144)/AB144, "NA")</f>
        <v>NA</v>
      </c>
      <c r="AG144" s="59">
        <f t="shared" ref="AG144:AG145" si="70">IFERROR((J144+L144+N144+P144+R144+T144+V144+X144)/8, "NA")</f>
        <v>0</v>
      </c>
      <c r="AH144" s="23">
        <f>IFERROR(AG144/AG148, "NA")</f>
        <v>0</v>
      </c>
      <c r="AI144" s="61">
        <f t="shared" ref="AI144:AI145" si="71">IFERROR(X144-AG144, "NA")</f>
        <v>0</v>
      </c>
      <c r="AJ144" s="63">
        <f>IFERROR(AI144/AI148, "NA")</f>
        <v>0</v>
      </c>
      <c r="AK144" s="61" t="str">
        <f t="shared" ref="AK144:AK145" si="72">IFERROR((X144-AG144)/AG144, "NA")</f>
        <v>NA</v>
      </c>
      <c r="AL144" s="63" t="str">
        <f>IFERROR(AK144/AK148, "NA")</f>
        <v>NA</v>
      </c>
    </row>
    <row r="145" ht="16.5" hidden="1" customHeight="1">
      <c r="A145" s="66" t="s">
        <v>242</v>
      </c>
      <c r="B145" s="67">
        <f>IFERROR(B144, "NA")</f>
        <v>0</v>
      </c>
      <c r="C145" s="69">
        <f>IFERROR(B145/B148, "NA")</f>
        <v>0</v>
      </c>
      <c r="D145" s="67">
        <f>IFERROR(D144, "NA")</f>
        <v>0</v>
      </c>
      <c r="E145" s="69">
        <f>IFERROR(D145/D148, "NA")</f>
        <v>0</v>
      </c>
      <c r="F145" s="67">
        <f>IFERROR(F144, "NA")</f>
        <v>0</v>
      </c>
      <c r="G145" s="69">
        <f>IFERROR(F145/F148, "NA")</f>
        <v>0</v>
      </c>
      <c r="H145" s="67">
        <f>IFERROR(H144, "NA")</f>
        <v>0</v>
      </c>
      <c r="I145" s="69">
        <f>IFERROR(H145/H148, "NA")</f>
        <v>0</v>
      </c>
      <c r="J145" s="67">
        <f>IFERROR(J144, "NA")</f>
        <v>0</v>
      </c>
      <c r="K145" s="69">
        <f>IFERROR(J145/J148, "NA")</f>
        <v>0</v>
      </c>
      <c r="L145" s="67">
        <f>IFERROR(L144, "NA")</f>
        <v>0</v>
      </c>
      <c r="M145" s="69">
        <f>IFERROR(L145/L148, "NA")</f>
        <v>0</v>
      </c>
      <c r="N145" s="67">
        <f>IFERROR(N144, "NA")</f>
        <v>0</v>
      </c>
      <c r="O145" s="69">
        <f>IFERROR(N145/N148, "NA")</f>
        <v>0</v>
      </c>
      <c r="P145" s="67">
        <f>IFERROR(P144, "NA")</f>
        <v>0</v>
      </c>
      <c r="Q145" s="69">
        <f>IFERROR(P145/P148, "NA")</f>
        <v>0</v>
      </c>
      <c r="R145" s="67">
        <f>IFERROR(R144, "NA")</f>
        <v>0</v>
      </c>
      <c r="S145" s="69">
        <f>IFERROR(R145/R148, "NA")</f>
        <v>0</v>
      </c>
      <c r="T145" s="67">
        <f>IFERROR(T144, "NA")</f>
        <v>0</v>
      </c>
      <c r="U145" s="69">
        <f>IFERROR(T145/T148, "NA")</f>
        <v>0</v>
      </c>
      <c r="V145" s="67">
        <f>IFERROR(V144, "NA")</f>
        <v>0</v>
      </c>
      <c r="W145" s="69">
        <f>IFERROR(V145/V148, "NA")</f>
        <v>0</v>
      </c>
      <c r="X145" s="67">
        <f>IFERROR(X144, "NA")</f>
        <v>0</v>
      </c>
      <c r="Y145" s="69">
        <f>IFERROR(X145/X148, "NA")</f>
        <v>0</v>
      </c>
      <c r="Z145" s="67">
        <f>IFERROR(Z144, "NA")</f>
        <v>0</v>
      </c>
      <c r="AA145" s="69">
        <f>IFERROR(Z145/Z148, "NA")</f>
        <v>0</v>
      </c>
      <c r="AB145" s="67">
        <f t="shared" si="67"/>
        <v>0</v>
      </c>
      <c r="AC145" s="69">
        <f>IFERROR(AB145/AB148, "NA")</f>
        <v>0</v>
      </c>
      <c r="AD145" s="70">
        <f t="shared" si="68"/>
        <v>0</v>
      </c>
      <c r="AE145" s="71">
        <f>IFERROR(AD145/AD148, "NA")</f>
        <v>0</v>
      </c>
      <c r="AF145" s="70" t="str">
        <f t="shared" si="69"/>
        <v>NA</v>
      </c>
      <c r="AG145" s="67">
        <f t="shared" si="70"/>
        <v>0</v>
      </c>
      <c r="AH145" s="69">
        <f>IFERROR(AG145/AG148, "NA")</f>
        <v>0</v>
      </c>
      <c r="AI145" s="70">
        <f t="shared" si="71"/>
        <v>0</v>
      </c>
      <c r="AJ145" s="71">
        <f>IFERROR(AI145/AI148, "NA")</f>
        <v>0</v>
      </c>
      <c r="AK145" s="70" t="str">
        <f t="shared" si="72"/>
        <v>NA</v>
      </c>
      <c r="AL145" s="71" t="str">
        <f>IFERROR(AK145/AK148, "NA")</f>
        <v>NA</v>
      </c>
    </row>
    <row r="146" ht="3.75" hidden="1" customHeight="1">
      <c r="A146" s="120" t="s">
        <v>6</v>
      </c>
      <c r="B146" s="121"/>
      <c r="C146" s="76"/>
      <c r="D146" s="121"/>
      <c r="E146" s="76"/>
      <c r="F146" s="121"/>
      <c r="G146" s="76"/>
      <c r="H146" s="121"/>
      <c r="I146" s="76"/>
      <c r="J146" s="121"/>
      <c r="K146" s="76"/>
      <c r="L146" s="121"/>
      <c r="M146" s="76"/>
      <c r="N146" s="121"/>
      <c r="O146" s="76"/>
      <c r="P146" s="121"/>
      <c r="Q146" s="76"/>
      <c r="R146" s="121"/>
      <c r="S146" s="76"/>
      <c r="T146" s="121"/>
      <c r="U146" s="76"/>
      <c r="V146" s="121"/>
      <c r="W146" s="76"/>
      <c r="X146" s="121"/>
      <c r="Y146" s="76"/>
      <c r="Z146" s="121"/>
      <c r="AA146" s="76"/>
      <c r="AB146" s="121"/>
      <c r="AC146" s="76"/>
      <c r="AD146" s="122"/>
      <c r="AE146" s="78"/>
      <c r="AF146" s="122"/>
      <c r="AG146" s="121"/>
      <c r="AH146" s="76"/>
      <c r="AI146" s="122"/>
      <c r="AJ146" s="78"/>
      <c r="AK146" s="122"/>
      <c r="AL146" s="78"/>
    </row>
    <row r="147" ht="16.5" hidden="1" customHeight="1">
      <c r="A147" s="118" t="s">
        <v>243</v>
      </c>
      <c r="B147" s="119">
        <f>IFERROR(B137-B141-B145, "NA")</f>
        <v>26919.67</v>
      </c>
      <c r="C147" s="107">
        <f>IFERROR(B147/B148, "NA")</f>
        <v>0.214625008</v>
      </c>
      <c r="D147" s="119">
        <f>IFERROR(D137-D141-D145, "NA")</f>
        <v>8045.74</v>
      </c>
      <c r="E147" s="107">
        <f>IFERROR(D147/D148, "NA")</f>
        <v>0.06006909588</v>
      </c>
      <c r="F147" s="119">
        <f>IFERROR(F137-F141-F145, "NA")</f>
        <v>-62552.91</v>
      </c>
      <c r="G147" s="107">
        <f>IFERROR(F147/F148, "NA")</f>
        <v>-0.4886726955</v>
      </c>
      <c r="H147" s="119">
        <f>IFERROR(H137-H141-H145, "NA")</f>
        <v>34225.21</v>
      </c>
      <c r="I147" s="107">
        <f>IFERROR(H147/H148, "NA")</f>
        <v>0.2956431579</v>
      </c>
      <c r="J147" s="119">
        <f>IFERROR(J137-J141-J145, "NA")</f>
        <v>38495.9</v>
      </c>
      <c r="K147" s="107">
        <f>IFERROR(J147/J148, "NA")</f>
        <v>0.2847522384</v>
      </c>
      <c r="L147" s="119">
        <f>IFERROR(L137-L141-L145, "NA")</f>
        <v>34092.79</v>
      </c>
      <c r="M147" s="107">
        <f>IFERROR(L147/L148, "NA")</f>
        <v>0.2689725938</v>
      </c>
      <c r="N147" s="119">
        <f>IFERROR(N137-N141-N145, "NA")</f>
        <v>11268.61</v>
      </c>
      <c r="O147" s="107">
        <f>IFERROR(N147/N148, "NA")</f>
        <v>0.08242182109</v>
      </c>
      <c r="P147" s="119">
        <f>IFERROR(P137-P141-P145, "NA")</f>
        <v>-71172.75</v>
      </c>
      <c r="Q147" s="107">
        <f>IFERROR(P147/P148, "NA")</f>
        <v>-0.4754597241</v>
      </c>
      <c r="R147" s="119">
        <f>IFERROR(R137-R141-R145, "NA")</f>
        <v>31702.28</v>
      </c>
      <c r="S147" s="107">
        <f>IFERROR(R147/R148, "NA")</f>
        <v>0.2575383654</v>
      </c>
      <c r="T147" s="119">
        <f>IFERROR(T137-T141-T145, "NA")</f>
        <v>45268.52</v>
      </c>
      <c r="U147" s="107">
        <f>IFERROR(T147/T148, "NA")</f>
        <v>0.2692633696</v>
      </c>
      <c r="V147" s="119">
        <f>IFERROR(V137-V141-V145, "NA")</f>
        <v>28476.96</v>
      </c>
      <c r="W147" s="107">
        <f>IFERROR(V147/V148, "NA")</f>
        <v>0.1711863876</v>
      </c>
      <c r="X147" s="119">
        <f>IFERROR(X137-X141-X145, "NA")</f>
        <v>44209.04</v>
      </c>
      <c r="Y147" s="107">
        <f>IFERROR(X147/X148, "NA")</f>
        <v>0.3193550174</v>
      </c>
      <c r="Z147" s="119">
        <f>IFERROR(Z137-Z141-Z145, "NA")</f>
        <v>149656.8</v>
      </c>
      <c r="AA147" s="107">
        <f>IFERROR(Z147/Z148, "NA")</f>
        <v>0.2511019924</v>
      </c>
      <c r="AB147" s="119">
        <f t="shared" ref="AB147:AB148" si="73">IFERROR((R147+T147+V147+X147)/4, "NA")</f>
        <v>37414.2</v>
      </c>
      <c r="AC147" s="107">
        <f>IFERROR(AB147/AB148, "NA")</f>
        <v>0.2511019924</v>
      </c>
      <c r="AD147" s="70">
        <f t="shared" ref="AD147:AD148" si="74">IFERROR(X147-AB147, "NA")</f>
        <v>6794.84</v>
      </c>
      <c r="AE147" s="71">
        <f>IFERROR(AD147/AD148, "NA")</f>
        <v>-0.6429793307</v>
      </c>
      <c r="AF147" s="70">
        <f t="shared" ref="AF147:AF148" si="75">IFERROR((X147-AB147)/AB147, "NA")</f>
        <v>0.1816112599</v>
      </c>
      <c r="AG147" s="119">
        <f t="shared" ref="AG147:AG148" si="76">IFERROR((J147+L147+N147+P147+R147+T147+V147+X147)/8, "NA")</f>
        <v>20292.66875</v>
      </c>
      <c r="AH147" s="107">
        <f>IFERROR(AG147/AG148, "NA")</f>
        <v>0.1418628664</v>
      </c>
      <c r="AI147" s="70">
        <f t="shared" ref="AI147:AI148" si="77">IFERROR(X147-AG147, "NA")</f>
        <v>23916.37125</v>
      </c>
      <c r="AJ147" s="71">
        <f>IFERROR(AI147/AI148, "NA")</f>
        <v>-5.185694516</v>
      </c>
      <c r="AK147" s="70">
        <f t="shared" ref="AK147:AK148" si="78">IFERROR((X147-AG147)/AG147, "NA")</f>
        <v>1.178572003</v>
      </c>
      <c r="AL147" s="71">
        <f>IFERROR(AK147/AK148, "NA")</f>
        <v>-36.554277</v>
      </c>
    </row>
    <row r="148" ht="14.25" hidden="1" customHeight="1">
      <c r="A148" s="26" t="s">
        <v>51</v>
      </c>
      <c r="B148" s="27">
        <v>125426.52999999998</v>
      </c>
      <c r="C148" s="125"/>
      <c r="D148" s="27">
        <v>133941.41999999998</v>
      </c>
      <c r="E148" s="125"/>
      <c r="F148" s="27">
        <v>128005.73999999999</v>
      </c>
      <c r="G148" s="125"/>
      <c r="H148" s="27">
        <v>115765.26999999999</v>
      </c>
      <c r="I148" s="125"/>
      <c r="J148" s="27">
        <v>135190.86000000002</v>
      </c>
      <c r="K148" s="125"/>
      <c r="L148" s="27">
        <v>126751.91</v>
      </c>
      <c r="M148" s="125"/>
      <c r="N148" s="27">
        <v>136718.77</v>
      </c>
      <c r="O148" s="125"/>
      <c r="P148" s="27">
        <v>149692.49000000002</v>
      </c>
      <c r="Q148" s="125"/>
      <c r="R148" s="27">
        <v>123097.31</v>
      </c>
      <c r="S148" s="125"/>
      <c r="T148" s="27">
        <v>168119.86</v>
      </c>
      <c r="U148" s="125"/>
      <c r="V148" s="27">
        <v>166350.61000000002</v>
      </c>
      <c r="W148" s="125"/>
      <c r="X148" s="27">
        <v>138432.27</v>
      </c>
      <c r="Y148" s="125"/>
      <c r="Z148" s="27">
        <v>596000.05</v>
      </c>
      <c r="AA148" s="125"/>
      <c r="AB148" s="59">
        <f t="shared" si="73"/>
        <v>149000.0125</v>
      </c>
      <c r="AC148" s="125"/>
      <c r="AD148" s="61">
        <f t="shared" si="74"/>
        <v>-10567.7425</v>
      </c>
      <c r="AE148" s="126"/>
      <c r="AF148" s="61">
        <f t="shared" si="75"/>
        <v>-0.07092444036</v>
      </c>
      <c r="AG148" s="59">
        <f t="shared" si="76"/>
        <v>143044.26</v>
      </c>
      <c r="AH148" s="125"/>
      <c r="AI148" s="61">
        <f t="shared" si="77"/>
        <v>-4611.99</v>
      </c>
      <c r="AJ148" s="126"/>
      <c r="AK148" s="61">
        <f t="shared" si="78"/>
        <v>-0.03224169918</v>
      </c>
      <c r="AL148" s="126"/>
    </row>
    <row r="149" ht="14.25" customHeight="1"/>
    <row r="150" ht="14.25" customHeight="1"/>
    <row r="151" ht="14.25" customHeight="1">
      <c r="A151" s="127" t="s">
        <v>244</v>
      </c>
    </row>
    <row r="152" ht="14.25" customHeight="1">
      <c r="A152" s="127" t="s">
        <v>245</v>
      </c>
    </row>
    <row r="153" ht="14.25" customHeight="1">
      <c r="A153" s="127" t="s">
        <v>246</v>
      </c>
    </row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1"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G5:AH5"/>
    <mergeCell ref="AI5:AJ5"/>
    <mergeCell ref="AK5:AL5"/>
    <mergeCell ref="A1:AL1"/>
    <mergeCell ref="A2:AL2"/>
    <mergeCell ref="A3:AL3"/>
    <mergeCell ref="B5:C5"/>
    <mergeCell ref="D5:E5"/>
    <mergeCell ref="F5:G5"/>
    <mergeCell ref="H5:I5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75"/>
  <cols>
    <col customWidth="1" min="1" max="1" width="37.5"/>
    <col customWidth="1" min="2" max="2" width="15.0"/>
    <col customWidth="1" min="3" max="3" width="8.25"/>
    <col customWidth="1" min="4" max="4" width="15.0"/>
    <col customWidth="1" min="5" max="5" width="8.25"/>
    <col customWidth="1" min="6" max="6" width="15.0"/>
    <col customWidth="1" min="7" max="7" width="8.25"/>
    <col customWidth="1" min="8" max="8" width="15.0"/>
    <col customWidth="1" min="9" max="9" width="8.25"/>
    <col customWidth="1" min="10" max="10" width="15.0"/>
    <col customWidth="1" min="11" max="11" width="8.25"/>
    <col customWidth="1" min="12" max="12" width="15.0"/>
    <col customWidth="1" min="13" max="13" width="8.25"/>
    <col customWidth="1" min="14" max="14" width="15.0"/>
    <col customWidth="1" min="15" max="15" width="8.25"/>
    <col customWidth="1" min="16" max="16" width="15.0"/>
    <col customWidth="1" min="17" max="17" width="8.25"/>
    <col customWidth="1" min="18" max="18" width="15.0"/>
    <col customWidth="1" min="19" max="19" width="8.25"/>
    <col customWidth="1" min="20" max="20" width="15.0"/>
    <col customWidth="1" min="21" max="21" width="8.25"/>
    <col customWidth="1" min="22" max="22" width="15.0"/>
    <col customWidth="1" min="23" max="23" width="8.25"/>
    <col customWidth="1" min="24" max="24" width="15.0"/>
    <col customWidth="1" min="25" max="25" width="8.25"/>
    <col customWidth="1" min="26" max="26" width="15.0"/>
    <col customWidth="1" min="27" max="27" width="8.25"/>
    <col customWidth="1" min="28" max="28" width="15.0"/>
    <col customWidth="1" min="29" max="29" width="8.25"/>
    <col customWidth="1" min="30" max="30" width="14.63"/>
    <col customWidth="1" hidden="1" min="31" max="31" width="7.63"/>
    <col customWidth="1" min="32" max="32" width="14.63"/>
    <col customWidth="1" min="33" max="33" width="15.0"/>
    <col customWidth="1" min="34" max="34" width="8.25"/>
    <col customWidth="1" min="35" max="35" width="14.63"/>
    <col customWidth="1" hidden="1" min="36" max="36" width="7.63"/>
    <col customWidth="1" min="37" max="37" width="14.63"/>
    <col customWidth="1" hidden="1" min="38" max="38" width="7.63"/>
  </cols>
  <sheetData>
    <row r="1" ht="14.25" customHeight="1">
      <c r="A1" s="3" t="s">
        <v>0</v>
      </c>
    </row>
    <row r="2" ht="14.25" customHeight="1">
      <c r="A2" s="5" t="s">
        <v>2</v>
      </c>
    </row>
    <row r="3" ht="14.25" customHeight="1">
      <c r="A3" s="6" t="s">
        <v>18</v>
      </c>
    </row>
    <row r="4" ht="14.25" customHeight="1"/>
    <row r="5" ht="13.5" customHeight="1">
      <c r="A5" s="8" t="s">
        <v>6</v>
      </c>
      <c r="B5" s="1" t="s">
        <v>9</v>
      </c>
      <c r="D5" s="1" t="s">
        <v>11</v>
      </c>
      <c r="F5" s="1" t="s">
        <v>13</v>
      </c>
      <c r="H5" s="1" t="s">
        <v>14</v>
      </c>
      <c r="J5" s="1" t="s">
        <v>16</v>
      </c>
      <c r="L5" s="1" t="s">
        <v>19</v>
      </c>
      <c r="N5" s="1" t="s">
        <v>20</v>
      </c>
      <c r="P5" s="1" t="s">
        <v>21</v>
      </c>
      <c r="R5" s="1" t="s">
        <v>22</v>
      </c>
      <c r="T5" s="1" t="s">
        <v>23</v>
      </c>
      <c r="V5" s="1" t="s">
        <v>24</v>
      </c>
      <c r="X5" s="1" t="s">
        <v>25</v>
      </c>
      <c r="Z5" s="1" t="s">
        <v>26</v>
      </c>
      <c r="AB5" s="1" t="s">
        <v>27</v>
      </c>
      <c r="AD5" s="15" t="s">
        <v>28</v>
      </c>
      <c r="AF5" s="15" t="s">
        <v>30</v>
      </c>
      <c r="AG5" s="1" t="s">
        <v>31</v>
      </c>
      <c r="AI5" s="15" t="s">
        <v>32</v>
      </c>
      <c r="AK5" s="15" t="s">
        <v>34</v>
      </c>
    </row>
    <row r="6" ht="16.5" customHeight="1">
      <c r="A6" s="17" t="s">
        <v>17</v>
      </c>
      <c r="B6" s="19"/>
      <c r="C6" s="13"/>
      <c r="D6" s="19"/>
      <c r="E6" s="13"/>
      <c r="F6" s="19"/>
      <c r="G6" s="13"/>
      <c r="H6" s="19"/>
      <c r="I6" s="13"/>
      <c r="J6" s="19"/>
      <c r="K6" s="13"/>
      <c r="L6" s="19"/>
      <c r="M6" s="13"/>
      <c r="N6" s="19"/>
      <c r="O6" s="13"/>
      <c r="P6" s="19"/>
      <c r="Q6" s="13"/>
      <c r="R6" s="19"/>
      <c r="S6" s="13"/>
      <c r="T6" s="19"/>
      <c r="U6" s="13"/>
      <c r="V6" s="19"/>
      <c r="W6" s="13"/>
      <c r="X6" s="19"/>
      <c r="Y6" s="13"/>
      <c r="Z6" s="19"/>
      <c r="AA6" s="13"/>
      <c r="AB6" s="19"/>
      <c r="AC6" s="13"/>
      <c r="AD6" s="24"/>
      <c r="AE6" s="25"/>
      <c r="AF6" s="24"/>
      <c r="AG6" s="19"/>
      <c r="AH6" s="13"/>
      <c r="AI6" s="24"/>
      <c r="AJ6" s="25"/>
      <c r="AK6" s="24"/>
      <c r="AL6" s="25"/>
    </row>
    <row r="7" ht="16.5" customHeight="1">
      <c r="A7" s="26" t="s">
        <v>17</v>
      </c>
      <c r="B7" s="27">
        <v>38579.340000000004</v>
      </c>
      <c r="C7" s="23">
        <f>IFERROR(B7/B148, "NA")</f>
        <v>1</v>
      </c>
      <c r="D7" s="27">
        <v>44951.459999999985</v>
      </c>
      <c r="E7" s="23">
        <f>IFERROR(D7/D148, "NA")</f>
        <v>1</v>
      </c>
      <c r="F7" s="27">
        <v>41204.02999999999</v>
      </c>
      <c r="G7" s="23">
        <f>IFERROR(F7/F148, "NA")</f>
        <v>1</v>
      </c>
      <c r="H7" s="27">
        <v>38753.799999999996</v>
      </c>
      <c r="I7" s="23">
        <f>IFERROR(H7/H148, "NA")</f>
        <v>1</v>
      </c>
      <c r="J7" s="27">
        <v>52305.73</v>
      </c>
      <c r="K7" s="23">
        <f>IFERROR(J7/J148, "NA")</f>
        <v>1</v>
      </c>
      <c r="L7" s="27">
        <v>50542.39</v>
      </c>
      <c r="M7" s="23">
        <f>IFERROR(L7/L148, "NA")</f>
        <v>1</v>
      </c>
      <c r="N7" s="27">
        <v>47289.11000000001</v>
      </c>
      <c r="O7" s="23">
        <f>IFERROR(N7/N148, "NA")</f>
        <v>1</v>
      </c>
      <c r="P7" s="27">
        <v>48050.12</v>
      </c>
      <c r="Q7" s="23">
        <f>IFERROR(P7/P148, "NA")</f>
        <v>1</v>
      </c>
      <c r="R7" s="27">
        <v>42443.33999999999</v>
      </c>
      <c r="S7" s="23">
        <f>IFERROR(R7/R148, "NA")</f>
        <v>1</v>
      </c>
      <c r="T7" s="27">
        <v>60324.63999999999</v>
      </c>
      <c r="U7" s="23">
        <f>IFERROR(T7/T148, "NA")</f>
        <v>1</v>
      </c>
      <c r="V7" s="27">
        <v>58771.329999999994</v>
      </c>
      <c r="W7" s="23">
        <f>IFERROR(V7/V148, "NA")</f>
        <v>1</v>
      </c>
      <c r="X7" s="27">
        <v>46477.03</v>
      </c>
      <c r="Y7" s="23">
        <f>IFERROR(X7/X148, "NA")</f>
        <v>1</v>
      </c>
      <c r="Z7" s="27">
        <v>208016.33999999994</v>
      </c>
      <c r="AA7" s="23">
        <f>IFERROR(Z7/Z148, "NA")</f>
        <v>1</v>
      </c>
      <c r="AB7" s="59">
        <f t="shared" ref="AB7:AB9" si="1">IFERROR((R7+T7+V7+X7)/4, "NA")</f>
        <v>52004.085</v>
      </c>
      <c r="AC7" s="23">
        <f>IFERROR(AB7/AB148, "NA")</f>
        <v>1</v>
      </c>
      <c r="AD7" s="61">
        <f t="shared" ref="AD7:AD9" si="2">IFERROR(X7-AB7, "NA")</f>
        <v>-5527.055</v>
      </c>
      <c r="AE7" s="63">
        <f>IFERROR(AD7/AD148, "NA")</f>
        <v>1</v>
      </c>
      <c r="AF7" s="61">
        <f t="shared" ref="AF7:AF9" si="3">IFERROR((X7-AB7)/AB7, "NA")</f>
        <v>-0.10628117</v>
      </c>
      <c r="AG7" s="59">
        <f t="shared" ref="AG7:AG9" si="4">IFERROR((J7+L7+N7+P7+R7+T7+V7+X7)/8, "NA")</f>
        <v>50775.46125</v>
      </c>
      <c r="AH7" s="23">
        <f>IFERROR(AG7/AG148, "NA")</f>
        <v>1</v>
      </c>
      <c r="AI7" s="61">
        <f t="shared" ref="AI7:AI9" si="5">IFERROR(X7-AG7, "NA")</f>
        <v>-4298.43125</v>
      </c>
      <c r="AJ7" s="63">
        <f>IFERROR(AI7/AI148, "NA")</f>
        <v>1</v>
      </c>
      <c r="AK7" s="61">
        <f t="shared" ref="AK7:AK9" si="6">IFERROR((X7-AG7)/AG7, "NA")</f>
        <v>-0.084655681</v>
      </c>
      <c r="AL7" s="63">
        <f>IFERROR(AK7/AK148, "NA")</f>
        <v>1</v>
      </c>
    </row>
    <row r="8" ht="30.75" hidden="1" customHeight="1">
      <c r="A8" s="26" t="s">
        <v>57</v>
      </c>
      <c r="B8" s="27">
        <v>0.0</v>
      </c>
      <c r="C8" s="23">
        <f>IFERROR(B8/B148, "NA")</f>
        <v>0</v>
      </c>
      <c r="D8" s="27">
        <v>0.0</v>
      </c>
      <c r="E8" s="23">
        <f>IFERROR(D8/D148, "NA")</f>
        <v>0</v>
      </c>
      <c r="F8" s="27">
        <v>0.0</v>
      </c>
      <c r="G8" s="23">
        <f>IFERROR(F8/F148, "NA")</f>
        <v>0</v>
      </c>
      <c r="H8" s="27">
        <v>0.0</v>
      </c>
      <c r="I8" s="23">
        <f>IFERROR(H8/H148, "NA")</f>
        <v>0</v>
      </c>
      <c r="J8" s="27">
        <v>0.0</v>
      </c>
      <c r="K8" s="23">
        <f>IFERROR(J8/J148, "NA")</f>
        <v>0</v>
      </c>
      <c r="L8" s="27">
        <v>0.0</v>
      </c>
      <c r="M8" s="23">
        <f>IFERROR(L8/L148, "NA")</f>
        <v>0</v>
      </c>
      <c r="N8" s="27">
        <v>0.0</v>
      </c>
      <c r="O8" s="23">
        <f>IFERROR(N8/N148, "NA")</f>
        <v>0</v>
      </c>
      <c r="P8" s="27">
        <v>0.0</v>
      </c>
      <c r="Q8" s="23">
        <f>IFERROR(P8/P148, "NA")</f>
        <v>0</v>
      </c>
      <c r="R8" s="27">
        <v>0.0</v>
      </c>
      <c r="S8" s="23">
        <f>IFERROR(R8/R148, "NA")</f>
        <v>0</v>
      </c>
      <c r="T8" s="27">
        <v>0.0</v>
      </c>
      <c r="U8" s="23">
        <f>IFERROR(T8/T148, "NA")</f>
        <v>0</v>
      </c>
      <c r="V8" s="27">
        <v>0.0</v>
      </c>
      <c r="W8" s="23">
        <f>IFERROR(V8/V148, "NA")</f>
        <v>0</v>
      </c>
      <c r="X8" s="27">
        <v>0.0</v>
      </c>
      <c r="Y8" s="23">
        <f>IFERROR(X8/X148, "NA")</f>
        <v>0</v>
      </c>
      <c r="Z8" s="27">
        <v>0.0</v>
      </c>
      <c r="AA8" s="23">
        <f>IFERROR(Z8/Z148, "NA")</f>
        <v>0</v>
      </c>
      <c r="AB8" s="59">
        <f t="shared" si="1"/>
        <v>0</v>
      </c>
      <c r="AC8" s="23">
        <f>IFERROR(AB8/AB148, "NA")</f>
        <v>0</v>
      </c>
      <c r="AD8" s="61">
        <f t="shared" si="2"/>
        <v>0</v>
      </c>
      <c r="AE8" s="63">
        <f>IFERROR(AD8/AD148, "NA")</f>
        <v>0</v>
      </c>
      <c r="AF8" s="61" t="str">
        <f t="shared" si="3"/>
        <v>NA</v>
      </c>
      <c r="AG8" s="59">
        <f t="shared" si="4"/>
        <v>0</v>
      </c>
      <c r="AH8" s="23">
        <f>IFERROR(AG8/AG148, "NA")</f>
        <v>0</v>
      </c>
      <c r="AI8" s="61">
        <f t="shared" si="5"/>
        <v>0</v>
      </c>
      <c r="AJ8" s="63">
        <f>IFERROR(AI8/AI148, "NA")</f>
        <v>0</v>
      </c>
      <c r="AK8" s="61" t="str">
        <f t="shared" si="6"/>
        <v>NA</v>
      </c>
      <c r="AL8" s="63" t="str">
        <f>IFERROR(AK8/AK148, "NA")</f>
        <v>NA</v>
      </c>
    </row>
    <row r="9" ht="16.5" customHeight="1">
      <c r="A9" s="66" t="s">
        <v>51</v>
      </c>
      <c r="B9" s="67">
        <f>IFERROR(B7+B8, "NA")</f>
        <v>38579.34</v>
      </c>
      <c r="C9" s="69">
        <f>IFERROR(B9/B148, "NA")</f>
        <v>1</v>
      </c>
      <c r="D9" s="67">
        <f>IFERROR(D7+D8, "NA")</f>
        <v>44951.46</v>
      </c>
      <c r="E9" s="69">
        <f>IFERROR(D9/D148, "NA")</f>
        <v>1</v>
      </c>
      <c r="F9" s="67">
        <f>IFERROR(F7+F8, "NA")</f>
        <v>41204.03</v>
      </c>
      <c r="G9" s="69">
        <f>IFERROR(F9/F148, "NA")</f>
        <v>1</v>
      </c>
      <c r="H9" s="67">
        <f>IFERROR(H7+H8, "NA")</f>
        <v>38753.8</v>
      </c>
      <c r="I9" s="69">
        <f>IFERROR(H9/H148, "NA")</f>
        <v>1</v>
      </c>
      <c r="J9" s="67">
        <f>IFERROR(J7+J8, "NA")</f>
        <v>52305.73</v>
      </c>
      <c r="K9" s="69">
        <f>IFERROR(J9/J148, "NA")</f>
        <v>1</v>
      </c>
      <c r="L9" s="67">
        <f>IFERROR(L7+L8, "NA")</f>
        <v>50542.39</v>
      </c>
      <c r="M9" s="69">
        <f>IFERROR(L9/L148, "NA")</f>
        <v>1</v>
      </c>
      <c r="N9" s="67">
        <f>IFERROR(N7+N8, "NA")</f>
        <v>47289.11</v>
      </c>
      <c r="O9" s="69">
        <f>IFERROR(N9/N148, "NA")</f>
        <v>1</v>
      </c>
      <c r="P9" s="67">
        <f>IFERROR(P7+P8, "NA")</f>
        <v>48050.12</v>
      </c>
      <c r="Q9" s="69">
        <f>IFERROR(P9/P148, "NA")</f>
        <v>1</v>
      </c>
      <c r="R9" s="67">
        <f>IFERROR(R7+R8, "NA")</f>
        <v>42443.34</v>
      </c>
      <c r="S9" s="69">
        <f>IFERROR(R9/R148, "NA")</f>
        <v>1</v>
      </c>
      <c r="T9" s="67">
        <f>IFERROR(T7+T8, "NA")</f>
        <v>60324.64</v>
      </c>
      <c r="U9" s="69">
        <f>IFERROR(T9/T148, "NA")</f>
        <v>1</v>
      </c>
      <c r="V9" s="67">
        <f>IFERROR(V7+V8, "NA")</f>
        <v>58771.33</v>
      </c>
      <c r="W9" s="69">
        <f>IFERROR(V9/V148, "NA")</f>
        <v>1</v>
      </c>
      <c r="X9" s="67">
        <f>IFERROR(X7+X8, "NA")</f>
        <v>46477.03</v>
      </c>
      <c r="Y9" s="69">
        <f>IFERROR(X9/X148, "NA")</f>
        <v>1</v>
      </c>
      <c r="Z9" s="67">
        <f>IFERROR(Z7+Z8, "NA")</f>
        <v>208016.34</v>
      </c>
      <c r="AA9" s="69">
        <f>IFERROR(Z9/Z148, "NA")</f>
        <v>1</v>
      </c>
      <c r="AB9" s="67">
        <f t="shared" si="1"/>
        <v>52004.085</v>
      </c>
      <c r="AC9" s="69">
        <f>IFERROR(AB9/AB148, "NA")</f>
        <v>1</v>
      </c>
      <c r="AD9" s="70">
        <f t="shared" si="2"/>
        <v>-5527.055</v>
      </c>
      <c r="AE9" s="71">
        <f>IFERROR(AD9/AD148, "NA")</f>
        <v>1</v>
      </c>
      <c r="AF9" s="70">
        <f t="shared" si="3"/>
        <v>-0.10628117</v>
      </c>
      <c r="AG9" s="67">
        <f t="shared" si="4"/>
        <v>50775.46125</v>
      </c>
      <c r="AH9" s="69">
        <f>IFERROR(AG9/AG148, "NA")</f>
        <v>1</v>
      </c>
      <c r="AI9" s="70">
        <f t="shared" si="5"/>
        <v>-4298.43125</v>
      </c>
      <c r="AJ9" s="71">
        <f>IFERROR(AI9/AI148, "NA")</f>
        <v>1</v>
      </c>
      <c r="AK9" s="70">
        <f t="shared" si="6"/>
        <v>-0.084655681</v>
      </c>
      <c r="AL9" s="71">
        <f>IFERROR(AK9/AK148, "NA")</f>
        <v>1</v>
      </c>
    </row>
    <row r="10" ht="3.75" customHeight="1">
      <c r="A10" s="74" t="s">
        <v>6</v>
      </c>
      <c r="B10" s="75"/>
      <c r="C10" s="76"/>
      <c r="D10" s="75"/>
      <c r="E10" s="76"/>
      <c r="F10" s="75"/>
      <c r="G10" s="76"/>
      <c r="H10" s="75"/>
      <c r="I10" s="76"/>
      <c r="J10" s="75"/>
      <c r="K10" s="76"/>
      <c r="L10" s="75"/>
      <c r="M10" s="76"/>
      <c r="N10" s="75"/>
      <c r="O10" s="76"/>
      <c r="P10" s="75"/>
      <c r="Q10" s="76"/>
      <c r="R10" s="75"/>
      <c r="S10" s="76"/>
      <c r="T10" s="75"/>
      <c r="U10" s="76"/>
      <c r="V10" s="75"/>
      <c r="W10" s="76"/>
      <c r="X10" s="75"/>
      <c r="Y10" s="76"/>
      <c r="Z10" s="75"/>
      <c r="AA10" s="76"/>
      <c r="AB10" s="75"/>
      <c r="AC10" s="76"/>
      <c r="AD10" s="77"/>
      <c r="AE10" s="78"/>
      <c r="AF10" s="77"/>
      <c r="AG10" s="75"/>
      <c r="AH10" s="76"/>
      <c r="AI10" s="77"/>
      <c r="AJ10" s="78"/>
      <c r="AK10" s="77"/>
      <c r="AL10" s="78"/>
    </row>
    <row r="11" ht="16.5" customHeight="1">
      <c r="A11" s="17" t="s">
        <v>64</v>
      </c>
      <c r="B11" s="19"/>
      <c r="C11" s="13"/>
      <c r="D11" s="19"/>
      <c r="E11" s="13"/>
      <c r="F11" s="19"/>
      <c r="G11" s="13"/>
      <c r="H11" s="19"/>
      <c r="I11" s="13"/>
      <c r="J11" s="19"/>
      <c r="K11" s="13"/>
      <c r="L11" s="19"/>
      <c r="M11" s="13"/>
      <c r="N11" s="19"/>
      <c r="O11" s="13"/>
      <c r="P11" s="19"/>
      <c r="Q11" s="13"/>
      <c r="R11" s="19"/>
      <c r="S11" s="13"/>
      <c r="T11" s="19"/>
      <c r="U11" s="13"/>
      <c r="V11" s="19"/>
      <c r="W11" s="13"/>
      <c r="X11" s="19"/>
      <c r="Y11" s="13"/>
      <c r="Z11" s="19"/>
      <c r="AA11" s="13"/>
      <c r="AB11" s="19"/>
      <c r="AC11" s="13"/>
      <c r="AD11" s="24"/>
      <c r="AE11" s="25"/>
      <c r="AF11" s="24"/>
      <c r="AG11" s="19"/>
      <c r="AH11" s="13"/>
      <c r="AI11" s="24"/>
      <c r="AJ11" s="25"/>
      <c r="AK11" s="24"/>
      <c r="AL11" s="25"/>
    </row>
    <row r="12" ht="16.5" customHeight="1">
      <c r="A12" s="17" t="s">
        <v>65</v>
      </c>
      <c r="B12" s="19"/>
      <c r="C12" s="13"/>
      <c r="D12" s="19"/>
      <c r="E12" s="13"/>
      <c r="F12" s="19"/>
      <c r="G12" s="13"/>
      <c r="H12" s="19"/>
      <c r="I12" s="13"/>
      <c r="J12" s="19"/>
      <c r="K12" s="13"/>
      <c r="L12" s="19"/>
      <c r="M12" s="13"/>
      <c r="N12" s="19"/>
      <c r="O12" s="13"/>
      <c r="P12" s="19"/>
      <c r="Q12" s="13"/>
      <c r="R12" s="19"/>
      <c r="S12" s="13"/>
      <c r="T12" s="19"/>
      <c r="U12" s="13"/>
      <c r="V12" s="19"/>
      <c r="W12" s="13"/>
      <c r="X12" s="19"/>
      <c r="Y12" s="13"/>
      <c r="Z12" s="19"/>
      <c r="AA12" s="13"/>
      <c r="AB12" s="19"/>
      <c r="AC12" s="13"/>
      <c r="AD12" s="24"/>
      <c r="AE12" s="25"/>
      <c r="AF12" s="24"/>
      <c r="AG12" s="19"/>
      <c r="AH12" s="13"/>
      <c r="AI12" s="24"/>
      <c r="AJ12" s="25"/>
      <c r="AK12" s="24"/>
      <c r="AL12" s="25"/>
    </row>
    <row r="13" ht="16.5" hidden="1" customHeight="1">
      <c r="A13" s="26" t="s">
        <v>66</v>
      </c>
      <c r="B13" s="27">
        <v>0.0</v>
      </c>
      <c r="C13" s="23">
        <f>IFERROR(B13/B148, "NA")</f>
        <v>0</v>
      </c>
      <c r="D13" s="27">
        <v>0.0</v>
      </c>
      <c r="E13" s="23">
        <f>IFERROR(D13/D148, "NA")</f>
        <v>0</v>
      </c>
      <c r="F13" s="27">
        <v>0.0</v>
      </c>
      <c r="G13" s="23">
        <f>IFERROR(F13/F148, "NA")</f>
        <v>0</v>
      </c>
      <c r="H13" s="27">
        <v>0.0</v>
      </c>
      <c r="I13" s="23">
        <f>IFERROR(H13/H148, "NA")</f>
        <v>0</v>
      </c>
      <c r="J13" s="27">
        <v>0.0</v>
      </c>
      <c r="K13" s="23">
        <f>IFERROR(J13/J148, "NA")</f>
        <v>0</v>
      </c>
      <c r="L13" s="27">
        <v>0.0</v>
      </c>
      <c r="M13" s="23">
        <f>IFERROR(L13/L148, "NA")</f>
        <v>0</v>
      </c>
      <c r="N13" s="27">
        <v>0.0</v>
      </c>
      <c r="O13" s="23">
        <f>IFERROR(N13/N148, "NA")</f>
        <v>0</v>
      </c>
      <c r="P13" s="27">
        <v>0.0</v>
      </c>
      <c r="Q13" s="23">
        <f>IFERROR(P13/P148, "NA")</f>
        <v>0</v>
      </c>
      <c r="R13" s="27">
        <v>0.0</v>
      </c>
      <c r="S13" s="23">
        <f>IFERROR(R13/R148, "NA")</f>
        <v>0</v>
      </c>
      <c r="T13" s="27">
        <v>0.0</v>
      </c>
      <c r="U13" s="23">
        <f>IFERROR(T13/T148, "NA")</f>
        <v>0</v>
      </c>
      <c r="V13" s="27">
        <v>0.0</v>
      </c>
      <c r="W13" s="23">
        <f>IFERROR(V13/V148, "NA")</f>
        <v>0</v>
      </c>
      <c r="X13" s="27">
        <v>0.0</v>
      </c>
      <c r="Y13" s="23">
        <f>IFERROR(X13/X148, "NA")</f>
        <v>0</v>
      </c>
      <c r="Z13" s="27">
        <v>0.0</v>
      </c>
      <c r="AA13" s="23">
        <f>IFERROR(Z13/Z148, "NA")</f>
        <v>0</v>
      </c>
      <c r="AB13" s="59">
        <f>IFERROR((R13+T13+V13+X13)/4, "NA")</f>
        <v>0</v>
      </c>
      <c r="AC13" s="23">
        <f>IFERROR(AB13/AB148, "NA")</f>
        <v>0</v>
      </c>
      <c r="AD13" s="61">
        <f>IFERROR(X13-AB13, "NA")</f>
        <v>0</v>
      </c>
      <c r="AE13" s="63">
        <f>IFERROR(AD13/AD148, "NA")</f>
        <v>0</v>
      </c>
      <c r="AF13" s="61" t="str">
        <f>IFERROR((X13-AB13)/AB13, "NA")</f>
        <v>NA</v>
      </c>
      <c r="AG13" s="59">
        <f>IFERROR((J13+L13+N13+P13+R13+T13+V13+X13)/8, "NA")</f>
        <v>0</v>
      </c>
      <c r="AH13" s="23">
        <f>IFERROR(AG13/AG148, "NA")</f>
        <v>0</v>
      </c>
      <c r="AI13" s="61">
        <f>IFERROR(X13-AG13, "NA")</f>
        <v>0</v>
      </c>
      <c r="AJ13" s="63">
        <f>IFERROR(AI13/AI148, "NA")</f>
        <v>0</v>
      </c>
      <c r="AK13" s="61" t="str">
        <f>IFERROR((X13-AG13)/AG13, "NA")</f>
        <v>NA</v>
      </c>
      <c r="AL13" s="63" t="str">
        <f>IFERROR(AK13/AK148, "NA")</f>
        <v>NA</v>
      </c>
    </row>
    <row r="14" ht="16.5" customHeight="1">
      <c r="A14" s="17" t="s">
        <v>67</v>
      </c>
      <c r="B14" s="19"/>
      <c r="C14" s="13"/>
      <c r="D14" s="19"/>
      <c r="E14" s="13"/>
      <c r="F14" s="19"/>
      <c r="G14" s="13"/>
      <c r="H14" s="19"/>
      <c r="I14" s="13"/>
      <c r="J14" s="19"/>
      <c r="K14" s="13"/>
      <c r="L14" s="19"/>
      <c r="M14" s="13"/>
      <c r="N14" s="19"/>
      <c r="O14" s="13"/>
      <c r="P14" s="19"/>
      <c r="Q14" s="13"/>
      <c r="R14" s="19"/>
      <c r="S14" s="13"/>
      <c r="T14" s="19"/>
      <c r="U14" s="13"/>
      <c r="V14" s="19"/>
      <c r="W14" s="13"/>
      <c r="X14" s="19"/>
      <c r="Y14" s="13"/>
      <c r="Z14" s="19"/>
      <c r="AA14" s="13"/>
      <c r="AB14" s="19"/>
      <c r="AC14" s="13"/>
      <c r="AD14" s="24"/>
      <c r="AE14" s="25"/>
      <c r="AF14" s="24"/>
      <c r="AG14" s="19"/>
      <c r="AH14" s="13"/>
      <c r="AI14" s="24"/>
      <c r="AJ14" s="25"/>
      <c r="AK14" s="24"/>
      <c r="AL14" s="25"/>
    </row>
    <row r="15" ht="16.5" hidden="1" customHeight="1">
      <c r="A15" s="26" t="s">
        <v>68</v>
      </c>
      <c r="B15" s="27">
        <v>0.0</v>
      </c>
      <c r="C15" s="23">
        <f>IFERROR(B15/B148, "NA")</f>
        <v>0</v>
      </c>
      <c r="D15" s="27">
        <v>0.0</v>
      </c>
      <c r="E15" s="23">
        <f>IFERROR(D15/D148, "NA")</f>
        <v>0</v>
      </c>
      <c r="F15" s="27">
        <v>0.0</v>
      </c>
      <c r="G15" s="23">
        <f>IFERROR(F15/F148, "NA")</f>
        <v>0</v>
      </c>
      <c r="H15" s="27">
        <v>0.0</v>
      </c>
      <c r="I15" s="23">
        <f>IFERROR(H15/H148, "NA")</f>
        <v>0</v>
      </c>
      <c r="J15" s="27">
        <v>0.0</v>
      </c>
      <c r="K15" s="23">
        <f>IFERROR(J15/J148, "NA")</f>
        <v>0</v>
      </c>
      <c r="L15" s="27">
        <v>0.0</v>
      </c>
      <c r="M15" s="23">
        <f>IFERROR(L15/L148, "NA")</f>
        <v>0</v>
      </c>
      <c r="N15" s="27">
        <v>0.0</v>
      </c>
      <c r="O15" s="23">
        <f>IFERROR(N15/N148, "NA")</f>
        <v>0</v>
      </c>
      <c r="P15" s="27">
        <v>0.0</v>
      </c>
      <c r="Q15" s="23">
        <f>IFERROR(P15/P148, "NA")</f>
        <v>0</v>
      </c>
      <c r="R15" s="27">
        <v>0.0</v>
      </c>
      <c r="S15" s="23">
        <f>IFERROR(R15/R148, "NA")</f>
        <v>0</v>
      </c>
      <c r="T15" s="27">
        <v>0.0</v>
      </c>
      <c r="U15" s="23">
        <f>IFERROR(T15/T148, "NA")</f>
        <v>0</v>
      </c>
      <c r="V15" s="27">
        <v>0.0</v>
      </c>
      <c r="W15" s="23">
        <f>IFERROR(V15/V148, "NA")</f>
        <v>0</v>
      </c>
      <c r="X15" s="27">
        <v>0.0</v>
      </c>
      <c r="Y15" s="23">
        <f>IFERROR(X15/X148, "NA")</f>
        <v>0</v>
      </c>
      <c r="Z15" s="27">
        <v>0.0</v>
      </c>
      <c r="AA15" s="23">
        <f>IFERROR(Z15/Z148, "NA")</f>
        <v>0</v>
      </c>
      <c r="AB15" s="59">
        <f t="shared" ref="AB15:AB27" si="7">IFERROR((R15+T15+V15+X15)/4, "NA")</f>
        <v>0</v>
      </c>
      <c r="AC15" s="23">
        <f>IFERROR(AB15/AB148, "NA")</f>
        <v>0</v>
      </c>
      <c r="AD15" s="61">
        <f t="shared" ref="AD15:AD27" si="8">IFERROR(X15-AB15, "NA")</f>
        <v>0</v>
      </c>
      <c r="AE15" s="63">
        <f>IFERROR(AD15/AD148, "NA")</f>
        <v>0</v>
      </c>
      <c r="AF15" s="61" t="str">
        <f t="shared" ref="AF15:AF27" si="9">IFERROR((X15-AB15)/AB15, "NA")</f>
        <v>NA</v>
      </c>
      <c r="AG15" s="59">
        <f t="shared" ref="AG15:AG27" si="10">IFERROR((J15+L15+N15+P15+R15+T15+V15+X15)/8, "NA")</f>
        <v>0</v>
      </c>
      <c r="AH15" s="23">
        <f>IFERROR(AG15/AG148, "NA")</f>
        <v>0</v>
      </c>
      <c r="AI15" s="61">
        <f t="shared" ref="AI15:AI27" si="11">IFERROR(X15-AG15, "NA")</f>
        <v>0</v>
      </c>
      <c r="AJ15" s="63">
        <f>IFERROR(AI15/AI148, "NA")</f>
        <v>0</v>
      </c>
      <c r="AK15" s="61" t="str">
        <f t="shared" ref="AK15:AK27" si="12">IFERROR((X15-AG15)/AG15, "NA")</f>
        <v>NA</v>
      </c>
      <c r="AL15" s="63" t="str">
        <f>IFERROR(AK15/AK148, "NA")</f>
        <v>NA</v>
      </c>
    </row>
    <row r="16" ht="16.5" customHeight="1">
      <c r="A16" s="26" t="s">
        <v>69</v>
      </c>
      <c r="B16" s="27">
        <v>2300.5</v>
      </c>
      <c r="C16" s="23">
        <f>IFERROR(B16/B148, "NA")</f>
        <v>0.05963036174</v>
      </c>
      <c r="D16" s="27">
        <v>2048.3</v>
      </c>
      <c r="E16" s="23">
        <f>IFERROR(D16/D148, "NA")</f>
        <v>0.04556692931</v>
      </c>
      <c r="F16" s="27">
        <v>2306.79</v>
      </c>
      <c r="G16" s="23">
        <f>IFERROR(F16/F148, "NA")</f>
        <v>0.05598457238</v>
      </c>
      <c r="H16" s="27">
        <v>2062.98</v>
      </c>
      <c r="I16" s="23">
        <f>IFERROR(H16/H148, "NA")</f>
        <v>0.05323297328</v>
      </c>
      <c r="J16" s="27">
        <v>1922.47</v>
      </c>
      <c r="K16" s="23">
        <f>IFERROR(J16/J148, "NA")</f>
        <v>0.03675448177</v>
      </c>
      <c r="L16" s="27">
        <v>2214.97</v>
      </c>
      <c r="M16" s="23">
        <f>IFERROR(L16/L148, "NA")</f>
        <v>0.04382400595</v>
      </c>
      <c r="N16" s="27">
        <v>1994.99</v>
      </c>
      <c r="O16" s="23">
        <f>IFERROR(N16/N148, "NA")</f>
        <v>0.04218709128</v>
      </c>
      <c r="P16" s="27">
        <v>2293.08</v>
      </c>
      <c r="Q16" s="23">
        <f>IFERROR(P16/P148, "NA")</f>
        <v>0.04772266958</v>
      </c>
      <c r="R16" s="27">
        <v>1491.24</v>
      </c>
      <c r="S16" s="23">
        <f>IFERROR(R16/R148, "NA")</f>
        <v>0.03513484094</v>
      </c>
      <c r="T16" s="27">
        <v>2534.56</v>
      </c>
      <c r="U16" s="23">
        <f>IFERROR(T16/T148, "NA")</f>
        <v>0.04201533569</v>
      </c>
      <c r="V16" s="27">
        <v>2644.52</v>
      </c>
      <c r="W16" s="23">
        <f>IFERROR(V16/V148, "NA")</f>
        <v>0.04499676968</v>
      </c>
      <c r="X16" s="27">
        <v>1661.85</v>
      </c>
      <c r="Y16" s="23">
        <f>IFERROR(X16/X148, "NA")</f>
        <v>0.03575637256</v>
      </c>
      <c r="Z16" s="27">
        <v>8332.17</v>
      </c>
      <c r="AA16" s="23">
        <f>IFERROR(Z16/Z148, "NA")</f>
        <v>0.04005536296</v>
      </c>
      <c r="AB16" s="59">
        <f t="shared" si="7"/>
        <v>2083.0425</v>
      </c>
      <c r="AC16" s="23">
        <f>IFERROR(AB16/AB148, "NA")</f>
        <v>0.04005536296</v>
      </c>
      <c r="AD16" s="61">
        <f t="shared" si="8"/>
        <v>-421.1925</v>
      </c>
      <c r="AE16" s="63">
        <f>IFERROR(AD16/AD148, "NA")</f>
        <v>0.07620559231</v>
      </c>
      <c r="AF16" s="61">
        <f t="shared" si="9"/>
        <v>-0.2022006272</v>
      </c>
      <c r="AG16" s="59">
        <f t="shared" si="10"/>
        <v>2094.71</v>
      </c>
      <c r="AH16" s="23">
        <f>IFERROR(AG16/AG148, "NA")</f>
        <v>0.04125437659</v>
      </c>
      <c r="AI16" s="61">
        <f t="shared" si="11"/>
        <v>-432.86</v>
      </c>
      <c r="AJ16" s="63">
        <f>IFERROR(AI16/AI148, "NA")</f>
        <v>0.1007018549</v>
      </c>
      <c r="AK16" s="61">
        <f t="shared" si="12"/>
        <v>-0.2066443565</v>
      </c>
      <c r="AL16" s="63">
        <f>IFERROR(AK16/AK148, "NA")</f>
        <v>2.4409981</v>
      </c>
    </row>
    <row r="17" ht="16.5" customHeight="1">
      <c r="A17" s="26" t="s">
        <v>70</v>
      </c>
      <c r="B17" s="27">
        <v>996.06</v>
      </c>
      <c r="C17" s="23">
        <f>IFERROR(B17/B148, "NA")</f>
        <v>0.02581848212</v>
      </c>
      <c r="D17" s="27">
        <v>1027.15</v>
      </c>
      <c r="E17" s="23">
        <f>IFERROR(D17/D148, "NA")</f>
        <v>0.02285020331</v>
      </c>
      <c r="F17" s="27">
        <v>1214.53</v>
      </c>
      <c r="G17" s="23">
        <f>IFERROR(F17/F148, "NA")</f>
        <v>0.02947600028</v>
      </c>
      <c r="H17" s="27">
        <v>932.38</v>
      </c>
      <c r="I17" s="23">
        <f>IFERROR(H17/H148, "NA")</f>
        <v>0.02405906001</v>
      </c>
      <c r="J17" s="27">
        <v>1184.67</v>
      </c>
      <c r="K17" s="23">
        <f>IFERROR(J17/J148, "NA")</f>
        <v>0.02264895261</v>
      </c>
      <c r="L17" s="27">
        <v>1255.0</v>
      </c>
      <c r="M17" s="23">
        <f>IFERROR(L17/L148, "NA")</f>
        <v>0.02483064216</v>
      </c>
      <c r="N17" s="27">
        <v>1018.99</v>
      </c>
      <c r="O17" s="23">
        <f>IFERROR(N17/N148, "NA")</f>
        <v>0.02154809004</v>
      </c>
      <c r="P17" s="27">
        <v>1027.39</v>
      </c>
      <c r="Q17" s="23">
        <f>IFERROR(P17/P148, "NA")</f>
        <v>0.02138163235</v>
      </c>
      <c r="R17" s="27">
        <v>1106.86</v>
      </c>
      <c r="S17" s="23">
        <f>IFERROR(R17/R148, "NA")</f>
        <v>0.02607853199</v>
      </c>
      <c r="T17" s="27">
        <v>1329.3</v>
      </c>
      <c r="U17" s="23">
        <f>IFERROR(T17/T148, "NA")</f>
        <v>0.02203577178</v>
      </c>
      <c r="V17" s="27">
        <v>1296.64</v>
      </c>
      <c r="W17" s="23">
        <f>IFERROR(V17/V148, "NA")</f>
        <v>0.022062458</v>
      </c>
      <c r="X17" s="27">
        <v>1102.15</v>
      </c>
      <c r="Y17" s="23">
        <f>IFERROR(X17/X148, "NA")</f>
        <v>0.02371386468</v>
      </c>
      <c r="Z17" s="27">
        <v>4834.95</v>
      </c>
      <c r="AA17" s="23">
        <f>IFERROR(Z17/Z148, "NA")</f>
        <v>0.023243126</v>
      </c>
      <c r="AB17" s="59">
        <f t="shared" si="7"/>
        <v>1208.7375</v>
      </c>
      <c r="AC17" s="23">
        <f>IFERROR(AB17/AB148, "NA")</f>
        <v>0.023243126</v>
      </c>
      <c r="AD17" s="61">
        <f t="shared" si="8"/>
        <v>-106.5875</v>
      </c>
      <c r="AE17" s="63">
        <f>IFERROR(AD17/AD148, "NA")</f>
        <v>0.01928468235</v>
      </c>
      <c r="AF17" s="61">
        <f t="shared" si="9"/>
        <v>-0.08818084985</v>
      </c>
      <c r="AG17" s="59">
        <f t="shared" si="10"/>
        <v>1165.125</v>
      </c>
      <c r="AH17" s="23">
        <f>IFERROR(AG17/AG148, "NA")</f>
        <v>0.02294661577</v>
      </c>
      <c r="AI17" s="61">
        <f t="shared" si="11"/>
        <v>-62.975</v>
      </c>
      <c r="AJ17" s="63">
        <f>IFERROR(AI17/AI148, "NA")</f>
        <v>0.01465069379</v>
      </c>
      <c r="AK17" s="61">
        <f t="shared" si="12"/>
        <v>-0.05404999464</v>
      </c>
      <c r="AL17" s="63">
        <f>IFERROR(AK17/AK148, "NA")</f>
        <v>0.638468606</v>
      </c>
    </row>
    <row r="18" ht="16.5" customHeight="1">
      <c r="A18" s="26" t="s">
        <v>73</v>
      </c>
      <c r="B18" s="27">
        <v>1589.54</v>
      </c>
      <c r="C18" s="23">
        <f>IFERROR(B18/B148, "NA")</f>
        <v>0.04120184534</v>
      </c>
      <c r="D18" s="27">
        <v>1918.84</v>
      </c>
      <c r="E18" s="23">
        <f>IFERROR(D18/D148, "NA")</f>
        <v>0.04268693386</v>
      </c>
      <c r="F18" s="27">
        <v>1770.34</v>
      </c>
      <c r="G18" s="23">
        <f>IFERROR(F18/F148, "NA")</f>
        <v>0.04296521481</v>
      </c>
      <c r="H18" s="27">
        <v>1727.14</v>
      </c>
      <c r="I18" s="23">
        <f>IFERROR(H18/H148, "NA")</f>
        <v>0.0445669844</v>
      </c>
      <c r="J18" s="27">
        <v>2253.38</v>
      </c>
      <c r="K18" s="23">
        <f>IFERROR(J18/J148, "NA")</f>
        <v>0.0430809397</v>
      </c>
      <c r="L18" s="27">
        <v>2105.16</v>
      </c>
      <c r="M18" s="23">
        <f>IFERROR(L18/L148, "NA")</f>
        <v>0.04165137422</v>
      </c>
      <c r="N18" s="27">
        <v>1917.75</v>
      </c>
      <c r="O18" s="23">
        <f>IFERROR(N18/N148, "NA")</f>
        <v>0.04055373425</v>
      </c>
      <c r="P18" s="27">
        <v>2463.05</v>
      </c>
      <c r="Q18" s="23">
        <f>IFERROR(P18/P148, "NA")</f>
        <v>0.05126001766</v>
      </c>
      <c r="R18" s="27">
        <v>941.31</v>
      </c>
      <c r="S18" s="23">
        <f>IFERROR(R18/R148, "NA")</f>
        <v>0.02217803783</v>
      </c>
      <c r="T18" s="27">
        <v>2006.71</v>
      </c>
      <c r="U18" s="23">
        <f>IFERROR(T18/T148, "NA")</f>
        <v>0.03326517987</v>
      </c>
      <c r="V18" s="27">
        <v>1954.19</v>
      </c>
      <c r="W18" s="23">
        <f>IFERROR(V18/V148, "NA")</f>
        <v>0.03325073637</v>
      </c>
      <c r="X18" s="27">
        <v>1395.0</v>
      </c>
      <c r="Y18" s="23">
        <f>IFERROR(X18/X148, "NA")</f>
        <v>0.03001482668</v>
      </c>
      <c r="Z18" s="27">
        <v>6297.21</v>
      </c>
      <c r="AA18" s="23">
        <f>IFERROR(Z18/Z148, "NA")</f>
        <v>0.03027266993</v>
      </c>
      <c r="AB18" s="59">
        <f t="shared" si="7"/>
        <v>1574.3025</v>
      </c>
      <c r="AC18" s="23">
        <f>IFERROR(AB18/AB148, "NA")</f>
        <v>0.03027266993</v>
      </c>
      <c r="AD18" s="61">
        <f t="shared" si="8"/>
        <v>-179.3025</v>
      </c>
      <c r="AE18" s="63">
        <f>IFERROR(AD18/AD148, "NA")</f>
        <v>0.03244087493</v>
      </c>
      <c r="AF18" s="61">
        <f t="shared" si="9"/>
        <v>-0.1138932956</v>
      </c>
      <c r="AG18" s="59">
        <f t="shared" si="10"/>
        <v>1879.56875</v>
      </c>
      <c r="AH18" s="23">
        <f>IFERROR(AG18/AG148, "NA")</f>
        <v>0.03701726589</v>
      </c>
      <c r="AI18" s="61">
        <f t="shared" si="11"/>
        <v>-484.56875</v>
      </c>
      <c r="AJ18" s="63">
        <f>IFERROR(AI18/AI148, "NA")</f>
        <v>0.1127315343</v>
      </c>
      <c r="AK18" s="61">
        <f t="shared" si="12"/>
        <v>-0.2578084734</v>
      </c>
      <c r="AL18" s="63">
        <f>IFERROR(AK18/AK148, "NA")</f>
        <v>3.045377113</v>
      </c>
    </row>
    <row r="19" ht="16.5" customHeight="1">
      <c r="A19" s="26" t="s">
        <v>74</v>
      </c>
      <c r="B19" s="27">
        <v>592.3</v>
      </c>
      <c r="C19" s="23">
        <f>IFERROR(B19/B148, "NA")</f>
        <v>0.0153527769</v>
      </c>
      <c r="D19" s="27">
        <v>940.45</v>
      </c>
      <c r="E19" s="23">
        <f>IFERROR(D19/D148, "NA")</f>
        <v>0.02092145617</v>
      </c>
      <c r="F19" s="27">
        <v>999.61</v>
      </c>
      <c r="G19" s="23">
        <f>IFERROR(F19/F148, "NA")</f>
        <v>0.02426000564</v>
      </c>
      <c r="H19" s="27">
        <v>842.63</v>
      </c>
      <c r="I19" s="23">
        <f>IFERROR(H19/H148, "NA")</f>
        <v>0.02174315809</v>
      </c>
      <c r="J19" s="27">
        <v>1168.21</v>
      </c>
      <c r="K19" s="23">
        <f>IFERROR(J19/J148, "NA")</f>
        <v>0.02233426433</v>
      </c>
      <c r="L19" s="27">
        <v>826.99</v>
      </c>
      <c r="M19" s="23">
        <f>IFERROR(L19/L148, "NA")</f>
        <v>0.01636230499</v>
      </c>
      <c r="N19" s="27">
        <v>1046.05</v>
      </c>
      <c r="O19" s="23">
        <f>IFERROR(N19/N148, "NA")</f>
        <v>0.0221203148</v>
      </c>
      <c r="P19" s="27">
        <v>737.21</v>
      </c>
      <c r="Q19" s="23">
        <f>IFERROR(P19/P148, "NA")</f>
        <v>0.01534252152</v>
      </c>
      <c r="R19" s="27">
        <v>1062.75</v>
      </c>
      <c r="S19" s="23">
        <f>IFERROR(R19/R148, "NA")</f>
        <v>0.02503926411</v>
      </c>
      <c r="T19" s="27">
        <v>1048.99</v>
      </c>
      <c r="U19" s="23">
        <f>IFERROR(T19/T148, "NA")</f>
        <v>0.01738908015</v>
      </c>
      <c r="V19" s="27">
        <v>1080.03</v>
      </c>
      <c r="W19" s="23">
        <f>IFERROR(V19/V148, "NA")</f>
        <v>0.0183768174</v>
      </c>
      <c r="X19" s="27">
        <v>1073.48</v>
      </c>
      <c r="Y19" s="23">
        <f>IFERROR(X19/X148, "NA")</f>
        <v>0.02309700082</v>
      </c>
      <c r="Z19" s="27">
        <v>4265.25</v>
      </c>
      <c r="AA19" s="23">
        <f>IFERROR(Z19/Z148, "NA")</f>
        <v>0.02050439884</v>
      </c>
      <c r="AB19" s="59">
        <f t="shared" si="7"/>
        <v>1066.3125</v>
      </c>
      <c r="AC19" s="23">
        <f>IFERROR(AB19/AB148, "NA")</f>
        <v>0.02050439884</v>
      </c>
      <c r="AD19" s="61">
        <f t="shared" si="8"/>
        <v>7.1675</v>
      </c>
      <c r="AE19" s="63">
        <f>IFERROR(AD19/AD148, "NA")</f>
        <v>-0.001296802728</v>
      </c>
      <c r="AF19" s="61">
        <f t="shared" si="9"/>
        <v>0.006721763085</v>
      </c>
      <c r="AG19" s="59">
        <f t="shared" si="10"/>
        <v>1005.46375</v>
      </c>
      <c r="AH19" s="23">
        <f>IFERROR(AG19/AG148, "NA")</f>
        <v>0.01980215886</v>
      </c>
      <c r="AI19" s="61">
        <f t="shared" si="11"/>
        <v>68.01625</v>
      </c>
      <c r="AJ19" s="63">
        <f>IFERROR(AI19/AI148, "NA")</f>
        <v>-0.01582350538</v>
      </c>
      <c r="AK19" s="61">
        <f t="shared" si="12"/>
        <v>0.06764664564</v>
      </c>
      <c r="AL19" s="63">
        <f>IFERROR(AK19/AK148, "NA")</f>
        <v>-0.7990798118</v>
      </c>
    </row>
    <row r="20" ht="16.5" customHeight="1">
      <c r="A20" s="26" t="s">
        <v>75</v>
      </c>
      <c r="B20" s="27">
        <v>485.52</v>
      </c>
      <c r="C20" s="23">
        <f>IFERROR(B20/B148, "NA")</f>
        <v>0.01258497424</v>
      </c>
      <c r="D20" s="27">
        <v>511.35</v>
      </c>
      <c r="E20" s="23">
        <f>IFERROR(D20/D148, "NA")</f>
        <v>0.01137560382</v>
      </c>
      <c r="F20" s="27">
        <v>528.26</v>
      </c>
      <c r="G20" s="23">
        <f>IFERROR(F20/F148, "NA")</f>
        <v>0.01282059061</v>
      </c>
      <c r="H20" s="27">
        <v>505.54</v>
      </c>
      <c r="I20" s="23">
        <f>IFERROR(H20/H148, "NA")</f>
        <v>0.01304491431</v>
      </c>
      <c r="J20" s="27">
        <v>711.08</v>
      </c>
      <c r="K20" s="23">
        <f>IFERROR(J20/J148, "NA")</f>
        <v>0.01359468647</v>
      </c>
      <c r="L20" s="27">
        <v>471.91</v>
      </c>
      <c r="M20" s="23">
        <f>IFERROR(L20/L148, "NA")</f>
        <v>0.009336915013</v>
      </c>
      <c r="N20" s="27">
        <v>464.1</v>
      </c>
      <c r="O20" s="23">
        <f>IFERROR(N20/N148, "NA")</f>
        <v>0.009814098849</v>
      </c>
      <c r="P20" s="27">
        <v>567.64</v>
      </c>
      <c r="Q20" s="23">
        <f>IFERROR(P20/P148, "NA")</f>
        <v>0.01181349807</v>
      </c>
      <c r="R20" s="27">
        <v>511.4</v>
      </c>
      <c r="S20" s="23">
        <f>IFERROR(R20/R148, "NA")</f>
        <v>0.01204900463</v>
      </c>
      <c r="T20" s="27">
        <v>598.74</v>
      </c>
      <c r="U20" s="23">
        <f>IFERROR(T20/T148, "NA")</f>
        <v>0.009925297524</v>
      </c>
      <c r="V20" s="27">
        <v>700.65</v>
      </c>
      <c r="W20" s="23">
        <f>IFERROR(V20/V148, "NA")</f>
        <v>0.01192162913</v>
      </c>
      <c r="X20" s="27">
        <v>593.52</v>
      </c>
      <c r="Y20" s="23">
        <f>IFERROR(X20/X148, "NA")</f>
        <v>0.01277017916</v>
      </c>
      <c r="Z20" s="27">
        <v>2404.31</v>
      </c>
      <c r="AA20" s="23">
        <f>IFERROR(Z20/Z148, "NA")</f>
        <v>0.0115582747</v>
      </c>
      <c r="AB20" s="59">
        <f t="shared" si="7"/>
        <v>601.0775</v>
      </c>
      <c r="AC20" s="23">
        <f>IFERROR(AB20/AB148, "NA")</f>
        <v>0.0115582747</v>
      </c>
      <c r="AD20" s="61">
        <f t="shared" si="8"/>
        <v>-7.5575</v>
      </c>
      <c r="AE20" s="63">
        <f>IFERROR(AD20/AD148, "NA")</f>
        <v>0.001367364718</v>
      </c>
      <c r="AF20" s="61">
        <f t="shared" si="9"/>
        <v>-0.01257325386</v>
      </c>
      <c r="AG20" s="59">
        <f t="shared" si="10"/>
        <v>577.38</v>
      </c>
      <c r="AH20" s="23">
        <f>IFERROR(AG20/AG148, "NA")</f>
        <v>0.01137124087</v>
      </c>
      <c r="AI20" s="61">
        <f t="shared" si="11"/>
        <v>16.14</v>
      </c>
      <c r="AJ20" s="63">
        <f>IFERROR(AI20/AI148, "NA")</f>
        <v>-0.00375485824</v>
      </c>
      <c r="AK20" s="61">
        <f t="shared" si="12"/>
        <v>0.02795386054</v>
      </c>
      <c r="AL20" s="63">
        <f>IFERROR(AK20/AK148, "NA")</f>
        <v>-0.3302065522</v>
      </c>
    </row>
    <row r="21" ht="16.5" customHeight="1">
      <c r="A21" s="26" t="s">
        <v>76</v>
      </c>
      <c r="B21" s="27">
        <v>299.6</v>
      </c>
      <c r="C21" s="23">
        <f>IFERROR(B21/B148, "NA")</f>
        <v>0.007765814553</v>
      </c>
      <c r="D21" s="27">
        <v>389.66</v>
      </c>
      <c r="E21" s="23">
        <f>IFERROR(D21/D148, "NA")</f>
        <v>0.008668461492</v>
      </c>
      <c r="F21" s="27">
        <v>367.47</v>
      </c>
      <c r="G21" s="23">
        <f>IFERROR(F21/F148, "NA")</f>
        <v>0.008918302409</v>
      </c>
      <c r="H21" s="27">
        <v>452.34</v>
      </c>
      <c r="I21" s="23">
        <f>IFERROR(H21/H148, "NA")</f>
        <v>0.0116721457</v>
      </c>
      <c r="J21" s="27">
        <v>567.08</v>
      </c>
      <c r="K21" s="23">
        <f>IFERROR(J21/J148, "NA")</f>
        <v>0.01084164202</v>
      </c>
      <c r="L21" s="27">
        <v>427.84</v>
      </c>
      <c r="M21" s="23">
        <f>IFERROR(L21/L148, "NA")</f>
        <v>0.008464973659</v>
      </c>
      <c r="N21" s="27">
        <v>624.8</v>
      </c>
      <c r="O21" s="23">
        <f>IFERROR(N21/N148, "NA")</f>
        <v>0.01321234424</v>
      </c>
      <c r="P21" s="27">
        <v>242.66</v>
      </c>
      <c r="Q21" s="23">
        <f>IFERROR(P21/P148, "NA")</f>
        <v>0.005050143475</v>
      </c>
      <c r="R21" s="27">
        <v>463.03</v>
      </c>
      <c r="S21" s="23">
        <f>IFERROR(R21/R148, "NA")</f>
        <v>0.01090936764</v>
      </c>
      <c r="T21" s="27">
        <v>753.68</v>
      </c>
      <c r="U21" s="23">
        <f>IFERROR(T21/T148, "NA")</f>
        <v>0.0124937339</v>
      </c>
      <c r="V21" s="27">
        <v>277.8</v>
      </c>
      <c r="W21" s="23">
        <f>IFERROR(V21/V148, "NA")</f>
        <v>0.00472679451</v>
      </c>
      <c r="X21" s="27">
        <v>525.52</v>
      </c>
      <c r="Y21" s="23">
        <f>IFERROR(X21/X148, "NA")</f>
        <v>0.01130709084</v>
      </c>
      <c r="Z21" s="27">
        <v>2020.03</v>
      </c>
      <c r="AA21" s="23">
        <f>IFERROR(Z21/Z148, "NA")</f>
        <v>0.009710919825</v>
      </c>
      <c r="AB21" s="59">
        <f t="shared" si="7"/>
        <v>505.0075</v>
      </c>
      <c r="AC21" s="23">
        <f>IFERROR(AB21/AB148, "NA")</f>
        <v>0.009710919825</v>
      </c>
      <c r="AD21" s="61">
        <f t="shared" si="8"/>
        <v>20.5125</v>
      </c>
      <c r="AE21" s="63">
        <f>IFERROR(AD21/AD148, "NA")</f>
        <v>-0.003711289285</v>
      </c>
      <c r="AF21" s="61">
        <f t="shared" si="9"/>
        <v>0.04061820864</v>
      </c>
      <c r="AG21" s="59">
        <f t="shared" si="10"/>
        <v>485.30125</v>
      </c>
      <c r="AH21" s="23">
        <f>IFERROR(AG21/AG148, "NA")</f>
        <v>0.009557791068</v>
      </c>
      <c r="AI21" s="61">
        <f t="shared" si="11"/>
        <v>40.21875</v>
      </c>
      <c r="AJ21" s="63">
        <f>IFERROR(AI21/AI148, "NA")</f>
        <v>-0.009356611206</v>
      </c>
      <c r="AK21" s="61">
        <f t="shared" si="12"/>
        <v>0.08287378201</v>
      </c>
      <c r="AL21" s="63">
        <f>IFERROR(AK21/AK148, "NA")</f>
        <v>-0.9789512178</v>
      </c>
    </row>
    <row r="22" ht="16.5" hidden="1" customHeight="1">
      <c r="A22" s="26" t="s">
        <v>77</v>
      </c>
      <c r="B22" s="27">
        <v>0.0</v>
      </c>
      <c r="C22" s="23">
        <f>IFERROR(B22/B148, "NA")</f>
        <v>0</v>
      </c>
      <c r="D22" s="27">
        <v>0.0</v>
      </c>
      <c r="E22" s="23">
        <f>IFERROR(D22/D148, "NA")</f>
        <v>0</v>
      </c>
      <c r="F22" s="27">
        <v>0.0</v>
      </c>
      <c r="G22" s="23">
        <f>IFERROR(F22/F148, "NA")</f>
        <v>0</v>
      </c>
      <c r="H22" s="27">
        <v>0.0</v>
      </c>
      <c r="I22" s="23">
        <f>IFERROR(H22/H148, "NA")</f>
        <v>0</v>
      </c>
      <c r="J22" s="27">
        <v>0.0</v>
      </c>
      <c r="K22" s="23">
        <f>IFERROR(J22/J148, "NA")</f>
        <v>0</v>
      </c>
      <c r="L22" s="27">
        <v>0.0</v>
      </c>
      <c r="M22" s="23">
        <f>IFERROR(L22/L148, "NA")</f>
        <v>0</v>
      </c>
      <c r="N22" s="27">
        <v>0.0</v>
      </c>
      <c r="O22" s="23">
        <f>IFERROR(N22/N148, "NA")</f>
        <v>0</v>
      </c>
      <c r="P22" s="27">
        <v>0.0</v>
      </c>
      <c r="Q22" s="23">
        <f>IFERROR(P22/P148, "NA")</f>
        <v>0</v>
      </c>
      <c r="R22" s="27">
        <v>0.0</v>
      </c>
      <c r="S22" s="23">
        <f>IFERROR(R22/R148, "NA")</f>
        <v>0</v>
      </c>
      <c r="T22" s="27">
        <v>0.0</v>
      </c>
      <c r="U22" s="23">
        <f>IFERROR(T22/T148, "NA")</f>
        <v>0</v>
      </c>
      <c r="V22" s="27">
        <v>0.0</v>
      </c>
      <c r="W22" s="23">
        <f>IFERROR(V22/V148, "NA")</f>
        <v>0</v>
      </c>
      <c r="X22" s="27">
        <v>0.0</v>
      </c>
      <c r="Y22" s="23">
        <f>IFERROR(X22/X148, "NA")</f>
        <v>0</v>
      </c>
      <c r="Z22" s="27">
        <v>0.0</v>
      </c>
      <c r="AA22" s="23">
        <f>IFERROR(Z22/Z148, "NA")</f>
        <v>0</v>
      </c>
      <c r="AB22" s="59">
        <f t="shared" si="7"/>
        <v>0</v>
      </c>
      <c r="AC22" s="23">
        <f>IFERROR(AB22/AB148, "NA")</f>
        <v>0</v>
      </c>
      <c r="AD22" s="61">
        <f t="shared" si="8"/>
        <v>0</v>
      </c>
      <c r="AE22" s="63">
        <f>IFERROR(AD22/AD148, "NA")</f>
        <v>0</v>
      </c>
      <c r="AF22" s="61" t="str">
        <f t="shared" si="9"/>
        <v>NA</v>
      </c>
      <c r="AG22" s="59">
        <f t="shared" si="10"/>
        <v>0</v>
      </c>
      <c r="AH22" s="23">
        <f>IFERROR(AG22/AG148, "NA")</f>
        <v>0</v>
      </c>
      <c r="AI22" s="61">
        <f t="shared" si="11"/>
        <v>0</v>
      </c>
      <c r="AJ22" s="63">
        <f>IFERROR(AI22/AI148, "NA")</f>
        <v>0</v>
      </c>
      <c r="AK22" s="61" t="str">
        <f t="shared" si="12"/>
        <v>NA</v>
      </c>
      <c r="AL22" s="63" t="str">
        <f>IFERROR(AK22/AK148, "NA")</f>
        <v>NA</v>
      </c>
    </row>
    <row r="23" ht="16.5" customHeight="1">
      <c r="A23" s="26" t="s">
        <v>78</v>
      </c>
      <c r="B23" s="27">
        <v>154.46</v>
      </c>
      <c r="C23" s="23">
        <f>IFERROR(B23/B148, "NA")</f>
        <v>0.004003697316</v>
      </c>
      <c r="D23" s="27">
        <v>298.63</v>
      </c>
      <c r="E23" s="23">
        <f>IFERROR(D23/D148, "NA")</f>
        <v>0.006643388224</v>
      </c>
      <c r="F23" s="27">
        <v>66.98</v>
      </c>
      <c r="G23" s="23">
        <f>IFERROR(F23/F148, "NA")</f>
        <v>0.001625569149</v>
      </c>
      <c r="H23" s="27">
        <v>234.92</v>
      </c>
      <c r="I23" s="23">
        <f>IFERROR(H23/H148, "NA")</f>
        <v>0.00606185716</v>
      </c>
      <c r="J23" s="27">
        <v>114.7</v>
      </c>
      <c r="K23" s="23">
        <f>IFERROR(J23/J148, "NA")</f>
        <v>0.002192876383</v>
      </c>
      <c r="L23" s="27">
        <v>254.91</v>
      </c>
      <c r="M23" s="23">
        <f>IFERROR(L23/L148, "NA")</f>
        <v>0.005043489237</v>
      </c>
      <c r="N23" s="27">
        <v>306.16</v>
      </c>
      <c r="O23" s="23">
        <f>IFERROR(N23/N148, "NA")</f>
        <v>0.006474217848</v>
      </c>
      <c r="P23" s="27">
        <v>281.05</v>
      </c>
      <c r="Q23" s="23">
        <f>IFERROR(P23/P148, "NA")</f>
        <v>0.005849100897</v>
      </c>
      <c r="R23" s="27">
        <v>340.68</v>
      </c>
      <c r="S23" s="23">
        <f>IFERROR(R23/R148, "NA")</f>
        <v>0.008026701009</v>
      </c>
      <c r="T23" s="27">
        <v>425.63</v>
      </c>
      <c r="U23" s="23">
        <f>IFERROR(T23/T148, "NA")</f>
        <v>0.007055657522</v>
      </c>
      <c r="V23" s="27">
        <v>23.59</v>
      </c>
      <c r="W23" s="23">
        <f>IFERROR(V23/V148, "NA")</f>
        <v>0.0004013861861</v>
      </c>
      <c r="X23" s="27">
        <v>261.0</v>
      </c>
      <c r="Y23" s="23">
        <f>IFERROR(X23/X148, "NA")</f>
        <v>0.00561567725</v>
      </c>
      <c r="Z23" s="27">
        <v>1050.9</v>
      </c>
      <c r="AA23" s="23">
        <f>IFERROR(Z23/Z148, "NA")</f>
        <v>0.005052006972</v>
      </c>
      <c r="AB23" s="59">
        <f t="shared" si="7"/>
        <v>262.725</v>
      </c>
      <c r="AC23" s="23">
        <f>IFERROR(AB23/AB148, "NA")</f>
        <v>0.005052006972</v>
      </c>
      <c r="AD23" s="61">
        <f t="shared" si="8"/>
        <v>-1.725</v>
      </c>
      <c r="AE23" s="63">
        <f>IFERROR(AD23/AD148, "NA")</f>
        <v>0.0003121011099</v>
      </c>
      <c r="AF23" s="61">
        <f t="shared" si="9"/>
        <v>-0.006565800742</v>
      </c>
      <c r="AG23" s="59">
        <f t="shared" si="10"/>
        <v>250.965</v>
      </c>
      <c r="AH23" s="23">
        <f>IFERROR(AG23/AG148, "NA")</f>
        <v>0.004942643431</v>
      </c>
      <c r="AI23" s="61">
        <f t="shared" si="11"/>
        <v>10.035</v>
      </c>
      <c r="AJ23" s="63">
        <f>IFERROR(AI23/AI148, "NA")</f>
        <v>-0.002334572642</v>
      </c>
      <c r="AK23" s="61">
        <f t="shared" si="12"/>
        <v>0.03998565537</v>
      </c>
      <c r="AL23" s="63">
        <f>IFERROR(AK23/AK148, "NA")</f>
        <v>-0.4723328063</v>
      </c>
    </row>
    <row r="24" ht="16.5" customHeight="1">
      <c r="A24" s="26" t="s">
        <v>79</v>
      </c>
      <c r="B24" s="27">
        <v>2300.92</v>
      </c>
      <c r="C24" s="23">
        <f>IFERROR(B24/B148, "NA")</f>
        <v>0.0596412484</v>
      </c>
      <c r="D24" s="27">
        <v>2803.12</v>
      </c>
      <c r="E24" s="23">
        <f>IFERROR(D24/D148, "NA")</f>
        <v>0.06235881994</v>
      </c>
      <c r="F24" s="27">
        <v>2159.5</v>
      </c>
      <c r="G24" s="23">
        <f>IFERROR(F24/F148, "NA")</f>
        <v>0.05240992204</v>
      </c>
      <c r="H24" s="27">
        <v>2322.25</v>
      </c>
      <c r="I24" s="23">
        <f>IFERROR(H24/H148, "NA")</f>
        <v>0.05992315592</v>
      </c>
      <c r="J24" s="27">
        <v>2862.04</v>
      </c>
      <c r="K24" s="23">
        <f>IFERROR(J24/J148, "NA")</f>
        <v>0.0547175233</v>
      </c>
      <c r="L24" s="27">
        <v>2713.38</v>
      </c>
      <c r="M24" s="23">
        <f>IFERROR(L24/L148, "NA")</f>
        <v>0.05368523333</v>
      </c>
      <c r="N24" s="27">
        <v>2596.9</v>
      </c>
      <c r="O24" s="23">
        <f>IFERROR(N24/N148, "NA")</f>
        <v>0.05491539173</v>
      </c>
      <c r="P24" s="27">
        <v>2607.45</v>
      </c>
      <c r="Q24" s="23">
        <f>IFERROR(P24/P148, "NA")</f>
        <v>0.05426521307</v>
      </c>
      <c r="R24" s="27">
        <v>2356.64</v>
      </c>
      <c r="S24" s="23">
        <f>IFERROR(R24/R148, "NA")</f>
        <v>0.05552437673</v>
      </c>
      <c r="T24" s="27">
        <v>2963.89</v>
      </c>
      <c r="U24" s="23">
        <f>IFERROR(T24/T148, "NA")</f>
        <v>0.04913232802</v>
      </c>
      <c r="V24" s="27">
        <v>2755.98</v>
      </c>
      <c r="W24" s="23">
        <f>IFERROR(V24/V148, "NA")</f>
        <v>0.04689327262</v>
      </c>
      <c r="X24" s="27">
        <v>2429.73</v>
      </c>
      <c r="Y24" s="23">
        <f>IFERROR(X24/X148, "NA")</f>
        <v>0.05227808231</v>
      </c>
      <c r="Z24" s="27">
        <v>10506.24</v>
      </c>
      <c r="AA24" s="23">
        <f>IFERROR(Z24/Z148, "NA")</f>
        <v>0.05050680153</v>
      </c>
      <c r="AB24" s="59">
        <f t="shared" si="7"/>
        <v>2626.56</v>
      </c>
      <c r="AC24" s="23">
        <f>IFERROR(AB24/AB148, "NA")</f>
        <v>0.05050680153</v>
      </c>
      <c r="AD24" s="61">
        <f t="shared" si="8"/>
        <v>-196.83</v>
      </c>
      <c r="AE24" s="63">
        <f>IFERROR(AD24/AD148, "NA")</f>
        <v>0.0356120936</v>
      </c>
      <c r="AF24" s="61">
        <f t="shared" si="9"/>
        <v>-0.07493832237</v>
      </c>
      <c r="AG24" s="59">
        <f t="shared" si="10"/>
        <v>2660.75125</v>
      </c>
      <c r="AH24" s="23">
        <f>IFERROR(AG24/AG148, "NA")</f>
        <v>0.05240230585</v>
      </c>
      <c r="AI24" s="61">
        <f t="shared" si="11"/>
        <v>-231.02125</v>
      </c>
      <c r="AJ24" s="63">
        <f>IFERROR(AI24/AI148, "NA")</f>
        <v>0.05374547982</v>
      </c>
      <c r="AK24" s="61">
        <f t="shared" si="12"/>
        <v>-0.08682557229</v>
      </c>
      <c r="AL24" s="63">
        <f>IFERROR(AK24/AK148, "NA")</f>
        <v>1.025631963</v>
      </c>
    </row>
    <row r="25" ht="16.5" hidden="1" customHeight="1">
      <c r="A25" s="26" t="s">
        <v>80</v>
      </c>
      <c r="B25" s="27">
        <v>0.0</v>
      </c>
      <c r="C25" s="23">
        <f>IFERROR(B25/B148, "NA")</f>
        <v>0</v>
      </c>
      <c r="D25" s="27">
        <v>0.0</v>
      </c>
      <c r="E25" s="23">
        <f>IFERROR(D25/D148, "NA")</f>
        <v>0</v>
      </c>
      <c r="F25" s="27">
        <v>0.0</v>
      </c>
      <c r="G25" s="23">
        <f>IFERROR(F25/F148, "NA")</f>
        <v>0</v>
      </c>
      <c r="H25" s="27">
        <v>0.0</v>
      </c>
      <c r="I25" s="23">
        <f>IFERROR(H25/H148, "NA")</f>
        <v>0</v>
      </c>
      <c r="J25" s="27">
        <v>0.0</v>
      </c>
      <c r="K25" s="23">
        <f>IFERROR(J25/J148, "NA")</f>
        <v>0</v>
      </c>
      <c r="L25" s="27">
        <v>0.0</v>
      </c>
      <c r="M25" s="23">
        <f>IFERROR(L25/L148, "NA")</f>
        <v>0</v>
      </c>
      <c r="N25" s="27">
        <v>0.0</v>
      </c>
      <c r="O25" s="23">
        <f>IFERROR(N25/N148, "NA")</f>
        <v>0</v>
      </c>
      <c r="P25" s="27">
        <v>0.0</v>
      </c>
      <c r="Q25" s="23">
        <f>IFERROR(P25/P148, "NA")</f>
        <v>0</v>
      </c>
      <c r="R25" s="27">
        <v>0.0</v>
      </c>
      <c r="S25" s="23">
        <f>IFERROR(R25/R148, "NA")</f>
        <v>0</v>
      </c>
      <c r="T25" s="27">
        <v>0.0</v>
      </c>
      <c r="U25" s="23">
        <f>IFERROR(T25/T148, "NA")</f>
        <v>0</v>
      </c>
      <c r="V25" s="27">
        <v>0.0</v>
      </c>
      <c r="W25" s="23">
        <f>IFERROR(V25/V148, "NA")</f>
        <v>0</v>
      </c>
      <c r="X25" s="27">
        <v>0.0</v>
      </c>
      <c r="Y25" s="23">
        <f>IFERROR(X25/X148, "NA")</f>
        <v>0</v>
      </c>
      <c r="Z25" s="27">
        <v>0.0</v>
      </c>
      <c r="AA25" s="23">
        <f>IFERROR(Z25/Z148, "NA")</f>
        <v>0</v>
      </c>
      <c r="AB25" s="59">
        <f t="shared" si="7"/>
        <v>0</v>
      </c>
      <c r="AC25" s="23">
        <f>IFERROR(AB25/AB148, "NA")</f>
        <v>0</v>
      </c>
      <c r="AD25" s="61">
        <f t="shared" si="8"/>
        <v>0</v>
      </c>
      <c r="AE25" s="63">
        <f>IFERROR(AD25/AD148, "NA")</f>
        <v>0</v>
      </c>
      <c r="AF25" s="61" t="str">
        <f t="shared" si="9"/>
        <v>NA</v>
      </c>
      <c r="AG25" s="59">
        <f t="shared" si="10"/>
        <v>0</v>
      </c>
      <c r="AH25" s="23">
        <f>IFERROR(AG25/AG148, "NA")</f>
        <v>0</v>
      </c>
      <c r="AI25" s="61">
        <f t="shared" si="11"/>
        <v>0</v>
      </c>
      <c r="AJ25" s="63">
        <f>IFERROR(AI25/AI148, "NA")</f>
        <v>0</v>
      </c>
      <c r="AK25" s="61" t="str">
        <f t="shared" si="12"/>
        <v>NA</v>
      </c>
      <c r="AL25" s="63" t="str">
        <f>IFERROR(AK25/AK148, "NA")</f>
        <v>NA</v>
      </c>
    </row>
    <row r="26" ht="16.5" hidden="1" customHeight="1">
      <c r="A26" s="26" t="s">
        <v>81</v>
      </c>
      <c r="B26" s="27">
        <v>0.0</v>
      </c>
      <c r="C26" s="23">
        <f>IFERROR(B26/B148, "NA")</f>
        <v>0</v>
      </c>
      <c r="D26" s="27">
        <v>0.0</v>
      </c>
      <c r="E26" s="23">
        <f>IFERROR(D26/D148, "NA")</f>
        <v>0</v>
      </c>
      <c r="F26" s="27">
        <v>0.0</v>
      </c>
      <c r="G26" s="23">
        <f>IFERROR(F26/F148, "NA")</f>
        <v>0</v>
      </c>
      <c r="H26" s="27">
        <v>0.0</v>
      </c>
      <c r="I26" s="23">
        <f>IFERROR(H26/H148, "NA")</f>
        <v>0</v>
      </c>
      <c r="J26" s="27">
        <v>0.0</v>
      </c>
      <c r="K26" s="23">
        <f>IFERROR(J26/J148, "NA")</f>
        <v>0</v>
      </c>
      <c r="L26" s="27">
        <v>0.0</v>
      </c>
      <c r="M26" s="23">
        <f>IFERROR(L26/L148, "NA")</f>
        <v>0</v>
      </c>
      <c r="N26" s="27">
        <v>0.0</v>
      </c>
      <c r="O26" s="23">
        <f>IFERROR(N26/N148, "NA")</f>
        <v>0</v>
      </c>
      <c r="P26" s="27">
        <v>0.0</v>
      </c>
      <c r="Q26" s="23">
        <f>IFERROR(P26/P148, "NA")</f>
        <v>0</v>
      </c>
      <c r="R26" s="27">
        <v>0.0</v>
      </c>
      <c r="S26" s="23">
        <f>IFERROR(R26/R148, "NA")</f>
        <v>0</v>
      </c>
      <c r="T26" s="27">
        <v>0.0</v>
      </c>
      <c r="U26" s="23">
        <f>IFERROR(T26/T148, "NA")</f>
        <v>0</v>
      </c>
      <c r="V26" s="27">
        <v>0.0</v>
      </c>
      <c r="W26" s="23">
        <f>IFERROR(V26/V148, "NA")</f>
        <v>0</v>
      </c>
      <c r="X26" s="27">
        <v>0.0</v>
      </c>
      <c r="Y26" s="23">
        <f>IFERROR(X26/X148, "NA")</f>
        <v>0</v>
      </c>
      <c r="Z26" s="27">
        <v>0.0</v>
      </c>
      <c r="AA26" s="23">
        <f>IFERROR(Z26/Z148, "NA")</f>
        <v>0</v>
      </c>
      <c r="AB26" s="59">
        <f t="shared" si="7"/>
        <v>0</v>
      </c>
      <c r="AC26" s="23">
        <f>IFERROR(AB26/AB148, "NA")</f>
        <v>0</v>
      </c>
      <c r="AD26" s="61">
        <f t="shared" si="8"/>
        <v>0</v>
      </c>
      <c r="AE26" s="63">
        <f>IFERROR(AD26/AD148, "NA")</f>
        <v>0</v>
      </c>
      <c r="AF26" s="61" t="str">
        <f t="shared" si="9"/>
        <v>NA</v>
      </c>
      <c r="AG26" s="59">
        <f t="shared" si="10"/>
        <v>0</v>
      </c>
      <c r="AH26" s="23">
        <f>IFERROR(AG26/AG148, "NA")</f>
        <v>0</v>
      </c>
      <c r="AI26" s="61">
        <f t="shared" si="11"/>
        <v>0</v>
      </c>
      <c r="AJ26" s="63">
        <f>IFERROR(AI26/AI148, "NA")</f>
        <v>0</v>
      </c>
      <c r="AK26" s="61" t="str">
        <f t="shared" si="12"/>
        <v>NA</v>
      </c>
      <c r="AL26" s="63" t="str">
        <f>IFERROR(AK26/AK148, "NA")</f>
        <v>NA</v>
      </c>
    </row>
    <row r="27" ht="16.5" customHeight="1">
      <c r="A27" s="66" t="s">
        <v>84</v>
      </c>
      <c r="B27" s="67">
        <f>IFERROR(B15+B16+B17+B18+B19+B20+B21+B22+B23+B24+B25+B26, "NA")</f>
        <v>8718.9</v>
      </c>
      <c r="C27" s="69">
        <f>IFERROR(B27/B148, "NA")</f>
        <v>0.2259992006</v>
      </c>
      <c r="D27" s="67">
        <f>IFERROR(D15+D16+D17+D18+D19+D20+D21+D22+D23+D24+D25+D26, "NA")</f>
        <v>9937.5</v>
      </c>
      <c r="E27" s="69">
        <f>IFERROR(D27/D148, "NA")</f>
        <v>0.2210717961</v>
      </c>
      <c r="F27" s="67">
        <f>IFERROR(F15+F16+F17+F18+F19+F20+F21+F22+F23+F24+F25+F26, "NA")</f>
        <v>9413.48</v>
      </c>
      <c r="G27" s="69">
        <f>IFERROR(F27/F148, "NA")</f>
        <v>0.2284601773</v>
      </c>
      <c r="H27" s="67">
        <f>IFERROR(H15+H16+H17+H18+H19+H20+H21+H22+H23+H24+H25+H26, "NA")</f>
        <v>9080.18</v>
      </c>
      <c r="I27" s="69">
        <f>IFERROR(H27/H148, "NA")</f>
        <v>0.2343042489</v>
      </c>
      <c r="J27" s="67">
        <f>IFERROR(J15+J16+J17+J18+J19+J20+J21+J22+J23+J24+J25+J26, "NA")</f>
        <v>10783.63</v>
      </c>
      <c r="K27" s="69">
        <f>IFERROR(J27/J148, "NA")</f>
        <v>0.2061653666</v>
      </c>
      <c r="L27" s="67">
        <f>IFERROR(L15+L16+L17+L18+L19+L20+L21+L22+L23+L24+L25+L26, "NA")</f>
        <v>10270.16</v>
      </c>
      <c r="M27" s="69">
        <f>IFERROR(L27/L148, "NA")</f>
        <v>0.2031989386</v>
      </c>
      <c r="N27" s="67">
        <f>IFERROR(N15+N16+N17+N18+N19+N20+N21+N22+N23+N24+N25+N26, "NA")</f>
        <v>9969.74</v>
      </c>
      <c r="O27" s="69">
        <f>IFERROR(N27/N148, "NA")</f>
        <v>0.210825283</v>
      </c>
      <c r="P27" s="67">
        <f>IFERROR(P15+P16+P17+P18+P19+P20+P21+P22+P23+P24+P25+P26, "NA")</f>
        <v>10219.53</v>
      </c>
      <c r="Q27" s="69">
        <f>IFERROR(P27/P148, "NA")</f>
        <v>0.2126847966</v>
      </c>
      <c r="R27" s="67">
        <f>IFERROR(R15+R16+R17+R18+R19+R20+R21+R22+R23+R24+R25+R26, "NA")</f>
        <v>8273.91</v>
      </c>
      <c r="S27" s="69">
        <f>IFERROR(R27/R148, "NA")</f>
        <v>0.1949401249</v>
      </c>
      <c r="T27" s="67">
        <f>IFERROR(T15+T16+T17+T18+T19+T20+T21+T22+T23+T24+T25+T26, "NA")</f>
        <v>11661.5</v>
      </c>
      <c r="U27" s="69">
        <f>IFERROR(T27/T148, "NA")</f>
        <v>0.1933123845</v>
      </c>
      <c r="V27" s="67">
        <f>IFERROR(V15+V16+V17+V18+V19+V20+V21+V22+V23+V24+V25+V26, "NA")</f>
        <v>10733.4</v>
      </c>
      <c r="W27" s="69">
        <f>IFERROR(V27/V148, "NA")</f>
        <v>0.1826298639</v>
      </c>
      <c r="X27" s="67">
        <f>IFERROR(X15+X16+X17+X18+X19+X20+X21+X22+X23+X24+X25+X26, "NA")</f>
        <v>9042.25</v>
      </c>
      <c r="Y27" s="69">
        <f>IFERROR(X27/X148, "NA")</f>
        <v>0.1945530943</v>
      </c>
      <c r="Z27" s="67">
        <f>IFERROR(Z15+Z16+Z17+Z18+Z19+Z20+Z21+Z22+Z23+Z24+Z25+Z26, "NA")</f>
        <v>39711.06</v>
      </c>
      <c r="AA27" s="69">
        <f>IFERROR(Z27/Z148, "NA")</f>
        <v>0.1909035607</v>
      </c>
      <c r="AB27" s="67">
        <f t="shared" si="7"/>
        <v>9927.765</v>
      </c>
      <c r="AC27" s="69">
        <f>IFERROR(AB27/AB148, "NA")</f>
        <v>0.1909035607</v>
      </c>
      <c r="AD27" s="70">
        <f t="shared" si="8"/>
        <v>-885.515</v>
      </c>
      <c r="AE27" s="71">
        <f>IFERROR(AD27/AD148, "NA")</f>
        <v>0.160214617</v>
      </c>
      <c r="AF27" s="70">
        <f t="shared" si="9"/>
        <v>-0.0891958059</v>
      </c>
      <c r="AG27" s="67">
        <f t="shared" si="10"/>
        <v>10119.265</v>
      </c>
      <c r="AH27" s="69">
        <f>IFERROR(AG27/AG148, "NA")</f>
        <v>0.1992943983</v>
      </c>
      <c r="AI27" s="70">
        <f t="shared" si="11"/>
        <v>-1077.015</v>
      </c>
      <c r="AJ27" s="71">
        <f>IFERROR(AI27/AI148, "NA")</f>
        <v>0.2505600154</v>
      </c>
      <c r="AK27" s="70">
        <f t="shared" si="12"/>
        <v>-0.1064321371</v>
      </c>
      <c r="AL27" s="71">
        <f>IFERROR(AK27/AK148, "NA")</f>
        <v>1.257235614</v>
      </c>
    </row>
    <row r="28" ht="16.5" customHeight="1">
      <c r="A28" s="17" t="s">
        <v>85</v>
      </c>
      <c r="B28" s="19"/>
      <c r="C28" s="13"/>
      <c r="D28" s="19"/>
      <c r="E28" s="13"/>
      <c r="F28" s="19"/>
      <c r="G28" s="13"/>
      <c r="H28" s="19"/>
      <c r="I28" s="13"/>
      <c r="J28" s="19"/>
      <c r="K28" s="13"/>
      <c r="L28" s="19"/>
      <c r="M28" s="13"/>
      <c r="N28" s="19"/>
      <c r="O28" s="13"/>
      <c r="P28" s="19"/>
      <c r="Q28" s="13"/>
      <c r="R28" s="19"/>
      <c r="S28" s="13"/>
      <c r="T28" s="19"/>
      <c r="U28" s="13"/>
      <c r="V28" s="19"/>
      <c r="W28" s="13"/>
      <c r="X28" s="19"/>
      <c r="Y28" s="13"/>
      <c r="Z28" s="19"/>
      <c r="AA28" s="13"/>
      <c r="AB28" s="19"/>
      <c r="AC28" s="13"/>
      <c r="AD28" s="24"/>
      <c r="AE28" s="25"/>
      <c r="AF28" s="24"/>
      <c r="AG28" s="19"/>
      <c r="AH28" s="13"/>
      <c r="AI28" s="24"/>
      <c r="AJ28" s="25"/>
      <c r="AK28" s="24"/>
      <c r="AL28" s="25"/>
    </row>
    <row r="29" ht="16.5" hidden="1" customHeight="1">
      <c r="A29" s="26" t="s">
        <v>86</v>
      </c>
      <c r="B29" s="27">
        <v>0.0</v>
      </c>
      <c r="C29" s="23">
        <f>IFERROR(B29/B148, "NA")</f>
        <v>0</v>
      </c>
      <c r="D29" s="27">
        <v>0.0</v>
      </c>
      <c r="E29" s="23">
        <f>IFERROR(D29/D148, "NA")</f>
        <v>0</v>
      </c>
      <c r="F29" s="27">
        <v>0.0</v>
      </c>
      <c r="G29" s="23">
        <f>IFERROR(F29/F148, "NA")</f>
        <v>0</v>
      </c>
      <c r="H29" s="27">
        <v>0.0</v>
      </c>
      <c r="I29" s="23">
        <f>IFERROR(H29/H148, "NA")</f>
        <v>0</v>
      </c>
      <c r="J29" s="27">
        <v>0.0</v>
      </c>
      <c r="K29" s="23">
        <f>IFERROR(J29/J148, "NA")</f>
        <v>0</v>
      </c>
      <c r="L29" s="27">
        <v>0.0</v>
      </c>
      <c r="M29" s="23">
        <f>IFERROR(L29/L148, "NA")</f>
        <v>0</v>
      </c>
      <c r="N29" s="27">
        <v>0.0</v>
      </c>
      <c r="O29" s="23">
        <f>IFERROR(N29/N148, "NA")</f>
        <v>0</v>
      </c>
      <c r="P29" s="27">
        <v>0.0</v>
      </c>
      <c r="Q29" s="23">
        <f>IFERROR(P29/P148, "NA")</f>
        <v>0</v>
      </c>
      <c r="R29" s="27">
        <v>0.0</v>
      </c>
      <c r="S29" s="23">
        <f>IFERROR(R29/R148, "NA")</f>
        <v>0</v>
      </c>
      <c r="T29" s="27">
        <v>0.0</v>
      </c>
      <c r="U29" s="23">
        <f>IFERROR(T29/T148, "NA")</f>
        <v>0</v>
      </c>
      <c r="V29" s="27">
        <v>0.0</v>
      </c>
      <c r="W29" s="23">
        <f>IFERROR(V29/V148, "NA")</f>
        <v>0</v>
      </c>
      <c r="X29" s="27">
        <v>0.0</v>
      </c>
      <c r="Y29" s="23">
        <f>IFERROR(X29/X148, "NA")</f>
        <v>0</v>
      </c>
      <c r="Z29" s="27">
        <v>0.0</v>
      </c>
      <c r="AA29" s="23">
        <f>IFERROR(Z29/Z148, "NA")</f>
        <v>0</v>
      </c>
      <c r="AB29" s="59">
        <f t="shared" ref="AB29:AB35" si="13">IFERROR((R29+T29+V29+X29)/4, "NA")</f>
        <v>0</v>
      </c>
      <c r="AC29" s="23">
        <f>IFERROR(AB29/AB148, "NA")</f>
        <v>0</v>
      </c>
      <c r="AD29" s="61">
        <f t="shared" ref="AD29:AD35" si="14">IFERROR(X29-AB29, "NA")</f>
        <v>0</v>
      </c>
      <c r="AE29" s="63">
        <f>IFERROR(AD29/AD148, "NA")</f>
        <v>0</v>
      </c>
      <c r="AF29" s="61" t="str">
        <f t="shared" ref="AF29:AF35" si="15">IFERROR((X29-AB29)/AB29, "NA")</f>
        <v>NA</v>
      </c>
      <c r="AG29" s="59">
        <f t="shared" ref="AG29:AG35" si="16">IFERROR((J29+L29+N29+P29+R29+T29+V29+X29)/8, "NA")</f>
        <v>0</v>
      </c>
      <c r="AH29" s="23">
        <f>IFERROR(AG29/AG148, "NA")</f>
        <v>0</v>
      </c>
      <c r="AI29" s="61">
        <f t="shared" ref="AI29:AI35" si="17">IFERROR(X29-AG29, "NA")</f>
        <v>0</v>
      </c>
      <c r="AJ29" s="63">
        <f>IFERROR(AI29/AI148, "NA")</f>
        <v>0</v>
      </c>
      <c r="AK29" s="61" t="str">
        <f t="shared" ref="AK29:AK35" si="18">IFERROR((X29-AG29)/AG29, "NA")</f>
        <v>NA</v>
      </c>
      <c r="AL29" s="63" t="str">
        <f>IFERROR(AK29/AK148, "NA")</f>
        <v>NA</v>
      </c>
    </row>
    <row r="30" ht="16.5" customHeight="1">
      <c r="A30" s="26" t="s">
        <v>87</v>
      </c>
      <c r="B30" s="27">
        <v>516.38</v>
      </c>
      <c r="C30" s="23">
        <f>IFERROR(B30/B148, "NA")</f>
        <v>0.01338488424</v>
      </c>
      <c r="D30" s="27">
        <v>558.67</v>
      </c>
      <c r="E30" s="23">
        <f>IFERROR(D30/D148, "NA")</f>
        <v>0.01242829488</v>
      </c>
      <c r="F30" s="27">
        <v>362.39</v>
      </c>
      <c r="G30" s="23">
        <f>IFERROR(F30/F148, "NA")</f>
        <v>0.008795013497</v>
      </c>
      <c r="H30" s="27">
        <v>270.79</v>
      </c>
      <c r="I30" s="23">
        <f>IFERROR(H30/H148, "NA")</f>
        <v>0.006987443812</v>
      </c>
      <c r="J30" s="27">
        <v>777.03</v>
      </c>
      <c r="K30" s="23">
        <f>IFERROR(J30/J148, "NA")</f>
        <v>0.0148555426</v>
      </c>
      <c r="L30" s="27">
        <v>597.16</v>
      </c>
      <c r="M30" s="23">
        <f>IFERROR(L30/L148, "NA")</f>
        <v>0.01181503289</v>
      </c>
      <c r="N30" s="27">
        <v>729.24</v>
      </c>
      <c r="O30" s="23">
        <f>IFERROR(N30/N148, "NA")</f>
        <v>0.01542088654</v>
      </c>
      <c r="P30" s="27">
        <v>495.73</v>
      </c>
      <c r="Q30" s="23">
        <f>IFERROR(P30/P148, "NA")</f>
        <v>0.01031693573</v>
      </c>
      <c r="R30" s="27">
        <v>196.56</v>
      </c>
      <c r="S30" s="23">
        <f>IFERROR(R30/R148, "NA")</f>
        <v>0.00463111527</v>
      </c>
      <c r="T30" s="27">
        <v>595.21</v>
      </c>
      <c r="U30" s="23">
        <f>IFERROR(T30/T148, "NA")</f>
        <v>0.009866780805</v>
      </c>
      <c r="V30" s="27">
        <v>399.56</v>
      </c>
      <c r="W30" s="23">
        <f>IFERROR(V30/V148, "NA")</f>
        <v>0.006798552968</v>
      </c>
      <c r="X30" s="27">
        <v>318.64</v>
      </c>
      <c r="Y30" s="23">
        <f>IFERROR(X30/X148, "NA")</f>
        <v>0.006855859766</v>
      </c>
      <c r="Z30" s="27">
        <v>1509.97</v>
      </c>
      <c r="AA30" s="23">
        <f>IFERROR(Z30/Z148, "NA")</f>
        <v>0.007258900911</v>
      </c>
      <c r="AB30" s="59">
        <f t="shared" si="13"/>
        <v>377.4925</v>
      </c>
      <c r="AC30" s="23">
        <f>IFERROR(AB30/AB148, "NA")</f>
        <v>0.007258900911</v>
      </c>
      <c r="AD30" s="61">
        <f t="shared" si="14"/>
        <v>-58.8525</v>
      </c>
      <c r="AE30" s="63">
        <f>IFERROR(AD30/AD148, "NA")</f>
        <v>0.01064807569</v>
      </c>
      <c r="AF30" s="61">
        <f t="shared" si="15"/>
        <v>-0.1559037597</v>
      </c>
      <c r="AG30" s="59">
        <f t="shared" si="16"/>
        <v>513.64125</v>
      </c>
      <c r="AH30" s="23">
        <f>IFERROR(AG30/AG148, "NA")</f>
        <v>0.01011593469</v>
      </c>
      <c r="AI30" s="61">
        <f t="shared" si="17"/>
        <v>-195.00125</v>
      </c>
      <c r="AJ30" s="63">
        <f>IFERROR(AI30/AI148, "NA")</f>
        <v>0.04536567847</v>
      </c>
      <c r="AK30" s="61">
        <f t="shared" si="18"/>
        <v>-0.3796448397</v>
      </c>
      <c r="AL30" s="63">
        <f>IFERROR(AK30/AK148, "NA")</f>
        <v>4.484576052</v>
      </c>
    </row>
    <row r="31" ht="16.5" customHeight="1">
      <c r="A31" s="26" t="s">
        <v>88</v>
      </c>
      <c r="B31" s="27">
        <v>11.34</v>
      </c>
      <c r="C31" s="23">
        <f>IFERROR(B31/B148, "NA")</f>
        <v>0.0002939397097</v>
      </c>
      <c r="D31" s="27">
        <v>0.0</v>
      </c>
      <c r="E31" s="23">
        <f>IFERROR(D31/D148, "NA")</f>
        <v>0</v>
      </c>
      <c r="F31" s="27">
        <v>11.34</v>
      </c>
      <c r="G31" s="23">
        <f>IFERROR(F31/F148, "NA")</f>
        <v>0.0002752157981</v>
      </c>
      <c r="H31" s="27">
        <v>28.39</v>
      </c>
      <c r="I31" s="23">
        <f>IFERROR(H31/H148, "NA")</f>
        <v>0.0007325733218</v>
      </c>
      <c r="J31" s="27">
        <v>17.74</v>
      </c>
      <c r="K31" s="23">
        <f>IFERROR(J31/J148, "NA")</f>
        <v>0.0003391597823</v>
      </c>
      <c r="L31" s="27">
        <v>1.59</v>
      </c>
      <c r="M31" s="23">
        <f>IFERROR(L31/L148, "NA")</f>
        <v>0.00003145874186</v>
      </c>
      <c r="N31" s="27">
        <v>16.14</v>
      </c>
      <c r="O31" s="23">
        <f>IFERROR(N31/N148, "NA")</f>
        <v>0.0003413047951</v>
      </c>
      <c r="P31" s="27">
        <v>17.73</v>
      </c>
      <c r="Q31" s="23">
        <f>IFERROR(P31/P148, "NA")</f>
        <v>0.0003689897132</v>
      </c>
      <c r="R31" s="27">
        <v>25.05</v>
      </c>
      <c r="S31" s="23">
        <f>IFERROR(R31/R148, "NA")</f>
        <v>0.0005901986036</v>
      </c>
      <c r="T31" s="27">
        <v>9.66</v>
      </c>
      <c r="U31" s="23">
        <f>IFERROR(T31/T148, "NA")</f>
        <v>0.0001601335706</v>
      </c>
      <c r="V31" s="27">
        <v>4.87</v>
      </c>
      <c r="W31" s="23">
        <f>IFERROR(V31/V148, "NA")</f>
        <v>0.00008286353227</v>
      </c>
      <c r="X31" s="27">
        <v>17.82</v>
      </c>
      <c r="Y31" s="23">
        <f>IFERROR(X31/X148, "NA")</f>
        <v>0.0003834152053</v>
      </c>
      <c r="Z31" s="27">
        <v>57.4</v>
      </c>
      <c r="AA31" s="23">
        <f>IFERROR(Z31/Z148, "NA")</f>
        <v>0.0002759398613</v>
      </c>
      <c r="AB31" s="59">
        <f t="shared" si="13"/>
        <v>14.35</v>
      </c>
      <c r="AC31" s="23">
        <f>IFERROR(AB31/AB148, "NA")</f>
        <v>0.0002759398613</v>
      </c>
      <c r="AD31" s="61">
        <f t="shared" si="14"/>
        <v>3.47</v>
      </c>
      <c r="AE31" s="63">
        <f>IFERROR(AD31/AD148, "NA")</f>
        <v>-0.0006278207834</v>
      </c>
      <c r="AF31" s="61">
        <f t="shared" si="15"/>
        <v>0.2418118467</v>
      </c>
      <c r="AG31" s="59">
        <f t="shared" si="16"/>
        <v>13.825</v>
      </c>
      <c r="AH31" s="23">
        <f>IFERROR(AG31/AG148, "NA")</f>
        <v>0.0002722771918</v>
      </c>
      <c r="AI31" s="61">
        <f t="shared" si="17"/>
        <v>3.995</v>
      </c>
      <c r="AJ31" s="63">
        <f>IFERROR(AI31/AI148, "NA")</f>
        <v>-0.0009294088396</v>
      </c>
      <c r="AK31" s="61">
        <f t="shared" si="18"/>
        <v>0.2889692586</v>
      </c>
      <c r="AL31" s="63">
        <f>IFERROR(AK31/AK148, "NA")</f>
        <v>-3.413465643</v>
      </c>
    </row>
    <row r="32" ht="16.5" customHeight="1">
      <c r="A32" s="26" t="s">
        <v>89</v>
      </c>
      <c r="B32" s="27">
        <v>0.8</v>
      </c>
      <c r="C32" s="23">
        <f>IFERROR(B32/B148, "NA")</f>
        <v>0.00002073648746</v>
      </c>
      <c r="D32" s="27">
        <v>-2.4</v>
      </c>
      <c r="E32" s="23">
        <f>IFERROR(D32/D148, "NA")</f>
        <v>-0.00005339092434</v>
      </c>
      <c r="F32" s="27">
        <v>1.6</v>
      </c>
      <c r="G32" s="23">
        <f>IFERROR(F32/F148, "NA")</f>
        <v>0.00003883115317</v>
      </c>
      <c r="H32" s="27">
        <v>1.44</v>
      </c>
      <c r="I32" s="23">
        <f>IFERROR(H32/H148, "NA")</f>
        <v>0.00003715764648</v>
      </c>
      <c r="J32" s="27">
        <v>-1.44</v>
      </c>
      <c r="K32" s="23">
        <f>IFERROR(J32/J148, "NA")</f>
        <v>-0.00002753044456</v>
      </c>
      <c r="L32" s="27">
        <v>0.8</v>
      </c>
      <c r="M32" s="23">
        <f>IFERROR(L32/L148, "NA")</f>
        <v>0.00001582829779</v>
      </c>
      <c r="N32" s="27">
        <v>3.19</v>
      </c>
      <c r="O32" s="23">
        <f>IFERROR(N32/N148, "NA")</f>
        <v>0.00006745739135</v>
      </c>
      <c r="P32" s="27">
        <v>158.75</v>
      </c>
      <c r="Q32" s="23">
        <f>IFERROR(P32/P148, "NA")</f>
        <v>0.003303841905</v>
      </c>
      <c r="R32" s="27">
        <v>-4.8</v>
      </c>
      <c r="S32" s="23">
        <f>IFERROR(R32/R148, "NA")</f>
        <v>-0.000113091948</v>
      </c>
      <c r="T32" s="27">
        <v>1.6</v>
      </c>
      <c r="U32" s="23">
        <f>IFERROR(T32/T148, "NA")</f>
        <v>0.0000265231587</v>
      </c>
      <c r="V32" s="27">
        <v>-0.8</v>
      </c>
      <c r="W32" s="23">
        <f>IFERROR(V32/V148, "NA")</f>
        <v>-0.00001361207922</v>
      </c>
      <c r="X32" s="27">
        <v>1.6</v>
      </c>
      <c r="Y32" s="23">
        <f>IFERROR(X32/X148, "NA")</f>
        <v>0.00003442560766</v>
      </c>
      <c r="Z32" s="27">
        <v>-2.4</v>
      </c>
      <c r="AA32" s="23">
        <f>IFERROR(Z32/Z148, "NA")</f>
        <v>-0.00001153755517</v>
      </c>
      <c r="AB32" s="59">
        <f t="shared" si="13"/>
        <v>-0.6</v>
      </c>
      <c r="AC32" s="23">
        <f>IFERROR(AB32/AB148, "NA")</f>
        <v>-0.00001153755517</v>
      </c>
      <c r="AD32" s="61">
        <f t="shared" si="14"/>
        <v>2.2</v>
      </c>
      <c r="AE32" s="63">
        <f>IFERROR(AD32/AD148, "NA")</f>
        <v>-0.0003980419952</v>
      </c>
      <c r="AF32" s="61">
        <f t="shared" si="15"/>
        <v>-3.666666667</v>
      </c>
      <c r="AG32" s="59">
        <f t="shared" si="16"/>
        <v>19.8625</v>
      </c>
      <c r="AH32" s="23">
        <f>IFERROR(AG32/AG148, "NA")</f>
        <v>0.000391183054</v>
      </c>
      <c r="AI32" s="61">
        <f t="shared" si="17"/>
        <v>-18.2625</v>
      </c>
      <c r="AJ32" s="63">
        <f>IFERROR(AI32/AI148, "NA")</f>
        <v>0.004248643037</v>
      </c>
      <c r="AK32" s="61">
        <f t="shared" si="18"/>
        <v>-0.9194461926</v>
      </c>
      <c r="AL32" s="63">
        <f>IFERROR(AK32/AK148, "NA")</f>
        <v>10.86100994</v>
      </c>
    </row>
    <row r="33" ht="16.5" customHeight="1">
      <c r="A33" s="26" t="s">
        <v>90</v>
      </c>
      <c r="B33" s="27">
        <v>3.35</v>
      </c>
      <c r="C33" s="23">
        <f>IFERROR(B33/B148, "NA")</f>
        <v>0.00008683404123</v>
      </c>
      <c r="D33" s="27">
        <v>0.27</v>
      </c>
      <c r="E33" s="23">
        <f>IFERROR(D33/D148, "NA")</f>
        <v>0.000006006478989</v>
      </c>
      <c r="F33" s="27">
        <v>6.58</v>
      </c>
      <c r="G33" s="23">
        <f>IFERROR(F33/F148, "NA")</f>
        <v>0.0001596931174</v>
      </c>
      <c r="H33" s="27">
        <v>6.89</v>
      </c>
      <c r="I33" s="23">
        <f>IFERROR(H33/H148, "NA")</f>
        <v>0.0001777890168</v>
      </c>
      <c r="J33" s="27">
        <v>2.47</v>
      </c>
      <c r="K33" s="23">
        <f>IFERROR(J33/J148, "NA")</f>
        <v>0.00004722235977</v>
      </c>
      <c r="L33" s="27">
        <v>0.0</v>
      </c>
      <c r="M33" s="23">
        <f>IFERROR(L33/L148, "NA")</f>
        <v>0</v>
      </c>
      <c r="N33" s="27">
        <v>13.39</v>
      </c>
      <c r="O33" s="23">
        <f>IFERROR(N33/N148, "NA")</f>
        <v>0.0002831518715</v>
      </c>
      <c r="P33" s="27">
        <v>3.28</v>
      </c>
      <c r="Q33" s="23">
        <f>IFERROR(P33/P148, "NA")</f>
        <v>0.00006826205637</v>
      </c>
      <c r="R33" s="27">
        <v>-14.43</v>
      </c>
      <c r="S33" s="23">
        <f>IFERROR(R33/R148, "NA")</f>
        <v>-0.0003399826687</v>
      </c>
      <c r="T33" s="27">
        <v>99.76</v>
      </c>
      <c r="U33" s="23">
        <f>IFERROR(T33/T148, "NA")</f>
        <v>0.001653718945</v>
      </c>
      <c r="V33" s="27">
        <v>-92.72</v>
      </c>
      <c r="W33" s="23">
        <f>IFERROR(V33/V148, "NA")</f>
        <v>-0.001577639982</v>
      </c>
      <c r="X33" s="27">
        <v>-13.72</v>
      </c>
      <c r="Y33" s="23">
        <f>IFERROR(X33/X148, "NA")</f>
        <v>-0.0002951995857</v>
      </c>
      <c r="Z33" s="27">
        <v>-21.11</v>
      </c>
      <c r="AA33" s="23">
        <f>IFERROR(Z33/Z148, "NA")</f>
        <v>-0.0001014824124</v>
      </c>
      <c r="AB33" s="59">
        <f t="shared" si="13"/>
        <v>-5.2775</v>
      </c>
      <c r="AC33" s="23">
        <f>IFERROR(AB33/AB148, "NA")</f>
        <v>-0.0001014824124</v>
      </c>
      <c r="AD33" s="61">
        <f t="shared" si="14"/>
        <v>-8.4425</v>
      </c>
      <c r="AE33" s="63">
        <f>IFERROR(AD33/AD148, "NA")</f>
        <v>0.001527486157</v>
      </c>
      <c r="AF33" s="61">
        <f t="shared" si="15"/>
        <v>1.599715775</v>
      </c>
      <c r="AG33" s="59">
        <f t="shared" si="16"/>
        <v>-0.24625</v>
      </c>
      <c r="AH33" s="23">
        <f>IFERROR(AG33/AG148, "NA")</f>
        <v>-0.000004849783615</v>
      </c>
      <c r="AI33" s="61">
        <f t="shared" si="17"/>
        <v>-13.47375</v>
      </c>
      <c r="AJ33" s="63">
        <f>IFERROR(AI33/AI148, "NA")</f>
        <v>0.003134573805</v>
      </c>
      <c r="AK33" s="61">
        <f t="shared" si="18"/>
        <v>54.71573604</v>
      </c>
      <c r="AL33" s="63">
        <f>IFERROR(AK33/AK148, "NA")</f>
        <v>-646.3327138</v>
      </c>
    </row>
    <row r="34" ht="16.5" customHeight="1">
      <c r="A34" s="66" t="s">
        <v>91</v>
      </c>
      <c r="B34" s="67">
        <f>IFERROR(B29+B30+B31+B32+B33, "NA")</f>
        <v>531.87</v>
      </c>
      <c r="C34" s="69">
        <f>IFERROR(B34/B148, "NA")</f>
        <v>0.01378639448</v>
      </c>
      <c r="D34" s="67">
        <f>IFERROR(D29+D30+D31+D32+D33, "NA")</f>
        <v>556.54</v>
      </c>
      <c r="E34" s="69">
        <f>IFERROR(D34/D148, "NA")</f>
        <v>0.01238091043</v>
      </c>
      <c r="F34" s="67">
        <f>IFERROR(F29+F30+F31+F32+F33, "NA")</f>
        <v>381.91</v>
      </c>
      <c r="G34" s="69">
        <f>IFERROR(F34/F148, "NA")</f>
        <v>0.009268753566</v>
      </c>
      <c r="H34" s="67">
        <f>IFERROR(H29+H30+H31+H32+H33, "NA")</f>
        <v>307.51</v>
      </c>
      <c r="I34" s="69">
        <f>IFERROR(H34/H148, "NA")</f>
        <v>0.007934963797</v>
      </c>
      <c r="J34" s="67">
        <f>IFERROR(J29+J30+J31+J32+J33, "NA")</f>
        <v>795.8</v>
      </c>
      <c r="K34" s="69">
        <f>IFERROR(J34/J148, "NA")</f>
        <v>0.01521439429</v>
      </c>
      <c r="L34" s="67">
        <f>IFERROR(L29+L30+L31+L32+L33, "NA")</f>
        <v>599.55</v>
      </c>
      <c r="M34" s="69">
        <f>IFERROR(L34/L148, "NA")</f>
        <v>0.01186231993</v>
      </c>
      <c r="N34" s="67">
        <f>IFERROR(N29+N30+N31+N32+N33, "NA")</f>
        <v>761.96</v>
      </c>
      <c r="O34" s="69">
        <f>IFERROR(N34/N148, "NA")</f>
        <v>0.0161128006</v>
      </c>
      <c r="P34" s="67">
        <f>IFERROR(P29+P30+P31+P32+P33, "NA")</f>
        <v>675.49</v>
      </c>
      <c r="Q34" s="69">
        <f>IFERROR(P34/P148, "NA")</f>
        <v>0.01405802941</v>
      </c>
      <c r="R34" s="67">
        <f>IFERROR(R29+R30+R31+R32+R33, "NA")</f>
        <v>202.38</v>
      </c>
      <c r="S34" s="69">
        <f>IFERROR(R34/R148, "NA")</f>
        <v>0.004768239257</v>
      </c>
      <c r="T34" s="67">
        <f>IFERROR(T29+T30+T31+T32+T33, "NA")</f>
        <v>706.23</v>
      </c>
      <c r="U34" s="69">
        <f>IFERROR(T34/T148, "NA")</f>
        <v>0.01170715648</v>
      </c>
      <c r="V34" s="67">
        <f>IFERROR(V29+V30+V31+V32+V33, "NA")</f>
        <v>310.91</v>
      </c>
      <c r="W34" s="69">
        <f>IFERROR(V34/V148, "NA")</f>
        <v>0.005290164439</v>
      </c>
      <c r="X34" s="67">
        <f>IFERROR(X29+X30+X31+X32+X33, "NA")</f>
        <v>324.34</v>
      </c>
      <c r="Y34" s="69">
        <f>IFERROR(X34/X148, "NA")</f>
        <v>0.006978500993</v>
      </c>
      <c r="Z34" s="67">
        <f>IFERROR(Z29+Z30+Z31+Z32+Z33, "NA")</f>
        <v>1543.86</v>
      </c>
      <c r="AA34" s="69">
        <f>IFERROR(Z34/Z148, "NA")</f>
        <v>0.007421820805</v>
      </c>
      <c r="AB34" s="67">
        <f t="shared" si="13"/>
        <v>385.965</v>
      </c>
      <c r="AC34" s="69">
        <f>IFERROR(AB34/AB148, "NA")</f>
        <v>0.007421820805</v>
      </c>
      <c r="AD34" s="70">
        <f t="shared" si="14"/>
        <v>-61.625</v>
      </c>
      <c r="AE34" s="71">
        <f>IFERROR(AD34/AD148, "NA")</f>
        <v>0.01114969907</v>
      </c>
      <c r="AF34" s="70">
        <f t="shared" si="15"/>
        <v>-0.1596647364</v>
      </c>
      <c r="AG34" s="67">
        <f t="shared" si="16"/>
        <v>547.0825</v>
      </c>
      <c r="AH34" s="69">
        <f>IFERROR(AG34/AG148, "NA")</f>
        <v>0.01077454515</v>
      </c>
      <c r="AI34" s="70">
        <f t="shared" si="17"/>
        <v>-222.7425</v>
      </c>
      <c r="AJ34" s="71">
        <f>IFERROR(AI34/AI148, "NA")</f>
        <v>0.05181948647</v>
      </c>
      <c r="AK34" s="70">
        <f t="shared" si="18"/>
        <v>-0.4071460886</v>
      </c>
      <c r="AL34" s="71">
        <f>IFERROR(AK34/AK148, "NA")</f>
        <v>4.809436104</v>
      </c>
    </row>
    <row r="35" ht="16.5" customHeight="1">
      <c r="A35" s="66" t="s">
        <v>93</v>
      </c>
      <c r="B35" s="67">
        <f>IFERROR(B13+B15+B16+B17+B18+B19+B20+B21+B22+B23+B24+B25+B26+B29+B30+B31+B32+B33, "NA")</f>
        <v>9250.77</v>
      </c>
      <c r="C35" s="69">
        <f>IFERROR(B35/B148, "NA")</f>
        <v>0.2397855951</v>
      </c>
      <c r="D35" s="67">
        <f>IFERROR(D13+D15+D16+D17+D18+D19+D20+D21+D22+D23+D24+D25+D26+D29+D30+D31+D32+D33, "NA")</f>
        <v>10494.04</v>
      </c>
      <c r="E35" s="69">
        <f>IFERROR(D35/D148, "NA")</f>
        <v>0.2334527065</v>
      </c>
      <c r="F35" s="67">
        <f>IFERROR(F13+F15+F16+F17+F18+F19+F20+F21+F22+F23+F24+F25+F26+F29+F30+F31+F32+F33, "NA")</f>
        <v>9795.39</v>
      </c>
      <c r="G35" s="69">
        <f>IFERROR(F35/F148, "NA")</f>
        <v>0.2377289309</v>
      </c>
      <c r="H35" s="67">
        <f>IFERROR(H13+H15+H16+H17+H18+H19+H20+H21+H22+H23+H24+H25+H26+H29+H30+H31+H32+H33, "NA")</f>
        <v>9387.69</v>
      </c>
      <c r="I35" s="69">
        <f>IFERROR(H35/H148, "NA")</f>
        <v>0.2422392127</v>
      </c>
      <c r="J35" s="67">
        <f>IFERROR(J13+J15+J16+J17+J18+J19+J20+J21+J22+J23+J24+J25+J26+J29+J30+J31+J32+J33, "NA")</f>
        <v>11579.43</v>
      </c>
      <c r="K35" s="69">
        <f>IFERROR(J35/J148, "NA")</f>
        <v>0.2213797609</v>
      </c>
      <c r="L35" s="67">
        <f>IFERROR(L13+L15+L16+L17+L18+L19+L20+L21+L22+L23+L24+L25+L26+L29+L30+L31+L32+L33, "NA")</f>
        <v>10869.71</v>
      </c>
      <c r="M35" s="69">
        <f>IFERROR(L35/L148, "NA")</f>
        <v>0.2150612585</v>
      </c>
      <c r="N35" s="67">
        <f>IFERROR(N13+N15+N16+N17+N18+N19+N20+N21+N22+N23+N24+N25+N26+N29+N30+N31+N32+N33, "NA")</f>
        <v>10731.7</v>
      </c>
      <c r="O35" s="69">
        <f>IFERROR(N35/N148, "NA")</f>
        <v>0.2269380836</v>
      </c>
      <c r="P35" s="67">
        <f>IFERROR(P13+P15+P16+P17+P18+P19+P20+P21+P22+P23+P24+P25+P26+P29+P30+P31+P32+P33, "NA")</f>
        <v>10895.02</v>
      </c>
      <c r="Q35" s="69">
        <f>IFERROR(P35/P148, "NA")</f>
        <v>0.226742826</v>
      </c>
      <c r="R35" s="67">
        <f>IFERROR(R13+R15+R16+R17+R18+R19+R20+R21+R22+R23+R24+R25+R26+R29+R30+R31+R32+R33, "NA")</f>
        <v>8476.29</v>
      </c>
      <c r="S35" s="69">
        <f>IFERROR(R35/R148, "NA")</f>
        <v>0.1997083641</v>
      </c>
      <c r="T35" s="67">
        <f>IFERROR(T13+T15+T16+T17+T18+T19+T20+T21+T22+T23+T24+T25+T26+T29+T30+T31+T32+T33, "NA")</f>
        <v>12367.73</v>
      </c>
      <c r="U35" s="69">
        <f>IFERROR(T35/T148, "NA")</f>
        <v>0.2050195409</v>
      </c>
      <c r="V35" s="67">
        <f>IFERROR(V13+V15+V16+V17+V18+V19+V20+V21+V22+V23+V24+V25+V26+V29+V30+V31+V32+V33, "NA")</f>
        <v>11044.31</v>
      </c>
      <c r="W35" s="69">
        <f>IFERROR(V35/V148, "NA")</f>
        <v>0.1879200284</v>
      </c>
      <c r="X35" s="67">
        <f>IFERROR(X13+X15+X16+X17+X18+X19+X20+X21+X22+X23+X24+X25+X26+X29+X30+X31+X32+X33, "NA")</f>
        <v>9366.59</v>
      </c>
      <c r="Y35" s="69">
        <f>IFERROR(X35/X148, "NA")</f>
        <v>0.2015315953</v>
      </c>
      <c r="Z35" s="67">
        <f>IFERROR(Z13+Z15+Z16+Z17+Z18+Z19+Z20+Z21+Z22+Z23+Z24+Z25+Z26+Z29+Z30+Z31+Z32+Z33, "NA")</f>
        <v>41254.92</v>
      </c>
      <c r="AA35" s="69">
        <f>IFERROR(Z35/Z148, "NA")</f>
        <v>0.1983253816</v>
      </c>
      <c r="AB35" s="67">
        <f t="shared" si="13"/>
        <v>10313.73</v>
      </c>
      <c r="AC35" s="69">
        <f>IFERROR(AB35/AB148, "NA")</f>
        <v>0.1983253816</v>
      </c>
      <c r="AD35" s="70">
        <f t="shared" si="14"/>
        <v>-947.14</v>
      </c>
      <c r="AE35" s="71">
        <f>IFERROR(AD35/AD148, "NA")</f>
        <v>0.1713643161</v>
      </c>
      <c r="AF35" s="70">
        <f t="shared" si="15"/>
        <v>-0.09183292562</v>
      </c>
      <c r="AG35" s="67">
        <f t="shared" si="16"/>
        <v>10666.3475</v>
      </c>
      <c r="AH35" s="69">
        <f>IFERROR(AG35/AG148, "NA")</f>
        <v>0.2100689435</v>
      </c>
      <c r="AI35" s="70">
        <f t="shared" si="17"/>
        <v>-1299.7575</v>
      </c>
      <c r="AJ35" s="71">
        <f>IFERROR(AI35/AI148, "NA")</f>
        <v>0.3023795018</v>
      </c>
      <c r="AK35" s="70">
        <f t="shared" si="18"/>
        <v>-0.1218559118</v>
      </c>
      <c r="AL35" s="71">
        <f>IFERROR(AK35/AK148, "NA")</f>
        <v>1.439429821</v>
      </c>
    </row>
    <row r="36" ht="16.5" customHeight="1">
      <c r="A36" s="17" t="s">
        <v>94</v>
      </c>
      <c r="B36" s="19"/>
      <c r="C36" s="13"/>
      <c r="D36" s="19"/>
      <c r="E36" s="13"/>
      <c r="F36" s="19"/>
      <c r="G36" s="13"/>
      <c r="H36" s="19"/>
      <c r="I36" s="13"/>
      <c r="J36" s="19"/>
      <c r="K36" s="13"/>
      <c r="L36" s="19"/>
      <c r="M36" s="13"/>
      <c r="N36" s="19"/>
      <c r="O36" s="13"/>
      <c r="P36" s="19"/>
      <c r="Q36" s="13"/>
      <c r="R36" s="19"/>
      <c r="S36" s="13"/>
      <c r="T36" s="19"/>
      <c r="U36" s="13"/>
      <c r="V36" s="19"/>
      <c r="W36" s="13"/>
      <c r="X36" s="19"/>
      <c r="Y36" s="13"/>
      <c r="Z36" s="19"/>
      <c r="AA36" s="13"/>
      <c r="AB36" s="19"/>
      <c r="AC36" s="13"/>
      <c r="AD36" s="24"/>
      <c r="AE36" s="25"/>
      <c r="AF36" s="24"/>
      <c r="AG36" s="19"/>
      <c r="AH36" s="13"/>
      <c r="AI36" s="24"/>
      <c r="AJ36" s="25"/>
      <c r="AK36" s="24"/>
      <c r="AL36" s="25"/>
    </row>
    <row r="37" ht="16.5" hidden="1" customHeight="1">
      <c r="A37" s="26" t="s">
        <v>95</v>
      </c>
      <c r="B37" s="27">
        <v>0.0</v>
      </c>
      <c r="C37" s="23">
        <f>IFERROR(B37/B148, "NA")</f>
        <v>0</v>
      </c>
      <c r="D37" s="27">
        <v>0.0</v>
      </c>
      <c r="E37" s="23">
        <f>IFERROR(D37/D148, "NA")</f>
        <v>0</v>
      </c>
      <c r="F37" s="27">
        <v>0.0</v>
      </c>
      <c r="G37" s="23">
        <f>IFERROR(F37/F148, "NA")</f>
        <v>0</v>
      </c>
      <c r="H37" s="27">
        <v>0.0</v>
      </c>
      <c r="I37" s="23">
        <f>IFERROR(H37/H148, "NA")</f>
        <v>0</v>
      </c>
      <c r="J37" s="27">
        <v>0.0</v>
      </c>
      <c r="K37" s="23">
        <f>IFERROR(J37/J148, "NA")</f>
        <v>0</v>
      </c>
      <c r="L37" s="27">
        <v>0.0</v>
      </c>
      <c r="M37" s="23">
        <f>IFERROR(L37/L148, "NA")</f>
        <v>0</v>
      </c>
      <c r="N37" s="27">
        <v>0.0</v>
      </c>
      <c r="O37" s="23">
        <f>IFERROR(N37/N148, "NA")</f>
        <v>0</v>
      </c>
      <c r="P37" s="27">
        <v>0.0</v>
      </c>
      <c r="Q37" s="23">
        <f>IFERROR(P37/P148, "NA")</f>
        <v>0</v>
      </c>
      <c r="R37" s="27">
        <v>0.0</v>
      </c>
      <c r="S37" s="23">
        <f>IFERROR(R37/R148, "NA")</f>
        <v>0</v>
      </c>
      <c r="T37" s="27">
        <v>0.0</v>
      </c>
      <c r="U37" s="23">
        <f>IFERROR(T37/T148, "NA")</f>
        <v>0</v>
      </c>
      <c r="V37" s="27">
        <v>0.0</v>
      </c>
      <c r="W37" s="23">
        <f>IFERROR(V37/V148, "NA")</f>
        <v>0</v>
      </c>
      <c r="X37" s="27">
        <v>0.0</v>
      </c>
      <c r="Y37" s="23">
        <f>IFERROR(X37/X148, "NA")</f>
        <v>0</v>
      </c>
      <c r="Z37" s="27">
        <v>0.0</v>
      </c>
      <c r="AA37" s="23">
        <f>IFERROR(Z37/Z148, "NA")</f>
        <v>0</v>
      </c>
      <c r="AB37" s="59">
        <f>IFERROR((R37+T37+V37+X37)/4, "NA")</f>
        <v>0</v>
      </c>
      <c r="AC37" s="23">
        <f>IFERROR(AB37/AB148, "NA")</f>
        <v>0</v>
      </c>
      <c r="AD37" s="61">
        <f>IFERROR(X37-AB37, "NA")</f>
        <v>0</v>
      </c>
      <c r="AE37" s="63">
        <f>IFERROR(AD37/AD148, "NA")</f>
        <v>0</v>
      </c>
      <c r="AF37" s="61" t="str">
        <f>IFERROR((X37-AB37)/AB37, "NA")</f>
        <v>NA</v>
      </c>
      <c r="AG37" s="59">
        <f>IFERROR((J37+L37+N37+P37+R37+T37+V37+X37)/8, "NA")</f>
        <v>0</v>
      </c>
      <c r="AH37" s="23">
        <f>IFERROR(AG37/AG148, "NA")</f>
        <v>0</v>
      </c>
      <c r="AI37" s="61">
        <f>IFERROR(X37-AG37, "NA")</f>
        <v>0</v>
      </c>
      <c r="AJ37" s="63">
        <f>IFERROR(AI37/AI148, "NA")</f>
        <v>0</v>
      </c>
      <c r="AK37" s="61" t="str">
        <f>IFERROR((X37-AG37)/AG37, "NA")</f>
        <v>NA</v>
      </c>
      <c r="AL37" s="63" t="str">
        <f>IFERROR(AK37/AK148, "NA")</f>
        <v>NA</v>
      </c>
    </row>
    <row r="38" ht="16.5" customHeight="1">
      <c r="A38" s="17" t="s">
        <v>96</v>
      </c>
      <c r="B38" s="19"/>
      <c r="C38" s="13"/>
      <c r="D38" s="19"/>
      <c r="E38" s="13"/>
      <c r="F38" s="19"/>
      <c r="G38" s="13"/>
      <c r="H38" s="19"/>
      <c r="I38" s="13"/>
      <c r="J38" s="19"/>
      <c r="K38" s="13"/>
      <c r="L38" s="19"/>
      <c r="M38" s="13"/>
      <c r="N38" s="19"/>
      <c r="O38" s="13"/>
      <c r="P38" s="19"/>
      <c r="Q38" s="13"/>
      <c r="R38" s="19"/>
      <c r="S38" s="13"/>
      <c r="T38" s="19"/>
      <c r="U38" s="13"/>
      <c r="V38" s="19"/>
      <c r="W38" s="13"/>
      <c r="X38" s="19"/>
      <c r="Y38" s="13"/>
      <c r="Z38" s="19"/>
      <c r="AA38" s="13"/>
      <c r="AB38" s="19"/>
      <c r="AC38" s="13"/>
      <c r="AD38" s="24"/>
      <c r="AE38" s="25"/>
      <c r="AF38" s="24"/>
      <c r="AG38" s="19"/>
      <c r="AH38" s="13"/>
      <c r="AI38" s="24"/>
      <c r="AJ38" s="25"/>
      <c r="AK38" s="24"/>
      <c r="AL38" s="25"/>
    </row>
    <row r="39" ht="16.5" hidden="1" customHeight="1">
      <c r="A39" s="26" t="s">
        <v>97</v>
      </c>
      <c r="B39" s="27">
        <v>0.0</v>
      </c>
      <c r="C39" s="23">
        <f>IFERROR(B39/B148, "NA")</f>
        <v>0</v>
      </c>
      <c r="D39" s="27">
        <v>0.0</v>
      </c>
      <c r="E39" s="23">
        <f>IFERROR(D39/D148, "NA")</f>
        <v>0</v>
      </c>
      <c r="F39" s="27">
        <v>0.0</v>
      </c>
      <c r="G39" s="23">
        <f>IFERROR(F39/F148, "NA")</f>
        <v>0</v>
      </c>
      <c r="H39" s="27">
        <v>0.0</v>
      </c>
      <c r="I39" s="23">
        <f>IFERROR(H39/H148, "NA")</f>
        <v>0</v>
      </c>
      <c r="J39" s="27">
        <v>0.0</v>
      </c>
      <c r="K39" s="23">
        <f>IFERROR(J39/J148, "NA")</f>
        <v>0</v>
      </c>
      <c r="L39" s="27">
        <v>0.0</v>
      </c>
      <c r="M39" s="23">
        <f>IFERROR(L39/L148, "NA")</f>
        <v>0</v>
      </c>
      <c r="N39" s="27">
        <v>0.0</v>
      </c>
      <c r="O39" s="23">
        <f>IFERROR(N39/N148, "NA")</f>
        <v>0</v>
      </c>
      <c r="P39" s="27">
        <v>0.0</v>
      </c>
      <c r="Q39" s="23">
        <f>IFERROR(P39/P148, "NA")</f>
        <v>0</v>
      </c>
      <c r="R39" s="27">
        <v>0.0</v>
      </c>
      <c r="S39" s="23">
        <f>IFERROR(R39/R148, "NA")</f>
        <v>0</v>
      </c>
      <c r="T39" s="27">
        <v>0.0</v>
      </c>
      <c r="U39" s="23">
        <f>IFERROR(T39/T148, "NA")</f>
        <v>0</v>
      </c>
      <c r="V39" s="27">
        <v>0.0</v>
      </c>
      <c r="W39" s="23">
        <f>IFERROR(V39/V148, "NA")</f>
        <v>0</v>
      </c>
      <c r="X39" s="27">
        <v>0.0</v>
      </c>
      <c r="Y39" s="23">
        <f>IFERROR(X39/X148, "NA")</f>
        <v>0</v>
      </c>
      <c r="Z39" s="27">
        <v>0.0</v>
      </c>
      <c r="AA39" s="23">
        <f>IFERROR(Z39/Z148, "NA")</f>
        <v>0</v>
      </c>
      <c r="AB39" s="59">
        <f t="shared" ref="AB39:AB44" si="19">IFERROR((R39+T39+V39+X39)/4, "NA")</f>
        <v>0</v>
      </c>
      <c r="AC39" s="23">
        <f>IFERROR(AB39/AB148, "NA")</f>
        <v>0</v>
      </c>
      <c r="AD39" s="61">
        <f t="shared" ref="AD39:AD44" si="20">IFERROR(X39-AB39, "NA")</f>
        <v>0</v>
      </c>
      <c r="AE39" s="63">
        <f>IFERROR(AD39/AD148, "NA")</f>
        <v>0</v>
      </c>
      <c r="AF39" s="61" t="str">
        <f t="shared" ref="AF39:AF44" si="21">IFERROR((X39-AB39)/AB39, "NA")</f>
        <v>NA</v>
      </c>
      <c r="AG39" s="59">
        <f t="shared" ref="AG39:AG44" si="22">IFERROR((J39+L39+N39+P39+R39+T39+V39+X39)/8, "NA")</f>
        <v>0</v>
      </c>
      <c r="AH39" s="23">
        <f>IFERROR(AG39/AG148, "NA")</f>
        <v>0</v>
      </c>
      <c r="AI39" s="61">
        <f t="shared" ref="AI39:AI44" si="23">IFERROR(X39-AG39, "NA")</f>
        <v>0</v>
      </c>
      <c r="AJ39" s="63">
        <f>IFERROR(AI39/AI148, "NA")</f>
        <v>0</v>
      </c>
      <c r="AK39" s="61" t="str">
        <f t="shared" ref="AK39:AK44" si="24">IFERROR((X39-AG39)/AG39, "NA")</f>
        <v>NA</v>
      </c>
      <c r="AL39" s="63" t="str">
        <f>IFERROR(AK39/AK148, "NA")</f>
        <v>NA</v>
      </c>
    </row>
    <row r="40" ht="16.5" customHeight="1">
      <c r="A40" s="26" t="s">
        <v>98</v>
      </c>
      <c r="B40" s="27">
        <v>982.42</v>
      </c>
      <c r="C40" s="23">
        <f>IFERROR(B40/B148, "NA")</f>
        <v>0.02546492501</v>
      </c>
      <c r="D40" s="27">
        <v>1104.88</v>
      </c>
      <c r="E40" s="23">
        <f>IFERROR(D40/D148, "NA")</f>
        <v>0.02457940187</v>
      </c>
      <c r="F40" s="27">
        <v>1451.22</v>
      </c>
      <c r="G40" s="23">
        <f>IFERROR(F40/F148, "NA")</f>
        <v>0.03522034131</v>
      </c>
      <c r="H40" s="27">
        <v>626.68</v>
      </c>
      <c r="I40" s="23">
        <f>IFERROR(H40/H148, "NA")</f>
        <v>0.01617080131</v>
      </c>
      <c r="J40" s="27">
        <v>1112.85</v>
      </c>
      <c r="K40" s="23">
        <f>IFERROR(J40/J148, "NA")</f>
        <v>0.02127587169</v>
      </c>
      <c r="L40" s="27">
        <v>1431.78</v>
      </c>
      <c r="M40" s="23">
        <f>IFERROR(L40/L148, "NA")</f>
        <v>0.02832830026</v>
      </c>
      <c r="N40" s="27">
        <v>900.8</v>
      </c>
      <c r="O40" s="23">
        <f>IFERROR(N40/N148, "NA")</f>
        <v>0.01904878311</v>
      </c>
      <c r="P40" s="27">
        <v>921.97</v>
      </c>
      <c r="Q40" s="23">
        <f>IFERROR(P40/P148, "NA")</f>
        <v>0.0191876732</v>
      </c>
      <c r="R40" s="27">
        <v>1089.0</v>
      </c>
      <c r="S40" s="23">
        <f>IFERROR(R40/R148, "NA")</f>
        <v>0.0256577357</v>
      </c>
      <c r="T40" s="27">
        <v>1173.48</v>
      </c>
      <c r="U40" s="23">
        <f>IFERROR(T40/T148, "NA")</f>
        <v>0.01945274767</v>
      </c>
      <c r="V40" s="27">
        <v>1277.51</v>
      </c>
      <c r="W40" s="23">
        <f>IFERROR(V40/V148, "NA")</f>
        <v>0.02173695916</v>
      </c>
      <c r="X40" s="27">
        <v>1005.2</v>
      </c>
      <c r="Y40" s="23">
        <f>IFERROR(X40/X148, "NA")</f>
        <v>0.02162788801</v>
      </c>
      <c r="Z40" s="27">
        <v>4545.19</v>
      </c>
      <c r="AA40" s="23">
        <f>IFERROR(Z40/Z148, "NA")</f>
        <v>0.0218501585</v>
      </c>
      <c r="AB40" s="59">
        <f t="shared" si="19"/>
        <v>1136.2975</v>
      </c>
      <c r="AC40" s="23">
        <f>IFERROR(AB40/AB148, "NA")</f>
        <v>0.0218501585</v>
      </c>
      <c r="AD40" s="61">
        <f t="shared" si="20"/>
        <v>-131.0975</v>
      </c>
      <c r="AE40" s="63">
        <f>IFERROR(AD40/AD148, "NA")</f>
        <v>0.02371923203</v>
      </c>
      <c r="AF40" s="61">
        <f t="shared" si="21"/>
        <v>-0.1153725147</v>
      </c>
      <c r="AG40" s="59">
        <f t="shared" si="22"/>
        <v>1114.07375</v>
      </c>
      <c r="AH40" s="23">
        <f>IFERROR(AG40/AG148, "NA")</f>
        <v>0.02194118424</v>
      </c>
      <c r="AI40" s="61">
        <f t="shared" si="23"/>
        <v>-108.87375</v>
      </c>
      <c r="AJ40" s="63">
        <f>IFERROR(AI40/AI148, "NA")</f>
        <v>0.02532871731</v>
      </c>
      <c r="AK40" s="61">
        <f t="shared" si="24"/>
        <v>-0.09772580137</v>
      </c>
      <c r="AL40" s="63">
        <f>IFERROR(AK40/AK148, "NA")</f>
        <v>1.154391533</v>
      </c>
    </row>
    <row r="41" ht="16.5" customHeight="1">
      <c r="A41" s="26" t="s">
        <v>99</v>
      </c>
      <c r="B41" s="27">
        <v>606.53</v>
      </c>
      <c r="C41" s="23">
        <f>IFERROR(B41/B148, "NA")</f>
        <v>0.01572162717</v>
      </c>
      <c r="D41" s="27">
        <v>671.36</v>
      </c>
      <c r="E41" s="23">
        <f>IFERROR(D41/D148, "NA")</f>
        <v>0.01493522124</v>
      </c>
      <c r="F41" s="27">
        <v>487.76</v>
      </c>
      <c r="G41" s="23">
        <f>IFERROR(F41/F148, "NA")</f>
        <v>0.01183767704</v>
      </c>
      <c r="H41" s="27">
        <v>517.71</v>
      </c>
      <c r="I41" s="23">
        <f>IFERROR(H41/H148, "NA")</f>
        <v>0.01335894803</v>
      </c>
      <c r="J41" s="27">
        <v>1030.28</v>
      </c>
      <c r="K41" s="23">
        <f>IFERROR(J41/J148, "NA")</f>
        <v>0.01969726835</v>
      </c>
      <c r="L41" s="27">
        <v>657.52</v>
      </c>
      <c r="M41" s="23">
        <f>IFERROR(L41/L148, "NA")</f>
        <v>0.01300927795</v>
      </c>
      <c r="N41" s="27">
        <v>791.5</v>
      </c>
      <c r="O41" s="23">
        <f>IFERROR(N41/N148, "NA")</f>
        <v>0.01673746873</v>
      </c>
      <c r="P41" s="27">
        <v>244.19</v>
      </c>
      <c r="Q41" s="23">
        <f>IFERROR(P41/P148, "NA")</f>
        <v>0.005081985227</v>
      </c>
      <c r="R41" s="27">
        <v>583.17</v>
      </c>
      <c r="S41" s="23">
        <f>IFERROR(R41/R148, "NA")</f>
        <v>0.01373996486</v>
      </c>
      <c r="T41" s="27">
        <v>766.6</v>
      </c>
      <c r="U41" s="23">
        <f>IFERROR(T41/T148, "NA")</f>
        <v>0.01270790841</v>
      </c>
      <c r="V41" s="27">
        <v>626.83</v>
      </c>
      <c r="W41" s="23">
        <f>IFERROR(V41/V148, "NA")</f>
        <v>0.01066557452</v>
      </c>
      <c r="X41" s="27">
        <v>837.72</v>
      </c>
      <c r="Y41" s="23">
        <f>IFERROR(X41/X148, "NA")</f>
        <v>0.01802438753</v>
      </c>
      <c r="Z41" s="27">
        <v>2814.32</v>
      </c>
      <c r="AA41" s="23">
        <f>IFERROR(Z41/Z148, "NA")</f>
        <v>0.01352932178</v>
      </c>
      <c r="AB41" s="59">
        <f t="shared" si="19"/>
        <v>703.58</v>
      </c>
      <c r="AC41" s="23">
        <f>IFERROR(AB41/AB148, "NA")</f>
        <v>0.01352932178</v>
      </c>
      <c r="AD41" s="61">
        <f t="shared" si="20"/>
        <v>134.14</v>
      </c>
      <c r="AE41" s="63">
        <f>IFERROR(AD41/AD148, "NA")</f>
        <v>-0.02426970602</v>
      </c>
      <c r="AF41" s="61">
        <f t="shared" si="21"/>
        <v>0.1906535149</v>
      </c>
      <c r="AG41" s="59">
        <f t="shared" si="22"/>
        <v>692.22625</v>
      </c>
      <c r="AH41" s="23">
        <f>IFERROR(AG41/AG148, "NA")</f>
        <v>0.0136330864</v>
      </c>
      <c r="AI41" s="61">
        <f t="shared" si="23"/>
        <v>145.49375</v>
      </c>
      <c r="AJ41" s="63">
        <f>IFERROR(AI41/AI148, "NA")</f>
        <v>-0.03384810447</v>
      </c>
      <c r="AK41" s="61">
        <f t="shared" si="24"/>
        <v>0.2101823645</v>
      </c>
      <c r="AL41" s="63">
        <f>IFERROR(AK41/AK148, "NA")</f>
        <v>-2.482791019</v>
      </c>
    </row>
    <row r="42" ht="16.5" hidden="1" customHeight="1">
      <c r="A42" s="26" t="s">
        <v>100</v>
      </c>
      <c r="B42" s="27">
        <v>0.0</v>
      </c>
      <c r="C42" s="23">
        <f>IFERROR(B42/B148, "NA")</f>
        <v>0</v>
      </c>
      <c r="D42" s="27">
        <v>0.0</v>
      </c>
      <c r="E42" s="23">
        <f>IFERROR(D42/D148, "NA")</f>
        <v>0</v>
      </c>
      <c r="F42" s="27">
        <v>0.0</v>
      </c>
      <c r="G42" s="23">
        <f>IFERROR(F42/F148, "NA")</f>
        <v>0</v>
      </c>
      <c r="H42" s="27">
        <v>0.0</v>
      </c>
      <c r="I42" s="23">
        <f>IFERROR(H42/H148, "NA")</f>
        <v>0</v>
      </c>
      <c r="J42" s="27">
        <v>0.0</v>
      </c>
      <c r="K42" s="23">
        <f>IFERROR(J42/J148, "NA")</f>
        <v>0</v>
      </c>
      <c r="L42" s="27">
        <v>0.0</v>
      </c>
      <c r="M42" s="23">
        <f>IFERROR(L42/L148, "NA")</f>
        <v>0</v>
      </c>
      <c r="N42" s="27">
        <v>0.0</v>
      </c>
      <c r="O42" s="23">
        <f>IFERROR(N42/N148, "NA")</f>
        <v>0</v>
      </c>
      <c r="P42" s="27">
        <v>0.0</v>
      </c>
      <c r="Q42" s="23">
        <f>IFERROR(P42/P148, "NA")</f>
        <v>0</v>
      </c>
      <c r="R42" s="27">
        <v>0.0</v>
      </c>
      <c r="S42" s="23">
        <f>IFERROR(R42/R148, "NA")</f>
        <v>0</v>
      </c>
      <c r="T42" s="27">
        <v>0.0</v>
      </c>
      <c r="U42" s="23">
        <f>IFERROR(T42/T148, "NA")</f>
        <v>0</v>
      </c>
      <c r="V42" s="27">
        <v>0.0</v>
      </c>
      <c r="W42" s="23">
        <f>IFERROR(V42/V148, "NA")</f>
        <v>0</v>
      </c>
      <c r="X42" s="27">
        <v>0.0</v>
      </c>
      <c r="Y42" s="23">
        <f>IFERROR(X42/X148, "NA")</f>
        <v>0</v>
      </c>
      <c r="Z42" s="27">
        <v>0.0</v>
      </c>
      <c r="AA42" s="23">
        <f>IFERROR(Z42/Z148, "NA")</f>
        <v>0</v>
      </c>
      <c r="AB42" s="59">
        <f t="shared" si="19"/>
        <v>0</v>
      </c>
      <c r="AC42" s="23">
        <f>IFERROR(AB42/AB148, "NA")</f>
        <v>0</v>
      </c>
      <c r="AD42" s="61">
        <f t="shared" si="20"/>
        <v>0</v>
      </c>
      <c r="AE42" s="63">
        <f>IFERROR(AD42/AD148, "NA")</f>
        <v>0</v>
      </c>
      <c r="AF42" s="61" t="str">
        <f t="shared" si="21"/>
        <v>NA</v>
      </c>
      <c r="AG42" s="59">
        <f t="shared" si="22"/>
        <v>0</v>
      </c>
      <c r="AH42" s="23">
        <f>IFERROR(AG42/AG148, "NA")</f>
        <v>0</v>
      </c>
      <c r="AI42" s="61">
        <f t="shared" si="23"/>
        <v>0</v>
      </c>
      <c r="AJ42" s="63">
        <f>IFERROR(AI42/AI148, "NA")</f>
        <v>0</v>
      </c>
      <c r="AK42" s="61" t="str">
        <f t="shared" si="24"/>
        <v>NA</v>
      </c>
      <c r="AL42" s="63" t="str">
        <f>IFERROR(AK42/AK148, "NA")</f>
        <v>NA</v>
      </c>
    </row>
    <row r="43" ht="16.5" hidden="1" customHeight="1">
      <c r="A43" s="26" t="s">
        <v>101</v>
      </c>
      <c r="B43" s="27">
        <v>0.0</v>
      </c>
      <c r="C43" s="23">
        <f>IFERROR(B43/B148, "NA")</f>
        <v>0</v>
      </c>
      <c r="D43" s="27">
        <v>0.0</v>
      </c>
      <c r="E43" s="23">
        <f>IFERROR(D43/D148, "NA")</f>
        <v>0</v>
      </c>
      <c r="F43" s="27">
        <v>0.0</v>
      </c>
      <c r="G43" s="23">
        <f>IFERROR(F43/F148, "NA")</f>
        <v>0</v>
      </c>
      <c r="H43" s="27">
        <v>0.0</v>
      </c>
      <c r="I43" s="23">
        <f>IFERROR(H43/H148, "NA")</f>
        <v>0</v>
      </c>
      <c r="J43" s="27">
        <v>0.0</v>
      </c>
      <c r="K43" s="23">
        <f>IFERROR(J43/J148, "NA")</f>
        <v>0</v>
      </c>
      <c r="L43" s="27">
        <v>0.0</v>
      </c>
      <c r="M43" s="23">
        <f>IFERROR(L43/L148, "NA")</f>
        <v>0</v>
      </c>
      <c r="N43" s="27">
        <v>0.0</v>
      </c>
      <c r="O43" s="23">
        <f>IFERROR(N43/N148, "NA")</f>
        <v>0</v>
      </c>
      <c r="P43" s="27">
        <v>0.0</v>
      </c>
      <c r="Q43" s="23">
        <f>IFERROR(P43/P148, "NA")</f>
        <v>0</v>
      </c>
      <c r="R43" s="27">
        <v>0.0</v>
      </c>
      <c r="S43" s="23">
        <f>IFERROR(R43/R148, "NA")</f>
        <v>0</v>
      </c>
      <c r="T43" s="27">
        <v>0.0</v>
      </c>
      <c r="U43" s="23">
        <f>IFERROR(T43/T148, "NA")</f>
        <v>0</v>
      </c>
      <c r="V43" s="27">
        <v>0.0</v>
      </c>
      <c r="W43" s="23">
        <f>IFERROR(V43/V148, "NA")</f>
        <v>0</v>
      </c>
      <c r="X43" s="27">
        <v>0.0</v>
      </c>
      <c r="Y43" s="23">
        <f>IFERROR(X43/X148, "NA")</f>
        <v>0</v>
      </c>
      <c r="Z43" s="27">
        <v>0.0</v>
      </c>
      <c r="AA43" s="23">
        <f>IFERROR(Z43/Z148, "NA")</f>
        <v>0</v>
      </c>
      <c r="AB43" s="59">
        <f t="shared" si="19"/>
        <v>0</v>
      </c>
      <c r="AC43" s="23">
        <f>IFERROR(AB43/AB148, "NA")</f>
        <v>0</v>
      </c>
      <c r="AD43" s="61">
        <f t="shared" si="20"/>
        <v>0</v>
      </c>
      <c r="AE43" s="63">
        <f>IFERROR(AD43/AD148, "NA")</f>
        <v>0</v>
      </c>
      <c r="AF43" s="61" t="str">
        <f t="shared" si="21"/>
        <v>NA</v>
      </c>
      <c r="AG43" s="59">
        <f t="shared" si="22"/>
        <v>0</v>
      </c>
      <c r="AH43" s="23">
        <f>IFERROR(AG43/AG148, "NA")</f>
        <v>0</v>
      </c>
      <c r="AI43" s="61">
        <f t="shared" si="23"/>
        <v>0</v>
      </c>
      <c r="AJ43" s="63">
        <f>IFERROR(AI43/AI148, "NA")</f>
        <v>0</v>
      </c>
      <c r="AK43" s="61" t="str">
        <f t="shared" si="24"/>
        <v>NA</v>
      </c>
      <c r="AL43" s="63" t="str">
        <f>IFERROR(AK43/AK148, "NA")</f>
        <v>NA</v>
      </c>
    </row>
    <row r="44" ht="16.5" customHeight="1">
      <c r="A44" s="66" t="s">
        <v>102</v>
      </c>
      <c r="B44" s="67">
        <f>IFERROR(B39+B40+B41+B42+B43, "NA")</f>
        <v>1588.95</v>
      </c>
      <c r="C44" s="69">
        <f>IFERROR(B44/B148, "NA")</f>
        <v>0.04118655218</v>
      </c>
      <c r="D44" s="67">
        <f>IFERROR(D39+D40+D41+D42+D43, "NA")</f>
        <v>1776.24</v>
      </c>
      <c r="E44" s="69">
        <f>IFERROR(D44/D148, "NA")</f>
        <v>0.03951462311</v>
      </c>
      <c r="F44" s="67">
        <f>IFERROR(F39+F40+F41+F42+F43, "NA")</f>
        <v>1938.98</v>
      </c>
      <c r="G44" s="69">
        <f>IFERROR(F44/F148, "NA")</f>
        <v>0.04705801835</v>
      </c>
      <c r="H44" s="67">
        <f>IFERROR(H39+H40+H41+H42+H43, "NA")</f>
        <v>1144.39</v>
      </c>
      <c r="I44" s="69">
        <f>IFERROR(H44/H148, "NA")</f>
        <v>0.02952974934</v>
      </c>
      <c r="J44" s="67">
        <f>IFERROR(J39+J40+J41+J42+J43, "NA")</f>
        <v>2143.13</v>
      </c>
      <c r="K44" s="69">
        <f>IFERROR(J44/J148, "NA")</f>
        <v>0.04097314004</v>
      </c>
      <c r="L44" s="67">
        <f>IFERROR(L39+L40+L41+L42+L43, "NA")</f>
        <v>2089.3</v>
      </c>
      <c r="M44" s="69">
        <f>IFERROR(L44/L148, "NA")</f>
        <v>0.04133757822</v>
      </c>
      <c r="N44" s="67">
        <f>IFERROR(N39+N40+N41+N42+N43, "NA")</f>
        <v>1692.3</v>
      </c>
      <c r="O44" s="69">
        <f>IFERROR(N44/N148, "NA")</f>
        <v>0.03578625185</v>
      </c>
      <c r="P44" s="67">
        <f>IFERROR(P39+P40+P41+P42+P43, "NA")</f>
        <v>1166.16</v>
      </c>
      <c r="Q44" s="69">
        <f>IFERROR(P44/P148, "NA")</f>
        <v>0.02426965843</v>
      </c>
      <c r="R44" s="67">
        <f>IFERROR(R39+R40+R41+R42+R43, "NA")</f>
        <v>1672.17</v>
      </c>
      <c r="S44" s="69">
        <f>IFERROR(R44/R148, "NA")</f>
        <v>0.03939770056</v>
      </c>
      <c r="T44" s="67">
        <f>IFERROR(T39+T40+T41+T42+T43, "NA")</f>
        <v>1940.08</v>
      </c>
      <c r="U44" s="69">
        <f>IFERROR(T44/T148, "NA")</f>
        <v>0.03216065608</v>
      </c>
      <c r="V44" s="67">
        <f>IFERROR(V39+V40+V41+V42+V43, "NA")</f>
        <v>1904.34</v>
      </c>
      <c r="W44" s="69">
        <f>IFERROR(V44/V148, "NA")</f>
        <v>0.03240253368</v>
      </c>
      <c r="X44" s="67">
        <f>IFERROR(X39+X40+X41+X42+X43, "NA")</f>
        <v>1842.92</v>
      </c>
      <c r="Y44" s="69">
        <f>IFERROR(X44/X148, "NA")</f>
        <v>0.03965227554</v>
      </c>
      <c r="Z44" s="67">
        <f>IFERROR(Z39+Z40+Z41+Z42+Z43, "NA")</f>
        <v>7359.51</v>
      </c>
      <c r="AA44" s="69">
        <f>IFERROR(Z44/Z148, "NA")</f>
        <v>0.03537948029</v>
      </c>
      <c r="AB44" s="67">
        <f t="shared" si="19"/>
        <v>1839.8775</v>
      </c>
      <c r="AC44" s="69">
        <f>IFERROR(AB44/AB148, "NA")</f>
        <v>0.03537948029</v>
      </c>
      <c r="AD44" s="70">
        <f t="shared" si="20"/>
        <v>3.0425</v>
      </c>
      <c r="AE44" s="71">
        <f>IFERROR(AD44/AD148, "NA")</f>
        <v>-0.0005504739866</v>
      </c>
      <c r="AF44" s="70">
        <f t="shared" si="21"/>
        <v>0.001653642702</v>
      </c>
      <c r="AG44" s="67">
        <f t="shared" si="22"/>
        <v>1806.3</v>
      </c>
      <c r="AH44" s="69">
        <f>IFERROR(AG44/AG148, "NA")</f>
        <v>0.03557427063</v>
      </c>
      <c r="AI44" s="70">
        <f t="shared" si="23"/>
        <v>36.62</v>
      </c>
      <c r="AJ44" s="71">
        <f>IFERROR(AI44/AI148, "NA")</f>
        <v>-0.00851938716</v>
      </c>
      <c r="AK44" s="70">
        <f t="shared" si="24"/>
        <v>0.02027348724</v>
      </c>
      <c r="AL44" s="71">
        <f>IFERROR(AK44/AK148, "NA")</f>
        <v>-0.2394817099</v>
      </c>
    </row>
    <row r="45" ht="16.5" customHeight="1">
      <c r="A45" s="17" t="s">
        <v>103</v>
      </c>
      <c r="B45" s="19"/>
      <c r="C45" s="13"/>
      <c r="D45" s="19"/>
      <c r="E45" s="13"/>
      <c r="F45" s="19"/>
      <c r="G45" s="13"/>
      <c r="H45" s="19"/>
      <c r="I45" s="13"/>
      <c r="J45" s="19"/>
      <c r="K45" s="13"/>
      <c r="L45" s="19"/>
      <c r="M45" s="13"/>
      <c r="N45" s="19"/>
      <c r="O45" s="13"/>
      <c r="P45" s="19"/>
      <c r="Q45" s="13"/>
      <c r="R45" s="19"/>
      <c r="S45" s="13"/>
      <c r="T45" s="19"/>
      <c r="U45" s="13"/>
      <c r="V45" s="19"/>
      <c r="W45" s="13"/>
      <c r="X45" s="19"/>
      <c r="Y45" s="13"/>
      <c r="Z45" s="19"/>
      <c r="AA45" s="13"/>
      <c r="AB45" s="19"/>
      <c r="AC45" s="13"/>
      <c r="AD45" s="24"/>
      <c r="AE45" s="25"/>
      <c r="AF45" s="24"/>
      <c r="AG45" s="19"/>
      <c r="AH45" s="13"/>
      <c r="AI45" s="24"/>
      <c r="AJ45" s="25"/>
      <c r="AK45" s="24"/>
      <c r="AL45" s="25"/>
    </row>
    <row r="46" ht="16.5" hidden="1" customHeight="1">
      <c r="A46" s="26" t="s">
        <v>104</v>
      </c>
      <c r="B46" s="27">
        <v>0.0</v>
      </c>
      <c r="C46" s="23">
        <f>IFERROR(B46/B148, "NA")</f>
        <v>0</v>
      </c>
      <c r="D46" s="27">
        <v>0.0</v>
      </c>
      <c r="E46" s="23">
        <f>IFERROR(D46/D148, "NA")</f>
        <v>0</v>
      </c>
      <c r="F46" s="27">
        <v>0.0</v>
      </c>
      <c r="G46" s="23">
        <f>IFERROR(F46/F148, "NA")</f>
        <v>0</v>
      </c>
      <c r="H46" s="27">
        <v>0.0</v>
      </c>
      <c r="I46" s="23">
        <f>IFERROR(H46/H148, "NA")</f>
        <v>0</v>
      </c>
      <c r="J46" s="27">
        <v>0.0</v>
      </c>
      <c r="K46" s="23">
        <f>IFERROR(J46/J148, "NA")</f>
        <v>0</v>
      </c>
      <c r="L46" s="27">
        <v>0.0</v>
      </c>
      <c r="M46" s="23">
        <f>IFERROR(L46/L148, "NA")</f>
        <v>0</v>
      </c>
      <c r="N46" s="27">
        <v>0.0</v>
      </c>
      <c r="O46" s="23">
        <f>IFERROR(N46/N148, "NA")</f>
        <v>0</v>
      </c>
      <c r="P46" s="27">
        <v>0.0</v>
      </c>
      <c r="Q46" s="23">
        <f>IFERROR(P46/P148, "NA")</f>
        <v>0</v>
      </c>
      <c r="R46" s="27">
        <v>0.0</v>
      </c>
      <c r="S46" s="23">
        <f>IFERROR(R46/R148, "NA")</f>
        <v>0</v>
      </c>
      <c r="T46" s="27">
        <v>0.0</v>
      </c>
      <c r="U46" s="23">
        <f>IFERROR(T46/T148, "NA")</f>
        <v>0</v>
      </c>
      <c r="V46" s="27">
        <v>0.0</v>
      </c>
      <c r="W46" s="23">
        <f>IFERROR(V46/V148, "NA")</f>
        <v>0</v>
      </c>
      <c r="X46" s="27">
        <v>0.0</v>
      </c>
      <c r="Y46" s="23">
        <f>IFERROR(X46/X148, "NA")</f>
        <v>0</v>
      </c>
      <c r="Z46" s="27">
        <v>0.0</v>
      </c>
      <c r="AA46" s="23">
        <f>IFERROR(Z46/Z148, "NA")</f>
        <v>0</v>
      </c>
      <c r="AB46" s="59">
        <f t="shared" ref="AB46:AB57" si="25">IFERROR((R46+T46+V46+X46)/4, "NA")</f>
        <v>0</v>
      </c>
      <c r="AC46" s="23">
        <f>IFERROR(AB46/AB148, "NA")</f>
        <v>0</v>
      </c>
      <c r="AD46" s="61">
        <f t="shared" ref="AD46:AD57" si="26">IFERROR(X46-AB46, "NA")</f>
        <v>0</v>
      </c>
      <c r="AE46" s="63">
        <f>IFERROR(AD46/AD148, "NA")</f>
        <v>0</v>
      </c>
      <c r="AF46" s="61" t="str">
        <f t="shared" ref="AF46:AF57" si="27">IFERROR((X46-AB46)/AB46, "NA")</f>
        <v>NA</v>
      </c>
      <c r="AG46" s="59">
        <f t="shared" ref="AG46:AG57" si="28">IFERROR((J46+L46+N46+P46+R46+T46+V46+X46)/8, "NA")</f>
        <v>0</v>
      </c>
      <c r="AH46" s="23">
        <f>IFERROR(AG46/AG148, "NA")</f>
        <v>0</v>
      </c>
      <c r="AI46" s="61">
        <f t="shared" ref="AI46:AI57" si="29">IFERROR(X46-AG46, "NA")</f>
        <v>0</v>
      </c>
      <c r="AJ46" s="63">
        <f>IFERROR(AI46/AI148, "NA")</f>
        <v>0</v>
      </c>
      <c r="AK46" s="61" t="str">
        <f t="shared" ref="AK46:AK57" si="30">IFERROR((X46-AG46)/AG46, "NA")</f>
        <v>NA</v>
      </c>
      <c r="AL46" s="63" t="str">
        <f>IFERROR(AK46/AK148, "NA")</f>
        <v>NA</v>
      </c>
    </row>
    <row r="47" ht="16.5" customHeight="1">
      <c r="A47" s="26" t="s">
        <v>107</v>
      </c>
      <c r="B47" s="27">
        <v>65.44</v>
      </c>
      <c r="C47" s="23">
        <f>IFERROR(B47/B148, "NA")</f>
        <v>0.001696244674</v>
      </c>
      <c r="D47" s="27">
        <v>22.06</v>
      </c>
      <c r="E47" s="23">
        <f>IFERROR(D47/D148, "NA")</f>
        <v>0.0004907515796</v>
      </c>
      <c r="F47" s="27">
        <v>54.93</v>
      </c>
      <c r="G47" s="23">
        <f>IFERROR(F47/F148, "NA")</f>
        <v>0.001333122027</v>
      </c>
      <c r="H47" s="27">
        <v>62.27</v>
      </c>
      <c r="I47" s="23">
        <f>IFERROR(H47/H148, "NA")</f>
        <v>0.001606810171</v>
      </c>
      <c r="J47" s="27">
        <v>79.89</v>
      </c>
      <c r="K47" s="23">
        <f>IFERROR(J47/J148, "NA")</f>
        <v>0.001527366122</v>
      </c>
      <c r="L47" s="27">
        <v>59.29</v>
      </c>
      <c r="M47" s="23">
        <f>IFERROR(L47/L148, "NA")</f>
        <v>0.00117307472</v>
      </c>
      <c r="N47" s="27">
        <v>78.72</v>
      </c>
      <c r="O47" s="23">
        <f>IFERROR(N47/N148, "NA")</f>
        <v>0.001664653871</v>
      </c>
      <c r="P47" s="27">
        <v>65.39</v>
      </c>
      <c r="Q47" s="23">
        <f>IFERROR(P47/P148, "NA")</f>
        <v>0.001360870691</v>
      </c>
      <c r="R47" s="27">
        <v>64.65</v>
      </c>
      <c r="S47" s="23">
        <f>IFERROR(R47/R148, "NA")</f>
        <v>0.001523207175</v>
      </c>
      <c r="T47" s="27">
        <v>83.1</v>
      </c>
      <c r="U47" s="23">
        <f>IFERROR(T47/T148, "NA")</f>
        <v>0.001377546555</v>
      </c>
      <c r="V47" s="27">
        <v>73.48</v>
      </c>
      <c r="W47" s="23">
        <f>IFERROR(V47/V148, "NA")</f>
        <v>0.001250269477</v>
      </c>
      <c r="X47" s="27">
        <v>86.43</v>
      </c>
      <c r="Y47" s="23">
        <f>IFERROR(X47/X148, "NA")</f>
        <v>0.001859628294</v>
      </c>
      <c r="Z47" s="27">
        <v>307.66</v>
      </c>
      <c r="AA47" s="23">
        <f>IFERROR(Z47/Z148, "NA")</f>
        <v>0.001479018427</v>
      </c>
      <c r="AB47" s="59">
        <f t="shared" si="25"/>
        <v>76.915</v>
      </c>
      <c r="AC47" s="23">
        <f>IFERROR(AB47/AB148, "NA")</f>
        <v>0.001479018427</v>
      </c>
      <c r="AD47" s="61">
        <f t="shared" si="26"/>
        <v>9.515</v>
      </c>
      <c r="AE47" s="63">
        <f>IFERROR(AD47/AD148, "NA")</f>
        <v>-0.001721531629</v>
      </c>
      <c r="AF47" s="61">
        <f t="shared" si="27"/>
        <v>0.1237079893</v>
      </c>
      <c r="AG47" s="59">
        <f t="shared" si="28"/>
        <v>73.86875</v>
      </c>
      <c r="AH47" s="23">
        <f>IFERROR(AG47/AG148, "NA")</f>
        <v>0.001454811993</v>
      </c>
      <c r="AI47" s="61">
        <f t="shared" si="29"/>
        <v>12.56125</v>
      </c>
      <c r="AJ47" s="63">
        <f>IFERROR(AI47/AI148, "NA")</f>
        <v>-0.002922287055</v>
      </c>
      <c r="AK47" s="61">
        <f t="shared" si="30"/>
        <v>0.1700482274</v>
      </c>
      <c r="AL47" s="63">
        <f>IFERROR(AK47/AK148, "NA")</f>
        <v>-2.008704264</v>
      </c>
    </row>
    <row r="48" ht="16.5" hidden="1" customHeight="1">
      <c r="A48" s="26" t="s">
        <v>108</v>
      </c>
      <c r="B48" s="27">
        <v>0.0</v>
      </c>
      <c r="C48" s="23">
        <f>IFERROR(B48/B148, "NA")</f>
        <v>0</v>
      </c>
      <c r="D48" s="27">
        <v>0.0</v>
      </c>
      <c r="E48" s="23">
        <f>IFERROR(D48/D148, "NA")</f>
        <v>0</v>
      </c>
      <c r="F48" s="27">
        <v>0.0</v>
      </c>
      <c r="G48" s="23">
        <f>IFERROR(F48/F148, "NA")</f>
        <v>0</v>
      </c>
      <c r="H48" s="27">
        <v>0.0</v>
      </c>
      <c r="I48" s="23">
        <f>IFERROR(H48/H148, "NA")</f>
        <v>0</v>
      </c>
      <c r="J48" s="27">
        <v>0.0</v>
      </c>
      <c r="K48" s="23">
        <f>IFERROR(J48/J148, "NA")</f>
        <v>0</v>
      </c>
      <c r="L48" s="27">
        <v>0.0</v>
      </c>
      <c r="M48" s="23">
        <f>IFERROR(L48/L148, "NA")</f>
        <v>0</v>
      </c>
      <c r="N48" s="27">
        <v>0.0</v>
      </c>
      <c r="O48" s="23">
        <f>IFERROR(N48/N148, "NA")</f>
        <v>0</v>
      </c>
      <c r="P48" s="27">
        <v>0.0</v>
      </c>
      <c r="Q48" s="23">
        <f>IFERROR(P48/P148, "NA")</f>
        <v>0</v>
      </c>
      <c r="R48" s="27">
        <v>0.0</v>
      </c>
      <c r="S48" s="23">
        <f>IFERROR(R48/R148, "NA")</f>
        <v>0</v>
      </c>
      <c r="T48" s="27">
        <v>0.0</v>
      </c>
      <c r="U48" s="23">
        <f>IFERROR(T48/T148, "NA")</f>
        <v>0</v>
      </c>
      <c r="V48" s="27">
        <v>0.0</v>
      </c>
      <c r="W48" s="23">
        <f>IFERROR(V48/V148, "NA")</f>
        <v>0</v>
      </c>
      <c r="X48" s="27">
        <v>0.0</v>
      </c>
      <c r="Y48" s="23">
        <f>IFERROR(X48/X148, "NA")</f>
        <v>0</v>
      </c>
      <c r="Z48" s="27">
        <v>0.0</v>
      </c>
      <c r="AA48" s="23">
        <f>IFERROR(Z48/Z148, "NA")</f>
        <v>0</v>
      </c>
      <c r="AB48" s="59">
        <f t="shared" si="25"/>
        <v>0</v>
      </c>
      <c r="AC48" s="23">
        <f>IFERROR(AB48/AB148, "NA")</f>
        <v>0</v>
      </c>
      <c r="AD48" s="61">
        <f t="shared" si="26"/>
        <v>0</v>
      </c>
      <c r="AE48" s="63">
        <f>IFERROR(AD48/AD148, "NA")</f>
        <v>0</v>
      </c>
      <c r="AF48" s="61" t="str">
        <f t="shared" si="27"/>
        <v>NA</v>
      </c>
      <c r="AG48" s="59">
        <f t="shared" si="28"/>
        <v>0</v>
      </c>
      <c r="AH48" s="23">
        <f>IFERROR(AG48/AG148, "NA")</f>
        <v>0</v>
      </c>
      <c r="AI48" s="61">
        <f t="shared" si="29"/>
        <v>0</v>
      </c>
      <c r="AJ48" s="63">
        <f>IFERROR(AI48/AI148, "NA")</f>
        <v>0</v>
      </c>
      <c r="AK48" s="61" t="str">
        <f t="shared" si="30"/>
        <v>NA</v>
      </c>
      <c r="AL48" s="63" t="str">
        <f>IFERROR(AK48/AK148, "NA")</f>
        <v>NA</v>
      </c>
    </row>
    <row r="49" ht="16.5" hidden="1" customHeight="1">
      <c r="A49" s="26" t="s">
        <v>109</v>
      </c>
      <c r="B49" s="27">
        <v>0.0</v>
      </c>
      <c r="C49" s="23">
        <f>IFERROR(B49/B148, "NA")</f>
        <v>0</v>
      </c>
      <c r="D49" s="27">
        <v>0.0</v>
      </c>
      <c r="E49" s="23">
        <f>IFERROR(D49/D148, "NA")</f>
        <v>0</v>
      </c>
      <c r="F49" s="27">
        <v>0.0</v>
      </c>
      <c r="G49" s="23">
        <f>IFERROR(F49/F148, "NA")</f>
        <v>0</v>
      </c>
      <c r="H49" s="27">
        <v>0.0</v>
      </c>
      <c r="I49" s="23">
        <f>IFERROR(H49/H148, "NA")</f>
        <v>0</v>
      </c>
      <c r="J49" s="27">
        <v>0.0</v>
      </c>
      <c r="K49" s="23">
        <f>IFERROR(J49/J148, "NA")</f>
        <v>0</v>
      </c>
      <c r="L49" s="27">
        <v>0.0</v>
      </c>
      <c r="M49" s="23">
        <f>IFERROR(L49/L148, "NA")</f>
        <v>0</v>
      </c>
      <c r="N49" s="27">
        <v>0.0</v>
      </c>
      <c r="O49" s="23">
        <f>IFERROR(N49/N148, "NA")</f>
        <v>0</v>
      </c>
      <c r="P49" s="27">
        <v>0.0</v>
      </c>
      <c r="Q49" s="23">
        <f>IFERROR(P49/P148, "NA")</f>
        <v>0</v>
      </c>
      <c r="R49" s="27">
        <v>0.0</v>
      </c>
      <c r="S49" s="23">
        <f>IFERROR(R49/R148, "NA")</f>
        <v>0</v>
      </c>
      <c r="T49" s="27">
        <v>0.0</v>
      </c>
      <c r="U49" s="23">
        <f>IFERROR(T49/T148, "NA")</f>
        <v>0</v>
      </c>
      <c r="V49" s="27">
        <v>0.0</v>
      </c>
      <c r="W49" s="23">
        <f>IFERROR(V49/V148, "NA")</f>
        <v>0</v>
      </c>
      <c r="X49" s="27">
        <v>0.0</v>
      </c>
      <c r="Y49" s="23">
        <f>IFERROR(X49/X148, "NA")</f>
        <v>0</v>
      </c>
      <c r="Z49" s="27">
        <v>0.0</v>
      </c>
      <c r="AA49" s="23">
        <f>IFERROR(Z49/Z148, "NA")</f>
        <v>0</v>
      </c>
      <c r="AB49" s="59">
        <f t="shared" si="25"/>
        <v>0</v>
      </c>
      <c r="AC49" s="23">
        <f>IFERROR(AB49/AB148, "NA")</f>
        <v>0</v>
      </c>
      <c r="AD49" s="61">
        <f t="shared" si="26"/>
        <v>0</v>
      </c>
      <c r="AE49" s="63">
        <f>IFERROR(AD49/AD148, "NA")</f>
        <v>0</v>
      </c>
      <c r="AF49" s="61" t="str">
        <f t="shared" si="27"/>
        <v>NA</v>
      </c>
      <c r="AG49" s="59">
        <f t="shared" si="28"/>
        <v>0</v>
      </c>
      <c r="AH49" s="23">
        <f>IFERROR(AG49/AG148, "NA")</f>
        <v>0</v>
      </c>
      <c r="AI49" s="61">
        <f t="shared" si="29"/>
        <v>0</v>
      </c>
      <c r="AJ49" s="63">
        <f>IFERROR(AI49/AI148, "NA")</f>
        <v>0</v>
      </c>
      <c r="AK49" s="61" t="str">
        <f t="shared" si="30"/>
        <v>NA</v>
      </c>
      <c r="AL49" s="63" t="str">
        <f>IFERROR(AK49/AK148, "NA")</f>
        <v>NA</v>
      </c>
    </row>
    <row r="50" ht="16.5" hidden="1" customHeight="1">
      <c r="A50" s="26" t="s">
        <v>110</v>
      </c>
      <c r="B50" s="27">
        <v>0.0</v>
      </c>
      <c r="C50" s="23">
        <f>IFERROR(B50/B148, "NA")</f>
        <v>0</v>
      </c>
      <c r="D50" s="27">
        <v>0.0</v>
      </c>
      <c r="E50" s="23">
        <f>IFERROR(D50/D148, "NA")</f>
        <v>0</v>
      </c>
      <c r="F50" s="27">
        <v>0.0</v>
      </c>
      <c r="G50" s="23">
        <f>IFERROR(F50/F148, "NA")</f>
        <v>0</v>
      </c>
      <c r="H50" s="27">
        <v>0.0</v>
      </c>
      <c r="I50" s="23">
        <f>IFERROR(H50/H148, "NA")</f>
        <v>0</v>
      </c>
      <c r="J50" s="27">
        <v>0.0</v>
      </c>
      <c r="K50" s="23">
        <f>IFERROR(J50/J148, "NA")</f>
        <v>0</v>
      </c>
      <c r="L50" s="27">
        <v>0.0</v>
      </c>
      <c r="M50" s="23">
        <f>IFERROR(L50/L148, "NA")</f>
        <v>0</v>
      </c>
      <c r="N50" s="27">
        <v>0.0</v>
      </c>
      <c r="O50" s="23">
        <f>IFERROR(N50/N148, "NA")</f>
        <v>0</v>
      </c>
      <c r="P50" s="27">
        <v>0.0</v>
      </c>
      <c r="Q50" s="23">
        <f>IFERROR(P50/P148, "NA")</f>
        <v>0</v>
      </c>
      <c r="R50" s="27">
        <v>0.0</v>
      </c>
      <c r="S50" s="23">
        <f>IFERROR(R50/R148, "NA")</f>
        <v>0</v>
      </c>
      <c r="T50" s="27">
        <v>0.0</v>
      </c>
      <c r="U50" s="23">
        <f>IFERROR(T50/T148, "NA")</f>
        <v>0</v>
      </c>
      <c r="V50" s="27">
        <v>0.0</v>
      </c>
      <c r="W50" s="23">
        <f>IFERROR(V50/V148, "NA")</f>
        <v>0</v>
      </c>
      <c r="X50" s="27">
        <v>0.0</v>
      </c>
      <c r="Y50" s="23">
        <f>IFERROR(X50/X148, "NA")</f>
        <v>0</v>
      </c>
      <c r="Z50" s="27">
        <v>0.0</v>
      </c>
      <c r="AA50" s="23">
        <f>IFERROR(Z50/Z148, "NA")</f>
        <v>0</v>
      </c>
      <c r="AB50" s="59">
        <f t="shared" si="25"/>
        <v>0</v>
      </c>
      <c r="AC50" s="23">
        <f>IFERROR(AB50/AB148, "NA")</f>
        <v>0</v>
      </c>
      <c r="AD50" s="61">
        <f t="shared" si="26"/>
        <v>0</v>
      </c>
      <c r="AE50" s="63">
        <f>IFERROR(AD50/AD148, "NA")</f>
        <v>0</v>
      </c>
      <c r="AF50" s="61" t="str">
        <f t="shared" si="27"/>
        <v>NA</v>
      </c>
      <c r="AG50" s="59">
        <f t="shared" si="28"/>
        <v>0</v>
      </c>
      <c r="AH50" s="23">
        <f>IFERROR(AG50/AG148, "NA")</f>
        <v>0</v>
      </c>
      <c r="AI50" s="61">
        <f t="shared" si="29"/>
        <v>0</v>
      </c>
      <c r="AJ50" s="63">
        <f>IFERROR(AI50/AI148, "NA")</f>
        <v>0</v>
      </c>
      <c r="AK50" s="61" t="str">
        <f t="shared" si="30"/>
        <v>NA</v>
      </c>
      <c r="AL50" s="63" t="str">
        <f>IFERROR(AK50/AK148, "NA")</f>
        <v>NA</v>
      </c>
    </row>
    <row r="51" ht="16.5" hidden="1" customHeight="1">
      <c r="A51" s="26" t="s">
        <v>111</v>
      </c>
      <c r="B51" s="27">
        <v>0.0</v>
      </c>
      <c r="C51" s="23">
        <f>IFERROR(B51/B148, "NA")</f>
        <v>0</v>
      </c>
      <c r="D51" s="27">
        <v>0.0</v>
      </c>
      <c r="E51" s="23">
        <f>IFERROR(D51/D148, "NA")</f>
        <v>0</v>
      </c>
      <c r="F51" s="27">
        <v>0.0</v>
      </c>
      <c r="G51" s="23">
        <f>IFERROR(F51/F148, "NA")</f>
        <v>0</v>
      </c>
      <c r="H51" s="27">
        <v>0.0</v>
      </c>
      <c r="I51" s="23">
        <f>IFERROR(H51/H148, "NA")</f>
        <v>0</v>
      </c>
      <c r="J51" s="27">
        <v>0.0</v>
      </c>
      <c r="K51" s="23">
        <f>IFERROR(J51/J148, "NA")</f>
        <v>0</v>
      </c>
      <c r="L51" s="27">
        <v>0.0</v>
      </c>
      <c r="M51" s="23">
        <f>IFERROR(L51/L148, "NA")</f>
        <v>0</v>
      </c>
      <c r="N51" s="27">
        <v>0.0</v>
      </c>
      <c r="O51" s="23">
        <f>IFERROR(N51/N148, "NA")</f>
        <v>0</v>
      </c>
      <c r="P51" s="27">
        <v>0.0</v>
      </c>
      <c r="Q51" s="23">
        <f>IFERROR(P51/P148, "NA")</f>
        <v>0</v>
      </c>
      <c r="R51" s="27">
        <v>0.0</v>
      </c>
      <c r="S51" s="23">
        <f>IFERROR(R51/R148, "NA")</f>
        <v>0</v>
      </c>
      <c r="T51" s="27">
        <v>0.0</v>
      </c>
      <c r="U51" s="23">
        <f>IFERROR(T51/T148, "NA")</f>
        <v>0</v>
      </c>
      <c r="V51" s="27">
        <v>0.0</v>
      </c>
      <c r="W51" s="23">
        <f>IFERROR(V51/V148, "NA")</f>
        <v>0</v>
      </c>
      <c r="X51" s="27">
        <v>0.0</v>
      </c>
      <c r="Y51" s="23">
        <f>IFERROR(X51/X148, "NA")</f>
        <v>0</v>
      </c>
      <c r="Z51" s="27">
        <v>0.0</v>
      </c>
      <c r="AA51" s="23">
        <f>IFERROR(Z51/Z148, "NA")</f>
        <v>0</v>
      </c>
      <c r="AB51" s="59">
        <f t="shared" si="25"/>
        <v>0</v>
      </c>
      <c r="AC51" s="23">
        <f>IFERROR(AB51/AB148, "NA")</f>
        <v>0</v>
      </c>
      <c r="AD51" s="61">
        <f t="shared" si="26"/>
        <v>0</v>
      </c>
      <c r="AE51" s="63">
        <f>IFERROR(AD51/AD148, "NA")</f>
        <v>0</v>
      </c>
      <c r="AF51" s="61" t="str">
        <f t="shared" si="27"/>
        <v>NA</v>
      </c>
      <c r="AG51" s="59">
        <f t="shared" si="28"/>
        <v>0</v>
      </c>
      <c r="AH51" s="23">
        <f>IFERROR(AG51/AG148, "NA")</f>
        <v>0</v>
      </c>
      <c r="AI51" s="61">
        <f t="shared" si="29"/>
        <v>0</v>
      </c>
      <c r="AJ51" s="63">
        <f>IFERROR(AI51/AI148, "NA")</f>
        <v>0</v>
      </c>
      <c r="AK51" s="61" t="str">
        <f t="shared" si="30"/>
        <v>NA</v>
      </c>
      <c r="AL51" s="63" t="str">
        <f>IFERROR(AK51/AK148, "NA")</f>
        <v>NA</v>
      </c>
    </row>
    <row r="52" ht="16.5" customHeight="1">
      <c r="A52" s="66" t="s">
        <v>112</v>
      </c>
      <c r="B52" s="67">
        <f>IFERROR(B46+B47+B48+B49+B50+B51, "NA")</f>
        <v>65.44</v>
      </c>
      <c r="C52" s="69">
        <f>IFERROR(B52/B148, "NA")</f>
        <v>0.001696244674</v>
      </c>
      <c r="D52" s="67">
        <f>IFERROR(D46+D47+D48+D49+D50+D51, "NA")</f>
        <v>22.06</v>
      </c>
      <c r="E52" s="69">
        <f>IFERROR(D52/D148, "NA")</f>
        <v>0.0004907515796</v>
      </c>
      <c r="F52" s="67">
        <f>IFERROR(F46+F47+F48+F49+F50+F51, "NA")</f>
        <v>54.93</v>
      </c>
      <c r="G52" s="69">
        <f>IFERROR(F52/F148, "NA")</f>
        <v>0.001333122027</v>
      </c>
      <c r="H52" s="67">
        <f>IFERROR(H46+H47+H48+H49+H50+H51, "NA")</f>
        <v>62.27</v>
      </c>
      <c r="I52" s="69">
        <f>IFERROR(H52/H148, "NA")</f>
        <v>0.001606810171</v>
      </c>
      <c r="J52" s="67">
        <f>IFERROR(J46+J47+J48+J49+J50+J51, "NA")</f>
        <v>79.89</v>
      </c>
      <c r="K52" s="69">
        <f>IFERROR(J52/J148, "NA")</f>
        <v>0.001527366122</v>
      </c>
      <c r="L52" s="67">
        <f>IFERROR(L46+L47+L48+L49+L50+L51, "NA")</f>
        <v>59.29</v>
      </c>
      <c r="M52" s="69">
        <f>IFERROR(L52/L148, "NA")</f>
        <v>0.00117307472</v>
      </c>
      <c r="N52" s="67">
        <f>IFERROR(N46+N47+N48+N49+N50+N51, "NA")</f>
        <v>78.72</v>
      </c>
      <c r="O52" s="69">
        <f>IFERROR(N52/N148, "NA")</f>
        <v>0.001664653871</v>
      </c>
      <c r="P52" s="67">
        <f>IFERROR(P46+P47+P48+P49+P50+P51, "NA")</f>
        <v>65.39</v>
      </c>
      <c r="Q52" s="69">
        <f>IFERROR(P52/P148, "NA")</f>
        <v>0.001360870691</v>
      </c>
      <c r="R52" s="67">
        <f>IFERROR(R46+R47+R48+R49+R50+R51, "NA")</f>
        <v>64.65</v>
      </c>
      <c r="S52" s="69">
        <f>IFERROR(R52/R148, "NA")</f>
        <v>0.001523207175</v>
      </c>
      <c r="T52" s="67">
        <f>IFERROR(T46+T47+T48+T49+T50+T51, "NA")</f>
        <v>83.1</v>
      </c>
      <c r="U52" s="69">
        <f>IFERROR(T52/T148, "NA")</f>
        <v>0.001377546555</v>
      </c>
      <c r="V52" s="67">
        <f>IFERROR(V46+V47+V48+V49+V50+V51, "NA")</f>
        <v>73.48</v>
      </c>
      <c r="W52" s="69">
        <f>IFERROR(V52/V148, "NA")</f>
        <v>0.001250269477</v>
      </c>
      <c r="X52" s="67">
        <f>IFERROR(X46+X47+X48+X49+X50+X51, "NA")</f>
        <v>86.43</v>
      </c>
      <c r="Y52" s="69">
        <f>IFERROR(X52/X148, "NA")</f>
        <v>0.001859628294</v>
      </c>
      <c r="Z52" s="67">
        <f>IFERROR(Z46+Z47+Z48+Z49+Z50+Z51, "NA")</f>
        <v>307.66</v>
      </c>
      <c r="AA52" s="69">
        <f>IFERROR(Z52/Z148, "NA")</f>
        <v>0.001479018427</v>
      </c>
      <c r="AB52" s="67">
        <f t="shared" si="25"/>
        <v>76.915</v>
      </c>
      <c r="AC52" s="69">
        <f>IFERROR(AB52/AB148, "NA")</f>
        <v>0.001479018427</v>
      </c>
      <c r="AD52" s="70">
        <f t="shared" si="26"/>
        <v>9.515</v>
      </c>
      <c r="AE52" s="71">
        <f>IFERROR(AD52/AD148, "NA")</f>
        <v>-0.001721531629</v>
      </c>
      <c r="AF52" s="70">
        <f t="shared" si="27"/>
        <v>0.1237079893</v>
      </c>
      <c r="AG52" s="67">
        <f t="shared" si="28"/>
        <v>73.86875</v>
      </c>
      <c r="AH52" s="69">
        <f>IFERROR(AG52/AG148, "NA")</f>
        <v>0.001454811993</v>
      </c>
      <c r="AI52" s="70">
        <f t="shared" si="29"/>
        <v>12.56125</v>
      </c>
      <c r="AJ52" s="71">
        <f>IFERROR(AI52/AI148, "NA")</f>
        <v>-0.002922287055</v>
      </c>
      <c r="AK52" s="70">
        <f t="shared" si="30"/>
        <v>0.1700482274</v>
      </c>
      <c r="AL52" s="71">
        <f>IFERROR(AK52/AK148, "NA")</f>
        <v>-2.008704264</v>
      </c>
    </row>
    <row r="53" ht="16.5" customHeight="1">
      <c r="A53" s="26" t="s">
        <v>113</v>
      </c>
      <c r="B53" s="27">
        <v>22.6</v>
      </c>
      <c r="C53" s="23">
        <f>IFERROR(B53/B148, "NA")</f>
        <v>0.0005858057707</v>
      </c>
      <c r="D53" s="27">
        <v>51.54</v>
      </c>
      <c r="E53" s="23">
        <f>IFERROR(D53/D148, "NA")</f>
        <v>0.0011465701</v>
      </c>
      <c r="F53" s="27">
        <v>36.32</v>
      </c>
      <c r="G53" s="23">
        <f>IFERROR(F53/F148, "NA")</f>
        <v>0.0008814671769</v>
      </c>
      <c r="H53" s="27">
        <v>42.34</v>
      </c>
      <c r="I53" s="23">
        <f>IFERROR(H53/H148, "NA")</f>
        <v>0.001092538022</v>
      </c>
      <c r="J53" s="27">
        <v>65.8</v>
      </c>
      <c r="K53" s="23">
        <f>IFERROR(J53/J148, "NA")</f>
        <v>0.00125798837</v>
      </c>
      <c r="L53" s="27">
        <v>36.97</v>
      </c>
      <c r="M53" s="23">
        <f>IFERROR(L53/L148, "NA")</f>
        <v>0.0007314652117</v>
      </c>
      <c r="N53" s="27">
        <v>31.84</v>
      </c>
      <c r="O53" s="23">
        <f>IFERROR(N53/N148, "NA")</f>
        <v>0.0006733051225</v>
      </c>
      <c r="P53" s="27">
        <v>36.07</v>
      </c>
      <c r="Q53" s="23">
        <f>IFERROR(P53/P148, "NA")</f>
        <v>0.000750674504</v>
      </c>
      <c r="R53" s="27">
        <v>26.83</v>
      </c>
      <c r="S53" s="23">
        <f>IFERROR(R53/R148, "NA")</f>
        <v>0.0006321368676</v>
      </c>
      <c r="T53" s="27">
        <v>42.59</v>
      </c>
      <c r="U53" s="23">
        <f>IFERROR(T53/T148, "NA")</f>
        <v>0.0007060133305</v>
      </c>
      <c r="V53" s="27">
        <v>42.93</v>
      </c>
      <c r="W53" s="23">
        <f>IFERROR(V53/V148, "NA")</f>
        <v>0.0007304582013</v>
      </c>
      <c r="X53" s="27">
        <v>74.28</v>
      </c>
      <c r="Y53" s="23">
        <f>IFERROR(X53/X148, "NA")</f>
        <v>0.001598208836</v>
      </c>
      <c r="Z53" s="27">
        <v>186.63</v>
      </c>
      <c r="AA53" s="23">
        <f>IFERROR(Z53/Z148, "NA")</f>
        <v>0.0008971891343</v>
      </c>
      <c r="AB53" s="59">
        <f t="shared" si="25"/>
        <v>46.6575</v>
      </c>
      <c r="AC53" s="23">
        <f>IFERROR(AB53/AB148, "NA")</f>
        <v>0.0008971891343</v>
      </c>
      <c r="AD53" s="61">
        <f t="shared" si="26"/>
        <v>27.6225</v>
      </c>
      <c r="AE53" s="63">
        <f>IFERROR(AD53/AD148, "NA")</f>
        <v>-0.004997688643</v>
      </c>
      <c r="AF53" s="61">
        <f t="shared" si="27"/>
        <v>0.5920270053</v>
      </c>
      <c r="AG53" s="59">
        <f t="shared" si="28"/>
        <v>44.66375</v>
      </c>
      <c r="AH53" s="23">
        <f>IFERROR(AG53/AG148, "NA")</f>
        <v>0.0008796325804</v>
      </c>
      <c r="AI53" s="61">
        <f t="shared" si="29"/>
        <v>29.61625</v>
      </c>
      <c r="AJ53" s="63">
        <f>IFERROR(AI53/AI148, "NA")</f>
        <v>-0.006890013653</v>
      </c>
      <c r="AK53" s="61">
        <f t="shared" si="30"/>
        <v>0.6630936722</v>
      </c>
      <c r="AL53" s="63">
        <f>IFERROR(AK53/AK148, "NA")</f>
        <v>-7.832831351</v>
      </c>
    </row>
    <row r="54" ht="16.5" customHeight="1">
      <c r="A54" s="26" t="s">
        <v>114</v>
      </c>
      <c r="B54" s="27">
        <v>51.0</v>
      </c>
      <c r="C54" s="23">
        <f>IFERROR(B54/B148, "NA")</f>
        <v>0.001321951075</v>
      </c>
      <c r="D54" s="27">
        <v>71.25</v>
      </c>
      <c r="E54" s="23">
        <f>IFERROR(D54/D148, "NA")</f>
        <v>0.001585043066</v>
      </c>
      <c r="F54" s="27">
        <v>35.5</v>
      </c>
      <c r="G54" s="23">
        <f>IFERROR(F54/F148, "NA")</f>
        <v>0.0008615662109</v>
      </c>
      <c r="H54" s="27">
        <v>58.31</v>
      </c>
      <c r="I54" s="23">
        <f>IFERROR(H54/H148, "NA")</f>
        <v>0.001504626643</v>
      </c>
      <c r="J54" s="27">
        <v>51.75</v>
      </c>
      <c r="K54" s="23">
        <f>IFERROR(J54/J148, "NA")</f>
        <v>0.0009893753514</v>
      </c>
      <c r="L54" s="27">
        <v>55.0</v>
      </c>
      <c r="M54" s="23">
        <f>IFERROR(L54/L148, "NA")</f>
        <v>0.001088195473</v>
      </c>
      <c r="N54" s="27">
        <v>43.31</v>
      </c>
      <c r="O54" s="23">
        <f>IFERROR(N54/N148, "NA")</f>
        <v>0.0009158556801</v>
      </c>
      <c r="P54" s="27">
        <v>46.0</v>
      </c>
      <c r="Q54" s="23">
        <f>IFERROR(P54/P148, "NA")</f>
        <v>0.0009573337174</v>
      </c>
      <c r="R54" s="27">
        <v>33.0</v>
      </c>
      <c r="S54" s="23">
        <f>IFERROR(R54/R148, "NA")</f>
        <v>0.0007775071425</v>
      </c>
      <c r="T54" s="27">
        <v>49.0</v>
      </c>
      <c r="U54" s="23">
        <f>IFERROR(T54/T148, "NA")</f>
        <v>0.0008122717351</v>
      </c>
      <c r="V54" s="27">
        <v>33.25</v>
      </c>
      <c r="W54" s="23">
        <f>IFERROR(V54/V148, "NA")</f>
        <v>0.0005657520427</v>
      </c>
      <c r="X54" s="27">
        <v>42.0</v>
      </c>
      <c r="Y54" s="23">
        <f>IFERROR(X54/X148, "NA")</f>
        <v>0.0009036722011</v>
      </c>
      <c r="Z54" s="27">
        <v>157.25</v>
      </c>
      <c r="AA54" s="23">
        <f>IFERROR(Z54/Z148, "NA")</f>
        <v>0.0007559502297</v>
      </c>
      <c r="AB54" s="59">
        <f t="shared" si="25"/>
        <v>39.3125</v>
      </c>
      <c r="AC54" s="23">
        <f>IFERROR(AB54/AB148, "NA")</f>
        <v>0.0007559502297</v>
      </c>
      <c r="AD54" s="61">
        <f t="shared" si="26"/>
        <v>2.6875</v>
      </c>
      <c r="AE54" s="63">
        <f>IFERROR(AD54/AD148, "NA")</f>
        <v>-0.0004862444828</v>
      </c>
      <c r="AF54" s="61">
        <f t="shared" si="27"/>
        <v>0.06836248013</v>
      </c>
      <c r="AG54" s="59">
        <f t="shared" si="28"/>
        <v>44.16375</v>
      </c>
      <c r="AH54" s="23">
        <f>IFERROR(AG54/AG148, "NA")</f>
        <v>0.000869785304</v>
      </c>
      <c r="AI54" s="61">
        <f t="shared" si="29"/>
        <v>-2.16375</v>
      </c>
      <c r="AJ54" s="63">
        <f>IFERROR(AI54/AI148, "NA")</f>
        <v>0.0005033813208</v>
      </c>
      <c r="AK54" s="61">
        <f t="shared" si="30"/>
        <v>-0.04899380148</v>
      </c>
      <c r="AL54" s="63">
        <f>IFERROR(AK54/AK148, "NA")</f>
        <v>0.5787420395</v>
      </c>
    </row>
    <row r="55" ht="16.5" customHeight="1">
      <c r="A55" s="26" t="s">
        <v>115</v>
      </c>
      <c r="B55" s="27">
        <v>-448.89</v>
      </c>
      <c r="C55" s="23">
        <f>IFERROR(B55/B148, "NA")</f>
        <v>-0.01163550232</v>
      </c>
      <c r="D55" s="27">
        <v>-306.96</v>
      </c>
      <c r="E55" s="23">
        <f>IFERROR(D55/D148, "NA")</f>
        <v>-0.006828699224</v>
      </c>
      <c r="F55" s="27">
        <v>-252.19</v>
      </c>
      <c r="G55" s="23">
        <f>IFERROR(F55/F148, "NA")</f>
        <v>-0.006120517823</v>
      </c>
      <c r="H55" s="27">
        <v>-335.25</v>
      </c>
      <c r="I55" s="23">
        <f>IFERROR(H55/H148, "NA")</f>
        <v>-0.00865076457</v>
      </c>
      <c r="J55" s="27">
        <v>-384.12</v>
      </c>
      <c r="K55" s="23">
        <f>IFERROR(J55/J148, "NA")</f>
        <v>-0.007343746087</v>
      </c>
      <c r="L55" s="27">
        <v>-334.39</v>
      </c>
      <c r="M55" s="23">
        <f>IFERROR(L55/L148, "NA")</f>
        <v>-0.006616030623</v>
      </c>
      <c r="N55" s="27">
        <v>-326.35</v>
      </c>
      <c r="O55" s="23">
        <f>IFERROR(N55/N148, "NA")</f>
        <v>-0.00690116604</v>
      </c>
      <c r="P55" s="27">
        <v>-287.17</v>
      </c>
      <c r="Q55" s="23">
        <f>IFERROR(P55/P148, "NA")</f>
        <v>-0.005976467905</v>
      </c>
      <c r="R55" s="27">
        <v>-361.62</v>
      </c>
      <c r="S55" s="23">
        <f>IFERROR(R55/R148, "NA")</f>
        <v>-0.008520064632</v>
      </c>
      <c r="T55" s="27">
        <v>-318.88</v>
      </c>
      <c r="U55" s="23">
        <f>IFERROR(T55/T148, "NA")</f>
        <v>-0.005286065528</v>
      </c>
      <c r="V55" s="27">
        <v>-270.89</v>
      </c>
      <c r="W55" s="23">
        <f>IFERROR(V55/V148, "NA")</f>
        <v>-0.004609220176</v>
      </c>
      <c r="X55" s="27">
        <v>-267.55</v>
      </c>
      <c r="Y55" s="23">
        <f>IFERROR(X55/X148, "NA")</f>
        <v>-0.005756607081</v>
      </c>
      <c r="Z55" s="27">
        <v>-1218.94</v>
      </c>
      <c r="AA55" s="23">
        <f>IFERROR(Z55/Z148, "NA")</f>
        <v>-0.005859828127</v>
      </c>
      <c r="AB55" s="59">
        <f t="shared" si="25"/>
        <v>-304.735</v>
      </c>
      <c r="AC55" s="23">
        <f>IFERROR(AB55/AB148, "NA")</f>
        <v>-0.005859828127</v>
      </c>
      <c r="AD55" s="61">
        <f t="shared" si="26"/>
        <v>37.185</v>
      </c>
      <c r="AE55" s="63">
        <f>IFERROR(AD55/AD148, "NA")</f>
        <v>-0.00672781436</v>
      </c>
      <c r="AF55" s="61">
        <f t="shared" si="27"/>
        <v>-0.1220240537</v>
      </c>
      <c r="AG55" s="59">
        <f t="shared" si="28"/>
        <v>-318.87125</v>
      </c>
      <c r="AH55" s="23">
        <f>IFERROR(AG55/AG148, "NA")</f>
        <v>-0.006280026654</v>
      </c>
      <c r="AI55" s="61">
        <f t="shared" si="29"/>
        <v>51.32125</v>
      </c>
      <c r="AJ55" s="63">
        <f>IFERROR(AI55/AI148, "NA")</f>
        <v>-0.01193953026</v>
      </c>
      <c r="AK55" s="61">
        <f t="shared" si="30"/>
        <v>-0.1609466203</v>
      </c>
      <c r="AL55" s="63">
        <f>IFERROR(AK55/AK148, "NA")</f>
        <v>1.901191018</v>
      </c>
    </row>
    <row r="56" ht="16.5" customHeight="1">
      <c r="A56" s="66" t="s">
        <v>116</v>
      </c>
      <c r="B56" s="67">
        <f>IFERROR(B37+B39+B40+B41+B42+B43+B46+B47+B48+B49+B50+B51+B53+B54+B55, "NA")</f>
        <v>1279.1</v>
      </c>
      <c r="C56" s="69">
        <f>IFERROR(B56/B148, "NA")</f>
        <v>0.03315505138</v>
      </c>
      <c r="D56" s="67">
        <f>IFERROR(D37+D39+D40+D41+D42+D43+D46+D47+D48+D49+D50+D51+D53+D54+D55, "NA")</f>
        <v>1614.13</v>
      </c>
      <c r="E56" s="69">
        <f>IFERROR(D56/D148, "NA")</f>
        <v>0.03590828863</v>
      </c>
      <c r="F56" s="67">
        <f>IFERROR(F37+F39+F40+F41+F42+F43+F46+F47+F48+F49+F50+F51+F53+F54+F55, "NA")</f>
        <v>1813.54</v>
      </c>
      <c r="G56" s="69">
        <f>IFERROR(F56/F148, "NA")</f>
        <v>0.04401365595</v>
      </c>
      <c r="H56" s="67">
        <f>IFERROR(H37+H39+H40+H41+H42+H43+H46+H47+H48+H49+H50+H51+H53+H54+H55, "NA")</f>
        <v>972.06</v>
      </c>
      <c r="I56" s="69">
        <f>IFERROR(H56/H148, "NA")</f>
        <v>0.02508295961</v>
      </c>
      <c r="J56" s="67">
        <f>IFERROR(J37+J39+J40+J41+J42+J43+J46+J47+J48+J49+J50+J51+J53+J54+J55, "NA")</f>
        <v>1956.45</v>
      </c>
      <c r="K56" s="69">
        <f>IFERROR(J56/J148, "NA")</f>
        <v>0.03740412379</v>
      </c>
      <c r="L56" s="67">
        <f>IFERROR(L37+L39+L40+L41+L42+L43+L46+L47+L48+L49+L50+L51+L53+L54+L55, "NA")</f>
        <v>1906.17</v>
      </c>
      <c r="M56" s="69">
        <f>IFERROR(L56/L148, "NA")</f>
        <v>0.037714283</v>
      </c>
      <c r="N56" s="67">
        <f>IFERROR(N37+N39+N40+N41+N42+N43+N46+N47+N48+N49+N50+N51+N53+N54+N55, "NA")</f>
        <v>1519.82</v>
      </c>
      <c r="O56" s="69">
        <f>IFERROR(N56/N148, "NA")</f>
        <v>0.03213890048</v>
      </c>
      <c r="P56" s="67">
        <f>IFERROR(P37+P39+P40+P41+P42+P43+P46+P47+P48+P49+P50+P51+P53+P54+P55, "NA")</f>
        <v>1026.45</v>
      </c>
      <c r="Q56" s="69">
        <f>IFERROR(P56/P148, "NA")</f>
        <v>0.02136206944</v>
      </c>
      <c r="R56" s="67">
        <f>IFERROR(R37+R39+R40+R41+R42+R43+R46+R47+R48+R49+R50+R51+R53+R54+R55, "NA")</f>
        <v>1435.03</v>
      </c>
      <c r="S56" s="69">
        <f>IFERROR(R56/R148, "NA")</f>
        <v>0.03381048711</v>
      </c>
      <c r="T56" s="67">
        <f>IFERROR(T37+T39+T40+T41+T42+T43+T46+T47+T48+T49+T50+T51+T53+T54+T55, "NA")</f>
        <v>1795.89</v>
      </c>
      <c r="U56" s="69">
        <f>IFERROR(T56/T148, "NA")</f>
        <v>0.02977042217</v>
      </c>
      <c r="V56" s="67">
        <f>IFERROR(V37+V39+V40+V41+V42+V43+V46+V47+V48+V49+V50+V51+V53+V54+V55, "NA")</f>
        <v>1783.11</v>
      </c>
      <c r="W56" s="69">
        <f>IFERROR(V56/V148, "NA")</f>
        <v>0.03033979323</v>
      </c>
      <c r="X56" s="67">
        <f>IFERROR(X37+X39+X40+X41+X42+X43+X46+X47+X48+X49+X50+X51+X53+X54+X55, "NA")</f>
        <v>1778.08</v>
      </c>
      <c r="Y56" s="69">
        <f>IFERROR(X56/X148, "NA")</f>
        <v>0.03825717779</v>
      </c>
      <c r="Z56" s="67">
        <f>IFERROR(Z37+Z39+Z40+Z41+Z42+Z43+Z46+Z47+Z48+Z49+Z50+Z51+Z53+Z54+Z55, "NA")</f>
        <v>6792.11</v>
      </c>
      <c r="AA56" s="69">
        <f>IFERROR(Z56/Z148, "NA")</f>
        <v>0.03265180995</v>
      </c>
      <c r="AB56" s="67">
        <f t="shared" si="25"/>
        <v>1698.0275</v>
      </c>
      <c r="AC56" s="69">
        <f>IFERROR(AB56/AB148, "NA")</f>
        <v>0.03265180995</v>
      </c>
      <c r="AD56" s="70">
        <f t="shared" si="26"/>
        <v>80.0525</v>
      </c>
      <c r="AE56" s="71">
        <f>IFERROR(AD56/AD148, "NA")</f>
        <v>-0.0144837531</v>
      </c>
      <c r="AF56" s="70">
        <f t="shared" si="27"/>
        <v>0.04714440726</v>
      </c>
      <c r="AG56" s="67">
        <f t="shared" si="28"/>
        <v>1650.125</v>
      </c>
      <c r="AH56" s="69">
        <f>IFERROR(AG56/AG148, "NA")</f>
        <v>0.03249847386</v>
      </c>
      <c r="AI56" s="70">
        <f t="shared" si="29"/>
        <v>127.955</v>
      </c>
      <c r="AJ56" s="71">
        <f>IFERROR(AI56/AI148, "NA")</f>
        <v>-0.02976783681</v>
      </c>
      <c r="AK56" s="70">
        <f t="shared" si="30"/>
        <v>0.07754261041</v>
      </c>
      <c r="AL56" s="71">
        <f>IFERROR(AK56/AK148, "NA")</f>
        <v>-0.915976453</v>
      </c>
    </row>
    <row r="57" ht="16.5" customHeight="1">
      <c r="A57" s="66" t="s">
        <v>52</v>
      </c>
      <c r="B57" s="115">
        <f>IFERROR(B13+B15+B16+B17+B18+B19+B20+B21+B22+B23+B24+B25+B26+B29+B30+B31+B32+B33+B37+B39+B40+B41+B42+B43+B46+B47+B48+B49+B50+B51+B53+B54+B55, "NA")</f>
        <v>10529.87</v>
      </c>
      <c r="C57" s="96">
        <f>IFERROR(B57/B148, "NA")</f>
        <v>0.2729406465</v>
      </c>
      <c r="D57" s="115">
        <f>IFERROR(D13+D15+D16+D17+D18+D19+D20+D21+D22+D23+D24+D25+D26+D29+D30+D31+D32+D33+D37+D39+D40+D41+D42+D43+D46+D47+D48+D49+D50+D51+D53+D54+D55, "NA")</f>
        <v>12108.17</v>
      </c>
      <c r="E57" s="96">
        <f>IFERROR(D57/D148, "NA")</f>
        <v>0.2693609952</v>
      </c>
      <c r="F57" s="115">
        <f>IFERROR(F13+F15+F16+F17+F18+F19+F20+F21+F22+F23+F24+F25+F26+F29+F30+F31+F32+F33+F37+F39+F40+F41+F42+F43+F46+F47+F48+F49+F50+F51+F53+F54+F55, "NA")</f>
        <v>11608.93</v>
      </c>
      <c r="G57" s="96">
        <f>IFERROR(F57/F148, "NA")</f>
        <v>0.2817425868</v>
      </c>
      <c r="H57" s="115">
        <f>IFERROR(H13+H15+H16+H17+H18+H19+H20+H21+H22+H23+H24+H25+H26+H29+H30+H31+H32+H33+H37+H39+H40+H41+H42+H43+H46+H47+H48+H49+H50+H51+H53+H54+H55, "NA")</f>
        <v>10359.75</v>
      </c>
      <c r="I57" s="96">
        <f>IFERROR(H57/H148, "NA")</f>
        <v>0.2673221723</v>
      </c>
      <c r="J57" s="115">
        <f>IFERROR(J13+J15+J16+J17+J18+J19+J20+J21+J22+J23+J24+J25+J26+J29+J30+J31+J32+J33+J37+J39+J40+J41+J42+J43+J46+J47+J48+J49+J50+J51+J53+J54+J55, "NA")</f>
        <v>13535.88</v>
      </c>
      <c r="K57" s="96">
        <f>IFERROR(J57/J148, "NA")</f>
        <v>0.2587838847</v>
      </c>
      <c r="L57" s="115">
        <f>IFERROR(L13+L15+L16+L17+L18+L19+L20+L21+L22+L23+L24+L25+L26+L29+L30+L31+L32+L33+L37+L39+L40+L41+L42+L43+L46+L47+L48+L49+L50+L51+L53+L54+L55, "NA")</f>
        <v>12775.88</v>
      </c>
      <c r="M57" s="96">
        <f>IFERROR(L57/L148, "NA")</f>
        <v>0.2527755415</v>
      </c>
      <c r="N57" s="115">
        <f>IFERROR(N13+N15+N16+N17+N18+N19+N20+N21+N22+N23+N24+N25+N26+N29+N30+N31+N32+N33+N37+N39+N40+N41+N42+N43+N46+N47+N48+N49+N50+N51+N53+N54+N55, "NA")</f>
        <v>12251.52</v>
      </c>
      <c r="O57" s="96">
        <f>IFERROR(N57/N148, "NA")</f>
        <v>0.2590769841</v>
      </c>
      <c r="P57" s="115">
        <f>IFERROR(P13+P15+P16+P17+P18+P19+P20+P21+P22+P23+P24+P25+P26+P29+P30+P31+P32+P33+P37+P39+P40+P41+P42+P43+P46+P47+P48+P49+P50+P51+P53+P54+P55, "NA")</f>
        <v>11921.47</v>
      </c>
      <c r="Q57" s="96">
        <f>IFERROR(P57/P148, "NA")</f>
        <v>0.2481048955</v>
      </c>
      <c r="R57" s="115">
        <f>IFERROR(R13+R15+R16+R17+R18+R19+R20+R21+R22+R23+R24+R25+R26+R29+R30+R31+R32+R33+R37+R39+R40+R41+R42+R43+R46+R47+R48+R49+R50+R51+R53+R54+R55, "NA")</f>
        <v>9911.32</v>
      </c>
      <c r="S57" s="96">
        <f>IFERROR(R57/R148, "NA")</f>
        <v>0.2335188512</v>
      </c>
      <c r="T57" s="115">
        <f>IFERROR(T13+T15+T16+T17+T18+T19+T20+T21+T22+T23+T24+T25+T26+T29+T30+T31+T32+T33+T37+T39+T40+T41+T42+T43+T46+T47+T48+T49+T50+T51+T53+T54+T55, "NA")</f>
        <v>14163.62</v>
      </c>
      <c r="U57" s="96">
        <f>IFERROR(T57/T148, "NA")</f>
        <v>0.2347899631</v>
      </c>
      <c r="V57" s="115">
        <f>IFERROR(V13+V15+V16+V17+V18+V19+V20+V21+V22+V23+V24+V25+V26+V29+V30+V31+V32+V33+V37+V39+V40+V41+V42+V43+V46+V47+V48+V49+V50+V51+V53+V54+V55, "NA")</f>
        <v>12827.42</v>
      </c>
      <c r="W57" s="96">
        <f>IFERROR(V57/V148, "NA")</f>
        <v>0.2182598216</v>
      </c>
      <c r="X57" s="115">
        <f>IFERROR(X13+X15+X16+X17+X18+X19+X20+X21+X22+X23+X24+X25+X26+X29+X30+X31+X32+X33+X37+X39+X40+X41+X42+X43+X46+X47+X48+X49+X50+X51+X53+X54+X55, "NA")</f>
        <v>11144.67</v>
      </c>
      <c r="Y57" s="96">
        <f>IFERROR(X57/X148, "NA")</f>
        <v>0.2397887731</v>
      </c>
      <c r="Z57" s="115">
        <f>IFERROR(Z13+Z15+Z16+Z17+Z18+Z19+Z20+Z21+Z22+Z23+Z24+Z25+Z26+Z29+Z30+Z31+Z32+Z33+Z37+Z39+Z40+Z41+Z42+Z43+Z46+Z47+Z48+Z49+Z50+Z51+Z53+Z54+Z55, "NA")</f>
        <v>48047.03</v>
      </c>
      <c r="AA57" s="96">
        <f>IFERROR(Z57/Z148, "NA")</f>
        <v>0.2309771915</v>
      </c>
      <c r="AB57" s="115">
        <f t="shared" si="25"/>
        <v>12011.7575</v>
      </c>
      <c r="AC57" s="96">
        <f>IFERROR(AB57/AB148, "NA")</f>
        <v>0.2309771915</v>
      </c>
      <c r="AD57" s="116">
        <f t="shared" si="26"/>
        <v>-867.0875</v>
      </c>
      <c r="AE57" s="117">
        <f>IFERROR(AD57/AD148, "NA")</f>
        <v>0.156880563</v>
      </c>
      <c r="AF57" s="116">
        <f t="shared" si="27"/>
        <v>-0.07218656387</v>
      </c>
      <c r="AG57" s="115">
        <f t="shared" si="28"/>
        <v>12316.4725</v>
      </c>
      <c r="AH57" s="96">
        <f>IFERROR(AG57/AG148, "NA")</f>
        <v>0.2425674173</v>
      </c>
      <c r="AI57" s="116">
        <f t="shared" si="29"/>
        <v>-1171.8025</v>
      </c>
      <c r="AJ57" s="117">
        <f>IFERROR(AI57/AI148, "NA")</f>
        <v>0.272611665</v>
      </c>
      <c r="AK57" s="116">
        <f t="shared" si="30"/>
        <v>-0.09514108037</v>
      </c>
      <c r="AL57" s="117">
        <f>IFERROR(AK57/AK148, "NA")</f>
        <v>1.123859371</v>
      </c>
    </row>
    <row r="58" ht="3.75" customHeight="1">
      <c r="A58" s="74" t="s">
        <v>6</v>
      </c>
      <c r="B58" s="75"/>
      <c r="C58" s="76"/>
      <c r="D58" s="75"/>
      <c r="E58" s="76"/>
      <c r="F58" s="75"/>
      <c r="G58" s="76"/>
      <c r="H58" s="75"/>
      <c r="I58" s="76"/>
      <c r="J58" s="75"/>
      <c r="K58" s="76"/>
      <c r="L58" s="75"/>
      <c r="M58" s="76"/>
      <c r="N58" s="75"/>
      <c r="O58" s="76"/>
      <c r="P58" s="75"/>
      <c r="Q58" s="76"/>
      <c r="R58" s="75"/>
      <c r="S58" s="76"/>
      <c r="T58" s="75"/>
      <c r="U58" s="76"/>
      <c r="V58" s="75"/>
      <c r="W58" s="76"/>
      <c r="X58" s="75"/>
      <c r="Y58" s="76"/>
      <c r="Z58" s="75"/>
      <c r="AA58" s="76"/>
      <c r="AB58" s="75"/>
      <c r="AC58" s="76"/>
      <c r="AD58" s="77"/>
      <c r="AE58" s="78"/>
      <c r="AF58" s="77"/>
      <c r="AG58" s="75"/>
      <c r="AH58" s="76"/>
      <c r="AI58" s="77"/>
      <c r="AJ58" s="78"/>
      <c r="AK58" s="77"/>
      <c r="AL58" s="78"/>
    </row>
    <row r="59" ht="16.5" customHeight="1">
      <c r="A59" s="118" t="s">
        <v>121</v>
      </c>
      <c r="B59" s="119">
        <f>IFERROR(B9-B57, "NA")</f>
        <v>28049.47</v>
      </c>
      <c r="C59" s="107">
        <f>IFERROR(B59/B148, "NA")</f>
        <v>0.7270593535</v>
      </c>
      <c r="D59" s="119">
        <f>IFERROR(D9-D57, "NA")</f>
        <v>32843.29</v>
      </c>
      <c r="E59" s="107">
        <f>IFERROR(D59/D148, "NA")</f>
        <v>0.7306390048</v>
      </c>
      <c r="F59" s="119">
        <f>IFERROR(F9-F57, "NA")</f>
        <v>29595.1</v>
      </c>
      <c r="G59" s="107">
        <f>IFERROR(F59/F148, "NA")</f>
        <v>0.7182574132</v>
      </c>
      <c r="H59" s="119">
        <f>IFERROR(H9-H57, "NA")</f>
        <v>28394.05</v>
      </c>
      <c r="I59" s="107">
        <f>IFERROR(H59/H148, "NA")</f>
        <v>0.7326778277</v>
      </c>
      <c r="J59" s="119">
        <f>IFERROR(J9-J57, "NA")</f>
        <v>38769.85</v>
      </c>
      <c r="K59" s="107">
        <f>IFERROR(J59/J148, "NA")</f>
        <v>0.7412161153</v>
      </c>
      <c r="L59" s="119">
        <f>IFERROR(L9-L57, "NA")</f>
        <v>37766.51</v>
      </c>
      <c r="M59" s="107">
        <f>IFERROR(L59/L148, "NA")</f>
        <v>0.7472244585</v>
      </c>
      <c r="N59" s="119">
        <f>IFERROR(N9-N57, "NA")</f>
        <v>35037.59</v>
      </c>
      <c r="O59" s="107">
        <f>IFERROR(N59/N148, "NA")</f>
        <v>0.7409230159</v>
      </c>
      <c r="P59" s="119">
        <f>IFERROR(P9-P57, "NA")</f>
        <v>36128.65</v>
      </c>
      <c r="Q59" s="107">
        <f>IFERROR(P59/P148, "NA")</f>
        <v>0.7518951045</v>
      </c>
      <c r="R59" s="119">
        <f>IFERROR(R9-R57, "NA")</f>
        <v>32532.02</v>
      </c>
      <c r="S59" s="107">
        <f>IFERROR(R59/R148, "NA")</f>
        <v>0.7664811488</v>
      </c>
      <c r="T59" s="119">
        <f>IFERROR(T9-T57, "NA")</f>
        <v>46161.02</v>
      </c>
      <c r="U59" s="107">
        <f>IFERROR(T59/T148, "NA")</f>
        <v>0.7652100369</v>
      </c>
      <c r="V59" s="119">
        <f>IFERROR(V9-V57, "NA")</f>
        <v>45943.91</v>
      </c>
      <c r="W59" s="107">
        <f>IFERROR(V59/V148, "NA")</f>
        <v>0.7817401784</v>
      </c>
      <c r="X59" s="119">
        <f>IFERROR(X9-X57, "NA")</f>
        <v>35332.36</v>
      </c>
      <c r="Y59" s="107">
        <f>IFERROR(X59/X148, "NA")</f>
        <v>0.7602112269</v>
      </c>
      <c r="Z59" s="119">
        <f>IFERROR(Z9-Z57, "NA")</f>
        <v>159969.31</v>
      </c>
      <c r="AA59" s="107">
        <f>IFERROR(Z59/Z148, "NA")</f>
        <v>0.7690228085</v>
      </c>
      <c r="AB59" s="119">
        <f>IFERROR((R59+T59+V59+X59)/4, "NA")</f>
        <v>39992.3275</v>
      </c>
      <c r="AC59" s="107">
        <f>IFERROR(AB59/AB148, "NA")</f>
        <v>0.7690228085</v>
      </c>
      <c r="AD59" s="70">
        <f>IFERROR(X59-AB59, "NA")</f>
        <v>-4659.9675</v>
      </c>
      <c r="AE59" s="71">
        <f>IFERROR(AD59/AD148, "NA")</f>
        <v>0.843119437</v>
      </c>
      <c r="AF59" s="70">
        <f>IFERROR((X59-AB59)/AB59, "NA")</f>
        <v>-0.1165215378</v>
      </c>
      <c r="AG59" s="119">
        <f>IFERROR((J59+L59+N59+P59+R59+T59+V59+X59)/8, "NA")</f>
        <v>38458.98875</v>
      </c>
      <c r="AH59" s="107">
        <f>IFERROR(AG59/AG148, "NA")</f>
        <v>0.7574325827</v>
      </c>
      <c r="AI59" s="70">
        <f>IFERROR(X59-AG59, "NA")</f>
        <v>-3126.62875</v>
      </c>
      <c r="AJ59" s="71">
        <f>IFERROR(AI59/AI148, "NA")</f>
        <v>0.727388335</v>
      </c>
      <c r="AK59" s="70">
        <f>IFERROR((X59-AG59)/AG59, "NA")</f>
        <v>-0.08129773693</v>
      </c>
      <c r="AL59" s="71">
        <f>IFERROR(AK59/AK148, "NA")</f>
        <v>0.9603340966</v>
      </c>
    </row>
    <row r="60" ht="3.75" customHeight="1">
      <c r="A60" s="120" t="s">
        <v>6</v>
      </c>
      <c r="B60" s="121"/>
      <c r="C60" s="76"/>
      <c r="D60" s="121"/>
      <c r="E60" s="76"/>
      <c r="F60" s="121"/>
      <c r="G60" s="76"/>
      <c r="H60" s="121"/>
      <c r="I60" s="76"/>
      <c r="J60" s="121"/>
      <c r="K60" s="76"/>
      <c r="L60" s="121"/>
      <c r="M60" s="76"/>
      <c r="N60" s="121"/>
      <c r="O60" s="76"/>
      <c r="P60" s="121"/>
      <c r="Q60" s="76"/>
      <c r="R60" s="121"/>
      <c r="S60" s="76"/>
      <c r="T60" s="121"/>
      <c r="U60" s="76"/>
      <c r="V60" s="121"/>
      <c r="W60" s="76"/>
      <c r="X60" s="121"/>
      <c r="Y60" s="76"/>
      <c r="Z60" s="121"/>
      <c r="AA60" s="76"/>
      <c r="AB60" s="121"/>
      <c r="AC60" s="76"/>
      <c r="AD60" s="122"/>
      <c r="AE60" s="78"/>
      <c r="AF60" s="122"/>
      <c r="AG60" s="121"/>
      <c r="AH60" s="76"/>
      <c r="AI60" s="122"/>
      <c r="AJ60" s="78"/>
      <c r="AK60" s="122"/>
      <c r="AL60" s="78"/>
    </row>
    <row r="61" ht="16.5" customHeight="1">
      <c r="A61" s="17" t="s">
        <v>131</v>
      </c>
      <c r="B61" s="19"/>
      <c r="C61" s="13"/>
      <c r="D61" s="19"/>
      <c r="E61" s="13"/>
      <c r="F61" s="19"/>
      <c r="G61" s="13"/>
      <c r="H61" s="19"/>
      <c r="I61" s="13"/>
      <c r="J61" s="19"/>
      <c r="K61" s="13"/>
      <c r="L61" s="19"/>
      <c r="M61" s="13"/>
      <c r="N61" s="19"/>
      <c r="O61" s="13"/>
      <c r="P61" s="19"/>
      <c r="Q61" s="13"/>
      <c r="R61" s="19"/>
      <c r="S61" s="13"/>
      <c r="T61" s="19"/>
      <c r="U61" s="13"/>
      <c r="V61" s="19"/>
      <c r="W61" s="13"/>
      <c r="X61" s="19"/>
      <c r="Y61" s="13"/>
      <c r="Z61" s="19"/>
      <c r="AA61" s="13"/>
      <c r="AB61" s="19"/>
      <c r="AC61" s="13"/>
      <c r="AD61" s="24"/>
      <c r="AE61" s="25"/>
      <c r="AF61" s="24"/>
      <c r="AG61" s="19"/>
      <c r="AH61" s="13"/>
      <c r="AI61" s="24"/>
      <c r="AJ61" s="25"/>
      <c r="AK61" s="24"/>
      <c r="AL61" s="25"/>
    </row>
    <row r="62" ht="16.5" customHeight="1">
      <c r="A62" s="17" t="s">
        <v>131</v>
      </c>
      <c r="B62" s="19"/>
      <c r="C62" s="13"/>
      <c r="D62" s="19"/>
      <c r="E62" s="13"/>
      <c r="F62" s="19"/>
      <c r="G62" s="13"/>
      <c r="H62" s="19"/>
      <c r="I62" s="13"/>
      <c r="J62" s="19"/>
      <c r="K62" s="13"/>
      <c r="L62" s="19"/>
      <c r="M62" s="13"/>
      <c r="N62" s="19"/>
      <c r="O62" s="13"/>
      <c r="P62" s="19"/>
      <c r="Q62" s="13"/>
      <c r="R62" s="19"/>
      <c r="S62" s="13"/>
      <c r="T62" s="19"/>
      <c r="U62" s="13"/>
      <c r="V62" s="19"/>
      <c r="W62" s="13"/>
      <c r="X62" s="19"/>
      <c r="Y62" s="13"/>
      <c r="Z62" s="19"/>
      <c r="AA62" s="13"/>
      <c r="AB62" s="19"/>
      <c r="AC62" s="13"/>
      <c r="AD62" s="24"/>
      <c r="AE62" s="25"/>
      <c r="AF62" s="24"/>
      <c r="AG62" s="19"/>
      <c r="AH62" s="13"/>
      <c r="AI62" s="24"/>
      <c r="AJ62" s="25"/>
      <c r="AK62" s="24"/>
      <c r="AL62" s="25"/>
    </row>
    <row r="63" ht="16.5" hidden="1" customHeight="1">
      <c r="A63" s="26" t="s">
        <v>134</v>
      </c>
      <c r="B63" s="27">
        <v>0.0</v>
      </c>
      <c r="C63" s="23">
        <f>IFERROR(B63/B148, "NA")</f>
        <v>0</v>
      </c>
      <c r="D63" s="27">
        <v>0.0</v>
      </c>
      <c r="E63" s="23">
        <f>IFERROR(D63/D148, "NA")</f>
        <v>0</v>
      </c>
      <c r="F63" s="27">
        <v>0.0</v>
      </c>
      <c r="G63" s="23">
        <f>IFERROR(F63/F148, "NA")</f>
        <v>0</v>
      </c>
      <c r="H63" s="27">
        <v>0.0</v>
      </c>
      <c r="I63" s="23">
        <f>IFERROR(H63/H148, "NA")</f>
        <v>0</v>
      </c>
      <c r="J63" s="27">
        <v>0.0</v>
      </c>
      <c r="K63" s="23">
        <f>IFERROR(J63/J148, "NA")</f>
        <v>0</v>
      </c>
      <c r="L63" s="27">
        <v>0.0</v>
      </c>
      <c r="M63" s="23">
        <f>IFERROR(L63/L148, "NA")</f>
        <v>0</v>
      </c>
      <c r="N63" s="27">
        <v>0.0</v>
      </c>
      <c r="O63" s="23">
        <f>IFERROR(N63/N148, "NA")</f>
        <v>0</v>
      </c>
      <c r="P63" s="27">
        <v>0.0</v>
      </c>
      <c r="Q63" s="23">
        <f>IFERROR(P63/P148, "NA")</f>
        <v>0</v>
      </c>
      <c r="R63" s="27">
        <v>0.0</v>
      </c>
      <c r="S63" s="23">
        <f>IFERROR(R63/R148, "NA")</f>
        <v>0</v>
      </c>
      <c r="T63" s="27">
        <v>0.0</v>
      </c>
      <c r="U63" s="23">
        <f>IFERROR(T63/T148, "NA")</f>
        <v>0</v>
      </c>
      <c r="V63" s="27">
        <v>0.0</v>
      </c>
      <c r="W63" s="23">
        <f>IFERROR(V63/V148, "NA")</f>
        <v>0</v>
      </c>
      <c r="X63" s="27">
        <v>0.0</v>
      </c>
      <c r="Y63" s="23">
        <f>IFERROR(X63/X148, "NA")</f>
        <v>0</v>
      </c>
      <c r="Z63" s="27">
        <v>0.0</v>
      </c>
      <c r="AA63" s="23">
        <f>IFERROR(Z63/Z148, "NA")</f>
        <v>0</v>
      </c>
      <c r="AB63" s="59">
        <f>IFERROR((R63+T63+V63+X63)/4, "NA")</f>
        <v>0</v>
      </c>
      <c r="AC63" s="23">
        <f>IFERROR(AB63/AB148, "NA")</f>
        <v>0</v>
      </c>
      <c r="AD63" s="61">
        <f>IFERROR(X63-AB63, "NA")</f>
        <v>0</v>
      </c>
      <c r="AE63" s="63">
        <f>IFERROR(AD63/AD148, "NA")</f>
        <v>0</v>
      </c>
      <c r="AF63" s="61" t="str">
        <f>IFERROR((X63-AB63)/AB63, "NA")</f>
        <v>NA</v>
      </c>
      <c r="AG63" s="59">
        <f>IFERROR((J63+L63+N63+P63+R63+T63+V63+X63)/8, "NA")</f>
        <v>0</v>
      </c>
      <c r="AH63" s="23">
        <f>IFERROR(AG63/AG148, "NA")</f>
        <v>0</v>
      </c>
      <c r="AI63" s="61">
        <f>IFERROR(X63-AG63, "NA")</f>
        <v>0</v>
      </c>
      <c r="AJ63" s="63">
        <f>IFERROR(AI63/AI148, "NA")</f>
        <v>0</v>
      </c>
      <c r="AK63" s="61" t="str">
        <f>IFERROR((X63-AG63)/AG63, "NA")</f>
        <v>NA</v>
      </c>
      <c r="AL63" s="63" t="str">
        <f>IFERROR(AK63/AK148, "NA")</f>
        <v>NA</v>
      </c>
    </row>
    <row r="64" ht="16.5" customHeight="1">
      <c r="A64" s="17" t="s">
        <v>136</v>
      </c>
      <c r="B64" s="19"/>
      <c r="C64" s="13"/>
      <c r="D64" s="19"/>
      <c r="E64" s="13"/>
      <c r="F64" s="19"/>
      <c r="G64" s="13"/>
      <c r="H64" s="19"/>
      <c r="I64" s="13"/>
      <c r="J64" s="19"/>
      <c r="K64" s="13"/>
      <c r="L64" s="19"/>
      <c r="M64" s="13"/>
      <c r="N64" s="19"/>
      <c r="O64" s="13"/>
      <c r="P64" s="19"/>
      <c r="Q64" s="13"/>
      <c r="R64" s="19"/>
      <c r="S64" s="13"/>
      <c r="T64" s="19"/>
      <c r="U64" s="13"/>
      <c r="V64" s="19"/>
      <c r="W64" s="13"/>
      <c r="X64" s="19"/>
      <c r="Y64" s="13"/>
      <c r="Z64" s="19"/>
      <c r="AA64" s="13"/>
      <c r="AB64" s="19"/>
      <c r="AC64" s="13"/>
      <c r="AD64" s="24"/>
      <c r="AE64" s="25"/>
      <c r="AF64" s="24"/>
      <c r="AG64" s="19"/>
      <c r="AH64" s="13"/>
      <c r="AI64" s="24"/>
      <c r="AJ64" s="25"/>
      <c r="AK64" s="24"/>
      <c r="AL64" s="25"/>
    </row>
    <row r="65" ht="16.5" hidden="1" customHeight="1">
      <c r="A65" s="26" t="s">
        <v>137</v>
      </c>
      <c r="B65" s="27">
        <v>0.0</v>
      </c>
      <c r="C65" s="23">
        <f>IFERROR(B65/B148, "NA")</f>
        <v>0</v>
      </c>
      <c r="D65" s="27">
        <v>0.0</v>
      </c>
      <c r="E65" s="23">
        <f>IFERROR(D65/D148, "NA")</f>
        <v>0</v>
      </c>
      <c r="F65" s="27">
        <v>0.0</v>
      </c>
      <c r="G65" s="23">
        <f>IFERROR(F65/F148, "NA")</f>
        <v>0</v>
      </c>
      <c r="H65" s="27">
        <v>0.0</v>
      </c>
      <c r="I65" s="23">
        <f>IFERROR(H65/H148, "NA")</f>
        <v>0</v>
      </c>
      <c r="J65" s="27">
        <v>0.0</v>
      </c>
      <c r="K65" s="23">
        <f>IFERROR(J65/J148, "NA")</f>
        <v>0</v>
      </c>
      <c r="L65" s="27">
        <v>0.0</v>
      </c>
      <c r="M65" s="23">
        <f>IFERROR(L65/L148, "NA")</f>
        <v>0</v>
      </c>
      <c r="N65" s="27">
        <v>0.0</v>
      </c>
      <c r="O65" s="23">
        <f>IFERROR(N65/N148, "NA")</f>
        <v>0</v>
      </c>
      <c r="P65" s="27">
        <v>0.0</v>
      </c>
      <c r="Q65" s="23">
        <f>IFERROR(P65/P148, "NA")</f>
        <v>0</v>
      </c>
      <c r="R65" s="27">
        <v>0.0</v>
      </c>
      <c r="S65" s="23">
        <f>IFERROR(R65/R148, "NA")</f>
        <v>0</v>
      </c>
      <c r="T65" s="27">
        <v>0.0</v>
      </c>
      <c r="U65" s="23">
        <f>IFERROR(T65/T148, "NA")</f>
        <v>0</v>
      </c>
      <c r="V65" s="27">
        <v>0.0</v>
      </c>
      <c r="W65" s="23">
        <f>IFERROR(V65/V148, "NA")</f>
        <v>0</v>
      </c>
      <c r="X65" s="27">
        <v>0.0</v>
      </c>
      <c r="Y65" s="23">
        <f>IFERROR(X65/X148, "NA")</f>
        <v>0</v>
      </c>
      <c r="Z65" s="27">
        <v>0.0</v>
      </c>
      <c r="AA65" s="23">
        <f>IFERROR(Z65/Z148, "NA")</f>
        <v>0</v>
      </c>
      <c r="AB65" s="59">
        <f t="shared" ref="AB65:AB72" si="31">IFERROR((R65+T65+V65+X65)/4, "NA")</f>
        <v>0</v>
      </c>
      <c r="AC65" s="23">
        <f>IFERROR(AB65/AB148, "NA")</f>
        <v>0</v>
      </c>
      <c r="AD65" s="61">
        <f t="shared" ref="AD65:AD72" si="32">IFERROR(X65-AB65, "NA")</f>
        <v>0</v>
      </c>
      <c r="AE65" s="63">
        <f>IFERROR(AD65/AD148, "NA")</f>
        <v>0</v>
      </c>
      <c r="AF65" s="61" t="str">
        <f t="shared" ref="AF65:AF72" si="33">IFERROR((X65-AB65)/AB65, "NA")</f>
        <v>NA</v>
      </c>
      <c r="AG65" s="59">
        <f t="shared" ref="AG65:AG72" si="34">IFERROR((J65+L65+N65+P65+R65+T65+V65+X65)/8, "NA")</f>
        <v>0</v>
      </c>
      <c r="AH65" s="23">
        <f>IFERROR(AG65/AG148, "NA")</f>
        <v>0</v>
      </c>
      <c r="AI65" s="61">
        <f t="shared" ref="AI65:AI72" si="35">IFERROR(X65-AG65, "NA")</f>
        <v>0</v>
      </c>
      <c r="AJ65" s="63">
        <f>IFERROR(AI65/AI148, "NA")</f>
        <v>0</v>
      </c>
      <c r="AK65" s="61" t="str">
        <f t="shared" ref="AK65:AK72" si="36">IFERROR((X65-AG65)/AG65, "NA")</f>
        <v>NA</v>
      </c>
      <c r="AL65" s="63" t="str">
        <f>IFERROR(AK65/AK148, "NA")</f>
        <v>NA</v>
      </c>
    </row>
    <row r="66" ht="16.5" customHeight="1">
      <c r="A66" s="26" t="s">
        <v>144</v>
      </c>
      <c r="B66" s="27">
        <v>2519.23</v>
      </c>
      <c r="C66" s="23">
        <f>IFERROR(B66/B148, "NA")</f>
        <v>0.06529997662</v>
      </c>
      <c r="D66" s="27">
        <v>2519.23</v>
      </c>
      <c r="E66" s="23">
        <f>IFERROR(D66/D148, "NA")</f>
        <v>0.05604334097</v>
      </c>
      <c r="F66" s="27">
        <v>2519.23</v>
      </c>
      <c r="G66" s="23">
        <f>IFERROR(F66/F148, "NA")</f>
        <v>0.06114037874</v>
      </c>
      <c r="H66" s="27">
        <v>2519.23</v>
      </c>
      <c r="I66" s="23">
        <f>IFERROR(H66/H148, "NA")</f>
        <v>0.06500601231</v>
      </c>
      <c r="J66" s="27">
        <v>2519.23</v>
      </c>
      <c r="K66" s="23">
        <f>IFERROR(J66/J148, "NA")</f>
        <v>0.04816355684</v>
      </c>
      <c r="L66" s="27">
        <v>2519.23</v>
      </c>
      <c r="M66" s="23">
        <f>IFERROR(L66/L148, "NA")</f>
        <v>0.04984390331</v>
      </c>
      <c r="N66" s="27">
        <v>2519.23</v>
      </c>
      <c r="O66" s="23">
        <f>IFERROR(N66/N148, "NA")</f>
        <v>0.0532729417</v>
      </c>
      <c r="P66" s="27">
        <v>2519.23</v>
      </c>
      <c r="Q66" s="23">
        <f>IFERROR(P66/P148, "NA")</f>
        <v>0.0524292135</v>
      </c>
      <c r="R66" s="27">
        <v>2519.23</v>
      </c>
      <c r="S66" s="23">
        <f>IFERROR(R66/R148, "NA")</f>
        <v>0.05935513086</v>
      </c>
      <c r="T66" s="27">
        <v>1192.31</v>
      </c>
      <c r="U66" s="23">
        <f>IFERROR(T66/T148, "NA")</f>
        <v>0.01976489209</v>
      </c>
      <c r="V66" s="27">
        <v>1192.31</v>
      </c>
      <c r="W66" s="23">
        <f>IFERROR(V66/V148, "NA")</f>
        <v>0.02028727272</v>
      </c>
      <c r="X66" s="27">
        <v>1192.31</v>
      </c>
      <c r="Y66" s="23">
        <f>IFERROR(X66/X148, "NA")</f>
        <v>0.02565374767</v>
      </c>
      <c r="Z66" s="27">
        <v>6096.16</v>
      </c>
      <c r="AA66" s="23">
        <f>IFERROR(Z66/Z148, "NA")</f>
        <v>0.02930615931</v>
      </c>
      <c r="AB66" s="59">
        <f t="shared" si="31"/>
        <v>1524.04</v>
      </c>
      <c r="AC66" s="23">
        <f>IFERROR(AB66/AB148, "NA")</f>
        <v>0.02930615931</v>
      </c>
      <c r="AD66" s="61">
        <f t="shared" si="32"/>
        <v>-331.73</v>
      </c>
      <c r="AE66" s="63">
        <f>IFERROR(AD66/AD148, "NA")</f>
        <v>0.06001930504</v>
      </c>
      <c r="AF66" s="61">
        <f t="shared" si="33"/>
        <v>-0.2176648907</v>
      </c>
      <c r="AG66" s="59">
        <f t="shared" si="34"/>
        <v>2021.635</v>
      </c>
      <c r="AH66" s="23">
        <f>IFERROR(AG66/AG148, "NA")</f>
        <v>0.03981519715</v>
      </c>
      <c r="AI66" s="61">
        <f t="shared" si="35"/>
        <v>-829.325</v>
      </c>
      <c r="AJ66" s="63">
        <f>IFERROR(AI66/AI148, "NA")</f>
        <v>0.1929366673</v>
      </c>
      <c r="AK66" s="61">
        <f t="shared" si="36"/>
        <v>-0.4102248922</v>
      </c>
      <c r="AL66" s="63">
        <f>IFERROR(AK66/AK148, "NA")</f>
        <v>4.845804645</v>
      </c>
    </row>
    <row r="67" ht="16.5" hidden="1" customHeight="1">
      <c r="A67" s="26" t="s">
        <v>146</v>
      </c>
      <c r="B67" s="27">
        <v>0.0</v>
      </c>
      <c r="C67" s="23">
        <f>IFERROR(B67/B148, "NA")</f>
        <v>0</v>
      </c>
      <c r="D67" s="27">
        <v>0.0</v>
      </c>
      <c r="E67" s="23">
        <f>IFERROR(D67/D148, "NA")</f>
        <v>0</v>
      </c>
      <c r="F67" s="27">
        <v>0.0</v>
      </c>
      <c r="G67" s="23">
        <f>IFERROR(F67/F148, "NA")</f>
        <v>0</v>
      </c>
      <c r="H67" s="27">
        <v>0.0</v>
      </c>
      <c r="I67" s="23">
        <f>IFERROR(H67/H148, "NA")</f>
        <v>0</v>
      </c>
      <c r="J67" s="27">
        <v>0.0</v>
      </c>
      <c r="K67" s="23">
        <f>IFERROR(J67/J148, "NA")</f>
        <v>0</v>
      </c>
      <c r="L67" s="27">
        <v>0.0</v>
      </c>
      <c r="M67" s="23">
        <f>IFERROR(L67/L148, "NA")</f>
        <v>0</v>
      </c>
      <c r="N67" s="27">
        <v>0.0</v>
      </c>
      <c r="O67" s="23">
        <f>IFERROR(N67/N148, "NA")</f>
        <v>0</v>
      </c>
      <c r="P67" s="27">
        <v>0.0</v>
      </c>
      <c r="Q67" s="23">
        <f>IFERROR(P67/P148, "NA")</f>
        <v>0</v>
      </c>
      <c r="R67" s="27">
        <v>0.0</v>
      </c>
      <c r="S67" s="23">
        <f>IFERROR(R67/R148, "NA")</f>
        <v>0</v>
      </c>
      <c r="T67" s="27">
        <v>0.0</v>
      </c>
      <c r="U67" s="23">
        <f>IFERROR(T67/T148, "NA")</f>
        <v>0</v>
      </c>
      <c r="V67" s="27">
        <v>0.0</v>
      </c>
      <c r="W67" s="23">
        <f>IFERROR(V67/V148, "NA")</f>
        <v>0</v>
      </c>
      <c r="X67" s="27">
        <v>0.0</v>
      </c>
      <c r="Y67" s="23">
        <f>IFERROR(X67/X148, "NA")</f>
        <v>0</v>
      </c>
      <c r="Z67" s="27">
        <v>0.0</v>
      </c>
      <c r="AA67" s="23">
        <f>IFERROR(Z67/Z148, "NA")</f>
        <v>0</v>
      </c>
      <c r="AB67" s="59">
        <f t="shared" si="31"/>
        <v>0</v>
      </c>
      <c r="AC67" s="23">
        <f>IFERROR(AB67/AB148, "NA")</f>
        <v>0</v>
      </c>
      <c r="AD67" s="61">
        <f t="shared" si="32"/>
        <v>0</v>
      </c>
      <c r="AE67" s="63">
        <f>IFERROR(AD67/AD148, "NA")</f>
        <v>0</v>
      </c>
      <c r="AF67" s="61" t="str">
        <f t="shared" si="33"/>
        <v>NA</v>
      </c>
      <c r="AG67" s="59">
        <f t="shared" si="34"/>
        <v>0</v>
      </c>
      <c r="AH67" s="23">
        <f>IFERROR(AG67/AG148, "NA")</f>
        <v>0</v>
      </c>
      <c r="AI67" s="61">
        <f t="shared" si="35"/>
        <v>0</v>
      </c>
      <c r="AJ67" s="63">
        <f>IFERROR(AI67/AI148, "NA")</f>
        <v>0</v>
      </c>
      <c r="AK67" s="61" t="str">
        <f t="shared" si="36"/>
        <v>NA</v>
      </c>
      <c r="AL67" s="63" t="str">
        <f>IFERROR(AK67/AK148, "NA")</f>
        <v>NA</v>
      </c>
    </row>
    <row r="68" ht="16.5" customHeight="1">
      <c r="A68" s="26" t="s">
        <v>150</v>
      </c>
      <c r="B68" s="27">
        <v>5821.68</v>
      </c>
      <c r="C68" s="23">
        <f>IFERROR(B68/B148, "NA")</f>
        <v>0.1509014929</v>
      </c>
      <c r="D68" s="27">
        <v>6624.58</v>
      </c>
      <c r="E68" s="23">
        <f>IFERROR(D68/D148, "NA")</f>
        <v>0.147371854</v>
      </c>
      <c r="F68" s="27">
        <v>6050.5</v>
      </c>
      <c r="G68" s="23">
        <f>IFERROR(F68/F148, "NA")</f>
        <v>0.1468424326</v>
      </c>
      <c r="H68" s="27">
        <v>5720.97</v>
      </c>
      <c r="I68" s="23">
        <f>IFERROR(H68/H148, "NA")</f>
        <v>0.1476234589</v>
      </c>
      <c r="J68" s="27">
        <v>6318.56</v>
      </c>
      <c r="K68" s="23">
        <f>IFERROR(J68/J148, "NA")</f>
        <v>0.1208005318</v>
      </c>
      <c r="L68" s="27">
        <v>6637.43</v>
      </c>
      <c r="M68" s="23">
        <f>IFERROR(L68/L148, "NA")</f>
        <v>0.1313240233</v>
      </c>
      <c r="N68" s="27">
        <v>6212.96</v>
      </c>
      <c r="O68" s="23">
        <f>IFERROR(N68/N148, "NA")</f>
        <v>0.1313824684</v>
      </c>
      <c r="P68" s="27">
        <v>5939.14</v>
      </c>
      <c r="Q68" s="23">
        <f>IFERROR(P68/P148, "NA")</f>
        <v>0.1236030212</v>
      </c>
      <c r="R68" s="27">
        <v>6285.82</v>
      </c>
      <c r="S68" s="23">
        <f>IFERROR(R68/R148, "NA")</f>
        <v>0.1480990893</v>
      </c>
      <c r="T68" s="27">
        <v>9379.48</v>
      </c>
      <c r="U68" s="23">
        <f>IFERROR(T68/T148, "NA")</f>
        <v>0.1554833978</v>
      </c>
      <c r="V68" s="27">
        <v>9481.44</v>
      </c>
      <c r="W68" s="23">
        <f>IFERROR(V68/V148, "NA")</f>
        <v>0.1613276405</v>
      </c>
      <c r="X68" s="27">
        <v>8878.67</v>
      </c>
      <c r="Y68" s="23">
        <f>IFERROR(X68/X148, "NA")</f>
        <v>0.1910335062</v>
      </c>
      <c r="Z68" s="27">
        <v>34025.41</v>
      </c>
      <c r="AA68" s="23">
        <f>IFERROR(Z68/Z148, "NA")</f>
        <v>0.1635708522</v>
      </c>
      <c r="AB68" s="59">
        <f t="shared" si="31"/>
        <v>8506.3525</v>
      </c>
      <c r="AC68" s="23">
        <f>IFERROR(AB68/AB148, "NA")</f>
        <v>0.1635708522</v>
      </c>
      <c r="AD68" s="61">
        <f t="shared" si="32"/>
        <v>372.3175</v>
      </c>
      <c r="AE68" s="63">
        <f>IFERROR(AD68/AD148, "NA")</f>
        <v>-0.06736272753</v>
      </c>
      <c r="AF68" s="61">
        <f t="shared" si="33"/>
        <v>0.04376934767</v>
      </c>
      <c r="AG68" s="59">
        <f t="shared" si="34"/>
        <v>7391.6875</v>
      </c>
      <c r="AH68" s="23">
        <f>IFERROR(AG68/AG148, "NA")</f>
        <v>0.1455759794</v>
      </c>
      <c r="AI68" s="61">
        <f t="shared" si="35"/>
        <v>1486.9825</v>
      </c>
      <c r="AJ68" s="63">
        <f>IFERROR(AI68/AI148, "NA")</f>
        <v>-0.3459360901</v>
      </c>
      <c r="AK68" s="61">
        <f t="shared" si="36"/>
        <v>0.201169557</v>
      </c>
      <c r="AL68" s="63">
        <f>IFERROR(AK68/AK148, "NA")</f>
        <v>-2.376326723</v>
      </c>
    </row>
    <row r="69" ht="16.5" customHeight="1">
      <c r="A69" s="26" t="s">
        <v>153</v>
      </c>
      <c r="B69" s="27">
        <v>222.55</v>
      </c>
      <c r="C69" s="23">
        <f>IFERROR(B69/B148, "NA")</f>
        <v>0.005768631604</v>
      </c>
      <c r="D69" s="27">
        <v>115.73</v>
      </c>
      <c r="E69" s="23">
        <f>IFERROR(D69/D148, "NA")</f>
        <v>0.002574554864</v>
      </c>
      <c r="F69" s="27">
        <v>0.0</v>
      </c>
      <c r="G69" s="23">
        <f>IFERROR(F69/F148, "NA")</f>
        <v>0</v>
      </c>
      <c r="H69" s="27">
        <v>165.53</v>
      </c>
      <c r="I69" s="23">
        <f>IFERROR(H69/H148, "NA")</f>
        <v>0.00427132307</v>
      </c>
      <c r="J69" s="27">
        <v>254.17</v>
      </c>
      <c r="K69" s="23">
        <f>IFERROR(J69/J148, "NA")</f>
        <v>0.004859314649</v>
      </c>
      <c r="L69" s="27">
        <v>104.6</v>
      </c>
      <c r="M69" s="23">
        <f>IFERROR(L69/L148, "NA")</f>
        <v>0.002069549936</v>
      </c>
      <c r="N69" s="27">
        <v>184.73</v>
      </c>
      <c r="O69" s="23">
        <f>IFERROR(N69/N148, "NA")</f>
        <v>0.003906396208</v>
      </c>
      <c r="P69" s="27">
        <v>230.1</v>
      </c>
      <c r="Q69" s="23">
        <f>IFERROR(P69/P148, "NA")</f>
        <v>0.004788749747</v>
      </c>
      <c r="R69" s="27">
        <v>0.02</v>
      </c>
      <c r="S69" s="23">
        <f>IFERROR(R69/R148, "NA")</f>
        <v>0.00000047121645</v>
      </c>
      <c r="T69" s="27">
        <v>330.74</v>
      </c>
      <c r="U69" s="23">
        <f>IFERROR(T69/T148, "NA")</f>
        <v>0.005482668442</v>
      </c>
      <c r="V69" s="27">
        <v>331.53</v>
      </c>
      <c r="W69" s="23">
        <f>IFERROR(V69/V148, "NA")</f>
        <v>0.005641015781</v>
      </c>
      <c r="X69" s="27">
        <v>93.98</v>
      </c>
      <c r="Y69" s="23">
        <f>IFERROR(X69/X148, "NA")</f>
        <v>0.00202207413</v>
      </c>
      <c r="Z69" s="27">
        <v>756.27</v>
      </c>
      <c r="AA69" s="23">
        <f>IFERROR(Z69/Z148, "NA")</f>
        <v>0.003635627855</v>
      </c>
      <c r="AB69" s="59">
        <f t="shared" si="31"/>
        <v>189.0675</v>
      </c>
      <c r="AC69" s="23">
        <f>IFERROR(AB69/AB148, "NA")</f>
        <v>0.003635627855</v>
      </c>
      <c r="AD69" s="61">
        <f t="shared" si="32"/>
        <v>-95.0875</v>
      </c>
      <c r="AE69" s="63">
        <f>IFERROR(AD69/AD148, "NA")</f>
        <v>0.01720400828</v>
      </c>
      <c r="AF69" s="61">
        <f t="shared" si="33"/>
        <v>-0.5029288482</v>
      </c>
      <c r="AG69" s="59">
        <f t="shared" si="34"/>
        <v>191.23375</v>
      </c>
      <c r="AH69" s="23">
        <f>IFERROR(AG69/AG148, "NA")</f>
        <v>0.003766263177</v>
      </c>
      <c r="AI69" s="61">
        <f t="shared" si="35"/>
        <v>-97.25375</v>
      </c>
      <c r="AJ69" s="63">
        <f>IFERROR(AI69/AI148, "NA")</f>
        <v>0.02262540549</v>
      </c>
      <c r="AK69" s="61">
        <f t="shared" si="36"/>
        <v>-0.5085595508</v>
      </c>
      <c r="AL69" s="63">
        <f>IFERROR(AK69/AK148, "NA")</f>
        <v>6.007388339</v>
      </c>
    </row>
    <row r="70" ht="16.5" customHeight="1">
      <c r="A70" s="66" t="s">
        <v>156</v>
      </c>
      <c r="B70" s="67">
        <f>IFERROR(B65+B66+B67+B68+B69, "NA")</f>
        <v>8563.46</v>
      </c>
      <c r="C70" s="69">
        <f>IFERROR(B70/B148, "NA")</f>
        <v>0.2219701011</v>
      </c>
      <c r="D70" s="67">
        <f>IFERROR(D65+D66+D67+D68+D69, "NA")</f>
        <v>9259.54</v>
      </c>
      <c r="E70" s="69">
        <f>IFERROR(D70/D148, "NA")</f>
        <v>0.2059897498</v>
      </c>
      <c r="F70" s="67">
        <f>IFERROR(F65+F66+F67+F68+F69, "NA")</f>
        <v>8569.73</v>
      </c>
      <c r="G70" s="69">
        <f>IFERROR(F70/F148, "NA")</f>
        <v>0.2079828114</v>
      </c>
      <c r="H70" s="67">
        <f>IFERROR(H65+H66+H67+H68+H69, "NA")</f>
        <v>8405.73</v>
      </c>
      <c r="I70" s="69">
        <f>IFERROR(H70/H148, "NA")</f>
        <v>0.2169007942</v>
      </c>
      <c r="J70" s="67">
        <f>IFERROR(J65+J66+J67+J68+J69, "NA")</f>
        <v>9091.96</v>
      </c>
      <c r="K70" s="69">
        <f>IFERROR(J70/J148, "NA")</f>
        <v>0.1738234033</v>
      </c>
      <c r="L70" s="67">
        <f>IFERROR(L65+L66+L67+L68+L69, "NA")</f>
        <v>9261.26</v>
      </c>
      <c r="M70" s="69">
        <f>IFERROR(L70/L148, "NA")</f>
        <v>0.1832374765</v>
      </c>
      <c r="N70" s="67">
        <f>IFERROR(N65+N66+N67+N68+N69, "NA")</f>
        <v>8916.92</v>
      </c>
      <c r="O70" s="69">
        <f>IFERROR(N70/N148, "NA")</f>
        <v>0.1885618063</v>
      </c>
      <c r="P70" s="67">
        <f>IFERROR(P65+P66+P67+P68+P69, "NA")</f>
        <v>8688.47</v>
      </c>
      <c r="Q70" s="69">
        <f>IFERROR(P70/P148, "NA")</f>
        <v>0.1808209844</v>
      </c>
      <c r="R70" s="67">
        <f>IFERROR(R65+R66+R67+R68+R69, "NA")</f>
        <v>8805.07</v>
      </c>
      <c r="S70" s="69">
        <f>IFERROR(R70/R148, "NA")</f>
        <v>0.2074546914</v>
      </c>
      <c r="T70" s="67">
        <f>IFERROR(T65+T66+T67+T68+T69, "NA")</f>
        <v>10902.53</v>
      </c>
      <c r="U70" s="69">
        <f>IFERROR(T70/T148, "NA")</f>
        <v>0.1807309584</v>
      </c>
      <c r="V70" s="67">
        <f>IFERROR(V65+V66+V67+V68+V69, "NA")</f>
        <v>11005.28</v>
      </c>
      <c r="W70" s="69">
        <f>IFERROR(V70/V148, "NA")</f>
        <v>0.187255929</v>
      </c>
      <c r="X70" s="67">
        <f>IFERROR(X65+X66+X67+X68+X69, "NA")</f>
        <v>10164.96</v>
      </c>
      <c r="Y70" s="69">
        <f>IFERROR(X70/X148, "NA")</f>
        <v>0.218709328</v>
      </c>
      <c r="Z70" s="67">
        <f>IFERROR(Z65+Z66+Z67+Z68+Z69, "NA")</f>
        <v>40877.84</v>
      </c>
      <c r="AA70" s="69">
        <f>IFERROR(Z70/Z148, "NA")</f>
        <v>0.1965126393</v>
      </c>
      <c r="AB70" s="67">
        <f t="shared" si="31"/>
        <v>10219.46</v>
      </c>
      <c r="AC70" s="69">
        <f>IFERROR(AB70/AB148, "NA")</f>
        <v>0.1965126393</v>
      </c>
      <c r="AD70" s="70">
        <f t="shared" si="32"/>
        <v>-54.5</v>
      </c>
      <c r="AE70" s="71">
        <f>IFERROR(AD70/AD148, "NA")</f>
        <v>0.009860585791</v>
      </c>
      <c r="AF70" s="70">
        <f t="shared" si="33"/>
        <v>-0.005332962798</v>
      </c>
      <c r="AG70" s="67">
        <f t="shared" si="34"/>
        <v>9604.55625</v>
      </c>
      <c r="AH70" s="69">
        <f>IFERROR(AG70/AG148, "NA")</f>
        <v>0.1891574397</v>
      </c>
      <c r="AI70" s="70">
        <f t="shared" si="35"/>
        <v>560.40375</v>
      </c>
      <c r="AJ70" s="71">
        <f>IFERROR(AI70/AI148, "NA")</f>
        <v>-0.1303740173</v>
      </c>
      <c r="AK70" s="70">
        <f t="shared" si="36"/>
        <v>0.05834769826</v>
      </c>
      <c r="AL70" s="71">
        <f>IFERROR(AK70/AK148, "NA")</f>
        <v>-0.6892354721</v>
      </c>
    </row>
    <row r="71" ht="16.5" hidden="1" customHeight="1">
      <c r="A71" s="26" t="s">
        <v>162</v>
      </c>
      <c r="B71" s="27">
        <v>0.0</v>
      </c>
      <c r="C71" s="23">
        <f>IFERROR(B71/B148, "NA")</f>
        <v>0</v>
      </c>
      <c r="D71" s="27">
        <v>0.0</v>
      </c>
      <c r="E71" s="23">
        <f>IFERROR(D71/D148, "NA")</f>
        <v>0</v>
      </c>
      <c r="F71" s="27">
        <v>0.0</v>
      </c>
      <c r="G71" s="23">
        <f>IFERROR(F71/F148, "NA")</f>
        <v>0</v>
      </c>
      <c r="H71" s="27">
        <v>0.0</v>
      </c>
      <c r="I71" s="23">
        <f>IFERROR(H71/H148, "NA")</f>
        <v>0</v>
      </c>
      <c r="J71" s="27">
        <v>0.0</v>
      </c>
      <c r="K71" s="23">
        <f>IFERROR(J71/J148, "NA")</f>
        <v>0</v>
      </c>
      <c r="L71" s="27">
        <v>0.0</v>
      </c>
      <c r="M71" s="23">
        <f>IFERROR(L71/L148, "NA")</f>
        <v>0</v>
      </c>
      <c r="N71" s="27">
        <v>0.0</v>
      </c>
      <c r="O71" s="23">
        <f>IFERROR(N71/N148, "NA")</f>
        <v>0</v>
      </c>
      <c r="P71" s="27">
        <v>0.0</v>
      </c>
      <c r="Q71" s="23">
        <f>IFERROR(P71/P148, "NA")</f>
        <v>0</v>
      </c>
      <c r="R71" s="27">
        <v>0.0</v>
      </c>
      <c r="S71" s="23">
        <f>IFERROR(R71/R148, "NA")</f>
        <v>0</v>
      </c>
      <c r="T71" s="27">
        <v>0.0</v>
      </c>
      <c r="U71" s="23">
        <f>IFERROR(T71/T148, "NA")</f>
        <v>0</v>
      </c>
      <c r="V71" s="27">
        <v>0.0</v>
      </c>
      <c r="W71" s="23">
        <f>IFERROR(V71/V148, "NA")</f>
        <v>0</v>
      </c>
      <c r="X71" s="27">
        <v>0.0</v>
      </c>
      <c r="Y71" s="23">
        <f>IFERROR(X71/X148, "NA")</f>
        <v>0</v>
      </c>
      <c r="Z71" s="27">
        <v>0.0</v>
      </c>
      <c r="AA71" s="23">
        <f>IFERROR(Z71/Z148, "NA")</f>
        <v>0</v>
      </c>
      <c r="AB71" s="59">
        <f t="shared" si="31"/>
        <v>0</v>
      </c>
      <c r="AC71" s="23">
        <f>IFERROR(AB71/AB148, "NA")</f>
        <v>0</v>
      </c>
      <c r="AD71" s="61">
        <f t="shared" si="32"/>
        <v>0</v>
      </c>
      <c r="AE71" s="63">
        <f>IFERROR(AD71/AD148, "NA")</f>
        <v>0</v>
      </c>
      <c r="AF71" s="61" t="str">
        <f t="shared" si="33"/>
        <v>NA</v>
      </c>
      <c r="AG71" s="59">
        <f t="shared" si="34"/>
        <v>0</v>
      </c>
      <c r="AH71" s="23">
        <f>IFERROR(AG71/AG148, "NA")</f>
        <v>0</v>
      </c>
      <c r="AI71" s="61">
        <f t="shared" si="35"/>
        <v>0</v>
      </c>
      <c r="AJ71" s="63">
        <f>IFERROR(AI71/AI148, "NA")</f>
        <v>0</v>
      </c>
      <c r="AK71" s="61" t="str">
        <f t="shared" si="36"/>
        <v>NA</v>
      </c>
      <c r="AL71" s="63" t="str">
        <f>IFERROR(AK71/AK148, "NA")</f>
        <v>NA</v>
      </c>
    </row>
    <row r="72" ht="16.5" customHeight="1">
      <c r="A72" s="26" t="s">
        <v>167</v>
      </c>
      <c r="B72" s="27">
        <v>0.0</v>
      </c>
      <c r="C72" s="23">
        <f>IFERROR(B72/B148, "NA")</f>
        <v>0</v>
      </c>
      <c r="D72" s="27">
        <v>0.0</v>
      </c>
      <c r="E72" s="23">
        <f>IFERROR(D72/D148, "NA")</f>
        <v>0</v>
      </c>
      <c r="F72" s="27">
        <v>624.0</v>
      </c>
      <c r="G72" s="23">
        <f>IFERROR(F72/F148, "NA")</f>
        <v>0.01514414973</v>
      </c>
      <c r="H72" s="27">
        <v>0.0</v>
      </c>
      <c r="I72" s="23">
        <f>IFERROR(H72/H148, "NA")</f>
        <v>0</v>
      </c>
      <c r="J72" s="27">
        <v>0.0</v>
      </c>
      <c r="K72" s="23">
        <f>IFERROR(J72/J148, "NA")</f>
        <v>0</v>
      </c>
      <c r="L72" s="27">
        <v>0.0</v>
      </c>
      <c r="M72" s="23">
        <f>IFERROR(L72/L148, "NA")</f>
        <v>0</v>
      </c>
      <c r="N72" s="27">
        <v>0.0</v>
      </c>
      <c r="O72" s="23">
        <f>IFERROR(N72/N148, "NA")</f>
        <v>0</v>
      </c>
      <c r="P72" s="27">
        <v>1013.0</v>
      </c>
      <c r="Q72" s="23">
        <f>IFERROR(P72/P148, "NA")</f>
        <v>0.02108215338</v>
      </c>
      <c r="R72" s="27">
        <v>0.0</v>
      </c>
      <c r="S72" s="23">
        <f>IFERROR(R72/R148, "NA")</f>
        <v>0</v>
      </c>
      <c r="T72" s="27">
        <v>0.0</v>
      </c>
      <c r="U72" s="23">
        <f>IFERROR(T72/T148, "NA")</f>
        <v>0</v>
      </c>
      <c r="V72" s="27">
        <v>0.0</v>
      </c>
      <c r="W72" s="23">
        <f>IFERROR(V72/V148, "NA")</f>
        <v>0</v>
      </c>
      <c r="X72" s="27">
        <v>-1876.0</v>
      </c>
      <c r="Y72" s="23">
        <f>IFERROR(X72/X148, "NA")</f>
        <v>-0.04036402498</v>
      </c>
      <c r="Z72" s="27">
        <v>-1876.0</v>
      </c>
      <c r="AA72" s="23">
        <f>IFERROR(Z72/Z148, "NA")</f>
        <v>-0.009018522295</v>
      </c>
      <c r="AB72" s="59">
        <f t="shared" si="31"/>
        <v>-469</v>
      </c>
      <c r="AC72" s="23">
        <f>IFERROR(AB72/AB148, "NA")</f>
        <v>-0.009018522295</v>
      </c>
      <c r="AD72" s="61">
        <f t="shared" si="32"/>
        <v>-1407</v>
      </c>
      <c r="AE72" s="63">
        <f>IFERROR(AD72/AD148, "NA")</f>
        <v>0.2545659488</v>
      </c>
      <c r="AF72" s="61">
        <f t="shared" si="33"/>
        <v>3</v>
      </c>
      <c r="AG72" s="59">
        <f t="shared" si="34"/>
        <v>-107.875</v>
      </c>
      <c r="AH72" s="23">
        <f>IFERROR(AG72/AG148, "NA")</f>
        <v>-0.002124549878</v>
      </c>
      <c r="AI72" s="61">
        <f t="shared" si="35"/>
        <v>-1768.125</v>
      </c>
      <c r="AJ72" s="63">
        <f>IFERROR(AI72/AI148, "NA")</f>
        <v>0.4113419285</v>
      </c>
      <c r="AK72" s="61">
        <f t="shared" si="36"/>
        <v>16.39049826</v>
      </c>
      <c r="AL72" s="63">
        <f>IFERROR(AK72/AK148, "NA")</f>
        <v>-193.6136839</v>
      </c>
    </row>
    <row r="73" ht="16.5" customHeight="1">
      <c r="A73" s="17" t="s">
        <v>175</v>
      </c>
      <c r="B73" s="19"/>
      <c r="C73" s="13"/>
      <c r="D73" s="19"/>
      <c r="E73" s="13"/>
      <c r="F73" s="19"/>
      <c r="G73" s="13"/>
      <c r="H73" s="19"/>
      <c r="I73" s="13"/>
      <c r="J73" s="19"/>
      <c r="K73" s="13"/>
      <c r="L73" s="19"/>
      <c r="M73" s="13"/>
      <c r="N73" s="19"/>
      <c r="O73" s="13"/>
      <c r="P73" s="19"/>
      <c r="Q73" s="13"/>
      <c r="R73" s="19"/>
      <c r="S73" s="13"/>
      <c r="T73" s="19"/>
      <c r="U73" s="13"/>
      <c r="V73" s="19"/>
      <c r="W73" s="13"/>
      <c r="X73" s="19"/>
      <c r="Y73" s="13"/>
      <c r="Z73" s="19"/>
      <c r="AA73" s="13"/>
      <c r="AB73" s="19"/>
      <c r="AC73" s="13"/>
      <c r="AD73" s="24"/>
      <c r="AE73" s="25"/>
      <c r="AF73" s="24"/>
      <c r="AG73" s="19"/>
      <c r="AH73" s="13"/>
      <c r="AI73" s="24"/>
      <c r="AJ73" s="25"/>
      <c r="AK73" s="24"/>
      <c r="AL73" s="25"/>
    </row>
    <row r="74" ht="16.5" customHeight="1">
      <c r="A74" s="26" t="s">
        <v>177</v>
      </c>
      <c r="B74" s="27">
        <v>1022.01</v>
      </c>
      <c r="C74" s="23">
        <f>IFERROR(B74/B148, "NA")</f>
        <v>0.02649112193</v>
      </c>
      <c r="D74" s="27">
        <v>909.38</v>
      </c>
      <c r="E74" s="23">
        <f>IFERROR(D74/D148, "NA")</f>
        <v>0.02023026616</v>
      </c>
      <c r="F74" s="27">
        <v>822.59</v>
      </c>
      <c r="G74" s="23">
        <f>IFERROR(F74/F148, "NA")</f>
        <v>0.01996382393</v>
      </c>
      <c r="H74" s="27">
        <v>824.97</v>
      </c>
      <c r="I74" s="23">
        <f>IFERROR(H74/H148, "NA")</f>
        <v>0.02128746084</v>
      </c>
      <c r="J74" s="27">
        <v>885.74</v>
      </c>
      <c r="K74" s="23">
        <f>IFERROR(J74/J148, "NA")</f>
        <v>0.01693389998</v>
      </c>
      <c r="L74" s="27">
        <v>925.42</v>
      </c>
      <c r="M74" s="23">
        <f>IFERROR(L74/L148, "NA")</f>
        <v>0.01830977918</v>
      </c>
      <c r="N74" s="27">
        <v>868.41</v>
      </c>
      <c r="O74" s="23">
        <f>IFERROR(N74/N148, "NA")</f>
        <v>0.01836384741</v>
      </c>
      <c r="P74" s="27">
        <v>849.49</v>
      </c>
      <c r="Q74" s="23">
        <f>IFERROR(P74/P148, "NA")</f>
        <v>0.01767924825</v>
      </c>
      <c r="R74" s="27">
        <v>837.16</v>
      </c>
      <c r="S74" s="23">
        <f>IFERROR(R74/R148, "NA")</f>
        <v>0.01972417816</v>
      </c>
      <c r="T74" s="27">
        <v>1103.42</v>
      </c>
      <c r="U74" s="23">
        <f>IFERROR(T74/T148, "NA")</f>
        <v>0.01829136486</v>
      </c>
      <c r="V74" s="27">
        <v>1116.15</v>
      </c>
      <c r="W74" s="23">
        <f>IFERROR(V74/V148, "NA")</f>
        <v>0.01899140278</v>
      </c>
      <c r="X74" s="27">
        <v>1016.17</v>
      </c>
      <c r="Y74" s="23">
        <f>IFERROR(X74/X148, "NA")</f>
        <v>0.02186391859</v>
      </c>
      <c r="Z74" s="27">
        <v>4072.9</v>
      </c>
      <c r="AA74" s="23">
        <f>IFERROR(Z74/Z148, "NA")</f>
        <v>0.01957971186</v>
      </c>
      <c r="AB74" s="59">
        <f t="shared" ref="AB74:AB85" si="37">IFERROR((R74+T74+V74+X74)/4, "NA")</f>
        <v>1018.225</v>
      </c>
      <c r="AC74" s="23">
        <f>IFERROR(AB74/AB148, "NA")</f>
        <v>0.01957971186</v>
      </c>
      <c r="AD74" s="61">
        <f t="shared" ref="AD74:AD85" si="38">IFERROR(X74-AB74, "NA")</f>
        <v>-2.055</v>
      </c>
      <c r="AE74" s="63">
        <f>IFERROR(AD74/AD148, "NA")</f>
        <v>0.0003718074092</v>
      </c>
      <c r="AF74" s="61">
        <f t="shared" ref="AF74:AF85" si="39">IFERROR((X74-AB74)/AB74, "NA")</f>
        <v>-0.002018217977</v>
      </c>
      <c r="AG74" s="59">
        <f t="shared" ref="AG74:AG85" si="40">IFERROR((J74+L74+N74+P74+R74+T74+V74+X74)/8, "NA")</f>
        <v>950.245</v>
      </c>
      <c r="AH74" s="23">
        <f>IFERROR(AG74/AG148, "NA")</f>
        <v>0.01871465028</v>
      </c>
      <c r="AI74" s="61">
        <f t="shared" ref="AI74:AI85" si="41">IFERROR(X74-AG74, "NA")</f>
        <v>65.925</v>
      </c>
      <c r="AJ74" s="63">
        <f>IFERROR(AI74/AI148, "NA")</f>
        <v>-0.01533699068</v>
      </c>
      <c r="AK74" s="61">
        <f t="shared" ref="AK74:AK85" si="42">IFERROR((X74-AG74)/AG74, "NA")</f>
        <v>0.06937684492</v>
      </c>
      <c r="AL74" s="63">
        <f>IFERROR(AK74/AK148, "NA")</f>
        <v>-0.8195178883</v>
      </c>
    </row>
    <row r="75" ht="16.5" hidden="1" customHeight="1">
      <c r="A75" s="26" t="s">
        <v>183</v>
      </c>
      <c r="B75" s="27">
        <v>0.0</v>
      </c>
      <c r="C75" s="23">
        <f>IFERROR(B75/B148, "NA")</f>
        <v>0</v>
      </c>
      <c r="D75" s="27">
        <v>0.0</v>
      </c>
      <c r="E75" s="23">
        <f>IFERROR(D75/D148, "NA")</f>
        <v>0</v>
      </c>
      <c r="F75" s="27">
        <v>0.0</v>
      </c>
      <c r="G75" s="23">
        <f>IFERROR(F75/F148, "NA")</f>
        <v>0</v>
      </c>
      <c r="H75" s="27">
        <v>0.0</v>
      </c>
      <c r="I75" s="23">
        <f>IFERROR(H75/H148, "NA")</f>
        <v>0</v>
      </c>
      <c r="J75" s="27">
        <v>0.0</v>
      </c>
      <c r="K75" s="23">
        <f>IFERROR(J75/J148, "NA")</f>
        <v>0</v>
      </c>
      <c r="L75" s="27">
        <v>0.0</v>
      </c>
      <c r="M75" s="23">
        <f>IFERROR(L75/L148, "NA")</f>
        <v>0</v>
      </c>
      <c r="N75" s="27">
        <v>0.0</v>
      </c>
      <c r="O75" s="23">
        <f>IFERROR(N75/N148, "NA")</f>
        <v>0</v>
      </c>
      <c r="P75" s="27">
        <v>0.0</v>
      </c>
      <c r="Q75" s="23">
        <f>IFERROR(P75/P148, "NA")</f>
        <v>0</v>
      </c>
      <c r="R75" s="27">
        <v>0.0</v>
      </c>
      <c r="S75" s="23">
        <f>IFERROR(R75/R148, "NA")</f>
        <v>0</v>
      </c>
      <c r="T75" s="27">
        <v>0.0</v>
      </c>
      <c r="U75" s="23">
        <f>IFERROR(T75/T148, "NA")</f>
        <v>0</v>
      </c>
      <c r="V75" s="27">
        <v>0.0</v>
      </c>
      <c r="W75" s="23">
        <f>IFERROR(V75/V148, "NA")</f>
        <v>0</v>
      </c>
      <c r="X75" s="27">
        <v>0.0</v>
      </c>
      <c r="Y75" s="23">
        <f>IFERROR(X75/X148, "NA")</f>
        <v>0</v>
      </c>
      <c r="Z75" s="27">
        <v>0.0</v>
      </c>
      <c r="AA75" s="23">
        <f>IFERROR(Z75/Z148, "NA")</f>
        <v>0</v>
      </c>
      <c r="AB75" s="59">
        <f t="shared" si="37"/>
        <v>0</v>
      </c>
      <c r="AC75" s="23">
        <f>IFERROR(AB75/AB148, "NA")</f>
        <v>0</v>
      </c>
      <c r="AD75" s="61">
        <f t="shared" si="38"/>
        <v>0</v>
      </c>
      <c r="AE75" s="63">
        <f>IFERROR(AD75/AD148, "NA")</f>
        <v>0</v>
      </c>
      <c r="AF75" s="61" t="str">
        <f t="shared" si="39"/>
        <v>NA</v>
      </c>
      <c r="AG75" s="59">
        <f t="shared" si="40"/>
        <v>0</v>
      </c>
      <c r="AH75" s="23">
        <f>IFERROR(AG75/AG148, "NA")</f>
        <v>0</v>
      </c>
      <c r="AI75" s="61">
        <f t="shared" si="41"/>
        <v>0</v>
      </c>
      <c r="AJ75" s="63">
        <f>IFERROR(AI75/AI148, "NA")</f>
        <v>0</v>
      </c>
      <c r="AK75" s="61" t="str">
        <f t="shared" si="42"/>
        <v>NA</v>
      </c>
      <c r="AL75" s="63" t="str">
        <f>IFERROR(AK75/AK148, "NA")</f>
        <v>NA</v>
      </c>
    </row>
    <row r="76" ht="16.5" hidden="1" customHeight="1">
      <c r="A76" s="26" t="s">
        <v>184</v>
      </c>
      <c r="B76" s="27">
        <v>0.0</v>
      </c>
      <c r="C76" s="23">
        <f>IFERROR(B76/B148, "NA")</f>
        <v>0</v>
      </c>
      <c r="D76" s="27">
        <v>0.0</v>
      </c>
      <c r="E76" s="23">
        <f>IFERROR(D76/D148, "NA")</f>
        <v>0</v>
      </c>
      <c r="F76" s="27">
        <v>0.0</v>
      </c>
      <c r="G76" s="23">
        <f>IFERROR(F76/F148, "NA")</f>
        <v>0</v>
      </c>
      <c r="H76" s="27">
        <v>0.0</v>
      </c>
      <c r="I76" s="23">
        <f>IFERROR(H76/H148, "NA")</f>
        <v>0</v>
      </c>
      <c r="J76" s="27">
        <v>0.0</v>
      </c>
      <c r="K76" s="23">
        <f>IFERROR(J76/J148, "NA")</f>
        <v>0</v>
      </c>
      <c r="L76" s="27">
        <v>0.0</v>
      </c>
      <c r="M76" s="23">
        <f>IFERROR(L76/L148, "NA")</f>
        <v>0</v>
      </c>
      <c r="N76" s="27">
        <v>0.0</v>
      </c>
      <c r="O76" s="23">
        <f>IFERROR(N76/N148, "NA")</f>
        <v>0</v>
      </c>
      <c r="P76" s="27">
        <v>0.0</v>
      </c>
      <c r="Q76" s="23">
        <f>IFERROR(P76/P148, "NA")</f>
        <v>0</v>
      </c>
      <c r="R76" s="27">
        <v>0.0</v>
      </c>
      <c r="S76" s="23">
        <f>IFERROR(R76/R148, "NA")</f>
        <v>0</v>
      </c>
      <c r="T76" s="27">
        <v>0.0</v>
      </c>
      <c r="U76" s="23">
        <f>IFERROR(T76/T148, "NA")</f>
        <v>0</v>
      </c>
      <c r="V76" s="27">
        <v>0.0</v>
      </c>
      <c r="W76" s="23">
        <f>IFERROR(V76/V148, "NA")</f>
        <v>0</v>
      </c>
      <c r="X76" s="27">
        <v>0.0</v>
      </c>
      <c r="Y76" s="23">
        <f>IFERROR(X76/X148, "NA")</f>
        <v>0</v>
      </c>
      <c r="Z76" s="27">
        <v>0.0</v>
      </c>
      <c r="AA76" s="23">
        <f>IFERROR(Z76/Z148, "NA")</f>
        <v>0</v>
      </c>
      <c r="AB76" s="59">
        <f t="shared" si="37"/>
        <v>0</v>
      </c>
      <c r="AC76" s="23">
        <f>IFERROR(AB76/AB148, "NA")</f>
        <v>0</v>
      </c>
      <c r="AD76" s="61">
        <f t="shared" si="38"/>
        <v>0</v>
      </c>
      <c r="AE76" s="63">
        <f>IFERROR(AD76/AD148, "NA")</f>
        <v>0</v>
      </c>
      <c r="AF76" s="61" t="str">
        <f t="shared" si="39"/>
        <v>NA</v>
      </c>
      <c r="AG76" s="59">
        <f t="shared" si="40"/>
        <v>0</v>
      </c>
      <c r="AH76" s="23">
        <f>IFERROR(AG76/AG148, "NA")</f>
        <v>0</v>
      </c>
      <c r="AI76" s="61">
        <f t="shared" si="41"/>
        <v>0</v>
      </c>
      <c r="AJ76" s="63">
        <f>IFERROR(AI76/AI148, "NA")</f>
        <v>0</v>
      </c>
      <c r="AK76" s="61" t="str">
        <f t="shared" si="42"/>
        <v>NA</v>
      </c>
      <c r="AL76" s="63" t="str">
        <f>IFERROR(AK76/AK148, "NA")</f>
        <v>NA</v>
      </c>
    </row>
    <row r="77" ht="16.5" hidden="1" customHeight="1">
      <c r="A77" s="26" t="s">
        <v>185</v>
      </c>
      <c r="B77" s="27">
        <v>0.0</v>
      </c>
      <c r="C77" s="23">
        <f>IFERROR(B77/B148, "NA")</f>
        <v>0</v>
      </c>
      <c r="D77" s="27">
        <v>0.0</v>
      </c>
      <c r="E77" s="23">
        <f>IFERROR(D77/D148, "NA")</f>
        <v>0</v>
      </c>
      <c r="F77" s="27">
        <v>0.0</v>
      </c>
      <c r="G77" s="23">
        <f>IFERROR(F77/F148, "NA")</f>
        <v>0</v>
      </c>
      <c r="H77" s="27">
        <v>0.0</v>
      </c>
      <c r="I77" s="23">
        <f>IFERROR(H77/H148, "NA")</f>
        <v>0</v>
      </c>
      <c r="J77" s="27">
        <v>0.0</v>
      </c>
      <c r="K77" s="23">
        <f>IFERROR(J77/J148, "NA")</f>
        <v>0</v>
      </c>
      <c r="L77" s="27">
        <v>0.0</v>
      </c>
      <c r="M77" s="23">
        <f>IFERROR(L77/L148, "NA")</f>
        <v>0</v>
      </c>
      <c r="N77" s="27">
        <v>0.0</v>
      </c>
      <c r="O77" s="23">
        <f>IFERROR(N77/N148, "NA")</f>
        <v>0</v>
      </c>
      <c r="P77" s="27">
        <v>0.0</v>
      </c>
      <c r="Q77" s="23">
        <f>IFERROR(P77/P148, "NA")</f>
        <v>0</v>
      </c>
      <c r="R77" s="27">
        <v>0.0</v>
      </c>
      <c r="S77" s="23">
        <f>IFERROR(R77/R148, "NA")</f>
        <v>0</v>
      </c>
      <c r="T77" s="27">
        <v>0.0</v>
      </c>
      <c r="U77" s="23">
        <f>IFERROR(T77/T148, "NA")</f>
        <v>0</v>
      </c>
      <c r="V77" s="27">
        <v>0.0</v>
      </c>
      <c r="W77" s="23">
        <f>IFERROR(V77/V148, "NA")</f>
        <v>0</v>
      </c>
      <c r="X77" s="27">
        <v>0.0</v>
      </c>
      <c r="Y77" s="23">
        <f>IFERROR(X77/X148, "NA")</f>
        <v>0</v>
      </c>
      <c r="Z77" s="27">
        <v>0.0</v>
      </c>
      <c r="AA77" s="23">
        <f>IFERROR(Z77/Z148, "NA")</f>
        <v>0</v>
      </c>
      <c r="AB77" s="59">
        <f t="shared" si="37"/>
        <v>0</v>
      </c>
      <c r="AC77" s="23">
        <f>IFERROR(AB77/AB148, "NA")</f>
        <v>0</v>
      </c>
      <c r="AD77" s="61">
        <f t="shared" si="38"/>
        <v>0</v>
      </c>
      <c r="AE77" s="63">
        <f>IFERROR(AD77/AD148, "NA")</f>
        <v>0</v>
      </c>
      <c r="AF77" s="61" t="str">
        <f t="shared" si="39"/>
        <v>NA</v>
      </c>
      <c r="AG77" s="59">
        <f t="shared" si="40"/>
        <v>0</v>
      </c>
      <c r="AH77" s="23">
        <f>IFERROR(AG77/AG148, "NA")</f>
        <v>0</v>
      </c>
      <c r="AI77" s="61">
        <f t="shared" si="41"/>
        <v>0</v>
      </c>
      <c r="AJ77" s="63">
        <f>IFERROR(AI77/AI148, "NA")</f>
        <v>0</v>
      </c>
      <c r="AK77" s="61" t="str">
        <f t="shared" si="42"/>
        <v>NA</v>
      </c>
      <c r="AL77" s="63" t="str">
        <f>IFERROR(AK77/AK148, "NA")</f>
        <v>NA</v>
      </c>
    </row>
    <row r="78" ht="16.5" hidden="1" customHeight="1">
      <c r="A78" s="26" t="s">
        <v>186</v>
      </c>
      <c r="B78" s="27">
        <v>0.0</v>
      </c>
      <c r="C78" s="23">
        <f>IFERROR(B78/B148, "NA")</f>
        <v>0</v>
      </c>
      <c r="D78" s="27">
        <v>0.0</v>
      </c>
      <c r="E78" s="23">
        <f>IFERROR(D78/D148, "NA")</f>
        <v>0</v>
      </c>
      <c r="F78" s="27">
        <v>0.0</v>
      </c>
      <c r="G78" s="23">
        <f>IFERROR(F78/F148, "NA")</f>
        <v>0</v>
      </c>
      <c r="H78" s="27">
        <v>0.0</v>
      </c>
      <c r="I78" s="23">
        <f>IFERROR(H78/H148, "NA")</f>
        <v>0</v>
      </c>
      <c r="J78" s="27">
        <v>0.0</v>
      </c>
      <c r="K78" s="23">
        <f>IFERROR(J78/J148, "NA")</f>
        <v>0</v>
      </c>
      <c r="L78" s="27">
        <v>0.0</v>
      </c>
      <c r="M78" s="23">
        <f>IFERROR(L78/L148, "NA")</f>
        <v>0</v>
      </c>
      <c r="N78" s="27">
        <v>0.0</v>
      </c>
      <c r="O78" s="23">
        <f>IFERROR(N78/N148, "NA")</f>
        <v>0</v>
      </c>
      <c r="P78" s="27">
        <v>0.0</v>
      </c>
      <c r="Q78" s="23">
        <f>IFERROR(P78/P148, "NA")</f>
        <v>0</v>
      </c>
      <c r="R78" s="27">
        <v>0.0</v>
      </c>
      <c r="S78" s="23">
        <f>IFERROR(R78/R148, "NA")</f>
        <v>0</v>
      </c>
      <c r="T78" s="27">
        <v>0.0</v>
      </c>
      <c r="U78" s="23">
        <f>IFERROR(T78/T148, "NA")</f>
        <v>0</v>
      </c>
      <c r="V78" s="27">
        <v>0.0</v>
      </c>
      <c r="W78" s="23">
        <f>IFERROR(V78/V148, "NA")</f>
        <v>0</v>
      </c>
      <c r="X78" s="27">
        <v>0.0</v>
      </c>
      <c r="Y78" s="23">
        <f>IFERROR(X78/X148, "NA")</f>
        <v>0</v>
      </c>
      <c r="Z78" s="27">
        <v>0.0</v>
      </c>
      <c r="AA78" s="23">
        <f>IFERROR(Z78/Z148, "NA")</f>
        <v>0</v>
      </c>
      <c r="AB78" s="59">
        <f t="shared" si="37"/>
        <v>0</v>
      </c>
      <c r="AC78" s="23">
        <f>IFERROR(AB78/AB148, "NA")</f>
        <v>0</v>
      </c>
      <c r="AD78" s="61">
        <f t="shared" si="38"/>
        <v>0</v>
      </c>
      <c r="AE78" s="63">
        <f>IFERROR(AD78/AD148, "NA")</f>
        <v>0</v>
      </c>
      <c r="AF78" s="61" t="str">
        <f t="shared" si="39"/>
        <v>NA</v>
      </c>
      <c r="AG78" s="59">
        <f t="shared" si="40"/>
        <v>0</v>
      </c>
      <c r="AH78" s="23">
        <f>IFERROR(AG78/AG148, "NA")</f>
        <v>0</v>
      </c>
      <c r="AI78" s="61">
        <f t="shared" si="41"/>
        <v>0</v>
      </c>
      <c r="AJ78" s="63">
        <f>IFERROR(AI78/AI148, "NA")</f>
        <v>0</v>
      </c>
      <c r="AK78" s="61" t="str">
        <f t="shared" si="42"/>
        <v>NA</v>
      </c>
      <c r="AL78" s="63" t="str">
        <f>IFERROR(AK78/AK148, "NA")</f>
        <v>NA</v>
      </c>
    </row>
    <row r="79" ht="16.5" hidden="1" customHeight="1">
      <c r="A79" s="26" t="s">
        <v>187</v>
      </c>
      <c r="B79" s="27">
        <v>0.0</v>
      </c>
      <c r="C79" s="23">
        <f>IFERROR(B79/B148, "NA")</f>
        <v>0</v>
      </c>
      <c r="D79" s="27">
        <v>0.0</v>
      </c>
      <c r="E79" s="23">
        <f>IFERROR(D79/D148, "NA")</f>
        <v>0</v>
      </c>
      <c r="F79" s="27">
        <v>0.0</v>
      </c>
      <c r="G79" s="23">
        <f>IFERROR(F79/F148, "NA")</f>
        <v>0</v>
      </c>
      <c r="H79" s="27">
        <v>0.0</v>
      </c>
      <c r="I79" s="23">
        <f>IFERROR(H79/H148, "NA")</f>
        <v>0</v>
      </c>
      <c r="J79" s="27">
        <v>0.0</v>
      </c>
      <c r="K79" s="23">
        <f>IFERROR(J79/J148, "NA")</f>
        <v>0</v>
      </c>
      <c r="L79" s="27">
        <v>0.0</v>
      </c>
      <c r="M79" s="23">
        <f>IFERROR(L79/L148, "NA")</f>
        <v>0</v>
      </c>
      <c r="N79" s="27">
        <v>0.0</v>
      </c>
      <c r="O79" s="23">
        <f>IFERROR(N79/N148, "NA")</f>
        <v>0</v>
      </c>
      <c r="P79" s="27">
        <v>0.0</v>
      </c>
      <c r="Q79" s="23">
        <f>IFERROR(P79/P148, "NA")</f>
        <v>0</v>
      </c>
      <c r="R79" s="27">
        <v>0.0</v>
      </c>
      <c r="S79" s="23">
        <f>IFERROR(R79/R148, "NA")</f>
        <v>0</v>
      </c>
      <c r="T79" s="27">
        <v>0.0</v>
      </c>
      <c r="U79" s="23">
        <f>IFERROR(T79/T148, "NA")</f>
        <v>0</v>
      </c>
      <c r="V79" s="27">
        <v>0.0</v>
      </c>
      <c r="W79" s="23">
        <f>IFERROR(V79/V148, "NA")</f>
        <v>0</v>
      </c>
      <c r="X79" s="27">
        <v>0.0</v>
      </c>
      <c r="Y79" s="23">
        <f>IFERROR(X79/X148, "NA")</f>
        <v>0</v>
      </c>
      <c r="Z79" s="27">
        <v>0.0</v>
      </c>
      <c r="AA79" s="23">
        <f>IFERROR(Z79/Z148, "NA")</f>
        <v>0</v>
      </c>
      <c r="AB79" s="59">
        <f t="shared" si="37"/>
        <v>0</v>
      </c>
      <c r="AC79" s="23">
        <f>IFERROR(AB79/AB148, "NA")</f>
        <v>0</v>
      </c>
      <c r="AD79" s="61">
        <f t="shared" si="38"/>
        <v>0</v>
      </c>
      <c r="AE79" s="63">
        <f>IFERROR(AD79/AD148, "NA")</f>
        <v>0</v>
      </c>
      <c r="AF79" s="61" t="str">
        <f t="shared" si="39"/>
        <v>NA</v>
      </c>
      <c r="AG79" s="59">
        <f t="shared" si="40"/>
        <v>0</v>
      </c>
      <c r="AH79" s="23">
        <f>IFERROR(AG79/AG148, "NA")</f>
        <v>0</v>
      </c>
      <c r="AI79" s="61">
        <f t="shared" si="41"/>
        <v>0</v>
      </c>
      <c r="AJ79" s="63">
        <f>IFERROR(AI79/AI148, "NA")</f>
        <v>0</v>
      </c>
      <c r="AK79" s="61" t="str">
        <f t="shared" si="42"/>
        <v>NA</v>
      </c>
      <c r="AL79" s="63" t="str">
        <f>IFERROR(AK79/AK148, "NA")</f>
        <v>NA</v>
      </c>
    </row>
    <row r="80" ht="16.5" hidden="1" customHeight="1">
      <c r="A80" s="26" t="s">
        <v>188</v>
      </c>
      <c r="B80" s="27">
        <v>0.0</v>
      </c>
      <c r="C80" s="23">
        <f>IFERROR(B80/B148, "NA")</f>
        <v>0</v>
      </c>
      <c r="D80" s="27">
        <v>0.0</v>
      </c>
      <c r="E80" s="23">
        <f>IFERROR(D80/D148, "NA")</f>
        <v>0</v>
      </c>
      <c r="F80" s="27">
        <v>0.0</v>
      </c>
      <c r="G80" s="23">
        <f>IFERROR(F80/F148, "NA")</f>
        <v>0</v>
      </c>
      <c r="H80" s="27">
        <v>0.0</v>
      </c>
      <c r="I80" s="23">
        <f>IFERROR(H80/H148, "NA")</f>
        <v>0</v>
      </c>
      <c r="J80" s="27">
        <v>0.0</v>
      </c>
      <c r="K80" s="23">
        <f>IFERROR(J80/J148, "NA")</f>
        <v>0</v>
      </c>
      <c r="L80" s="27">
        <v>0.0</v>
      </c>
      <c r="M80" s="23">
        <f>IFERROR(L80/L148, "NA")</f>
        <v>0</v>
      </c>
      <c r="N80" s="27">
        <v>0.0</v>
      </c>
      <c r="O80" s="23">
        <f>IFERROR(N80/N148, "NA")</f>
        <v>0</v>
      </c>
      <c r="P80" s="27">
        <v>0.0</v>
      </c>
      <c r="Q80" s="23">
        <f>IFERROR(P80/P148, "NA")</f>
        <v>0</v>
      </c>
      <c r="R80" s="27">
        <v>0.0</v>
      </c>
      <c r="S80" s="23">
        <f>IFERROR(R80/R148, "NA")</f>
        <v>0</v>
      </c>
      <c r="T80" s="27">
        <v>0.0</v>
      </c>
      <c r="U80" s="23">
        <f>IFERROR(T80/T148, "NA")</f>
        <v>0</v>
      </c>
      <c r="V80" s="27">
        <v>0.0</v>
      </c>
      <c r="W80" s="23">
        <f>IFERROR(V80/V148, "NA")</f>
        <v>0</v>
      </c>
      <c r="X80" s="27">
        <v>0.0</v>
      </c>
      <c r="Y80" s="23">
        <f>IFERROR(X80/X148, "NA")</f>
        <v>0</v>
      </c>
      <c r="Z80" s="27">
        <v>0.0</v>
      </c>
      <c r="AA80" s="23">
        <f>IFERROR(Z80/Z148, "NA")</f>
        <v>0</v>
      </c>
      <c r="AB80" s="59">
        <f t="shared" si="37"/>
        <v>0</v>
      </c>
      <c r="AC80" s="23">
        <f>IFERROR(AB80/AB148, "NA")</f>
        <v>0</v>
      </c>
      <c r="AD80" s="61">
        <f t="shared" si="38"/>
        <v>0</v>
      </c>
      <c r="AE80" s="63">
        <f>IFERROR(AD80/AD148, "NA")</f>
        <v>0</v>
      </c>
      <c r="AF80" s="61" t="str">
        <f t="shared" si="39"/>
        <v>NA</v>
      </c>
      <c r="AG80" s="59">
        <f t="shared" si="40"/>
        <v>0</v>
      </c>
      <c r="AH80" s="23">
        <f>IFERROR(AG80/AG148, "NA")</f>
        <v>0</v>
      </c>
      <c r="AI80" s="61">
        <f t="shared" si="41"/>
        <v>0</v>
      </c>
      <c r="AJ80" s="63">
        <f>IFERROR(AI80/AI148, "NA")</f>
        <v>0</v>
      </c>
      <c r="AK80" s="61" t="str">
        <f t="shared" si="42"/>
        <v>NA</v>
      </c>
      <c r="AL80" s="63" t="str">
        <f>IFERROR(AK80/AK148, "NA")</f>
        <v>NA</v>
      </c>
    </row>
    <row r="81" ht="16.5" customHeight="1">
      <c r="A81" s="66" t="s">
        <v>189</v>
      </c>
      <c r="B81" s="67">
        <f>IFERROR(B74+B75+B76+B77+B78+B79+B80, "NA")</f>
        <v>1022.01</v>
      </c>
      <c r="C81" s="69">
        <f>IFERROR(B81/B148, "NA")</f>
        <v>0.02649112193</v>
      </c>
      <c r="D81" s="67">
        <f>IFERROR(D74+D75+D76+D77+D78+D79+D80, "NA")</f>
        <v>909.38</v>
      </c>
      <c r="E81" s="69">
        <f>IFERROR(D81/D148, "NA")</f>
        <v>0.02023026616</v>
      </c>
      <c r="F81" s="67">
        <f>IFERROR(F74+F75+F76+F77+F78+F79+F80, "NA")</f>
        <v>822.59</v>
      </c>
      <c r="G81" s="69">
        <f>IFERROR(F81/F148, "NA")</f>
        <v>0.01996382393</v>
      </c>
      <c r="H81" s="67">
        <f>IFERROR(H74+H75+H76+H77+H78+H79+H80, "NA")</f>
        <v>824.97</v>
      </c>
      <c r="I81" s="69">
        <f>IFERROR(H81/H148, "NA")</f>
        <v>0.02128746084</v>
      </c>
      <c r="J81" s="67">
        <f>IFERROR(J74+J75+J76+J77+J78+J79+J80, "NA")</f>
        <v>885.74</v>
      </c>
      <c r="K81" s="69">
        <f>IFERROR(J81/J148, "NA")</f>
        <v>0.01693389998</v>
      </c>
      <c r="L81" s="67">
        <f>IFERROR(L74+L75+L76+L77+L78+L79+L80, "NA")</f>
        <v>925.42</v>
      </c>
      <c r="M81" s="69">
        <f>IFERROR(L81/L148, "NA")</f>
        <v>0.01830977918</v>
      </c>
      <c r="N81" s="67">
        <f>IFERROR(N74+N75+N76+N77+N78+N79+N80, "NA")</f>
        <v>868.41</v>
      </c>
      <c r="O81" s="69">
        <f>IFERROR(N81/N148, "NA")</f>
        <v>0.01836384741</v>
      </c>
      <c r="P81" s="67">
        <f>IFERROR(P74+P75+P76+P77+P78+P79+P80, "NA")</f>
        <v>849.49</v>
      </c>
      <c r="Q81" s="69">
        <f>IFERROR(P81/P148, "NA")</f>
        <v>0.01767924825</v>
      </c>
      <c r="R81" s="67">
        <f>IFERROR(R74+R75+R76+R77+R78+R79+R80, "NA")</f>
        <v>837.16</v>
      </c>
      <c r="S81" s="69">
        <f>IFERROR(R81/R148, "NA")</f>
        <v>0.01972417816</v>
      </c>
      <c r="T81" s="67">
        <f>IFERROR(T74+T75+T76+T77+T78+T79+T80, "NA")</f>
        <v>1103.42</v>
      </c>
      <c r="U81" s="69">
        <f>IFERROR(T81/T148, "NA")</f>
        <v>0.01829136486</v>
      </c>
      <c r="V81" s="67">
        <f>IFERROR(V74+V75+V76+V77+V78+V79+V80, "NA")</f>
        <v>1116.15</v>
      </c>
      <c r="W81" s="69">
        <f>IFERROR(V81/V148, "NA")</f>
        <v>0.01899140278</v>
      </c>
      <c r="X81" s="67">
        <f>IFERROR(X74+X75+X76+X77+X78+X79+X80, "NA")</f>
        <v>1016.17</v>
      </c>
      <c r="Y81" s="69">
        <f>IFERROR(X81/X148, "NA")</f>
        <v>0.02186391859</v>
      </c>
      <c r="Z81" s="67">
        <f>IFERROR(Z74+Z75+Z76+Z77+Z78+Z79+Z80, "NA")</f>
        <v>4072.9</v>
      </c>
      <c r="AA81" s="69">
        <f>IFERROR(Z81/Z148, "NA")</f>
        <v>0.01957971186</v>
      </c>
      <c r="AB81" s="67">
        <f t="shared" si="37"/>
        <v>1018.225</v>
      </c>
      <c r="AC81" s="69">
        <f>IFERROR(AB81/AB148, "NA")</f>
        <v>0.01957971186</v>
      </c>
      <c r="AD81" s="70">
        <f t="shared" si="38"/>
        <v>-2.055</v>
      </c>
      <c r="AE81" s="71">
        <f>IFERROR(AD81/AD148, "NA")</f>
        <v>0.0003718074092</v>
      </c>
      <c r="AF81" s="70">
        <f t="shared" si="39"/>
        <v>-0.002018217977</v>
      </c>
      <c r="AG81" s="67">
        <f t="shared" si="40"/>
        <v>950.245</v>
      </c>
      <c r="AH81" s="69">
        <f>IFERROR(AG81/AG148, "NA")</f>
        <v>0.01871465028</v>
      </c>
      <c r="AI81" s="70">
        <f t="shared" si="41"/>
        <v>65.925</v>
      </c>
      <c r="AJ81" s="71">
        <f>IFERROR(AI81/AI148, "NA")</f>
        <v>-0.01533699068</v>
      </c>
      <c r="AK81" s="70">
        <f t="shared" si="42"/>
        <v>0.06937684492</v>
      </c>
      <c r="AL81" s="71">
        <f>IFERROR(AK81/AK148, "NA")</f>
        <v>-0.8195178883</v>
      </c>
    </row>
    <row r="82" ht="16.5" customHeight="1">
      <c r="A82" s="26" t="s">
        <v>190</v>
      </c>
      <c r="B82" s="27">
        <v>0.0</v>
      </c>
      <c r="C82" s="23">
        <f>IFERROR(B82/B148, "NA")</f>
        <v>0</v>
      </c>
      <c r="D82" s="27">
        <v>0.0</v>
      </c>
      <c r="E82" s="23">
        <f>IFERROR(D82/D148, "NA")</f>
        <v>0</v>
      </c>
      <c r="F82" s="27">
        <v>0.0</v>
      </c>
      <c r="G82" s="23">
        <f>IFERROR(F82/F148, "NA")</f>
        <v>0</v>
      </c>
      <c r="H82" s="27">
        <v>262.88</v>
      </c>
      <c r="I82" s="23">
        <f>IFERROR(H82/H148, "NA")</f>
        <v>0.006783334796</v>
      </c>
      <c r="J82" s="27">
        <v>0.0</v>
      </c>
      <c r="K82" s="23">
        <f>IFERROR(J82/J148, "NA")</f>
        <v>0</v>
      </c>
      <c r="L82" s="27">
        <v>0.0</v>
      </c>
      <c r="M82" s="23">
        <f>IFERROR(L82/L148, "NA")</f>
        <v>0</v>
      </c>
      <c r="N82" s="27">
        <v>0.0</v>
      </c>
      <c r="O82" s="23">
        <f>IFERROR(N82/N148, "NA")</f>
        <v>0</v>
      </c>
      <c r="P82" s="27">
        <v>0.0</v>
      </c>
      <c r="Q82" s="23">
        <f>IFERROR(P82/P148, "NA")</f>
        <v>0</v>
      </c>
      <c r="R82" s="27">
        <v>224.72</v>
      </c>
      <c r="S82" s="23">
        <f>IFERROR(R82/R148, "NA")</f>
        <v>0.005294588032</v>
      </c>
      <c r="T82" s="27">
        <v>0.0</v>
      </c>
      <c r="U82" s="23">
        <f>IFERROR(T82/T148, "NA")</f>
        <v>0</v>
      </c>
      <c r="V82" s="27">
        <v>0.0</v>
      </c>
      <c r="W82" s="23">
        <f>IFERROR(V82/V148, "NA")</f>
        <v>0</v>
      </c>
      <c r="X82" s="27">
        <v>0.0</v>
      </c>
      <c r="Y82" s="23">
        <f>IFERROR(X82/X148, "NA")</f>
        <v>0</v>
      </c>
      <c r="Z82" s="27">
        <v>224.72</v>
      </c>
      <c r="AA82" s="23">
        <f>IFERROR(Z82/Z148, "NA")</f>
        <v>0.00108029975</v>
      </c>
      <c r="AB82" s="59">
        <f t="shared" si="37"/>
        <v>56.18</v>
      </c>
      <c r="AC82" s="23">
        <f>IFERROR(AB82/AB148, "NA")</f>
        <v>0.00108029975</v>
      </c>
      <c r="AD82" s="61">
        <f t="shared" si="38"/>
        <v>-56.18</v>
      </c>
      <c r="AE82" s="63">
        <f>IFERROR(AD82/AD148, "NA")</f>
        <v>0.01016454513</v>
      </c>
      <c r="AF82" s="61">
        <f t="shared" si="39"/>
        <v>-1</v>
      </c>
      <c r="AG82" s="59">
        <f t="shared" si="40"/>
        <v>28.09</v>
      </c>
      <c r="AH82" s="23">
        <f>IFERROR(AG82/AG148, "NA")</f>
        <v>0.0005532199868</v>
      </c>
      <c r="AI82" s="61">
        <f t="shared" si="41"/>
        <v>-28.09</v>
      </c>
      <c r="AJ82" s="63">
        <f>IFERROR(AI82/AI148, "NA")</f>
        <v>0.006534942254</v>
      </c>
      <c r="AK82" s="61">
        <f t="shared" si="42"/>
        <v>-1</v>
      </c>
      <c r="AL82" s="63">
        <f>IFERROR(AK82/AK148, "NA")</f>
        <v>11.81255633</v>
      </c>
    </row>
    <row r="83" ht="16.5" customHeight="1">
      <c r="A83" s="26" t="s">
        <v>191</v>
      </c>
      <c r="B83" s="27">
        <v>-61.25</v>
      </c>
      <c r="C83" s="23">
        <f>IFERROR(B83/B148, "NA")</f>
        <v>-0.001587637321</v>
      </c>
      <c r="D83" s="27">
        <v>423.12</v>
      </c>
      <c r="E83" s="23">
        <f>IFERROR(D83/D148, "NA")</f>
        <v>0.009412819962</v>
      </c>
      <c r="F83" s="27">
        <v>-61.25</v>
      </c>
      <c r="G83" s="23">
        <f>IFERROR(F83/F148, "NA")</f>
        <v>-0.001486505082</v>
      </c>
      <c r="H83" s="27">
        <v>-61.25</v>
      </c>
      <c r="I83" s="23">
        <f>IFERROR(H83/H148, "NA")</f>
        <v>-0.001580490171</v>
      </c>
      <c r="J83" s="27">
        <v>-61.25</v>
      </c>
      <c r="K83" s="23">
        <f>IFERROR(J83/J148, "NA")</f>
        <v>-0.001170999812</v>
      </c>
      <c r="L83" s="27">
        <v>-61.25</v>
      </c>
      <c r="M83" s="23">
        <f>IFERROR(L83/L148, "NA")</f>
        <v>-0.00121185405</v>
      </c>
      <c r="N83" s="27">
        <v>423.12</v>
      </c>
      <c r="O83" s="23">
        <f>IFERROR(N83/N148, "NA")</f>
        <v>0.008947514555</v>
      </c>
      <c r="P83" s="27">
        <v>-61.25</v>
      </c>
      <c r="Q83" s="23">
        <f>IFERROR(P83/P148, "NA")</f>
        <v>-0.001274710656</v>
      </c>
      <c r="R83" s="27">
        <v>-61.25</v>
      </c>
      <c r="S83" s="23">
        <f>IFERROR(R83/R148, "NA")</f>
        <v>-0.001443100378</v>
      </c>
      <c r="T83" s="27">
        <v>50.53</v>
      </c>
      <c r="U83" s="23">
        <f>IFERROR(T83/T148, "NA")</f>
        <v>0.0008376345056</v>
      </c>
      <c r="V83" s="27">
        <v>484.37</v>
      </c>
      <c r="W83" s="23">
        <f>IFERROR(V83/V148, "NA")</f>
        <v>0.008241603517</v>
      </c>
      <c r="X83" s="27">
        <v>0.0</v>
      </c>
      <c r="Y83" s="23">
        <f>IFERROR(X83/X148, "NA")</f>
        <v>0</v>
      </c>
      <c r="Z83" s="27">
        <v>473.65</v>
      </c>
      <c r="AA83" s="23">
        <f>IFERROR(Z83/Z148, "NA")</f>
        <v>0.002276984587</v>
      </c>
      <c r="AB83" s="59">
        <f t="shared" si="37"/>
        <v>118.4125</v>
      </c>
      <c r="AC83" s="23">
        <f>IFERROR(AB83/AB148, "NA")</f>
        <v>0.002276984587</v>
      </c>
      <c r="AD83" s="61">
        <f t="shared" si="38"/>
        <v>-118.4125</v>
      </c>
      <c r="AE83" s="63">
        <f>IFERROR(AD83/AD148, "NA")</f>
        <v>0.02142415807</v>
      </c>
      <c r="AF83" s="61">
        <f t="shared" si="39"/>
        <v>-1</v>
      </c>
      <c r="AG83" s="59">
        <f t="shared" si="40"/>
        <v>89.1275</v>
      </c>
      <c r="AH83" s="23">
        <f>IFERROR(AG83/AG148, "NA")</f>
        <v>0.00175532625</v>
      </c>
      <c r="AI83" s="61">
        <f t="shared" si="41"/>
        <v>-89.1275</v>
      </c>
      <c r="AJ83" s="63">
        <f>IFERROR(AI83/AI148, "NA")</f>
        <v>0.0207348902</v>
      </c>
      <c r="AK83" s="61">
        <f t="shared" si="42"/>
        <v>-1</v>
      </c>
      <c r="AL83" s="63">
        <f>IFERROR(AK83/AK148, "NA")</f>
        <v>11.81255633</v>
      </c>
    </row>
    <row r="84" ht="16.5" customHeight="1">
      <c r="A84" s="66" t="s">
        <v>53</v>
      </c>
      <c r="B84" s="67">
        <f>IFERROR(B63+B65+B66+B67+B68+B69+B71+B72+B74+B75+B76+B77+B78+B79+B80+B82+B83, "NA")</f>
        <v>9524.22</v>
      </c>
      <c r="C84" s="69">
        <f>IFERROR(B84/B148, "NA")</f>
        <v>0.2468735857</v>
      </c>
      <c r="D84" s="67">
        <f>IFERROR(D63+D65+D66+D67+D68+D69+D71+D72+D74+D75+D76+D77+D78+D79+D80+D82+D83, "NA")</f>
        <v>10592.04</v>
      </c>
      <c r="E84" s="69">
        <f>IFERROR(D84/D148, "NA")</f>
        <v>0.235632836</v>
      </c>
      <c r="F84" s="67">
        <f>IFERROR(F63+F65+F66+F67+F68+F69+F71+F72+F74+F75+F76+F77+F78+F79+F80+F82+F83, "NA")</f>
        <v>9955.07</v>
      </c>
      <c r="G84" s="69">
        <f>IFERROR(F84/F148, "NA")</f>
        <v>0.24160428</v>
      </c>
      <c r="H84" s="67">
        <f>IFERROR(H63+H65+H66+H67+H68+H69+H71+H72+H74+H75+H76+H77+H78+H79+H80+H82+H83, "NA")</f>
        <v>9432.33</v>
      </c>
      <c r="I84" s="69">
        <f>IFERROR(H84/H148, "NA")</f>
        <v>0.2433910997</v>
      </c>
      <c r="J84" s="67">
        <f>IFERROR(J63+J65+J66+J67+J68+J69+J71+J72+J74+J75+J76+J77+J78+J79+J80+J82+J83, "NA")</f>
        <v>9916.45</v>
      </c>
      <c r="K84" s="69">
        <f>IFERROR(J84/J148, "NA")</f>
        <v>0.1895863035</v>
      </c>
      <c r="L84" s="67">
        <f>IFERROR(L63+L65+L66+L67+L68+L69+L71+L72+L74+L75+L76+L77+L78+L79+L80+L82+L83, "NA")</f>
        <v>10125.43</v>
      </c>
      <c r="M84" s="69">
        <f>IFERROR(L84/L148, "NA")</f>
        <v>0.2003354016</v>
      </c>
      <c r="N84" s="67">
        <f>IFERROR(N63+N65+N66+N67+N68+N69+N71+N72+N74+N75+N76+N77+N78+N79+N80+N82+N83, "NA")</f>
        <v>10208.45</v>
      </c>
      <c r="O84" s="69">
        <f>IFERROR(N84/N148, "NA")</f>
        <v>0.2158731683</v>
      </c>
      <c r="P84" s="67">
        <f>IFERROR(P63+P65+P66+P67+P68+P69+P71+P72+P74+P75+P76+P77+P78+P79+P80+P82+P83, "NA")</f>
        <v>10489.71</v>
      </c>
      <c r="Q84" s="69">
        <f>IFERROR(P84/P148, "NA")</f>
        <v>0.2183076754</v>
      </c>
      <c r="R84" s="67">
        <f>IFERROR(R63+R65+R66+R67+R68+R69+R71+R72+R74+R75+R76+R77+R78+R79+R80+R82+R83, "NA")</f>
        <v>9805.7</v>
      </c>
      <c r="S84" s="69">
        <f>IFERROR(R84/R148, "NA")</f>
        <v>0.2310303572</v>
      </c>
      <c r="T84" s="67">
        <f>IFERROR(T63+T65+T66+T67+T68+T69+T71+T72+T74+T75+T76+T77+T78+T79+T80+T82+T83, "NA")</f>
        <v>12056.48</v>
      </c>
      <c r="U84" s="69">
        <f>IFERROR(T84/T148, "NA")</f>
        <v>0.1998599577</v>
      </c>
      <c r="V84" s="67">
        <f>IFERROR(V63+V65+V66+V67+V68+V69+V71+V72+V74+V75+V76+V77+V78+V79+V80+V82+V83, "NA")</f>
        <v>12605.8</v>
      </c>
      <c r="W84" s="69">
        <f>IFERROR(V84/V148, "NA")</f>
        <v>0.2144889353</v>
      </c>
      <c r="X84" s="67">
        <f>IFERROR(X63+X65+X66+X67+X68+X69+X71+X72+X74+X75+X76+X77+X78+X79+X80+X82+X83, "NA")</f>
        <v>9305.13</v>
      </c>
      <c r="Y84" s="69">
        <f>IFERROR(X84/X148, "NA")</f>
        <v>0.2002092216</v>
      </c>
      <c r="Z84" s="67">
        <f>IFERROR(Z63+Z65+Z66+Z67+Z68+Z69+Z71+Z72+Z74+Z75+Z76+Z77+Z78+Z79+Z80+Z82+Z83, "NA")</f>
        <v>43773.11</v>
      </c>
      <c r="AA84" s="69">
        <f>IFERROR(Z84/Z148, "NA")</f>
        <v>0.2104311132</v>
      </c>
      <c r="AB84" s="67">
        <f t="shared" si="37"/>
        <v>10943.2775</v>
      </c>
      <c r="AC84" s="69">
        <f>IFERROR(AB84/AB148, "NA")</f>
        <v>0.2104311132</v>
      </c>
      <c r="AD84" s="70">
        <f t="shared" si="38"/>
        <v>-1638.1475</v>
      </c>
      <c r="AE84" s="71">
        <f>IFERROR(AD84/AD148, "NA")</f>
        <v>0.2963870452</v>
      </c>
      <c r="AF84" s="70">
        <f t="shared" si="39"/>
        <v>-0.1496944128</v>
      </c>
      <c r="AG84" s="67">
        <f t="shared" si="40"/>
        <v>10564.14375</v>
      </c>
      <c r="AH84" s="69">
        <f>IFERROR(AG84/AG148, "NA")</f>
        <v>0.2080560863</v>
      </c>
      <c r="AI84" s="70">
        <f t="shared" si="41"/>
        <v>-1259.01375</v>
      </c>
      <c r="AJ84" s="71">
        <f>IFERROR(AI84/AI148, "NA")</f>
        <v>0.292900753</v>
      </c>
      <c r="AK84" s="70">
        <f t="shared" si="42"/>
        <v>-0.1191780214</v>
      </c>
      <c r="AL84" s="71">
        <f>IFERROR(AK84/AK148, "NA")</f>
        <v>1.407797091</v>
      </c>
    </row>
    <row r="85" ht="16.5" customHeight="1">
      <c r="A85" s="66" t="s">
        <v>53</v>
      </c>
      <c r="B85" s="115">
        <f>IFERROR(B63+B65+B66+B67+B68+B69+B71+B72+B74+B75+B76+B77+B78+B79+B80+B82+B83, "NA")</f>
        <v>9524.22</v>
      </c>
      <c r="C85" s="96">
        <f>IFERROR(B85/B148, "NA")</f>
        <v>0.2468735857</v>
      </c>
      <c r="D85" s="115">
        <f>IFERROR(D63+D65+D66+D67+D68+D69+D71+D72+D74+D75+D76+D77+D78+D79+D80+D82+D83, "NA")</f>
        <v>10592.04</v>
      </c>
      <c r="E85" s="96">
        <f>IFERROR(D85/D148, "NA")</f>
        <v>0.235632836</v>
      </c>
      <c r="F85" s="115">
        <f>IFERROR(F63+F65+F66+F67+F68+F69+F71+F72+F74+F75+F76+F77+F78+F79+F80+F82+F83, "NA")</f>
        <v>9955.07</v>
      </c>
      <c r="G85" s="96">
        <f>IFERROR(F85/F148, "NA")</f>
        <v>0.24160428</v>
      </c>
      <c r="H85" s="115">
        <f>IFERROR(H63+H65+H66+H67+H68+H69+H71+H72+H74+H75+H76+H77+H78+H79+H80+H82+H83, "NA")</f>
        <v>9432.33</v>
      </c>
      <c r="I85" s="96">
        <f>IFERROR(H85/H148, "NA")</f>
        <v>0.2433910997</v>
      </c>
      <c r="J85" s="115">
        <f>IFERROR(J63+J65+J66+J67+J68+J69+J71+J72+J74+J75+J76+J77+J78+J79+J80+J82+J83, "NA")</f>
        <v>9916.45</v>
      </c>
      <c r="K85" s="96">
        <f>IFERROR(J85/J148, "NA")</f>
        <v>0.1895863035</v>
      </c>
      <c r="L85" s="115">
        <f>IFERROR(L63+L65+L66+L67+L68+L69+L71+L72+L74+L75+L76+L77+L78+L79+L80+L82+L83, "NA")</f>
        <v>10125.43</v>
      </c>
      <c r="M85" s="96">
        <f>IFERROR(L85/L148, "NA")</f>
        <v>0.2003354016</v>
      </c>
      <c r="N85" s="115">
        <f>IFERROR(N63+N65+N66+N67+N68+N69+N71+N72+N74+N75+N76+N77+N78+N79+N80+N82+N83, "NA")</f>
        <v>10208.45</v>
      </c>
      <c r="O85" s="96">
        <f>IFERROR(N85/N148, "NA")</f>
        <v>0.2158731683</v>
      </c>
      <c r="P85" s="115">
        <f>IFERROR(P63+P65+P66+P67+P68+P69+P71+P72+P74+P75+P76+P77+P78+P79+P80+P82+P83, "NA")</f>
        <v>10489.71</v>
      </c>
      <c r="Q85" s="96">
        <f>IFERROR(P85/P148, "NA")</f>
        <v>0.2183076754</v>
      </c>
      <c r="R85" s="115">
        <f>IFERROR(R63+R65+R66+R67+R68+R69+R71+R72+R74+R75+R76+R77+R78+R79+R80+R82+R83, "NA")</f>
        <v>9805.7</v>
      </c>
      <c r="S85" s="96">
        <f>IFERROR(R85/R148, "NA")</f>
        <v>0.2310303572</v>
      </c>
      <c r="T85" s="115">
        <f>IFERROR(T63+T65+T66+T67+T68+T69+T71+T72+T74+T75+T76+T77+T78+T79+T80+T82+T83, "NA")</f>
        <v>12056.48</v>
      </c>
      <c r="U85" s="96">
        <f>IFERROR(T85/T148, "NA")</f>
        <v>0.1998599577</v>
      </c>
      <c r="V85" s="115">
        <f>IFERROR(V63+V65+V66+V67+V68+V69+V71+V72+V74+V75+V76+V77+V78+V79+V80+V82+V83, "NA")</f>
        <v>12605.8</v>
      </c>
      <c r="W85" s="96">
        <f>IFERROR(V85/V148, "NA")</f>
        <v>0.2144889353</v>
      </c>
      <c r="X85" s="115">
        <f>IFERROR(X63+X65+X66+X67+X68+X69+X71+X72+X74+X75+X76+X77+X78+X79+X80+X82+X83, "NA")</f>
        <v>9305.13</v>
      </c>
      <c r="Y85" s="96">
        <f>IFERROR(X85/X148, "NA")</f>
        <v>0.2002092216</v>
      </c>
      <c r="Z85" s="115">
        <f>IFERROR(Z63+Z65+Z66+Z67+Z68+Z69+Z71+Z72+Z74+Z75+Z76+Z77+Z78+Z79+Z80+Z82+Z83, "NA")</f>
        <v>43773.11</v>
      </c>
      <c r="AA85" s="96">
        <f>IFERROR(Z85/Z148, "NA")</f>
        <v>0.2104311132</v>
      </c>
      <c r="AB85" s="115">
        <f t="shared" si="37"/>
        <v>10943.2775</v>
      </c>
      <c r="AC85" s="96">
        <f>IFERROR(AB85/AB148, "NA")</f>
        <v>0.2104311132</v>
      </c>
      <c r="AD85" s="116">
        <f t="shared" si="38"/>
        <v>-1638.1475</v>
      </c>
      <c r="AE85" s="117">
        <f>IFERROR(AD85/AD148, "NA")</f>
        <v>0.2963870452</v>
      </c>
      <c r="AF85" s="116">
        <f t="shared" si="39"/>
        <v>-0.1496944128</v>
      </c>
      <c r="AG85" s="115">
        <f t="shared" si="40"/>
        <v>10564.14375</v>
      </c>
      <c r="AH85" s="96">
        <f>IFERROR(AG85/AG148, "NA")</f>
        <v>0.2080560863</v>
      </c>
      <c r="AI85" s="116">
        <f t="shared" si="41"/>
        <v>-1259.01375</v>
      </c>
      <c r="AJ85" s="117">
        <f>IFERROR(AI85/AI148, "NA")</f>
        <v>0.292900753</v>
      </c>
      <c r="AK85" s="116">
        <f t="shared" si="42"/>
        <v>-0.1191780214</v>
      </c>
      <c r="AL85" s="117">
        <f>IFERROR(AK85/AK148, "NA")</f>
        <v>1.407797091</v>
      </c>
    </row>
    <row r="86" ht="3.75" customHeight="1">
      <c r="A86" s="120" t="s">
        <v>6</v>
      </c>
      <c r="B86" s="121"/>
      <c r="C86" s="76"/>
      <c r="D86" s="121"/>
      <c r="E86" s="76"/>
      <c r="F86" s="121"/>
      <c r="G86" s="76"/>
      <c r="H86" s="121"/>
      <c r="I86" s="76"/>
      <c r="J86" s="121"/>
      <c r="K86" s="76"/>
      <c r="L86" s="121"/>
      <c r="M86" s="76"/>
      <c r="N86" s="121"/>
      <c r="O86" s="76"/>
      <c r="P86" s="121"/>
      <c r="Q86" s="76"/>
      <c r="R86" s="121"/>
      <c r="S86" s="76"/>
      <c r="T86" s="121"/>
      <c r="U86" s="76"/>
      <c r="V86" s="121"/>
      <c r="W86" s="76"/>
      <c r="X86" s="121"/>
      <c r="Y86" s="76"/>
      <c r="Z86" s="121"/>
      <c r="AA86" s="76"/>
      <c r="AB86" s="121"/>
      <c r="AC86" s="76"/>
      <c r="AD86" s="122"/>
      <c r="AE86" s="78"/>
      <c r="AF86" s="122"/>
      <c r="AG86" s="121"/>
      <c r="AH86" s="76"/>
      <c r="AI86" s="122"/>
      <c r="AJ86" s="78"/>
      <c r="AK86" s="122"/>
      <c r="AL86" s="78"/>
    </row>
    <row r="87" ht="16.5" customHeight="1">
      <c r="A87" s="118" t="s">
        <v>54</v>
      </c>
      <c r="B87" s="119">
        <f>IFERROR(B59-B85, "NA")</f>
        <v>18525.25</v>
      </c>
      <c r="C87" s="107">
        <f>IFERROR(B87/B148, "NA")</f>
        <v>0.4801857678</v>
      </c>
      <c r="D87" s="119">
        <f>IFERROR(D59-D85, "NA")</f>
        <v>22251.25</v>
      </c>
      <c r="E87" s="107">
        <f>IFERROR(D87/D148, "NA")</f>
        <v>0.4950061689</v>
      </c>
      <c r="F87" s="119">
        <f>IFERROR(F59-F85, "NA")</f>
        <v>19640.03</v>
      </c>
      <c r="G87" s="107">
        <f>IFERROR(F87/F148, "NA")</f>
        <v>0.4766531332</v>
      </c>
      <c r="H87" s="119">
        <f>IFERROR(H59-H85, "NA")</f>
        <v>18961.72</v>
      </c>
      <c r="I87" s="107">
        <f>IFERROR(H87/H148, "NA")</f>
        <v>0.489286728</v>
      </c>
      <c r="J87" s="119">
        <f>IFERROR(J59-J85, "NA")</f>
        <v>28853.4</v>
      </c>
      <c r="K87" s="107">
        <f>IFERROR(J87/J148, "NA")</f>
        <v>0.5516298119</v>
      </c>
      <c r="L87" s="119">
        <f>IFERROR(L59-L85, "NA")</f>
        <v>27641.08</v>
      </c>
      <c r="M87" s="107">
        <f>IFERROR(L87/L148, "NA")</f>
        <v>0.5468890569</v>
      </c>
      <c r="N87" s="119">
        <f>IFERROR(N59-N85, "NA")</f>
        <v>24829.14</v>
      </c>
      <c r="O87" s="107">
        <f>IFERROR(N87/N148, "NA")</f>
        <v>0.5250498476</v>
      </c>
      <c r="P87" s="119">
        <f>IFERROR(P59-P85, "NA")</f>
        <v>25638.94</v>
      </c>
      <c r="Q87" s="107">
        <f>IFERROR(P87/P148, "NA")</f>
        <v>0.5335874291</v>
      </c>
      <c r="R87" s="119">
        <f>IFERROR(R59-R85, "NA")</f>
        <v>22726.32</v>
      </c>
      <c r="S87" s="107">
        <f>IFERROR(R87/R148, "NA")</f>
        <v>0.5354507916</v>
      </c>
      <c r="T87" s="119">
        <f>IFERROR(T59-T85, "NA")</f>
        <v>34104.54</v>
      </c>
      <c r="U87" s="107">
        <f>IFERROR(T87/T148, "NA")</f>
        <v>0.5653500792</v>
      </c>
      <c r="V87" s="119">
        <f>IFERROR(V59-V85, "NA")</f>
        <v>33338.11</v>
      </c>
      <c r="W87" s="107">
        <f>IFERROR(V87/V148, "NA")</f>
        <v>0.5672512431</v>
      </c>
      <c r="X87" s="119">
        <f>IFERROR(X59-X85, "NA")</f>
        <v>26027.23</v>
      </c>
      <c r="Y87" s="107">
        <f>IFERROR(X87/X148, "NA")</f>
        <v>0.5600020053</v>
      </c>
      <c r="Z87" s="119">
        <f>IFERROR(Z59-Z85, "NA")</f>
        <v>116196.2</v>
      </c>
      <c r="AA87" s="107">
        <f>IFERROR(Z87/Z148, "NA")</f>
        <v>0.5585916952</v>
      </c>
      <c r="AB87" s="119">
        <f>IFERROR((R87+T87+V87+X87)/4, "NA")</f>
        <v>29049.05</v>
      </c>
      <c r="AC87" s="107">
        <f>IFERROR(AB87/AB148, "NA")</f>
        <v>0.5585916952</v>
      </c>
      <c r="AD87" s="70">
        <f>IFERROR(X87-AB87, "NA")</f>
        <v>-3021.82</v>
      </c>
      <c r="AE87" s="71">
        <f>IFERROR(AD87/AD148, "NA")</f>
        <v>0.5467323918</v>
      </c>
      <c r="AF87" s="70">
        <f>IFERROR((X87-AB87)/AB87, "NA")</f>
        <v>-0.1040247444</v>
      </c>
      <c r="AG87" s="119">
        <f>IFERROR((J87+L87+N87+P87+R87+T87+V87+X87)/8, "NA")</f>
        <v>27894.845</v>
      </c>
      <c r="AH87" s="107">
        <f>IFERROR(AG87/AG148, "NA")</f>
        <v>0.5493764963</v>
      </c>
      <c r="AI87" s="70">
        <f>IFERROR(X87-AG87, "NA")</f>
        <v>-1867.615</v>
      </c>
      <c r="AJ87" s="71">
        <f>IFERROR(AI87/AI148, "NA")</f>
        <v>0.434487582</v>
      </c>
      <c r="AK87" s="70">
        <f>IFERROR((X87-AG87)/AG87, "NA")</f>
        <v>-0.06695197625</v>
      </c>
      <c r="AL87" s="71">
        <f>IFERROR(AK87/AK148, "NA")</f>
        <v>0.7908739906</v>
      </c>
    </row>
    <row r="88" ht="3.75" customHeight="1">
      <c r="A88" s="120" t="s">
        <v>6</v>
      </c>
      <c r="B88" s="121"/>
      <c r="C88" s="76"/>
      <c r="D88" s="121"/>
      <c r="E88" s="76"/>
      <c r="F88" s="121"/>
      <c r="G88" s="76"/>
      <c r="H88" s="121"/>
      <c r="I88" s="76"/>
      <c r="J88" s="121"/>
      <c r="K88" s="76"/>
      <c r="L88" s="121"/>
      <c r="M88" s="76"/>
      <c r="N88" s="121"/>
      <c r="O88" s="76"/>
      <c r="P88" s="121"/>
      <c r="Q88" s="76"/>
      <c r="R88" s="121"/>
      <c r="S88" s="76"/>
      <c r="T88" s="121"/>
      <c r="U88" s="76"/>
      <c r="V88" s="121"/>
      <c r="W88" s="76"/>
      <c r="X88" s="121"/>
      <c r="Y88" s="76"/>
      <c r="Z88" s="121"/>
      <c r="AA88" s="76"/>
      <c r="AB88" s="121"/>
      <c r="AC88" s="76"/>
      <c r="AD88" s="122"/>
      <c r="AE88" s="78"/>
      <c r="AF88" s="122"/>
      <c r="AG88" s="121"/>
      <c r="AH88" s="76"/>
      <c r="AI88" s="122"/>
      <c r="AJ88" s="78"/>
      <c r="AK88" s="122"/>
      <c r="AL88" s="78"/>
    </row>
    <row r="89" ht="16.5" hidden="1" customHeight="1">
      <c r="A89" s="17" t="s">
        <v>193</v>
      </c>
      <c r="B89" s="19"/>
      <c r="C89" s="13"/>
      <c r="D89" s="19"/>
      <c r="E89" s="13"/>
      <c r="F89" s="19"/>
      <c r="G89" s="13"/>
      <c r="H89" s="19"/>
      <c r="I89" s="13"/>
      <c r="J89" s="19"/>
      <c r="K89" s="13"/>
      <c r="L89" s="19"/>
      <c r="M89" s="13"/>
      <c r="N89" s="19"/>
      <c r="O89" s="13"/>
      <c r="P89" s="19"/>
      <c r="Q89" s="13"/>
      <c r="R89" s="19"/>
      <c r="S89" s="13"/>
      <c r="T89" s="19"/>
      <c r="U89" s="13"/>
      <c r="V89" s="19"/>
      <c r="W89" s="13"/>
      <c r="X89" s="19"/>
      <c r="Y89" s="13"/>
      <c r="Z89" s="19"/>
      <c r="AA89" s="13"/>
      <c r="AB89" s="19"/>
      <c r="AC89" s="13"/>
      <c r="AD89" s="24"/>
      <c r="AE89" s="25"/>
      <c r="AF89" s="24"/>
      <c r="AG89" s="19"/>
      <c r="AH89" s="13"/>
      <c r="AI89" s="24"/>
      <c r="AJ89" s="25"/>
      <c r="AK89" s="24"/>
      <c r="AL89" s="25"/>
    </row>
    <row r="90" ht="16.5" hidden="1" customHeight="1">
      <c r="A90" s="26" t="s">
        <v>194</v>
      </c>
      <c r="B90" s="27">
        <v>826.2299999999999</v>
      </c>
      <c r="C90" s="23">
        <f>IFERROR(B90/B148, "NA")</f>
        <v>0.02141638504</v>
      </c>
      <c r="D90" s="27">
        <v>900.22</v>
      </c>
      <c r="E90" s="23">
        <f>IFERROR(D90/D148, "NA")</f>
        <v>0.0200264908</v>
      </c>
      <c r="F90" s="27">
        <v>1151.24</v>
      </c>
      <c r="G90" s="23">
        <f>IFERROR(F90/F148, "NA")</f>
        <v>0.02793998548</v>
      </c>
      <c r="H90" s="27">
        <v>527.49</v>
      </c>
      <c r="I90" s="23">
        <f>IFERROR(H90/H148, "NA")</f>
        <v>0.01361131037</v>
      </c>
      <c r="J90" s="27">
        <v>759.17</v>
      </c>
      <c r="K90" s="23">
        <f>IFERROR(J90/J148, "NA")</f>
        <v>0.01451408861</v>
      </c>
      <c r="L90" s="27">
        <v>504.59</v>
      </c>
      <c r="M90" s="23">
        <f>IFERROR(L90/L148, "NA")</f>
        <v>0.009983500978</v>
      </c>
      <c r="N90" s="27">
        <v>1099.4499999999998</v>
      </c>
      <c r="O90" s="23">
        <f>IFERROR(N90/N148, "NA")</f>
        <v>0.02324953885</v>
      </c>
      <c r="P90" s="27">
        <v>830.36</v>
      </c>
      <c r="Q90" s="23">
        <f>IFERROR(P90/P148, "NA")</f>
        <v>0.01728112229</v>
      </c>
      <c r="R90" s="27">
        <v>602.38</v>
      </c>
      <c r="S90" s="23">
        <f>IFERROR(R90/R148, "NA")</f>
        <v>0.01419256826</v>
      </c>
      <c r="T90" s="27">
        <v>1205.3799999999997</v>
      </c>
      <c r="U90" s="23">
        <f>IFERROR(T90/T148, "NA")</f>
        <v>0.01998155314</v>
      </c>
      <c r="V90" s="27">
        <v>871.03</v>
      </c>
      <c r="W90" s="23">
        <f>IFERROR(V90/V148, "NA")</f>
        <v>0.01482066171</v>
      </c>
      <c r="X90" s="27">
        <v>719.91</v>
      </c>
      <c r="Y90" s="23">
        <f>IFERROR(X90/X148, "NA")</f>
        <v>0.01548958701</v>
      </c>
      <c r="Z90" s="27">
        <v>3398.6999999999994</v>
      </c>
      <c r="AA90" s="23">
        <f>IFERROR(Z90/Z148, "NA")</f>
        <v>0.01633862032</v>
      </c>
      <c r="AB90" s="59">
        <f t="shared" ref="AB90:AB99" si="43">IFERROR((R90+T90+V90+X90)/4, "NA")</f>
        <v>849.675</v>
      </c>
      <c r="AC90" s="23">
        <f>IFERROR(AB90/AB148, "NA")</f>
        <v>0.01633862032</v>
      </c>
      <c r="AD90" s="61">
        <f t="shared" ref="AD90:AD99" si="44">IFERROR(X90-AB90, "NA")</f>
        <v>-129.765</v>
      </c>
      <c r="AE90" s="63">
        <f>IFERROR(AD90/AD148, "NA")</f>
        <v>0.02347814523</v>
      </c>
      <c r="AF90" s="61">
        <f t="shared" ref="AF90:AF99" si="45">IFERROR((X90-AB90)/AB90, "NA")</f>
        <v>-0.1527231</v>
      </c>
      <c r="AG90" s="59">
        <f t="shared" ref="AG90:AG99" si="46">IFERROR((J90+L90+N90+P90+R90+T90+V90+X90)/8, "NA")</f>
        <v>824.03375</v>
      </c>
      <c r="AH90" s="23">
        <f>IFERROR(AG90/AG148, "NA")</f>
        <v>0.01622897616</v>
      </c>
      <c r="AI90" s="61">
        <f t="shared" ref="AI90:AI99" si="47">IFERROR(X90-AG90, "NA")</f>
        <v>-104.12375</v>
      </c>
      <c r="AJ90" s="63">
        <f>IFERROR(AI90/AI148, "NA")</f>
        <v>0.02422366299</v>
      </c>
      <c r="AK90" s="61">
        <f t="shared" ref="AK90:AK99" si="48">IFERROR((X90-AG90)/AG90, "NA")</f>
        <v>-0.1263585988</v>
      </c>
      <c r="AL90" s="63">
        <f>IFERROR(AK90/AK148, "NA")</f>
        <v>1.492618065</v>
      </c>
    </row>
    <row r="91" ht="16.5" hidden="1" customHeight="1">
      <c r="A91" s="26" t="s">
        <v>195</v>
      </c>
      <c r="B91" s="27">
        <v>1149.41</v>
      </c>
      <c r="C91" s="23">
        <f>IFERROR(B91/B148, "NA")</f>
        <v>0.02979340756</v>
      </c>
      <c r="D91" s="27">
        <v>1110.08</v>
      </c>
      <c r="E91" s="23">
        <f>IFERROR(D91/D148, "NA")</f>
        <v>0.02469508221</v>
      </c>
      <c r="F91" s="27">
        <v>1561.9099999999999</v>
      </c>
      <c r="G91" s="23">
        <f>IFERROR(F91/F148, "NA")</f>
        <v>0.03790672903</v>
      </c>
      <c r="H91" s="27">
        <v>742.27</v>
      </c>
      <c r="I91" s="23">
        <f>IFERROR(H91/H148, "NA")</f>
        <v>0.01915347656</v>
      </c>
      <c r="J91" s="27">
        <v>1256.67</v>
      </c>
      <c r="K91" s="23">
        <f>IFERROR(J91/J148, "NA")</f>
        <v>0.02402547484</v>
      </c>
      <c r="L91" s="27">
        <v>827.78</v>
      </c>
      <c r="M91" s="23">
        <f>IFERROR(L91/L148, "NA")</f>
        <v>0.01637793543</v>
      </c>
      <c r="N91" s="27">
        <v>2356.95</v>
      </c>
      <c r="O91" s="23">
        <f>IFERROR(N91/N148, "NA")</f>
        <v>0.04984128481</v>
      </c>
      <c r="P91" s="27">
        <v>3915.6</v>
      </c>
      <c r="Q91" s="23">
        <f>IFERROR(P91/P148, "NA")</f>
        <v>0.08148991095</v>
      </c>
      <c r="R91" s="27">
        <v>4147.83</v>
      </c>
      <c r="S91" s="23">
        <f>IFERROR(R91/R148, "NA")</f>
        <v>0.09772628639</v>
      </c>
      <c r="T91" s="27">
        <v>4671.34</v>
      </c>
      <c r="U91" s="23">
        <f>IFERROR(T91/T148, "NA")</f>
        <v>0.07743668259</v>
      </c>
      <c r="V91" s="27">
        <v>5913.32</v>
      </c>
      <c r="W91" s="23">
        <f>IFERROR(V91/V148, "NA")</f>
        <v>0.1006157254</v>
      </c>
      <c r="X91" s="27">
        <v>1458.69</v>
      </c>
      <c r="Y91" s="23">
        <f>IFERROR(X91/X148, "NA")</f>
        <v>0.03138518102</v>
      </c>
      <c r="Z91" s="27">
        <v>16191.179999999998</v>
      </c>
      <c r="AA91" s="23">
        <f>IFERROR(Z91/Z148, "NA")</f>
        <v>0.07783609691</v>
      </c>
      <c r="AB91" s="59">
        <f t="shared" si="43"/>
        <v>4047.795</v>
      </c>
      <c r="AC91" s="23">
        <f>IFERROR(AB91/AB148, "NA")</f>
        <v>0.07783609691</v>
      </c>
      <c r="AD91" s="61">
        <f t="shared" si="44"/>
        <v>-2589.105</v>
      </c>
      <c r="AE91" s="63">
        <f>IFERROR(AD91/AD148, "NA")</f>
        <v>0.4684420546</v>
      </c>
      <c r="AF91" s="61">
        <f t="shared" si="45"/>
        <v>-0.6396334301</v>
      </c>
      <c r="AG91" s="59">
        <f t="shared" si="46"/>
        <v>3068.5225</v>
      </c>
      <c r="AH91" s="23">
        <f>IFERROR(AG91/AG148, "NA")</f>
        <v>0.06043317824</v>
      </c>
      <c r="AI91" s="61">
        <f t="shared" si="47"/>
        <v>-1609.8325</v>
      </c>
      <c r="AJ91" s="63">
        <f>IFERROR(AI91/AI148, "NA")</f>
        <v>0.3745162843</v>
      </c>
      <c r="AK91" s="61">
        <f t="shared" si="48"/>
        <v>-0.524627895</v>
      </c>
      <c r="AL91" s="63">
        <f>IFERROR(AK91/AK148, "NA")</f>
        <v>6.19719656</v>
      </c>
    </row>
    <row r="92" ht="16.5" hidden="1" customHeight="1">
      <c r="A92" s="26" t="s">
        <v>196</v>
      </c>
      <c r="B92" s="27">
        <v>954.49</v>
      </c>
      <c r="C92" s="23">
        <f>IFERROR(B92/B148, "NA")</f>
        <v>0.02474096239</v>
      </c>
      <c r="D92" s="27">
        <v>878.16</v>
      </c>
      <c r="E92" s="23">
        <f>IFERROR(D92/D148, "NA")</f>
        <v>0.01953573922</v>
      </c>
      <c r="F92" s="27">
        <v>958.69</v>
      </c>
      <c r="G92" s="23">
        <f>IFERROR(F92/F148, "NA")</f>
        <v>0.02326689889</v>
      </c>
      <c r="H92" s="27">
        <v>1018.02</v>
      </c>
      <c r="I92" s="23">
        <f>IFERROR(H92/H148, "NA")</f>
        <v>0.02626890782</v>
      </c>
      <c r="J92" s="27">
        <v>1687.0300000000002</v>
      </c>
      <c r="K92" s="23">
        <f>IFERROR(J92/J148, "NA")</f>
        <v>0.03225325409</v>
      </c>
      <c r="L92" s="27">
        <v>891.0</v>
      </c>
      <c r="M92" s="23">
        <f>IFERROR(L92/L148, "NA")</f>
        <v>0.01762876666</v>
      </c>
      <c r="N92" s="27">
        <v>1228.21</v>
      </c>
      <c r="O92" s="23">
        <f>IFERROR(N92/N148, "NA")</f>
        <v>0.02597236446</v>
      </c>
      <c r="P92" s="27">
        <v>1010.62</v>
      </c>
      <c r="Q92" s="23">
        <f>IFERROR(P92/P148, "NA")</f>
        <v>0.02103262177</v>
      </c>
      <c r="R92" s="27">
        <v>639.41</v>
      </c>
      <c r="S92" s="23">
        <f>IFERROR(R92/R148, "NA")</f>
        <v>0.01506502551</v>
      </c>
      <c r="T92" s="27">
        <v>921.4399999999999</v>
      </c>
      <c r="U92" s="23">
        <f>IFERROR(T92/T148, "NA")</f>
        <v>0.01527468709</v>
      </c>
      <c r="V92" s="27">
        <v>949.68</v>
      </c>
      <c r="W92" s="23">
        <f>IFERROR(V92/V148, "NA")</f>
        <v>0.01615889925</v>
      </c>
      <c r="X92" s="27">
        <v>0.0</v>
      </c>
      <c r="Y92" s="23">
        <f>IFERROR(X92/X148, "NA")</f>
        <v>0</v>
      </c>
      <c r="Z92" s="27">
        <v>2510.5299999999997</v>
      </c>
      <c r="AA92" s="23">
        <f>IFERROR(Z92/Z148, "NA")</f>
        <v>0.01206890766</v>
      </c>
      <c r="AB92" s="59">
        <f t="shared" si="43"/>
        <v>627.6325</v>
      </c>
      <c r="AC92" s="23">
        <f>IFERROR(AB92/AB148, "NA")</f>
        <v>0.01206890766</v>
      </c>
      <c r="AD92" s="61">
        <f t="shared" si="44"/>
        <v>-627.6325</v>
      </c>
      <c r="AE92" s="63">
        <f>IFERROR(AD92/AD148, "NA")</f>
        <v>0.1135564057</v>
      </c>
      <c r="AF92" s="61">
        <f t="shared" si="45"/>
        <v>-1</v>
      </c>
      <c r="AG92" s="59">
        <f t="shared" si="46"/>
        <v>915.92375</v>
      </c>
      <c r="AH92" s="23">
        <f>IFERROR(AG92/AG148, "NA")</f>
        <v>0.01803870861</v>
      </c>
      <c r="AI92" s="61">
        <f t="shared" si="47"/>
        <v>-915.92375</v>
      </c>
      <c r="AJ92" s="63">
        <f>IFERROR(AI92/AI148, "NA")</f>
        <v>0.2130832615</v>
      </c>
      <c r="AK92" s="61">
        <f t="shared" si="48"/>
        <v>-1</v>
      </c>
      <c r="AL92" s="63">
        <f>IFERROR(AK92/AK148, "NA")</f>
        <v>11.81255633</v>
      </c>
    </row>
    <row r="93" ht="16.5" hidden="1" customHeight="1">
      <c r="A93" s="26" t="s">
        <v>197</v>
      </c>
      <c r="B93" s="27">
        <v>3304.7</v>
      </c>
      <c r="C93" s="23">
        <f>IFERROR(B93/B148, "NA")</f>
        <v>0.08565983762</v>
      </c>
      <c r="D93" s="27">
        <v>4963.28</v>
      </c>
      <c r="E93" s="23">
        <f>IFERROR(D93/D148, "NA")</f>
        <v>0.1104142112</v>
      </c>
      <c r="F93" s="27">
        <v>4012.4599999999996</v>
      </c>
      <c r="G93" s="23">
        <f>IFERROR(F93/F148, "NA")</f>
        <v>0.09738028052</v>
      </c>
      <c r="H93" s="27">
        <v>3054.58</v>
      </c>
      <c r="I93" s="23">
        <f>IFERROR(H93/H148, "NA")</f>
        <v>0.07882014151</v>
      </c>
      <c r="J93" s="27">
        <v>5253.009999999999</v>
      </c>
      <c r="K93" s="23">
        <f>IFERROR(J93/J148, "NA")</f>
        <v>0.1004289587</v>
      </c>
      <c r="L93" s="27">
        <v>5802.21</v>
      </c>
      <c r="M93" s="23">
        <f>IFERROR(L93/L148, "NA")</f>
        <v>0.1147988847</v>
      </c>
      <c r="N93" s="27">
        <v>5114.55</v>
      </c>
      <c r="O93" s="23">
        <f>IFERROR(N93/N148, "NA")</f>
        <v>0.1081549219</v>
      </c>
      <c r="P93" s="27">
        <v>4919.73</v>
      </c>
      <c r="Q93" s="23">
        <f>IFERROR(P93/P148, "NA")</f>
        <v>0.1023874654</v>
      </c>
      <c r="R93" s="27">
        <v>3835.44</v>
      </c>
      <c r="S93" s="23">
        <f>IFERROR(R93/R148, "NA")</f>
        <v>0.09036612105</v>
      </c>
      <c r="T93" s="27">
        <v>6984.360000000001</v>
      </c>
      <c r="U93" s="23">
        <f>IFERROR(T93/T148, "NA")</f>
        <v>0.1157795554</v>
      </c>
      <c r="V93" s="27">
        <v>5776.700000000001</v>
      </c>
      <c r="W93" s="23">
        <f>IFERROR(V93/V148, "NA")</f>
        <v>0.09829112256</v>
      </c>
      <c r="X93" s="27">
        <v>5147.83</v>
      </c>
      <c r="Y93" s="23">
        <f>IFERROR(X93/X148, "NA")</f>
        <v>0.1107607349</v>
      </c>
      <c r="Z93" s="27">
        <v>21744.33</v>
      </c>
      <c r="AA93" s="23">
        <f>IFERROR(Z93/Z148, "NA")</f>
        <v>0.1045318363</v>
      </c>
      <c r="AB93" s="59">
        <f t="shared" si="43"/>
        <v>5436.0825</v>
      </c>
      <c r="AC93" s="23">
        <f>IFERROR(AB93/AB148, "NA")</f>
        <v>0.1045318363</v>
      </c>
      <c r="AD93" s="61">
        <f t="shared" si="44"/>
        <v>-288.2525</v>
      </c>
      <c r="AE93" s="63">
        <f>IFERROR(AD93/AD148, "NA")</f>
        <v>0.05215300011</v>
      </c>
      <c r="AF93" s="61">
        <f t="shared" si="45"/>
        <v>-0.05302577729</v>
      </c>
      <c r="AG93" s="59">
        <f t="shared" si="46"/>
        <v>5354.22875</v>
      </c>
      <c r="AH93" s="23">
        <f>IFERROR(AG93/AG148, "NA")</f>
        <v>0.1054491406</v>
      </c>
      <c r="AI93" s="61">
        <f t="shared" si="47"/>
        <v>-206.39875</v>
      </c>
      <c r="AJ93" s="63">
        <f>IFERROR(AI93/AI148, "NA")</f>
        <v>0.04801722722</v>
      </c>
      <c r="AK93" s="61">
        <f t="shared" si="48"/>
        <v>-0.03854873589</v>
      </c>
      <c r="AL93" s="63">
        <f>IFERROR(AK93/AK148, "NA")</f>
        <v>0.455359114</v>
      </c>
    </row>
    <row r="94" ht="16.5" hidden="1" customHeight="1">
      <c r="A94" s="26" t="s">
        <v>198</v>
      </c>
      <c r="B94" s="27">
        <v>967.99</v>
      </c>
      <c r="C94" s="23">
        <f>IFERROR(B94/B148, "NA")</f>
        <v>0.02509089062</v>
      </c>
      <c r="D94" s="27">
        <v>1255.91</v>
      </c>
      <c r="E94" s="23">
        <f>IFERROR(D94/D148, "NA")</f>
        <v>0.02793924825</v>
      </c>
      <c r="F94" s="27">
        <v>1207.34</v>
      </c>
      <c r="G94" s="23">
        <f>IFERROR(F94/F148, "NA")</f>
        <v>0.02930150279</v>
      </c>
      <c r="H94" s="27">
        <v>1000.11</v>
      </c>
      <c r="I94" s="23">
        <f>IFERROR(H94/H148, "NA")</f>
        <v>0.0258067596</v>
      </c>
      <c r="J94" s="27">
        <v>1466.92</v>
      </c>
      <c r="K94" s="23">
        <f>IFERROR(J94/J148, "NA")</f>
        <v>0.02804511093</v>
      </c>
      <c r="L94" s="27">
        <v>1313.68</v>
      </c>
      <c r="M94" s="23">
        <f>IFERROR(L94/L148, "NA")</f>
        <v>0.0259916478</v>
      </c>
      <c r="N94" s="27">
        <v>1268.24</v>
      </c>
      <c r="O94" s="23">
        <f>IFERROR(N94/N148, "NA")</f>
        <v>0.02681885956</v>
      </c>
      <c r="P94" s="27">
        <v>1195.54</v>
      </c>
      <c r="Q94" s="23">
        <f>IFERROR(P94/P148, "NA")</f>
        <v>0.02488110331</v>
      </c>
      <c r="R94" s="27">
        <v>1231.89</v>
      </c>
      <c r="S94" s="23">
        <f>IFERROR(R94/R148, "NA")</f>
        <v>0.02902434163</v>
      </c>
      <c r="T94" s="27">
        <v>1660.08</v>
      </c>
      <c r="U94" s="23">
        <f>IFERROR(T94/T148, "NA")</f>
        <v>0.02751910331</v>
      </c>
      <c r="V94" s="27">
        <v>1481.73</v>
      </c>
      <c r="W94" s="23">
        <f>IFERROR(V94/V148, "NA")</f>
        <v>0.02521178268</v>
      </c>
      <c r="X94" s="27">
        <v>1080.02</v>
      </c>
      <c r="Y94" s="23">
        <f>IFERROR(X94/X148, "NA")</f>
        <v>0.02323771549</v>
      </c>
      <c r="Z94" s="27">
        <v>5453.72</v>
      </c>
      <c r="AA94" s="23">
        <f>IFERROR(Z94/Z148, "NA")</f>
        <v>0.02621774809</v>
      </c>
      <c r="AB94" s="59">
        <f t="shared" si="43"/>
        <v>1363.43</v>
      </c>
      <c r="AC94" s="23">
        <f>IFERROR(AB94/AB148, "NA")</f>
        <v>0.02621774809</v>
      </c>
      <c r="AD94" s="61">
        <f t="shared" si="44"/>
        <v>-283.41</v>
      </c>
      <c r="AE94" s="63">
        <f>IFERROR(AD94/AD148, "NA")</f>
        <v>0.0512768554</v>
      </c>
      <c r="AF94" s="61">
        <f t="shared" si="45"/>
        <v>-0.207865457</v>
      </c>
      <c r="AG94" s="59">
        <f t="shared" si="46"/>
        <v>1337.2625</v>
      </c>
      <c r="AH94" s="23">
        <f>IFERROR(AG94/AG148, "NA")</f>
        <v>0.02633678685</v>
      </c>
      <c r="AI94" s="61">
        <f t="shared" si="47"/>
        <v>-257.2425</v>
      </c>
      <c r="AJ94" s="63">
        <f>IFERROR(AI94/AI148, "NA")</f>
        <v>0.05984567044</v>
      </c>
      <c r="AK94" s="61">
        <f t="shared" si="48"/>
        <v>-0.1923649994</v>
      </c>
      <c r="AL94" s="63">
        <f>IFERROR(AK94/AK148, "NA")</f>
        <v>2.27232239</v>
      </c>
    </row>
    <row r="95" ht="16.5" hidden="1" customHeight="1">
      <c r="A95" s="26" t="s">
        <v>199</v>
      </c>
      <c r="B95" s="27">
        <v>0.0</v>
      </c>
      <c r="C95" s="23">
        <f>IFERROR(B95/B148, "NA")</f>
        <v>0</v>
      </c>
      <c r="D95" s="27">
        <v>0.0</v>
      </c>
      <c r="E95" s="23">
        <f>IFERROR(D95/D148, "NA")</f>
        <v>0</v>
      </c>
      <c r="F95" s="27">
        <v>1509.07</v>
      </c>
      <c r="G95" s="23">
        <f>IFERROR(F95/F148, "NA")</f>
        <v>0.03662433019</v>
      </c>
      <c r="H95" s="27">
        <v>0.0</v>
      </c>
      <c r="I95" s="23">
        <f>IFERROR(H95/H148, "NA")</f>
        <v>0</v>
      </c>
      <c r="J95" s="27">
        <v>0.0</v>
      </c>
      <c r="K95" s="23">
        <f>IFERROR(J95/J148, "NA")</f>
        <v>0</v>
      </c>
      <c r="L95" s="27">
        <v>0.0</v>
      </c>
      <c r="M95" s="23">
        <f>IFERROR(L95/L148, "NA")</f>
        <v>0</v>
      </c>
      <c r="N95" s="27">
        <v>0.0</v>
      </c>
      <c r="O95" s="23">
        <f>IFERROR(N95/N148, "NA")</f>
        <v>0</v>
      </c>
      <c r="P95" s="27">
        <v>1701.29</v>
      </c>
      <c r="Q95" s="23">
        <f>IFERROR(P95/P148, "NA")</f>
        <v>0.03540657131</v>
      </c>
      <c r="R95" s="27">
        <v>0.0</v>
      </c>
      <c r="S95" s="23">
        <f>IFERROR(R95/R148, "NA")</f>
        <v>0</v>
      </c>
      <c r="T95" s="27">
        <v>0.0</v>
      </c>
      <c r="U95" s="23">
        <f>IFERROR(T95/T148, "NA")</f>
        <v>0</v>
      </c>
      <c r="V95" s="27">
        <v>0.0</v>
      </c>
      <c r="W95" s="23">
        <f>IFERROR(V95/V148, "NA")</f>
        <v>0</v>
      </c>
      <c r="X95" s="27">
        <v>1244.29</v>
      </c>
      <c r="Y95" s="23">
        <f>IFERROR(X95/X148, "NA")</f>
        <v>0.0267721496</v>
      </c>
      <c r="Z95" s="27">
        <v>1244.29</v>
      </c>
      <c r="AA95" s="23">
        <f>IFERROR(Z95/Z148, "NA")</f>
        <v>0.005981693553</v>
      </c>
      <c r="AB95" s="59">
        <f t="shared" si="43"/>
        <v>311.0725</v>
      </c>
      <c r="AC95" s="23">
        <f>IFERROR(AB95/AB148, "NA")</f>
        <v>0.005981693553</v>
      </c>
      <c r="AD95" s="61">
        <f t="shared" si="44"/>
        <v>933.2175</v>
      </c>
      <c r="AE95" s="63">
        <f>IFERROR(AD95/AD148, "NA")</f>
        <v>-0.1688453435</v>
      </c>
      <c r="AF95" s="61">
        <f t="shared" si="45"/>
        <v>3</v>
      </c>
      <c r="AG95" s="59">
        <f t="shared" si="46"/>
        <v>368.1975</v>
      </c>
      <c r="AH95" s="23">
        <f>IFERROR(AG95/AG148, "NA")</f>
        <v>0.007251485086</v>
      </c>
      <c r="AI95" s="61">
        <f t="shared" si="47"/>
        <v>876.0925</v>
      </c>
      <c r="AJ95" s="63">
        <f>IFERROR(AI95/AI148, "NA")</f>
        <v>-0.2038167994</v>
      </c>
      <c r="AK95" s="61">
        <f t="shared" si="48"/>
        <v>2.379409149</v>
      </c>
      <c r="AL95" s="63">
        <f>IFERROR(AK95/AK148, "NA")</f>
        <v>-28.10690459</v>
      </c>
    </row>
    <row r="96" ht="16.5" hidden="1" customHeight="1">
      <c r="A96" s="26" t="s">
        <v>200</v>
      </c>
      <c r="B96" s="27">
        <v>0.0</v>
      </c>
      <c r="C96" s="23">
        <f>IFERROR(B96/B148, "NA")</f>
        <v>0</v>
      </c>
      <c r="D96" s="27">
        <v>0.0</v>
      </c>
      <c r="E96" s="23">
        <f>IFERROR(D96/D148, "NA")</f>
        <v>0</v>
      </c>
      <c r="F96" s="27">
        <v>0.0</v>
      </c>
      <c r="G96" s="23">
        <f>IFERROR(F96/F148, "NA")</f>
        <v>0</v>
      </c>
      <c r="H96" s="27">
        <v>0.0</v>
      </c>
      <c r="I96" s="23">
        <f>IFERROR(H96/H148, "NA")</f>
        <v>0</v>
      </c>
      <c r="J96" s="27">
        <v>0.0</v>
      </c>
      <c r="K96" s="23">
        <f>IFERROR(J96/J148, "NA")</f>
        <v>0</v>
      </c>
      <c r="L96" s="27">
        <v>0.0</v>
      </c>
      <c r="M96" s="23">
        <f>IFERROR(L96/L148, "NA")</f>
        <v>0</v>
      </c>
      <c r="N96" s="27">
        <v>0.0</v>
      </c>
      <c r="O96" s="23">
        <f>IFERROR(N96/N148, "NA")</f>
        <v>0</v>
      </c>
      <c r="P96" s="27">
        <v>0.0</v>
      </c>
      <c r="Q96" s="23">
        <f>IFERROR(P96/P148, "NA")</f>
        <v>0</v>
      </c>
      <c r="R96" s="27">
        <v>0.0</v>
      </c>
      <c r="S96" s="23">
        <f>IFERROR(R96/R148, "NA")</f>
        <v>0</v>
      </c>
      <c r="T96" s="27">
        <v>0.0</v>
      </c>
      <c r="U96" s="23">
        <f>IFERROR(T96/T148, "NA")</f>
        <v>0</v>
      </c>
      <c r="V96" s="27">
        <v>0.0</v>
      </c>
      <c r="W96" s="23">
        <f>IFERROR(V96/V148, "NA")</f>
        <v>0</v>
      </c>
      <c r="X96" s="27">
        <v>0.0</v>
      </c>
      <c r="Y96" s="23">
        <f>IFERROR(X96/X148, "NA")</f>
        <v>0</v>
      </c>
      <c r="Z96" s="27">
        <v>0.0</v>
      </c>
      <c r="AA96" s="23">
        <f>IFERROR(Z96/Z148, "NA")</f>
        <v>0</v>
      </c>
      <c r="AB96" s="59">
        <f t="shared" si="43"/>
        <v>0</v>
      </c>
      <c r="AC96" s="23">
        <f>IFERROR(AB96/AB148, "NA")</f>
        <v>0</v>
      </c>
      <c r="AD96" s="61">
        <f t="shared" si="44"/>
        <v>0</v>
      </c>
      <c r="AE96" s="63">
        <f>IFERROR(AD96/AD148, "NA")</f>
        <v>0</v>
      </c>
      <c r="AF96" s="61" t="str">
        <f t="shared" si="45"/>
        <v>NA</v>
      </c>
      <c r="AG96" s="59">
        <f t="shared" si="46"/>
        <v>0</v>
      </c>
      <c r="AH96" s="23">
        <f>IFERROR(AG96/AG148, "NA")</f>
        <v>0</v>
      </c>
      <c r="AI96" s="61">
        <f t="shared" si="47"/>
        <v>0</v>
      </c>
      <c r="AJ96" s="63">
        <f>IFERROR(AI96/AI148, "NA")</f>
        <v>0</v>
      </c>
      <c r="AK96" s="61" t="str">
        <f t="shared" si="48"/>
        <v>NA</v>
      </c>
      <c r="AL96" s="63" t="str">
        <f>IFERROR(AK96/AK148, "NA")</f>
        <v>NA</v>
      </c>
    </row>
    <row r="97" ht="16.5" hidden="1" customHeight="1">
      <c r="A97" s="26" t="s">
        <v>201</v>
      </c>
      <c r="B97" s="27">
        <v>5279.7</v>
      </c>
      <c r="C97" s="23">
        <f>IFERROR(B97/B148, "NA")</f>
        <v>0.136853041</v>
      </c>
      <c r="D97" s="27">
        <v>267.44</v>
      </c>
      <c r="E97" s="23">
        <f>IFERROR(D97/D148, "NA")</f>
        <v>0.005949528669</v>
      </c>
      <c r="F97" s="27">
        <v>1074.2</v>
      </c>
      <c r="G97" s="23">
        <f>IFERROR(F97/F148, "NA")</f>
        <v>0.02607026546</v>
      </c>
      <c r="H97" s="27">
        <v>307.39</v>
      </c>
      <c r="I97" s="23">
        <f>IFERROR(H97/H148, "NA")</f>
        <v>0.007931867327</v>
      </c>
      <c r="J97" s="27">
        <v>222.33</v>
      </c>
      <c r="K97" s="23">
        <f>IFERROR(J97/J148, "NA")</f>
        <v>0.00425058593</v>
      </c>
      <c r="L97" s="27">
        <v>836.1299999999999</v>
      </c>
      <c r="M97" s="23">
        <f>IFERROR(L97/L148, "NA")</f>
        <v>0.01654314329</v>
      </c>
      <c r="N97" s="27">
        <v>1177.05</v>
      </c>
      <c r="O97" s="23">
        <f>IFERROR(N97/N148, "NA")</f>
        <v>0.02489050862</v>
      </c>
      <c r="P97" s="27">
        <v>710.69</v>
      </c>
      <c r="Q97" s="23">
        <f>IFERROR(P97/P148, "NA")</f>
        <v>0.01479059782</v>
      </c>
      <c r="R97" s="27">
        <v>1622.1100000000001</v>
      </c>
      <c r="S97" s="23">
        <f>IFERROR(R97/R148, "NA")</f>
        <v>0.03821824578</v>
      </c>
      <c r="T97" s="27">
        <v>1936.74</v>
      </c>
      <c r="U97" s="23">
        <f>IFERROR(T97/T148, "NA")</f>
        <v>0.03210528898</v>
      </c>
      <c r="V97" s="27">
        <v>265.05</v>
      </c>
      <c r="W97" s="23">
        <f>IFERROR(V97/V148, "NA")</f>
        <v>0.004509851998</v>
      </c>
      <c r="X97" s="27">
        <v>0.0</v>
      </c>
      <c r="Y97" s="23">
        <f>IFERROR(X97/X148, "NA")</f>
        <v>0</v>
      </c>
      <c r="Z97" s="27">
        <v>3823.9000000000005</v>
      </c>
      <c r="AA97" s="23">
        <f>IFERROR(Z97/Z148, "NA")</f>
        <v>0.01838269051</v>
      </c>
      <c r="AB97" s="59">
        <f t="shared" si="43"/>
        <v>955.975</v>
      </c>
      <c r="AC97" s="23">
        <f>IFERROR(AB97/AB148, "NA")</f>
        <v>0.01838269051</v>
      </c>
      <c r="AD97" s="61">
        <f t="shared" si="44"/>
        <v>-955.975</v>
      </c>
      <c r="AE97" s="63">
        <f>IFERROR(AD97/AD148, "NA")</f>
        <v>0.1729628165</v>
      </c>
      <c r="AF97" s="61">
        <f t="shared" si="45"/>
        <v>-1</v>
      </c>
      <c r="AG97" s="59">
        <f t="shared" si="46"/>
        <v>846.2625</v>
      </c>
      <c r="AH97" s="23">
        <f>IFERROR(AG97/AG148, "NA")</f>
        <v>0.01666676145</v>
      </c>
      <c r="AI97" s="61">
        <f t="shared" si="47"/>
        <v>-846.2625</v>
      </c>
      <c r="AJ97" s="63">
        <f>IFERROR(AI97/AI148, "NA")</f>
        <v>0.1968770583</v>
      </c>
      <c r="AK97" s="61">
        <f t="shared" si="48"/>
        <v>-1</v>
      </c>
      <c r="AL97" s="63">
        <f>IFERROR(AK97/AK148, "NA")</f>
        <v>11.81255633</v>
      </c>
    </row>
    <row r="98" ht="16.5" hidden="1" customHeight="1">
      <c r="A98" s="26" t="s">
        <v>202</v>
      </c>
      <c r="B98" s="27">
        <v>448.89</v>
      </c>
      <c r="C98" s="23">
        <f>IFERROR(B98/B148, "NA")</f>
        <v>0.01163550232</v>
      </c>
      <c r="D98" s="27">
        <v>4617.860000000001</v>
      </c>
      <c r="E98" s="23">
        <f>IFERROR(D98/D148, "NA")</f>
        <v>0.1027299225</v>
      </c>
      <c r="F98" s="27">
        <v>695.77</v>
      </c>
      <c r="G98" s="23">
        <f>IFERROR(F98/F148, "NA")</f>
        <v>0.01688596965</v>
      </c>
      <c r="H98" s="27">
        <v>349.02</v>
      </c>
      <c r="I98" s="23">
        <f>IFERROR(H98/H148, "NA")</f>
        <v>0.009006084565</v>
      </c>
      <c r="J98" s="27">
        <v>436.19</v>
      </c>
      <c r="K98" s="23">
        <f>IFERROR(J98/J148, "NA")</f>
        <v>0.008339239315</v>
      </c>
      <c r="L98" s="27">
        <v>2533.45</v>
      </c>
      <c r="M98" s="23">
        <f>IFERROR(L98/L148, "NA")</f>
        <v>0.0501252513</v>
      </c>
      <c r="N98" s="27">
        <v>2333.64</v>
      </c>
      <c r="O98" s="23">
        <f>IFERROR(N98/N148, "NA")</f>
        <v>0.04934835948</v>
      </c>
      <c r="P98" s="27">
        <v>631.01</v>
      </c>
      <c r="Q98" s="23">
        <f>IFERROR(P98/P148, "NA")</f>
        <v>0.01313232933</v>
      </c>
      <c r="R98" s="27">
        <v>497.6</v>
      </c>
      <c r="S98" s="23">
        <f>IFERROR(R98/R148, "NA")</f>
        <v>0.01172386528</v>
      </c>
      <c r="T98" s="27">
        <v>1048.1599999999999</v>
      </c>
      <c r="U98" s="23">
        <f>IFERROR(T98/T148, "NA")</f>
        <v>0.01737532126</v>
      </c>
      <c r="V98" s="27">
        <v>2770.53</v>
      </c>
      <c r="W98" s="23">
        <f>IFERROR(V98/V148, "NA")</f>
        <v>0.04714084231</v>
      </c>
      <c r="X98" s="27">
        <v>304.55</v>
      </c>
      <c r="Y98" s="23">
        <f>IFERROR(X98/X148, "NA")</f>
        <v>0.006552699258</v>
      </c>
      <c r="Z98" s="27">
        <v>4620.84</v>
      </c>
      <c r="AA98" s="23">
        <f>IFERROR(Z98/Z148, "NA")</f>
        <v>0.02221383186</v>
      </c>
      <c r="AB98" s="59">
        <f t="shared" si="43"/>
        <v>1155.21</v>
      </c>
      <c r="AC98" s="23">
        <f>IFERROR(AB98/AB148, "NA")</f>
        <v>0.02221383186</v>
      </c>
      <c r="AD98" s="61">
        <f t="shared" si="44"/>
        <v>-850.66</v>
      </c>
      <c r="AE98" s="63">
        <f>IFERROR(AD98/AD148, "NA")</f>
        <v>0.1539083653</v>
      </c>
      <c r="AF98" s="61">
        <f t="shared" si="45"/>
        <v>-0.7363682794</v>
      </c>
      <c r="AG98" s="59">
        <f t="shared" si="46"/>
        <v>1319.39125</v>
      </c>
      <c r="AH98" s="23">
        <f>IFERROR(AG98/AG148, "NA")</f>
        <v>0.02598482057</v>
      </c>
      <c r="AI98" s="61">
        <f t="shared" si="47"/>
        <v>-1014.84125</v>
      </c>
      <c r="AJ98" s="63">
        <f>IFERROR(AI98/AI148, "NA")</f>
        <v>0.2360957268</v>
      </c>
      <c r="AK98" s="61">
        <f t="shared" si="48"/>
        <v>-0.769173852</v>
      </c>
      <c r="AL98" s="63">
        <f>IFERROR(AK98/AK148, "NA")</f>
        <v>9.08590945</v>
      </c>
    </row>
    <row r="99" ht="16.5" hidden="1" customHeight="1">
      <c r="A99" s="66" t="s">
        <v>203</v>
      </c>
      <c r="B99" s="67">
        <f>IFERROR(B90+B91+B92+B93+B94+B95+B96+B97+B98, "NA")</f>
        <v>12931.41</v>
      </c>
      <c r="C99" s="69">
        <f>IFERROR(B99/B148, "NA")</f>
        <v>0.3351900266</v>
      </c>
      <c r="D99" s="67">
        <f>IFERROR(D90+D91+D92+D93+D94+D95+D96+D97+D98, "NA")</f>
        <v>13992.95</v>
      </c>
      <c r="E99" s="69">
        <f>IFERROR(D99/D148, "NA")</f>
        <v>0.3112902228</v>
      </c>
      <c r="F99" s="67">
        <f>IFERROR(F90+F91+F92+F93+F94+F95+F96+F97+F98, "NA")</f>
        <v>12170.68</v>
      </c>
      <c r="G99" s="69">
        <f>IFERROR(F99/F148, "NA")</f>
        <v>0.295375962</v>
      </c>
      <c r="H99" s="67">
        <f>IFERROR(H90+H91+H92+H93+H94+H95+H96+H97+H98, "NA")</f>
        <v>6998.88</v>
      </c>
      <c r="I99" s="69">
        <f>IFERROR(H99/H148, "NA")</f>
        <v>0.1805985478</v>
      </c>
      <c r="J99" s="67">
        <f>IFERROR(J90+J91+J92+J93+J94+J95+J96+J97+J98, "NA")</f>
        <v>11081.32</v>
      </c>
      <c r="K99" s="69">
        <f>IFERROR(J99/J148, "NA")</f>
        <v>0.2118567124</v>
      </c>
      <c r="L99" s="67">
        <f>IFERROR(L90+L91+L92+L93+L94+L95+L96+L97+L98, "NA")</f>
        <v>12708.84</v>
      </c>
      <c r="M99" s="69">
        <f>IFERROR(L99/L148, "NA")</f>
        <v>0.2514491301</v>
      </c>
      <c r="N99" s="67">
        <f>IFERROR(N90+N91+N92+N93+N94+N95+N96+N97+N98, "NA")</f>
        <v>14578.09</v>
      </c>
      <c r="O99" s="69">
        <f>IFERROR(N99/N148, "NA")</f>
        <v>0.3082758377</v>
      </c>
      <c r="P99" s="67">
        <f>IFERROR(P90+P91+P92+P93+P94+P95+P96+P97+P98, "NA")</f>
        <v>14914.84</v>
      </c>
      <c r="Q99" s="69">
        <f>IFERROR(P99/P148, "NA")</f>
        <v>0.3104017222</v>
      </c>
      <c r="R99" s="67">
        <f>IFERROR(R90+R91+R92+R93+R94+R95+R96+R97+R98, "NA")</f>
        <v>12576.66</v>
      </c>
      <c r="S99" s="69">
        <f>IFERROR(R99/R148, "NA")</f>
        <v>0.2963164539</v>
      </c>
      <c r="T99" s="67">
        <f>IFERROR(T90+T91+T92+T93+T94+T95+T96+T97+T98, "NA")</f>
        <v>18427.5</v>
      </c>
      <c r="U99" s="69">
        <f>IFERROR(T99/T148, "NA")</f>
        <v>0.3054721918</v>
      </c>
      <c r="V99" s="67">
        <f>IFERROR(V90+V91+V92+V93+V94+V95+V96+V97+V98, "NA")</f>
        <v>18028.04</v>
      </c>
      <c r="W99" s="69">
        <f>IFERROR(V99/V148, "NA")</f>
        <v>0.3067488859</v>
      </c>
      <c r="X99" s="67">
        <f>IFERROR(X90+X91+X92+X93+X94+X95+X96+X97+X98, "NA")</f>
        <v>9955.29</v>
      </c>
      <c r="Y99" s="69">
        <f>IFERROR(X99/X148, "NA")</f>
        <v>0.2141980673</v>
      </c>
      <c r="Z99" s="67">
        <f>IFERROR(Z90+Z91+Z92+Z93+Z94+Z95+Z96+Z97+Z98, "NA")</f>
        <v>58987.49</v>
      </c>
      <c r="AA99" s="69">
        <f>IFERROR(Z99/Z148, "NA")</f>
        <v>0.2835714252</v>
      </c>
      <c r="AB99" s="67">
        <f t="shared" si="43"/>
        <v>14746.8725</v>
      </c>
      <c r="AC99" s="69">
        <f>IFERROR(AB99/AB148, "NA")</f>
        <v>0.2835714252</v>
      </c>
      <c r="AD99" s="70">
        <f t="shared" si="44"/>
        <v>-4791.5825</v>
      </c>
      <c r="AE99" s="71">
        <f>IFERROR(AD99/AD148, "NA")</f>
        <v>0.8669322994</v>
      </c>
      <c r="AF99" s="70">
        <f t="shared" si="45"/>
        <v>-0.3249219453</v>
      </c>
      <c r="AG99" s="67">
        <f t="shared" si="46"/>
        <v>14033.8225</v>
      </c>
      <c r="AH99" s="69">
        <f>IFERROR(AG99/AG148, "NA")</f>
        <v>0.2763898575</v>
      </c>
      <c r="AI99" s="70">
        <f t="shared" si="47"/>
        <v>-4078.5325</v>
      </c>
      <c r="AJ99" s="71">
        <f>IFERROR(AI99/AI148, "NA")</f>
        <v>0.9488420921</v>
      </c>
      <c r="AK99" s="70">
        <f t="shared" si="48"/>
        <v>-0.2906216393</v>
      </c>
      <c r="AL99" s="71">
        <f>IFERROR(AK99/AK148, "NA")</f>
        <v>3.432984483</v>
      </c>
    </row>
    <row r="100" ht="16.5" hidden="1" customHeight="1">
      <c r="A100" s="120" t="s">
        <v>6</v>
      </c>
      <c r="B100" s="121"/>
      <c r="C100" s="76"/>
      <c r="D100" s="121"/>
      <c r="E100" s="76"/>
      <c r="F100" s="121"/>
      <c r="G100" s="76"/>
      <c r="H100" s="121"/>
      <c r="I100" s="76"/>
      <c r="J100" s="121"/>
      <c r="K100" s="76"/>
      <c r="L100" s="121"/>
      <c r="M100" s="76"/>
      <c r="N100" s="121"/>
      <c r="O100" s="76"/>
      <c r="P100" s="121"/>
      <c r="Q100" s="76"/>
      <c r="R100" s="121"/>
      <c r="S100" s="76"/>
      <c r="T100" s="121"/>
      <c r="U100" s="76"/>
      <c r="V100" s="121"/>
      <c r="W100" s="76"/>
      <c r="X100" s="121"/>
      <c r="Y100" s="76"/>
      <c r="Z100" s="121"/>
      <c r="AA100" s="76"/>
      <c r="AB100" s="121"/>
      <c r="AC100" s="76"/>
      <c r="AD100" s="122"/>
      <c r="AE100" s="78"/>
      <c r="AF100" s="122"/>
      <c r="AG100" s="121"/>
      <c r="AH100" s="76"/>
      <c r="AI100" s="122"/>
      <c r="AJ100" s="78"/>
      <c r="AK100" s="122"/>
      <c r="AL100" s="78"/>
    </row>
    <row r="101" ht="16.5" hidden="1" customHeight="1">
      <c r="A101" s="118" t="s">
        <v>204</v>
      </c>
      <c r="B101" s="119">
        <f>IFERROR(B87-B99, "NA")</f>
        <v>5593.84</v>
      </c>
      <c r="C101" s="107">
        <f>IFERROR(B101/B148, "NA")</f>
        <v>0.1449957412</v>
      </c>
      <c r="D101" s="119">
        <f>IFERROR(D87-D99, "NA")</f>
        <v>8258.3</v>
      </c>
      <c r="E101" s="107">
        <f>IFERROR(D101/D148, "NA")</f>
        <v>0.183715946</v>
      </c>
      <c r="F101" s="119">
        <f>IFERROR(F87-F99, "NA")</f>
        <v>7469.35</v>
      </c>
      <c r="G101" s="107">
        <f>IFERROR(F101/F148, "NA")</f>
        <v>0.1812771712</v>
      </c>
      <c r="H101" s="119">
        <f>IFERROR(H87-H99, "NA")</f>
        <v>11962.84</v>
      </c>
      <c r="I101" s="107">
        <f>IFERROR(H101/H148, "NA")</f>
        <v>0.3086881803</v>
      </c>
      <c r="J101" s="119">
        <f>IFERROR(J87-J99, "NA")</f>
        <v>17772.08</v>
      </c>
      <c r="K101" s="107">
        <f>IFERROR(J101/J148, "NA")</f>
        <v>0.3397730994</v>
      </c>
      <c r="L101" s="119">
        <f>IFERROR(L87-L99, "NA")</f>
        <v>14932.24</v>
      </c>
      <c r="M101" s="107">
        <f>IFERROR(L101/L148, "NA")</f>
        <v>0.2954399268</v>
      </c>
      <c r="N101" s="119">
        <f>IFERROR(N87-N99, "NA")</f>
        <v>10251.05</v>
      </c>
      <c r="O101" s="107">
        <f>IFERROR(N101/N148, "NA")</f>
        <v>0.2167740099</v>
      </c>
      <c r="P101" s="119">
        <f>IFERROR(P87-P99, "NA")</f>
        <v>10724.1</v>
      </c>
      <c r="Q101" s="107">
        <f>IFERROR(P101/P148, "NA")</f>
        <v>0.2231857069</v>
      </c>
      <c r="R101" s="119">
        <f>IFERROR(R87-R99, "NA")</f>
        <v>10149.66</v>
      </c>
      <c r="S101" s="107">
        <f>IFERROR(R101/R148, "NA")</f>
        <v>0.2391343377</v>
      </c>
      <c r="T101" s="119">
        <f>IFERROR(T87-T99, "NA")</f>
        <v>15677.04</v>
      </c>
      <c r="U101" s="107">
        <f>IFERROR(T101/T148, "NA")</f>
        <v>0.2598778874</v>
      </c>
      <c r="V101" s="119">
        <f>IFERROR(V87-V99, "NA")</f>
        <v>15310.07</v>
      </c>
      <c r="W101" s="107">
        <f>IFERROR(V101/V148, "NA")</f>
        <v>0.2605023572</v>
      </c>
      <c r="X101" s="119">
        <f>IFERROR(X87-X99, "NA")</f>
        <v>16071.94</v>
      </c>
      <c r="Y101" s="107">
        <f>IFERROR(X101/X148, "NA")</f>
        <v>0.345803938</v>
      </c>
      <c r="Z101" s="119">
        <f>IFERROR(Z87-Z99, "NA")</f>
        <v>57208.71</v>
      </c>
      <c r="AA101" s="107">
        <f>IFERROR(Z101/Z148, "NA")</f>
        <v>0.27502027</v>
      </c>
      <c r="AB101" s="119">
        <f>IFERROR((R101+T101+V101+X101)/4, "NA")</f>
        <v>14302.1775</v>
      </c>
      <c r="AC101" s="107">
        <f>IFERROR(AB101/AB148, "NA")</f>
        <v>0.27502027</v>
      </c>
      <c r="AD101" s="70">
        <f>IFERROR(X101-AB101, "NA")</f>
        <v>1769.7625</v>
      </c>
      <c r="AE101" s="71">
        <f>IFERROR(AD101/AD148, "NA")</f>
        <v>-0.3201999075</v>
      </c>
      <c r="AF101" s="70">
        <f>IFERROR((X101-AB101)/AB101, "NA")</f>
        <v>0.123740773</v>
      </c>
      <c r="AG101" s="119">
        <f>IFERROR((J101+L101+N101+P101+R101+T101+V101+X101)/8, "NA")</f>
        <v>13861.0225</v>
      </c>
      <c r="AH101" s="107">
        <f>IFERROR(AG101/AG148, "NA")</f>
        <v>0.2729866388</v>
      </c>
      <c r="AI101" s="70">
        <f>IFERROR(X101-AG101, "NA")</f>
        <v>2210.9175</v>
      </c>
      <c r="AJ101" s="71">
        <f>IFERROR(AI101/AI148, "NA")</f>
        <v>-0.5143545101</v>
      </c>
      <c r="AK101" s="70">
        <f>IFERROR((X101-AG101)/AG101, "NA")</f>
        <v>0.1595060898</v>
      </c>
      <c r="AL101" s="71">
        <f>IFERROR(AK101/AK148, "NA")</f>
        <v>-1.88417467</v>
      </c>
    </row>
    <row r="102" ht="3.75" hidden="1" customHeight="1">
      <c r="A102" s="120" t="s">
        <v>6</v>
      </c>
      <c r="B102" s="121"/>
      <c r="C102" s="76"/>
      <c r="D102" s="121"/>
      <c r="E102" s="76"/>
      <c r="F102" s="121"/>
      <c r="G102" s="76"/>
      <c r="H102" s="121"/>
      <c r="I102" s="76"/>
      <c r="J102" s="121"/>
      <c r="K102" s="76"/>
      <c r="L102" s="121"/>
      <c r="M102" s="76"/>
      <c r="N102" s="121"/>
      <c r="O102" s="76"/>
      <c r="P102" s="121"/>
      <c r="Q102" s="76"/>
      <c r="R102" s="121"/>
      <c r="S102" s="76"/>
      <c r="T102" s="121"/>
      <c r="U102" s="76"/>
      <c r="V102" s="121"/>
      <c r="W102" s="76"/>
      <c r="X102" s="121"/>
      <c r="Y102" s="76"/>
      <c r="Z102" s="121"/>
      <c r="AA102" s="76"/>
      <c r="AB102" s="121"/>
      <c r="AC102" s="76"/>
      <c r="AD102" s="122"/>
      <c r="AE102" s="78"/>
      <c r="AF102" s="122"/>
      <c r="AG102" s="121"/>
      <c r="AH102" s="76"/>
      <c r="AI102" s="122"/>
      <c r="AJ102" s="78"/>
      <c r="AK102" s="122"/>
      <c r="AL102" s="78"/>
    </row>
    <row r="103" ht="16.5" hidden="1" customHeight="1">
      <c r="A103" s="17" t="s">
        <v>205</v>
      </c>
      <c r="B103" s="19"/>
      <c r="C103" s="13"/>
      <c r="D103" s="19"/>
      <c r="E103" s="13"/>
      <c r="F103" s="19"/>
      <c r="G103" s="13"/>
      <c r="H103" s="19"/>
      <c r="I103" s="13"/>
      <c r="J103" s="19"/>
      <c r="K103" s="13"/>
      <c r="L103" s="19"/>
      <c r="M103" s="13"/>
      <c r="N103" s="19"/>
      <c r="O103" s="13"/>
      <c r="P103" s="19"/>
      <c r="Q103" s="13"/>
      <c r="R103" s="19"/>
      <c r="S103" s="13"/>
      <c r="T103" s="19"/>
      <c r="U103" s="13"/>
      <c r="V103" s="19"/>
      <c r="W103" s="13"/>
      <c r="X103" s="19"/>
      <c r="Y103" s="13"/>
      <c r="Z103" s="19"/>
      <c r="AA103" s="13"/>
      <c r="AB103" s="19"/>
      <c r="AC103" s="13"/>
      <c r="AD103" s="24"/>
      <c r="AE103" s="25"/>
      <c r="AF103" s="24"/>
      <c r="AG103" s="19"/>
      <c r="AH103" s="13"/>
      <c r="AI103" s="24"/>
      <c r="AJ103" s="25"/>
      <c r="AK103" s="24"/>
      <c r="AL103" s="25"/>
    </row>
    <row r="104" ht="16.5" hidden="1" customHeight="1">
      <c r="A104" s="123" t="s">
        <v>206</v>
      </c>
      <c r="B104" s="124">
        <v>0.0</v>
      </c>
      <c r="C104" s="107">
        <f>IFERROR(B104/B148, "NA")</f>
        <v>0</v>
      </c>
      <c r="D104" s="124">
        <v>5271.3</v>
      </c>
      <c r="E104" s="107">
        <f>IFERROR(D104/D148, "NA")</f>
        <v>0.1172664915</v>
      </c>
      <c r="F104" s="124">
        <v>13092.189999999999</v>
      </c>
      <c r="G104" s="107">
        <f>IFERROR(F104/F148, "NA")</f>
        <v>0.317740522</v>
      </c>
      <c r="H104" s="124">
        <v>0.0</v>
      </c>
      <c r="I104" s="107">
        <f>IFERROR(H104/H148, "NA")</f>
        <v>0</v>
      </c>
      <c r="J104" s="124">
        <v>-544.22</v>
      </c>
      <c r="K104" s="107">
        <f>IFERROR(J104/J148, "NA")</f>
        <v>-0.01040459621</v>
      </c>
      <c r="L104" s="124">
        <v>0.0</v>
      </c>
      <c r="M104" s="107">
        <f>IFERROR(L104/L148, "NA")</f>
        <v>0</v>
      </c>
      <c r="N104" s="124">
        <v>3988.4500000000003</v>
      </c>
      <c r="O104" s="107">
        <f>IFERROR(N104/N148, "NA")</f>
        <v>0.08434182838</v>
      </c>
      <c r="P104" s="124">
        <v>16410.449999999997</v>
      </c>
      <c r="Q104" s="107">
        <f>IFERROR(P104/P148, "NA")</f>
        <v>0.3415277631</v>
      </c>
      <c r="R104" s="124">
        <v>-2574.0</v>
      </c>
      <c r="S104" s="107">
        <f>IFERROR(R104/R148, "NA")</f>
        <v>-0.06064555711</v>
      </c>
      <c r="T104" s="124">
        <v>0.0</v>
      </c>
      <c r="U104" s="107">
        <f>IFERROR(T104/T148, "NA")</f>
        <v>0</v>
      </c>
      <c r="V104" s="124">
        <v>5017.7300000000005</v>
      </c>
      <c r="W104" s="107">
        <f>IFERROR(V104/V148, "NA")</f>
        <v>0.08537717285</v>
      </c>
      <c r="X104" s="124">
        <v>2530.39</v>
      </c>
      <c r="Y104" s="107">
        <f>IFERROR(X104/X148, "NA")</f>
        <v>0.05444388335</v>
      </c>
      <c r="Z104" s="124">
        <v>4974.120000000001</v>
      </c>
      <c r="AA104" s="107">
        <f>IFERROR(Z104/Z148, "NA")</f>
        <v>0.02391215998</v>
      </c>
      <c r="AB104" s="119">
        <f t="shared" ref="AB104:AB105" si="49">IFERROR((R104+T104+V104+X104)/4, "NA")</f>
        <v>1243.53</v>
      </c>
      <c r="AC104" s="107">
        <f>IFERROR(AB104/AB148, "NA")</f>
        <v>0.02391215998</v>
      </c>
      <c r="AD104" s="70">
        <f t="shared" ref="AD104:AD105" si="50">IFERROR(X104-AB104, "NA")</f>
        <v>1286.86</v>
      </c>
      <c r="AE104" s="71">
        <f>IFERROR(AD104/AD148, "NA")</f>
        <v>-0.2328292373</v>
      </c>
      <c r="AF104" s="70">
        <f t="shared" ref="AF104:AF105" si="51">IFERROR((X104-AB104)/AB104, "NA")</f>
        <v>1.034844354</v>
      </c>
      <c r="AG104" s="119">
        <f t="shared" ref="AG104:AG105" si="52">IFERROR((J104+L104+N104+P104+R104+T104+V104+X104)/8, "NA")</f>
        <v>3103.6</v>
      </c>
      <c r="AH104" s="107">
        <f>IFERROR(AG104/AG148, "NA")</f>
        <v>0.06112401392</v>
      </c>
      <c r="AI104" s="70">
        <f t="shared" ref="AI104:AI105" si="53">IFERROR(X104-AG104, "NA")</f>
        <v>-573.21</v>
      </c>
      <c r="AJ104" s="71">
        <f>IFERROR(AI104/AI148, "NA")</f>
        <v>0.1333533019</v>
      </c>
      <c r="AK104" s="70">
        <f t="shared" ref="AK104:AK105" si="54">IFERROR((X104-AG104)/AG104, "NA")</f>
        <v>-0.1846919706</v>
      </c>
      <c r="AL104" s="71">
        <f>IFERROR(AK104/AK148, "NA")</f>
        <v>2.181684306</v>
      </c>
    </row>
    <row r="105" ht="16.5" hidden="1" customHeight="1">
      <c r="A105" s="66" t="s">
        <v>207</v>
      </c>
      <c r="B105" s="67">
        <f>IFERROR(B104, "NA")</f>
        <v>0</v>
      </c>
      <c r="C105" s="69">
        <f>IFERROR(B105/B148, "NA")</f>
        <v>0</v>
      </c>
      <c r="D105" s="67">
        <f>IFERROR(D104, "NA")</f>
        <v>5271.3</v>
      </c>
      <c r="E105" s="69">
        <f>IFERROR(D105/D148, "NA")</f>
        <v>0.1172664915</v>
      </c>
      <c r="F105" s="67">
        <f>IFERROR(F104, "NA")</f>
        <v>13092.19</v>
      </c>
      <c r="G105" s="69">
        <f>IFERROR(F105/F148, "NA")</f>
        <v>0.317740522</v>
      </c>
      <c r="H105" s="67">
        <f>IFERROR(H104, "NA")</f>
        <v>0</v>
      </c>
      <c r="I105" s="69">
        <f>IFERROR(H105/H148, "NA")</f>
        <v>0</v>
      </c>
      <c r="J105" s="67">
        <f>IFERROR(J104, "NA")</f>
        <v>-544.22</v>
      </c>
      <c r="K105" s="69">
        <f>IFERROR(J105/J148, "NA")</f>
        <v>-0.01040459621</v>
      </c>
      <c r="L105" s="67">
        <f>IFERROR(L104, "NA")</f>
        <v>0</v>
      </c>
      <c r="M105" s="69">
        <f>IFERROR(L105/L148, "NA")</f>
        <v>0</v>
      </c>
      <c r="N105" s="67">
        <f>IFERROR(N104, "NA")</f>
        <v>3988.45</v>
      </c>
      <c r="O105" s="69">
        <f>IFERROR(N105/N148, "NA")</f>
        <v>0.08434182838</v>
      </c>
      <c r="P105" s="67">
        <f>IFERROR(P104, "NA")</f>
        <v>16410.45</v>
      </c>
      <c r="Q105" s="69">
        <f>IFERROR(P105/P148, "NA")</f>
        <v>0.3415277631</v>
      </c>
      <c r="R105" s="67">
        <f>IFERROR(R104, "NA")</f>
        <v>-2574</v>
      </c>
      <c r="S105" s="69">
        <f>IFERROR(R105/R148, "NA")</f>
        <v>-0.06064555711</v>
      </c>
      <c r="T105" s="67">
        <f>IFERROR(T104, "NA")</f>
        <v>0</v>
      </c>
      <c r="U105" s="69">
        <f>IFERROR(T105/T148, "NA")</f>
        <v>0</v>
      </c>
      <c r="V105" s="67">
        <f>IFERROR(V104, "NA")</f>
        <v>5017.73</v>
      </c>
      <c r="W105" s="69">
        <f>IFERROR(V105/V148, "NA")</f>
        <v>0.08537717285</v>
      </c>
      <c r="X105" s="67">
        <f>IFERROR(X104, "NA")</f>
        <v>2530.39</v>
      </c>
      <c r="Y105" s="69">
        <f>IFERROR(X105/X148, "NA")</f>
        <v>0.05444388335</v>
      </c>
      <c r="Z105" s="67">
        <f>IFERROR(Z104, "NA")</f>
        <v>4974.12</v>
      </c>
      <c r="AA105" s="69">
        <f>IFERROR(Z105/Z148, "NA")</f>
        <v>0.02391215998</v>
      </c>
      <c r="AB105" s="67">
        <f t="shared" si="49"/>
        <v>1243.53</v>
      </c>
      <c r="AC105" s="69">
        <f>IFERROR(AB105/AB148, "NA")</f>
        <v>0.02391215998</v>
      </c>
      <c r="AD105" s="70">
        <f t="shared" si="50"/>
        <v>1286.86</v>
      </c>
      <c r="AE105" s="71">
        <f>IFERROR(AD105/AD148, "NA")</f>
        <v>-0.2328292373</v>
      </c>
      <c r="AF105" s="70">
        <f t="shared" si="51"/>
        <v>1.034844354</v>
      </c>
      <c r="AG105" s="67">
        <f t="shared" si="52"/>
        <v>3103.6</v>
      </c>
      <c r="AH105" s="69">
        <f>IFERROR(AG105/AG148, "NA")</f>
        <v>0.06112401392</v>
      </c>
      <c r="AI105" s="70">
        <f t="shared" si="53"/>
        <v>-573.21</v>
      </c>
      <c r="AJ105" s="71">
        <f>IFERROR(AI105/AI148, "NA")</f>
        <v>0.1333533019</v>
      </c>
      <c r="AK105" s="70">
        <f t="shared" si="54"/>
        <v>-0.1846919706</v>
      </c>
      <c r="AL105" s="71">
        <f>IFERROR(AK105/AK148, "NA")</f>
        <v>2.181684306</v>
      </c>
    </row>
    <row r="106" ht="16.5" hidden="1" customHeight="1">
      <c r="A106" s="120" t="s">
        <v>6</v>
      </c>
      <c r="B106" s="121"/>
      <c r="C106" s="76"/>
      <c r="D106" s="121"/>
      <c r="E106" s="76"/>
      <c r="F106" s="121"/>
      <c r="G106" s="76"/>
      <c r="H106" s="121"/>
      <c r="I106" s="76"/>
      <c r="J106" s="121"/>
      <c r="K106" s="76"/>
      <c r="L106" s="121"/>
      <c r="M106" s="76"/>
      <c r="N106" s="121"/>
      <c r="O106" s="76"/>
      <c r="P106" s="121"/>
      <c r="Q106" s="76"/>
      <c r="R106" s="121"/>
      <c r="S106" s="76"/>
      <c r="T106" s="121"/>
      <c r="U106" s="76"/>
      <c r="V106" s="121"/>
      <c r="W106" s="76"/>
      <c r="X106" s="121"/>
      <c r="Y106" s="76"/>
      <c r="Z106" s="121"/>
      <c r="AA106" s="76"/>
      <c r="AB106" s="121"/>
      <c r="AC106" s="76"/>
      <c r="AD106" s="122"/>
      <c r="AE106" s="78"/>
      <c r="AF106" s="122"/>
      <c r="AG106" s="121"/>
      <c r="AH106" s="76"/>
      <c r="AI106" s="122"/>
      <c r="AJ106" s="78"/>
      <c r="AK106" s="122"/>
      <c r="AL106" s="78"/>
    </row>
    <row r="107" ht="16.5" hidden="1" customHeight="1">
      <c r="A107" s="118" t="s">
        <v>208</v>
      </c>
      <c r="B107" s="119">
        <f>IFERROR(B87-B99-B105, "NA")</f>
        <v>5593.84</v>
      </c>
      <c r="C107" s="107">
        <f>IFERROR(B107/B148, "NA")</f>
        <v>0.1449957412</v>
      </c>
      <c r="D107" s="119">
        <f>IFERROR(D87-D99-D105, "NA")</f>
        <v>2987</v>
      </c>
      <c r="E107" s="107">
        <f>IFERROR(D107/D148, "NA")</f>
        <v>0.06644945459</v>
      </c>
      <c r="F107" s="119">
        <f>IFERROR(F87-F99-F105, "NA")</f>
        <v>-5622.84</v>
      </c>
      <c r="G107" s="107">
        <f>IFERROR(F107/F148, "NA")</f>
        <v>-0.1364633508</v>
      </c>
      <c r="H107" s="119">
        <f>IFERROR(H87-H99-H105, "NA")</f>
        <v>11962.84</v>
      </c>
      <c r="I107" s="107">
        <f>IFERROR(H107/H148, "NA")</f>
        <v>0.3086881803</v>
      </c>
      <c r="J107" s="119">
        <f>IFERROR(J87-J99-J105, "NA")</f>
        <v>18316.3</v>
      </c>
      <c r="K107" s="107">
        <f>IFERROR(J107/J148, "NA")</f>
        <v>0.3501776956</v>
      </c>
      <c r="L107" s="119">
        <f>IFERROR(L87-L99-L105, "NA")</f>
        <v>14932.24</v>
      </c>
      <c r="M107" s="107">
        <f>IFERROR(L107/L148, "NA")</f>
        <v>0.2954399268</v>
      </c>
      <c r="N107" s="119">
        <f>IFERROR(N87-N99-N105, "NA")</f>
        <v>6262.6</v>
      </c>
      <c r="O107" s="107">
        <f>IFERROR(N107/N148, "NA")</f>
        <v>0.1324321815</v>
      </c>
      <c r="P107" s="119">
        <f>IFERROR(P87-P99-P105, "NA")</f>
        <v>-5686.35</v>
      </c>
      <c r="Q107" s="107">
        <f>IFERROR(P107/P148, "NA")</f>
        <v>-0.1183420562</v>
      </c>
      <c r="R107" s="119">
        <f>IFERROR(R87-R99-R105, "NA")</f>
        <v>12723.66</v>
      </c>
      <c r="S107" s="107">
        <f>IFERROR(R107/R148, "NA")</f>
        <v>0.2997798948</v>
      </c>
      <c r="T107" s="119">
        <f>IFERROR(T87-T99-T105, "NA")</f>
        <v>15677.04</v>
      </c>
      <c r="U107" s="107">
        <f>IFERROR(T107/T148, "NA")</f>
        <v>0.2598778874</v>
      </c>
      <c r="V107" s="119">
        <f>IFERROR(V87-V99-V105, "NA")</f>
        <v>10292.34</v>
      </c>
      <c r="W107" s="107">
        <f>IFERROR(V107/V148, "NA")</f>
        <v>0.1751251843</v>
      </c>
      <c r="X107" s="119">
        <f>IFERROR(X87-X99-X105, "NA")</f>
        <v>13541.55</v>
      </c>
      <c r="Y107" s="107">
        <f>IFERROR(X107/X148, "NA")</f>
        <v>0.2913600546</v>
      </c>
      <c r="Z107" s="119">
        <f>IFERROR(Z87-Z99-Z105, "NA")</f>
        <v>52234.59</v>
      </c>
      <c r="AA107" s="107">
        <f>IFERROR(Z107/Z148, "NA")</f>
        <v>0.2511081101</v>
      </c>
      <c r="AB107" s="119">
        <f>IFERROR((R107+T107+V107+X107)/4, "NA")</f>
        <v>13058.6475</v>
      </c>
      <c r="AC107" s="107">
        <f>IFERROR(AB107/AB148, "NA")</f>
        <v>0.2511081101</v>
      </c>
      <c r="AD107" s="70">
        <f>IFERROR(X107-AB107, "NA")</f>
        <v>482.9025</v>
      </c>
      <c r="AE107" s="71">
        <f>IFERROR(AD107/AD148, "NA")</f>
        <v>-0.08737067028</v>
      </c>
      <c r="AF107" s="70">
        <f>IFERROR((X107-AB107)/AB107, "NA")</f>
        <v>0.03697951874</v>
      </c>
      <c r="AG107" s="119">
        <f>IFERROR((J107+L107+N107+P107+R107+T107+V107+X107)/8, "NA")</f>
        <v>10757.4225</v>
      </c>
      <c r="AH107" s="107">
        <f>IFERROR(AG107/AG148, "NA")</f>
        <v>0.2118626249</v>
      </c>
      <c r="AI107" s="70">
        <f>IFERROR(X107-AG107, "NA")</f>
        <v>2784.1275</v>
      </c>
      <c r="AJ107" s="71">
        <f>IFERROR(AI107/AI148, "NA")</f>
        <v>-0.647707812</v>
      </c>
      <c r="AK107" s="70">
        <f>IFERROR((X107-AG107)/AG107, "NA")</f>
        <v>0.2588099054</v>
      </c>
      <c r="AL107" s="71">
        <f>IFERROR(AK107/AK148, "NA")</f>
        <v>-3.057206585</v>
      </c>
    </row>
    <row r="108" ht="3.75" hidden="1" customHeight="1">
      <c r="A108" s="120" t="s">
        <v>6</v>
      </c>
      <c r="B108" s="121"/>
      <c r="C108" s="76"/>
      <c r="D108" s="121"/>
      <c r="E108" s="76"/>
      <c r="F108" s="121"/>
      <c r="G108" s="76"/>
      <c r="H108" s="121"/>
      <c r="I108" s="76"/>
      <c r="J108" s="121"/>
      <c r="K108" s="76"/>
      <c r="L108" s="121"/>
      <c r="M108" s="76"/>
      <c r="N108" s="121"/>
      <c r="O108" s="76"/>
      <c r="P108" s="121"/>
      <c r="Q108" s="76"/>
      <c r="R108" s="121"/>
      <c r="S108" s="76"/>
      <c r="T108" s="121"/>
      <c r="U108" s="76"/>
      <c r="V108" s="121"/>
      <c r="W108" s="76"/>
      <c r="X108" s="121"/>
      <c r="Y108" s="76"/>
      <c r="Z108" s="121"/>
      <c r="AA108" s="76"/>
      <c r="AB108" s="121"/>
      <c r="AC108" s="76"/>
      <c r="AD108" s="122"/>
      <c r="AE108" s="78"/>
      <c r="AF108" s="122"/>
      <c r="AG108" s="121"/>
      <c r="AH108" s="76"/>
      <c r="AI108" s="122"/>
      <c r="AJ108" s="78"/>
      <c r="AK108" s="122"/>
      <c r="AL108" s="78"/>
    </row>
    <row r="109" ht="16.5" hidden="1" customHeight="1">
      <c r="A109" s="17" t="s">
        <v>209</v>
      </c>
      <c r="B109" s="19"/>
      <c r="C109" s="13"/>
      <c r="D109" s="19"/>
      <c r="E109" s="13"/>
      <c r="F109" s="19"/>
      <c r="G109" s="13"/>
      <c r="H109" s="19"/>
      <c r="I109" s="13"/>
      <c r="J109" s="19"/>
      <c r="K109" s="13"/>
      <c r="L109" s="19"/>
      <c r="M109" s="13"/>
      <c r="N109" s="19"/>
      <c r="O109" s="13"/>
      <c r="P109" s="19"/>
      <c r="Q109" s="13"/>
      <c r="R109" s="19"/>
      <c r="S109" s="13"/>
      <c r="T109" s="19"/>
      <c r="U109" s="13"/>
      <c r="V109" s="19"/>
      <c r="W109" s="13"/>
      <c r="X109" s="19"/>
      <c r="Y109" s="13"/>
      <c r="Z109" s="19"/>
      <c r="AA109" s="13"/>
      <c r="AB109" s="19"/>
      <c r="AC109" s="13"/>
      <c r="AD109" s="24"/>
      <c r="AE109" s="25"/>
      <c r="AF109" s="24"/>
      <c r="AG109" s="19"/>
      <c r="AH109" s="13"/>
      <c r="AI109" s="24"/>
      <c r="AJ109" s="25"/>
      <c r="AK109" s="24"/>
      <c r="AL109" s="25"/>
    </row>
    <row r="110" ht="16.5" hidden="1" customHeight="1">
      <c r="A110" s="26" t="s">
        <v>210</v>
      </c>
      <c r="B110" s="27">
        <v>0.0</v>
      </c>
      <c r="C110" s="23">
        <f>IFERROR(B110/B148, "NA")</f>
        <v>0</v>
      </c>
      <c r="D110" s="27">
        <v>0.0</v>
      </c>
      <c r="E110" s="23">
        <f>IFERROR(D110/D148, "NA")</f>
        <v>0</v>
      </c>
      <c r="F110" s="27">
        <v>0.0</v>
      </c>
      <c r="G110" s="23">
        <f>IFERROR(F110/F148, "NA")</f>
        <v>0</v>
      </c>
      <c r="H110" s="27">
        <v>0.0</v>
      </c>
      <c r="I110" s="23">
        <f>IFERROR(H110/H148, "NA")</f>
        <v>0</v>
      </c>
      <c r="J110" s="27">
        <v>0.0</v>
      </c>
      <c r="K110" s="23">
        <f>IFERROR(J110/J148, "NA")</f>
        <v>0</v>
      </c>
      <c r="L110" s="27">
        <v>0.0</v>
      </c>
      <c r="M110" s="23">
        <f>IFERROR(L110/L148, "NA")</f>
        <v>0</v>
      </c>
      <c r="N110" s="27">
        <v>0.0</v>
      </c>
      <c r="O110" s="23">
        <f>IFERROR(N110/N148, "NA")</f>
        <v>0</v>
      </c>
      <c r="P110" s="27">
        <v>0.0</v>
      </c>
      <c r="Q110" s="23">
        <f>IFERROR(P110/P148, "NA")</f>
        <v>0</v>
      </c>
      <c r="R110" s="27">
        <v>0.0</v>
      </c>
      <c r="S110" s="23">
        <f>IFERROR(R110/R148, "NA")</f>
        <v>0</v>
      </c>
      <c r="T110" s="27">
        <v>0.0</v>
      </c>
      <c r="U110" s="23">
        <f>IFERROR(T110/T148, "NA")</f>
        <v>0</v>
      </c>
      <c r="V110" s="27">
        <v>0.0</v>
      </c>
      <c r="W110" s="23">
        <f>IFERROR(V110/V148, "NA")</f>
        <v>0</v>
      </c>
      <c r="X110" s="27">
        <v>0.0</v>
      </c>
      <c r="Y110" s="23">
        <f>IFERROR(X110/X148, "NA")</f>
        <v>0</v>
      </c>
      <c r="Z110" s="27">
        <v>0.0</v>
      </c>
      <c r="AA110" s="23">
        <f>IFERROR(Z110/Z148, "NA")</f>
        <v>0</v>
      </c>
      <c r="AB110" s="59">
        <f t="shared" ref="AB110:AB135" si="55">IFERROR((R110+T110+V110+X110)/4, "NA")</f>
        <v>0</v>
      </c>
      <c r="AC110" s="23">
        <f>IFERROR(AB110/AB148, "NA")</f>
        <v>0</v>
      </c>
      <c r="AD110" s="61">
        <f t="shared" ref="AD110:AD135" si="56">IFERROR(X110-AB110, "NA")</f>
        <v>0</v>
      </c>
      <c r="AE110" s="63">
        <f>IFERROR(AD110/AD148, "NA")</f>
        <v>0</v>
      </c>
      <c r="AF110" s="61" t="str">
        <f t="shared" ref="AF110:AF135" si="57">IFERROR((X110-AB110)/AB110, "NA")</f>
        <v>NA</v>
      </c>
      <c r="AG110" s="59">
        <f t="shared" ref="AG110:AG135" si="58">IFERROR((J110+L110+N110+P110+R110+T110+V110+X110)/8, "NA")</f>
        <v>0</v>
      </c>
      <c r="AH110" s="23">
        <f>IFERROR(AG110/AG148, "NA")</f>
        <v>0</v>
      </c>
      <c r="AI110" s="61">
        <f t="shared" ref="AI110:AI135" si="59">IFERROR(X110-AG110, "NA")</f>
        <v>0</v>
      </c>
      <c r="AJ110" s="63">
        <f>IFERROR(AI110/AI148, "NA")</f>
        <v>0</v>
      </c>
      <c r="AK110" s="61" t="str">
        <f t="shared" ref="AK110:AK135" si="60">IFERROR((X110-AG110)/AG110, "NA")</f>
        <v>NA</v>
      </c>
      <c r="AL110" s="63" t="str">
        <f>IFERROR(AK110/AK148, "NA")</f>
        <v>NA</v>
      </c>
    </row>
    <row r="111" ht="16.5" hidden="1" customHeight="1">
      <c r="A111" s="26" t="s">
        <v>211</v>
      </c>
      <c r="B111" s="27">
        <v>0.0</v>
      </c>
      <c r="C111" s="23">
        <f>IFERROR(B111/B148, "NA")</f>
        <v>0</v>
      </c>
      <c r="D111" s="27">
        <v>0.0</v>
      </c>
      <c r="E111" s="23">
        <f>IFERROR(D111/D148, "NA")</f>
        <v>0</v>
      </c>
      <c r="F111" s="27">
        <v>0.0</v>
      </c>
      <c r="G111" s="23">
        <f>IFERROR(F111/F148, "NA")</f>
        <v>0</v>
      </c>
      <c r="H111" s="27">
        <v>0.0</v>
      </c>
      <c r="I111" s="23">
        <f>IFERROR(H111/H148, "NA")</f>
        <v>0</v>
      </c>
      <c r="J111" s="27">
        <v>0.0</v>
      </c>
      <c r="K111" s="23">
        <f>IFERROR(J111/J148, "NA")</f>
        <v>0</v>
      </c>
      <c r="L111" s="27">
        <v>0.0</v>
      </c>
      <c r="M111" s="23">
        <f>IFERROR(L111/L148, "NA")</f>
        <v>0</v>
      </c>
      <c r="N111" s="27">
        <v>0.0</v>
      </c>
      <c r="O111" s="23">
        <f>IFERROR(N111/N148, "NA")</f>
        <v>0</v>
      </c>
      <c r="P111" s="27">
        <v>0.0</v>
      </c>
      <c r="Q111" s="23">
        <f>IFERROR(P111/P148, "NA")</f>
        <v>0</v>
      </c>
      <c r="R111" s="27">
        <v>0.0</v>
      </c>
      <c r="S111" s="23">
        <f>IFERROR(R111/R148, "NA")</f>
        <v>0</v>
      </c>
      <c r="T111" s="27">
        <v>0.0</v>
      </c>
      <c r="U111" s="23">
        <f>IFERROR(T111/T148, "NA")</f>
        <v>0</v>
      </c>
      <c r="V111" s="27">
        <v>0.0</v>
      </c>
      <c r="W111" s="23">
        <f>IFERROR(V111/V148, "NA")</f>
        <v>0</v>
      </c>
      <c r="X111" s="27">
        <v>0.0</v>
      </c>
      <c r="Y111" s="23">
        <f>IFERROR(X111/X148, "NA")</f>
        <v>0</v>
      </c>
      <c r="Z111" s="27">
        <v>0.0</v>
      </c>
      <c r="AA111" s="23">
        <f>IFERROR(Z111/Z148, "NA")</f>
        <v>0</v>
      </c>
      <c r="AB111" s="59">
        <f t="shared" si="55"/>
        <v>0</v>
      </c>
      <c r="AC111" s="23">
        <f>IFERROR(AB111/AB148, "NA")</f>
        <v>0</v>
      </c>
      <c r="AD111" s="61">
        <f t="shared" si="56"/>
        <v>0</v>
      </c>
      <c r="AE111" s="63">
        <f>IFERROR(AD111/AD148, "NA")</f>
        <v>0</v>
      </c>
      <c r="AF111" s="61" t="str">
        <f t="shared" si="57"/>
        <v>NA</v>
      </c>
      <c r="AG111" s="59">
        <f t="shared" si="58"/>
        <v>0</v>
      </c>
      <c r="AH111" s="23">
        <f>IFERROR(AG111/AG148, "NA")</f>
        <v>0</v>
      </c>
      <c r="AI111" s="61">
        <f t="shared" si="59"/>
        <v>0</v>
      </c>
      <c r="AJ111" s="63">
        <f>IFERROR(AI111/AI148, "NA")</f>
        <v>0</v>
      </c>
      <c r="AK111" s="61" t="str">
        <f t="shared" si="60"/>
        <v>NA</v>
      </c>
      <c r="AL111" s="63" t="str">
        <f>IFERROR(AK111/AK148, "NA")</f>
        <v>NA</v>
      </c>
    </row>
    <row r="112" ht="16.5" hidden="1" customHeight="1">
      <c r="A112" s="26" t="s">
        <v>212</v>
      </c>
      <c r="B112" s="27">
        <v>0.0</v>
      </c>
      <c r="C112" s="23">
        <f>IFERROR(B112/B148, "NA")</f>
        <v>0</v>
      </c>
      <c r="D112" s="27">
        <v>0.0</v>
      </c>
      <c r="E112" s="23">
        <f>IFERROR(D112/D148, "NA")</f>
        <v>0</v>
      </c>
      <c r="F112" s="27">
        <v>0.0</v>
      </c>
      <c r="G112" s="23">
        <f>IFERROR(F112/F148, "NA")</f>
        <v>0</v>
      </c>
      <c r="H112" s="27">
        <v>0.0</v>
      </c>
      <c r="I112" s="23">
        <f>IFERROR(H112/H148, "NA")</f>
        <v>0</v>
      </c>
      <c r="J112" s="27">
        <v>0.0</v>
      </c>
      <c r="K112" s="23">
        <f>IFERROR(J112/J148, "NA")</f>
        <v>0</v>
      </c>
      <c r="L112" s="27">
        <v>0.0</v>
      </c>
      <c r="M112" s="23">
        <f>IFERROR(L112/L148, "NA")</f>
        <v>0</v>
      </c>
      <c r="N112" s="27">
        <v>0.0</v>
      </c>
      <c r="O112" s="23">
        <f>IFERROR(N112/N148, "NA")</f>
        <v>0</v>
      </c>
      <c r="P112" s="27">
        <v>0.0</v>
      </c>
      <c r="Q112" s="23">
        <f>IFERROR(P112/P148, "NA")</f>
        <v>0</v>
      </c>
      <c r="R112" s="27">
        <v>0.0</v>
      </c>
      <c r="S112" s="23">
        <f>IFERROR(R112/R148, "NA")</f>
        <v>0</v>
      </c>
      <c r="T112" s="27">
        <v>0.0</v>
      </c>
      <c r="U112" s="23">
        <f>IFERROR(T112/T148, "NA")</f>
        <v>0</v>
      </c>
      <c r="V112" s="27">
        <v>0.0</v>
      </c>
      <c r="W112" s="23">
        <f>IFERROR(V112/V148, "NA")</f>
        <v>0</v>
      </c>
      <c r="X112" s="27">
        <v>0.0</v>
      </c>
      <c r="Y112" s="23">
        <f>IFERROR(X112/X148, "NA")</f>
        <v>0</v>
      </c>
      <c r="Z112" s="27">
        <v>0.0</v>
      </c>
      <c r="AA112" s="23">
        <f>IFERROR(Z112/Z148, "NA")</f>
        <v>0</v>
      </c>
      <c r="AB112" s="59">
        <f t="shared" si="55"/>
        <v>0</v>
      </c>
      <c r="AC112" s="23">
        <f>IFERROR(AB112/AB148, "NA")</f>
        <v>0</v>
      </c>
      <c r="AD112" s="61">
        <f t="shared" si="56"/>
        <v>0</v>
      </c>
      <c r="AE112" s="63">
        <f>IFERROR(AD112/AD148, "NA")</f>
        <v>0</v>
      </c>
      <c r="AF112" s="61" t="str">
        <f t="shared" si="57"/>
        <v>NA</v>
      </c>
      <c r="AG112" s="59">
        <f t="shared" si="58"/>
        <v>0</v>
      </c>
      <c r="AH112" s="23">
        <f>IFERROR(AG112/AG148, "NA")</f>
        <v>0</v>
      </c>
      <c r="AI112" s="61">
        <f t="shared" si="59"/>
        <v>0</v>
      </c>
      <c r="AJ112" s="63">
        <f>IFERROR(AI112/AI148, "NA")</f>
        <v>0</v>
      </c>
      <c r="AK112" s="61" t="str">
        <f t="shared" si="60"/>
        <v>NA</v>
      </c>
      <c r="AL112" s="63" t="str">
        <f>IFERROR(AK112/AK148, "NA")</f>
        <v>NA</v>
      </c>
    </row>
    <row r="113" ht="16.5" hidden="1" customHeight="1">
      <c r="A113" s="26" t="s">
        <v>213</v>
      </c>
      <c r="B113" s="27">
        <v>0.0</v>
      </c>
      <c r="C113" s="23">
        <f>IFERROR(B113/B148, "NA")</f>
        <v>0</v>
      </c>
      <c r="D113" s="27">
        <v>0.0</v>
      </c>
      <c r="E113" s="23">
        <f>IFERROR(D113/D148, "NA")</f>
        <v>0</v>
      </c>
      <c r="F113" s="27">
        <v>0.0</v>
      </c>
      <c r="G113" s="23">
        <f>IFERROR(F113/F148, "NA")</f>
        <v>0</v>
      </c>
      <c r="H113" s="27">
        <v>0.0</v>
      </c>
      <c r="I113" s="23">
        <f>IFERROR(H113/H148, "NA")</f>
        <v>0</v>
      </c>
      <c r="J113" s="27">
        <v>0.0</v>
      </c>
      <c r="K113" s="23">
        <f>IFERROR(J113/J148, "NA")</f>
        <v>0</v>
      </c>
      <c r="L113" s="27">
        <v>0.0</v>
      </c>
      <c r="M113" s="23">
        <f>IFERROR(L113/L148, "NA")</f>
        <v>0</v>
      </c>
      <c r="N113" s="27">
        <v>0.0</v>
      </c>
      <c r="O113" s="23">
        <f>IFERROR(N113/N148, "NA")</f>
        <v>0</v>
      </c>
      <c r="P113" s="27">
        <v>0.0</v>
      </c>
      <c r="Q113" s="23">
        <f>IFERROR(P113/P148, "NA")</f>
        <v>0</v>
      </c>
      <c r="R113" s="27">
        <v>0.0</v>
      </c>
      <c r="S113" s="23">
        <f>IFERROR(R113/R148, "NA")</f>
        <v>0</v>
      </c>
      <c r="T113" s="27">
        <v>0.0</v>
      </c>
      <c r="U113" s="23">
        <f>IFERROR(T113/T148, "NA")</f>
        <v>0</v>
      </c>
      <c r="V113" s="27">
        <v>0.0</v>
      </c>
      <c r="W113" s="23">
        <f>IFERROR(V113/V148, "NA")</f>
        <v>0</v>
      </c>
      <c r="X113" s="27">
        <v>0.0</v>
      </c>
      <c r="Y113" s="23">
        <f>IFERROR(X113/X148, "NA")</f>
        <v>0</v>
      </c>
      <c r="Z113" s="27">
        <v>0.0</v>
      </c>
      <c r="AA113" s="23">
        <f>IFERROR(Z113/Z148, "NA")</f>
        <v>0</v>
      </c>
      <c r="AB113" s="59">
        <f t="shared" si="55"/>
        <v>0</v>
      </c>
      <c r="AC113" s="23">
        <f>IFERROR(AB113/AB148, "NA")</f>
        <v>0</v>
      </c>
      <c r="AD113" s="61">
        <f t="shared" si="56"/>
        <v>0</v>
      </c>
      <c r="AE113" s="63">
        <f>IFERROR(AD113/AD148, "NA")</f>
        <v>0</v>
      </c>
      <c r="AF113" s="61" t="str">
        <f t="shared" si="57"/>
        <v>NA</v>
      </c>
      <c r="AG113" s="59">
        <f t="shared" si="58"/>
        <v>0</v>
      </c>
      <c r="AH113" s="23">
        <f>IFERROR(AG113/AG148, "NA")</f>
        <v>0</v>
      </c>
      <c r="AI113" s="61">
        <f t="shared" si="59"/>
        <v>0</v>
      </c>
      <c r="AJ113" s="63">
        <f>IFERROR(AI113/AI148, "NA")</f>
        <v>0</v>
      </c>
      <c r="AK113" s="61" t="str">
        <f t="shared" si="60"/>
        <v>NA</v>
      </c>
      <c r="AL113" s="63" t="str">
        <f>IFERROR(AK113/AK148, "NA")</f>
        <v>NA</v>
      </c>
    </row>
    <row r="114" ht="16.5" hidden="1" customHeight="1">
      <c r="A114" s="26" t="s">
        <v>214</v>
      </c>
      <c r="B114" s="27">
        <v>0.0</v>
      </c>
      <c r="C114" s="23">
        <f>IFERROR(B114/B148, "NA")</f>
        <v>0</v>
      </c>
      <c r="D114" s="27">
        <v>0.0</v>
      </c>
      <c r="E114" s="23">
        <f>IFERROR(D114/D148, "NA")</f>
        <v>0</v>
      </c>
      <c r="F114" s="27">
        <v>0.0</v>
      </c>
      <c r="G114" s="23">
        <f>IFERROR(F114/F148, "NA")</f>
        <v>0</v>
      </c>
      <c r="H114" s="27">
        <v>0.0</v>
      </c>
      <c r="I114" s="23">
        <f>IFERROR(H114/H148, "NA")</f>
        <v>0</v>
      </c>
      <c r="J114" s="27">
        <v>0.0</v>
      </c>
      <c r="K114" s="23">
        <f>IFERROR(J114/J148, "NA")</f>
        <v>0</v>
      </c>
      <c r="L114" s="27">
        <v>0.0</v>
      </c>
      <c r="M114" s="23">
        <f>IFERROR(L114/L148, "NA")</f>
        <v>0</v>
      </c>
      <c r="N114" s="27">
        <v>0.0</v>
      </c>
      <c r="O114" s="23">
        <f>IFERROR(N114/N148, "NA")</f>
        <v>0</v>
      </c>
      <c r="P114" s="27">
        <v>0.0</v>
      </c>
      <c r="Q114" s="23">
        <f>IFERROR(P114/P148, "NA")</f>
        <v>0</v>
      </c>
      <c r="R114" s="27">
        <v>0.0</v>
      </c>
      <c r="S114" s="23">
        <f>IFERROR(R114/R148, "NA")</f>
        <v>0</v>
      </c>
      <c r="T114" s="27">
        <v>0.0</v>
      </c>
      <c r="U114" s="23">
        <f>IFERROR(T114/T148, "NA")</f>
        <v>0</v>
      </c>
      <c r="V114" s="27">
        <v>0.0</v>
      </c>
      <c r="W114" s="23">
        <f>IFERROR(V114/V148, "NA")</f>
        <v>0</v>
      </c>
      <c r="X114" s="27">
        <v>0.0</v>
      </c>
      <c r="Y114" s="23">
        <f>IFERROR(X114/X148, "NA")</f>
        <v>0</v>
      </c>
      <c r="Z114" s="27">
        <v>0.0</v>
      </c>
      <c r="AA114" s="23">
        <f>IFERROR(Z114/Z148, "NA")</f>
        <v>0</v>
      </c>
      <c r="AB114" s="59">
        <f t="shared" si="55"/>
        <v>0</v>
      </c>
      <c r="AC114" s="23">
        <f>IFERROR(AB114/AB148, "NA")</f>
        <v>0</v>
      </c>
      <c r="AD114" s="61">
        <f t="shared" si="56"/>
        <v>0</v>
      </c>
      <c r="AE114" s="63">
        <f>IFERROR(AD114/AD148, "NA")</f>
        <v>0</v>
      </c>
      <c r="AF114" s="61" t="str">
        <f t="shared" si="57"/>
        <v>NA</v>
      </c>
      <c r="AG114" s="59">
        <f t="shared" si="58"/>
        <v>0</v>
      </c>
      <c r="AH114" s="23">
        <f>IFERROR(AG114/AG148, "NA")</f>
        <v>0</v>
      </c>
      <c r="AI114" s="61">
        <f t="shared" si="59"/>
        <v>0</v>
      </c>
      <c r="AJ114" s="63">
        <f>IFERROR(AI114/AI148, "NA")</f>
        <v>0</v>
      </c>
      <c r="AK114" s="61" t="str">
        <f t="shared" si="60"/>
        <v>NA</v>
      </c>
      <c r="AL114" s="63" t="str">
        <f>IFERROR(AK114/AK148, "NA")</f>
        <v>NA</v>
      </c>
    </row>
    <row r="115" ht="16.5" hidden="1" customHeight="1">
      <c r="A115" s="26" t="s">
        <v>215</v>
      </c>
      <c r="B115" s="27">
        <v>0.0</v>
      </c>
      <c r="C115" s="23">
        <f>IFERROR(B115/B148, "NA")</f>
        <v>0</v>
      </c>
      <c r="D115" s="27">
        <v>0.0</v>
      </c>
      <c r="E115" s="23">
        <f>IFERROR(D115/D148, "NA")</f>
        <v>0</v>
      </c>
      <c r="F115" s="27">
        <v>0.0</v>
      </c>
      <c r="G115" s="23">
        <f>IFERROR(F115/F148, "NA")</f>
        <v>0</v>
      </c>
      <c r="H115" s="27">
        <v>0.0</v>
      </c>
      <c r="I115" s="23">
        <f>IFERROR(H115/H148, "NA")</f>
        <v>0</v>
      </c>
      <c r="J115" s="27">
        <v>0.0</v>
      </c>
      <c r="K115" s="23">
        <f>IFERROR(J115/J148, "NA")</f>
        <v>0</v>
      </c>
      <c r="L115" s="27">
        <v>0.0</v>
      </c>
      <c r="M115" s="23">
        <f>IFERROR(L115/L148, "NA")</f>
        <v>0</v>
      </c>
      <c r="N115" s="27">
        <v>0.0</v>
      </c>
      <c r="O115" s="23">
        <f>IFERROR(N115/N148, "NA")</f>
        <v>0</v>
      </c>
      <c r="P115" s="27">
        <v>0.0</v>
      </c>
      <c r="Q115" s="23">
        <f>IFERROR(P115/P148, "NA")</f>
        <v>0</v>
      </c>
      <c r="R115" s="27">
        <v>0.0</v>
      </c>
      <c r="S115" s="23">
        <f>IFERROR(R115/R148, "NA")</f>
        <v>0</v>
      </c>
      <c r="T115" s="27">
        <v>0.0</v>
      </c>
      <c r="U115" s="23">
        <f>IFERROR(T115/T148, "NA")</f>
        <v>0</v>
      </c>
      <c r="V115" s="27">
        <v>0.0</v>
      </c>
      <c r="W115" s="23">
        <f>IFERROR(V115/V148, "NA")</f>
        <v>0</v>
      </c>
      <c r="X115" s="27">
        <v>0.0</v>
      </c>
      <c r="Y115" s="23">
        <f>IFERROR(X115/X148, "NA")</f>
        <v>0</v>
      </c>
      <c r="Z115" s="27">
        <v>0.0</v>
      </c>
      <c r="AA115" s="23">
        <f>IFERROR(Z115/Z148, "NA")</f>
        <v>0</v>
      </c>
      <c r="AB115" s="59">
        <f t="shared" si="55"/>
        <v>0</v>
      </c>
      <c r="AC115" s="23">
        <f>IFERROR(AB115/AB148, "NA")</f>
        <v>0</v>
      </c>
      <c r="AD115" s="61">
        <f t="shared" si="56"/>
        <v>0</v>
      </c>
      <c r="AE115" s="63">
        <f>IFERROR(AD115/AD148, "NA")</f>
        <v>0</v>
      </c>
      <c r="AF115" s="61" t="str">
        <f t="shared" si="57"/>
        <v>NA</v>
      </c>
      <c r="AG115" s="59">
        <f t="shared" si="58"/>
        <v>0</v>
      </c>
      <c r="AH115" s="23">
        <f>IFERROR(AG115/AG148, "NA")</f>
        <v>0</v>
      </c>
      <c r="AI115" s="61">
        <f t="shared" si="59"/>
        <v>0</v>
      </c>
      <c r="AJ115" s="63">
        <f>IFERROR(AI115/AI148, "NA")</f>
        <v>0</v>
      </c>
      <c r="AK115" s="61" t="str">
        <f t="shared" si="60"/>
        <v>NA</v>
      </c>
      <c r="AL115" s="63" t="str">
        <f>IFERROR(AK115/AK148, "NA")</f>
        <v>NA</v>
      </c>
    </row>
    <row r="116" ht="16.5" hidden="1" customHeight="1">
      <c r="A116" s="26" t="s">
        <v>216</v>
      </c>
      <c r="B116" s="27">
        <v>0.0</v>
      </c>
      <c r="C116" s="23">
        <f>IFERROR(B116/B148, "NA")</f>
        <v>0</v>
      </c>
      <c r="D116" s="27">
        <v>0.0</v>
      </c>
      <c r="E116" s="23">
        <f>IFERROR(D116/D148, "NA")</f>
        <v>0</v>
      </c>
      <c r="F116" s="27">
        <v>0.0</v>
      </c>
      <c r="G116" s="23">
        <f>IFERROR(F116/F148, "NA")</f>
        <v>0</v>
      </c>
      <c r="H116" s="27">
        <v>0.0</v>
      </c>
      <c r="I116" s="23">
        <f>IFERROR(H116/H148, "NA")</f>
        <v>0</v>
      </c>
      <c r="J116" s="27">
        <v>0.0</v>
      </c>
      <c r="K116" s="23">
        <f>IFERROR(J116/J148, "NA")</f>
        <v>0</v>
      </c>
      <c r="L116" s="27">
        <v>0.0</v>
      </c>
      <c r="M116" s="23">
        <f>IFERROR(L116/L148, "NA")</f>
        <v>0</v>
      </c>
      <c r="N116" s="27">
        <v>0.0</v>
      </c>
      <c r="O116" s="23">
        <f>IFERROR(N116/N148, "NA")</f>
        <v>0</v>
      </c>
      <c r="P116" s="27">
        <v>0.0</v>
      </c>
      <c r="Q116" s="23">
        <f>IFERROR(P116/P148, "NA")</f>
        <v>0</v>
      </c>
      <c r="R116" s="27">
        <v>0.0</v>
      </c>
      <c r="S116" s="23">
        <f>IFERROR(R116/R148, "NA")</f>
        <v>0</v>
      </c>
      <c r="T116" s="27">
        <v>0.0</v>
      </c>
      <c r="U116" s="23">
        <f>IFERROR(T116/T148, "NA")</f>
        <v>0</v>
      </c>
      <c r="V116" s="27">
        <v>0.0</v>
      </c>
      <c r="W116" s="23">
        <f>IFERROR(V116/V148, "NA")</f>
        <v>0</v>
      </c>
      <c r="X116" s="27">
        <v>0.0</v>
      </c>
      <c r="Y116" s="23">
        <f>IFERROR(X116/X148, "NA")</f>
        <v>0</v>
      </c>
      <c r="Z116" s="27">
        <v>0.0</v>
      </c>
      <c r="AA116" s="23">
        <f>IFERROR(Z116/Z148, "NA")</f>
        <v>0</v>
      </c>
      <c r="AB116" s="59">
        <f t="shared" si="55"/>
        <v>0</v>
      </c>
      <c r="AC116" s="23">
        <f>IFERROR(AB116/AB148, "NA")</f>
        <v>0</v>
      </c>
      <c r="AD116" s="61">
        <f t="shared" si="56"/>
        <v>0</v>
      </c>
      <c r="AE116" s="63">
        <f>IFERROR(AD116/AD148, "NA")</f>
        <v>0</v>
      </c>
      <c r="AF116" s="61" t="str">
        <f t="shared" si="57"/>
        <v>NA</v>
      </c>
      <c r="AG116" s="59">
        <f t="shared" si="58"/>
        <v>0</v>
      </c>
      <c r="AH116" s="23">
        <f>IFERROR(AG116/AG148, "NA")</f>
        <v>0</v>
      </c>
      <c r="AI116" s="61">
        <f t="shared" si="59"/>
        <v>0</v>
      </c>
      <c r="AJ116" s="63">
        <f>IFERROR(AI116/AI148, "NA")</f>
        <v>0</v>
      </c>
      <c r="AK116" s="61" t="str">
        <f t="shared" si="60"/>
        <v>NA</v>
      </c>
      <c r="AL116" s="63" t="str">
        <f>IFERROR(AK116/AK148, "NA")</f>
        <v>NA</v>
      </c>
    </row>
    <row r="117" ht="16.5" hidden="1" customHeight="1">
      <c r="A117" s="26" t="s">
        <v>217</v>
      </c>
      <c r="B117" s="27">
        <v>0.0</v>
      </c>
      <c r="C117" s="23">
        <f>IFERROR(B117/B148, "NA")</f>
        <v>0</v>
      </c>
      <c r="D117" s="27">
        <v>0.0</v>
      </c>
      <c r="E117" s="23">
        <f>IFERROR(D117/D148, "NA")</f>
        <v>0</v>
      </c>
      <c r="F117" s="27">
        <v>0.0</v>
      </c>
      <c r="G117" s="23">
        <f>IFERROR(F117/F148, "NA")</f>
        <v>0</v>
      </c>
      <c r="H117" s="27">
        <v>0.0</v>
      </c>
      <c r="I117" s="23">
        <f>IFERROR(H117/H148, "NA")</f>
        <v>0</v>
      </c>
      <c r="J117" s="27">
        <v>0.0</v>
      </c>
      <c r="K117" s="23">
        <f>IFERROR(J117/J148, "NA")</f>
        <v>0</v>
      </c>
      <c r="L117" s="27">
        <v>0.0</v>
      </c>
      <c r="M117" s="23">
        <f>IFERROR(L117/L148, "NA")</f>
        <v>0</v>
      </c>
      <c r="N117" s="27">
        <v>0.0</v>
      </c>
      <c r="O117" s="23">
        <f>IFERROR(N117/N148, "NA")</f>
        <v>0</v>
      </c>
      <c r="P117" s="27">
        <v>0.0</v>
      </c>
      <c r="Q117" s="23">
        <f>IFERROR(P117/P148, "NA")</f>
        <v>0</v>
      </c>
      <c r="R117" s="27">
        <v>0.0</v>
      </c>
      <c r="S117" s="23">
        <f>IFERROR(R117/R148, "NA")</f>
        <v>0</v>
      </c>
      <c r="T117" s="27">
        <v>0.0</v>
      </c>
      <c r="U117" s="23">
        <f>IFERROR(T117/T148, "NA")</f>
        <v>0</v>
      </c>
      <c r="V117" s="27">
        <v>0.0</v>
      </c>
      <c r="W117" s="23">
        <f>IFERROR(V117/V148, "NA")</f>
        <v>0</v>
      </c>
      <c r="X117" s="27">
        <v>0.0</v>
      </c>
      <c r="Y117" s="23">
        <f>IFERROR(X117/X148, "NA")</f>
        <v>0</v>
      </c>
      <c r="Z117" s="27">
        <v>0.0</v>
      </c>
      <c r="AA117" s="23">
        <f>IFERROR(Z117/Z148, "NA")</f>
        <v>0</v>
      </c>
      <c r="AB117" s="59">
        <f t="shared" si="55"/>
        <v>0</v>
      </c>
      <c r="AC117" s="23">
        <f>IFERROR(AB117/AB148, "NA")</f>
        <v>0</v>
      </c>
      <c r="AD117" s="61">
        <f t="shared" si="56"/>
        <v>0</v>
      </c>
      <c r="AE117" s="63">
        <f>IFERROR(AD117/AD148, "NA")</f>
        <v>0</v>
      </c>
      <c r="AF117" s="61" t="str">
        <f t="shared" si="57"/>
        <v>NA</v>
      </c>
      <c r="AG117" s="59">
        <f t="shared" si="58"/>
        <v>0</v>
      </c>
      <c r="AH117" s="23">
        <f>IFERROR(AG117/AG148, "NA")</f>
        <v>0</v>
      </c>
      <c r="AI117" s="61">
        <f t="shared" si="59"/>
        <v>0</v>
      </c>
      <c r="AJ117" s="63">
        <f>IFERROR(AI117/AI148, "NA")</f>
        <v>0</v>
      </c>
      <c r="AK117" s="61" t="str">
        <f t="shared" si="60"/>
        <v>NA</v>
      </c>
      <c r="AL117" s="63" t="str">
        <f>IFERROR(AK117/AK148, "NA")</f>
        <v>NA</v>
      </c>
    </row>
    <row r="118" ht="16.5" hidden="1" customHeight="1">
      <c r="A118" s="26" t="s">
        <v>218</v>
      </c>
      <c r="B118" s="27">
        <v>0.0</v>
      </c>
      <c r="C118" s="23">
        <f>IFERROR(B118/B148, "NA")</f>
        <v>0</v>
      </c>
      <c r="D118" s="27">
        <v>0.0</v>
      </c>
      <c r="E118" s="23">
        <f>IFERROR(D118/D148, "NA")</f>
        <v>0</v>
      </c>
      <c r="F118" s="27">
        <v>0.0</v>
      </c>
      <c r="G118" s="23">
        <f>IFERROR(F118/F148, "NA")</f>
        <v>0</v>
      </c>
      <c r="H118" s="27">
        <v>0.0</v>
      </c>
      <c r="I118" s="23">
        <f>IFERROR(H118/H148, "NA")</f>
        <v>0</v>
      </c>
      <c r="J118" s="27">
        <v>0.0</v>
      </c>
      <c r="K118" s="23">
        <f>IFERROR(J118/J148, "NA")</f>
        <v>0</v>
      </c>
      <c r="L118" s="27">
        <v>0.0</v>
      </c>
      <c r="M118" s="23">
        <f>IFERROR(L118/L148, "NA")</f>
        <v>0</v>
      </c>
      <c r="N118" s="27">
        <v>0.0</v>
      </c>
      <c r="O118" s="23">
        <f>IFERROR(N118/N148, "NA")</f>
        <v>0</v>
      </c>
      <c r="P118" s="27">
        <v>0.0</v>
      </c>
      <c r="Q118" s="23">
        <f>IFERROR(P118/P148, "NA")</f>
        <v>0</v>
      </c>
      <c r="R118" s="27">
        <v>0.0</v>
      </c>
      <c r="S118" s="23">
        <f>IFERROR(R118/R148, "NA")</f>
        <v>0</v>
      </c>
      <c r="T118" s="27">
        <v>0.0</v>
      </c>
      <c r="U118" s="23">
        <f>IFERROR(T118/T148, "NA")</f>
        <v>0</v>
      </c>
      <c r="V118" s="27">
        <v>0.0</v>
      </c>
      <c r="W118" s="23">
        <f>IFERROR(V118/V148, "NA")</f>
        <v>0</v>
      </c>
      <c r="X118" s="27">
        <v>0.0</v>
      </c>
      <c r="Y118" s="23">
        <f>IFERROR(X118/X148, "NA")</f>
        <v>0</v>
      </c>
      <c r="Z118" s="27">
        <v>0.0</v>
      </c>
      <c r="AA118" s="23">
        <f>IFERROR(Z118/Z148, "NA")</f>
        <v>0</v>
      </c>
      <c r="AB118" s="59">
        <f t="shared" si="55"/>
        <v>0</v>
      </c>
      <c r="AC118" s="23">
        <f>IFERROR(AB118/AB148, "NA")</f>
        <v>0</v>
      </c>
      <c r="AD118" s="61">
        <f t="shared" si="56"/>
        <v>0</v>
      </c>
      <c r="AE118" s="63">
        <f>IFERROR(AD118/AD148, "NA")</f>
        <v>0</v>
      </c>
      <c r="AF118" s="61" t="str">
        <f t="shared" si="57"/>
        <v>NA</v>
      </c>
      <c r="AG118" s="59">
        <f t="shared" si="58"/>
        <v>0</v>
      </c>
      <c r="AH118" s="23">
        <f>IFERROR(AG118/AG148, "NA")</f>
        <v>0</v>
      </c>
      <c r="AI118" s="61">
        <f t="shared" si="59"/>
        <v>0</v>
      </c>
      <c r="AJ118" s="63">
        <f>IFERROR(AI118/AI148, "NA")</f>
        <v>0</v>
      </c>
      <c r="AK118" s="61" t="str">
        <f t="shared" si="60"/>
        <v>NA</v>
      </c>
      <c r="AL118" s="63" t="str">
        <f>IFERROR(AK118/AK148, "NA")</f>
        <v>NA</v>
      </c>
    </row>
    <row r="119" ht="16.5" hidden="1" customHeight="1">
      <c r="A119" s="26" t="s">
        <v>219</v>
      </c>
      <c r="B119" s="27">
        <v>0.0</v>
      </c>
      <c r="C119" s="23">
        <f>IFERROR(B119/B148, "NA")</f>
        <v>0</v>
      </c>
      <c r="D119" s="27">
        <v>0.0</v>
      </c>
      <c r="E119" s="23">
        <f>IFERROR(D119/D148, "NA")</f>
        <v>0</v>
      </c>
      <c r="F119" s="27">
        <v>0.0</v>
      </c>
      <c r="G119" s="23">
        <f>IFERROR(F119/F148, "NA")</f>
        <v>0</v>
      </c>
      <c r="H119" s="27">
        <v>0.0</v>
      </c>
      <c r="I119" s="23">
        <f>IFERROR(H119/H148, "NA")</f>
        <v>0</v>
      </c>
      <c r="J119" s="27">
        <v>0.0</v>
      </c>
      <c r="K119" s="23">
        <f>IFERROR(J119/J148, "NA")</f>
        <v>0</v>
      </c>
      <c r="L119" s="27">
        <v>0.0</v>
      </c>
      <c r="M119" s="23">
        <f>IFERROR(L119/L148, "NA")</f>
        <v>0</v>
      </c>
      <c r="N119" s="27">
        <v>0.0</v>
      </c>
      <c r="O119" s="23">
        <f>IFERROR(N119/N148, "NA")</f>
        <v>0</v>
      </c>
      <c r="P119" s="27">
        <v>0.0</v>
      </c>
      <c r="Q119" s="23">
        <f>IFERROR(P119/P148, "NA")</f>
        <v>0</v>
      </c>
      <c r="R119" s="27">
        <v>0.0</v>
      </c>
      <c r="S119" s="23">
        <f>IFERROR(R119/R148, "NA")</f>
        <v>0</v>
      </c>
      <c r="T119" s="27">
        <v>0.0</v>
      </c>
      <c r="U119" s="23">
        <f>IFERROR(T119/T148, "NA")</f>
        <v>0</v>
      </c>
      <c r="V119" s="27">
        <v>0.0</v>
      </c>
      <c r="W119" s="23">
        <f>IFERROR(V119/V148, "NA")</f>
        <v>0</v>
      </c>
      <c r="X119" s="27">
        <v>0.0</v>
      </c>
      <c r="Y119" s="23">
        <f>IFERROR(X119/X148, "NA")</f>
        <v>0</v>
      </c>
      <c r="Z119" s="27">
        <v>0.0</v>
      </c>
      <c r="AA119" s="23">
        <f>IFERROR(Z119/Z148, "NA")</f>
        <v>0</v>
      </c>
      <c r="AB119" s="59">
        <f t="shared" si="55"/>
        <v>0</v>
      </c>
      <c r="AC119" s="23">
        <f>IFERROR(AB119/AB148, "NA")</f>
        <v>0</v>
      </c>
      <c r="AD119" s="61">
        <f t="shared" si="56"/>
        <v>0</v>
      </c>
      <c r="AE119" s="63">
        <f>IFERROR(AD119/AD148, "NA")</f>
        <v>0</v>
      </c>
      <c r="AF119" s="61" t="str">
        <f t="shared" si="57"/>
        <v>NA</v>
      </c>
      <c r="AG119" s="59">
        <f t="shared" si="58"/>
        <v>0</v>
      </c>
      <c r="AH119" s="23">
        <f>IFERROR(AG119/AG148, "NA")</f>
        <v>0</v>
      </c>
      <c r="AI119" s="61">
        <f t="shared" si="59"/>
        <v>0</v>
      </c>
      <c r="AJ119" s="63">
        <f>IFERROR(AI119/AI148, "NA")</f>
        <v>0</v>
      </c>
      <c r="AK119" s="61" t="str">
        <f t="shared" si="60"/>
        <v>NA</v>
      </c>
      <c r="AL119" s="63" t="str">
        <f>IFERROR(AK119/AK148, "NA")</f>
        <v>NA</v>
      </c>
    </row>
    <row r="120" ht="16.5" hidden="1" customHeight="1">
      <c r="A120" s="26" t="s">
        <v>220</v>
      </c>
      <c r="B120" s="27">
        <v>0.0</v>
      </c>
      <c r="C120" s="23">
        <f>IFERROR(B120/B148, "NA")</f>
        <v>0</v>
      </c>
      <c r="D120" s="27">
        <v>0.0</v>
      </c>
      <c r="E120" s="23">
        <f>IFERROR(D120/D148, "NA")</f>
        <v>0</v>
      </c>
      <c r="F120" s="27">
        <v>0.0</v>
      </c>
      <c r="G120" s="23">
        <f>IFERROR(F120/F148, "NA")</f>
        <v>0</v>
      </c>
      <c r="H120" s="27">
        <v>0.0</v>
      </c>
      <c r="I120" s="23">
        <f>IFERROR(H120/H148, "NA")</f>
        <v>0</v>
      </c>
      <c r="J120" s="27">
        <v>0.0</v>
      </c>
      <c r="K120" s="23">
        <f>IFERROR(J120/J148, "NA")</f>
        <v>0</v>
      </c>
      <c r="L120" s="27">
        <v>0.0</v>
      </c>
      <c r="M120" s="23">
        <f>IFERROR(L120/L148, "NA")</f>
        <v>0</v>
      </c>
      <c r="N120" s="27">
        <v>0.0</v>
      </c>
      <c r="O120" s="23">
        <f>IFERROR(N120/N148, "NA")</f>
        <v>0</v>
      </c>
      <c r="P120" s="27">
        <v>0.0</v>
      </c>
      <c r="Q120" s="23">
        <f>IFERROR(P120/P148, "NA")</f>
        <v>0</v>
      </c>
      <c r="R120" s="27">
        <v>0.0</v>
      </c>
      <c r="S120" s="23">
        <f>IFERROR(R120/R148, "NA")</f>
        <v>0</v>
      </c>
      <c r="T120" s="27">
        <v>0.0</v>
      </c>
      <c r="U120" s="23">
        <f>IFERROR(T120/T148, "NA")</f>
        <v>0</v>
      </c>
      <c r="V120" s="27">
        <v>0.0</v>
      </c>
      <c r="W120" s="23">
        <f>IFERROR(V120/V148, "NA")</f>
        <v>0</v>
      </c>
      <c r="X120" s="27">
        <v>0.0</v>
      </c>
      <c r="Y120" s="23">
        <f>IFERROR(X120/X148, "NA")</f>
        <v>0</v>
      </c>
      <c r="Z120" s="27">
        <v>0.0</v>
      </c>
      <c r="AA120" s="23">
        <f>IFERROR(Z120/Z148, "NA")</f>
        <v>0</v>
      </c>
      <c r="AB120" s="59">
        <f t="shared" si="55"/>
        <v>0</v>
      </c>
      <c r="AC120" s="23">
        <f>IFERROR(AB120/AB148, "NA")</f>
        <v>0</v>
      </c>
      <c r="AD120" s="61">
        <f t="shared" si="56"/>
        <v>0</v>
      </c>
      <c r="AE120" s="63">
        <f>IFERROR(AD120/AD148, "NA")</f>
        <v>0</v>
      </c>
      <c r="AF120" s="61" t="str">
        <f t="shared" si="57"/>
        <v>NA</v>
      </c>
      <c r="AG120" s="59">
        <f t="shared" si="58"/>
        <v>0</v>
      </c>
      <c r="AH120" s="23">
        <f>IFERROR(AG120/AG148, "NA")</f>
        <v>0</v>
      </c>
      <c r="AI120" s="61">
        <f t="shared" si="59"/>
        <v>0</v>
      </c>
      <c r="AJ120" s="63">
        <f>IFERROR(AI120/AI148, "NA")</f>
        <v>0</v>
      </c>
      <c r="AK120" s="61" t="str">
        <f t="shared" si="60"/>
        <v>NA</v>
      </c>
      <c r="AL120" s="63" t="str">
        <f>IFERROR(AK120/AK148, "NA")</f>
        <v>NA</v>
      </c>
    </row>
    <row r="121" ht="16.5" hidden="1" customHeight="1">
      <c r="A121" s="26" t="s">
        <v>221</v>
      </c>
      <c r="B121" s="27">
        <v>0.0</v>
      </c>
      <c r="C121" s="23">
        <f>IFERROR(B121/B148, "NA")</f>
        <v>0</v>
      </c>
      <c r="D121" s="27">
        <v>0.0</v>
      </c>
      <c r="E121" s="23">
        <f>IFERROR(D121/D148, "NA")</f>
        <v>0</v>
      </c>
      <c r="F121" s="27">
        <v>0.0</v>
      </c>
      <c r="G121" s="23">
        <f>IFERROR(F121/F148, "NA")</f>
        <v>0</v>
      </c>
      <c r="H121" s="27">
        <v>0.0</v>
      </c>
      <c r="I121" s="23">
        <f>IFERROR(H121/H148, "NA")</f>
        <v>0</v>
      </c>
      <c r="J121" s="27">
        <v>0.0</v>
      </c>
      <c r="K121" s="23">
        <f>IFERROR(J121/J148, "NA")</f>
        <v>0</v>
      </c>
      <c r="L121" s="27">
        <v>0.0</v>
      </c>
      <c r="M121" s="23">
        <f>IFERROR(L121/L148, "NA")</f>
        <v>0</v>
      </c>
      <c r="N121" s="27">
        <v>0.0</v>
      </c>
      <c r="O121" s="23">
        <f>IFERROR(N121/N148, "NA")</f>
        <v>0</v>
      </c>
      <c r="P121" s="27">
        <v>0.0</v>
      </c>
      <c r="Q121" s="23">
        <f>IFERROR(P121/P148, "NA")</f>
        <v>0</v>
      </c>
      <c r="R121" s="27">
        <v>0.0</v>
      </c>
      <c r="S121" s="23">
        <f>IFERROR(R121/R148, "NA")</f>
        <v>0</v>
      </c>
      <c r="T121" s="27">
        <v>0.0</v>
      </c>
      <c r="U121" s="23">
        <f>IFERROR(T121/T148, "NA")</f>
        <v>0</v>
      </c>
      <c r="V121" s="27">
        <v>0.0</v>
      </c>
      <c r="W121" s="23">
        <f>IFERROR(V121/V148, "NA")</f>
        <v>0</v>
      </c>
      <c r="X121" s="27">
        <v>0.0</v>
      </c>
      <c r="Y121" s="23">
        <f>IFERROR(X121/X148, "NA")</f>
        <v>0</v>
      </c>
      <c r="Z121" s="27">
        <v>0.0</v>
      </c>
      <c r="AA121" s="23">
        <f>IFERROR(Z121/Z148, "NA")</f>
        <v>0</v>
      </c>
      <c r="AB121" s="59">
        <f t="shared" si="55"/>
        <v>0</v>
      </c>
      <c r="AC121" s="23">
        <f>IFERROR(AB121/AB148, "NA")</f>
        <v>0</v>
      </c>
      <c r="AD121" s="61">
        <f t="shared" si="56"/>
        <v>0</v>
      </c>
      <c r="AE121" s="63">
        <f>IFERROR(AD121/AD148, "NA")</f>
        <v>0</v>
      </c>
      <c r="AF121" s="61" t="str">
        <f t="shared" si="57"/>
        <v>NA</v>
      </c>
      <c r="AG121" s="59">
        <f t="shared" si="58"/>
        <v>0</v>
      </c>
      <c r="AH121" s="23">
        <f>IFERROR(AG121/AG148, "NA")</f>
        <v>0</v>
      </c>
      <c r="AI121" s="61">
        <f t="shared" si="59"/>
        <v>0</v>
      </c>
      <c r="AJ121" s="63">
        <f>IFERROR(AI121/AI148, "NA")</f>
        <v>0</v>
      </c>
      <c r="AK121" s="61" t="str">
        <f t="shared" si="60"/>
        <v>NA</v>
      </c>
      <c r="AL121" s="63" t="str">
        <f>IFERROR(AK121/AK148, "NA")</f>
        <v>NA</v>
      </c>
    </row>
    <row r="122" ht="16.5" hidden="1" customHeight="1">
      <c r="A122" s="26" t="s">
        <v>222</v>
      </c>
      <c r="B122" s="27">
        <v>0.0</v>
      </c>
      <c r="C122" s="23">
        <f>IFERROR(B122/B148, "NA")</f>
        <v>0</v>
      </c>
      <c r="D122" s="27">
        <v>0.0</v>
      </c>
      <c r="E122" s="23">
        <f>IFERROR(D122/D148, "NA")</f>
        <v>0</v>
      </c>
      <c r="F122" s="27">
        <v>0.0</v>
      </c>
      <c r="G122" s="23">
        <f>IFERROR(F122/F148, "NA")</f>
        <v>0</v>
      </c>
      <c r="H122" s="27">
        <v>0.0</v>
      </c>
      <c r="I122" s="23">
        <f>IFERROR(H122/H148, "NA")</f>
        <v>0</v>
      </c>
      <c r="J122" s="27">
        <v>0.0</v>
      </c>
      <c r="K122" s="23">
        <f>IFERROR(J122/J148, "NA")</f>
        <v>0</v>
      </c>
      <c r="L122" s="27">
        <v>0.0</v>
      </c>
      <c r="M122" s="23">
        <f>IFERROR(L122/L148, "NA")</f>
        <v>0</v>
      </c>
      <c r="N122" s="27">
        <v>0.0</v>
      </c>
      <c r="O122" s="23">
        <f>IFERROR(N122/N148, "NA")</f>
        <v>0</v>
      </c>
      <c r="P122" s="27">
        <v>0.0</v>
      </c>
      <c r="Q122" s="23">
        <f>IFERROR(P122/P148, "NA")</f>
        <v>0</v>
      </c>
      <c r="R122" s="27">
        <v>0.0</v>
      </c>
      <c r="S122" s="23">
        <f>IFERROR(R122/R148, "NA")</f>
        <v>0</v>
      </c>
      <c r="T122" s="27">
        <v>0.0</v>
      </c>
      <c r="U122" s="23">
        <f>IFERROR(T122/T148, "NA")</f>
        <v>0</v>
      </c>
      <c r="V122" s="27">
        <v>0.0</v>
      </c>
      <c r="W122" s="23">
        <f>IFERROR(V122/V148, "NA")</f>
        <v>0</v>
      </c>
      <c r="X122" s="27">
        <v>0.0</v>
      </c>
      <c r="Y122" s="23">
        <f>IFERROR(X122/X148, "NA")</f>
        <v>0</v>
      </c>
      <c r="Z122" s="27">
        <v>0.0</v>
      </c>
      <c r="AA122" s="23">
        <f>IFERROR(Z122/Z148, "NA")</f>
        <v>0</v>
      </c>
      <c r="AB122" s="59">
        <f t="shared" si="55"/>
        <v>0</v>
      </c>
      <c r="AC122" s="23">
        <f>IFERROR(AB122/AB148, "NA")</f>
        <v>0</v>
      </c>
      <c r="AD122" s="61">
        <f t="shared" si="56"/>
        <v>0</v>
      </c>
      <c r="AE122" s="63">
        <f>IFERROR(AD122/AD148, "NA")</f>
        <v>0</v>
      </c>
      <c r="AF122" s="61" t="str">
        <f t="shared" si="57"/>
        <v>NA</v>
      </c>
      <c r="AG122" s="59">
        <f t="shared" si="58"/>
        <v>0</v>
      </c>
      <c r="AH122" s="23">
        <f>IFERROR(AG122/AG148, "NA")</f>
        <v>0</v>
      </c>
      <c r="AI122" s="61">
        <f t="shared" si="59"/>
        <v>0</v>
      </c>
      <c r="AJ122" s="63">
        <f>IFERROR(AI122/AI148, "NA")</f>
        <v>0</v>
      </c>
      <c r="AK122" s="61" t="str">
        <f t="shared" si="60"/>
        <v>NA</v>
      </c>
      <c r="AL122" s="63" t="str">
        <f>IFERROR(AK122/AK148, "NA")</f>
        <v>NA</v>
      </c>
    </row>
    <row r="123" ht="16.5" hidden="1" customHeight="1">
      <c r="A123" s="26" t="s">
        <v>223</v>
      </c>
      <c r="B123" s="27">
        <v>0.0</v>
      </c>
      <c r="C123" s="23">
        <f>IFERROR(B123/B148, "NA")</f>
        <v>0</v>
      </c>
      <c r="D123" s="27">
        <v>0.0</v>
      </c>
      <c r="E123" s="23">
        <f>IFERROR(D123/D148, "NA")</f>
        <v>0</v>
      </c>
      <c r="F123" s="27">
        <v>0.0</v>
      </c>
      <c r="G123" s="23">
        <f>IFERROR(F123/F148, "NA")</f>
        <v>0</v>
      </c>
      <c r="H123" s="27">
        <v>0.0</v>
      </c>
      <c r="I123" s="23">
        <f>IFERROR(H123/H148, "NA")</f>
        <v>0</v>
      </c>
      <c r="J123" s="27">
        <v>0.0</v>
      </c>
      <c r="K123" s="23">
        <f>IFERROR(J123/J148, "NA")</f>
        <v>0</v>
      </c>
      <c r="L123" s="27">
        <v>0.0</v>
      </c>
      <c r="M123" s="23">
        <f>IFERROR(L123/L148, "NA")</f>
        <v>0</v>
      </c>
      <c r="N123" s="27">
        <v>0.0</v>
      </c>
      <c r="O123" s="23">
        <f>IFERROR(N123/N148, "NA")</f>
        <v>0</v>
      </c>
      <c r="P123" s="27">
        <v>0.0</v>
      </c>
      <c r="Q123" s="23">
        <f>IFERROR(P123/P148, "NA")</f>
        <v>0</v>
      </c>
      <c r="R123" s="27">
        <v>0.0</v>
      </c>
      <c r="S123" s="23">
        <f>IFERROR(R123/R148, "NA")</f>
        <v>0</v>
      </c>
      <c r="T123" s="27">
        <v>0.0</v>
      </c>
      <c r="U123" s="23">
        <f>IFERROR(T123/T148, "NA")</f>
        <v>0</v>
      </c>
      <c r="V123" s="27">
        <v>0.0</v>
      </c>
      <c r="W123" s="23">
        <f>IFERROR(V123/V148, "NA")</f>
        <v>0</v>
      </c>
      <c r="X123" s="27">
        <v>0.0</v>
      </c>
      <c r="Y123" s="23">
        <f>IFERROR(X123/X148, "NA")</f>
        <v>0</v>
      </c>
      <c r="Z123" s="27">
        <v>0.0</v>
      </c>
      <c r="AA123" s="23">
        <f>IFERROR(Z123/Z148, "NA")</f>
        <v>0</v>
      </c>
      <c r="AB123" s="59">
        <f t="shared" si="55"/>
        <v>0</v>
      </c>
      <c r="AC123" s="23">
        <f>IFERROR(AB123/AB148, "NA")</f>
        <v>0</v>
      </c>
      <c r="AD123" s="61">
        <f t="shared" si="56"/>
        <v>0</v>
      </c>
      <c r="AE123" s="63">
        <f>IFERROR(AD123/AD148, "NA")</f>
        <v>0</v>
      </c>
      <c r="AF123" s="61" t="str">
        <f t="shared" si="57"/>
        <v>NA</v>
      </c>
      <c r="AG123" s="59">
        <f t="shared" si="58"/>
        <v>0</v>
      </c>
      <c r="AH123" s="23">
        <f>IFERROR(AG123/AG148, "NA")</f>
        <v>0</v>
      </c>
      <c r="AI123" s="61">
        <f t="shared" si="59"/>
        <v>0</v>
      </c>
      <c r="AJ123" s="63">
        <f>IFERROR(AI123/AI148, "NA")</f>
        <v>0</v>
      </c>
      <c r="AK123" s="61" t="str">
        <f t="shared" si="60"/>
        <v>NA</v>
      </c>
      <c r="AL123" s="63" t="str">
        <f>IFERROR(AK123/AK148, "NA")</f>
        <v>NA</v>
      </c>
    </row>
    <row r="124" ht="16.5" hidden="1" customHeight="1">
      <c r="A124" s="26" t="s">
        <v>224</v>
      </c>
      <c r="B124" s="27">
        <v>0.0</v>
      </c>
      <c r="C124" s="23">
        <f>IFERROR(B124/B148, "NA")</f>
        <v>0</v>
      </c>
      <c r="D124" s="27">
        <v>0.0</v>
      </c>
      <c r="E124" s="23">
        <f>IFERROR(D124/D148, "NA")</f>
        <v>0</v>
      </c>
      <c r="F124" s="27">
        <v>0.0</v>
      </c>
      <c r="G124" s="23">
        <f>IFERROR(F124/F148, "NA")</f>
        <v>0</v>
      </c>
      <c r="H124" s="27">
        <v>0.0</v>
      </c>
      <c r="I124" s="23">
        <f>IFERROR(H124/H148, "NA")</f>
        <v>0</v>
      </c>
      <c r="J124" s="27">
        <v>0.0</v>
      </c>
      <c r="K124" s="23">
        <f>IFERROR(J124/J148, "NA")</f>
        <v>0</v>
      </c>
      <c r="L124" s="27">
        <v>0.0</v>
      </c>
      <c r="M124" s="23">
        <f>IFERROR(L124/L148, "NA")</f>
        <v>0</v>
      </c>
      <c r="N124" s="27">
        <v>0.0</v>
      </c>
      <c r="O124" s="23">
        <f>IFERROR(N124/N148, "NA")</f>
        <v>0</v>
      </c>
      <c r="P124" s="27">
        <v>0.0</v>
      </c>
      <c r="Q124" s="23">
        <f>IFERROR(P124/P148, "NA")</f>
        <v>0</v>
      </c>
      <c r="R124" s="27">
        <v>0.0</v>
      </c>
      <c r="S124" s="23">
        <f>IFERROR(R124/R148, "NA")</f>
        <v>0</v>
      </c>
      <c r="T124" s="27">
        <v>0.0</v>
      </c>
      <c r="U124" s="23">
        <f>IFERROR(T124/T148, "NA")</f>
        <v>0</v>
      </c>
      <c r="V124" s="27">
        <v>0.0</v>
      </c>
      <c r="W124" s="23">
        <f>IFERROR(V124/V148, "NA")</f>
        <v>0</v>
      </c>
      <c r="X124" s="27">
        <v>0.0</v>
      </c>
      <c r="Y124" s="23">
        <f>IFERROR(X124/X148, "NA")</f>
        <v>0</v>
      </c>
      <c r="Z124" s="27">
        <v>0.0</v>
      </c>
      <c r="AA124" s="23">
        <f>IFERROR(Z124/Z148, "NA")</f>
        <v>0</v>
      </c>
      <c r="AB124" s="59">
        <f t="shared" si="55"/>
        <v>0</v>
      </c>
      <c r="AC124" s="23">
        <f>IFERROR(AB124/AB148, "NA")</f>
        <v>0</v>
      </c>
      <c r="AD124" s="61">
        <f t="shared" si="56"/>
        <v>0</v>
      </c>
      <c r="AE124" s="63">
        <f>IFERROR(AD124/AD148, "NA")</f>
        <v>0</v>
      </c>
      <c r="AF124" s="61" t="str">
        <f t="shared" si="57"/>
        <v>NA</v>
      </c>
      <c r="AG124" s="59">
        <f t="shared" si="58"/>
        <v>0</v>
      </c>
      <c r="AH124" s="23">
        <f>IFERROR(AG124/AG148, "NA")</f>
        <v>0</v>
      </c>
      <c r="AI124" s="61">
        <f t="shared" si="59"/>
        <v>0</v>
      </c>
      <c r="AJ124" s="63">
        <f>IFERROR(AI124/AI148, "NA")</f>
        <v>0</v>
      </c>
      <c r="AK124" s="61" t="str">
        <f t="shared" si="60"/>
        <v>NA</v>
      </c>
      <c r="AL124" s="63" t="str">
        <f>IFERROR(AK124/AK148, "NA")</f>
        <v>NA</v>
      </c>
    </row>
    <row r="125" ht="16.5" hidden="1" customHeight="1">
      <c r="A125" s="26" t="s">
        <v>225</v>
      </c>
      <c r="B125" s="27">
        <v>0.0</v>
      </c>
      <c r="C125" s="23">
        <f>IFERROR(B125/B148, "NA")</f>
        <v>0</v>
      </c>
      <c r="D125" s="27">
        <v>0.0</v>
      </c>
      <c r="E125" s="23">
        <f>IFERROR(D125/D148, "NA")</f>
        <v>0</v>
      </c>
      <c r="F125" s="27">
        <v>0.0</v>
      </c>
      <c r="G125" s="23">
        <f>IFERROR(F125/F148, "NA")</f>
        <v>0</v>
      </c>
      <c r="H125" s="27">
        <v>0.0</v>
      </c>
      <c r="I125" s="23">
        <f>IFERROR(H125/H148, "NA")</f>
        <v>0</v>
      </c>
      <c r="J125" s="27">
        <v>0.0</v>
      </c>
      <c r="K125" s="23">
        <f>IFERROR(J125/J148, "NA")</f>
        <v>0</v>
      </c>
      <c r="L125" s="27">
        <v>0.0</v>
      </c>
      <c r="M125" s="23">
        <f>IFERROR(L125/L148, "NA")</f>
        <v>0</v>
      </c>
      <c r="N125" s="27">
        <v>0.0</v>
      </c>
      <c r="O125" s="23">
        <f>IFERROR(N125/N148, "NA")</f>
        <v>0</v>
      </c>
      <c r="P125" s="27">
        <v>0.0</v>
      </c>
      <c r="Q125" s="23">
        <f>IFERROR(P125/P148, "NA")</f>
        <v>0</v>
      </c>
      <c r="R125" s="27">
        <v>0.0</v>
      </c>
      <c r="S125" s="23">
        <f>IFERROR(R125/R148, "NA")</f>
        <v>0</v>
      </c>
      <c r="T125" s="27">
        <v>0.0</v>
      </c>
      <c r="U125" s="23">
        <f>IFERROR(T125/T148, "NA")</f>
        <v>0</v>
      </c>
      <c r="V125" s="27">
        <v>0.0</v>
      </c>
      <c r="W125" s="23">
        <f>IFERROR(V125/V148, "NA")</f>
        <v>0</v>
      </c>
      <c r="X125" s="27">
        <v>0.0</v>
      </c>
      <c r="Y125" s="23">
        <f>IFERROR(X125/X148, "NA")</f>
        <v>0</v>
      </c>
      <c r="Z125" s="27">
        <v>0.0</v>
      </c>
      <c r="AA125" s="23">
        <f>IFERROR(Z125/Z148, "NA")</f>
        <v>0</v>
      </c>
      <c r="AB125" s="59">
        <f t="shared" si="55"/>
        <v>0</v>
      </c>
      <c r="AC125" s="23">
        <f>IFERROR(AB125/AB148, "NA")</f>
        <v>0</v>
      </c>
      <c r="AD125" s="61">
        <f t="shared" si="56"/>
        <v>0</v>
      </c>
      <c r="AE125" s="63">
        <f>IFERROR(AD125/AD148, "NA")</f>
        <v>0</v>
      </c>
      <c r="AF125" s="61" t="str">
        <f t="shared" si="57"/>
        <v>NA</v>
      </c>
      <c r="AG125" s="59">
        <f t="shared" si="58"/>
        <v>0</v>
      </c>
      <c r="AH125" s="23">
        <f>IFERROR(AG125/AG148, "NA")</f>
        <v>0</v>
      </c>
      <c r="AI125" s="61">
        <f t="shared" si="59"/>
        <v>0</v>
      </c>
      <c r="AJ125" s="63">
        <f>IFERROR(AI125/AI148, "NA")</f>
        <v>0</v>
      </c>
      <c r="AK125" s="61" t="str">
        <f t="shared" si="60"/>
        <v>NA</v>
      </c>
      <c r="AL125" s="63" t="str">
        <f>IFERROR(AK125/AK148, "NA")</f>
        <v>NA</v>
      </c>
    </row>
    <row r="126" ht="16.5" hidden="1" customHeight="1">
      <c r="A126" s="26" t="s">
        <v>226</v>
      </c>
      <c r="B126" s="27">
        <v>0.0</v>
      </c>
      <c r="C126" s="23">
        <f>IFERROR(B126/B148, "NA")</f>
        <v>0</v>
      </c>
      <c r="D126" s="27">
        <v>0.0</v>
      </c>
      <c r="E126" s="23">
        <f>IFERROR(D126/D148, "NA")</f>
        <v>0</v>
      </c>
      <c r="F126" s="27">
        <v>0.0</v>
      </c>
      <c r="G126" s="23">
        <f>IFERROR(F126/F148, "NA")</f>
        <v>0</v>
      </c>
      <c r="H126" s="27">
        <v>0.0</v>
      </c>
      <c r="I126" s="23">
        <f>IFERROR(H126/H148, "NA")</f>
        <v>0</v>
      </c>
      <c r="J126" s="27">
        <v>0.0</v>
      </c>
      <c r="K126" s="23">
        <f>IFERROR(J126/J148, "NA")</f>
        <v>0</v>
      </c>
      <c r="L126" s="27">
        <v>0.0</v>
      </c>
      <c r="M126" s="23">
        <f>IFERROR(L126/L148, "NA")</f>
        <v>0</v>
      </c>
      <c r="N126" s="27">
        <v>0.0</v>
      </c>
      <c r="O126" s="23">
        <f>IFERROR(N126/N148, "NA")</f>
        <v>0</v>
      </c>
      <c r="P126" s="27">
        <v>0.0</v>
      </c>
      <c r="Q126" s="23">
        <f>IFERROR(P126/P148, "NA")</f>
        <v>0</v>
      </c>
      <c r="R126" s="27">
        <v>0.0</v>
      </c>
      <c r="S126" s="23">
        <f>IFERROR(R126/R148, "NA")</f>
        <v>0</v>
      </c>
      <c r="T126" s="27">
        <v>0.0</v>
      </c>
      <c r="U126" s="23">
        <f>IFERROR(T126/T148, "NA")</f>
        <v>0</v>
      </c>
      <c r="V126" s="27">
        <v>0.0</v>
      </c>
      <c r="W126" s="23">
        <f>IFERROR(V126/V148, "NA")</f>
        <v>0</v>
      </c>
      <c r="X126" s="27">
        <v>0.0</v>
      </c>
      <c r="Y126" s="23">
        <f>IFERROR(X126/X148, "NA")</f>
        <v>0</v>
      </c>
      <c r="Z126" s="27">
        <v>0.0</v>
      </c>
      <c r="AA126" s="23">
        <f>IFERROR(Z126/Z148, "NA")</f>
        <v>0</v>
      </c>
      <c r="AB126" s="59">
        <f t="shared" si="55"/>
        <v>0</v>
      </c>
      <c r="AC126" s="23">
        <f>IFERROR(AB126/AB148, "NA")</f>
        <v>0</v>
      </c>
      <c r="AD126" s="61">
        <f t="shared" si="56"/>
        <v>0</v>
      </c>
      <c r="AE126" s="63">
        <f>IFERROR(AD126/AD148, "NA")</f>
        <v>0</v>
      </c>
      <c r="AF126" s="61" t="str">
        <f t="shared" si="57"/>
        <v>NA</v>
      </c>
      <c r="AG126" s="59">
        <f t="shared" si="58"/>
        <v>0</v>
      </c>
      <c r="AH126" s="23">
        <f>IFERROR(AG126/AG148, "NA")</f>
        <v>0</v>
      </c>
      <c r="AI126" s="61">
        <f t="shared" si="59"/>
        <v>0</v>
      </c>
      <c r="AJ126" s="63">
        <f>IFERROR(AI126/AI148, "NA")</f>
        <v>0</v>
      </c>
      <c r="AK126" s="61" t="str">
        <f t="shared" si="60"/>
        <v>NA</v>
      </c>
      <c r="AL126" s="63" t="str">
        <f>IFERROR(AK126/AK148, "NA")</f>
        <v>NA</v>
      </c>
    </row>
    <row r="127" ht="16.5" hidden="1" customHeight="1">
      <c r="A127" s="26" t="s">
        <v>227</v>
      </c>
      <c r="B127" s="27">
        <v>0.0</v>
      </c>
      <c r="C127" s="23">
        <f>IFERROR(B127/B148, "NA")</f>
        <v>0</v>
      </c>
      <c r="D127" s="27">
        <v>0.0</v>
      </c>
      <c r="E127" s="23">
        <f>IFERROR(D127/D148, "NA")</f>
        <v>0</v>
      </c>
      <c r="F127" s="27">
        <v>0.0</v>
      </c>
      <c r="G127" s="23">
        <f>IFERROR(F127/F148, "NA")</f>
        <v>0</v>
      </c>
      <c r="H127" s="27">
        <v>0.0</v>
      </c>
      <c r="I127" s="23">
        <f>IFERROR(H127/H148, "NA")</f>
        <v>0</v>
      </c>
      <c r="J127" s="27">
        <v>0.0</v>
      </c>
      <c r="K127" s="23">
        <f>IFERROR(J127/J148, "NA")</f>
        <v>0</v>
      </c>
      <c r="L127" s="27">
        <v>0.0</v>
      </c>
      <c r="M127" s="23">
        <f>IFERROR(L127/L148, "NA")</f>
        <v>0</v>
      </c>
      <c r="N127" s="27">
        <v>0.0</v>
      </c>
      <c r="O127" s="23">
        <f>IFERROR(N127/N148, "NA")</f>
        <v>0</v>
      </c>
      <c r="P127" s="27">
        <v>0.0</v>
      </c>
      <c r="Q127" s="23">
        <f>IFERROR(P127/P148, "NA")</f>
        <v>0</v>
      </c>
      <c r="R127" s="27">
        <v>0.0</v>
      </c>
      <c r="S127" s="23">
        <f>IFERROR(R127/R148, "NA")</f>
        <v>0</v>
      </c>
      <c r="T127" s="27">
        <v>0.0</v>
      </c>
      <c r="U127" s="23">
        <f>IFERROR(T127/T148, "NA")</f>
        <v>0</v>
      </c>
      <c r="V127" s="27">
        <v>0.0</v>
      </c>
      <c r="W127" s="23">
        <f>IFERROR(V127/V148, "NA")</f>
        <v>0</v>
      </c>
      <c r="X127" s="27">
        <v>0.0</v>
      </c>
      <c r="Y127" s="23">
        <f>IFERROR(X127/X148, "NA")</f>
        <v>0</v>
      </c>
      <c r="Z127" s="27">
        <v>0.0</v>
      </c>
      <c r="AA127" s="23">
        <f>IFERROR(Z127/Z148, "NA")</f>
        <v>0</v>
      </c>
      <c r="AB127" s="59">
        <f t="shared" si="55"/>
        <v>0</v>
      </c>
      <c r="AC127" s="23">
        <f>IFERROR(AB127/AB148, "NA")</f>
        <v>0</v>
      </c>
      <c r="AD127" s="61">
        <f t="shared" si="56"/>
        <v>0</v>
      </c>
      <c r="AE127" s="63">
        <f>IFERROR(AD127/AD148, "NA")</f>
        <v>0</v>
      </c>
      <c r="AF127" s="61" t="str">
        <f t="shared" si="57"/>
        <v>NA</v>
      </c>
      <c r="AG127" s="59">
        <f t="shared" si="58"/>
        <v>0</v>
      </c>
      <c r="AH127" s="23">
        <f>IFERROR(AG127/AG148, "NA")</f>
        <v>0</v>
      </c>
      <c r="AI127" s="61">
        <f t="shared" si="59"/>
        <v>0</v>
      </c>
      <c r="AJ127" s="63">
        <f>IFERROR(AI127/AI148, "NA")</f>
        <v>0</v>
      </c>
      <c r="AK127" s="61" t="str">
        <f t="shared" si="60"/>
        <v>NA</v>
      </c>
      <c r="AL127" s="63" t="str">
        <f>IFERROR(AK127/AK148, "NA")</f>
        <v>NA</v>
      </c>
    </row>
    <row r="128" ht="16.5" hidden="1" customHeight="1">
      <c r="A128" s="26" t="s">
        <v>228</v>
      </c>
      <c r="B128" s="27">
        <v>780.99</v>
      </c>
      <c r="C128" s="23">
        <f>IFERROR(B128/B148, "NA")</f>
        <v>0.02024373667</v>
      </c>
      <c r="D128" s="27">
        <v>749.7</v>
      </c>
      <c r="E128" s="23">
        <f>IFERROR(D128/D148, "NA")</f>
        <v>0.01667798999</v>
      </c>
      <c r="F128" s="27">
        <v>-2312.93</v>
      </c>
      <c r="G128" s="23">
        <f>IFERROR(F128/F148, "NA")</f>
        <v>-0.05613358693</v>
      </c>
      <c r="H128" s="27">
        <v>769.34</v>
      </c>
      <c r="I128" s="23">
        <f>IFERROR(H128/H148, "NA")</f>
        <v>0.01985198871</v>
      </c>
      <c r="J128" s="27">
        <v>923.4</v>
      </c>
      <c r="K128" s="23">
        <f>IFERROR(J128/J148, "NA")</f>
        <v>0.01765389757</v>
      </c>
      <c r="L128" s="27">
        <v>910.5</v>
      </c>
      <c r="M128" s="23">
        <f>IFERROR(L128/L148, "NA")</f>
        <v>0.01801458142</v>
      </c>
      <c r="N128" s="27">
        <v>931.7399999999999</v>
      </c>
      <c r="O128" s="23">
        <f>IFERROR(N128/N148, "NA")</f>
        <v>0.01970305637</v>
      </c>
      <c r="P128" s="27">
        <v>-3534.9800000000005</v>
      </c>
      <c r="Q128" s="23">
        <f>IFERROR(P128/P148, "NA")</f>
        <v>-0.07356859879</v>
      </c>
      <c r="R128" s="27">
        <v>670.39</v>
      </c>
      <c r="S128" s="23">
        <f>IFERROR(R128/R148, "NA")</f>
        <v>0.0157949398</v>
      </c>
      <c r="T128" s="27">
        <v>738.8000000000001</v>
      </c>
      <c r="U128" s="23">
        <f>IFERROR(T128/T148, "NA")</f>
        <v>0.01224706853</v>
      </c>
      <c r="V128" s="27">
        <v>811.16</v>
      </c>
      <c r="W128" s="23">
        <f>IFERROR(V128/V148, "NA")</f>
        <v>0.01380196773</v>
      </c>
      <c r="X128" s="27">
        <v>846.03</v>
      </c>
      <c r="Y128" s="23">
        <f>IFERROR(X128/X148, "NA")</f>
        <v>0.01820318553</v>
      </c>
      <c r="Z128" s="27">
        <v>3066.38</v>
      </c>
      <c r="AA128" s="23">
        <f>IFERROR(Z128/Z148, "NA")</f>
        <v>0.01474105352</v>
      </c>
      <c r="AB128" s="59">
        <f t="shared" si="55"/>
        <v>766.595</v>
      </c>
      <c r="AC128" s="23">
        <f>IFERROR(AB128/AB148, "NA")</f>
        <v>0.01474105352</v>
      </c>
      <c r="AD128" s="61">
        <f t="shared" si="56"/>
        <v>79.435</v>
      </c>
      <c r="AE128" s="63">
        <f>IFERROR(AD128/AD148, "NA")</f>
        <v>-0.01437202995</v>
      </c>
      <c r="AF128" s="61">
        <f t="shared" si="57"/>
        <v>0.1036205558</v>
      </c>
      <c r="AG128" s="59">
        <f t="shared" si="58"/>
        <v>287.13</v>
      </c>
      <c r="AH128" s="23">
        <f>IFERROR(AG128/AG148, "NA")</f>
        <v>0.005654896931</v>
      </c>
      <c r="AI128" s="61">
        <f t="shared" si="59"/>
        <v>558.9</v>
      </c>
      <c r="AJ128" s="63">
        <f>IFERROR(AI128/AI148, "NA")</f>
        <v>-0.1300241803</v>
      </c>
      <c r="AK128" s="61">
        <f t="shared" si="60"/>
        <v>1.946505067</v>
      </c>
      <c r="AL128" s="63">
        <f>IFERROR(AK128/AK148, "NA")</f>
        <v>-22.99320075</v>
      </c>
    </row>
    <row r="129" ht="16.5" hidden="1" customHeight="1">
      <c r="A129" s="26" t="s">
        <v>229</v>
      </c>
      <c r="B129" s="27">
        <v>0.0</v>
      </c>
      <c r="C129" s="23">
        <f>IFERROR(B129/B148, "NA")</f>
        <v>0</v>
      </c>
      <c r="D129" s="27">
        <v>0.0</v>
      </c>
      <c r="E129" s="23">
        <f>IFERROR(D129/D148, "NA")</f>
        <v>0</v>
      </c>
      <c r="F129" s="27">
        <v>0.0</v>
      </c>
      <c r="G129" s="23">
        <f>IFERROR(F129/F148, "NA")</f>
        <v>0</v>
      </c>
      <c r="H129" s="27">
        <v>0.0</v>
      </c>
      <c r="I129" s="23">
        <f>IFERROR(H129/H148, "NA")</f>
        <v>0</v>
      </c>
      <c r="J129" s="27">
        <v>0.0</v>
      </c>
      <c r="K129" s="23">
        <f>IFERROR(J129/J148, "NA")</f>
        <v>0</v>
      </c>
      <c r="L129" s="27">
        <v>0.0</v>
      </c>
      <c r="M129" s="23">
        <f>IFERROR(L129/L148, "NA")</f>
        <v>0</v>
      </c>
      <c r="N129" s="27">
        <v>0.0</v>
      </c>
      <c r="O129" s="23">
        <f>IFERROR(N129/N148, "NA")</f>
        <v>0</v>
      </c>
      <c r="P129" s="27">
        <v>0.0</v>
      </c>
      <c r="Q129" s="23">
        <f>IFERROR(P129/P148, "NA")</f>
        <v>0</v>
      </c>
      <c r="R129" s="27">
        <v>0.0</v>
      </c>
      <c r="S129" s="23">
        <f>IFERROR(R129/R148, "NA")</f>
        <v>0</v>
      </c>
      <c r="T129" s="27">
        <v>0.0</v>
      </c>
      <c r="U129" s="23">
        <f>IFERROR(T129/T148, "NA")</f>
        <v>0</v>
      </c>
      <c r="V129" s="27">
        <v>0.0</v>
      </c>
      <c r="W129" s="23">
        <f>IFERROR(V129/V148, "NA")</f>
        <v>0</v>
      </c>
      <c r="X129" s="27">
        <v>0.0</v>
      </c>
      <c r="Y129" s="23">
        <f>IFERROR(X129/X148, "NA")</f>
        <v>0</v>
      </c>
      <c r="Z129" s="27">
        <v>0.0</v>
      </c>
      <c r="AA129" s="23">
        <f>IFERROR(Z129/Z148, "NA")</f>
        <v>0</v>
      </c>
      <c r="AB129" s="59">
        <f t="shared" si="55"/>
        <v>0</v>
      </c>
      <c r="AC129" s="23">
        <f>IFERROR(AB129/AB148, "NA")</f>
        <v>0</v>
      </c>
      <c r="AD129" s="61">
        <f t="shared" si="56"/>
        <v>0</v>
      </c>
      <c r="AE129" s="63">
        <f>IFERROR(AD129/AD148, "NA")</f>
        <v>0</v>
      </c>
      <c r="AF129" s="61" t="str">
        <f t="shared" si="57"/>
        <v>NA</v>
      </c>
      <c r="AG129" s="59">
        <f t="shared" si="58"/>
        <v>0</v>
      </c>
      <c r="AH129" s="23">
        <f>IFERROR(AG129/AG148, "NA")</f>
        <v>0</v>
      </c>
      <c r="AI129" s="61">
        <f t="shared" si="59"/>
        <v>0</v>
      </c>
      <c r="AJ129" s="63">
        <f>IFERROR(AI129/AI148, "NA")</f>
        <v>0</v>
      </c>
      <c r="AK129" s="61" t="str">
        <f t="shared" si="60"/>
        <v>NA</v>
      </c>
      <c r="AL129" s="63" t="str">
        <f>IFERROR(AK129/AK148, "NA")</f>
        <v>NA</v>
      </c>
    </row>
    <row r="130" ht="16.5" hidden="1" customHeight="1">
      <c r="A130" s="26" t="s">
        <v>230</v>
      </c>
      <c r="B130" s="27">
        <v>0.0</v>
      </c>
      <c r="C130" s="23">
        <f>IFERROR(B130/B148, "NA")</f>
        <v>0</v>
      </c>
      <c r="D130" s="27">
        <v>0.0</v>
      </c>
      <c r="E130" s="23">
        <f>IFERROR(D130/D148, "NA")</f>
        <v>0</v>
      </c>
      <c r="F130" s="27">
        <v>0.0</v>
      </c>
      <c r="G130" s="23">
        <f>IFERROR(F130/F148, "NA")</f>
        <v>0</v>
      </c>
      <c r="H130" s="27">
        <v>0.0</v>
      </c>
      <c r="I130" s="23">
        <f>IFERROR(H130/H148, "NA")</f>
        <v>0</v>
      </c>
      <c r="J130" s="27">
        <v>0.0</v>
      </c>
      <c r="K130" s="23">
        <f>IFERROR(J130/J148, "NA")</f>
        <v>0</v>
      </c>
      <c r="L130" s="27">
        <v>0.0</v>
      </c>
      <c r="M130" s="23">
        <f>IFERROR(L130/L148, "NA")</f>
        <v>0</v>
      </c>
      <c r="N130" s="27">
        <v>0.0</v>
      </c>
      <c r="O130" s="23">
        <f>IFERROR(N130/N148, "NA")</f>
        <v>0</v>
      </c>
      <c r="P130" s="27">
        <v>0.0</v>
      </c>
      <c r="Q130" s="23">
        <f>IFERROR(P130/P148, "NA")</f>
        <v>0</v>
      </c>
      <c r="R130" s="27">
        <v>0.0</v>
      </c>
      <c r="S130" s="23">
        <f>IFERROR(R130/R148, "NA")</f>
        <v>0</v>
      </c>
      <c r="T130" s="27">
        <v>0.0</v>
      </c>
      <c r="U130" s="23">
        <f>IFERROR(T130/T148, "NA")</f>
        <v>0</v>
      </c>
      <c r="V130" s="27">
        <v>0.0</v>
      </c>
      <c r="W130" s="23">
        <f>IFERROR(V130/V148, "NA")</f>
        <v>0</v>
      </c>
      <c r="X130" s="27">
        <v>0.0</v>
      </c>
      <c r="Y130" s="23">
        <f>IFERROR(X130/X148, "NA")</f>
        <v>0</v>
      </c>
      <c r="Z130" s="27">
        <v>0.0</v>
      </c>
      <c r="AA130" s="23">
        <f>IFERROR(Z130/Z148, "NA")</f>
        <v>0</v>
      </c>
      <c r="AB130" s="59">
        <f t="shared" si="55"/>
        <v>0</v>
      </c>
      <c r="AC130" s="23">
        <f>IFERROR(AB130/AB148, "NA")</f>
        <v>0</v>
      </c>
      <c r="AD130" s="61">
        <f t="shared" si="56"/>
        <v>0</v>
      </c>
      <c r="AE130" s="63">
        <f>IFERROR(AD130/AD148, "NA")</f>
        <v>0</v>
      </c>
      <c r="AF130" s="61" t="str">
        <f t="shared" si="57"/>
        <v>NA</v>
      </c>
      <c r="AG130" s="59">
        <f t="shared" si="58"/>
        <v>0</v>
      </c>
      <c r="AH130" s="23">
        <f>IFERROR(AG130/AG148, "NA")</f>
        <v>0</v>
      </c>
      <c r="AI130" s="61">
        <f t="shared" si="59"/>
        <v>0</v>
      </c>
      <c r="AJ130" s="63">
        <f>IFERROR(AI130/AI148, "NA")</f>
        <v>0</v>
      </c>
      <c r="AK130" s="61" t="str">
        <f t="shared" si="60"/>
        <v>NA</v>
      </c>
      <c r="AL130" s="63" t="str">
        <f>IFERROR(AK130/AK148, "NA")</f>
        <v>NA</v>
      </c>
    </row>
    <row r="131" ht="16.5" hidden="1" customHeight="1">
      <c r="A131" s="26" t="s">
        <v>231</v>
      </c>
      <c r="B131" s="27">
        <v>0.0</v>
      </c>
      <c r="C131" s="23">
        <f>IFERROR(B131/B148, "NA")</f>
        <v>0</v>
      </c>
      <c r="D131" s="27">
        <v>0.0</v>
      </c>
      <c r="E131" s="23">
        <f>IFERROR(D131/D148, "NA")</f>
        <v>0</v>
      </c>
      <c r="F131" s="27">
        <v>0.0</v>
      </c>
      <c r="G131" s="23">
        <f>IFERROR(F131/F148, "NA")</f>
        <v>0</v>
      </c>
      <c r="H131" s="27">
        <v>0.0</v>
      </c>
      <c r="I131" s="23">
        <f>IFERROR(H131/H148, "NA")</f>
        <v>0</v>
      </c>
      <c r="J131" s="27">
        <v>0.0</v>
      </c>
      <c r="K131" s="23">
        <f>IFERROR(J131/J148, "NA")</f>
        <v>0</v>
      </c>
      <c r="L131" s="27">
        <v>0.0</v>
      </c>
      <c r="M131" s="23">
        <f>IFERROR(L131/L148, "NA")</f>
        <v>0</v>
      </c>
      <c r="N131" s="27">
        <v>0.0</v>
      </c>
      <c r="O131" s="23">
        <f>IFERROR(N131/N148, "NA")</f>
        <v>0</v>
      </c>
      <c r="P131" s="27">
        <v>0.0</v>
      </c>
      <c r="Q131" s="23">
        <f>IFERROR(P131/P148, "NA")</f>
        <v>0</v>
      </c>
      <c r="R131" s="27">
        <v>0.0</v>
      </c>
      <c r="S131" s="23">
        <f>IFERROR(R131/R148, "NA")</f>
        <v>0</v>
      </c>
      <c r="T131" s="27">
        <v>0.0</v>
      </c>
      <c r="U131" s="23">
        <f>IFERROR(T131/T148, "NA")</f>
        <v>0</v>
      </c>
      <c r="V131" s="27">
        <v>0.0</v>
      </c>
      <c r="W131" s="23">
        <f>IFERROR(V131/V148, "NA")</f>
        <v>0</v>
      </c>
      <c r="X131" s="27">
        <v>0.0</v>
      </c>
      <c r="Y131" s="23">
        <f>IFERROR(X131/X148, "NA")</f>
        <v>0</v>
      </c>
      <c r="Z131" s="27">
        <v>0.0</v>
      </c>
      <c r="AA131" s="23">
        <f>IFERROR(Z131/Z148, "NA")</f>
        <v>0</v>
      </c>
      <c r="AB131" s="59">
        <f t="shared" si="55"/>
        <v>0</v>
      </c>
      <c r="AC131" s="23">
        <f>IFERROR(AB131/AB148, "NA")</f>
        <v>0</v>
      </c>
      <c r="AD131" s="61">
        <f t="shared" si="56"/>
        <v>0</v>
      </c>
      <c r="AE131" s="63">
        <f>IFERROR(AD131/AD148, "NA")</f>
        <v>0</v>
      </c>
      <c r="AF131" s="61" t="str">
        <f t="shared" si="57"/>
        <v>NA</v>
      </c>
      <c r="AG131" s="59">
        <f t="shared" si="58"/>
        <v>0</v>
      </c>
      <c r="AH131" s="23">
        <f>IFERROR(AG131/AG148, "NA")</f>
        <v>0</v>
      </c>
      <c r="AI131" s="61">
        <f t="shared" si="59"/>
        <v>0</v>
      </c>
      <c r="AJ131" s="63">
        <f>IFERROR(AI131/AI148, "NA")</f>
        <v>0</v>
      </c>
      <c r="AK131" s="61" t="str">
        <f t="shared" si="60"/>
        <v>NA</v>
      </c>
      <c r="AL131" s="63" t="str">
        <f>IFERROR(AK131/AK148, "NA")</f>
        <v>NA</v>
      </c>
    </row>
    <row r="132" ht="16.5" hidden="1" customHeight="1">
      <c r="A132" s="26" t="s">
        <v>232</v>
      </c>
      <c r="B132" s="27">
        <v>0.0</v>
      </c>
      <c r="C132" s="23">
        <f>IFERROR(B132/B148, "NA")</f>
        <v>0</v>
      </c>
      <c r="D132" s="27">
        <v>0.0</v>
      </c>
      <c r="E132" s="23">
        <f>IFERROR(D132/D148, "NA")</f>
        <v>0</v>
      </c>
      <c r="F132" s="27">
        <v>0.0</v>
      </c>
      <c r="G132" s="23">
        <f>IFERROR(F132/F148, "NA")</f>
        <v>0</v>
      </c>
      <c r="H132" s="27">
        <v>0.0</v>
      </c>
      <c r="I132" s="23">
        <f>IFERROR(H132/H148, "NA")</f>
        <v>0</v>
      </c>
      <c r="J132" s="27">
        <v>0.0</v>
      </c>
      <c r="K132" s="23">
        <f>IFERROR(J132/J148, "NA")</f>
        <v>0</v>
      </c>
      <c r="L132" s="27">
        <v>0.0</v>
      </c>
      <c r="M132" s="23">
        <f>IFERROR(L132/L148, "NA")</f>
        <v>0</v>
      </c>
      <c r="N132" s="27">
        <v>0.0</v>
      </c>
      <c r="O132" s="23">
        <f>IFERROR(N132/N148, "NA")</f>
        <v>0</v>
      </c>
      <c r="P132" s="27">
        <v>0.0</v>
      </c>
      <c r="Q132" s="23">
        <f>IFERROR(P132/P148, "NA")</f>
        <v>0</v>
      </c>
      <c r="R132" s="27">
        <v>0.0</v>
      </c>
      <c r="S132" s="23">
        <f>IFERROR(R132/R148, "NA")</f>
        <v>0</v>
      </c>
      <c r="T132" s="27">
        <v>0.0</v>
      </c>
      <c r="U132" s="23">
        <f>IFERROR(T132/T148, "NA")</f>
        <v>0</v>
      </c>
      <c r="V132" s="27">
        <v>0.0</v>
      </c>
      <c r="W132" s="23">
        <f>IFERROR(V132/V148, "NA")</f>
        <v>0</v>
      </c>
      <c r="X132" s="27">
        <v>0.0</v>
      </c>
      <c r="Y132" s="23">
        <f>IFERROR(X132/X148, "NA")</f>
        <v>0</v>
      </c>
      <c r="Z132" s="27">
        <v>0.0</v>
      </c>
      <c r="AA132" s="23">
        <f>IFERROR(Z132/Z148, "NA")</f>
        <v>0</v>
      </c>
      <c r="AB132" s="59">
        <f t="shared" si="55"/>
        <v>0</v>
      </c>
      <c r="AC132" s="23">
        <f>IFERROR(AB132/AB148, "NA")</f>
        <v>0</v>
      </c>
      <c r="AD132" s="61">
        <f t="shared" si="56"/>
        <v>0</v>
      </c>
      <c r="AE132" s="63">
        <f>IFERROR(AD132/AD148, "NA")</f>
        <v>0</v>
      </c>
      <c r="AF132" s="61" t="str">
        <f t="shared" si="57"/>
        <v>NA</v>
      </c>
      <c r="AG132" s="59">
        <f t="shared" si="58"/>
        <v>0</v>
      </c>
      <c r="AH132" s="23">
        <f>IFERROR(AG132/AG148, "NA")</f>
        <v>0</v>
      </c>
      <c r="AI132" s="61">
        <f t="shared" si="59"/>
        <v>0</v>
      </c>
      <c r="AJ132" s="63">
        <f>IFERROR(AI132/AI148, "NA")</f>
        <v>0</v>
      </c>
      <c r="AK132" s="61" t="str">
        <f t="shared" si="60"/>
        <v>NA</v>
      </c>
      <c r="AL132" s="63" t="str">
        <f>IFERROR(AK132/AK148, "NA")</f>
        <v>NA</v>
      </c>
    </row>
    <row r="133" ht="16.5" hidden="1" customHeight="1">
      <c r="A133" s="26" t="s">
        <v>233</v>
      </c>
      <c r="B133" s="27">
        <v>0.0</v>
      </c>
      <c r="C133" s="23">
        <f>IFERROR(B133/B148, "NA")</f>
        <v>0</v>
      </c>
      <c r="D133" s="27">
        <v>0.0</v>
      </c>
      <c r="E133" s="23">
        <f>IFERROR(D133/D148, "NA")</f>
        <v>0</v>
      </c>
      <c r="F133" s="27">
        <v>0.0</v>
      </c>
      <c r="G133" s="23">
        <f>IFERROR(F133/F148, "NA")</f>
        <v>0</v>
      </c>
      <c r="H133" s="27">
        <v>0.0</v>
      </c>
      <c r="I133" s="23">
        <f>IFERROR(H133/H148, "NA")</f>
        <v>0</v>
      </c>
      <c r="J133" s="27">
        <v>0.0</v>
      </c>
      <c r="K133" s="23">
        <f>IFERROR(J133/J148, "NA")</f>
        <v>0</v>
      </c>
      <c r="L133" s="27">
        <v>0.0</v>
      </c>
      <c r="M133" s="23">
        <f>IFERROR(L133/L148, "NA")</f>
        <v>0</v>
      </c>
      <c r="N133" s="27">
        <v>0.0</v>
      </c>
      <c r="O133" s="23">
        <f>IFERROR(N133/N148, "NA")</f>
        <v>0</v>
      </c>
      <c r="P133" s="27">
        <v>0.0</v>
      </c>
      <c r="Q133" s="23">
        <f>IFERROR(P133/P148, "NA")</f>
        <v>0</v>
      </c>
      <c r="R133" s="27">
        <v>0.0</v>
      </c>
      <c r="S133" s="23">
        <f>IFERROR(R133/R148, "NA")</f>
        <v>0</v>
      </c>
      <c r="T133" s="27">
        <v>0.0</v>
      </c>
      <c r="U133" s="23">
        <f>IFERROR(T133/T148, "NA")</f>
        <v>0</v>
      </c>
      <c r="V133" s="27">
        <v>0.0</v>
      </c>
      <c r="W133" s="23">
        <f>IFERROR(V133/V148, "NA")</f>
        <v>0</v>
      </c>
      <c r="X133" s="27">
        <v>0.0</v>
      </c>
      <c r="Y133" s="23">
        <f>IFERROR(X133/X148, "NA")</f>
        <v>0</v>
      </c>
      <c r="Z133" s="27">
        <v>0.0</v>
      </c>
      <c r="AA133" s="23">
        <f>IFERROR(Z133/Z148, "NA")</f>
        <v>0</v>
      </c>
      <c r="AB133" s="59">
        <f t="shared" si="55"/>
        <v>0</v>
      </c>
      <c r="AC133" s="23">
        <f>IFERROR(AB133/AB148, "NA")</f>
        <v>0</v>
      </c>
      <c r="AD133" s="61">
        <f t="shared" si="56"/>
        <v>0</v>
      </c>
      <c r="AE133" s="63">
        <f>IFERROR(AD133/AD148, "NA")</f>
        <v>0</v>
      </c>
      <c r="AF133" s="61" t="str">
        <f t="shared" si="57"/>
        <v>NA</v>
      </c>
      <c r="AG133" s="59">
        <f t="shared" si="58"/>
        <v>0</v>
      </c>
      <c r="AH133" s="23">
        <f>IFERROR(AG133/AG148, "NA")</f>
        <v>0</v>
      </c>
      <c r="AI133" s="61">
        <f t="shared" si="59"/>
        <v>0</v>
      </c>
      <c r="AJ133" s="63">
        <f>IFERROR(AI133/AI148, "NA")</f>
        <v>0</v>
      </c>
      <c r="AK133" s="61" t="str">
        <f t="shared" si="60"/>
        <v>NA</v>
      </c>
      <c r="AL133" s="63" t="str">
        <f>IFERROR(AK133/AK148, "NA")</f>
        <v>NA</v>
      </c>
    </row>
    <row r="134" ht="16.5" hidden="1" customHeight="1">
      <c r="A134" s="26" t="s">
        <v>234</v>
      </c>
      <c r="B134" s="27">
        <v>0.0</v>
      </c>
      <c r="C134" s="23">
        <f>IFERROR(B134/B148, "NA")</f>
        <v>0</v>
      </c>
      <c r="D134" s="27">
        <v>0.0</v>
      </c>
      <c r="E134" s="23">
        <f>IFERROR(D134/D148, "NA")</f>
        <v>0</v>
      </c>
      <c r="F134" s="27">
        <v>0.0</v>
      </c>
      <c r="G134" s="23">
        <f>IFERROR(F134/F148, "NA")</f>
        <v>0</v>
      </c>
      <c r="H134" s="27">
        <v>0.0</v>
      </c>
      <c r="I134" s="23">
        <f>IFERROR(H134/H148, "NA")</f>
        <v>0</v>
      </c>
      <c r="J134" s="27">
        <v>0.0</v>
      </c>
      <c r="K134" s="23">
        <f>IFERROR(J134/J148, "NA")</f>
        <v>0</v>
      </c>
      <c r="L134" s="27">
        <v>0.0</v>
      </c>
      <c r="M134" s="23">
        <f>IFERROR(L134/L148, "NA")</f>
        <v>0</v>
      </c>
      <c r="N134" s="27">
        <v>0.0</v>
      </c>
      <c r="O134" s="23">
        <f>IFERROR(N134/N148, "NA")</f>
        <v>0</v>
      </c>
      <c r="P134" s="27">
        <v>0.0</v>
      </c>
      <c r="Q134" s="23">
        <f>IFERROR(P134/P148, "NA")</f>
        <v>0</v>
      </c>
      <c r="R134" s="27">
        <v>0.0</v>
      </c>
      <c r="S134" s="23">
        <f>IFERROR(R134/R148, "NA")</f>
        <v>0</v>
      </c>
      <c r="T134" s="27">
        <v>0.0</v>
      </c>
      <c r="U134" s="23">
        <f>IFERROR(T134/T148, "NA")</f>
        <v>0</v>
      </c>
      <c r="V134" s="27">
        <v>0.0</v>
      </c>
      <c r="W134" s="23">
        <f>IFERROR(V134/V148, "NA")</f>
        <v>0</v>
      </c>
      <c r="X134" s="27">
        <v>0.0</v>
      </c>
      <c r="Y134" s="23">
        <f>IFERROR(X134/X148, "NA")</f>
        <v>0</v>
      </c>
      <c r="Z134" s="27">
        <v>0.0</v>
      </c>
      <c r="AA134" s="23">
        <f>IFERROR(Z134/Z148, "NA")</f>
        <v>0</v>
      </c>
      <c r="AB134" s="59">
        <f t="shared" si="55"/>
        <v>0</v>
      </c>
      <c r="AC134" s="23">
        <f>IFERROR(AB134/AB148, "NA")</f>
        <v>0</v>
      </c>
      <c r="AD134" s="61">
        <f t="shared" si="56"/>
        <v>0</v>
      </c>
      <c r="AE134" s="63">
        <f>IFERROR(AD134/AD148, "NA")</f>
        <v>0</v>
      </c>
      <c r="AF134" s="61" t="str">
        <f t="shared" si="57"/>
        <v>NA</v>
      </c>
      <c r="AG134" s="59">
        <f t="shared" si="58"/>
        <v>0</v>
      </c>
      <c r="AH134" s="23">
        <f>IFERROR(AG134/AG148, "NA")</f>
        <v>0</v>
      </c>
      <c r="AI134" s="61">
        <f t="shared" si="59"/>
        <v>0</v>
      </c>
      <c r="AJ134" s="63">
        <f>IFERROR(AI134/AI148, "NA")</f>
        <v>0</v>
      </c>
      <c r="AK134" s="61" t="str">
        <f t="shared" si="60"/>
        <v>NA</v>
      </c>
      <c r="AL134" s="63" t="str">
        <f>IFERROR(AK134/AK148, "NA")</f>
        <v>NA</v>
      </c>
    </row>
    <row r="135" ht="16.5" hidden="1" customHeight="1">
      <c r="A135" s="66" t="s">
        <v>235</v>
      </c>
      <c r="B135" s="67">
        <f>IFERROR(B110+B111+B112+B113+B114+B115+B116+B117+B118+B119+B120+B121+B122+B123+B124+B125+B126+B127+B128+B129+B130+B131+B132+B133+B134, "NA")</f>
        <v>780.99</v>
      </c>
      <c r="C135" s="69">
        <f>IFERROR(B135/B148, "NA")</f>
        <v>0.02024373667</v>
      </c>
      <c r="D135" s="67">
        <f>IFERROR(D110+D111+D112+D113+D114+D115+D116+D117+D118+D119+D120+D121+D122+D123+D124+D125+D126+D127+D128+D129+D130+D131+D132+D133+D134, "NA")</f>
        <v>749.7</v>
      </c>
      <c r="E135" s="69">
        <f>IFERROR(D135/D148, "NA")</f>
        <v>0.01667798999</v>
      </c>
      <c r="F135" s="67">
        <f>IFERROR(F110+F111+F112+F113+F114+F115+F116+F117+F118+F119+F120+F121+F122+F123+F124+F125+F126+F127+F128+F129+F130+F131+F132+F133+F134, "NA")</f>
        <v>-2312.93</v>
      </c>
      <c r="G135" s="69">
        <f>IFERROR(F135/F148, "NA")</f>
        <v>-0.05613358693</v>
      </c>
      <c r="H135" s="67">
        <f>IFERROR(H110+H111+H112+H113+H114+H115+H116+H117+H118+H119+H120+H121+H122+H123+H124+H125+H126+H127+H128+H129+H130+H131+H132+H133+H134, "NA")</f>
        <v>769.34</v>
      </c>
      <c r="I135" s="69">
        <f>IFERROR(H135/H148, "NA")</f>
        <v>0.01985198871</v>
      </c>
      <c r="J135" s="67">
        <f>IFERROR(J110+J111+J112+J113+J114+J115+J116+J117+J118+J119+J120+J121+J122+J123+J124+J125+J126+J127+J128+J129+J130+J131+J132+J133+J134, "NA")</f>
        <v>923.4</v>
      </c>
      <c r="K135" s="69">
        <f>IFERROR(J135/J148, "NA")</f>
        <v>0.01765389757</v>
      </c>
      <c r="L135" s="67">
        <f>IFERROR(L110+L111+L112+L113+L114+L115+L116+L117+L118+L119+L120+L121+L122+L123+L124+L125+L126+L127+L128+L129+L130+L131+L132+L133+L134, "NA")</f>
        <v>910.5</v>
      </c>
      <c r="M135" s="69">
        <f>IFERROR(L135/L148, "NA")</f>
        <v>0.01801458142</v>
      </c>
      <c r="N135" s="67">
        <f>IFERROR(N110+N111+N112+N113+N114+N115+N116+N117+N118+N119+N120+N121+N122+N123+N124+N125+N126+N127+N128+N129+N130+N131+N132+N133+N134, "NA")</f>
        <v>931.74</v>
      </c>
      <c r="O135" s="69">
        <f>IFERROR(N135/N148, "NA")</f>
        <v>0.01970305637</v>
      </c>
      <c r="P135" s="67">
        <f>IFERROR(P110+P111+P112+P113+P114+P115+P116+P117+P118+P119+P120+P121+P122+P123+P124+P125+P126+P127+P128+P129+P130+P131+P132+P133+P134, "NA")</f>
        <v>-3534.98</v>
      </c>
      <c r="Q135" s="69">
        <f>IFERROR(P135/P148, "NA")</f>
        <v>-0.07356859879</v>
      </c>
      <c r="R135" s="67">
        <f>IFERROR(R110+R111+R112+R113+R114+R115+R116+R117+R118+R119+R120+R121+R122+R123+R124+R125+R126+R127+R128+R129+R130+R131+R132+R133+R134, "NA")</f>
        <v>670.39</v>
      </c>
      <c r="S135" s="69">
        <f>IFERROR(R135/R148, "NA")</f>
        <v>0.0157949398</v>
      </c>
      <c r="T135" s="67">
        <f>IFERROR(T110+T111+T112+T113+T114+T115+T116+T117+T118+T119+T120+T121+T122+T123+T124+T125+T126+T127+T128+T129+T130+T131+T132+T133+T134, "NA")</f>
        <v>738.8</v>
      </c>
      <c r="U135" s="69">
        <f>IFERROR(T135/T148, "NA")</f>
        <v>0.01224706853</v>
      </c>
      <c r="V135" s="67">
        <f>IFERROR(V110+V111+V112+V113+V114+V115+V116+V117+V118+V119+V120+V121+V122+V123+V124+V125+V126+V127+V128+V129+V130+V131+V132+V133+V134, "NA")</f>
        <v>811.16</v>
      </c>
      <c r="W135" s="69">
        <f>IFERROR(V135/V148, "NA")</f>
        <v>0.01380196773</v>
      </c>
      <c r="X135" s="67">
        <f>IFERROR(X110+X111+X112+X113+X114+X115+X116+X117+X118+X119+X120+X121+X122+X123+X124+X125+X126+X127+X128+X129+X130+X131+X132+X133+X134, "NA")</f>
        <v>846.03</v>
      </c>
      <c r="Y135" s="69">
        <f>IFERROR(X135/X148, "NA")</f>
        <v>0.01820318553</v>
      </c>
      <c r="Z135" s="67">
        <f>IFERROR(Z110+Z111+Z112+Z113+Z114+Z115+Z116+Z117+Z118+Z119+Z120+Z121+Z122+Z123+Z124+Z125+Z126+Z127+Z128+Z129+Z130+Z131+Z132+Z133+Z134, "NA")</f>
        <v>3066.38</v>
      </c>
      <c r="AA135" s="69">
        <f>IFERROR(Z135/Z148, "NA")</f>
        <v>0.01474105352</v>
      </c>
      <c r="AB135" s="67">
        <f t="shared" si="55"/>
        <v>766.595</v>
      </c>
      <c r="AC135" s="69">
        <f>IFERROR(AB135/AB148, "NA")</f>
        <v>0.01474105352</v>
      </c>
      <c r="AD135" s="70">
        <f t="shared" si="56"/>
        <v>79.435</v>
      </c>
      <c r="AE135" s="71">
        <f>IFERROR(AD135/AD148, "NA")</f>
        <v>-0.01437202995</v>
      </c>
      <c r="AF135" s="70">
        <f t="shared" si="57"/>
        <v>0.1036205558</v>
      </c>
      <c r="AG135" s="67">
        <f t="shared" si="58"/>
        <v>287.13</v>
      </c>
      <c r="AH135" s="69">
        <f>IFERROR(AG135/AG148, "NA")</f>
        <v>0.005654896931</v>
      </c>
      <c r="AI135" s="70">
        <f t="shared" si="59"/>
        <v>558.9</v>
      </c>
      <c r="AJ135" s="71">
        <f>IFERROR(AI135/AI148, "NA")</f>
        <v>-0.1300241803</v>
      </c>
      <c r="AK135" s="70">
        <f t="shared" si="60"/>
        <v>1.946505067</v>
      </c>
      <c r="AL135" s="71">
        <f>IFERROR(AK135/AK148, "NA")</f>
        <v>-22.99320075</v>
      </c>
    </row>
    <row r="136" ht="16.5" hidden="1" customHeight="1">
      <c r="A136" s="120" t="s">
        <v>6</v>
      </c>
      <c r="B136" s="121"/>
      <c r="C136" s="76"/>
      <c r="D136" s="121"/>
      <c r="E136" s="76"/>
      <c r="F136" s="121"/>
      <c r="G136" s="76"/>
      <c r="H136" s="121"/>
      <c r="I136" s="76"/>
      <c r="J136" s="121"/>
      <c r="K136" s="76"/>
      <c r="L136" s="121"/>
      <c r="M136" s="76"/>
      <c r="N136" s="121"/>
      <c r="O136" s="76"/>
      <c r="P136" s="121"/>
      <c r="Q136" s="76"/>
      <c r="R136" s="121"/>
      <c r="S136" s="76"/>
      <c r="T136" s="121"/>
      <c r="U136" s="76"/>
      <c r="V136" s="121"/>
      <c r="W136" s="76"/>
      <c r="X136" s="121"/>
      <c r="Y136" s="76"/>
      <c r="Z136" s="121"/>
      <c r="AA136" s="76"/>
      <c r="AB136" s="121"/>
      <c r="AC136" s="76"/>
      <c r="AD136" s="122"/>
      <c r="AE136" s="78"/>
      <c r="AF136" s="122"/>
      <c r="AG136" s="121"/>
      <c r="AH136" s="76"/>
      <c r="AI136" s="122"/>
      <c r="AJ136" s="78"/>
      <c r="AK136" s="122"/>
      <c r="AL136" s="78"/>
    </row>
    <row r="137" ht="16.5" hidden="1" customHeight="1">
      <c r="A137" s="118" t="s">
        <v>236</v>
      </c>
      <c r="B137" s="119">
        <f>IFERROR(B107-B135, "NA")</f>
        <v>4812.85</v>
      </c>
      <c r="C137" s="107">
        <f>IFERROR(B137/B148, "NA")</f>
        <v>0.1247520046</v>
      </c>
      <c r="D137" s="119">
        <f>IFERROR(D107-D135, "NA")</f>
        <v>2237.3</v>
      </c>
      <c r="E137" s="107">
        <f>IFERROR(D137/D148, "NA")</f>
        <v>0.0497714646</v>
      </c>
      <c r="F137" s="119">
        <f>IFERROR(F107-F135, "NA")</f>
        <v>-3309.91</v>
      </c>
      <c r="G137" s="107">
        <f>IFERROR(F137/F148, "NA")</f>
        <v>-0.08032976386</v>
      </c>
      <c r="H137" s="119">
        <f>IFERROR(H107-H135, "NA")</f>
        <v>11193.5</v>
      </c>
      <c r="I137" s="107">
        <f>IFERROR(H137/H148, "NA")</f>
        <v>0.2888361915</v>
      </c>
      <c r="J137" s="119">
        <f>IFERROR(J107-J135, "NA")</f>
        <v>17392.9</v>
      </c>
      <c r="K137" s="107">
        <f>IFERROR(J137/J148, "NA")</f>
        <v>0.3325237981</v>
      </c>
      <c r="L137" s="119">
        <f>IFERROR(L107-L135, "NA")</f>
        <v>14021.74</v>
      </c>
      <c r="M137" s="107">
        <f>IFERROR(L137/L148, "NA")</f>
        <v>0.2774253453</v>
      </c>
      <c r="N137" s="119">
        <f>IFERROR(N107-N135, "NA")</f>
        <v>5330.86</v>
      </c>
      <c r="O137" s="107">
        <f>IFERROR(N137/N148, "NA")</f>
        <v>0.1127291252</v>
      </c>
      <c r="P137" s="119">
        <f>IFERROR(P107-P135, "NA")</f>
        <v>-2151.37</v>
      </c>
      <c r="Q137" s="107">
        <f>IFERROR(P137/P148, "NA")</f>
        <v>-0.04477345738</v>
      </c>
      <c r="R137" s="119">
        <f>IFERROR(R107-R135, "NA")</f>
        <v>12053.27</v>
      </c>
      <c r="S137" s="107">
        <f>IFERROR(R137/R148, "NA")</f>
        <v>0.283984955</v>
      </c>
      <c r="T137" s="119">
        <f>IFERROR(T107-T135, "NA")</f>
        <v>14938.24</v>
      </c>
      <c r="U137" s="107">
        <f>IFERROR(T137/T148, "NA")</f>
        <v>0.2476308188</v>
      </c>
      <c r="V137" s="119">
        <f>IFERROR(V107-V135, "NA")</f>
        <v>9481.18</v>
      </c>
      <c r="W137" s="107">
        <f>IFERROR(V137/V148, "NA")</f>
        <v>0.1613232166</v>
      </c>
      <c r="X137" s="119">
        <f>IFERROR(X107-X135, "NA")</f>
        <v>12695.52</v>
      </c>
      <c r="Y137" s="107">
        <f>IFERROR(X137/X148, "NA")</f>
        <v>0.2731568691</v>
      </c>
      <c r="Z137" s="119">
        <f>IFERROR(Z107-Z135, "NA")</f>
        <v>49168.21</v>
      </c>
      <c r="AA137" s="107">
        <f>IFERROR(Z137/Z148, "NA")</f>
        <v>0.2363670565</v>
      </c>
      <c r="AB137" s="119">
        <f>IFERROR((R137+T137+V137+X137)/4, "NA")</f>
        <v>12292.0525</v>
      </c>
      <c r="AC137" s="107">
        <f>IFERROR(AB137/AB148, "NA")</f>
        <v>0.2363670565</v>
      </c>
      <c r="AD137" s="70">
        <f>IFERROR(X137-AB137, "NA")</f>
        <v>403.4675</v>
      </c>
      <c r="AE137" s="71">
        <f>IFERROR(AD137/AD148, "NA")</f>
        <v>-0.07299864032</v>
      </c>
      <c r="AF137" s="70">
        <f>IFERROR((X137-AB137)/AB137, "NA")</f>
        <v>0.03282344425</v>
      </c>
      <c r="AG137" s="119">
        <f>IFERROR((J137+L137+N137+P137+R137+T137+V137+X137)/8, "NA")</f>
        <v>10470.2925</v>
      </c>
      <c r="AH137" s="107">
        <f>IFERROR(AG137/AG148, "NA")</f>
        <v>0.206207728</v>
      </c>
      <c r="AI137" s="70">
        <f>IFERROR(X137-AG137, "NA")</f>
        <v>2225.2275</v>
      </c>
      <c r="AJ137" s="71">
        <f>IFERROR(AI137/AI148, "NA")</f>
        <v>-0.5176836317</v>
      </c>
      <c r="AK137" s="70">
        <f>IFERROR((X137-AG137)/AG137, "NA")</f>
        <v>0.2125277302</v>
      </c>
      <c r="AL137" s="71">
        <f>IFERROR(AK137/AK148, "NA")</f>
        <v>-2.510495784</v>
      </c>
    </row>
    <row r="138" ht="3.75" hidden="1" customHeight="1">
      <c r="A138" s="120" t="s">
        <v>6</v>
      </c>
      <c r="B138" s="121"/>
      <c r="C138" s="76"/>
      <c r="D138" s="121"/>
      <c r="E138" s="76"/>
      <c r="F138" s="121"/>
      <c r="G138" s="76"/>
      <c r="H138" s="121"/>
      <c r="I138" s="76"/>
      <c r="J138" s="121"/>
      <c r="K138" s="76"/>
      <c r="L138" s="121"/>
      <c r="M138" s="76"/>
      <c r="N138" s="121"/>
      <c r="O138" s="76"/>
      <c r="P138" s="121"/>
      <c r="Q138" s="76"/>
      <c r="R138" s="121"/>
      <c r="S138" s="76"/>
      <c r="T138" s="121"/>
      <c r="U138" s="76"/>
      <c r="V138" s="121"/>
      <c r="W138" s="76"/>
      <c r="X138" s="121"/>
      <c r="Y138" s="76"/>
      <c r="Z138" s="121"/>
      <c r="AA138" s="76"/>
      <c r="AB138" s="121"/>
      <c r="AC138" s="76"/>
      <c r="AD138" s="122"/>
      <c r="AE138" s="78"/>
      <c r="AF138" s="122"/>
      <c r="AG138" s="121"/>
      <c r="AH138" s="76"/>
      <c r="AI138" s="122"/>
      <c r="AJ138" s="78"/>
      <c r="AK138" s="122"/>
      <c r="AL138" s="78"/>
    </row>
    <row r="139" ht="16.5" hidden="1" customHeight="1">
      <c r="A139" s="17" t="s">
        <v>237</v>
      </c>
      <c r="B139" s="19"/>
      <c r="C139" s="13"/>
      <c r="D139" s="19"/>
      <c r="E139" s="13"/>
      <c r="F139" s="19"/>
      <c r="G139" s="13"/>
      <c r="H139" s="19"/>
      <c r="I139" s="13"/>
      <c r="J139" s="19"/>
      <c r="K139" s="13"/>
      <c r="L139" s="19"/>
      <c r="M139" s="13"/>
      <c r="N139" s="19"/>
      <c r="O139" s="13"/>
      <c r="P139" s="19"/>
      <c r="Q139" s="13"/>
      <c r="R139" s="19"/>
      <c r="S139" s="13"/>
      <c r="T139" s="19"/>
      <c r="U139" s="13"/>
      <c r="V139" s="19"/>
      <c r="W139" s="13"/>
      <c r="X139" s="19"/>
      <c r="Y139" s="13"/>
      <c r="Z139" s="19"/>
      <c r="AA139" s="13"/>
      <c r="AB139" s="19"/>
      <c r="AC139" s="13"/>
      <c r="AD139" s="24"/>
      <c r="AE139" s="25"/>
      <c r="AF139" s="24"/>
      <c r="AG139" s="19"/>
      <c r="AH139" s="13"/>
      <c r="AI139" s="24"/>
      <c r="AJ139" s="25"/>
      <c r="AK139" s="24"/>
      <c r="AL139" s="25"/>
    </row>
    <row r="140" ht="16.5" hidden="1" customHeight="1">
      <c r="A140" s="26" t="s">
        <v>238</v>
      </c>
      <c r="B140" s="27">
        <v>0.0</v>
      </c>
      <c r="C140" s="23">
        <f>IFERROR(B140/B148, "NA")</f>
        <v>0</v>
      </c>
      <c r="D140" s="27">
        <v>0.0</v>
      </c>
      <c r="E140" s="23">
        <f>IFERROR(D140/D148, "NA")</f>
        <v>0</v>
      </c>
      <c r="F140" s="27">
        <v>4522.0199999999995</v>
      </c>
      <c r="G140" s="23">
        <f>IFERROR(F140/F148, "NA")</f>
        <v>0.109747032</v>
      </c>
      <c r="H140" s="27">
        <v>0.0</v>
      </c>
      <c r="I140" s="23">
        <f>IFERROR(H140/H148, "NA")</f>
        <v>0</v>
      </c>
      <c r="J140" s="27">
        <v>0.0</v>
      </c>
      <c r="K140" s="23">
        <f>IFERROR(J140/J148, "NA")</f>
        <v>0</v>
      </c>
      <c r="L140" s="27">
        <v>0.0</v>
      </c>
      <c r="M140" s="23">
        <f>IFERROR(L140/L148, "NA")</f>
        <v>0</v>
      </c>
      <c r="N140" s="27">
        <v>-54.7</v>
      </c>
      <c r="O140" s="23">
        <f>IFERROR(N140/N148, "NA")</f>
        <v>-0.001156714516</v>
      </c>
      <c r="P140" s="27">
        <v>4548.24</v>
      </c>
      <c r="Q140" s="23">
        <f>IFERROR(P140/P148, "NA")</f>
        <v>0.09465616319</v>
      </c>
      <c r="R140" s="27">
        <v>0.0</v>
      </c>
      <c r="S140" s="23">
        <f>IFERROR(R140/R148, "NA")</f>
        <v>0</v>
      </c>
      <c r="T140" s="27">
        <v>0.0</v>
      </c>
      <c r="U140" s="23">
        <f>IFERROR(T140/T148, "NA")</f>
        <v>0</v>
      </c>
      <c r="V140" s="27">
        <v>0.0</v>
      </c>
      <c r="W140" s="23">
        <f>IFERROR(V140/V148, "NA")</f>
        <v>0</v>
      </c>
      <c r="X140" s="27">
        <v>-48.57</v>
      </c>
      <c r="Y140" s="23">
        <f>IFERROR(X140/X148, "NA")</f>
        <v>-0.001045032353</v>
      </c>
      <c r="Z140" s="27">
        <v>-48.57</v>
      </c>
      <c r="AA140" s="23">
        <f>IFERROR(Z140/Z148, "NA")</f>
        <v>-0.0002334912728</v>
      </c>
      <c r="AB140" s="59">
        <f t="shared" ref="AB140:AB141" si="61">IFERROR((R140+T140+V140+X140)/4, "NA")</f>
        <v>-12.1425</v>
      </c>
      <c r="AC140" s="23">
        <f>IFERROR(AB140/AB148, "NA")</f>
        <v>-0.0002334912728</v>
      </c>
      <c r="AD140" s="61">
        <f t="shared" ref="AD140:AD141" si="62">IFERROR(X140-AB140, "NA")</f>
        <v>-36.4275</v>
      </c>
      <c r="AE140" s="63">
        <f>IFERROR(AD140/AD148, "NA")</f>
        <v>0.006590761264</v>
      </c>
      <c r="AF140" s="61">
        <f t="shared" ref="AF140:AF141" si="63">IFERROR((X140-AB140)/AB140, "NA")</f>
        <v>3</v>
      </c>
      <c r="AG140" s="59">
        <f t="shared" ref="AG140:AG141" si="64">IFERROR((J140+L140+N140+P140+R140+T140+V140+X140)/8, "NA")</f>
        <v>555.62125</v>
      </c>
      <c r="AH140" s="23">
        <f>IFERROR(AG140/AG148, "NA")</f>
        <v>0.01094271202</v>
      </c>
      <c r="AI140" s="61">
        <f t="shared" ref="AI140:AI141" si="65">IFERROR(X140-AG140, "NA")</f>
        <v>-604.19125</v>
      </c>
      <c r="AJ140" s="63">
        <f>IFERROR(AI140/AI148, "NA")</f>
        <v>0.1405608732</v>
      </c>
      <c r="AK140" s="61">
        <f t="shared" ref="AK140:AK141" si="66">IFERROR((X140-AG140)/AG140, "NA")</f>
        <v>-1.087415663</v>
      </c>
      <c r="AL140" s="63">
        <f>IFERROR(AK140/AK148, "NA")</f>
        <v>12.84515877</v>
      </c>
    </row>
    <row r="141" ht="16.5" hidden="1" customHeight="1">
      <c r="A141" s="66" t="s">
        <v>239</v>
      </c>
      <c r="B141" s="67">
        <f>IFERROR(B140, "NA")</f>
        <v>0</v>
      </c>
      <c r="C141" s="69">
        <f>IFERROR(B141/B148, "NA")</f>
        <v>0</v>
      </c>
      <c r="D141" s="67">
        <f>IFERROR(D140, "NA")</f>
        <v>0</v>
      </c>
      <c r="E141" s="69">
        <f>IFERROR(D141/D148, "NA")</f>
        <v>0</v>
      </c>
      <c r="F141" s="67">
        <f>IFERROR(F140, "NA")</f>
        <v>4522.02</v>
      </c>
      <c r="G141" s="69">
        <f>IFERROR(F141/F148, "NA")</f>
        <v>0.109747032</v>
      </c>
      <c r="H141" s="67">
        <f>IFERROR(H140, "NA")</f>
        <v>0</v>
      </c>
      <c r="I141" s="69">
        <f>IFERROR(H141/H148, "NA")</f>
        <v>0</v>
      </c>
      <c r="J141" s="67">
        <f>IFERROR(J140, "NA")</f>
        <v>0</v>
      </c>
      <c r="K141" s="69">
        <f>IFERROR(J141/J148, "NA")</f>
        <v>0</v>
      </c>
      <c r="L141" s="67">
        <f>IFERROR(L140, "NA")</f>
        <v>0</v>
      </c>
      <c r="M141" s="69">
        <f>IFERROR(L141/L148, "NA")</f>
        <v>0</v>
      </c>
      <c r="N141" s="67">
        <f>IFERROR(N140, "NA")</f>
        <v>-54.7</v>
      </c>
      <c r="O141" s="69">
        <f>IFERROR(N141/N148, "NA")</f>
        <v>-0.001156714516</v>
      </c>
      <c r="P141" s="67">
        <f>IFERROR(P140, "NA")</f>
        <v>4548.24</v>
      </c>
      <c r="Q141" s="69">
        <f>IFERROR(P141/P148, "NA")</f>
        <v>0.09465616319</v>
      </c>
      <c r="R141" s="67">
        <f>IFERROR(R140, "NA")</f>
        <v>0</v>
      </c>
      <c r="S141" s="69">
        <f>IFERROR(R141/R148, "NA")</f>
        <v>0</v>
      </c>
      <c r="T141" s="67">
        <f>IFERROR(T140, "NA")</f>
        <v>0</v>
      </c>
      <c r="U141" s="69">
        <f>IFERROR(T141/T148, "NA")</f>
        <v>0</v>
      </c>
      <c r="V141" s="67">
        <f>IFERROR(V140, "NA")</f>
        <v>0</v>
      </c>
      <c r="W141" s="69">
        <f>IFERROR(V141/V148, "NA")</f>
        <v>0</v>
      </c>
      <c r="X141" s="67">
        <f>IFERROR(X140, "NA")</f>
        <v>-48.57</v>
      </c>
      <c r="Y141" s="69">
        <f>IFERROR(X141/X148, "NA")</f>
        <v>-0.001045032353</v>
      </c>
      <c r="Z141" s="67">
        <f>IFERROR(Z140, "NA")</f>
        <v>-48.57</v>
      </c>
      <c r="AA141" s="69">
        <f>IFERROR(Z141/Z148, "NA")</f>
        <v>-0.0002334912728</v>
      </c>
      <c r="AB141" s="67">
        <f t="shared" si="61"/>
        <v>-12.1425</v>
      </c>
      <c r="AC141" s="69">
        <f>IFERROR(AB141/AB148, "NA")</f>
        <v>-0.0002334912728</v>
      </c>
      <c r="AD141" s="70">
        <f t="shared" si="62"/>
        <v>-36.4275</v>
      </c>
      <c r="AE141" s="71">
        <f>IFERROR(AD141/AD148, "NA")</f>
        <v>0.006590761264</v>
      </c>
      <c r="AF141" s="70">
        <f t="shared" si="63"/>
        <v>3</v>
      </c>
      <c r="AG141" s="67">
        <f t="shared" si="64"/>
        <v>555.62125</v>
      </c>
      <c r="AH141" s="69">
        <f>IFERROR(AG141/AG148, "NA")</f>
        <v>0.01094271202</v>
      </c>
      <c r="AI141" s="70">
        <f t="shared" si="65"/>
        <v>-604.19125</v>
      </c>
      <c r="AJ141" s="71">
        <f>IFERROR(AI141/AI148, "NA")</f>
        <v>0.1405608732</v>
      </c>
      <c r="AK141" s="70">
        <f t="shared" si="66"/>
        <v>-1.087415663</v>
      </c>
      <c r="AL141" s="71">
        <f>IFERROR(AK141/AK148, "NA")</f>
        <v>12.84515877</v>
      </c>
    </row>
    <row r="142" ht="3.75" hidden="1" customHeight="1">
      <c r="A142" s="120" t="s">
        <v>6</v>
      </c>
      <c r="B142" s="121"/>
      <c r="C142" s="76"/>
      <c r="D142" s="121"/>
      <c r="E142" s="76"/>
      <c r="F142" s="121"/>
      <c r="G142" s="76"/>
      <c r="H142" s="121"/>
      <c r="I142" s="76"/>
      <c r="J142" s="121"/>
      <c r="K142" s="76"/>
      <c r="L142" s="121"/>
      <c r="M142" s="76"/>
      <c r="N142" s="121"/>
      <c r="O142" s="76"/>
      <c r="P142" s="121"/>
      <c r="Q142" s="76"/>
      <c r="R142" s="121"/>
      <c r="S142" s="76"/>
      <c r="T142" s="121"/>
      <c r="U142" s="76"/>
      <c r="V142" s="121"/>
      <c r="W142" s="76"/>
      <c r="X142" s="121"/>
      <c r="Y142" s="76"/>
      <c r="Z142" s="121"/>
      <c r="AA142" s="76"/>
      <c r="AB142" s="121"/>
      <c r="AC142" s="76"/>
      <c r="AD142" s="122"/>
      <c r="AE142" s="78"/>
      <c r="AF142" s="122"/>
      <c r="AG142" s="121"/>
      <c r="AH142" s="76"/>
      <c r="AI142" s="122"/>
      <c r="AJ142" s="78"/>
      <c r="AK142" s="122"/>
      <c r="AL142" s="78"/>
    </row>
    <row r="143" ht="16.5" hidden="1" customHeight="1">
      <c r="A143" s="17" t="s">
        <v>240</v>
      </c>
      <c r="B143" s="19"/>
      <c r="C143" s="13"/>
      <c r="D143" s="19"/>
      <c r="E143" s="13"/>
      <c r="F143" s="19"/>
      <c r="G143" s="13"/>
      <c r="H143" s="19"/>
      <c r="I143" s="13"/>
      <c r="J143" s="19"/>
      <c r="K143" s="13"/>
      <c r="L143" s="19"/>
      <c r="M143" s="13"/>
      <c r="N143" s="19"/>
      <c r="O143" s="13"/>
      <c r="P143" s="19"/>
      <c r="Q143" s="13"/>
      <c r="R143" s="19"/>
      <c r="S143" s="13"/>
      <c r="T143" s="19"/>
      <c r="U143" s="13"/>
      <c r="V143" s="19"/>
      <c r="W143" s="13"/>
      <c r="X143" s="19"/>
      <c r="Y143" s="13"/>
      <c r="Z143" s="19"/>
      <c r="AA143" s="13"/>
      <c r="AB143" s="19"/>
      <c r="AC143" s="13"/>
      <c r="AD143" s="24"/>
      <c r="AE143" s="25"/>
      <c r="AF143" s="24"/>
      <c r="AG143" s="19"/>
      <c r="AH143" s="13"/>
      <c r="AI143" s="24"/>
      <c r="AJ143" s="25"/>
      <c r="AK143" s="24"/>
      <c r="AL143" s="25"/>
    </row>
    <row r="144" ht="16.5" hidden="1" customHeight="1">
      <c r="A144" s="26" t="s">
        <v>241</v>
      </c>
      <c r="B144" s="27">
        <v>0.0</v>
      </c>
      <c r="C144" s="23">
        <f>IFERROR(B144/B148, "NA")</f>
        <v>0</v>
      </c>
      <c r="D144" s="27">
        <v>0.0</v>
      </c>
      <c r="E144" s="23">
        <f>IFERROR(D144/D148, "NA")</f>
        <v>0</v>
      </c>
      <c r="F144" s="27">
        <v>0.0</v>
      </c>
      <c r="G144" s="23">
        <f>IFERROR(F144/F148, "NA")</f>
        <v>0</v>
      </c>
      <c r="H144" s="27">
        <v>0.0</v>
      </c>
      <c r="I144" s="23">
        <f>IFERROR(H144/H148, "NA")</f>
        <v>0</v>
      </c>
      <c r="J144" s="27">
        <v>0.0</v>
      </c>
      <c r="K144" s="23">
        <f>IFERROR(J144/J148, "NA")</f>
        <v>0</v>
      </c>
      <c r="L144" s="27">
        <v>0.0</v>
      </c>
      <c r="M144" s="23">
        <f>IFERROR(L144/L148, "NA")</f>
        <v>0</v>
      </c>
      <c r="N144" s="27">
        <v>0.0</v>
      </c>
      <c r="O144" s="23">
        <f>IFERROR(N144/N148, "NA")</f>
        <v>0</v>
      </c>
      <c r="P144" s="27">
        <v>0.0</v>
      </c>
      <c r="Q144" s="23">
        <f>IFERROR(P144/P148, "NA")</f>
        <v>0</v>
      </c>
      <c r="R144" s="27">
        <v>0.0</v>
      </c>
      <c r="S144" s="23">
        <f>IFERROR(R144/R148, "NA")</f>
        <v>0</v>
      </c>
      <c r="T144" s="27">
        <v>0.0</v>
      </c>
      <c r="U144" s="23">
        <f>IFERROR(T144/T148, "NA")</f>
        <v>0</v>
      </c>
      <c r="V144" s="27">
        <v>0.0</v>
      </c>
      <c r="W144" s="23">
        <f>IFERROR(V144/V148, "NA")</f>
        <v>0</v>
      </c>
      <c r="X144" s="27">
        <v>0.0</v>
      </c>
      <c r="Y144" s="23">
        <f>IFERROR(X144/X148, "NA")</f>
        <v>0</v>
      </c>
      <c r="Z144" s="27">
        <v>0.0</v>
      </c>
      <c r="AA144" s="23">
        <f>IFERROR(Z144/Z148, "NA")</f>
        <v>0</v>
      </c>
      <c r="AB144" s="59">
        <f t="shared" ref="AB144:AB145" si="67">IFERROR((R144+T144+V144+X144)/4, "NA")</f>
        <v>0</v>
      </c>
      <c r="AC144" s="23">
        <f>IFERROR(AB144/AB148, "NA")</f>
        <v>0</v>
      </c>
      <c r="AD144" s="61">
        <f t="shared" ref="AD144:AD145" si="68">IFERROR(X144-AB144, "NA")</f>
        <v>0</v>
      </c>
      <c r="AE144" s="63">
        <f>IFERROR(AD144/AD148, "NA")</f>
        <v>0</v>
      </c>
      <c r="AF144" s="61" t="str">
        <f t="shared" ref="AF144:AF145" si="69">IFERROR((X144-AB144)/AB144, "NA")</f>
        <v>NA</v>
      </c>
      <c r="AG144" s="59">
        <f t="shared" ref="AG144:AG145" si="70">IFERROR((J144+L144+N144+P144+R144+T144+V144+X144)/8, "NA")</f>
        <v>0</v>
      </c>
      <c r="AH144" s="23">
        <f>IFERROR(AG144/AG148, "NA")</f>
        <v>0</v>
      </c>
      <c r="AI144" s="61">
        <f t="shared" ref="AI144:AI145" si="71">IFERROR(X144-AG144, "NA")</f>
        <v>0</v>
      </c>
      <c r="AJ144" s="63">
        <f>IFERROR(AI144/AI148, "NA")</f>
        <v>0</v>
      </c>
      <c r="AK144" s="61" t="str">
        <f t="shared" ref="AK144:AK145" si="72">IFERROR((X144-AG144)/AG144, "NA")</f>
        <v>NA</v>
      </c>
      <c r="AL144" s="63" t="str">
        <f>IFERROR(AK144/AK148, "NA")</f>
        <v>NA</v>
      </c>
    </row>
    <row r="145" ht="16.5" hidden="1" customHeight="1">
      <c r="A145" s="66" t="s">
        <v>242</v>
      </c>
      <c r="B145" s="67">
        <f>IFERROR(B144, "NA")</f>
        <v>0</v>
      </c>
      <c r="C145" s="69">
        <f>IFERROR(B145/B148, "NA")</f>
        <v>0</v>
      </c>
      <c r="D145" s="67">
        <f>IFERROR(D144, "NA")</f>
        <v>0</v>
      </c>
      <c r="E145" s="69">
        <f>IFERROR(D145/D148, "NA")</f>
        <v>0</v>
      </c>
      <c r="F145" s="67">
        <f>IFERROR(F144, "NA")</f>
        <v>0</v>
      </c>
      <c r="G145" s="69">
        <f>IFERROR(F145/F148, "NA")</f>
        <v>0</v>
      </c>
      <c r="H145" s="67">
        <f>IFERROR(H144, "NA")</f>
        <v>0</v>
      </c>
      <c r="I145" s="69">
        <f>IFERROR(H145/H148, "NA")</f>
        <v>0</v>
      </c>
      <c r="J145" s="67">
        <f>IFERROR(J144, "NA")</f>
        <v>0</v>
      </c>
      <c r="K145" s="69">
        <f>IFERROR(J145/J148, "NA")</f>
        <v>0</v>
      </c>
      <c r="L145" s="67">
        <f>IFERROR(L144, "NA")</f>
        <v>0</v>
      </c>
      <c r="M145" s="69">
        <f>IFERROR(L145/L148, "NA")</f>
        <v>0</v>
      </c>
      <c r="N145" s="67">
        <f>IFERROR(N144, "NA")</f>
        <v>0</v>
      </c>
      <c r="O145" s="69">
        <f>IFERROR(N145/N148, "NA")</f>
        <v>0</v>
      </c>
      <c r="P145" s="67">
        <f>IFERROR(P144, "NA")</f>
        <v>0</v>
      </c>
      <c r="Q145" s="69">
        <f>IFERROR(P145/P148, "NA")</f>
        <v>0</v>
      </c>
      <c r="R145" s="67">
        <f>IFERROR(R144, "NA")</f>
        <v>0</v>
      </c>
      <c r="S145" s="69">
        <f>IFERROR(R145/R148, "NA")</f>
        <v>0</v>
      </c>
      <c r="T145" s="67">
        <f>IFERROR(T144, "NA")</f>
        <v>0</v>
      </c>
      <c r="U145" s="69">
        <f>IFERROR(T145/T148, "NA")</f>
        <v>0</v>
      </c>
      <c r="V145" s="67">
        <f>IFERROR(V144, "NA")</f>
        <v>0</v>
      </c>
      <c r="W145" s="69">
        <f>IFERROR(V145/V148, "NA")</f>
        <v>0</v>
      </c>
      <c r="X145" s="67">
        <f>IFERROR(X144, "NA")</f>
        <v>0</v>
      </c>
      <c r="Y145" s="69">
        <f>IFERROR(X145/X148, "NA")</f>
        <v>0</v>
      </c>
      <c r="Z145" s="67">
        <f>IFERROR(Z144, "NA")</f>
        <v>0</v>
      </c>
      <c r="AA145" s="69">
        <f>IFERROR(Z145/Z148, "NA")</f>
        <v>0</v>
      </c>
      <c r="AB145" s="67">
        <f t="shared" si="67"/>
        <v>0</v>
      </c>
      <c r="AC145" s="69">
        <f>IFERROR(AB145/AB148, "NA")</f>
        <v>0</v>
      </c>
      <c r="AD145" s="70">
        <f t="shared" si="68"/>
        <v>0</v>
      </c>
      <c r="AE145" s="71">
        <f>IFERROR(AD145/AD148, "NA")</f>
        <v>0</v>
      </c>
      <c r="AF145" s="70" t="str">
        <f t="shared" si="69"/>
        <v>NA</v>
      </c>
      <c r="AG145" s="67">
        <f t="shared" si="70"/>
        <v>0</v>
      </c>
      <c r="AH145" s="69">
        <f>IFERROR(AG145/AG148, "NA")</f>
        <v>0</v>
      </c>
      <c r="AI145" s="70">
        <f t="shared" si="71"/>
        <v>0</v>
      </c>
      <c r="AJ145" s="71">
        <f>IFERROR(AI145/AI148, "NA")</f>
        <v>0</v>
      </c>
      <c r="AK145" s="70" t="str">
        <f t="shared" si="72"/>
        <v>NA</v>
      </c>
      <c r="AL145" s="71" t="str">
        <f>IFERROR(AK145/AK148, "NA")</f>
        <v>NA</v>
      </c>
    </row>
    <row r="146" ht="3.75" hidden="1" customHeight="1">
      <c r="A146" s="120" t="s">
        <v>6</v>
      </c>
      <c r="B146" s="121"/>
      <c r="C146" s="76"/>
      <c r="D146" s="121"/>
      <c r="E146" s="76"/>
      <c r="F146" s="121"/>
      <c r="G146" s="76"/>
      <c r="H146" s="121"/>
      <c r="I146" s="76"/>
      <c r="J146" s="121"/>
      <c r="K146" s="76"/>
      <c r="L146" s="121"/>
      <c r="M146" s="76"/>
      <c r="N146" s="121"/>
      <c r="O146" s="76"/>
      <c r="P146" s="121"/>
      <c r="Q146" s="76"/>
      <c r="R146" s="121"/>
      <c r="S146" s="76"/>
      <c r="T146" s="121"/>
      <c r="U146" s="76"/>
      <c r="V146" s="121"/>
      <c r="W146" s="76"/>
      <c r="X146" s="121"/>
      <c r="Y146" s="76"/>
      <c r="Z146" s="121"/>
      <c r="AA146" s="76"/>
      <c r="AB146" s="121"/>
      <c r="AC146" s="76"/>
      <c r="AD146" s="122"/>
      <c r="AE146" s="78"/>
      <c r="AF146" s="122"/>
      <c r="AG146" s="121"/>
      <c r="AH146" s="76"/>
      <c r="AI146" s="122"/>
      <c r="AJ146" s="78"/>
      <c r="AK146" s="122"/>
      <c r="AL146" s="78"/>
    </row>
    <row r="147" ht="16.5" hidden="1" customHeight="1">
      <c r="A147" s="118" t="s">
        <v>243</v>
      </c>
      <c r="B147" s="119">
        <f>IFERROR(B137-B141-B145, "NA")</f>
        <v>4812.85</v>
      </c>
      <c r="C147" s="107">
        <f>IFERROR(B147/B148, "NA")</f>
        <v>0.1247520046</v>
      </c>
      <c r="D147" s="119">
        <f>IFERROR(D137-D141-D145, "NA")</f>
        <v>2237.3</v>
      </c>
      <c r="E147" s="107">
        <f>IFERROR(D147/D148, "NA")</f>
        <v>0.0497714646</v>
      </c>
      <c r="F147" s="119">
        <f>IFERROR(F137-F141-F145, "NA")</f>
        <v>-7831.93</v>
      </c>
      <c r="G147" s="107">
        <f>IFERROR(F147/F148, "NA")</f>
        <v>-0.1900767959</v>
      </c>
      <c r="H147" s="119">
        <f>IFERROR(H137-H141-H145, "NA")</f>
        <v>11193.5</v>
      </c>
      <c r="I147" s="107">
        <f>IFERROR(H147/H148, "NA")</f>
        <v>0.2888361915</v>
      </c>
      <c r="J147" s="119">
        <f>IFERROR(J137-J141-J145, "NA")</f>
        <v>17392.9</v>
      </c>
      <c r="K147" s="107">
        <f>IFERROR(J147/J148, "NA")</f>
        <v>0.3325237981</v>
      </c>
      <c r="L147" s="119">
        <f>IFERROR(L137-L141-L145, "NA")</f>
        <v>14021.74</v>
      </c>
      <c r="M147" s="107">
        <f>IFERROR(L147/L148, "NA")</f>
        <v>0.2774253453</v>
      </c>
      <c r="N147" s="119">
        <f>IFERROR(N137-N141-N145, "NA")</f>
        <v>5385.56</v>
      </c>
      <c r="O147" s="107">
        <f>IFERROR(N147/N148, "NA")</f>
        <v>0.1138858397</v>
      </c>
      <c r="P147" s="119">
        <f>IFERROR(P137-P141-P145, "NA")</f>
        <v>-6699.61</v>
      </c>
      <c r="Q147" s="107">
        <f>IFERROR(P147/P148, "NA")</f>
        <v>-0.1394296206</v>
      </c>
      <c r="R147" s="119">
        <f>IFERROR(R137-R141-R145, "NA")</f>
        <v>12053.27</v>
      </c>
      <c r="S147" s="107">
        <f>IFERROR(R147/R148, "NA")</f>
        <v>0.283984955</v>
      </c>
      <c r="T147" s="119">
        <f>IFERROR(T137-T141-T145, "NA")</f>
        <v>14938.24</v>
      </c>
      <c r="U147" s="107">
        <f>IFERROR(T147/T148, "NA")</f>
        <v>0.2476308188</v>
      </c>
      <c r="V147" s="119">
        <f>IFERROR(V137-V141-V145, "NA")</f>
        <v>9481.18</v>
      </c>
      <c r="W147" s="107">
        <f>IFERROR(V147/V148, "NA")</f>
        <v>0.1613232166</v>
      </c>
      <c r="X147" s="119">
        <f>IFERROR(X137-X141-X145, "NA")</f>
        <v>12744.09</v>
      </c>
      <c r="Y147" s="107">
        <f>IFERROR(X147/X148, "NA")</f>
        <v>0.2742019015</v>
      </c>
      <c r="Z147" s="119">
        <f>IFERROR(Z137-Z141-Z145, "NA")</f>
        <v>49216.78</v>
      </c>
      <c r="AA147" s="107">
        <f>IFERROR(Z147/Z148, "NA")</f>
        <v>0.2366005478</v>
      </c>
      <c r="AB147" s="119">
        <f t="shared" ref="AB147:AB148" si="73">IFERROR((R147+T147+V147+X147)/4, "NA")</f>
        <v>12304.195</v>
      </c>
      <c r="AC147" s="107">
        <f>IFERROR(AB147/AB148, "NA")</f>
        <v>0.2366005478</v>
      </c>
      <c r="AD147" s="70">
        <f t="shared" ref="AD147:AD148" si="74">IFERROR(X147-AB147, "NA")</f>
        <v>439.895</v>
      </c>
      <c r="AE147" s="71">
        <f>IFERROR(AD147/AD148, "NA")</f>
        <v>-0.07958940159</v>
      </c>
      <c r="AF147" s="70">
        <f t="shared" ref="AF147:AF148" si="75">IFERROR((X147-AB147)/AB147, "NA")</f>
        <v>0.0357516278</v>
      </c>
      <c r="AG147" s="119">
        <f t="shared" ref="AG147:AG148" si="76">IFERROR((J147+L147+N147+P147+R147+T147+V147+X147)/8, "NA")</f>
        <v>9914.67125</v>
      </c>
      <c r="AH147" s="107">
        <f>IFERROR(AG147/AG148, "NA")</f>
        <v>0.1952650159</v>
      </c>
      <c r="AI147" s="70">
        <f t="shared" ref="AI147:AI148" si="77">IFERROR(X147-AG147, "NA")</f>
        <v>2829.41875</v>
      </c>
      <c r="AJ147" s="71">
        <f>IFERROR(AI147/AI148, "NA")</f>
        <v>-0.6582445049</v>
      </c>
      <c r="AK147" s="70">
        <f t="shared" ref="AK147:AK148" si="78">IFERROR((X147-AG147)/AG147, "NA")</f>
        <v>0.2853769609</v>
      </c>
      <c r="AL147" s="71">
        <f>IFERROR(AK147/AK148, "NA")</f>
        <v>-3.371031425</v>
      </c>
    </row>
    <row r="148" ht="14.25" hidden="1" customHeight="1">
      <c r="A148" s="26" t="s">
        <v>51</v>
      </c>
      <c r="B148" s="27">
        <v>38579.34</v>
      </c>
      <c r="C148" s="125"/>
      <c r="D148" s="27">
        <v>44951.46</v>
      </c>
      <c r="E148" s="125"/>
      <c r="F148" s="27">
        <v>41204.03</v>
      </c>
      <c r="G148" s="125"/>
      <c r="H148" s="27">
        <v>38753.8</v>
      </c>
      <c r="I148" s="125"/>
      <c r="J148" s="27">
        <v>52305.73</v>
      </c>
      <c r="K148" s="125"/>
      <c r="L148" s="27">
        <v>50542.39</v>
      </c>
      <c r="M148" s="125"/>
      <c r="N148" s="27">
        <v>47289.11</v>
      </c>
      <c r="O148" s="125"/>
      <c r="P148" s="27">
        <v>48050.12</v>
      </c>
      <c r="Q148" s="125"/>
      <c r="R148" s="27">
        <v>42443.34</v>
      </c>
      <c r="S148" s="125"/>
      <c r="T148" s="27">
        <v>60324.64</v>
      </c>
      <c r="U148" s="125"/>
      <c r="V148" s="27">
        <v>58771.33</v>
      </c>
      <c r="W148" s="125"/>
      <c r="X148" s="27">
        <v>46477.03</v>
      </c>
      <c r="Y148" s="125"/>
      <c r="Z148" s="27">
        <v>208016.34</v>
      </c>
      <c r="AA148" s="125"/>
      <c r="AB148" s="59">
        <f t="shared" si="73"/>
        <v>52004.085</v>
      </c>
      <c r="AC148" s="125"/>
      <c r="AD148" s="61">
        <f t="shared" si="74"/>
        <v>-5527.055</v>
      </c>
      <c r="AE148" s="126"/>
      <c r="AF148" s="61">
        <f t="shared" si="75"/>
        <v>-0.10628117</v>
      </c>
      <c r="AG148" s="59">
        <f t="shared" si="76"/>
        <v>50775.46125</v>
      </c>
      <c r="AH148" s="125"/>
      <c r="AI148" s="61">
        <f t="shared" si="77"/>
        <v>-4298.43125</v>
      </c>
      <c r="AJ148" s="126"/>
      <c r="AK148" s="61">
        <f t="shared" si="78"/>
        <v>-0.084655681</v>
      </c>
      <c r="AL148" s="126"/>
    </row>
    <row r="149" ht="14.25" customHeight="1"/>
    <row r="150" ht="14.25" customHeight="1"/>
    <row r="151" ht="14.25" customHeight="1">
      <c r="A151" s="127" t="s">
        <v>244</v>
      </c>
    </row>
    <row r="152" ht="14.25" customHeight="1">
      <c r="A152" s="127" t="s">
        <v>245</v>
      </c>
    </row>
    <row r="153" ht="14.25" customHeight="1">
      <c r="A153" s="127" t="s">
        <v>246</v>
      </c>
    </row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1"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G5:AH5"/>
    <mergeCell ref="AI5:AJ5"/>
    <mergeCell ref="AK5:AL5"/>
    <mergeCell ref="A1:AL1"/>
    <mergeCell ref="A2:AL2"/>
    <mergeCell ref="A3:AL3"/>
    <mergeCell ref="B5:C5"/>
    <mergeCell ref="D5:E5"/>
    <mergeCell ref="F5:G5"/>
    <mergeCell ref="H5:I5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75"/>
  <cols>
    <col customWidth="1" min="1" max="1" width="37.5"/>
    <col customWidth="1" min="2" max="2" width="15.0"/>
    <col customWidth="1" min="3" max="3" width="8.25"/>
    <col customWidth="1" min="4" max="4" width="15.0"/>
    <col customWidth="1" min="5" max="5" width="8.25"/>
    <col customWidth="1" min="6" max="6" width="15.0"/>
    <col customWidth="1" min="7" max="7" width="8.25"/>
    <col customWidth="1" min="8" max="8" width="15.0"/>
    <col customWidth="1" min="9" max="9" width="8.25"/>
    <col customWidth="1" min="10" max="10" width="15.0"/>
    <col customWidth="1" min="11" max="11" width="8.25"/>
    <col customWidth="1" min="12" max="12" width="15.0"/>
    <col customWidth="1" min="13" max="13" width="8.25"/>
    <col customWidth="1" min="14" max="14" width="15.0"/>
    <col customWidth="1" min="15" max="15" width="8.25"/>
    <col customWidth="1" min="16" max="16" width="15.0"/>
    <col customWidth="1" min="17" max="17" width="8.25"/>
    <col customWidth="1" min="18" max="18" width="15.0"/>
    <col customWidth="1" min="19" max="19" width="8.25"/>
    <col customWidth="1" min="20" max="20" width="15.0"/>
    <col customWidth="1" min="21" max="21" width="8.25"/>
    <col customWidth="1" min="22" max="22" width="15.0"/>
    <col customWidth="1" min="23" max="23" width="8.25"/>
    <col customWidth="1" min="24" max="24" width="15.0"/>
    <col customWidth="1" min="25" max="25" width="8.25"/>
    <col customWidth="1" min="26" max="26" width="15.0"/>
    <col customWidth="1" min="27" max="27" width="8.25"/>
    <col customWidth="1" min="28" max="28" width="15.0"/>
    <col customWidth="1" min="29" max="29" width="8.25"/>
    <col customWidth="1" min="30" max="30" width="14.63"/>
    <col customWidth="1" hidden="1" min="31" max="31" width="7.63"/>
    <col customWidth="1" min="32" max="32" width="14.63"/>
    <col customWidth="1" min="33" max="33" width="15.0"/>
    <col customWidth="1" min="34" max="34" width="8.25"/>
    <col customWidth="1" min="35" max="35" width="14.63"/>
    <col customWidth="1" hidden="1" min="36" max="36" width="7.63"/>
    <col customWidth="1" min="37" max="37" width="14.63"/>
    <col customWidth="1" hidden="1" min="38" max="38" width="7.63"/>
  </cols>
  <sheetData>
    <row r="1" ht="14.25" customHeight="1">
      <c r="A1" s="3" t="s">
        <v>0</v>
      </c>
    </row>
    <row r="2" ht="14.25" customHeight="1">
      <c r="A2" s="5" t="s">
        <v>2</v>
      </c>
    </row>
    <row r="3" ht="14.25" customHeight="1">
      <c r="A3" s="6" t="s">
        <v>192</v>
      </c>
    </row>
    <row r="4" ht="14.25" customHeight="1"/>
    <row r="5" ht="13.5" customHeight="1">
      <c r="A5" s="8" t="s">
        <v>6</v>
      </c>
      <c r="B5" s="1" t="s">
        <v>9</v>
      </c>
      <c r="D5" s="1" t="s">
        <v>11</v>
      </c>
      <c r="F5" s="1" t="s">
        <v>13</v>
      </c>
      <c r="H5" s="1" t="s">
        <v>14</v>
      </c>
      <c r="J5" s="1" t="s">
        <v>16</v>
      </c>
      <c r="L5" s="1" t="s">
        <v>19</v>
      </c>
      <c r="N5" s="1" t="s">
        <v>20</v>
      </c>
      <c r="P5" s="1" t="s">
        <v>21</v>
      </c>
      <c r="R5" s="1" t="s">
        <v>22</v>
      </c>
      <c r="T5" s="1" t="s">
        <v>23</v>
      </c>
      <c r="V5" s="1" t="s">
        <v>24</v>
      </c>
      <c r="X5" s="1" t="s">
        <v>25</v>
      </c>
      <c r="Z5" s="1" t="s">
        <v>26</v>
      </c>
      <c r="AB5" s="1" t="s">
        <v>27</v>
      </c>
      <c r="AD5" s="15" t="s">
        <v>28</v>
      </c>
      <c r="AF5" s="15" t="s">
        <v>30</v>
      </c>
      <c r="AG5" s="1" t="s">
        <v>31</v>
      </c>
      <c r="AI5" s="15" t="s">
        <v>32</v>
      </c>
      <c r="AK5" s="15" t="s">
        <v>34</v>
      </c>
    </row>
    <row r="6" ht="16.5" customHeight="1">
      <c r="A6" s="17" t="s">
        <v>17</v>
      </c>
      <c r="B6" s="19"/>
      <c r="C6" s="13"/>
      <c r="D6" s="19"/>
      <c r="E6" s="13"/>
      <c r="F6" s="19"/>
      <c r="G6" s="13"/>
      <c r="H6" s="19"/>
      <c r="I6" s="13"/>
      <c r="J6" s="19"/>
      <c r="K6" s="13"/>
      <c r="L6" s="19"/>
      <c r="M6" s="13"/>
      <c r="N6" s="19"/>
      <c r="O6" s="13"/>
      <c r="P6" s="19"/>
      <c r="Q6" s="13"/>
      <c r="R6" s="19"/>
      <c r="S6" s="13"/>
      <c r="T6" s="19"/>
      <c r="U6" s="13"/>
      <c r="V6" s="19"/>
      <c r="W6" s="13"/>
      <c r="X6" s="19"/>
      <c r="Y6" s="13"/>
      <c r="Z6" s="19"/>
      <c r="AA6" s="13"/>
      <c r="AB6" s="19"/>
      <c r="AC6" s="13"/>
      <c r="AD6" s="24"/>
      <c r="AE6" s="25"/>
      <c r="AF6" s="24"/>
      <c r="AG6" s="19"/>
      <c r="AH6" s="13"/>
      <c r="AI6" s="24"/>
      <c r="AJ6" s="25"/>
      <c r="AK6" s="24"/>
      <c r="AL6" s="25"/>
    </row>
    <row r="7" ht="16.5" customHeight="1">
      <c r="A7" s="26" t="s">
        <v>17</v>
      </c>
      <c r="B7" s="27">
        <v>24014.980000000007</v>
      </c>
      <c r="C7" s="23">
        <f>IFERROR(B7/B148, "NA")</f>
        <v>1</v>
      </c>
      <c r="D7" s="27">
        <v>27571.140000000007</v>
      </c>
      <c r="E7" s="23">
        <f>IFERROR(D7/D148, "NA")</f>
        <v>1</v>
      </c>
      <c r="F7" s="27">
        <v>30685.05</v>
      </c>
      <c r="G7" s="23">
        <f>IFERROR(F7/F148, "NA")</f>
        <v>1</v>
      </c>
      <c r="H7" s="27">
        <v>21315.809999999994</v>
      </c>
      <c r="I7" s="23">
        <f>IFERROR(H7/H148, "NA")</f>
        <v>1</v>
      </c>
      <c r="J7" s="27">
        <v>33197.37000000001</v>
      </c>
      <c r="K7" s="23">
        <f>IFERROR(J7/J148, "NA")</f>
        <v>1</v>
      </c>
      <c r="L7" s="27">
        <v>26093.649999999998</v>
      </c>
      <c r="M7" s="23">
        <f>IFERROR(L7/L148, "NA")</f>
        <v>1</v>
      </c>
      <c r="N7" s="27">
        <v>25634.619999999995</v>
      </c>
      <c r="O7" s="23">
        <f>IFERROR(N7/N148, "NA")</f>
        <v>1</v>
      </c>
      <c r="P7" s="27">
        <v>34438.15</v>
      </c>
      <c r="Q7" s="23">
        <f>IFERROR(P7/P148, "NA")</f>
        <v>1</v>
      </c>
      <c r="R7" s="27">
        <v>28548.88</v>
      </c>
      <c r="S7" s="23">
        <f>IFERROR(R7/R148, "NA")</f>
        <v>1</v>
      </c>
      <c r="T7" s="27">
        <v>34892.28999999999</v>
      </c>
      <c r="U7" s="23">
        <f>IFERROR(T7/T148, "NA")</f>
        <v>1</v>
      </c>
      <c r="V7" s="27">
        <v>45472.149999999994</v>
      </c>
      <c r="W7" s="23">
        <f>IFERROR(V7/V148, "NA")</f>
        <v>1</v>
      </c>
      <c r="X7" s="27">
        <v>38952.85999999999</v>
      </c>
      <c r="Y7" s="23">
        <f>IFERROR(X7/X148, "NA")</f>
        <v>1</v>
      </c>
      <c r="Z7" s="27">
        <v>147866.18000000002</v>
      </c>
      <c r="AA7" s="23">
        <f>IFERROR(Z7/Z148, "NA")</f>
        <v>1</v>
      </c>
      <c r="AB7" s="59">
        <f t="shared" ref="AB7:AB9" si="1">IFERROR((R7+T7+V7+X7)/4, "NA")</f>
        <v>36966.545</v>
      </c>
      <c r="AC7" s="23">
        <f>IFERROR(AB7/AB148, "NA")</f>
        <v>1</v>
      </c>
      <c r="AD7" s="61">
        <f t="shared" ref="AD7:AD9" si="2">IFERROR(X7-AB7, "NA")</f>
        <v>1986.315</v>
      </c>
      <c r="AE7" s="63">
        <f>IFERROR(AD7/AD148, "NA")</f>
        <v>1</v>
      </c>
      <c r="AF7" s="61">
        <f t="shared" ref="AF7:AF9" si="3">IFERROR((X7-AB7)/AB7, "NA")</f>
        <v>0.05373277378</v>
      </c>
      <c r="AG7" s="59">
        <f t="shared" ref="AG7:AG9" si="4">IFERROR((J7+L7+N7+P7+R7+T7+V7+X7)/8, "NA")</f>
        <v>33403.74625</v>
      </c>
      <c r="AH7" s="23">
        <f>IFERROR(AG7/AG148, "NA")</f>
        <v>1</v>
      </c>
      <c r="AI7" s="61">
        <f t="shared" ref="AI7:AI9" si="5">IFERROR(X7-AG7, "NA")</f>
        <v>5549.11375</v>
      </c>
      <c r="AJ7" s="63">
        <f>IFERROR(AI7/AI148, "NA")</f>
        <v>1</v>
      </c>
      <c r="AK7" s="61">
        <f t="shared" ref="AK7:AK9" si="6">IFERROR((X7-AG7)/AG7, "NA")</f>
        <v>0.1661224974</v>
      </c>
      <c r="AL7" s="63">
        <f>IFERROR(AK7/AK148, "NA")</f>
        <v>1</v>
      </c>
    </row>
    <row r="8" ht="30.75" hidden="1" customHeight="1">
      <c r="A8" s="26" t="s">
        <v>57</v>
      </c>
      <c r="B8" s="27">
        <v>0.0</v>
      </c>
      <c r="C8" s="23">
        <f>IFERROR(B8/B148, "NA")</f>
        <v>0</v>
      </c>
      <c r="D8" s="27">
        <v>0.0</v>
      </c>
      <c r="E8" s="23">
        <f>IFERROR(D8/D148, "NA")</f>
        <v>0</v>
      </c>
      <c r="F8" s="27">
        <v>0.0</v>
      </c>
      <c r="G8" s="23">
        <f>IFERROR(F8/F148, "NA")</f>
        <v>0</v>
      </c>
      <c r="H8" s="27">
        <v>0.0</v>
      </c>
      <c r="I8" s="23">
        <f>IFERROR(H8/H148, "NA")</f>
        <v>0</v>
      </c>
      <c r="J8" s="27">
        <v>0.0</v>
      </c>
      <c r="K8" s="23">
        <f>IFERROR(J8/J148, "NA")</f>
        <v>0</v>
      </c>
      <c r="L8" s="27">
        <v>0.0</v>
      </c>
      <c r="M8" s="23">
        <f>IFERROR(L8/L148, "NA")</f>
        <v>0</v>
      </c>
      <c r="N8" s="27">
        <v>0.0</v>
      </c>
      <c r="O8" s="23">
        <f>IFERROR(N8/N148, "NA")</f>
        <v>0</v>
      </c>
      <c r="P8" s="27">
        <v>0.0</v>
      </c>
      <c r="Q8" s="23">
        <f>IFERROR(P8/P148, "NA")</f>
        <v>0</v>
      </c>
      <c r="R8" s="27">
        <v>0.0</v>
      </c>
      <c r="S8" s="23">
        <f>IFERROR(R8/R148, "NA")</f>
        <v>0</v>
      </c>
      <c r="T8" s="27">
        <v>0.0</v>
      </c>
      <c r="U8" s="23">
        <f>IFERROR(T8/T148, "NA")</f>
        <v>0</v>
      </c>
      <c r="V8" s="27">
        <v>0.0</v>
      </c>
      <c r="W8" s="23">
        <f>IFERROR(V8/V148, "NA")</f>
        <v>0</v>
      </c>
      <c r="X8" s="27">
        <v>0.0</v>
      </c>
      <c r="Y8" s="23">
        <f>IFERROR(X8/X148, "NA")</f>
        <v>0</v>
      </c>
      <c r="Z8" s="27">
        <v>0.0</v>
      </c>
      <c r="AA8" s="23">
        <f>IFERROR(Z8/Z148, "NA")</f>
        <v>0</v>
      </c>
      <c r="AB8" s="59">
        <f t="shared" si="1"/>
        <v>0</v>
      </c>
      <c r="AC8" s="23">
        <f>IFERROR(AB8/AB148, "NA")</f>
        <v>0</v>
      </c>
      <c r="AD8" s="61">
        <f t="shared" si="2"/>
        <v>0</v>
      </c>
      <c r="AE8" s="63">
        <f>IFERROR(AD8/AD148, "NA")</f>
        <v>0</v>
      </c>
      <c r="AF8" s="61" t="str">
        <f t="shared" si="3"/>
        <v>NA</v>
      </c>
      <c r="AG8" s="59">
        <f t="shared" si="4"/>
        <v>0</v>
      </c>
      <c r="AH8" s="23">
        <f>IFERROR(AG8/AG148, "NA")</f>
        <v>0</v>
      </c>
      <c r="AI8" s="61">
        <f t="shared" si="5"/>
        <v>0</v>
      </c>
      <c r="AJ8" s="63">
        <f>IFERROR(AI8/AI148, "NA")</f>
        <v>0</v>
      </c>
      <c r="AK8" s="61" t="str">
        <f t="shared" si="6"/>
        <v>NA</v>
      </c>
      <c r="AL8" s="63" t="str">
        <f>IFERROR(AK8/AK148, "NA")</f>
        <v>NA</v>
      </c>
    </row>
    <row r="9" ht="16.5" customHeight="1">
      <c r="A9" s="66" t="s">
        <v>51</v>
      </c>
      <c r="B9" s="67">
        <f>IFERROR(B7+B8, "NA")</f>
        <v>24014.98</v>
      </c>
      <c r="C9" s="69">
        <f>IFERROR(B9/B148, "NA")</f>
        <v>1</v>
      </c>
      <c r="D9" s="67">
        <f>IFERROR(D7+D8, "NA")</f>
        <v>27571.14</v>
      </c>
      <c r="E9" s="69">
        <f>IFERROR(D9/D148, "NA")</f>
        <v>1</v>
      </c>
      <c r="F9" s="67">
        <f>IFERROR(F7+F8, "NA")</f>
        <v>30685.05</v>
      </c>
      <c r="G9" s="69">
        <f>IFERROR(F9/F148, "NA")</f>
        <v>1</v>
      </c>
      <c r="H9" s="67">
        <f>IFERROR(H7+H8, "NA")</f>
        <v>21315.81</v>
      </c>
      <c r="I9" s="69">
        <f>IFERROR(H9/H148, "NA")</f>
        <v>1</v>
      </c>
      <c r="J9" s="67">
        <f>IFERROR(J7+J8, "NA")</f>
        <v>33197.37</v>
      </c>
      <c r="K9" s="69">
        <f>IFERROR(J9/J148, "NA")</f>
        <v>1</v>
      </c>
      <c r="L9" s="67">
        <f>IFERROR(L7+L8, "NA")</f>
        <v>26093.65</v>
      </c>
      <c r="M9" s="69">
        <f>IFERROR(L9/L148, "NA")</f>
        <v>1</v>
      </c>
      <c r="N9" s="67">
        <f>IFERROR(N7+N8, "NA")</f>
        <v>25634.62</v>
      </c>
      <c r="O9" s="69">
        <f>IFERROR(N9/N148, "NA")</f>
        <v>1</v>
      </c>
      <c r="P9" s="67">
        <f>IFERROR(P7+P8, "NA")</f>
        <v>34438.15</v>
      </c>
      <c r="Q9" s="69">
        <f>IFERROR(P9/P148, "NA")</f>
        <v>1</v>
      </c>
      <c r="R9" s="67">
        <f>IFERROR(R7+R8, "NA")</f>
        <v>28548.88</v>
      </c>
      <c r="S9" s="69">
        <f>IFERROR(R9/R148, "NA")</f>
        <v>1</v>
      </c>
      <c r="T9" s="67">
        <f>IFERROR(T7+T8, "NA")</f>
        <v>34892.29</v>
      </c>
      <c r="U9" s="69">
        <f>IFERROR(T9/T148, "NA")</f>
        <v>1</v>
      </c>
      <c r="V9" s="67">
        <f>IFERROR(V7+V8, "NA")</f>
        <v>45472.15</v>
      </c>
      <c r="W9" s="69">
        <f>IFERROR(V9/V148, "NA")</f>
        <v>1</v>
      </c>
      <c r="X9" s="67">
        <f>IFERROR(X7+X8, "NA")</f>
        <v>38952.86</v>
      </c>
      <c r="Y9" s="69">
        <f>IFERROR(X9/X148, "NA")</f>
        <v>1</v>
      </c>
      <c r="Z9" s="67">
        <f>IFERROR(Z7+Z8, "NA")</f>
        <v>147866.18</v>
      </c>
      <c r="AA9" s="69">
        <f>IFERROR(Z9/Z148, "NA")</f>
        <v>1</v>
      </c>
      <c r="AB9" s="67">
        <f t="shared" si="1"/>
        <v>36966.545</v>
      </c>
      <c r="AC9" s="69">
        <f>IFERROR(AB9/AB148, "NA")</f>
        <v>1</v>
      </c>
      <c r="AD9" s="70">
        <f t="shared" si="2"/>
        <v>1986.315</v>
      </c>
      <c r="AE9" s="71">
        <f>IFERROR(AD9/AD148, "NA")</f>
        <v>1</v>
      </c>
      <c r="AF9" s="70">
        <f t="shared" si="3"/>
        <v>0.05373277378</v>
      </c>
      <c r="AG9" s="67">
        <f t="shared" si="4"/>
        <v>33403.74625</v>
      </c>
      <c r="AH9" s="69">
        <f>IFERROR(AG9/AG148, "NA")</f>
        <v>1</v>
      </c>
      <c r="AI9" s="70">
        <f t="shared" si="5"/>
        <v>5549.11375</v>
      </c>
      <c r="AJ9" s="71">
        <f>IFERROR(AI9/AI148, "NA")</f>
        <v>1</v>
      </c>
      <c r="AK9" s="70">
        <f t="shared" si="6"/>
        <v>0.1661224974</v>
      </c>
      <c r="AL9" s="71">
        <f>IFERROR(AK9/AK148, "NA")</f>
        <v>1</v>
      </c>
    </row>
    <row r="10" ht="3.75" customHeight="1">
      <c r="A10" s="74" t="s">
        <v>6</v>
      </c>
      <c r="B10" s="75"/>
      <c r="C10" s="76"/>
      <c r="D10" s="75"/>
      <c r="E10" s="76"/>
      <c r="F10" s="75"/>
      <c r="G10" s="76"/>
      <c r="H10" s="75"/>
      <c r="I10" s="76"/>
      <c r="J10" s="75"/>
      <c r="K10" s="76"/>
      <c r="L10" s="75"/>
      <c r="M10" s="76"/>
      <c r="N10" s="75"/>
      <c r="O10" s="76"/>
      <c r="P10" s="75"/>
      <c r="Q10" s="76"/>
      <c r="R10" s="75"/>
      <c r="S10" s="76"/>
      <c r="T10" s="75"/>
      <c r="U10" s="76"/>
      <c r="V10" s="75"/>
      <c r="W10" s="76"/>
      <c r="X10" s="75"/>
      <c r="Y10" s="76"/>
      <c r="Z10" s="75"/>
      <c r="AA10" s="76"/>
      <c r="AB10" s="75"/>
      <c r="AC10" s="76"/>
      <c r="AD10" s="77"/>
      <c r="AE10" s="78"/>
      <c r="AF10" s="77"/>
      <c r="AG10" s="75"/>
      <c r="AH10" s="76"/>
      <c r="AI10" s="77"/>
      <c r="AJ10" s="78"/>
      <c r="AK10" s="77"/>
      <c r="AL10" s="78"/>
    </row>
    <row r="11" ht="16.5" customHeight="1">
      <c r="A11" s="17" t="s">
        <v>64</v>
      </c>
      <c r="B11" s="19"/>
      <c r="C11" s="13"/>
      <c r="D11" s="19"/>
      <c r="E11" s="13"/>
      <c r="F11" s="19"/>
      <c r="G11" s="13"/>
      <c r="H11" s="19"/>
      <c r="I11" s="13"/>
      <c r="J11" s="19"/>
      <c r="K11" s="13"/>
      <c r="L11" s="19"/>
      <c r="M11" s="13"/>
      <c r="N11" s="19"/>
      <c r="O11" s="13"/>
      <c r="P11" s="19"/>
      <c r="Q11" s="13"/>
      <c r="R11" s="19"/>
      <c r="S11" s="13"/>
      <c r="T11" s="19"/>
      <c r="U11" s="13"/>
      <c r="V11" s="19"/>
      <c r="W11" s="13"/>
      <c r="X11" s="19"/>
      <c r="Y11" s="13"/>
      <c r="Z11" s="19"/>
      <c r="AA11" s="13"/>
      <c r="AB11" s="19"/>
      <c r="AC11" s="13"/>
      <c r="AD11" s="24"/>
      <c r="AE11" s="25"/>
      <c r="AF11" s="24"/>
      <c r="AG11" s="19"/>
      <c r="AH11" s="13"/>
      <c r="AI11" s="24"/>
      <c r="AJ11" s="25"/>
      <c r="AK11" s="24"/>
      <c r="AL11" s="25"/>
    </row>
    <row r="12" ht="16.5" customHeight="1">
      <c r="A12" s="17" t="s">
        <v>65</v>
      </c>
      <c r="B12" s="19"/>
      <c r="C12" s="13"/>
      <c r="D12" s="19"/>
      <c r="E12" s="13"/>
      <c r="F12" s="19"/>
      <c r="G12" s="13"/>
      <c r="H12" s="19"/>
      <c r="I12" s="13"/>
      <c r="J12" s="19"/>
      <c r="K12" s="13"/>
      <c r="L12" s="19"/>
      <c r="M12" s="13"/>
      <c r="N12" s="19"/>
      <c r="O12" s="13"/>
      <c r="P12" s="19"/>
      <c r="Q12" s="13"/>
      <c r="R12" s="19"/>
      <c r="S12" s="13"/>
      <c r="T12" s="19"/>
      <c r="U12" s="13"/>
      <c r="V12" s="19"/>
      <c r="W12" s="13"/>
      <c r="X12" s="19"/>
      <c r="Y12" s="13"/>
      <c r="Z12" s="19"/>
      <c r="AA12" s="13"/>
      <c r="AB12" s="19"/>
      <c r="AC12" s="13"/>
      <c r="AD12" s="24"/>
      <c r="AE12" s="25"/>
      <c r="AF12" s="24"/>
      <c r="AG12" s="19"/>
      <c r="AH12" s="13"/>
      <c r="AI12" s="24"/>
      <c r="AJ12" s="25"/>
      <c r="AK12" s="24"/>
      <c r="AL12" s="25"/>
    </row>
    <row r="13" ht="16.5" hidden="1" customHeight="1">
      <c r="A13" s="26" t="s">
        <v>66</v>
      </c>
      <c r="B13" s="27">
        <v>0.0</v>
      </c>
      <c r="C13" s="23">
        <f>IFERROR(B13/B148, "NA")</f>
        <v>0</v>
      </c>
      <c r="D13" s="27">
        <v>0.0</v>
      </c>
      <c r="E13" s="23">
        <f>IFERROR(D13/D148, "NA")</f>
        <v>0</v>
      </c>
      <c r="F13" s="27">
        <v>0.0</v>
      </c>
      <c r="G13" s="23">
        <f>IFERROR(F13/F148, "NA")</f>
        <v>0</v>
      </c>
      <c r="H13" s="27">
        <v>0.0</v>
      </c>
      <c r="I13" s="23">
        <f>IFERROR(H13/H148, "NA")</f>
        <v>0</v>
      </c>
      <c r="J13" s="27">
        <v>0.0</v>
      </c>
      <c r="K13" s="23">
        <f>IFERROR(J13/J148, "NA")</f>
        <v>0</v>
      </c>
      <c r="L13" s="27">
        <v>0.0</v>
      </c>
      <c r="M13" s="23">
        <f>IFERROR(L13/L148, "NA")</f>
        <v>0</v>
      </c>
      <c r="N13" s="27">
        <v>0.0</v>
      </c>
      <c r="O13" s="23">
        <f>IFERROR(N13/N148, "NA")</f>
        <v>0</v>
      </c>
      <c r="P13" s="27">
        <v>0.0</v>
      </c>
      <c r="Q13" s="23">
        <f>IFERROR(P13/P148, "NA")</f>
        <v>0</v>
      </c>
      <c r="R13" s="27">
        <v>0.0</v>
      </c>
      <c r="S13" s="23">
        <f>IFERROR(R13/R148, "NA")</f>
        <v>0</v>
      </c>
      <c r="T13" s="27">
        <v>0.0</v>
      </c>
      <c r="U13" s="23">
        <f>IFERROR(T13/T148, "NA")</f>
        <v>0</v>
      </c>
      <c r="V13" s="27">
        <v>0.0</v>
      </c>
      <c r="W13" s="23">
        <f>IFERROR(V13/V148, "NA")</f>
        <v>0</v>
      </c>
      <c r="X13" s="27">
        <v>0.0</v>
      </c>
      <c r="Y13" s="23">
        <f>IFERROR(X13/X148, "NA")</f>
        <v>0</v>
      </c>
      <c r="Z13" s="27">
        <v>0.0</v>
      </c>
      <c r="AA13" s="23">
        <f>IFERROR(Z13/Z148, "NA")</f>
        <v>0</v>
      </c>
      <c r="AB13" s="59">
        <f>IFERROR((R13+T13+V13+X13)/4, "NA")</f>
        <v>0</v>
      </c>
      <c r="AC13" s="23">
        <f>IFERROR(AB13/AB148, "NA")</f>
        <v>0</v>
      </c>
      <c r="AD13" s="61">
        <f>IFERROR(X13-AB13, "NA")</f>
        <v>0</v>
      </c>
      <c r="AE13" s="63">
        <f>IFERROR(AD13/AD148, "NA")</f>
        <v>0</v>
      </c>
      <c r="AF13" s="61" t="str">
        <f>IFERROR((X13-AB13)/AB13, "NA")</f>
        <v>NA</v>
      </c>
      <c r="AG13" s="59">
        <f>IFERROR((J13+L13+N13+P13+R13+T13+V13+X13)/8, "NA")</f>
        <v>0</v>
      </c>
      <c r="AH13" s="23">
        <f>IFERROR(AG13/AG148, "NA")</f>
        <v>0</v>
      </c>
      <c r="AI13" s="61">
        <f>IFERROR(X13-AG13, "NA")</f>
        <v>0</v>
      </c>
      <c r="AJ13" s="63">
        <f>IFERROR(AI13/AI148, "NA")</f>
        <v>0</v>
      </c>
      <c r="AK13" s="61" t="str">
        <f>IFERROR((X13-AG13)/AG13, "NA")</f>
        <v>NA</v>
      </c>
      <c r="AL13" s="63" t="str">
        <f>IFERROR(AK13/AK148, "NA")</f>
        <v>NA</v>
      </c>
    </row>
    <row r="14" ht="16.5" customHeight="1">
      <c r="A14" s="17" t="s">
        <v>67</v>
      </c>
      <c r="B14" s="19"/>
      <c r="C14" s="13"/>
      <c r="D14" s="19"/>
      <c r="E14" s="13"/>
      <c r="F14" s="19"/>
      <c r="G14" s="13"/>
      <c r="H14" s="19"/>
      <c r="I14" s="13"/>
      <c r="J14" s="19"/>
      <c r="K14" s="13"/>
      <c r="L14" s="19"/>
      <c r="M14" s="13"/>
      <c r="N14" s="19"/>
      <c r="O14" s="13"/>
      <c r="P14" s="19"/>
      <c r="Q14" s="13"/>
      <c r="R14" s="19"/>
      <c r="S14" s="13"/>
      <c r="T14" s="19"/>
      <c r="U14" s="13"/>
      <c r="V14" s="19"/>
      <c r="W14" s="13"/>
      <c r="X14" s="19"/>
      <c r="Y14" s="13"/>
      <c r="Z14" s="19"/>
      <c r="AA14" s="13"/>
      <c r="AB14" s="19"/>
      <c r="AC14" s="13"/>
      <c r="AD14" s="24"/>
      <c r="AE14" s="25"/>
      <c r="AF14" s="24"/>
      <c r="AG14" s="19"/>
      <c r="AH14" s="13"/>
      <c r="AI14" s="24"/>
      <c r="AJ14" s="25"/>
      <c r="AK14" s="24"/>
      <c r="AL14" s="25"/>
    </row>
    <row r="15" ht="16.5" hidden="1" customHeight="1">
      <c r="A15" s="26" t="s">
        <v>68</v>
      </c>
      <c r="B15" s="27">
        <v>0.0</v>
      </c>
      <c r="C15" s="23">
        <f>IFERROR(B15/B148, "NA")</f>
        <v>0</v>
      </c>
      <c r="D15" s="27">
        <v>0.0</v>
      </c>
      <c r="E15" s="23">
        <f>IFERROR(D15/D148, "NA")</f>
        <v>0</v>
      </c>
      <c r="F15" s="27">
        <v>0.0</v>
      </c>
      <c r="G15" s="23">
        <f>IFERROR(F15/F148, "NA")</f>
        <v>0</v>
      </c>
      <c r="H15" s="27">
        <v>0.0</v>
      </c>
      <c r="I15" s="23">
        <f>IFERROR(H15/H148, "NA")</f>
        <v>0</v>
      </c>
      <c r="J15" s="27">
        <v>0.0</v>
      </c>
      <c r="K15" s="23">
        <f>IFERROR(J15/J148, "NA")</f>
        <v>0</v>
      </c>
      <c r="L15" s="27">
        <v>0.0</v>
      </c>
      <c r="M15" s="23">
        <f>IFERROR(L15/L148, "NA")</f>
        <v>0</v>
      </c>
      <c r="N15" s="27">
        <v>0.0</v>
      </c>
      <c r="O15" s="23">
        <f>IFERROR(N15/N148, "NA")</f>
        <v>0</v>
      </c>
      <c r="P15" s="27">
        <v>0.0</v>
      </c>
      <c r="Q15" s="23">
        <f>IFERROR(P15/P148, "NA")</f>
        <v>0</v>
      </c>
      <c r="R15" s="27">
        <v>0.0</v>
      </c>
      <c r="S15" s="23">
        <f>IFERROR(R15/R148, "NA")</f>
        <v>0</v>
      </c>
      <c r="T15" s="27">
        <v>0.0</v>
      </c>
      <c r="U15" s="23">
        <f>IFERROR(T15/T148, "NA")</f>
        <v>0</v>
      </c>
      <c r="V15" s="27">
        <v>0.0</v>
      </c>
      <c r="W15" s="23">
        <f>IFERROR(V15/V148, "NA")</f>
        <v>0</v>
      </c>
      <c r="X15" s="27">
        <v>0.0</v>
      </c>
      <c r="Y15" s="23">
        <f>IFERROR(X15/X148, "NA")</f>
        <v>0</v>
      </c>
      <c r="Z15" s="27">
        <v>0.0</v>
      </c>
      <c r="AA15" s="23">
        <f>IFERROR(Z15/Z148, "NA")</f>
        <v>0</v>
      </c>
      <c r="AB15" s="59">
        <f t="shared" ref="AB15:AB27" si="7">IFERROR((R15+T15+V15+X15)/4, "NA")</f>
        <v>0</v>
      </c>
      <c r="AC15" s="23">
        <f>IFERROR(AB15/AB148, "NA")</f>
        <v>0</v>
      </c>
      <c r="AD15" s="61">
        <f t="shared" ref="AD15:AD27" si="8">IFERROR(X15-AB15, "NA")</f>
        <v>0</v>
      </c>
      <c r="AE15" s="63">
        <f>IFERROR(AD15/AD148, "NA")</f>
        <v>0</v>
      </c>
      <c r="AF15" s="61" t="str">
        <f t="shared" ref="AF15:AF27" si="9">IFERROR((X15-AB15)/AB15, "NA")</f>
        <v>NA</v>
      </c>
      <c r="AG15" s="59">
        <f t="shared" ref="AG15:AG27" si="10">IFERROR((J15+L15+N15+P15+R15+T15+V15+X15)/8, "NA")</f>
        <v>0</v>
      </c>
      <c r="AH15" s="23">
        <f>IFERROR(AG15/AG148, "NA")</f>
        <v>0</v>
      </c>
      <c r="AI15" s="61">
        <f t="shared" ref="AI15:AI27" si="11">IFERROR(X15-AG15, "NA")</f>
        <v>0</v>
      </c>
      <c r="AJ15" s="63">
        <f>IFERROR(AI15/AI148, "NA")</f>
        <v>0</v>
      </c>
      <c r="AK15" s="61" t="str">
        <f t="shared" ref="AK15:AK27" si="12">IFERROR((X15-AG15)/AG15, "NA")</f>
        <v>NA</v>
      </c>
      <c r="AL15" s="63" t="str">
        <f>IFERROR(AK15/AK148, "NA")</f>
        <v>NA</v>
      </c>
    </row>
    <row r="16" ht="16.5" customHeight="1">
      <c r="A16" s="26" t="s">
        <v>69</v>
      </c>
      <c r="B16" s="27">
        <v>1260.25</v>
      </c>
      <c r="C16" s="23">
        <f>IFERROR(B16/B148, "NA")</f>
        <v>0.05247766186</v>
      </c>
      <c r="D16" s="27">
        <v>1544.78</v>
      </c>
      <c r="E16" s="23">
        <f>IFERROR(D16/D148, "NA")</f>
        <v>0.05602887657</v>
      </c>
      <c r="F16" s="27">
        <v>1484.54</v>
      </c>
      <c r="G16" s="23">
        <f>IFERROR(F16/F148, "NA")</f>
        <v>0.04837991139</v>
      </c>
      <c r="H16" s="27">
        <v>1020.85</v>
      </c>
      <c r="I16" s="23">
        <f>IFERROR(H16/H148, "NA")</f>
        <v>0.04789168228</v>
      </c>
      <c r="J16" s="27">
        <v>1624.81</v>
      </c>
      <c r="K16" s="23">
        <f>IFERROR(J16/J148, "NA")</f>
        <v>0.04894393743</v>
      </c>
      <c r="L16" s="27">
        <v>1205.9</v>
      </c>
      <c r="M16" s="23">
        <f>IFERROR(L16/L148, "NA")</f>
        <v>0.04621430885</v>
      </c>
      <c r="N16" s="27">
        <v>998.44</v>
      </c>
      <c r="O16" s="23">
        <f>IFERROR(N16/N148, "NA")</f>
        <v>0.03894889021</v>
      </c>
      <c r="P16" s="27">
        <v>1515.33</v>
      </c>
      <c r="Q16" s="23">
        <f>IFERROR(P16/P148, "NA")</f>
        <v>0.04400149253</v>
      </c>
      <c r="R16" s="27">
        <v>1123.63</v>
      </c>
      <c r="S16" s="23">
        <f>IFERROR(R16/R148, "NA")</f>
        <v>0.03935811142</v>
      </c>
      <c r="T16" s="27">
        <v>1562.6</v>
      </c>
      <c r="U16" s="23">
        <f>IFERROR(T16/T148, "NA")</f>
        <v>0.04478353241</v>
      </c>
      <c r="V16" s="27">
        <v>1618.52</v>
      </c>
      <c r="W16" s="23">
        <f>IFERROR(V16/V148, "NA")</f>
        <v>0.03559365458</v>
      </c>
      <c r="X16" s="27">
        <v>1569.33</v>
      </c>
      <c r="Y16" s="23">
        <f>IFERROR(X16/X148, "NA")</f>
        <v>0.04028792751</v>
      </c>
      <c r="Z16" s="27">
        <v>5874.08</v>
      </c>
      <c r="AA16" s="23">
        <f>IFERROR(Z16/Z148, "NA")</f>
        <v>0.03972564923</v>
      </c>
      <c r="AB16" s="59">
        <f t="shared" si="7"/>
        <v>1468.52</v>
      </c>
      <c r="AC16" s="23">
        <f>IFERROR(AB16/AB148, "NA")</f>
        <v>0.03972564923</v>
      </c>
      <c r="AD16" s="61">
        <f t="shared" si="8"/>
        <v>100.81</v>
      </c>
      <c r="AE16" s="63">
        <f>IFERROR(AD16/AD148, "NA")</f>
        <v>0.05075227242</v>
      </c>
      <c r="AF16" s="61">
        <f t="shared" si="9"/>
        <v>0.06864734563</v>
      </c>
      <c r="AG16" s="59">
        <f t="shared" si="10"/>
        <v>1402.32</v>
      </c>
      <c r="AH16" s="23">
        <f>IFERROR(AG16/AG148, "NA")</f>
        <v>0.04198092003</v>
      </c>
      <c r="AI16" s="61">
        <f t="shared" si="11"/>
        <v>167.01</v>
      </c>
      <c r="AJ16" s="63">
        <f>IFERROR(AI16/AI148, "NA")</f>
        <v>0.03009669787</v>
      </c>
      <c r="AK16" s="61">
        <f t="shared" si="12"/>
        <v>0.1190954989</v>
      </c>
      <c r="AL16" s="63">
        <f>IFERROR(AK16/AK148, "NA")</f>
        <v>0.7169137278</v>
      </c>
    </row>
    <row r="17" ht="16.5" customHeight="1">
      <c r="A17" s="26" t="s">
        <v>70</v>
      </c>
      <c r="B17" s="27">
        <v>617.26</v>
      </c>
      <c r="C17" s="23">
        <f>IFERROR(B17/B148, "NA")</f>
        <v>0.02570312363</v>
      </c>
      <c r="D17" s="27">
        <v>731.28</v>
      </c>
      <c r="E17" s="23">
        <f>IFERROR(D17/D148, "NA")</f>
        <v>0.02652338641</v>
      </c>
      <c r="F17" s="27">
        <v>705.57</v>
      </c>
      <c r="G17" s="23">
        <f>IFERROR(F17/F148, "NA")</f>
        <v>0.02299393353</v>
      </c>
      <c r="H17" s="27">
        <v>522.54</v>
      </c>
      <c r="I17" s="23">
        <f>IFERROR(H17/H148, "NA")</f>
        <v>0.02451419862</v>
      </c>
      <c r="J17" s="27">
        <v>866.75</v>
      </c>
      <c r="K17" s="23">
        <f>IFERROR(J17/J148, "NA")</f>
        <v>0.02610899598</v>
      </c>
      <c r="L17" s="27">
        <v>763.85</v>
      </c>
      <c r="M17" s="23">
        <f>IFERROR(L17/L148, "NA")</f>
        <v>0.0292734056</v>
      </c>
      <c r="N17" s="27">
        <v>658.89</v>
      </c>
      <c r="O17" s="23">
        <f>IFERROR(N17/N148, "NA")</f>
        <v>0.02570313116</v>
      </c>
      <c r="P17" s="27">
        <v>799.86</v>
      </c>
      <c r="Q17" s="23">
        <f>IFERROR(P17/P148, "NA")</f>
        <v>0.0232259863</v>
      </c>
      <c r="R17" s="27">
        <v>686.16</v>
      </c>
      <c r="S17" s="23">
        <f>IFERROR(R17/R148, "NA")</f>
        <v>0.02403456808</v>
      </c>
      <c r="T17" s="27">
        <v>670.97</v>
      </c>
      <c r="U17" s="23">
        <f>IFERROR(T17/T148, "NA")</f>
        <v>0.01922974961</v>
      </c>
      <c r="V17" s="27">
        <v>1434.38</v>
      </c>
      <c r="W17" s="23">
        <f>IFERROR(V17/V148, "NA")</f>
        <v>0.03154414295</v>
      </c>
      <c r="X17" s="27">
        <v>783.84</v>
      </c>
      <c r="Y17" s="23">
        <f>IFERROR(X17/X148, "NA")</f>
        <v>0.02012278431</v>
      </c>
      <c r="Z17" s="27">
        <v>3575.35</v>
      </c>
      <c r="AA17" s="23">
        <f>IFERROR(Z17/Z148, "NA")</f>
        <v>0.02417963323</v>
      </c>
      <c r="AB17" s="59">
        <f t="shared" si="7"/>
        <v>893.8375</v>
      </c>
      <c r="AC17" s="23">
        <f>IFERROR(AB17/AB148, "NA")</f>
        <v>0.02417963323</v>
      </c>
      <c r="AD17" s="61">
        <f t="shared" si="8"/>
        <v>-109.9975</v>
      </c>
      <c r="AE17" s="63">
        <f>IFERROR(AD17/AD148, "NA")</f>
        <v>-0.05537767172</v>
      </c>
      <c r="AF17" s="61">
        <f t="shared" si="9"/>
        <v>-0.1230620778</v>
      </c>
      <c r="AG17" s="59">
        <f t="shared" si="10"/>
        <v>833.0875</v>
      </c>
      <c r="AH17" s="23">
        <f>IFERROR(AG17/AG148, "NA")</f>
        <v>0.02493994218</v>
      </c>
      <c r="AI17" s="61">
        <f t="shared" si="11"/>
        <v>-49.2475</v>
      </c>
      <c r="AJ17" s="63">
        <f>IFERROR(AI17/AI148, "NA")</f>
        <v>-0.0088748406</v>
      </c>
      <c r="AK17" s="61">
        <f t="shared" si="12"/>
        <v>-0.05911443876</v>
      </c>
      <c r="AL17" s="63">
        <f>IFERROR(AK17/AK148, "NA")</f>
        <v>-0.3558484834</v>
      </c>
    </row>
    <row r="18" ht="16.5" customHeight="1">
      <c r="A18" s="26" t="s">
        <v>73</v>
      </c>
      <c r="B18" s="27">
        <v>1158.04</v>
      </c>
      <c r="C18" s="23">
        <f>IFERROR(B18/B148, "NA")</f>
        <v>0.04822156837</v>
      </c>
      <c r="D18" s="27">
        <v>1220.59</v>
      </c>
      <c r="E18" s="23">
        <f>IFERROR(D18/D148, "NA")</f>
        <v>0.04427056698</v>
      </c>
      <c r="F18" s="27">
        <v>1189.23</v>
      </c>
      <c r="G18" s="23">
        <f>IFERROR(F18/F148, "NA")</f>
        <v>0.03875600659</v>
      </c>
      <c r="H18" s="27">
        <v>838.74</v>
      </c>
      <c r="I18" s="23">
        <f>IFERROR(H18/H148, "NA")</f>
        <v>0.03934825841</v>
      </c>
      <c r="J18" s="27">
        <v>1820.47</v>
      </c>
      <c r="K18" s="23">
        <f>IFERROR(J18/J148, "NA")</f>
        <v>0.05483777781</v>
      </c>
      <c r="L18" s="27">
        <v>1099.73</v>
      </c>
      <c r="M18" s="23">
        <f>IFERROR(L18/L148, "NA")</f>
        <v>0.04214550283</v>
      </c>
      <c r="N18" s="27">
        <v>1044.33</v>
      </c>
      <c r="O18" s="23">
        <f>IFERROR(N18/N148, "NA")</f>
        <v>0.04073904743</v>
      </c>
      <c r="P18" s="27">
        <v>1113.59</v>
      </c>
      <c r="Q18" s="23">
        <f>IFERROR(P18/P148, "NA")</f>
        <v>0.03233594139</v>
      </c>
      <c r="R18" s="27">
        <v>1133.83</v>
      </c>
      <c r="S18" s="23">
        <f>IFERROR(R18/R148, "NA")</f>
        <v>0.03971539339</v>
      </c>
      <c r="T18" s="27">
        <v>1162.22</v>
      </c>
      <c r="U18" s="23">
        <f>IFERROR(T18/T148, "NA")</f>
        <v>0.03330879114</v>
      </c>
      <c r="V18" s="27">
        <v>1669.07</v>
      </c>
      <c r="W18" s="23">
        <f>IFERROR(V18/V148, "NA")</f>
        <v>0.03670532403</v>
      </c>
      <c r="X18" s="27">
        <v>1968.65</v>
      </c>
      <c r="Y18" s="23">
        <f>IFERROR(X18/X148, "NA")</f>
        <v>0.05053929288</v>
      </c>
      <c r="Z18" s="27">
        <v>5933.77</v>
      </c>
      <c r="AA18" s="23">
        <f>IFERROR(Z18/Z148, "NA")</f>
        <v>0.04012932504</v>
      </c>
      <c r="AB18" s="59">
        <f t="shared" si="7"/>
        <v>1483.4425</v>
      </c>
      <c r="AC18" s="23">
        <f>IFERROR(AB18/AB148, "NA")</f>
        <v>0.04012932504</v>
      </c>
      <c r="AD18" s="61">
        <f t="shared" si="8"/>
        <v>485.2075</v>
      </c>
      <c r="AE18" s="63">
        <f>IFERROR(AD18/AD148, "NA")</f>
        <v>0.2442752031</v>
      </c>
      <c r="AF18" s="61">
        <f t="shared" si="9"/>
        <v>0.327082108</v>
      </c>
      <c r="AG18" s="59">
        <f t="shared" si="10"/>
        <v>1376.48625</v>
      </c>
      <c r="AH18" s="23">
        <f>IFERROR(AG18/AG148, "NA")</f>
        <v>0.04120754121</v>
      </c>
      <c r="AI18" s="61">
        <f t="shared" si="11"/>
        <v>592.16375</v>
      </c>
      <c r="AJ18" s="63">
        <f>IFERROR(AI18/AI148, "NA")</f>
        <v>0.1067132116</v>
      </c>
      <c r="AK18" s="61">
        <f t="shared" si="12"/>
        <v>0.4301995389</v>
      </c>
      <c r="AL18" s="63">
        <f>IFERROR(AK18/AK148, "NA")</f>
        <v>2.589652489</v>
      </c>
    </row>
    <row r="19" ht="16.5" customHeight="1">
      <c r="A19" s="26" t="s">
        <v>74</v>
      </c>
      <c r="B19" s="27">
        <v>475.27</v>
      </c>
      <c r="C19" s="23">
        <f>IFERROR(B19/B148, "NA")</f>
        <v>0.01979056406</v>
      </c>
      <c r="D19" s="27">
        <v>699.84</v>
      </c>
      <c r="E19" s="23">
        <f>IFERROR(D19/D148, "NA")</f>
        <v>0.02538306359</v>
      </c>
      <c r="F19" s="27">
        <v>601.49</v>
      </c>
      <c r="G19" s="23">
        <f>IFERROR(F19/F148, "NA")</f>
        <v>0.01960205377</v>
      </c>
      <c r="H19" s="27">
        <v>475.76</v>
      </c>
      <c r="I19" s="23">
        <f>IFERROR(H19/H148, "NA")</f>
        <v>0.02231958345</v>
      </c>
      <c r="J19" s="27">
        <v>700.56</v>
      </c>
      <c r="K19" s="23">
        <f>IFERROR(J19/J148, "NA")</f>
        <v>0.02110287652</v>
      </c>
      <c r="L19" s="27">
        <v>623.25</v>
      </c>
      <c r="M19" s="23">
        <f>IFERROR(L19/L148, "NA")</f>
        <v>0.02388512148</v>
      </c>
      <c r="N19" s="27">
        <v>544.52</v>
      </c>
      <c r="O19" s="23">
        <f>IFERROR(N19/N148, "NA")</f>
        <v>0.02124158657</v>
      </c>
      <c r="P19" s="27">
        <v>745.41</v>
      </c>
      <c r="Q19" s="23">
        <f>IFERROR(P19/P148, "NA")</f>
        <v>0.02164489091</v>
      </c>
      <c r="R19" s="27">
        <v>654.19</v>
      </c>
      <c r="S19" s="23">
        <f>IFERROR(R19/R148, "NA")</f>
        <v>0.02291473431</v>
      </c>
      <c r="T19" s="27">
        <v>476.96</v>
      </c>
      <c r="U19" s="23">
        <f>IFERROR(T19/T148, "NA")</f>
        <v>0.01366949547</v>
      </c>
      <c r="V19" s="27">
        <v>780.81</v>
      </c>
      <c r="W19" s="23">
        <f>IFERROR(V19/V148, "NA")</f>
        <v>0.01717116961</v>
      </c>
      <c r="X19" s="27">
        <v>752.33</v>
      </c>
      <c r="Y19" s="23">
        <f>IFERROR(X19/X148, "NA")</f>
        <v>0.01931385783</v>
      </c>
      <c r="Z19" s="27">
        <v>2664.29</v>
      </c>
      <c r="AA19" s="23">
        <f>IFERROR(Z19/Z148, "NA")</f>
        <v>0.01801825137</v>
      </c>
      <c r="AB19" s="59">
        <f t="shared" si="7"/>
        <v>666.0725</v>
      </c>
      <c r="AC19" s="23">
        <f>IFERROR(AB19/AB148, "NA")</f>
        <v>0.01801825137</v>
      </c>
      <c r="AD19" s="61">
        <f t="shared" si="8"/>
        <v>86.2575</v>
      </c>
      <c r="AE19" s="63">
        <f>IFERROR(AD19/AD148, "NA")</f>
        <v>0.04342589166</v>
      </c>
      <c r="AF19" s="61">
        <f t="shared" si="9"/>
        <v>0.1295016684</v>
      </c>
      <c r="AG19" s="59">
        <f t="shared" si="10"/>
        <v>659.75375</v>
      </c>
      <c r="AH19" s="23">
        <f>IFERROR(AG19/AG148, "NA")</f>
        <v>0.01975089096</v>
      </c>
      <c r="AI19" s="61">
        <f t="shared" si="11"/>
        <v>92.57625</v>
      </c>
      <c r="AJ19" s="63">
        <f>IFERROR(AI19/AI148, "NA")</f>
        <v>0.01668306944</v>
      </c>
      <c r="AK19" s="61">
        <f t="shared" si="12"/>
        <v>0.1403193995</v>
      </c>
      <c r="AL19" s="63">
        <f>IFERROR(AK19/AK148, "NA")</f>
        <v>0.8446742714</v>
      </c>
    </row>
    <row r="20" ht="16.5" customHeight="1">
      <c r="A20" s="26" t="s">
        <v>75</v>
      </c>
      <c r="B20" s="27">
        <v>147.2</v>
      </c>
      <c r="C20" s="23">
        <f>IFERROR(B20/B148, "NA")</f>
        <v>0.006129507499</v>
      </c>
      <c r="D20" s="27">
        <v>299.32</v>
      </c>
      <c r="E20" s="23">
        <f>IFERROR(D20/D148, "NA")</f>
        <v>0.01085627943</v>
      </c>
      <c r="F20" s="27">
        <v>329.82</v>
      </c>
      <c r="G20" s="23">
        <f>IFERROR(F20/F148, "NA")</f>
        <v>0.01074855671</v>
      </c>
      <c r="H20" s="27">
        <v>243.56</v>
      </c>
      <c r="I20" s="23">
        <f>IFERROR(H20/H148, "NA")</f>
        <v>0.0114262606</v>
      </c>
      <c r="J20" s="27">
        <v>368.69</v>
      </c>
      <c r="K20" s="23">
        <f>IFERROR(J20/J148, "NA")</f>
        <v>0.01110600026</v>
      </c>
      <c r="L20" s="27">
        <v>361.76</v>
      </c>
      <c r="M20" s="23">
        <f>IFERROR(L20/L148, "NA")</f>
        <v>0.01386390942</v>
      </c>
      <c r="N20" s="27">
        <v>324.49</v>
      </c>
      <c r="O20" s="23">
        <f>IFERROR(N20/N148, "NA")</f>
        <v>0.01265827229</v>
      </c>
      <c r="P20" s="27">
        <v>314.59</v>
      </c>
      <c r="Q20" s="23">
        <f>IFERROR(P20/P148, "NA")</f>
        <v>0.009134927399</v>
      </c>
      <c r="R20" s="27">
        <v>329.68</v>
      </c>
      <c r="S20" s="23">
        <f>IFERROR(R20/R148, "NA")</f>
        <v>0.01154791361</v>
      </c>
      <c r="T20" s="27">
        <v>368.44</v>
      </c>
      <c r="U20" s="23">
        <f>IFERROR(T20/T148, "NA")</f>
        <v>0.0105593528</v>
      </c>
      <c r="V20" s="27">
        <v>381.66</v>
      </c>
      <c r="W20" s="23">
        <f>IFERROR(V20/V148, "NA")</f>
        <v>0.008393269287</v>
      </c>
      <c r="X20" s="27">
        <v>437.72</v>
      </c>
      <c r="Y20" s="23">
        <f>IFERROR(X20/X148, "NA")</f>
        <v>0.01123717232</v>
      </c>
      <c r="Z20" s="27">
        <v>1517.5</v>
      </c>
      <c r="AA20" s="23">
        <f>IFERROR(Z20/Z148, "NA")</f>
        <v>0.01026265776</v>
      </c>
      <c r="AB20" s="59">
        <f t="shared" si="7"/>
        <v>379.375</v>
      </c>
      <c r="AC20" s="23">
        <f>IFERROR(AB20/AB148, "NA")</f>
        <v>0.01026265776</v>
      </c>
      <c r="AD20" s="61">
        <f t="shared" si="8"/>
        <v>58.345</v>
      </c>
      <c r="AE20" s="63">
        <f>IFERROR(AD20/AD148, "NA")</f>
        <v>0.02937348809</v>
      </c>
      <c r="AF20" s="61">
        <f t="shared" si="9"/>
        <v>0.1537924217</v>
      </c>
      <c r="AG20" s="59">
        <f t="shared" si="10"/>
        <v>360.87875</v>
      </c>
      <c r="AH20" s="23">
        <f>IFERROR(AG20/AG148, "NA")</f>
        <v>0.01080354123</v>
      </c>
      <c r="AI20" s="61">
        <f t="shared" si="11"/>
        <v>76.84125</v>
      </c>
      <c r="AJ20" s="63">
        <f>IFERROR(AI20/AI148, "NA")</f>
        <v>0.0138474815</v>
      </c>
      <c r="AK20" s="61">
        <f t="shared" si="12"/>
        <v>0.2129281649</v>
      </c>
      <c r="AL20" s="63">
        <f>IFERROR(AK20/AK148, "NA")</f>
        <v>1.281753936</v>
      </c>
    </row>
    <row r="21" ht="16.5" customHeight="1">
      <c r="A21" s="26" t="s">
        <v>76</v>
      </c>
      <c r="B21" s="27">
        <v>132.09</v>
      </c>
      <c r="C21" s="23">
        <f>IFERROR(B21/B148, "NA")</f>
        <v>0.005500316886</v>
      </c>
      <c r="D21" s="27">
        <v>169.37</v>
      </c>
      <c r="E21" s="23">
        <f>IFERROR(D21/D148, "NA")</f>
        <v>0.006143017663</v>
      </c>
      <c r="F21" s="27">
        <v>224.04</v>
      </c>
      <c r="G21" s="23">
        <f>IFERROR(F21/F148, "NA")</f>
        <v>0.007301275377</v>
      </c>
      <c r="H21" s="27">
        <v>172.55</v>
      </c>
      <c r="I21" s="23">
        <f>IFERROR(H21/H148, "NA")</f>
        <v>0.008094930476</v>
      </c>
      <c r="J21" s="27">
        <v>227.75</v>
      </c>
      <c r="K21" s="23">
        <f>IFERROR(J21/J148, "NA")</f>
        <v>0.006860483225</v>
      </c>
      <c r="L21" s="27">
        <v>167.98</v>
      </c>
      <c r="M21" s="23">
        <f>IFERROR(L21/L148, "NA")</f>
        <v>0.006437581557</v>
      </c>
      <c r="N21" s="27">
        <v>90.8</v>
      </c>
      <c r="O21" s="23">
        <f>IFERROR(N21/N148, "NA")</f>
        <v>0.003542084884</v>
      </c>
      <c r="P21" s="27">
        <v>205.97</v>
      </c>
      <c r="Q21" s="23">
        <f>IFERROR(P21/P148, "NA")</f>
        <v>0.005980867149</v>
      </c>
      <c r="R21" s="27">
        <v>133.5</v>
      </c>
      <c r="S21" s="23">
        <f>IFERROR(R21/R148, "NA")</f>
        <v>0.00467619045</v>
      </c>
      <c r="T21" s="27">
        <v>146.45</v>
      </c>
      <c r="U21" s="23">
        <f>IFERROR(T21/T148, "NA")</f>
        <v>0.004197202305</v>
      </c>
      <c r="V21" s="27">
        <v>514.97</v>
      </c>
      <c r="W21" s="23">
        <f>IFERROR(V21/V148, "NA")</f>
        <v>0.01132495385</v>
      </c>
      <c r="X21" s="27">
        <v>385.34</v>
      </c>
      <c r="Y21" s="23">
        <f>IFERROR(X21/X148, "NA")</f>
        <v>0.009892470027</v>
      </c>
      <c r="Z21" s="27">
        <v>1180.26</v>
      </c>
      <c r="AA21" s="23">
        <f>IFERROR(Z21/Z148, "NA")</f>
        <v>0.00798194692</v>
      </c>
      <c r="AB21" s="59">
        <f t="shared" si="7"/>
        <v>295.065</v>
      </c>
      <c r="AC21" s="23">
        <f>IFERROR(AB21/AB148, "NA")</f>
        <v>0.00798194692</v>
      </c>
      <c r="AD21" s="61">
        <f t="shared" si="8"/>
        <v>90.275</v>
      </c>
      <c r="AE21" s="63">
        <f>IFERROR(AD21/AD148, "NA")</f>
        <v>0.04544848123</v>
      </c>
      <c r="AF21" s="61">
        <f t="shared" si="9"/>
        <v>0.3059495365</v>
      </c>
      <c r="AG21" s="59">
        <f t="shared" si="10"/>
        <v>234.095</v>
      </c>
      <c r="AH21" s="23">
        <f>IFERROR(AG21/AG148, "NA")</f>
        <v>0.007008046291</v>
      </c>
      <c r="AI21" s="61">
        <f t="shared" si="11"/>
        <v>151.245</v>
      </c>
      <c r="AJ21" s="63">
        <f>IFERROR(AI21/AI148, "NA")</f>
        <v>0.02725570367</v>
      </c>
      <c r="AK21" s="61">
        <f t="shared" si="12"/>
        <v>0.6460838548</v>
      </c>
      <c r="AL21" s="63">
        <f>IFERROR(AK21/AK148, "NA")</f>
        <v>3.889201432</v>
      </c>
    </row>
    <row r="22" ht="16.5" hidden="1" customHeight="1">
      <c r="A22" s="26" t="s">
        <v>77</v>
      </c>
      <c r="B22" s="27">
        <v>0.0</v>
      </c>
      <c r="C22" s="23">
        <f>IFERROR(B22/B148, "NA")</f>
        <v>0</v>
      </c>
      <c r="D22" s="27">
        <v>0.0</v>
      </c>
      <c r="E22" s="23">
        <f>IFERROR(D22/D148, "NA")</f>
        <v>0</v>
      </c>
      <c r="F22" s="27">
        <v>0.0</v>
      </c>
      <c r="G22" s="23">
        <f>IFERROR(F22/F148, "NA")</f>
        <v>0</v>
      </c>
      <c r="H22" s="27">
        <v>0.0</v>
      </c>
      <c r="I22" s="23">
        <f>IFERROR(H22/H148, "NA")</f>
        <v>0</v>
      </c>
      <c r="J22" s="27">
        <v>0.0</v>
      </c>
      <c r="K22" s="23">
        <f>IFERROR(J22/J148, "NA")</f>
        <v>0</v>
      </c>
      <c r="L22" s="27">
        <v>0.0</v>
      </c>
      <c r="M22" s="23">
        <f>IFERROR(L22/L148, "NA")</f>
        <v>0</v>
      </c>
      <c r="N22" s="27">
        <v>0.0</v>
      </c>
      <c r="O22" s="23">
        <f>IFERROR(N22/N148, "NA")</f>
        <v>0</v>
      </c>
      <c r="P22" s="27">
        <v>0.0</v>
      </c>
      <c r="Q22" s="23">
        <f>IFERROR(P22/P148, "NA")</f>
        <v>0</v>
      </c>
      <c r="R22" s="27">
        <v>0.0</v>
      </c>
      <c r="S22" s="23">
        <f>IFERROR(R22/R148, "NA")</f>
        <v>0</v>
      </c>
      <c r="T22" s="27">
        <v>0.0</v>
      </c>
      <c r="U22" s="23">
        <f>IFERROR(T22/T148, "NA")</f>
        <v>0</v>
      </c>
      <c r="V22" s="27">
        <v>0.0</v>
      </c>
      <c r="W22" s="23">
        <f>IFERROR(V22/V148, "NA")</f>
        <v>0</v>
      </c>
      <c r="X22" s="27">
        <v>0.0</v>
      </c>
      <c r="Y22" s="23">
        <f>IFERROR(X22/X148, "NA")</f>
        <v>0</v>
      </c>
      <c r="Z22" s="27">
        <v>0.0</v>
      </c>
      <c r="AA22" s="23">
        <f>IFERROR(Z22/Z148, "NA")</f>
        <v>0</v>
      </c>
      <c r="AB22" s="59">
        <f t="shared" si="7"/>
        <v>0</v>
      </c>
      <c r="AC22" s="23">
        <f>IFERROR(AB22/AB148, "NA")</f>
        <v>0</v>
      </c>
      <c r="AD22" s="61">
        <f t="shared" si="8"/>
        <v>0</v>
      </c>
      <c r="AE22" s="63">
        <f>IFERROR(AD22/AD148, "NA")</f>
        <v>0</v>
      </c>
      <c r="AF22" s="61" t="str">
        <f t="shared" si="9"/>
        <v>NA</v>
      </c>
      <c r="AG22" s="59">
        <f t="shared" si="10"/>
        <v>0</v>
      </c>
      <c r="AH22" s="23">
        <f>IFERROR(AG22/AG148, "NA")</f>
        <v>0</v>
      </c>
      <c r="AI22" s="61">
        <f t="shared" si="11"/>
        <v>0</v>
      </c>
      <c r="AJ22" s="63">
        <f>IFERROR(AI22/AI148, "NA")</f>
        <v>0</v>
      </c>
      <c r="AK22" s="61" t="str">
        <f t="shared" si="12"/>
        <v>NA</v>
      </c>
      <c r="AL22" s="63" t="str">
        <f>IFERROR(AK22/AK148, "NA")</f>
        <v>NA</v>
      </c>
    </row>
    <row r="23" ht="16.5" customHeight="1">
      <c r="A23" s="26" t="s">
        <v>78</v>
      </c>
      <c r="B23" s="27">
        <v>210.36</v>
      </c>
      <c r="C23" s="23">
        <f>IFERROR(B23/B148, "NA")</f>
        <v>0.008759532592</v>
      </c>
      <c r="D23" s="27">
        <v>56.22</v>
      </c>
      <c r="E23" s="23">
        <f>IFERROR(D23/D148, "NA")</f>
        <v>0.002039088699</v>
      </c>
      <c r="F23" s="27">
        <v>141.5</v>
      </c>
      <c r="G23" s="23">
        <f>IFERROR(F23/F148, "NA")</f>
        <v>0.004611366121</v>
      </c>
      <c r="H23" s="27">
        <v>57.56</v>
      </c>
      <c r="I23" s="23">
        <f>IFERROR(H23/H148, "NA")</f>
        <v>0.002700343079</v>
      </c>
      <c r="J23" s="27">
        <v>184.36</v>
      </c>
      <c r="K23" s="23">
        <f>IFERROR(J23/J148, "NA")</f>
        <v>0.005553451975</v>
      </c>
      <c r="L23" s="27">
        <v>328.0</v>
      </c>
      <c r="M23" s="23">
        <f>IFERROR(L23/L148, "NA")</f>
        <v>0.01257010805</v>
      </c>
      <c r="N23" s="27">
        <v>3.64</v>
      </c>
      <c r="O23" s="23">
        <f>IFERROR(N23/N148, "NA")</f>
        <v>0.0001419954733</v>
      </c>
      <c r="P23" s="27">
        <v>189.59</v>
      </c>
      <c r="Q23" s="23">
        <f>IFERROR(P23/P148, "NA")</f>
        <v>0.005505231843</v>
      </c>
      <c r="R23" s="27">
        <v>158.16</v>
      </c>
      <c r="S23" s="23">
        <f>IFERROR(R23/R148, "NA")</f>
        <v>0.005539972146</v>
      </c>
      <c r="T23" s="27">
        <v>135.97</v>
      </c>
      <c r="U23" s="23">
        <f>IFERROR(T23/T148, "NA")</f>
        <v>0.003896849419</v>
      </c>
      <c r="V23" s="27">
        <v>204.85</v>
      </c>
      <c r="W23" s="23">
        <f>IFERROR(V23/V148, "NA")</f>
        <v>0.004504955231</v>
      </c>
      <c r="X23" s="27">
        <v>161.16</v>
      </c>
      <c r="Y23" s="23">
        <f>IFERROR(X23/X148, "NA")</f>
        <v>0.004137308531</v>
      </c>
      <c r="Z23" s="27">
        <v>660.14</v>
      </c>
      <c r="AA23" s="23">
        <f>IFERROR(Z23/Z148, "NA")</f>
        <v>0.004464442106</v>
      </c>
      <c r="AB23" s="59">
        <f t="shared" si="7"/>
        <v>165.035</v>
      </c>
      <c r="AC23" s="23">
        <f>IFERROR(AB23/AB148, "NA")</f>
        <v>0.004464442106</v>
      </c>
      <c r="AD23" s="61">
        <f t="shared" si="8"/>
        <v>-3.875</v>
      </c>
      <c r="AE23" s="63">
        <f>IFERROR(AD23/AD148, "NA")</f>
        <v>-0.001950848682</v>
      </c>
      <c r="AF23" s="61">
        <f t="shared" si="9"/>
        <v>-0.02347986791</v>
      </c>
      <c r="AG23" s="59">
        <f t="shared" si="10"/>
        <v>170.71625</v>
      </c>
      <c r="AH23" s="23">
        <f>IFERROR(AG23/AG148, "NA")</f>
        <v>0.005110691739</v>
      </c>
      <c r="AI23" s="61">
        <f t="shared" si="11"/>
        <v>-9.55625</v>
      </c>
      <c r="AJ23" s="63">
        <f>IFERROR(AI23/AI148, "NA")</f>
        <v>-0.001722121843</v>
      </c>
      <c r="AK23" s="61">
        <f t="shared" si="12"/>
        <v>-0.05597738938</v>
      </c>
      <c r="AL23" s="63">
        <f>IFERROR(AK23/AK148, "NA")</f>
        <v>-0.3369645307</v>
      </c>
    </row>
    <row r="24" ht="16.5" customHeight="1">
      <c r="A24" s="26" t="s">
        <v>79</v>
      </c>
      <c r="B24" s="27">
        <v>1283.07</v>
      </c>
      <c r="C24" s="23">
        <f>IFERROR(B24/B148, "NA")</f>
        <v>0.05342790208</v>
      </c>
      <c r="D24" s="27">
        <v>1697.37</v>
      </c>
      <c r="E24" s="23">
        <f>IFERROR(D24/D148, "NA")</f>
        <v>0.06156328683</v>
      </c>
      <c r="F24" s="27">
        <v>1667.81</v>
      </c>
      <c r="G24" s="23">
        <f>IFERROR(F24/F148, "NA")</f>
        <v>0.05435252672</v>
      </c>
      <c r="H24" s="27">
        <v>1495.88</v>
      </c>
      <c r="I24" s="23">
        <f>IFERROR(H24/H148, "NA")</f>
        <v>0.07017701884</v>
      </c>
      <c r="J24" s="27">
        <v>1602.36</v>
      </c>
      <c r="K24" s="23">
        <f>IFERROR(J24/J148, "NA")</f>
        <v>0.04826767904</v>
      </c>
      <c r="L24" s="27">
        <v>1162.78</v>
      </c>
      <c r="M24" s="23">
        <f>IFERROR(L24/L148, "NA")</f>
        <v>0.04456179952</v>
      </c>
      <c r="N24" s="27">
        <v>1683.7</v>
      </c>
      <c r="O24" s="23">
        <f>IFERROR(N24/N148, "NA")</f>
        <v>0.06568070835</v>
      </c>
      <c r="P24" s="27">
        <v>1970.7</v>
      </c>
      <c r="Q24" s="23">
        <f>IFERROR(P24/P148, "NA")</f>
        <v>0.05722432825</v>
      </c>
      <c r="R24" s="27">
        <v>1262.8</v>
      </c>
      <c r="S24" s="23">
        <f>IFERROR(R24/R148, "NA")</f>
        <v>0.04423290861</v>
      </c>
      <c r="T24" s="27">
        <v>1996.09</v>
      </c>
      <c r="U24" s="23">
        <f>IFERROR(T24/T148, "NA")</f>
        <v>0.05720719391</v>
      </c>
      <c r="V24" s="27">
        <v>2667.5</v>
      </c>
      <c r="W24" s="23">
        <f>IFERROR(V24/V148, "NA")</f>
        <v>0.0586622801</v>
      </c>
      <c r="X24" s="27">
        <v>2122.83</v>
      </c>
      <c r="Y24" s="23">
        <f>IFERROR(X24/X148, "NA")</f>
        <v>0.05449741046</v>
      </c>
      <c r="Z24" s="27">
        <v>8049.22</v>
      </c>
      <c r="AA24" s="23">
        <f>IFERROR(Z24/Z148, "NA")</f>
        <v>0.05443584192</v>
      </c>
      <c r="AB24" s="59">
        <f t="shared" si="7"/>
        <v>2012.305</v>
      </c>
      <c r="AC24" s="23">
        <f>IFERROR(AB24/AB148, "NA")</f>
        <v>0.05443584192</v>
      </c>
      <c r="AD24" s="61">
        <f t="shared" si="8"/>
        <v>110.525</v>
      </c>
      <c r="AE24" s="63">
        <f>IFERROR(AD24/AD148, "NA")</f>
        <v>0.05564323886</v>
      </c>
      <c r="AF24" s="61">
        <f t="shared" si="9"/>
        <v>0.05492457654</v>
      </c>
      <c r="AG24" s="59">
        <f t="shared" si="10"/>
        <v>1808.595</v>
      </c>
      <c r="AH24" s="23">
        <f>IFERROR(AG24/AG148, "NA")</f>
        <v>0.05414347799</v>
      </c>
      <c r="AI24" s="61">
        <f t="shared" si="11"/>
        <v>314.235</v>
      </c>
      <c r="AJ24" s="63">
        <f>IFERROR(AI24/AI148, "NA")</f>
        <v>0.05662796154</v>
      </c>
      <c r="AK24" s="61">
        <f t="shared" si="12"/>
        <v>0.1737453659</v>
      </c>
      <c r="AL24" s="63">
        <f>IFERROR(AK24/AK148, "NA")</f>
        <v>1.045887033</v>
      </c>
    </row>
    <row r="25" ht="16.5" hidden="1" customHeight="1">
      <c r="A25" s="26" t="s">
        <v>80</v>
      </c>
      <c r="B25" s="27">
        <v>0.0</v>
      </c>
      <c r="C25" s="23">
        <f>IFERROR(B25/B148, "NA")</f>
        <v>0</v>
      </c>
      <c r="D25" s="27">
        <v>0.0</v>
      </c>
      <c r="E25" s="23">
        <f>IFERROR(D25/D148, "NA")</f>
        <v>0</v>
      </c>
      <c r="F25" s="27">
        <v>0.0</v>
      </c>
      <c r="G25" s="23">
        <f>IFERROR(F25/F148, "NA")</f>
        <v>0</v>
      </c>
      <c r="H25" s="27">
        <v>0.0</v>
      </c>
      <c r="I25" s="23">
        <f>IFERROR(H25/H148, "NA")</f>
        <v>0</v>
      </c>
      <c r="J25" s="27">
        <v>0.0</v>
      </c>
      <c r="K25" s="23">
        <f>IFERROR(J25/J148, "NA")</f>
        <v>0</v>
      </c>
      <c r="L25" s="27">
        <v>0.0</v>
      </c>
      <c r="M25" s="23">
        <f>IFERROR(L25/L148, "NA")</f>
        <v>0</v>
      </c>
      <c r="N25" s="27">
        <v>0.0</v>
      </c>
      <c r="O25" s="23">
        <f>IFERROR(N25/N148, "NA")</f>
        <v>0</v>
      </c>
      <c r="P25" s="27">
        <v>0.0</v>
      </c>
      <c r="Q25" s="23">
        <f>IFERROR(P25/P148, "NA")</f>
        <v>0</v>
      </c>
      <c r="R25" s="27">
        <v>0.0</v>
      </c>
      <c r="S25" s="23">
        <f>IFERROR(R25/R148, "NA")</f>
        <v>0</v>
      </c>
      <c r="T25" s="27">
        <v>0.0</v>
      </c>
      <c r="U25" s="23">
        <f>IFERROR(T25/T148, "NA")</f>
        <v>0</v>
      </c>
      <c r="V25" s="27">
        <v>0.0</v>
      </c>
      <c r="W25" s="23">
        <f>IFERROR(V25/V148, "NA")</f>
        <v>0</v>
      </c>
      <c r="X25" s="27">
        <v>0.0</v>
      </c>
      <c r="Y25" s="23">
        <f>IFERROR(X25/X148, "NA")</f>
        <v>0</v>
      </c>
      <c r="Z25" s="27">
        <v>0.0</v>
      </c>
      <c r="AA25" s="23">
        <f>IFERROR(Z25/Z148, "NA")</f>
        <v>0</v>
      </c>
      <c r="AB25" s="59">
        <f t="shared" si="7"/>
        <v>0</v>
      </c>
      <c r="AC25" s="23">
        <f>IFERROR(AB25/AB148, "NA")</f>
        <v>0</v>
      </c>
      <c r="AD25" s="61">
        <f t="shared" si="8"/>
        <v>0</v>
      </c>
      <c r="AE25" s="63">
        <f>IFERROR(AD25/AD148, "NA")</f>
        <v>0</v>
      </c>
      <c r="AF25" s="61" t="str">
        <f t="shared" si="9"/>
        <v>NA</v>
      </c>
      <c r="AG25" s="59">
        <f t="shared" si="10"/>
        <v>0</v>
      </c>
      <c r="AH25" s="23">
        <f>IFERROR(AG25/AG148, "NA")</f>
        <v>0</v>
      </c>
      <c r="AI25" s="61">
        <f t="shared" si="11"/>
        <v>0</v>
      </c>
      <c r="AJ25" s="63">
        <f>IFERROR(AI25/AI148, "NA")</f>
        <v>0</v>
      </c>
      <c r="AK25" s="61" t="str">
        <f t="shared" si="12"/>
        <v>NA</v>
      </c>
      <c r="AL25" s="63" t="str">
        <f>IFERROR(AK25/AK148, "NA")</f>
        <v>NA</v>
      </c>
    </row>
    <row r="26" ht="16.5" hidden="1" customHeight="1">
      <c r="A26" s="26" t="s">
        <v>81</v>
      </c>
      <c r="B26" s="27">
        <v>0.0</v>
      </c>
      <c r="C26" s="23">
        <f>IFERROR(B26/B148, "NA")</f>
        <v>0</v>
      </c>
      <c r="D26" s="27">
        <v>0.0</v>
      </c>
      <c r="E26" s="23">
        <f>IFERROR(D26/D148, "NA")</f>
        <v>0</v>
      </c>
      <c r="F26" s="27">
        <v>0.0</v>
      </c>
      <c r="G26" s="23">
        <f>IFERROR(F26/F148, "NA")</f>
        <v>0</v>
      </c>
      <c r="H26" s="27">
        <v>0.0</v>
      </c>
      <c r="I26" s="23">
        <f>IFERROR(H26/H148, "NA")</f>
        <v>0</v>
      </c>
      <c r="J26" s="27">
        <v>0.0</v>
      </c>
      <c r="K26" s="23">
        <f>IFERROR(J26/J148, "NA")</f>
        <v>0</v>
      </c>
      <c r="L26" s="27">
        <v>0.0</v>
      </c>
      <c r="M26" s="23">
        <f>IFERROR(L26/L148, "NA")</f>
        <v>0</v>
      </c>
      <c r="N26" s="27">
        <v>0.0</v>
      </c>
      <c r="O26" s="23">
        <f>IFERROR(N26/N148, "NA")</f>
        <v>0</v>
      </c>
      <c r="P26" s="27">
        <v>0.0</v>
      </c>
      <c r="Q26" s="23">
        <f>IFERROR(P26/P148, "NA")</f>
        <v>0</v>
      </c>
      <c r="R26" s="27">
        <v>0.0</v>
      </c>
      <c r="S26" s="23">
        <f>IFERROR(R26/R148, "NA")</f>
        <v>0</v>
      </c>
      <c r="T26" s="27">
        <v>0.0</v>
      </c>
      <c r="U26" s="23">
        <f>IFERROR(T26/T148, "NA")</f>
        <v>0</v>
      </c>
      <c r="V26" s="27">
        <v>0.0</v>
      </c>
      <c r="W26" s="23">
        <f>IFERROR(V26/V148, "NA")</f>
        <v>0</v>
      </c>
      <c r="X26" s="27">
        <v>0.0</v>
      </c>
      <c r="Y26" s="23">
        <f>IFERROR(X26/X148, "NA")</f>
        <v>0</v>
      </c>
      <c r="Z26" s="27">
        <v>0.0</v>
      </c>
      <c r="AA26" s="23">
        <f>IFERROR(Z26/Z148, "NA")</f>
        <v>0</v>
      </c>
      <c r="AB26" s="59">
        <f t="shared" si="7"/>
        <v>0</v>
      </c>
      <c r="AC26" s="23">
        <f>IFERROR(AB26/AB148, "NA")</f>
        <v>0</v>
      </c>
      <c r="AD26" s="61">
        <f t="shared" si="8"/>
        <v>0</v>
      </c>
      <c r="AE26" s="63">
        <f>IFERROR(AD26/AD148, "NA")</f>
        <v>0</v>
      </c>
      <c r="AF26" s="61" t="str">
        <f t="shared" si="9"/>
        <v>NA</v>
      </c>
      <c r="AG26" s="59">
        <f t="shared" si="10"/>
        <v>0</v>
      </c>
      <c r="AH26" s="23">
        <f>IFERROR(AG26/AG148, "NA")</f>
        <v>0</v>
      </c>
      <c r="AI26" s="61">
        <f t="shared" si="11"/>
        <v>0</v>
      </c>
      <c r="AJ26" s="63">
        <f>IFERROR(AI26/AI148, "NA")</f>
        <v>0</v>
      </c>
      <c r="AK26" s="61" t="str">
        <f t="shared" si="12"/>
        <v>NA</v>
      </c>
      <c r="AL26" s="63" t="str">
        <f>IFERROR(AK26/AK148, "NA")</f>
        <v>NA</v>
      </c>
    </row>
    <row r="27" ht="16.5" customHeight="1">
      <c r="A27" s="66" t="s">
        <v>84</v>
      </c>
      <c r="B27" s="67">
        <f>IFERROR(B15+B16+B17+B18+B19+B20+B21+B22+B23+B24+B25+B26, "NA")</f>
        <v>5283.54</v>
      </c>
      <c r="C27" s="69">
        <f>IFERROR(B27/B148, "NA")</f>
        <v>0.220010177</v>
      </c>
      <c r="D27" s="67">
        <f>IFERROR(D15+D16+D17+D18+D19+D20+D21+D22+D23+D24+D25+D26, "NA")</f>
        <v>6418.77</v>
      </c>
      <c r="E27" s="69">
        <f>IFERROR(D27/D148, "NA")</f>
        <v>0.2328075662</v>
      </c>
      <c r="F27" s="67">
        <f>IFERROR(F15+F16+F17+F18+F19+F20+F21+F22+F23+F24+F25+F26, "NA")</f>
        <v>6344</v>
      </c>
      <c r="G27" s="69">
        <f>IFERROR(F27/F148, "NA")</f>
        <v>0.2067456302</v>
      </c>
      <c r="H27" s="67">
        <f>IFERROR(H15+H16+H17+H18+H19+H20+H21+H22+H23+H24+H25+H26, "NA")</f>
        <v>4827.44</v>
      </c>
      <c r="I27" s="69">
        <f>IFERROR(H27/H148, "NA")</f>
        <v>0.2264722757</v>
      </c>
      <c r="J27" s="67">
        <f>IFERROR(J15+J16+J17+J18+J19+J20+J21+J22+J23+J24+J25+J26, "NA")</f>
        <v>7395.75</v>
      </c>
      <c r="K27" s="69">
        <f>IFERROR(J27/J148, "NA")</f>
        <v>0.2227812022</v>
      </c>
      <c r="L27" s="67">
        <f>IFERROR(L15+L16+L17+L18+L19+L20+L21+L22+L23+L24+L25+L26, "NA")</f>
        <v>5713.25</v>
      </c>
      <c r="M27" s="69">
        <f>IFERROR(L27/L148, "NA")</f>
        <v>0.2189517373</v>
      </c>
      <c r="N27" s="67">
        <f>IFERROR(N15+N16+N17+N18+N19+N20+N21+N22+N23+N24+N25+N26, "NA")</f>
        <v>5348.81</v>
      </c>
      <c r="O27" s="69">
        <f>IFERROR(N27/N148, "NA")</f>
        <v>0.2086557164</v>
      </c>
      <c r="P27" s="67">
        <f>IFERROR(P15+P16+P17+P18+P19+P20+P21+P22+P23+P24+P25+P26, "NA")</f>
        <v>6855.04</v>
      </c>
      <c r="Q27" s="69">
        <f>IFERROR(P27/P148, "NA")</f>
        <v>0.1990536658</v>
      </c>
      <c r="R27" s="67">
        <f>IFERROR(R15+R16+R17+R18+R19+R20+R21+R22+R23+R24+R25+R26, "NA")</f>
        <v>5481.95</v>
      </c>
      <c r="S27" s="69">
        <f>IFERROR(R27/R148, "NA")</f>
        <v>0.192019792</v>
      </c>
      <c r="T27" s="67">
        <f>IFERROR(T15+T16+T17+T18+T19+T20+T21+T22+T23+T24+T25+T26, "NA")</f>
        <v>6519.7</v>
      </c>
      <c r="U27" s="69">
        <f>IFERROR(T27/T148, "NA")</f>
        <v>0.1868521671</v>
      </c>
      <c r="V27" s="67">
        <f>IFERROR(V15+V16+V17+V18+V19+V20+V21+V22+V23+V24+V25+V26, "NA")</f>
        <v>9271.76</v>
      </c>
      <c r="W27" s="69">
        <f>IFERROR(V27/V148, "NA")</f>
        <v>0.2038997496</v>
      </c>
      <c r="X27" s="67">
        <f>IFERROR(X15+X16+X17+X18+X19+X20+X21+X22+X23+X24+X25+X26, "NA")</f>
        <v>8181.2</v>
      </c>
      <c r="Y27" s="69">
        <f>IFERROR(X27/X148, "NA")</f>
        <v>0.2100282239</v>
      </c>
      <c r="Z27" s="67">
        <f>IFERROR(Z15+Z16+Z17+Z18+Z19+Z20+Z21+Z22+Z23+Z24+Z25+Z26, "NA")</f>
        <v>29454.61</v>
      </c>
      <c r="AA27" s="69">
        <f>IFERROR(Z27/Z148, "NA")</f>
        <v>0.1991977476</v>
      </c>
      <c r="AB27" s="67">
        <f t="shared" si="7"/>
        <v>7363.6525</v>
      </c>
      <c r="AC27" s="69">
        <f>IFERROR(AB27/AB148, "NA")</f>
        <v>0.1991977476</v>
      </c>
      <c r="AD27" s="70">
        <f t="shared" si="8"/>
        <v>817.5475</v>
      </c>
      <c r="AE27" s="71">
        <f>IFERROR(AD27/AD148, "NA")</f>
        <v>0.411590055</v>
      </c>
      <c r="AF27" s="70">
        <f t="shared" si="9"/>
        <v>0.1110247258</v>
      </c>
      <c r="AG27" s="67">
        <f t="shared" si="10"/>
        <v>6845.9325</v>
      </c>
      <c r="AH27" s="69">
        <f>IFERROR(AG27/AG148, "NA")</f>
        <v>0.2049450516</v>
      </c>
      <c r="AI27" s="70">
        <f t="shared" si="11"/>
        <v>1335.2675</v>
      </c>
      <c r="AJ27" s="71">
        <f>IFERROR(AI27/AI148, "NA")</f>
        <v>0.2406271632</v>
      </c>
      <c r="AK27" s="70">
        <f t="shared" si="12"/>
        <v>0.1950453791</v>
      </c>
      <c r="AL27" s="71">
        <f>IFERROR(AK27/AK148, "NA")</f>
        <v>1.174105748</v>
      </c>
    </row>
    <row r="28" ht="16.5" customHeight="1">
      <c r="A28" s="17" t="s">
        <v>85</v>
      </c>
      <c r="B28" s="19"/>
      <c r="C28" s="13"/>
      <c r="D28" s="19"/>
      <c r="E28" s="13"/>
      <c r="F28" s="19"/>
      <c r="G28" s="13"/>
      <c r="H28" s="19"/>
      <c r="I28" s="13"/>
      <c r="J28" s="19"/>
      <c r="K28" s="13"/>
      <c r="L28" s="19"/>
      <c r="M28" s="13"/>
      <c r="N28" s="19"/>
      <c r="O28" s="13"/>
      <c r="P28" s="19"/>
      <c r="Q28" s="13"/>
      <c r="R28" s="19"/>
      <c r="S28" s="13"/>
      <c r="T28" s="19"/>
      <c r="U28" s="13"/>
      <c r="V28" s="19"/>
      <c r="W28" s="13"/>
      <c r="X28" s="19"/>
      <c r="Y28" s="13"/>
      <c r="Z28" s="19"/>
      <c r="AA28" s="13"/>
      <c r="AB28" s="19"/>
      <c r="AC28" s="13"/>
      <c r="AD28" s="24"/>
      <c r="AE28" s="25"/>
      <c r="AF28" s="24"/>
      <c r="AG28" s="19"/>
      <c r="AH28" s="13"/>
      <c r="AI28" s="24"/>
      <c r="AJ28" s="25"/>
      <c r="AK28" s="24"/>
      <c r="AL28" s="25"/>
    </row>
    <row r="29" ht="16.5" hidden="1" customHeight="1">
      <c r="A29" s="26" t="s">
        <v>86</v>
      </c>
      <c r="B29" s="27">
        <v>0.0</v>
      </c>
      <c r="C29" s="23">
        <f>IFERROR(B29/B148, "NA")</f>
        <v>0</v>
      </c>
      <c r="D29" s="27">
        <v>0.0</v>
      </c>
      <c r="E29" s="23">
        <f>IFERROR(D29/D148, "NA")</f>
        <v>0</v>
      </c>
      <c r="F29" s="27">
        <v>0.0</v>
      </c>
      <c r="G29" s="23">
        <f>IFERROR(F29/F148, "NA")</f>
        <v>0</v>
      </c>
      <c r="H29" s="27">
        <v>0.0</v>
      </c>
      <c r="I29" s="23">
        <f>IFERROR(H29/H148, "NA")</f>
        <v>0</v>
      </c>
      <c r="J29" s="27">
        <v>0.0</v>
      </c>
      <c r="K29" s="23">
        <f>IFERROR(J29/J148, "NA")</f>
        <v>0</v>
      </c>
      <c r="L29" s="27">
        <v>0.0</v>
      </c>
      <c r="M29" s="23">
        <f>IFERROR(L29/L148, "NA")</f>
        <v>0</v>
      </c>
      <c r="N29" s="27">
        <v>0.0</v>
      </c>
      <c r="O29" s="23">
        <f>IFERROR(N29/N148, "NA")</f>
        <v>0</v>
      </c>
      <c r="P29" s="27">
        <v>0.0</v>
      </c>
      <c r="Q29" s="23">
        <f>IFERROR(P29/P148, "NA")</f>
        <v>0</v>
      </c>
      <c r="R29" s="27">
        <v>0.0</v>
      </c>
      <c r="S29" s="23">
        <f>IFERROR(R29/R148, "NA")</f>
        <v>0</v>
      </c>
      <c r="T29" s="27">
        <v>0.0</v>
      </c>
      <c r="U29" s="23">
        <f>IFERROR(T29/T148, "NA")</f>
        <v>0</v>
      </c>
      <c r="V29" s="27">
        <v>0.0</v>
      </c>
      <c r="W29" s="23">
        <f>IFERROR(V29/V148, "NA")</f>
        <v>0</v>
      </c>
      <c r="X29" s="27">
        <v>0.0</v>
      </c>
      <c r="Y29" s="23">
        <f>IFERROR(X29/X148, "NA")</f>
        <v>0</v>
      </c>
      <c r="Z29" s="27">
        <v>0.0</v>
      </c>
      <c r="AA29" s="23">
        <f>IFERROR(Z29/Z148, "NA")</f>
        <v>0</v>
      </c>
      <c r="AB29" s="59">
        <f t="shared" ref="AB29:AB35" si="13">IFERROR((R29+T29+V29+X29)/4, "NA")</f>
        <v>0</v>
      </c>
      <c r="AC29" s="23">
        <f>IFERROR(AB29/AB148, "NA")</f>
        <v>0</v>
      </c>
      <c r="AD29" s="61">
        <f t="shared" ref="AD29:AD35" si="14">IFERROR(X29-AB29, "NA")</f>
        <v>0</v>
      </c>
      <c r="AE29" s="63">
        <f>IFERROR(AD29/AD148, "NA")</f>
        <v>0</v>
      </c>
      <c r="AF29" s="61" t="str">
        <f t="shared" ref="AF29:AF35" si="15">IFERROR((X29-AB29)/AB29, "NA")</f>
        <v>NA</v>
      </c>
      <c r="AG29" s="59">
        <f t="shared" ref="AG29:AG35" si="16">IFERROR((J29+L29+N29+P29+R29+T29+V29+X29)/8, "NA")</f>
        <v>0</v>
      </c>
      <c r="AH29" s="23">
        <f>IFERROR(AG29/AG148, "NA")</f>
        <v>0</v>
      </c>
      <c r="AI29" s="61">
        <f t="shared" ref="AI29:AI35" si="17">IFERROR(X29-AG29, "NA")</f>
        <v>0</v>
      </c>
      <c r="AJ29" s="63">
        <f>IFERROR(AI29/AI148, "NA")</f>
        <v>0</v>
      </c>
      <c r="AK29" s="61" t="str">
        <f t="shared" ref="AK29:AK35" si="18">IFERROR((X29-AG29)/AG29, "NA")</f>
        <v>NA</v>
      </c>
      <c r="AL29" s="63" t="str">
        <f>IFERROR(AK29/AK148, "NA")</f>
        <v>NA</v>
      </c>
    </row>
    <row r="30" ht="16.5" customHeight="1">
      <c r="A30" s="26" t="s">
        <v>87</v>
      </c>
      <c r="B30" s="27">
        <v>182.49</v>
      </c>
      <c r="C30" s="23">
        <f>IFERROR(B30/B148, "NA")</f>
        <v>0.007599006953</v>
      </c>
      <c r="D30" s="27">
        <v>341.56</v>
      </c>
      <c r="E30" s="23">
        <f>IFERROR(D30/D148, "NA")</f>
        <v>0.01238831619</v>
      </c>
      <c r="F30" s="27">
        <v>450.47</v>
      </c>
      <c r="G30" s="23">
        <f>IFERROR(F30/F148, "NA")</f>
        <v>0.01468043885</v>
      </c>
      <c r="H30" s="27">
        <v>412.53</v>
      </c>
      <c r="I30" s="23">
        <f>IFERROR(H30/H148, "NA")</f>
        <v>0.01935324062</v>
      </c>
      <c r="J30" s="27">
        <v>364.65</v>
      </c>
      <c r="K30" s="23">
        <f>IFERROR(J30/J148, "NA")</f>
        <v>0.01098430388</v>
      </c>
      <c r="L30" s="27">
        <v>78.32</v>
      </c>
      <c r="M30" s="23">
        <f>IFERROR(L30/L148, "NA")</f>
        <v>0.003001496533</v>
      </c>
      <c r="N30" s="27">
        <v>524.4</v>
      </c>
      <c r="O30" s="23">
        <f>IFERROR(N30/N148, "NA")</f>
        <v>0.0204567105</v>
      </c>
      <c r="P30" s="27">
        <v>502.46</v>
      </c>
      <c r="Q30" s="23">
        <f>IFERROR(P30/P148, "NA")</f>
        <v>0.01459021463</v>
      </c>
      <c r="R30" s="27">
        <v>428.24</v>
      </c>
      <c r="S30" s="23">
        <f>IFERROR(R30/R148, "NA")</f>
        <v>0.01500023819</v>
      </c>
      <c r="T30" s="27">
        <v>360.74</v>
      </c>
      <c r="U30" s="23">
        <f>IFERROR(T30/T148, "NA")</f>
        <v>0.01033867367</v>
      </c>
      <c r="V30" s="27">
        <v>871.68</v>
      </c>
      <c r="W30" s="23">
        <f>IFERROR(V30/V148, "NA")</f>
        <v>0.01916953564</v>
      </c>
      <c r="X30" s="27">
        <v>-367.22</v>
      </c>
      <c r="Y30" s="23">
        <f>IFERROR(X30/X148, "NA")</f>
        <v>-0.009427292373</v>
      </c>
      <c r="Z30" s="27">
        <v>1293.44</v>
      </c>
      <c r="AA30" s="23">
        <f>IFERROR(Z30/Z148, "NA")</f>
        <v>0.008747368736</v>
      </c>
      <c r="AB30" s="59">
        <f t="shared" si="13"/>
        <v>323.36</v>
      </c>
      <c r="AC30" s="23">
        <f>IFERROR(AB30/AB148, "NA")</f>
        <v>0.008747368736</v>
      </c>
      <c r="AD30" s="61">
        <f t="shared" si="14"/>
        <v>-690.58</v>
      </c>
      <c r="AE30" s="63">
        <f>IFERROR(AD30/AD148, "NA")</f>
        <v>-0.3476689246</v>
      </c>
      <c r="AF30" s="61">
        <f t="shared" si="15"/>
        <v>-2.135638298</v>
      </c>
      <c r="AG30" s="59">
        <f t="shared" si="16"/>
        <v>345.40875</v>
      </c>
      <c r="AH30" s="23">
        <f>IFERROR(AG30/AG148, "NA")</f>
        <v>0.01034041953</v>
      </c>
      <c r="AI30" s="61">
        <f t="shared" si="17"/>
        <v>-712.62875</v>
      </c>
      <c r="AJ30" s="63">
        <f>IFERROR(AI30/AI148, "NA")</f>
        <v>-0.1284220836</v>
      </c>
      <c r="AK30" s="61">
        <f t="shared" si="18"/>
        <v>-2.0631462</v>
      </c>
      <c r="AL30" s="63">
        <f>IFERROR(AK30/AK148, "NA")</f>
        <v>-12.41942682</v>
      </c>
    </row>
    <row r="31" ht="16.5" customHeight="1">
      <c r="A31" s="26" t="s">
        <v>88</v>
      </c>
      <c r="B31" s="27">
        <v>9.75</v>
      </c>
      <c r="C31" s="23">
        <f>IFERROR(B31/B148, "NA")</f>
        <v>0.0004059965905</v>
      </c>
      <c r="D31" s="27">
        <v>12.17</v>
      </c>
      <c r="E31" s="23">
        <f>IFERROR(D31/D148, "NA")</f>
        <v>0.0004414035836</v>
      </c>
      <c r="F31" s="27">
        <v>26.42</v>
      </c>
      <c r="G31" s="23">
        <f>IFERROR(F31/F148, "NA")</f>
        <v>0.0008610056037</v>
      </c>
      <c r="H31" s="27">
        <v>40.47</v>
      </c>
      <c r="I31" s="23">
        <f>IFERROR(H31/H148, "NA")</f>
        <v>0.001898590764</v>
      </c>
      <c r="J31" s="27">
        <v>25.11</v>
      </c>
      <c r="K31" s="23">
        <f>IFERROR(J31/J148, "NA")</f>
        <v>0.0007563852197</v>
      </c>
      <c r="L31" s="27">
        <v>36.0</v>
      </c>
      <c r="M31" s="23">
        <f>IFERROR(L31/L148, "NA")</f>
        <v>0.001379646006</v>
      </c>
      <c r="N31" s="27">
        <v>31.85</v>
      </c>
      <c r="O31" s="23">
        <f>IFERROR(N31/N148, "NA")</f>
        <v>0.001242460391</v>
      </c>
      <c r="P31" s="27">
        <v>-20.26</v>
      </c>
      <c r="Q31" s="23">
        <f>IFERROR(P31/P148, "NA")</f>
        <v>-0.0005883010557</v>
      </c>
      <c r="R31" s="27">
        <v>4.87</v>
      </c>
      <c r="S31" s="23">
        <f>IFERROR(R31/R148, "NA")</f>
        <v>0.0001705846254</v>
      </c>
      <c r="T31" s="27">
        <v>15.92</v>
      </c>
      <c r="U31" s="23">
        <f>IFERROR(T31/T148, "NA")</f>
        <v>0.0004562612543</v>
      </c>
      <c r="V31" s="27">
        <v>2.44</v>
      </c>
      <c r="W31" s="23">
        <f>IFERROR(V31/V148, "NA")</f>
        <v>0.00005365921778</v>
      </c>
      <c r="X31" s="27">
        <v>26.79</v>
      </c>
      <c r="Y31" s="23">
        <f>IFERROR(X31/X148, "NA")</f>
        <v>0.000687754378</v>
      </c>
      <c r="Z31" s="27">
        <v>50.02</v>
      </c>
      <c r="AA31" s="23">
        <f>IFERROR(Z31/Z148, "NA")</f>
        <v>0.000338278841</v>
      </c>
      <c r="AB31" s="59">
        <f t="shared" si="13"/>
        <v>12.505</v>
      </c>
      <c r="AC31" s="23">
        <f>IFERROR(AB31/AB148, "NA")</f>
        <v>0.000338278841</v>
      </c>
      <c r="AD31" s="61">
        <f t="shared" si="14"/>
        <v>14.285</v>
      </c>
      <c r="AE31" s="63">
        <f>IFERROR(AD31/AD148, "NA")</f>
        <v>0.007191709271</v>
      </c>
      <c r="AF31" s="61">
        <f t="shared" si="15"/>
        <v>1.142343063</v>
      </c>
      <c r="AG31" s="59">
        <f t="shared" si="16"/>
        <v>15.34</v>
      </c>
      <c r="AH31" s="23">
        <f>IFERROR(AG31/AG148, "NA")</f>
        <v>0.0004592299284</v>
      </c>
      <c r="AI31" s="61">
        <f t="shared" si="17"/>
        <v>11.45</v>
      </c>
      <c r="AJ31" s="63">
        <f>IFERROR(AI31/AI148, "NA")</f>
        <v>0.002063392555</v>
      </c>
      <c r="AK31" s="61">
        <f t="shared" si="18"/>
        <v>0.7464146023</v>
      </c>
      <c r="AL31" s="63">
        <f>IFERROR(AK31/AK148, "NA")</f>
        <v>4.493157844</v>
      </c>
    </row>
    <row r="32" ht="16.5" customHeight="1">
      <c r="A32" s="26" t="s">
        <v>89</v>
      </c>
      <c r="B32" s="27">
        <v>29.9</v>
      </c>
      <c r="C32" s="23">
        <f>IFERROR(B32/B148, "NA")</f>
        <v>0.001245056211</v>
      </c>
      <c r="D32" s="27">
        <v>0.0</v>
      </c>
      <c r="E32" s="23">
        <f>IFERROR(D32/D148, "NA")</f>
        <v>0</v>
      </c>
      <c r="F32" s="27">
        <v>0.0</v>
      </c>
      <c r="G32" s="23">
        <f>IFERROR(F32/F148, "NA")</f>
        <v>0</v>
      </c>
      <c r="H32" s="27">
        <v>0.0</v>
      </c>
      <c r="I32" s="23">
        <f>IFERROR(H32/H148, "NA")</f>
        <v>0</v>
      </c>
      <c r="J32" s="27">
        <v>0.0</v>
      </c>
      <c r="K32" s="23">
        <f>IFERROR(J32/J148, "NA")</f>
        <v>0</v>
      </c>
      <c r="L32" s="27">
        <v>0.0</v>
      </c>
      <c r="M32" s="23">
        <f>IFERROR(L32/L148, "NA")</f>
        <v>0</v>
      </c>
      <c r="N32" s="27">
        <v>0.0</v>
      </c>
      <c r="O32" s="23">
        <f>IFERROR(N32/N148, "NA")</f>
        <v>0</v>
      </c>
      <c r="P32" s="27">
        <v>0.0</v>
      </c>
      <c r="Q32" s="23">
        <f>IFERROR(P32/P148, "NA")</f>
        <v>0</v>
      </c>
      <c r="R32" s="27">
        <v>0.0</v>
      </c>
      <c r="S32" s="23">
        <f>IFERROR(R32/R148, "NA")</f>
        <v>0</v>
      </c>
      <c r="T32" s="27">
        <v>0.0</v>
      </c>
      <c r="U32" s="23">
        <f>IFERROR(T32/T148, "NA")</f>
        <v>0</v>
      </c>
      <c r="V32" s="27">
        <v>0.0</v>
      </c>
      <c r="W32" s="23">
        <f>IFERROR(V32/V148, "NA")</f>
        <v>0</v>
      </c>
      <c r="X32" s="27">
        <v>0.0</v>
      </c>
      <c r="Y32" s="23">
        <f>IFERROR(X32/X148, "NA")</f>
        <v>0</v>
      </c>
      <c r="Z32" s="27">
        <v>0.0</v>
      </c>
      <c r="AA32" s="23">
        <f>IFERROR(Z32/Z148, "NA")</f>
        <v>0</v>
      </c>
      <c r="AB32" s="59">
        <f t="shared" si="13"/>
        <v>0</v>
      </c>
      <c r="AC32" s="23">
        <f>IFERROR(AB32/AB148, "NA")</f>
        <v>0</v>
      </c>
      <c r="AD32" s="61">
        <f t="shared" si="14"/>
        <v>0</v>
      </c>
      <c r="AE32" s="63">
        <f>IFERROR(AD32/AD148, "NA")</f>
        <v>0</v>
      </c>
      <c r="AF32" s="61" t="str">
        <f t="shared" si="15"/>
        <v>NA</v>
      </c>
      <c r="AG32" s="59">
        <f t="shared" si="16"/>
        <v>0</v>
      </c>
      <c r="AH32" s="23">
        <f>IFERROR(AG32/AG148, "NA")</f>
        <v>0</v>
      </c>
      <c r="AI32" s="61">
        <f t="shared" si="17"/>
        <v>0</v>
      </c>
      <c r="AJ32" s="63">
        <f>IFERROR(AI32/AI148, "NA")</f>
        <v>0</v>
      </c>
      <c r="AK32" s="61" t="str">
        <f t="shared" si="18"/>
        <v>NA</v>
      </c>
      <c r="AL32" s="63" t="str">
        <f>IFERROR(AK32/AK148, "NA")</f>
        <v>NA</v>
      </c>
    </row>
    <row r="33" ht="16.5" hidden="1" customHeight="1">
      <c r="A33" s="26" t="s">
        <v>90</v>
      </c>
      <c r="B33" s="27">
        <v>0.0</v>
      </c>
      <c r="C33" s="23">
        <f>IFERROR(B33/B148, "NA")</f>
        <v>0</v>
      </c>
      <c r="D33" s="27">
        <v>0.0</v>
      </c>
      <c r="E33" s="23">
        <f>IFERROR(D33/D148, "NA")</f>
        <v>0</v>
      </c>
      <c r="F33" s="27">
        <v>0.0</v>
      </c>
      <c r="G33" s="23">
        <f>IFERROR(F33/F148, "NA")</f>
        <v>0</v>
      </c>
      <c r="H33" s="27">
        <v>0.0</v>
      </c>
      <c r="I33" s="23">
        <f>IFERROR(H33/H148, "NA")</f>
        <v>0</v>
      </c>
      <c r="J33" s="27">
        <v>0.0</v>
      </c>
      <c r="K33" s="23">
        <f>IFERROR(J33/J148, "NA")</f>
        <v>0</v>
      </c>
      <c r="L33" s="27">
        <v>0.0</v>
      </c>
      <c r="M33" s="23">
        <f>IFERROR(L33/L148, "NA")</f>
        <v>0</v>
      </c>
      <c r="N33" s="27">
        <v>0.0</v>
      </c>
      <c r="O33" s="23">
        <f>IFERROR(N33/N148, "NA")</f>
        <v>0</v>
      </c>
      <c r="P33" s="27">
        <v>0.0</v>
      </c>
      <c r="Q33" s="23">
        <f>IFERROR(P33/P148, "NA")</f>
        <v>0</v>
      </c>
      <c r="R33" s="27">
        <v>0.0</v>
      </c>
      <c r="S33" s="23">
        <f>IFERROR(R33/R148, "NA")</f>
        <v>0</v>
      </c>
      <c r="T33" s="27">
        <v>0.0</v>
      </c>
      <c r="U33" s="23">
        <f>IFERROR(T33/T148, "NA")</f>
        <v>0</v>
      </c>
      <c r="V33" s="27">
        <v>0.0</v>
      </c>
      <c r="W33" s="23">
        <f>IFERROR(V33/V148, "NA")</f>
        <v>0</v>
      </c>
      <c r="X33" s="27">
        <v>0.0</v>
      </c>
      <c r="Y33" s="23">
        <f>IFERROR(X33/X148, "NA")</f>
        <v>0</v>
      </c>
      <c r="Z33" s="27">
        <v>0.0</v>
      </c>
      <c r="AA33" s="23">
        <f>IFERROR(Z33/Z148, "NA")</f>
        <v>0</v>
      </c>
      <c r="AB33" s="59">
        <f t="shared" si="13"/>
        <v>0</v>
      </c>
      <c r="AC33" s="23">
        <f>IFERROR(AB33/AB148, "NA")</f>
        <v>0</v>
      </c>
      <c r="AD33" s="61">
        <f t="shared" si="14"/>
        <v>0</v>
      </c>
      <c r="AE33" s="63">
        <f>IFERROR(AD33/AD148, "NA")</f>
        <v>0</v>
      </c>
      <c r="AF33" s="61" t="str">
        <f t="shared" si="15"/>
        <v>NA</v>
      </c>
      <c r="AG33" s="59">
        <f t="shared" si="16"/>
        <v>0</v>
      </c>
      <c r="AH33" s="23">
        <f>IFERROR(AG33/AG148, "NA")</f>
        <v>0</v>
      </c>
      <c r="AI33" s="61">
        <f t="shared" si="17"/>
        <v>0</v>
      </c>
      <c r="AJ33" s="63">
        <f>IFERROR(AI33/AI148, "NA")</f>
        <v>0</v>
      </c>
      <c r="AK33" s="61" t="str">
        <f t="shared" si="18"/>
        <v>NA</v>
      </c>
      <c r="AL33" s="63" t="str">
        <f>IFERROR(AK33/AK148, "NA")</f>
        <v>NA</v>
      </c>
    </row>
    <row r="34" ht="16.5" customHeight="1">
      <c r="A34" s="66" t="s">
        <v>91</v>
      </c>
      <c r="B34" s="67">
        <f>IFERROR(B29+B30+B31+B32+B33, "NA")</f>
        <v>222.14</v>
      </c>
      <c r="C34" s="69">
        <f>IFERROR(B34/B148, "NA")</f>
        <v>0.009250059754</v>
      </c>
      <c r="D34" s="67">
        <f>IFERROR(D29+D30+D31+D32+D33, "NA")</f>
        <v>353.73</v>
      </c>
      <c r="E34" s="69">
        <f>IFERROR(D34/D148, "NA")</f>
        <v>0.01282971977</v>
      </c>
      <c r="F34" s="67">
        <f>IFERROR(F29+F30+F31+F32+F33, "NA")</f>
        <v>476.89</v>
      </c>
      <c r="G34" s="69">
        <f>IFERROR(F34/F148, "NA")</f>
        <v>0.01554144445</v>
      </c>
      <c r="H34" s="67">
        <f>IFERROR(H29+H30+H31+H32+H33, "NA")</f>
        <v>453</v>
      </c>
      <c r="I34" s="69">
        <f>IFERROR(H34/H148, "NA")</f>
        <v>0.02125183139</v>
      </c>
      <c r="J34" s="67">
        <f>IFERROR(J29+J30+J31+J32+J33, "NA")</f>
        <v>389.76</v>
      </c>
      <c r="K34" s="69">
        <f>IFERROR(J34/J148, "NA")</f>
        <v>0.0117406891</v>
      </c>
      <c r="L34" s="67">
        <f>IFERROR(L29+L30+L31+L32+L33, "NA")</f>
        <v>114.32</v>
      </c>
      <c r="M34" s="69">
        <f>IFERROR(L34/L148, "NA")</f>
        <v>0.004381142539</v>
      </c>
      <c r="N34" s="67">
        <f>IFERROR(N29+N30+N31+N32+N33, "NA")</f>
        <v>556.25</v>
      </c>
      <c r="O34" s="69">
        <f>IFERROR(N34/N148, "NA")</f>
        <v>0.02169917089</v>
      </c>
      <c r="P34" s="67">
        <f>IFERROR(P29+P30+P31+P32+P33, "NA")</f>
        <v>482.2</v>
      </c>
      <c r="Q34" s="69">
        <f>IFERROR(P34/P148, "NA")</f>
        <v>0.01400191358</v>
      </c>
      <c r="R34" s="67">
        <f>IFERROR(R29+R30+R31+R32+R33, "NA")</f>
        <v>433.11</v>
      </c>
      <c r="S34" s="69">
        <f>IFERROR(R34/R148, "NA")</f>
        <v>0.01517082281</v>
      </c>
      <c r="T34" s="67">
        <f>IFERROR(T29+T30+T31+T32+T33, "NA")</f>
        <v>376.66</v>
      </c>
      <c r="U34" s="69">
        <f>IFERROR(T34/T148, "NA")</f>
        <v>0.01079493493</v>
      </c>
      <c r="V34" s="67">
        <f>IFERROR(V29+V30+V31+V32+V33, "NA")</f>
        <v>874.12</v>
      </c>
      <c r="W34" s="69">
        <f>IFERROR(V34/V148, "NA")</f>
        <v>0.01922319486</v>
      </c>
      <c r="X34" s="67">
        <f>IFERROR(X29+X30+X31+X32+X33, "NA")</f>
        <v>-340.43</v>
      </c>
      <c r="Y34" s="69">
        <f>IFERROR(X34/X148, "NA")</f>
        <v>-0.008739537995</v>
      </c>
      <c r="Z34" s="67">
        <f>IFERROR(Z29+Z30+Z31+Z32+Z33, "NA")</f>
        <v>1343.46</v>
      </c>
      <c r="AA34" s="69">
        <f>IFERROR(Z34/Z148, "NA")</f>
        <v>0.009085647577</v>
      </c>
      <c r="AB34" s="67">
        <f t="shared" si="13"/>
        <v>335.865</v>
      </c>
      <c r="AC34" s="69">
        <f>IFERROR(AB34/AB148, "NA")</f>
        <v>0.009085647577</v>
      </c>
      <c r="AD34" s="70">
        <f t="shared" si="14"/>
        <v>-676.295</v>
      </c>
      <c r="AE34" s="71">
        <f>IFERROR(AD34/AD148, "NA")</f>
        <v>-0.3404772153</v>
      </c>
      <c r="AF34" s="70">
        <f t="shared" si="15"/>
        <v>-2.013591771</v>
      </c>
      <c r="AG34" s="67">
        <f t="shared" si="16"/>
        <v>360.74875</v>
      </c>
      <c r="AH34" s="69">
        <f>IFERROR(AG34/AG148, "NA")</f>
        <v>0.01079964946</v>
      </c>
      <c r="AI34" s="70">
        <f t="shared" si="17"/>
        <v>-701.17875</v>
      </c>
      <c r="AJ34" s="71">
        <f>IFERROR(AI34/AI148, "NA")</f>
        <v>-0.1263586911</v>
      </c>
      <c r="AK34" s="70">
        <f t="shared" si="18"/>
        <v>-1.943676174</v>
      </c>
      <c r="AL34" s="71">
        <f>IFERROR(AK34/AK148, "NA")</f>
        <v>-11.70025857</v>
      </c>
    </row>
    <row r="35" ht="16.5" customHeight="1">
      <c r="A35" s="66" t="s">
        <v>93</v>
      </c>
      <c r="B35" s="67">
        <f>IFERROR(B13+B15+B16+B17+B18+B19+B20+B21+B22+B23+B24+B25+B26+B29+B30+B31+B32+B33, "NA")</f>
        <v>5505.68</v>
      </c>
      <c r="C35" s="69">
        <f>IFERROR(B35/B148, "NA")</f>
        <v>0.2292602367</v>
      </c>
      <c r="D35" s="67">
        <f>IFERROR(D13+D15+D16+D17+D18+D19+D20+D21+D22+D23+D24+D25+D26+D29+D30+D31+D32+D33, "NA")</f>
        <v>6772.5</v>
      </c>
      <c r="E35" s="69">
        <f>IFERROR(D35/D148, "NA")</f>
        <v>0.2456372859</v>
      </c>
      <c r="F35" s="67">
        <f>IFERROR(F13+F15+F16+F17+F18+F19+F20+F21+F22+F23+F24+F25+F26+F29+F30+F31+F32+F33, "NA")</f>
        <v>6820.89</v>
      </c>
      <c r="G35" s="69">
        <f>IFERROR(F35/F148, "NA")</f>
        <v>0.2222870747</v>
      </c>
      <c r="H35" s="67">
        <f>IFERROR(H13+H15+H16+H17+H18+H19+H20+H21+H22+H23+H24+H25+H26+H29+H30+H31+H32+H33, "NA")</f>
        <v>5280.44</v>
      </c>
      <c r="I35" s="69">
        <f>IFERROR(H35/H148, "NA")</f>
        <v>0.2477241071</v>
      </c>
      <c r="J35" s="67">
        <f>IFERROR(J13+J15+J16+J17+J18+J19+J20+J21+J22+J23+J24+J25+J26+J29+J30+J31+J32+J33, "NA")</f>
        <v>7785.51</v>
      </c>
      <c r="K35" s="69">
        <f>IFERROR(J35/J148, "NA")</f>
        <v>0.2345218913</v>
      </c>
      <c r="L35" s="67">
        <f>IFERROR(L13+L15+L16+L17+L18+L19+L20+L21+L22+L23+L24+L25+L26+L29+L30+L31+L32+L33, "NA")</f>
        <v>5827.57</v>
      </c>
      <c r="M35" s="69">
        <f>IFERROR(L35/L148, "NA")</f>
        <v>0.2233328798</v>
      </c>
      <c r="N35" s="67">
        <f>IFERROR(N13+N15+N16+N17+N18+N19+N20+N21+N22+N23+N24+N25+N26+N29+N30+N31+N32+N33, "NA")</f>
        <v>5905.06</v>
      </c>
      <c r="O35" s="69">
        <f>IFERROR(N35/N148, "NA")</f>
        <v>0.2303548873</v>
      </c>
      <c r="P35" s="67">
        <f>IFERROR(P13+P15+P16+P17+P18+P19+P20+P21+P22+P23+P24+P25+P26+P29+P30+P31+P32+P33, "NA")</f>
        <v>7337.24</v>
      </c>
      <c r="Q35" s="69">
        <f>IFERROR(P35/P148, "NA")</f>
        <v>0.2130555794</v>
      </c>
      <c r="R35" s="67">
        <f>IFERROR(R13+R15+R16+R17+R18+R19+R20+R21+R22+R23+R24+R25+R26+R29+R30+R31+R32+R33, "NA")</f>
        <v>5915.06</v>
      </c>
      <c r="S35" s="69">
        <f>IFERROR(R35/R148, "NA")</f>
        <v>0.2071906148</v>
      </c>
      <c r="T35" s="67">
        <f>IFERROR(T13+T15+T16+T17+T18+T19+T20+T21+T22+T23+T24+T25+T26+T29+T30+T31+T32+T33, "NA")</f>
        <v>6896.36</v>
      </c>
      <c r="U35" s="69">
        <f>IFERROR(T35/T148, "NA")</f>
        <v>0.197647102</v>
      </c>
      <c r="V35" s="67">
        <f>IFERROR(V13+V15+V16+V17+V18+V19+V20+V21+V22+V23+V24+V25+V26+V29+V30+V31+V32+V33, "NA")</f>
        <v>10145.88</v>
      </c>
      <c r="W35" s="69">
        <f>IFERROR(V35/V148, "NA")</f>
        <v>0.2231229445</v>
      </c>
      <c r="X35" s="67">
        <f>IFERROR(X13+X15+X16+X17+X18+X19+X20+X21+X22+X23+X24+X25+X26+X29+X30+X31+X32+X33, "NA")</f>
        <v>7840.77</v>
      </c>
      <c r="Y35" s="69">
        <f>IFERROR(X35/X148, "NA")</f>
        <v>0.2012886859</v>
      </c>
      <c r="Z35" s="67">
        <f>IFERROR(Z13+Z15+Z16+Z17+Z18+Z19+Z20+Z21+Z22+Z23+Z24+Z25+Z26+Z29+Z30+Z31+Z32+Z33, "NA")</f>
        <v>30798.07</v>
      </c>
      <c r="AA35" s="69">
        <f>IFERROR(Z35/Z148, "NA")</f>
        <v>0.2082833952</v>
      </c>
      <c r="AB35" s="67">
        <f t="shared" si="13"/>
        <v>7699.5175</v>
      </c>
      <c r="AC35" s="69">
        <f>IFERROR(AB35/AB148, "NA")</f>
        <v>0.2082833952</v>
      </c>
      <c r="AD35" s="70">
        <f t="shared" si="14"/>
        <v>141.2525</v>
      </c>
      <c r="AE35" s="71">
        <f>IFERROR(AD35/AD148, "NA")</f>
        <v>0.0711128396</v>
      </c>
      <c r="AF35" s="70">
        <f t="shared" si="15"/>
        <v>0.0183456301</v>
      </c>
      <c r="AG35" s="67">
        <f t="shared" si="16"/>
        <v>7206.68125</v>
      </c>
      <c r="AH35" s="69">
        <f>IFERROR(AG35/AG148, "NA")</f>
        <v>0.2157447011</v>
      </c>
      <c r="AI35" s="70">
        <f t="shared" si="17"/>
        <v>634.08875</v>
      </c>
      <c r="AJ35" s="71">
        <f>IFERROR(AI35/AI148, "NA")</f>
        <v>0.1142684722</v>
      </c>
      <c r="AK35" s="70">
        <f t="shared" si="18"/>
        <v>0.087986235</v>
      </c>
      <c r="AL35" s="71">
        <f>IFERROR(AK35/AK148, "NA")</f>
        <v>0.5296467147</v>
      </c>
    </row>
    <row r="36" ht="16.5" customHeight="1">
      <c r="A36" s="17" t="s">
        <v>94</v>
      </c>
      <c r="B36" s="19"/>
      <c r="C36" s="13"/>
      <c r="D36" s="19"/>
      <c r="E36" s="13"/>
      <c r="F36" s="19"/>
      <c r="G36" s="13"/>
      <c r="H36" s="19"/>
      <c r="I36" s="13"/>
      <c r="J36" s="19"/>
      <c r="K36" s="13"/>
      <c r="L36" s="19"/>
      <c r="M36" s="13"/>
      <c r="N36" s="19"/>
      <c r="O36" s="13"/>
      <c r="P36" s="19"/>
      <c r="Q36" s="13"/>
      <c r="R36" s="19"/>
      <c r="S36" s="13"/>
      <c r="T36" s="19"/>
      <c r="U36" s="13"/>
      <c r="V36" s="19"/>
      <c r="W36" s="13"/>
      <c r="X36" s="19"/>
      <c r="Y36" s="13"/>
      <c r="Z36" s="19"/>
      <c r="AA36" s="13"/>
      <c r="AB36" s="19"/>
      <c r="AC36" s="13"/>
      <c r="AD36" s="24"/>
      <c r="AE36" s="25"/>
      <c r="AF36" s="24"/>
      <c r="AG36" s="19"/>
      <c r="AH36" s="13"/>
      <c r="AI36" s="24"/>
      <c r="AJ36" s="25"/>
      <c r="AK36" s="24"/>
      <c r="AL36" s="25"/>
    </row>
    <row r="37" ht="16.5" hidden="1" customHeight="1">
      <c r="A37" s="26" t="s">
        <v>95</v>
      </c>
      <c r="B37" s="27">
        <v>0.0</v>
      </c>
      <c r="C37" s="23">
        <f>IFERROR(B37/B148, "NA")</f>
        <v>0</v>
      </c>
      <c r="D37" s="27">
        <v>0.0</v>
      </c>
      <c r="E37" s="23">
        <f>IFERROR(D37/D148, "NA")</f>
        <v>0</v>
      </c>
      <c r="F37" s="27">
        <v>0.0</v>
      </c>
      <c r="G37" s="23">
        <f>IFERROR(F37/F148, "NA")</f>
        <v>0</v>
      </c>
      <c r="H37" s="27">
        <v>0.0</v>
      </c>
      <c r="I37" s="23">
        <f>IFERROR(H37/H148, "NA")</f>
        <v>0</v>
      </c>
      <c r="J37" s="27">
        <v>0.0</v>
      </c>
      <c r="K37" s="23">
        <f>IFERROR(J37/J148, "NA")</f>
        <v>0</v>
      </c>
      <c r="L37" s="27">
        <v>0.0</v>
      </c>
      <c r="M37" s="23">
        <f>IFERROR(L37/L148, "NA")</f>
        <v>0</v>
      </c>
      <c r="N37" s="27">
        <v>0.0</v>
      </c>
      <c r="O37" s="23">
        <f>IFERROR(N37/N148, "NA")</f>
        <v>0</v>
      </c>
      <c r="P37" s="27">
        <v>0.0</v>
      </c>
      <c r="Q37" s="23">
        <f>IFERROR(P37/P148, "NA")</f>
        <v>0</v>
      </c>
      <c r="R37" s="27">
        <v>0.0</v>
      </c>
      <c r="S37" s="23">
        <f>IFERROR(R37/R148, "NA")</f>
        <v>0</v>
      </c>
      <c r="T37" s="27">
        <v>0.0</v>
      </c>
      <c r="U37" s="23">
        <f>IFERROR(T37/T148, "NA")</f>
        <v>0</v>
      </c>
      <c r="V37" s="27">
        <v>0.0</v>
      </c>
      <c r="W37" s="23">
        <f>IFERROR(V37/V148, "NA")</f>
        <v>0</v>
      </c>
      <c r="X37" s="27">
        <v>0.0</v>
      </c>
      <c r="Y37" s="23">
        <f>IFERROR(X37/X148, "NA")</f>
        <v>0</v>
      </c>
      <c r="Z37" s="27">
        <v>0.0</v>
      </c>
      <c r="AA37" s="23">
        <f>IFERROR(Z37/Z148, "NA")</f>
        <v>0</v>
      </c>
      <c r="AB37" s="59">
        <f>IFERROR((R37+T37+V37+X37)/4, "NA")</f>
        <v>0</v>
      </c>
      <c r="AC37" s="23">
        <f>IFERROR(AB37/AB148, "NA")</f>
        <v>0</v>
      </c>
      <c r="AD37" s="61">
        <f>IFERROR(X37-AB37, "NA")</f>
        <v>0</v>
      </c>
      <c r="AE37" s="63">
        <f>IFERROR(AD37/AD148, "NA")</f>
        <v>0</v>
      </c>
      <c r="AF37" s="61" t="str">
        <f>IFERROR((X37-AB37)/AB37, "NA")</f>
        <v>NA</v>
      </c>
      <c r="AG37" s="59">
        <f>IFERROR((J37+L37+N37+P37+R37+T37+V37+X37)/8, "NA")</f>
        <v>0</v>
      </c>
      <c r="AH37" s="23">
        <f>IFERROR(AG37/AG148, "NA")</f>
        <v>0</v>
      </c>
      <c r="AI37" s="61">
        <f>IFERROR(X37-AG37, "NA")</f>
        <v>0</v>
      </c>
      <c r="AJ37" s="63">
        <f>IFERROR(AI37/AI148, "NA")</f>
        <v>0</v>
      </c>
      <c r="AK37" s="61" t="str">
        <f>IFERROR((X37-AG37)/AG37, "NA")</f>
        <v>NA</v>
      </c>
      <c r="AL37" s="63" t="str">
        <f>IFERROR(AK37/AK148, "NA")</f>
        <v>NA</v>
      </c>
    </row>
    <row r="38" ht="16.5" customHeight="1">
      <c r="A38" s="17" t="s">
        <v>96</v>
      </c>
      <c r="B38" s="19"/>
      <c r="C38" s="13"/>
      <c r="D38" s="19"/>
      <c r="E38" s="13"/>
      <c r="F38" s="19"/>
      <c r="G38" s="13"/>
      <c r="H38" s="19"/>
      <c r="I38" s="13"/>
      <c r="J38" s="19"/>
      <c r="K38" s="13"/>
      <c r="L38" s="19"/>
      <c r="M38" s="13"/>
      <c r="N38" s="19"/>
      <c r="O38" s="13"/>
      <c r="P38" s="19"/>
      <c r="Q38" s="13"/>
      <c r="R38" s="19"/>
      <c r="S38" s="13"/>
      <c r="T38" s="19"/>
      <c r="U38" s="13"/>
      <c r="V38" s="19"/>
      <c r="W38" s="13"/>
      <c r="X38" s="19"/>
      <c r="Y38" s="13"/>
      <c r="Z38" s="19"/>
      <c r="AA38" s="13"/>
      <c r="AB38" s="19"/>
      <c r="AC38" s="13"/>
      <c r="AD38" s="24"/>
      <c r="AE38" s="25"/>
      <c r="AF38" s="24"/>
      <c r="AG38" s="19"/>
      <c r="AH38" s="13"/>
      <c r="AI38" s="24"/>
      <c r="AJ38" s="25"/>
      <c r="AK38" s="24"/>
      <c r="AL38" s="25"/>
    </row>
    <row r="39" ht="16.5" hidden="1" customHeight="1">
      <c r="A39" s="26" t="s">
        <v>97</v>
      </c>
      <c r="B39" s="27">
        <v>0.0</v>
      </c>
      <c r="C39" s="23">
        <f>IFERROR(B39/B148, "NA")</f>
        <v>0</v>
      </c>
      <c r="D39" s="27">
        <v>0.0</v>
      </c>
      <c r="E39" s="23">
        <f>IFERROR(D39/D148, "NA")</f>
        <v>0</v>
      </c>
      <c r="F39" s="27">
        <v>0.0</v>
      </c>
      <c r="G39" s="23">
        <f>IFERROR(F39/F148, "NA")</f>
        <v>0</v>
      </c>
      <c r="H39" s="27">
        <v>0.0</v>
      </c>
      <c r="I39" s="23">
        <f>IFERROR(H39/H148, "NA")</f>
        <v>0</v>
      </c>
      <c r="J39" s="27">
        <v>0.0</v>
      </c>
      <c r="K39" s="23">
        <f>IFERROR(J39/J148, "NA")</f>
        <v>0</v>
      </c>
      <c r="L39" s="27">
        <v>0.0</v>
      </c>
      <c r="M39" s="23">
        <f>IFERROR(L39/L148, "NA")</f>
        <v>0</v>
      </c>
      <c r="N39" s="27">
        <v>0.0</v>
      </c>
      <c r="O39" s="23">
        <f>IFERROR(N39/N148, "NA")</f>
        <v>0</v>
      </c>
      <c r="P39" s="27">
        <v>0.0</v>
      </c>
      <c r="Q39" s="23">
        <f>IFERROR(P39/P148, "NA")</f>
        <v>0</v>
      </c>
      <c r="R39" s="27">
        <v>0.0</v>
      </c>
      <c r="S39" s="23">
        <f>IFERROR(R39/R148, "NA")</f>
        <v>0</v>
      </c>
      <c r="T39" s="27">
        <v>0.0</v>
      </c>
      <c r="U39" s="23">
        <f>IFERROR(T39/T148, "NA")</f>
        <v>0</v>
      </c>
      <c r="V39" s="27">
        <v>0.0</v>
      </c>
      <c r="W39" s="23">
        <f>IFERROR(V39/V148, "NA")</f>
        <v>0</v>
      </c>
      <c r="X39" s="27">
        <v>0.0</v>
      </c>
      <c r="Y39" s="23">
        <f>IFERROR(X39/X148, "NA")</f>
        <v>0</v>
      </c>
      <c r="Z39" s="27">
        <v>0.0</v>
      </c>
      <c r="AA39" s="23">
        <f>IFERROR(Z39/Z148, "NA")</f>
        <v>0</v>
      </c>
      <c r="AB39" s="59">
        <f t="shared" ref="AB39:AB44" si="19">IFERROR((R39+T39+V39+X39)/4, "NA")</f>
        <v>0</v>
      </c>
      <c r="AC39" s="23">
        <f>IFERROR(AB39/AB148, "NA")</f>
        <v>0</v>
      </c>
      <c r="AD39" s="61">
        <f t="shared" ref="AD39:AD44" si="20">IFERROR(X39-AB39, "NA")</f>
        <v>0</v>
      </c>
      <c r="AE39" s="63">
        <f>IFERROR(AD39/AD148, "NA")</f>
        <v>0</v>
      </c>
      <c r="AF39" s="61" t="str">
        <f t="shared" ref="AF39:AF44" si="21">IFERROR((X39-AB39)/AB39, "NA")</f>
        <v>NA</v>
      </c>
      <c r="AG39" s="59">
        <f t="shared" ref="AG39:AG44" si="22">IFERROR((J39+L39+N39+P39+R39+T39+V39+X39)/8, "NA")</f>
        <v>0</v>
      </c>
      <c r="AH39" s="23">
        <f>IFERROR(AG39/AG148, "NA")</f>
        <v>0</v>
      </c>
      <c r="AI39" s="61">
        <f t="shared" ref="AI39:AI44" si="23">IFERROR(X39-AG39, "NA")</f>
        <v>0</v>
      </c>
      <c r="AJ39" s="63">
        <f>IFERROR(AI39/AI148, "NA")</f>
        <v>0</v>
      </c>
      <c r="AK39" s="61" t="str">
        <f t="shared" ref="AK39:AK44" si="24">IFERROR((X39-AG39)/AG39, "NA")</f>
        <v>NA</v>
      </c>
      <c r="AL39" s="63" t="str">
        <f>IFERROR(AK39/AK148, "NA")</f>
        <v>NA</v>
      </c>
    </row>
    <row r="40" ht="16.5" customHeight="1">
      <c r="A40" s="26" t="s">
        <v>98</v>
      </c>
      <c r="B40" s="27">
        <v>669.94</v>
      </c>
      <c r="C40" s="23">
        <f>IFERROR(B40/B148, "NA")</f>
        <v>0.02789675444</v>
      </c>
      <c r="D40" s="27">
        <v>1020.66</v>
      </c>
      <c r="E40" s="23">
        <f>IFERROR(D40/D148, "NA")</f>
        <v>0.03701914393</v>
      </c>
      <c r="F40" s="27">
        <v>867.33</v>
      </c>
      <c r="G40" s="23">
        <f>IFERROR(F40/F148, "NA")</f>
        <v>0.02826555603</v>
      </c>
      <c r="H40" s="27">
        <v>864.25</v>
      </c>
      <c r="I40" s="23">
        <f>IFERROR(H40/H148, "NA")</f>
        <v>0.04054502269</v>
      </c>
      <c r="J40" s="27">
        <v>1053.27</v>
      </c>
      <c r="K40" s="23">
        <f>IFERROR(J40/J148, "NA")</f>
        <v>0.03172751335</v>
      </c>
      <c r="L40" s="27">
        <v>725.07</v>
      </c>
      <c r="M40" s="23">
        <f>IFERROR(L40/L148, "NA")</f>
        <v>0.02778722026</v>
      </c>
      <c r="N40" s="27">
        <v>650.47</v>
      </c>
      <c r="O40" s="23">
        <f>IFERROR(N40/N148, "NA")</f>
        <v>0.0253746691</v>
      </c>
      <c r="P40" s="27">
        <v>1141.98</v>
      </c>
      <c r="Q40" s="23">
        <f>IFERROR(P40/P148, "NA")</f>
        <v>0.03316031785</v>
      </c>
      <c r="R40" s="27">
        <v>1046.63</v>
      </c>
      <c r="S40" s="23">
        <f>IFERROR(R40/R148, "NA")</f>
        <v>0.03666098285</v>
      </c>
      <c r="T40" s="27">
        <v>967.25</v>
      </c>
      <c r="U40" s="23">
        <f>IFERROR(T40/T148, "NA")</f>
        <v>0.02772102376</v>
      </c>
      <c r="V40" s="27">
        <v>972.87</v>
      </c>
      <c r="W40" s="23">
        <f>IFERROR(V40/V148, "NA")</f>
        <v>0.02139485377</v>
      </c>
      <c r="X40" s="27">
        <v>969.56</v>
      </c>
      <c r="Y40" s="23">
        <f>IFERROR(X40/X148, "NA")</f>
        <v>0.02489059853</v>
      </c>
      <c r="Z40" s="27">
        <v>3956.31</v>
      </c>
      <c r="AA40" s="23">
        <f>IFERROR(Z40/Z148, "NA")</f>
        <v>0.02675601683</v>
      </c>
      <c r="AB40" s="59">
        <f t="shared" si="19"/>
        <v>989.0775</v>
      </c>
      <c r="AC40" s="23">
        <f>IFERROR(AB40/AB148, "NA")</f>
        <v>0.02675601683</v>
      </c>
      <c r="AD40" s="61">
        <f t="shared" si="20"/>
        <v>-19.5175</v>
      </c>
      <c r="AE40" s="63">
        <f>IFERROR(AD40/AD148, "NA")</f>
        <v>-0.009825984298</v>
      </c>
      <c r="AF40" s="61">
        <f t="shared" si="21"/>
        <v>-0.01973303406</v>
      </c>
      <c r="AG40" s="59">
        <f t="shared" si="22"/>
        <v>940.8875</v>
      </c>
      <c r="AH40" s="23">
        <f>IFERROR(AG40/AG148, "NA")</f>
        <v>0.02816712512</v>
      </c>
      <c r="AI40" s="61">
        <f t="shared" si="23"/>
        <v>28.6725</v>
      </c>
      <c r="AJ40" s="63">
        <f>IFERROR(AI40/AI148, "NA")</f>
        <v>0.005167041314</v>
      </c>
      <c r="AK40" s="61">
        <f t="shared" si="24"/>
        <v>0.03047388769</v>
      </c>
      <c r="AL40" s="63">
        <f>IFERROR(AK40/AK148, "NA")</f>
        <v>0.183442268</v>
      </c>
    </row>
    <row r="41" ht="16.5" customHeight="1">
      <c r="A41" s="26" t="s">
        <v>99</v>
      </c>
      <c r="B41" s="27">
        <v>161.02</v>
      </c>
      <c r="C41" s="23">
        <f>IFERROR(B41/B148, "NA")</f>
        <v>0.006704981641</v>
      </c>
      <c r="D41" s="27">
        <v>465.72</v>
      </c>
      <c r="E41" s="23">
        <f>IFERROR(D41/D148, "NA")</f>
        <v>0.01689157576</v>
      </c>
      <c r="F41" s="27">
        <v>201.56</v>
      </c>
      <c r="G41" s="23">
        <f>IFERROR(F41/F148, "NA")</f>
        <v>0.006568671063</v>
      </c>
      <c r="H41" s="27">
        <v>228.62</v>
      </c>
      <c r="I41" s="23">
        <f>IFERROR(H41/H148, "NA")</f>
        <v>0.01072537239</v>
      </c>
      <c r="J41" s="27">
        <v>372.37</v>
      </c>
      <c r="K41" s="23">
        <f>IFERROR(J41/J148, "NA")</f>
        <v>0.01121685242</v>
      </c>
      <c r="L41" s="27">
        <v>241.22</v>
      </c>
      <c r="M41" s="23">
        <f>IFERROR(L41/L148, "NA")</f>
        <v>0.009244394709</v>
      </c>
      <c r="N41" s="27">
        <v>196.96</v>
      </c>
      <c r="O41" s="23">
        <f>IFERROR(N41/N148, "NA")</f>
        <v>0.007683359457</v>
      </c>
      <c r="P41" s="27">
        <v>212.04</v>
      </c>
      <c r="Q41" s="23">
        <f>IFERROR(P41/P148, "NA")</f>
        <v>0.006157125165</v>
      </c>
      <c r="R41" s="27">
        <v>471.73</v>
      </c>
      <c r="S41" s="23">
        <f>IFERROR(R41/R148, "NA")</f>
        <v>0.01652359042</v>
      </c>
      <c r="T41" s="27">
        <v>129.26</v>
      </c>
      <c r="U41" s="23">
        <f>IFERROR(T41/T148, "NA")</f>
        <v>0.003704543325</v>
      </c>
      <c r="V41" s="27">
        <v>158.45</v>
      </c>
      <c r="W41" s="23">
        <f>IFERROR(V41/V148, "NA")</f>
        <v>0.003484550434</v>
      </c>
      <c r="X41" s="27">
        <v>1134.42</v>
      </c>
      <c r="Y41" s="23">
        <f>IFERROR(X41/X148, "NA")</f>
        <v>0.02912289367</v>
      </c>
      <c r="Z41" s="27">
        <v>1893.86</v>
      </c>
      <c r="AA41" s="23">
        <f>IFERROR(Z41/Z148, "NA")</f>
        <v>0.01280793215</v>
      </c>
      <c r="AB41" s="59">
        <f t="shared" si="19"/>
        <v>473.465</v>
      </c>
      <c r="AC41" s="23">
        <f>IFERROR(AB41/AB148, "NA")</f>
        <v>0.01280793215</v>
      </c>
      <c r="AD41" s="61">
        <f t="shared" si="20"/>
        <v>660.955</v>
      </c>
      <c r="AE41" s="63">
        <f>IFERROR(AD41/AD148, "NA")</f>
        <v>0.3327543718</v>
      </c>
      <c r="AF41" s="61">
        <f t="shared" si="21"/>
        <v>1.39599548</v>
      </c>
      <c r="AG41" s="59">
        <f t="shared" si="22"/>
        <v>364.55625</v>
      </c>
      <c r="AH41" s="23">
        <f>IFERROR(AG41/AG148, "NA")</f>
        <v>0.01091363368</v>
      </c>
      <c r="AI41" s="61">
        <f t="shared" si="23"/>
        <v>769.86375</v>
      </c>
      <c r="AJ41" s="63">
        <f>IFERROR(AI41/AI148, "NA")</f>
        <v>0.1387363433</v>
      </c>
      <c r="AK41" s="61">
        <f t="shared" si="24"/>
        <v>2.111783161</v>
      </c>
      <c r="AL41" s="63">
        <f>IFERROR(AK41/AK148, "NA")</f>
        <v>12.71220451</v>
      </c>
    </row>
    <row r="42" ht="16.5" hidden="1" customHeight="1">
      <c r="A42" s="26" t="s">
        <v>100</v>
      </c>
      <c r="B42" s="27">
        <v>0.0</v>
      </c>
      <c r="C42" s="23">
        <f>IFERROR(B42/B148, "NA")</f>
        <v>0</v>
      </c>
      <c r="D42" s="27">
        <v>0.0</v>
      </c>
      <c r="E42" s="23">
        <f>IFERROR(D42/D148, "NA")</f>
        <v>0</v>
      </c>
      <c r="F42" s="27">
        <v>0.0</v>
      </c>
      <c r="G42" s="23">
        <f>IFERROR(F42/F148, "NA")</f>
        <v>0</v>
      </c>
      <c r="H42" s="27">
        <v>0.0</v>
      </c>
      <c r="I42" s="23">
        <f>IFERROR(H42/H148, "NA")</f>
        <v>0</v>
      </c>
      <c r="J42" s="27">
        <v>0.0</v>
      </c>
      <c r="K42" s="23">
        <f>IFERROR(J42/J148, "NA")</f>
        <v>0</v>
      </c>
      <c r="L42" s="27">
        <v>0.0</v>
      </c>
      <c r="M42" s="23">
        <f>IFERROR(L42/L148, "NA")</f>
        <v>0</v>
      </c>
      <c r="N42" s="27">
        <v>0.0</v>
      </c>
      <c r="O42" s="23">
        <f>IFERROR(N42/N148, "NA")</f>
        <v>0</v>
      </c>
      <c r="P42" s="27">
        <v>0.0</v>
      </c>
      <c r="Q42" s="23">
        <f>IFERROR(P42/P148, "NA")</f>
        <v>0</v>
      </c>
      <c r="R42" s="27">
        <v>0.0</v>
      </c>
      <c r="S42" s="23">
        <f>IFERROR(R42/R148, "NA")</f>
        <v>0</v>
      </c>
      <c r="T42" s="27">
        <v>0.0</v>
      </c>
      <c r="U42" s="23">
        <f>IFERROR(T42/T148, "NA")</f>
        <v>0</v>
      </c>
      <c r="V42" s="27">
        <v>0.0</v>
      </c>
      <c r="W42" s="23">
        <f>IFERROR(V42/V148, "NA")</f>
        <v>0</v>
      </c>
      <c r="X42" s="27">
        <v>0.0</v>
      </c>
      <c r="Y42" s="23">
        <f>IFERROR(X42/X148, "NA")</f>
        <v>0</v>
      </c>
      <c r="Z42" s="27">
        <v>0.0</v>
      </c>
      <c r="AA42" s="23">
        <f>IFERROR(Z42/Z148, "NA")</f>
        <v>0</v>
      </c>
      <c r="AB42" s="59">
        <f t="shared" si="19"/>
        <v>0</v>
      </c>
      <c r="AC42" s="23">
        <f>IFERROR(AB42/AB148, "NA")</f>
        <v>0</v>
      </c>
      <c r="AD42" s="61">
        <f t="shared" si="20"/>
        <v>0</v>
      </c>
      <c r="AE42" s="63">
        <f>IFERROR(AD42/AD148, "NA")</f>
        <v>0</v>
      </c>
      <c r="AF42" s="61" t="str">
        <f t="shared" si="21"/>
        <v>NA</v>
      </c>
      <c r="AG42" s="59">
        <f t="shared" si="22"/>
        <v>0</v>
      </c>
      <c r="AH42" s="23">
        <f>IFERROR(AG42/AG148, "NA")</f>
        <v>0</v>
      </c>
      <c r="AI42" s="61">
        <f t="shared" si="23"/>
        <v>0</v>
      </c>
      <c r="AJ42" s="63">
        <f>IFERROR(AI42/AI148, "NA")</f>
        <v>0</v>
      </c>
      <c r="AK42" s="61" t="str">
        <f t="shared" si="24"/>
        <v>NA</v>
      </c>
      <c r="AL42" s="63" t="str">
        <f>IFERROR(AK42/AK148, "NA")</f>
        <v>NA</v>
      </c>
    </row>
    <row r="43" ht="16.5" hidden="1" customHeight="1">
      <c r="A43" s="26" t="s">
        <v>101</v>
      </c>
      <c r="B43" s="27">
        <v>0.0</v>
      </c>
      <c r="C43" s="23">
        <f>IFERROR(B43/B148, "NA")</f>
        <v>0</v>
      </c>
      <c r="D43" s="27">
        <v>0.0</v>
      </c>
      <c r="E43" s="23">
        <f>IFERROR(D43/D148, "NA")</f>
        <v>0</v>
      </c>
      <c r="F43" s="27">
        <v>0.0</v>
      </c>
      <c r="G43" s="23">
        <f>IFERROR(F43/F148, "NA")</f>
        <v>0</v>
      </c>
      <c r="H43" s="27">
        <v>0.0</v>
      </c>
      <c r="I43" s="23">
        <f>IFERROR(H43/H148, "NA")</f>
        <v>0</v>
      </c>
      <c r="J43" s="27">
        <v>0.0</v>
      </c>
      <c r="K43" s="23">
        <f>IFERROR(J43/J148, "NA")</f>
        <v>0</v>
      </c>
      <c r="L43" s="27">
        <v>0.0</v>
      </c>
      <c r="M43" s="23">
        <f>IFERROR(L43/L148, "NA")</f>
        <v>0</v>
      </c>
      <c r="N43" s="27">
        <v>0.0</v>
      </c>
      <c r="O43" s="23">
        <f>IFERROR(N43/N148, "NA")</f>
        <v>0</v>
      </c>
      <c r="P43" s="27">
        <v>0.0</v>
      </c>
      <c r="Q43" s="23">
        <f>IFERROR(P43/P148, "NA")</f>
        <v>0</v>
      </c>
      <c r="R43" s="27">
        <v>0.0</v>
      </c>
      <c r="S43" s="23">
        <f>IFERROR(R43/R148, "NA")</f>
        <v>0</v>
      </c>
      <c r="T43" s="27">
        <v>0.0</v>
      </c>
      <c r="U43" s="23">
        <f>IFERROR(T43/T148, "NA")</f>
        <v>0</v>
      </c>
      <c r="V43" s="27">
        <v>0.0</v>
      </c>
      <c r="W43" s="23">
        <f>IFERROR(V43/V148, "NA")</f>
        <v>0</v>
      </c>
      <c r="X43" s="27">
        <v>0.0</v>
      </c>
      <c r="Y43" s="23">
        <f>IFERROR(X43/X148, "NA")</f>
        <v>0</v>
      </c>
      <c r="Z43" s="27">
        <v>0.0</v>
      </c>
      <c r="AA43" s="23">
        <f>IFERROR(Z43/Z148, "NA")</f>
        <v>0</v>
      </c>
      <c r="AB43" s="59">
        <f t="shared" si="19"/>
        <v>0</v>
      </c>
      <c r="AC43" s="23">
        <f>IFERROR(AB43/AB148, "NA")</f>
        <v>0</v>
      </c>
      <c r="AD43" s="61">
        <f t="shared" si="20"/>
        <v>0</v>
      </c>
      <c r="AE43" s="63">
        <f>IFERROR(AD43/AD148, "NA")</f>
        <v>0</v>
      </c>
      <c r="AF43" s="61" t="str">
        <f t="shared" si="21"/>
        <v>NA</v>
      </c>
      <c r="AG43" s="59">
        <f t="shared" si="22"/>
        <v>0</v>
      </c>
      <c r="AH43" s="23">
        <f>IFERROR(AG43/AG148, "NA")</f>
        <v>0</v>
      </c>
      <c r="AI43" s="61">
        <f t="shared" si="23"/>
        <v>0</v>
      </c>
      <c r="AJ43" s="63">
        <f>IFERROR(AI43/AI148, "NA")</f>
        <v>0</v>
      </c>
      <c r="AK43" s="61" t="str">
        <f t="shared" si="24"/>
        <v>NA</v>
      </c>
      <c r="AL43" s="63" t="str">
        <f>IFERROR(AK43/AK148, "NA")</f>
        <v>NA</v>
      </c>
    </row>
    <row r="44" ht="16.5" customHeight="1">
      <c r="A44" s="66" t="s">
        <v>102</v>
      </c>
      <c r="B44" s="67">
        <f>IFERROR(B39+B40+B41+B42+B43, "NA")</f>
        <v>830.96</v>
      </c>
      <c r="C44" s="69">
        <f>IFERROR(B44/B148, "NA")</f>
        <v>0.03460173608</v>
      </c>
      <c r="D44" s="67">
        <f>IFERROR(D39+D40+D41+D42+D43, "NA")</f>
        <v>1486.38</v>
      </c>
      <c r="E44" s="69">
        <f>IFERROR(D44/D148, "NA")</f>
        <v>0.05391071969</v>
      </c>
      <c r="F44" s="67">
        <f>IFERROR(F39+F40+F41+F42+F43, "NA")</f>
        <v>1068.89</v>
      </c>
      <c r="G44" s="69">
        <f>IFERROR(F44/F148, "NA")</f>
        <v>0.03483422709</v>
      </c>
      <c r="H44" s="67">
        <f>IFERROR(H39+H40+H41+H42+H43, "NA")</f>
        <v>1092.87</v>
      </c>
      <c r="I44" s="69">
        <f>IFERROR(H44/H148, "NA")</f>
        <v>0.05127039507</v>
      </c>
      <c r="J44" s="67">
        <f>IFERROR(J39+J40+J41+J42+J43, "NA")</f>
        <v>1425.64</v>
      </c>
      <c r="K44" s="69">
        <f>IFERROR(J44/J148, "NA")</f>
        <v>0.04294436577</v>
      </c>
      <c r="L44" s="67">
        <f>IFERROR(L39+L40+L41+L42+L43, "NA")</f>
        <v>966.29</v>
      </c>
      <c r="M44" s="69">
        <f>IFERROR(L44/L148, "NA")</f>
        <v>0.03703161497</v>
      </c>
      <c r="N44" s="67">
        <f>IFERROR(N39+N40+N41+N42+N43, "NA")</f>
        <v>847.43</v>
      </c>
      <c r="O44" s="69">
        <f>IFERROR(N44/N148, "NA")</f>
        <v>0.03305802856</v>
      </c>
      <c r="P44" s="67">
        <f>IFERROR(P39+P40+P41+P42+P43, "NA")</f>
        <v>1354.02</v>
      </c>
      <c r="Q44" s="69">
        <f>IFERROR(P44/P148, "NA")</f>
        <v>0.03931744301</v>
      </c>
      <c r="R44" s="67">
        <f>IFERROR(R39+R40+R41+R42+R43, "NA")</f>
        <v>1518.36</v>
      </c>
      <c r="S44" s="69">
        <f>IFERROR(R44/R148, "NA")</f>
        <v>0.05318457327</v>
      </c>
      <c r="T44" s="67">
        <f>IFERROR(T39+T40+T41+T42+T43, "NA")</f>
        <v>1096.51</v>
      </c>
      <c r="U44" s="69">
        <f>IFERROR(T44/T148, "NA")</f>
        <v>0.03142556708</v>
      </c>
      <c r="V44" s="67">
        <f>IFERROR(V39+V40+V41+V42+V43, "NA")</f>
        <v>1131.32</v>
      </c>
      <c r="W44" s="69">
        <f>IFERROR(V44/V148, "NA")</f>
        <v>0.02487940421</v>
      </c>
      <c r="X44" s="67">
        <f>IFERROR(X39+X40+X41+X42+X43, "NA")</f>
        <v>2103.98</v>
      </c>
      <c r="Y44" s="69">
        <f>IFERROR(X44/X148, "NA")</f>
        <v>0.05401349221</v>
      </c>
      <c r="Z44" s="67">
        <f>IFERROR(Z39+Z40+Z41+Z42+Z43, "NA")</f>
        <v>5850.17</v>
      </c>
      <c r="AA44" s="69">
        <f>IFERROR(Z44/Z148, "NA")</f>
        <v>0.03956394897</v>
      </c>
      <c r="AB44" s="67">
        <f t="shared" si="19"/>
        <v>1462.5425</v>
      </c>
      <c r="AC44" s="69">
        <f>IFERROR(AB44/AB148, "NA")</f>
        <v>0.03956394897</v>
      </c>
      <c r="AD44" s="70">
        <f t="shared" si="20"/>
        <v>641.4375</v>
      </c>
      <c r="AE44" s="71">
        <f>IFERROR(AD44/AD148, "NA")</f>
        <v>0.3229283875</v>
      </c>
      <c r="AF44" s="70">
        <f t="shared" si="21"/>
        <v>0.4385769986</v>
      </c>
      <c r="AG44" s="67">
        <f t="shared" si="22"/>
        <v>1305.44375</v>
      </c>
      <c r="AH44" s="69">
        <f>IFERROR(AG44/AG148, "NA")</f>
        <v>0.03908075879</v>
      </c>
      <c r="AI44" s="70">
        <f t="shared" si="23"/>
        <v>798.53625</v>
      </c>
      <c r="AJ44" s="71">
        <f>IFERROR(AI44/AI148, "NA")</f>
        <v>0.1439033846</v>
      </c>
      <c r="AK44" s="70">
        <f t="shared" si="24"/>
        <v>0.6116971719</v>
      </c>
      <c r="AL44" s="71">
        <f>IFERROR(AK44/AK148, "NA")</f>
        <v>3.68220549</v>
      </c>
    </row>
    <row r="45" ht="16.5" customHeight="1">
      <c r="A45" s="17" t="s">
        <v>103</v>
      </c>
      <c r="B45" s="19"/>
      <c r="C45" s="13"/>
      <c r="D45" s="19"/>
      <c r="E45" s="13"/>
      <c r="F45" s="19"/>
      <c r="G45" s="13"/>
      <c r="H45" s="19"/>
      <c r="I45" s="13"/>
      <c r="J45" s="19"/>
      <c r="K45" s="13"/>
      <c r="L45" s="19"/>
      <c r="M45" s="13"/>
      <c r="N45" s="19"/>
      <c r="O45" s="13"/>
      <c r="P45" s="19"/>
      <c r="Q45" s="13"/>
      <c r="R45" s="19"/>
      <c r="S45" s="13"/>
      <c r="T45" s="19"/>
      <c r="U45" s="13"/>
      <c r="V45" s="19"/>
      <c r="W45" s="13"/>
      <c r="X45" s="19"/>
      <c r="Y45" s="13"/>
      <c r="Z45" s="19"/>
      <c r="AA45" s="13"/>
      <c r="AB45" s="19"/>
      <c r="AC45" s="13"/>
      <c r="AD45" s="24"/>
      <c r="AE45" s="25"/>
      <c r="AF45" s="24"/>
      <c r="AG45" s="19"/>
      <c r="AH45" s="13"/>
      <c r="AI45" s="24"/>
      <c r="AJ45" s="25"/>
      <c r="AK45" s="24"/>
      <c r="AL45" s="25"/>
    </row>
    <row r="46" ht="16.5" hidden="1" customHeight="1">
      <c r="A46" s="26" t="s">
        <v>104</v>
      </c>
      <c r="B46" s="27">
        <v>0.0</v>
      </c>
      <c r="C46" s="23">
        <f>IFERROR(B46/B148, "NA")</f>
        <v>0</v>
      </c>
      <c r="D46" s="27">
        <v>0.0</v>
      </c>
      <c r="E46" s="23">
        <f>IFERROR(D46/D148, "NA")</f>
        <v>0</v>
      </c>
      <c r="F46" s="27">
        <v>0.0</v>
      </c>
      <c r="G46" s="23">
        <f>IFERROR(F46/F148, "NA")</f>
        <v>0</v>
      </c>
      <c r="H46" s="27">
        <v>0.0</v>
      </c>
      <c r="I46" s="23">
        <f>IFERROR(H46/H148, "NA")</f>
        <v>0</v>
      </c>
      <c r="J46" s="27">
        <v>0.0</v>
      </c>
      <c r="K46" s="23">
        <f>IFERROR(J46/J148, "NA")</f>
        <v>0</v>
      </c>
      <c r="L46" s="27">
        <v>0.0</v>
      </c>
      <c r="M46" s="23">
        <f>IFERROR(L46/L148, "NA")</f>
        <v>0</v>
      </c>
      <c r="N46" s="27">
        <v>0.0</v>
      </c>
      <c r="O46" s="23">
        <f>IFERROR(N46/N148, "NA")</f>
        <v>0</v>
      </c>
      <c r="P46" s="27">
        <v>0.0</v>
      </c>
      <c r="Q46" s="23">
        <f>IFERROR(P46/P148, "NA")</f>
        <v>0</v>
      </c>
      <c r="R46" s="27">
        <v>0.0</v>
      </c>
      <c r="S46" s="23">
        <f>IFERROR(R46/R148, "NA")</f>
        <v>0</v>
      </c>
      <c r="T46" s="27">
        <v>0.0</v>
      </c>
      <c r="U46" s="23">
        <f>IFERROR(T46/T148, "NA")</f>
        <v>0</v>
      </c>
      <c r="V46" s="27">
        <v>0.0</v>
      </c>
      <c r="W46" s="23">
        <f>IFERROR(V46/V148, "NA")</f>
        <v>0</v>
      </c>
      <c r="X46" s="27">
        <v>0.0</v>
      </c>
      <c r="Y46" s="23">
        <f>IFERROR(X46/X148, "NA")</f>
        <v>0</v>
      </c>
      <c r="Z46" s="27">
        <v>0.0</v>
      </c>
      <c r="AA46" s="23">
        <f>IFERROR(Z46/Z148, "NA")</f>
        <v>0</v>
      </c>
      <c r="AB46" s="59">
        <f t="shared" ref="AB46:AB57" si="25">IFERROR((R46+T46+V46+X46)/4, "NA")</f>
        <v>0</v>
      </c>
      <c r="AC46" s="23">
        <f>IFERROR(AB46/AB148, "NA")</f>
        <v>0</v>
      </c>
      <c r="AD46" s="61">
        <f t="shared" ref="AD46:AD57" si="26">IFERROR(X46-AB46, "NA")</f>
        <v>0</v>
      </c>
      <c r="AE46" s="63">
        <f>IFERROR(AD46/AD148, "NA")</f>
        <v>0</v>
      </c>
      <c r="AF46" s="61" t="str">
        <f t="shared" ref="AF46:AF57" si="27">IFERROR((X46-AB46)/AB46, "NA")</f>
        <v>NA</v>
      </c>
      <c r="AG46" s="59">
        <f t="shared" ref="AG46:AG57" si="28">IFERROR((J46+L46+N46+P46+R46+T46+V46+X46)/8, "NA")</f>
        <v>0</v>
      </c>
      <c r="AH46" s="23">
        <f>IFERROR(AG46/AG148, "NA")</f>
        <v>0</v>
      </c>
      <c r="AI46" s="61">
        <f t="shared" ref="AI46:AI57" si="29">IFERROR(X46-AG46, "NA")</f>
        <v>0</v>
      </c>
      <c r="AJ46" s="63">
        <f>IFERROR(AI46/AI148, "NA")</f>
        <v>0</v>
      </c>
      <c r="AK46" s="61" t="str">
        <f t="shared" ref="AK46:AK57" si="30">IFERROR((X46-AG46)/AG46, "NA")</f>
        <v>NA</v>
      </c>
      <c r="AL46" s="63" t="str">
        <f>IFERROR(AK46/AK148, "NA")</f>
        <v>NA</v>
      </c>
    </row>
    <row r="47" ht="16.5" customHeight="1">
      <c r="A47" s="26" t="s">
        <v>107</v>
      </c>
      <c r="B47" s="27">
        <v>107.82</v>
      </c>
      <c r="C47" s="23">
        <f>IFERROR(B47/B148, "NA")</f>
        <v>0.00448969768</v>
      </c>
      <c r="D47" s="27">
        <v>97.13</v>
      </c>
      <c r="E47" s="23">
        <f>IFERROR(D47/D148, "NA")</f>
        <v>0.003522886613</v>
      </c>
      <c r="F47" s="27">
        <v>90.39</v>
      </c>
      <c r="G47" s="23">
        <f>IFERROR(F47/F148, "NA")</f>
        <v>0.00294573416</v>
      </c>
      <c r="H47" s="27">
        <v>84.45</v>
      </c>
      <c r="I47" s="23">
        <f>IFERROR(H47/H148, "NA")</f>
        <v>0.003961848037</v>
      </c>
      <c r="J47" s="27">
        <v>78.86</v>
      </c>
      <c r="K47" s="23">
        <f>IFERROR(J47/J148, "NA")</f>
        <v>0.002375489384</v>
      </c>
      <c r="L47" s="27">
        <v>59.15</v>
      </c>
      <c r="M47" s="23">
        <f>IFERROR(L47/L148, "NA")</f>
        <v>0.002266835035</v>
      </c>
      <c r="N47" s="27">
        <v>49.62</v>
      </c>
      <c r="O47" s="23">
        <f>IFERROR(N47/N148, "NA")</f>
        <v>0.001935663567</v>
      </c>
      <c r="P47" s="27">
        <v>65.31</v>
      </c>
      <c r="Q47" s="23">
        <f>IFERROR(P47/P148, "NA")</f>
        <v>0.001896443334</v>
      </c>
      <c r="R47" s="27">
        <v>66.09</v>
      </c>
      <c r="S47" s="23">
        <f>IFERROR(R47/R148, "NA")</f>
        <v>0.00231497698</v>
      </c>
      <c r="T47" s="27">
        <v>70.43</v>
      </c>
      <c r="U47" s="23">
        <f>IFERROR(T47/T148, "NA")</f>
        <v>0.002018497496</v>
      </c>
      <c r="V47" s="27">
        <v>74.51</v>
      </c>
      <c r="W47" s="23">
        <f>IFERROR(V47/V148, "NA")</f>
        <v>0.001638585376</v>
      </c>
      <c r="X47" s="27">
        <v>56.35</v>
      </c>
      <c r="Y47" s="23">
        <f>IFERROR(X47/X148, "NA")</f>
        <v>0.001446620351</v>
      </c>
      <c r="Z47" s="27">
        <v>267.38</v>
      </c>
      <c r="AA47" s="23">
        <f>IFERROR(Z47/Z148, "NA")</f>
        <v>0.001808256628</v>
      </c>
      <c r="AB47" s="59">
        <f t="shared" si="25"/>
        <v>66.845</v>
      </c>
      <c r="AC47" s="23">
        <f>IFERROR(AB47/AB148, "NA")</f>
        <v>0.001808256628</v>
      </c>
      <c r="AD47" s="61">
        <f t="shared" si="26"/>
        <v>-10.495</v>
      </c>
      <c r="AE47" s="63">
        <f>IFERROR(AD47/AD148, "NA")</f>
        <v>-0.005283653398</v>
      </c>
      <c r="AF47" s="61">
        <f t="shared" si="27"/>
        <v>-0.1570050116</v>
      </c>
      <c r="AG47" s="59">
        <f t="shared" si="28"/>
        <v>65.04</v>
      </c>
      <c r="AH47" s="23">
        <f>IFERROR(AG47/AG148, "NA")</f>
        <v>0.001947086998</v>
      </c>
      <c r="AI47" s="61">
        <f t="shared" si="29"/>
        <v>-8.69</v>
      </c>
      <c r="AJ47" s="63">
        <f>IFERROR(AI47/AI148, "NA")</f>
        <v>-0.001566015835</v>
      </c>
      <c r="AK47" s="61">
        <f t="shared" si="30"/>
        <v>-0.1336100861</v>
      </c>
      <c r="AL47" s="63">
        <f>IFERROR(AK47/AK148, "NA")</f>
        <v>-0.8042865246</v>
      </c>
    </row>
    <row r="48" ht="16.5" customHeight="1">
      <c r="A48" s="26" t="s">
        <v>108</v>
      </c>
      <c r="B48" s="27">
        <v>0.0</v>
      </c>
      <c r="C48" s="23">
        <f>IFERROR(B48/B148, "NA")</f>
        <v>0</v>
      </c>
      <c r="D48" s="27">
        <v>0.0</v>
      </c>
      <c r="E48" s="23">
        <f>IFERROR(D48/D148, "NA")</f>
        <v>0</v>
      </c>
      <c r="F48" s="27">
        <v>7.53</v>
      </c>
      <c r="G48" s="23">
        <f>IFERROR(F48/F148, "NA")</f>
        <v>0.0002453963738</v>
      </c>
      <c r="H48" s="27">
        <v>0.0</v>
      </c>
      <c r="I48" s="23">
        <f>IFERROR(H48/H148, "NA")</f>
        <v>0</v>
      </c>
      <c r="J48" s="27">
        <v>0.0</v>
      </c>
      <c r="K48" s="23">
        <f>IFERROR(J48/J148, "NA")</f>
        <v>0</v>
      </c>
      <c r="L48" s="27">
        <v>0.0</v>
      </c>
      <c r="M48" s="23">
        <f>IFERROR(L48/L148, "NA")</f>
        <v>0</v>
      </c>
      <c r="N48" s="27">
        <v>0.0</v>
      </c>
      <c r="O48" s="23">
        <f>IFERROR(N48/N148, "NA")</f>
        <v>0</v>
      </c>
      <c r="P48" s="27">
        <v>0.0</v>
      </c>
      <c r="Q48" s="23">
        <f>IFERROR(P48/P148, "NA")</f>
        <v>0</v>
      </c>
      <c r="R48" s="27">
        <v>0.0</v>
      </c>
      <c r="S48" s="23">
        <f>IFERROR(R48/R148, "NA")</f>
        <v>0</v>
      </c>
      <c r="T48" s="27">
        <v>0.0</v>
      </c>
      <c r="U48" s="23">
        <f>IFERROR(T48/T148, "NA")</f>
        <v>0</v>
      </c>
      <c r="V48" s="27">
        <v>0.0</v>
      </c>
      <c r="W48" s="23">
        <f>IFERROR(V48/V148, "NA")</f>
        <v>0</v>
      </c>
      <c r="X48" s="27">
        <v>0.0</v>
      </c>
      <c r="Y48" s="23">
        <f>IFERROR(X48/X148, "NA")</f>
        <v>0</v>
      </c>
      <c r="Z48" s="27">
        <v>0.0</v>
      </c>
      <c r="AA48" s="23">
        <f>IFERROR(Z48/Z148, "NA")</f>
        <v>0</v>
      </c>
      <c r="AB48" s="59">
        <f t="shared" si="25"/>
        <v>0</v>
      </c>
      <c r="AC48" s="23">
        <f>IFERROR(AB48/AB148, "NA")</f>
        <v>0</v>
      </c>
      <c r="AD48" s="61">
        <f t="shared" si="26"/>
        <v>0</v>
      </c>
      <c r="AE48" s="63">
        <f>IFERROR(AD48/AD148, "NA")</f>
        <v>0</v>
      </c>
      <c r="AF48" s="61" t="str">
        <f t="shared" si="27"/>
        <v>NA</v>
      </c>
      <c r="AG48" s="59">
        <f t="shared" si="28"/>
        <v>0</v>
      </c>
      <c r="AH48" s="23">
        <f>IFERROR(AG48/AG148, "NA")</f>
        <v>0</v>
      </c>
      <c r="AI48" s="61">
        <f t="shared" si="29"/>
        <v>0</v>
      </c>
      <c r="AJ48" s="63">
        <f>IFERROR(AI48/AI148, "NA")</f>
        <v>0</v>
      </c>
      <c r="AK48" s="61" t="str">
        <f t="shared" si="30"/>
        <v>NA</v>
      </c>
      <c r="AL48" s="63" t="str">
        <f>IFERROR(AK48/AK148, "NA")</f>
        <v>NA</v>
      </c>
    </row>
    <row r="49" ht="16.5" hidden="1" customHeight="1">
      <c r="A49" s="26" t="s">
        <v>109</v>
      </c>
      <c r="B49" s="27">
        <v>0.0</v>
      </c>
      <c r="C49" s="23">
        <f>IFERROR(B49/B148, "NA")</f>
        <v>0</v>
      </c>
      <c r="D49" s="27">
        <v>0.0</v>
      </c>
      <c r="E49" s="23">
        <f>IFERROR(D49/D148, "NA")</f>
        <v>0</v>
      </c>
      <c r="F49" s="27">
        <v>0.0</v>
      </c>
      <c r="G49" s="23">
        <f>IFERROR(F49/F148, "NA")</f>
        <v>0</v>
      </c>
      <c r="H49" s="27">
        <v>0.0</v>
      </c>
      <c r="I49" s="23">
        <f>IFERROR(H49/H148, "NA")</f>
        <v>0</v>
      </c>
      <c r="J49" s="27">
        <v>0.0</v>
      </c>
      <c r="K49" s="23">
        <f>IFERROR(J49/J148, "NA")</f>
        <v>0</v>
      </c>
      <c r="L49" s="27">
        <v>0.0</v>
      </c>
      <c r="M49" s="23">
        <f>IFERROR(L49/L148, "NA")</f>
        <v>0</v>
      </c>
      <c r="N49" s="27">
        <v>0.0</v>
      </c>
      <c r="O49" s="23">
        <f>IFERROR(N49/N148, "NA")</f>
        <v>0</v>
      </c>
      <c r="P49" s="27">
        <v>0.0</v>
      </c>
      <c r="Q49" s="23">
        <f>IFERROR(P49/P148, "NA")</f>
        <v>0</v>
      </c>
      <c r="R49" s="27">
        <v>0.0</v>
      </c>
      <c r="S49" s="23">
        <f>IFERROR(R49/R148, "NA")</f>
        <v>0</v>
      </c>
      <c r="T49" s="27">
        <v>0.0</v>
      </c>
      <c r="U49" s="23">
        <f>IFERROR(T49/T148, "NA")</f>
        <v>0</v>
      </c>
      <c r="V49" s="27">
        <v>0.0</v>
      </c>
      <c r="W49" s="23">
        <f>IFERROR(V49/V148, "NA")</f>
        <v>0</v>
      </c>
      <c r="X49" s="27">
        <v>0.0</v>
      </c>
      <c r="Y49" s="23">
        <f>IFERROR(X49/X148, "NA")</f>
        <v>0</v>
      </c>
      <c r="Z49" s="27">
        <v>0.0</v>
      </c>
      <c r="AA49" s="23">
        <f>IFERROR(Z49/Z148, "NA")</f>
        <v>0</v>
      </c>
      <c r="AB49" s="59">
        <f t="shared" si="25"/>
        <v>0</v>
      </c>
      <c r="AC49" s="23">
        <f>IFERROR(AB49/AB148, "NA")</f>
        <v>0</v>
      </c>
      <c r="AD49" s="61">
        <f t="shared" si="26"/>
        <v>0</v>
      </c>
      <c r="AE49" s="63">
        <f>IFERROR(AD49/AD148, "NA")</f>
        <v>0</v>
      </c>
      <c r="AF49" s="61" t="str">
        <f t="shared" si="27"/>
        <v>NA</v>
      </c>
      <c r="AG49" s="59">
        <f t="shared" si="28"/>
        <v>0</v>
      </c>
      <c r="AH49" s="23">
        <f>IFERROR(AG49/AG148, "NA")</f>
        <v>0</v>
      </c>
      <c r="AI49" s="61">
        <f t="shared" si="29"/>
        <v>0</v>
      </c>
      <c r="AJ49" s="63">
        <f>IFERROR(AI49/AI148, "NA")</f>
        <v>0</v>
      </c>
      <c r="AK49" s="61" t="str">
        <f t="shared" si="30"/>
        <v>NA</v>
      </c>
      <c r="AL49" s="63" t="str">
        <f>IFERROR(AK49/AK148, "NA")</f>
        <v>NA</v>
      </c>
    </row>
    <row r="50" ht="16.5" hidden="1" customHeight="1">
      <c r="A50" s="26" t="s">
        <v>110</v>
      </c>
      <c r="B50" s="27">
        <v>0.0</v>
      </c>
      <c r="C50" s="23">
        <f>IFERROR(B50/B148, "NA")</f>
        <v>0</v>
      </c>
      <c r="D50" s="27">
        <v>0.0</v>
      </c>
      <c r="E50" s="23">
        <f>IFERROR(D50/D148, "NA")</f>
        <v>0</v>
      </c>
      <c r="F50" s="27">
        <v>0.0</v>
      </c>
      <c r="G50" s="23">
        <f>IFERROR(F50/F148, "NA")</f>
        <v>0</v>
      </c>
      <c r="H50" s="27">
        <v>0.0</v>
      </c>
      <c r="I50" s="23">
        <f>IFERROR(H50/H148, "NA")</f>
        <v>0</v>
      </c>
      <c r="J50" s="27">
        <v>0.0</v>
      </c>
      <c r="K50" s="23">
        <f>IFERROR(J50/J148, "NA")</f>
        <v>0</v>
      </c>
      <c r="L50" s="27">
        <v>0.0</v>
      </c>
      <c r="M50" s="23">
        <f>IFERROR(L50/L148, "NA")</f>
        <v>0</v>
      </c>
      <c r="N50" s="27">
        <v>0.0</v>
      </c>
      <c r="O50" s="23">
        <f>IFERROR(N50/N148, "NA")</f>
        <v>0</v>
      </c>
      <c r="P50" s="27">
        <v>0.0</v>
      </c>
      <c r="Q50" s="23">
        <f>IFERROR(P50/P148, "NA")</f>
        <v>0</v>
      </c>
      <c r="R50" s="27">
        <v>0.0</v>
      </c>
      <c r="S50" s="23">
        <f>IFERROR(R50/R148, "NA")</f>
        <v>0</v>
      </c>
      <c r="T50" s="27">
        <v>0.0</v>
      </c>
      <c r="U50" s="23">
        <f>IFERROR(T50/T148, "NA")</f>
        <v>0</v>
      </c>
      <c r="V50" s="27">
        <v>0.0</v>
      </c>
      <c r="W50" s="23">
        <f>IFERROR(V50/V148, "NA")</f>
        <v>0</v>
      </c>
      <c r="X50" s="27">
        <v>0.0</v>
      </c>
      <c r="Y50" s="23">
        <f>IFERROR(X50/X148, "NA")</f>
        <v>0</v>
      </c>
      <c r="Z50" s="27">
        <v>0.0</v>
      </c>
      <c r="AA50" s="23">
        <f>IFERROR(Z50/Z148, "NA")</f>
        <v>0</v>
      </c>
      <c r="AB50" s="59">
        <f t="shared" si="25"/>
        <v>0</v>
      </c>
      <c r="AC50" s="23">
        <f>IFERROR(AB50/AB148, "NA")</f>
        <v>0</v>
      </c>
      <c r="AD50" s="61">
        <f t="shared" si="26"/>
        <v>0</v>
      </c>
      <c r="AE50" s="63">
        <f>IFERROR(AD50/AD148, "NA")</f>
        <v>0</v>
      </c>
      <c r="AF50" s="61" t="str">
        <f t="shared" si="27"/>
        <v>NA</v>
      </c>
      <c r="AG50" s="59">
        <f t="shared" si="28"/>
        <v>0</v>
      </c>
      <c r="AH50" s="23">
        <f>IFERROR(AG50/AG148, "NA")</f>
        <v>0</v>
      </c>
      <c r="AI50" s="61">
        <f t="shared" si="29"/>
        <v>0</v>
      </c>
      <c r="AJ50" s="63">
        <f>IFERROR(AI50/AI148, "NA")</f>
        <v>0</v>
      </c>
      <c r="AK50" s="61" t="str">
        <f t="shared" si="30"/>
        <v>NA</v>
      </c>
      <c r="AL50" s="63" t="str">
        <f>IFERROR(AK50/AK148, "NA")</f>
        <v>NA</v>
      </c>
    </row>
    <row r="51" ht="16.5" hidden="1" customHeight="1">
      <c r="A51" s="26" t="s">
        <v>111</v>
      </c>
      <c r="B51" s="27">
        <v>0.0</v>
      </c>
      <c r="C51" s="23">
        <f>IFERROR(B51/B148, "NA")</f>
        <v>0</v>
      </c>
      <c r="D51" s="27">
        <v>0.0</v>
      </c>
      <c r="E51" s="23">
        <f>IFERROR(D51/D148, "NA")</f>
        <v>0</v>
      </c>
      <c r="F51" s="27">
        <v>0.0</v>
      </c>
      <c r="G51" s="23">
        <f>IFERROR(F51/F148, "NA")</f>
        <v>0</v>
      </c>
      <c r="H51" s="27">
        <v>0.0</v>
      </c>
      <c r="I51" s="23">
        <f>IFERROR(H51/H148, "NA")</f>
        <v>0</v>
      </c>
      <c r="J51" s="27">
        <v>0.0</v>
      </c>
      <c r="K51" s="23">
        <f>IFERROR(J51/J148, "NA")</f>
        <v>0</v>
      </c>
      <c r="L51" s="27">
        <v>0.0</v>
      </c>
      <c r="M51" s="23">
        <f>IFERROR(L51/L148, "NA")</f>
        <v>0</v>
      </c>
      <c r="N51" s="27">
        <v>0.0</v>
      </c>
      <c r="O51" s="23">
        <f>IFERROR(N51/N148, "NA")</f>
        <v>0</v>
      </c>
      <c r="P51" s="27">
        <v>0.0</v>
      </c>
      <c r="Q51" s="23">
        <f>IFERROR(P51/P148, "NA")</f>
        <v>0</v>
      </c>
      <c r="R51" s="27">
        <v>0.0</v>
      </c>
      <c r="S51" s="23">
        <f>IFERROR(R51/R148, "NA")</f>
        <v>0</v>
      </c>
      <c r="T51" s="27">
        <v>0.0</v>
      </c>
      <c r="U51" s="23">
        <f>IFERROR(T51/T148, "NA")</f>
        <v>0</v>
      </c>
      <c r="V51" s="27">
        <v>0.0</v>
      </c>
      <c r="W51" s="23">
        <f>IFERROR(V51/V148, "NA")</f>
        <v>0</v>
      </c>
      <c r="X51" s="27">
        <v>0.0</v>
      </c>
      <c r="Y51" s="23">
        <f>IFERROR(X51/X148, "NA")</f>
        <v>0</v>
      </c>
      <c r="Z51" s="27">
        <v>0.0</v>
      </c>
      <c r="AA51" s="23">
        <f>IFERROR(Z51/Z148, "NA")</f>
        <v>0</v>
      </c>
      <c r="AB51" s="59">
        <f t="shared" si="25"/>
        <v>0</v>
      </c>
      <c r="AC51" s="23">
        <f>IFERROR(AB51/AB148, "NA")</f>
        <v>0</v>
      </c>
      <c r="AD51" s="61">
        <f t="shared" si="26"/>
        <v>0</v>
      </c>
      <c r="AE51" s="63">
        <f>IFERROR(AD51/AD148, "NA")</f>
        <v>0</v>
      </c>
      <c r="AF51" s="61" t="str">
        <f t="shared" si="27"/>
        <v>NA</v>
      </c>
      <c r="AG51" s="59">
        <f t="shared" si="28"/>
        <v>0</v>
      </c>
      <c r="AH51" s="23">
        <f>IFERROR(AG51/AG148, "NA")</f>
        <v>0</v>
      </c>
      <c r="AI51" s="61">
        <f t="shared" si="29"/>
        <v>0</v>
      </c>
      <c r="AJ51" s="63">
        <f>IFERROR(AI51/AI148, "NA")</f>
        <v>0</v>
      </c>
      <c r="AK51" s="61" t="str">
        <f t="shared" si="30"/>
        <v>NA</v>
      </c>
      <c r="AL51" s="63" t="str">
        <f>IFERROR(AK51/AK148, "NA")</f>
        <v>NA</v>
      </c>
    </row>
    <row r="52" ht="16.5" customHeight="1">
      <c r="A52" s="66" t="s">
        <v>112</v>
      </c>
      <c r="B52" s="67">
        <f>IFERROR(B46+B47+B48+B49+B50+B51, "NA")</f>
        <v>107.82</v>
      </c>
      <c r="C52" s="69">
        <f>IFERROR(B52/B148, "NA")</f>
        <v>0.00448969768</v>
      </c>
      <c r="D52" s="67">
        <f>IFERROR(D46+D47+D48+D49+D50+D51, "NA")</f>
        <v>97.13</v>
      </c>
      <c r="E52" s="69">
        <f>IFERROR(D52/D148, "NA")</f>
        <v>0.003522886613</v>
      </c>
      <c r="F52" s="67">
        <f>IFERROR(F46+F47+F48+F49+F50+F51, "NA")</f>
        <v>97.92</v>
      </c>
      <c r="G52" s="69">
        <f>IFERROR(F52/F148, "NA")</f>
        <v>0.003191130534</v>
      </c>
      <c r="H52" s="67">
        <f>IFERROR(H46+H47+H48+H49+H50+H51, "NA")</f>
        <v>84.45</v>
      </c>
      <c r="I52" s="69">
        <f>IFERROR(H52/H148, "NA")</f>
        <v>0.003961848037</v>
      </c>
      <c r="J52" s="67">
        <f>IFERROR(J46+J47+J48+J49+J50+J51, "NA")</f>
        <v>78.86</v>
      </c>
      <c r="K52" s="69">
        <f>IFERROR(J52/J148, "NA")</f>
        <v>0.002375489384</v>
      </c>
      <c r="L52" s="67">
        <f>IFERROR(L46+L47+L48+L49+L50+L51, "NA")</f>
        <v>59.15</v>
      </c>
      <c r="M52" s="69">
        <f>IFERROR(L52/L148, "NA")</f>
        <v>0.002266835035</v>
      </c>
      <c r="N52" s="67">
        <f>IFERROR(N46+N47+N48+N49+N50+N51, "NA")</f>
        <v>49.62</v>
      </c>
      <c r="O52" s="69">
        <f>IFERROR(N52/N148, "NA")</f>
        <v>0.001935663567</v>
      </c>
      <c r="P52" s="67">
        <f>IFERROR(P46+P47+P48+P49+P50+P51, "NA")</f>
        <v>65.31</v>
      </c>
      <c r="Q52" s="69">
        <f>IFERROR(P52/P148, "NA")</f>
        <v>0.001896443334</v>
      </c>
      <c r="R52" s="67">
        <f>IFERROR(R46+R47+R48+R49+R50+R51, "NA")</f>
        <v>66.09</v>
      </c>
      <c r="S52" s="69">
        <f>IFERROR(R52/R148, "NA")</f>
        <v>0.00231497698</v>
      </c>
      <c r="T52" s="67">
        <f>IFERROR(T46+T47+T48+T49+T50+T51, "NA")</f>
        <v>70.43</v>
      </c>
      <c r="U52" s="69">
        <f>IFERROR(T52/T148, "NA")</f>
        <v>0.002018497496</v>
      </c>
      <c r="V52" s="67">
        <f>IFERROR(V46+V47+V48+V49+V50+V51, "NA")</f>
        <v>74.51</v>
      </c>
      <c r="W52" s="69">
        <f>IFERROR(V52/V148, "NA")</f>
        <v>0.001638585376</v>
      </c>
      <c r="X52" s="67">
        <f>IFERROR(X46+X47+X48+X49+X50+X51, "NA")</f>
        <v>56.35</v>
      </c>
      <c r="Y52" s="69">
        <f>IFERROR(X52/X148, "NA")</f>
        <v>0.001446620351</v>
      </c>
      <c r="Z52" s="67">
        <f>IFERROR(Z46+Z47+Z48+Z49+Z50+Z51, "NA")</f>
        <v>267.38</v>
      </c>
      <c r="AA52" s="69">
        <f>IFERROR(Z52/Z148, "NA")</f>
        <v>0.001808256628</v>
      </c>
      <c r="AB52" s="67">
        <f t="shared" si="25"/>
        <v>66.845</v>
      </c>
      <c r="AC52" s="69">
        <f>IFERROR(AB52/AB148, "NA")</f>
        <v>0.001808256628</v>
      </c>
      <c r="AD52" s="70">
        <f t="shared" si="26"/>
        <v>-10.495</v>
      </c>
      <c r="AE52" s="71">
        <f>IFERROR(AD52/AD148, "NA")</f>
        <v>-0.005283653398</v>
      </c>
      <c r="AF52" s="70">
        <f t="shared" si="27"/>
        <v>-0.1570050116</v>
      </c>
      <c r="AG52" s="67">
        <f t="shared" si="28"/>
        <v>65.04</v>
      </c>
      <c r="AH52" s="69">
        <f>IFERROR(AG52/AG148, "NA")</f>
        <v>0.001947086998</v>
      </c>
      <c r="AI52" s="70">
        <f t="shared" si="29"/>
        <v>-8.69</v>
      </c>
      <c r="AJ52" s="71">
        <f>IFERROR(AI52/AI148, "NA")</f>
        <v>-0.001566015835</v>
      </c>
      <c r="AK52" s="70">
        <f t="shared" si="30"/>
        <v>-0.1336100861</v>
      </c>
      <c r="AL52" s="71">
        <f>IFERROR(AK52/AK148, "NA")</f>
        <v>-0.8042865246</v>
      </c>
    </row>
    <row r="53" ht="16.5" customHeight="1">
      <c r="A53" s="26" t="s">
        <v>113</v>
      </c>
      <c r="B53" s="27">
        <v>123.45</v>
      </c>
      <c r="C53" s="23">
        <f>IFERROR(B53/B148, "NA")</f>
        <v>0.005140541445</v>
      </c>
      <c r="D53" s="27">
        <v>80.22</v>
      </c>
      <c r="E53" s="23">
        <f>IFERROR(D53/D148, "NA")</f>
        <v>0.002909564131</v>
      </c>
      <c r="F53" s="27">
        <v>131.13</v>
      </c>
      <c r="G53" s="23">
        <f>IFERROR(F53/F148, "NA")</f>
        <v>0.004273416533</v>
      </c>
      <c r="H53" s="27">
        <v>60.69</v>
      </c>
      <c r="I53" s="23">
        <f>IFERROR(H53/H148, "NA")</f>
        <v>0.002847182443</v>
      </c>
      <c r="J53" s="27">
        <v>106.95</v>
      </c>
      <c r="K53" s="23">
        <f>IFERROR(J53/J148, "NA")</f>
        <v>0.00322164075</v>
      </c>
      <c r="L53" s="27">
        <v>101.57</v>
      </c>
      <c r="M53" s="23">
        <f>IFERROR(L53/L148, "NA")</f>
        <v>0.003892517911</v>
      </c>
      <c r="N53" s="27">
        <v>59.64</v>
      </c>
      <c r="O53" s="23">
        <f>IFERROR(N53/N148, "NA")</f>
        <v>0.002326541217</v>
      </c>
      <c r="P53" s="27">
        <v>129.62</v>
      </c>
      <c r="Q53" s="23">
        <f>IFERROR(P53/P148, "NA")</f>
        <v>0.003763849103</v>
      </c>
      <c r="R53" s="27">
        <v>79.96</v>
      </c>
      <c r="S53" s="23">
        <f>IFERROR(R53/R148, "NA")</f>
        <v>0.0028008104</v>
      </c>
      <c r="T53" s="27">
        <v>95.84</v>
      </c>
      <c r="U53" s="23">
        <f>IFERROR(T53/T148, "NA")</f>
        <v>0.002746738606</v>
      </c>
      <c r="V53" s="27">
        <v>121.48</v>
      </c>
      <c r="W53" s="23">
        <f>IFERROR(V53/V148, "NA")</f>
        <v>0.002671525318</v>
      </c>
      <c r="X53" s="27">
        <v>152.5</v>
      </c>
      <c r="Y53" s="23">
        <f>IFERROR(X53/X148, "NA")</f>
        <v>0.003914988527</v>
      </c>
      <c r="Z53" s="27">
        <v>449.78</v>
      </c>
      <c r="AA53" s="23">
        <f>IFERROR(Z53/Z148, "NA")</f>
        <v>0.003041804421</v>
      </c>
      <c r="AB53" s="59">
        <f t="shared" si="25"/>
        <v>112.445</v>
      </c>
      <c r="AC53" s="23">
        <f>IFERROR(AB53/AB148, "NA")</f>
        <v>0.003041804421</v>
      </c>
      <c r="AD53" s="61">
        <f t="shared" si="26"/>
        <v>40.055</v>
      </c>
      <c r="AE53" s="63">
        <f>IFERROR(AD53/AD148, "NA")</f>
        <v>0.02016548231</v>
      </c>
      <c r="AF53" s="61">
        <f t="shared" si="27"/>
        <v>0.3562185958</v>
      </c>
      <c r="AG53" s="59">
        <f t="shared" si="28"/>
        <v>105.945</v>
      </c>
      <c r="AH53" s="23">
        <f>IFERROR(AG53/AG148, "NA")</f>
        <v>0.003171650246</v>
      </c>
      <c r="AI53" s="61">
        <f t="shared" si="29"/>
        <v>46.555</v>
      </c>
      <c r="AJ53" s="63">
        <f>IFERROR(AI53/AI148, "NA")</f>
        <v>0.008389627983</v>
      </c>
      <c r="AK53" s="61">
        <f t="shared" si="30"/>
        <v>0.4394261173</v>
      </c>
      <c r="AL53" s="63">
        <f>IFERROR(AK53/AK148, "NA")</f>
        <v>2.645193301</v>
      </c>
    </row>
    <row r="54" ht="16.5" customHeight="1">
      <c r="A54" s="26" t="s">
        <v>114</v>
      </c>
      <c r="B54" s="27">
        <v>31.75</v>
      </c>
      <c r="C54" s="23">
        <f>IFERROR(B54/B148, "NA")</f>
        <v>0.001322091461</v>
      </c>
      <c r="D54" s="27">
        <v>25.5</v>
      </c>
      <c r="E54" s="23">
        <f>IFERROR(D54/D148, "NA")</f>
        <v>0.0009248801464</v>
      </c>
      <c r="F54" s="27">
        <v>32.5</v>
      </c>
      <c r="G54" s="23">
        <f>IFERROR(F54/F148, "NA")</f>
        <v>0.001059147696</v>
      </c>
      <c r="H54" s="27">
        <v>29.56</v>
      </c>
      <c r="I54" s="23">
        <f>IFERROR(H54/H148, "NA")</f>
        <v>0.001386764097</v>
      </c>
      <c r="J54" s="27">
        <v>62.0</v>
      </c>
      <c r="K54" s="23">
        <f>IFERROR(J54/J148, "NA")</f>
        <v>0.001867617826</v>
      </c>
      <c r="L54" s="27">
        <v>34.31</v>
      </c>
      <c r="M54" s="23">
        <f>IFERROR(L54/L148, "NA")</f>
        <v>0.001314879291</v>
      </c>
      <c r="N54" s="27">
        <v>41.0</v>
      </c>
      <c r="O54" s="23">
        <f>IFERROR(N54/N148, "NA")</f>
        <v>0.001599399562</v>
      </c>
      <c r="P54" s="27">
        <v>27.0</v>
      </c>
      <c r="Q54" s="23">
        <f>IFERROR(P54/P148, "NA")</f>
        <v>0.00078401424</v>
      </c>
      <c r="R54" s="27">
        <v>40.0</v>
      </c>
      <c r="S54" s="23">
        <f>IFERROR(R54/R148, "NA")</f>
        <v>0.001401105753</v>
      </c>
      <c r="T54" s="27">
        <v>29.56</v>
      </c>
      <c r="U54" s="23">
        <f>IFERROR(T54/T148, "NA")</f>
        <v>0.0008471785601</v>
      </c>
      <c r="V54" s="27">
        <v>24.5</v>
      </c>
      <c r="W54" s="23">
        <f>IFERROR(V54/V148, "NA")</f>
        <v>0.0005387913261</v>
      </c>
      <c r="X54" s="27">
        <v>26.25</v>
      </c>
      <c r="Y54" s="23">
        <f>IFERROR(X54/X148, "NA")</f>
        <v>0.0006738914678</v>
      </c>
      <c r="Z54" s="27">
        <v>120.31</v>
      </c>
      <c r="AA54" s="23">
        <f>IFERROR(Z54/Z148, "NA")</f>
        <v>0.0008136410909</v>
      </c>
      <c r="AB54" s="59">
        <f t="shared" si="25"/>
        <v>30.0775</v>
      </c>
      <c r="AC54" s="23">
        <f>IFERROR(AB54/AB148, "NA")</f>
        <v>0.0008136410909</v>
      </c>
      <c r="AD54" s="61">
        <f t="shared" si="26"/>
        <v>-3.8275</v>
      </c>
      <c r="AE54" s="63">
        <f>IFERROR(AD54/AD148, "NA")</f>
        <v>-0.001926935053</v>
      </c>
      <c r="AF54" s="61">
        <f t="shared" si="27"/>
        <v>-0.1272545923</v>
      </c>
      <c r="AG54" s="59">
        <f t="shared" si="28"/>
        <v>35.5775</v>
      </c>
      <c r="AH54" s="23">
        <f>IFERROR(AG54/AG148, "NA")</f>
        <v>0.001065075149</v>
      </c>
      <c r="AI54" s="61">
        <f t="shared" si="29"/>
        <v>-9.3275</v>
      </c>
      <c r="AJ54" s="63">
        <f>IFERROR(AI54/AI148, "NA")</f>
        <v>-0.001680899044</v>
      </c>
      <c r="AK54" s="61">
        <f t="shared" si="30"/>
        <v>-0.2621741269</v>
      </c>
      <c r="AL54" s="63">
        <f>IFERROR(AK54/AK148, "NA")</f>
        <v>-1.578197601</v>
      </c>
    </row>
    <row r="55" ht="16.5" customHeight="1">
      <c r="A55" s="26" t="s">
        <v>115</v>
      </c>
      <c r="B55" s="27">
        <v>-337.81</v>
      </c>
      <c r="C55" s="23">
        <f>IFERROR(B55/B148, "NA")</f>
        <v>-0.01406663674</v>
      </c>
      <c r="D55" s="27">
        <v>-254.33</v>
      </c>
      <c r="E55" s="23">
        <f>IFERROR(D55/D148, "NA")</f>
        <v>-0.009224500692</v>
      </c>
      <c r="F55" s="27">
        <v>-247.96</v>
      </c>
      <c r="G55" s="23">
        <f>IFERROR(F55/F148, "NA")</f>
        <v>-0.008080808081</v>
      </c>
      <c r="H55" s="27">
        <v>-245.77</v>
      </c>
      <c r="I55" s="23">
        <f>IFERROR(H55/H148, "NA")</f>
        <v>-0.01152993951</v>
      </c>
      <c r="J55" s="27">
        <v>-295.61</v>
      </c>
      <c r="K55" s="23">
        <f>IFERROR(J55/J148, "NA")</f>
        <v>-0.008904621059</v>
      </c>
      <c r="L55" s="27">
        <v>-195.48</v>
      </c>
      <c r="M55" s="23">
        <f>IFERROR(L55/L148, "NA")</f>
        <v>-0.007491477812</v>
      </c>
      <c r="N55" s="27">
        <v>-298.1</v>
      </c>
      <c r="O55" s="23">
        <f>IFERROR(N55/N148, "NA")</f>
        <v>-0.01162880511</v>
      </c>
      <c r="P55" s="27">
        <v>-232.63</v>
      </c>
      <c r="Q55" s="23">
        <f>IFERROR(P55/P148, "NA")</f>
        <v>-0.006755008617</v>
      </c>
      <c r="R55" s="27">
        <v>-259.64</v>
      </c>
      <c r="S55" s="23">
        <f>IFERROR(R55/R148, "NA")</f>
        <v>-0.009094577441</v>
      </c>
      <c r="T55" s="27">
        <v>-273.58</v>
      </c>
      <c r="U55" s="23">
        <f>IFERROR(T55/T148, "NA")</f>
        <v>-0.007840700625</v>
      </c>
      <c r="V55" s="27">
        <v>-264.71</v>
      </c>
      <c r="W55" s="23">
        <f>IFERROR(V55/V148, "NA")</f>
        <v>-0.005821365385</v>
      </c>
      <c r="X55" s="27">
        <v>-307.78</v>
      </c>
      <c r="Y55" s="23">
        <f>IFERROR(X55/X148, "NA")</f>
        <v>-0.00790134537</v>
      </c>
      <c r="Z55" s="27">
        <v>-1105.71</v>
      </c>
      <c r="AA55" s="23">
        <f>IFERROR(Z55/Z148, "NA")</f>
        <v>-0.007477774837</v>
      </c>
      <c r="AB55" s="59">
        <f t="shared" si="25"/>
        <v>-276.4275</v>
      </c>
      <c r="AC55" s="23">
        <f>IFERROR(AB55/AB148, "NA")</f>
        <v>-0.007477774837</v>
      </c>
      <c r="AD55" s="61">
        <f t="shared" si="26"/>
        <v>-31.3525</v>
      </c>
      <c r="AE55" s="63">
        <f>IFERROR(AD55/AD148, "NA")</f>
        <v>-0.01578425376</v>
      </c>
      <c r="AF55" s="61">
        <f t="shared" si="27"/>
        <v>0.1134203363</v>
      </c>
      <c r="AG55" s="59">
        <f t="shared" si="28"/>
        <v>-265.94125</v>
      </c>
      <c r="AH55" s="23">
        <f>IFERROR(AG55/AG148, "NA")</f>
        <v>-0.007961419896</v>
      </c>
      <c r="AI55" s="61">
        <f t="shared" si="29"/>
        <v>-41.83875</v>
      </c>
      <c r="AJ55" s="63">
        <f>IFERROR(AI55/AI148, "NA")</f>
        <v>-0.007539717491</v>
      </c>
      <c r="AK55" s="61">
        <f t="shared" si="30"/>
        <v>0.157323281</v>
      </c>
      <c r="AL55" s="63">
        <f>IFERROR(AK55/AK148, "NA")</f>
        <v>0.9470317593</v>
      </c>
    </row>
    <row r="56" ht="16.5" customHeight="1">
      <c r="A56" s="66" t="s">
        <v>116</v>
      </c>
      <c r="B56" s="67">
        <f>IFERROR(B37+B39+B40+B41+B42+B43+B46+B47+B48+B49+B50+B51+B53+B54+B55, "NA")</f>
        <v>756.17</v>
      </c>
      <c r="C56" s="69">
        <f>IFERROR(B56/B148, "NA")</f>
        <v>0.03148742993</v>
      </c>
      <c r="D56" s="67">
        <f>IFERROR(D37+D39+D40+D41+D42+D43+D46+D47+D48+D49+D50+D51+D53+D54+D55, "NA")</f>
        <v>1434.9</v>
      </c>
      <c r="E56" s="69">
        <f>IFERROR(D56/D148, "NA")</f>
        <v>0.05204354989</v>
      </c>
      <c r="F56" s="67">
        <f>IFERROR(F37+F39+F40+F41+F42+F43+F46+F47+F48+F49+F50+F51+F53+F54+F55, "NA")</f>
        <v>1082.48</v>
      </c>
      <c r="G56" s="69">
        <f>IFERROR(F56/F148, "NA")</f>
        <v>0.03527711377</v>
      </c>
      <c r="H56" s="67">
        <f>IFERROR(H37+H39+H40+H41+H42+H43+H46+H47+H48+H49+H50+H51+H53+H54+H55, "NA")</f>
        <v>1021.8</v>
      </c>
      <c r="I56" s="69">
        <f>IFERROR(H56/H148, "NA")</f>
        <v>0.04793625014</v>
      </c>
      <c r="J56" s="67">
        <f>IFERROR(J37+J39+J40+J41+J42+J43+J46+J47+J48+J49+J50+J51+J53+J54+J55, "NA")</f>
        <v>1377.84</v>
      </c>
      <c r="K56" s="69">
        <f>IFERROR(J56/J148, "NA")</f>
        <v>0.04150449268</v>
      </c>
      <c r="L56" s="67">
        <f>IFERROR(L37+L39+L40+L41+L42+L43+L46+L47+L48+L49+L50+L51+L53+L54+L55, "NA")</f>
        <v>965.84</v>
      </c>
      <c r="M56" s="69">
        <f>IFERROR(L56/L148, "NA")</f>
        <v>0.0370143694</v>
      </c>
      <c r="N56" s="67">
        <f>IFERROR(N37+N39+N40+N41+N42+N43+N46+N47+N48+N49+N50+N51+N53+N54+N55, "NA")</f>
        <v>699.59</v>
      </c>
      <c r="O56" s="69">
        <f>IFERROR(N56/N148, "NA")</f>
        <v>0.02729082779</v>
      </c>
      <c r="P56" s="67">
        <f>IFERROR(P37+P39+P40+P41+P42+P43+P46+P47+P48+P49+P50+P51+P53+P54+P55, "NA")</f>
        <v>1343.32</v>
      </c>
      <c r="Q56" s="69">
        <f>IFERROR(P56/P148, "NA")</f>
        <v>0.03900674107</v>
      </c>
      <c r="R56" s="67">
        <f>IFERROR(R37+R39+R40+R41+R42+R43+R46+R47+R48+R49+R50+R51+R53+R54+R55, "NA")</f>
        <v>1444.77</v>
      </c>
      <c r="S56" s="69">
        <f>IFERROR(R56/R148, "NA")</f>
        <v>0.05060688896</v>
      </c>
      <c r="T56" s="67">
        <f>IFERROR(T37+T39+T40+T41+T42+T43+T46+T47+T48+T49+T50+T51+T53+T54+T55, "NA")</f>
        <v>1018.76</v>
      </c>
      <c r="U56" s="69">
        <f>IFERROR(T56/T148, "NA")</f>
        <v>0.02919728112</v>
      </c>
      <c r="V56" s="67">
        <f>IFERROR(V37+V39+V40+V41+V42+V43+V46+V47+V48+V49+V50+V51+V53+V54+V55, "NA")</f>
        <v>1087.1</v>
      </c>
      <c r="W56" s="69">
        <f>IFERROR(V56/V148, "NA")</f>
        <v>0.02390694084</v>
      </c>
      <c r="X56" s="67">
        <f>IFERROR(X37+X39+X40+X41+X42+X43+X46+X47+X48+X49+X50+X51+X53+X54+X55, "NA")</f>
        <v>2031.3</v>
      </c>
      <c r="Y56" s="69">
        <f>IFERROR(X56/X148, "NA")</f>
        <v>0.05214764718</v>
      </c>
      <c r="Z56" s="67">
        <f>IFERROR(Z37+Z39+Z40+Z41+Z42+Z43+Z46+Z47+Z48+Z49+Z50+Z51+Z53+Z54+Z55, "NA")</f>
        <v>5581.93</v>
      </c>
      <c r="AA56" s="69">
        <f>IFERROR(Z56/Z148, "NA")</f>
        <v>0.03774987627</v>
      </c>
      <c r="AB56" s="67">
        <f t="shared" si="25"/>
        <v>1395.4825</v>
      </c>
      <c r="AC56" s="69">
        <f>IFERROR(AB56/AB148, "NA")</f>
        <v>0.03774987627</v>
      </c>
      <c r="AD56" s="70">
        <f t="shared" si="26"/>
        <v>635.8175</v>
      </c>
      <c r="AE56" s="71">
        <f>IFERROR(AD56/AD148, "NA")</f>
        <v>0.3200990276</v>
      </c>
      <c r="AF56" s="70">
        <f t="shared" si="27"/>
        <v>0.4556255632</v>
      </c>
      <c r="AG56" s="67">
        <f t="shared" si="28"/>
        <v>1246.065</v>
      </c>
      <c r="AH56" s="69">
        <f>IFERROR(AG56/AG148, "NA")</f>
        <v>0.03730315129</v>
      </c>
      <c r="AI56" s="70">
        <f t="shared" si="29"/>
        <v>785.235</v>
      </c>
      <c r="AJ56" s="71">
        <f>IFERROR(AI56/AI148, "NA")</f>
        <v>0.1415063802</v>
      </c>
      <c r="AK56" s="70">
        <f t="shared" si="30"/>
        <v>0.6301717808</v>
      </c>
      <c r="AL56" s="71">
        <f>IFERROR(AK56/AK148, "NA")</f>
        <v>3.793416248</v>
      </c>
    </row>
    <row r="57" ht="16.5" customHeight="1">
      <c r="A57" s="66" t="s">
        <v>52</v>
      </c>
      <c r="B57" s="115">
        <f>IFERROR(B13+B15+B16+B17+B18+B19+B20+B21+B22+B23+B24+B25+B26+B29+B30+B31+B32+B33+B37+B39+B40+B41+B42+B43+B46+B47+B48+B49+B50+B51+B53+B54+B55, "NA")</f>
        <v>6261.85</v>
      </c>
      <c r="C57" s="96">
        <f>IFERROR(B57/B148, "NA")</f>
        <v>0.2607476667</v>
      </c>
      <c r="D57" s="115">
        <f>IFERROR(D13+D15+D16+D17+D18+D19+D20+D21+D22+D23+D24+D25+D26+D29+D30+D31+D32+D33+D37+D39+D40+D41+D42+D43+D46+D47+D48+D49+D50+D51+D53+D54+D55, "NA")</f>
        <v>8207.4</v>
      </c>
      <c r="E57" s="96">
        <f>IFERROR(D57/D148, "NA")</f>
        <v>0.2976808358</v>
      </c>
      <c r="F57" s="115">
        <f>IFERROR(F13+F15+F16+F17+F18+F19+F20+F21+F22+F23+F24+F25+F26+F29+F30+F31+F32+F33+F37+F39+F40+F41+F42+F43+F46+F47+F48+F49+F50+F51+F53+F54+F55, "NA")</f>
        <v>7903.37</v>
      </c>
      <c r="G57" s="96">
        <f>IFERROR(F57/F148, "NA")</f>
        <v>0.2575641884</v>
      </c>
      <c r="H57" s="115">
        <f>IFERROR(H13+H15+H16+H17+H18+H19+H20+H21+H22+H23+H24+H25+H26+H29+H30+H31+H32+H33+H37+H39+H40+H41+H42+H43+H46+H47+H48+H49+H50+H51+H53+H54+H55, "NA")</f>
        <v>6302.24</v>
      </c>
      <c r="I57" s="96">
        <f>IFERROR(H57/H148, "NA")</f>
        <v>0.2956603573</v>
      </c>
      <c r="J57" s="115">
        <f>IFERROR(J13+J15+J16+J17+J18+J19+J20+J21+J22+J23+J24+J25+J26+J29+J30+J31+J32+J33+J37+J39+J40+J41+J42+J43+J46+J47+J48+J49+J50+J51+J53+J54+J55, "NA")</f>
        <v>9163.35</v>
      </c>
      <c r="K57" s="96">
        <f>IFERROR(J57/J148, "NA")</f>
        <v>0.276026384</v>
      </c>
      <c r="L57" s="115">
        <f>IFERROR(L13+L15+L16+L17+L18+L19+L20+L21+L22+L23+L24+L25+L26+L29+L30+L31+L32+L33+L37+L39+L40+L41+L42+L43+L46+L47+L48+L49+L50+L51+L53+L54+L55, "NA")</f>
        <v>6793.41</v>
      </c>
      <c r="M57" s="96">
        <f>IFERROR(L57/L148, "NA")</f>
        <v>0.2603472492</v>
      </c>
      <c r="N57" s="115">
        <f>IFERROR(N13+N15+N16+N17+N18+N19+N20+N21+N22+N23+N24+N25+N26+N29+N30+N31+N32+N33+N37+N39+N40+N41+N42+N43+N46+N47+N48+N49+N50+N51+N53+N54+N55, "NA")</f>
        <v>6604.65</v>
      </c>
      <c r="O57" s="96">
        <f>IFERROR(N57/N148, "NA")</f>
        <v>0.2576457151</v>
      </c>
      <c r="P57" s="115">
        <f>IFERROR(P13+P15+P16+P17+P18+P19+P20+P21+P22+P23+P24+P25+P26+P29+P30+P31+P32+P33+P37+P39+P40+P41+P42+P43+P46+P47+P48+P49+P50+P51+P53+P54+P55, "NA")</f>
        <v>8680.56</v>
      </c>
      <c r="Q57" s="96">
        <f>IFERROR(P57/P148, "NA")</f>
        <v>0.2520623204</v>
      </c>
      <c r="R57" s="115">
        <f>IFERROR(R13+R15+R16+R17+R18+R19+R20+R21+R22+R23+R24+R25+R26+R29+R30+R31+R32+R33+R37+R39+R40+R41+R42+R43+R46+R47+R48+R49+R50+R51+R53+R54+R55, "NA")</f>
        <v>7359.83</v>
      </c>
      <c r="S57" s="96">
        <f>IFERROR(R57/R148, "NA")</f>
        <v>0.2577975038</v>
      </c>
      <c r="T57" s="115">
        <f>IFERROR(T13+T15+T16+T17+T18+T19+T20+T21+T22+T23+T24+T25+T26+T29+T30+T31+T32+T33+T37+T39+T40+T41+T42+T43+T46+T47+T48+T49+T50+T51+T53+T54+T55, "NA")</f>
        <v>7915.12</v>
      </c>
      <c r="U57" s="96">
        <f>IFERROR(T57/T148, "NA")</f>
        <v>0.2268443831</v>
      </c>
      <c r="V57" s="115">
        <f>IFERROR(V13+V15+V16+V17+V18+V19+V20+V21+V22+V23+V24+V25+V26+V29+V30+V31+V32+V33+V37+V39+V40+V41+V42+V43+V46+V47+V48+V49+V50+V51+V53+V54+V55, "NA")</f>
        <v>11232.98</v>
      </c>
      <c r="W57" s="96">
        <f>IFERROR(V57/V148, "NA")</f>
        <v>0.2470298853</v>
      </c>
      <c r="X57" s="115">
        <f>IFERROR(X13+X15+X16+X17+X18+X19+X20+X21+X22+X23+X24+X25+X26+X29+X30+X31+X32+X33+X37+X39+X40+X41+X42+X43+X46+X47+X48+X49+X50+X51+X53+X54+X55, "NA")</f>
        <v>9872.07</v>
      </c>
      <c r="Y57" s="96">
        <f>IFERROR(X57/X148, "NA")</f>
        <v>0.253436333</v>
      </c>
      <c r="Z57" s="115">
        <f>IFERROR(Z13+Z15+Z16+Z17+Z18+Z19+Z20+Z21+Z22+Z23+Z24+Z25+Z26+Z29+Z30+Z31+Z32+Z33+Z37+Z39+Z40+Z41+Z42+Z43+Z46+Z47+Z48+Z49+Z50+Z51+Z53+Z54+Z55, "NA")</f>
        <v>36380</v>
      </c>
      <c r="AA57" s="96">
        <f>IFERROR(Z57/Z148, "NA")</f>
        <v>0.2460332714</v>
      </c>
      <c r="AB57" s="115">
        <f t="shared" si="25"/>
        <v>9095</v>
      </c>
      <c r="AC57" s="96">
        <f>IFERROR(AB57/AB148, "NA")</f>
        <v>0.2460332714</v>
      </c>
      <c r="AD57" s="116">
        <f t="shared" si="26"/>
        <v>777.07</v>
      </c>
      <c r="AE57" s="117">
        <f>IFERROR(AD57/AD148, "NA")</f>
        <v>0.3912118672</v>
      </c>
      <c r="AF57" s="116">
        <f t="shared" si="27"/>
        <v>0.08543925234</v>
      </c>
      <c r="AG57" s="115">
        <f t="shared" si="28"/>
        <v>8452.74625</v>
      </c>
      <c r="AH57" s="96">
        <f>IFERROR(AG57/AG148, "NA")</f>
        <v>0.2530478524</v>
      </c>
      <c r="AI57" s="116">
        <f t="shared" si="29"/>
        <v>1419.32375</v>
      </c>
      <c r="AJ57" s="117">
        <f>IFERROR(AI57/AI148, "NA")</f>
        <v>0.2557748523</v>
      </c>
      <c r="AK57" s="116">
        <f t="shared" si="30"/>
        <v>0.1679127361</v>
      </c>
      <c r="AL57" s="117">
        <f>IFERROR(AK57/AK148, "NA")</f>
        <v>1.010776618</v>
      </c>
    </row>
    <row r="58" ht="3.75" customHeight="1">
      <c r="A58" s="74" t="s">
        <v>6</v>
      </c>
      <c r="B58" s="75"/>
      <c r="C58" s="76"/>
      <c r="D58" s="75"/>
      <c r="E58" s="76"/>
      <c r="F58" s="75"/>
      <c r="G58" s="76"/>
      <c r="H58" s="75"/>
      <c r="I58" s="76"/>
      <c r="J58" s="75"/>
      <c r="K58" s="76"/>
      <c r="L58" s="75"/>
      <c r="M58" s="76"/>
      <c r="N58" s="75"/>
      <c r="O58" s="76"/>
      <c r="P58" s="75"/>
      <c r="Q58" s="76"/>
      <c r="R58" s="75"/>
      <c r="S58" s="76"/>
      <c r="T58" s="75"/>
      <c r="U58" s="76"/>
      <c r="V58" s="75"/>
      <c r="W58" s="76"/>
      <c r="X58" s="75"/>
      <c r="Y58" s="76"/>
      <c r="Z58" s="75"/>
      <c r="AA58" s="76"/>
      <c r="AB58" s="75"/>
      <c r="AC58" s="76"/>
      <c r="AD58" s="77"/>
      <c r="AE58" s="78"/>
      <c r="AF58" s="77"/>
      <c r="AG58" s="75"/>
      <c r="AH58" s="76"/>
      <c r="AI58" s="77"/>
      <c r="AJ58" s="78"/>
      <c r="AK58" s="77"/>
      <c r="AL58" s="78"/>
    </row>
    <row r="59" ht="16.5" customHeight="1">
      <c r="A59" s="118" t="s">
        <v>121</v>
      </c>
      <c r="B59" s="119">
        <f>IFERROR(B9-B57, "NA")</f>
        <v>17753.13</v>
      </c>
      <c r="C59" s="107">
        <f>IFERROR(B59/B148, "NA")</f>
        <v>0.7392523333</v>
      </c>
      <c r="D59" s="119">
        <f>IFERROR(D9-D57, "NA")</f>
        <v>19363.74</v>
      </c>
      <c r="E59" s="107">
        <f>IFERROR(D59/D148, "NA")</f>
        <v>0.7023191642</v>
      </c>
      <c r="F59" s="119">
        <f>IFERROR(F9-F57, "NA")</f>
        <v>22781.68</v>
      </c>
      <c r="G59" s="107">
        <f>IFERROR(F59/F148, "NA")</f>
        <v>0.7424358116</v>
      </c>
      <c r="H59" s="119">
        <f>IFERROR(H9-H57, "NA")</f>
        <v>15013.57</v>
      </c>
      <c r="I59" s="107">
        <f>IFERROR(H59/H148, "NA")</f>
        <v>0.7043396427</v>
      </c>
      <c r="J59" s="119">
        <f>IFERROR(J9-J57, "NA")</f>
        <v>24034.02</v>
      </c>
      <c r="K59" s="107">
        <f>IFERROR(J59/J148, "NA")</f>
        <v>0.723973616</v>
      </c>
      <c r="L59" s="119">
        <f>IFERROR(L9-L57, "NA")</f>
        <v>19300.24</v>
      </c>
      <c r="M59" s="107">
        <f>IFERROR(L59/L148, "NA")</f>
        <v>0.7396527508</v>
      </c>
      <c r="N59" s="119">
        <f>IFERROR(N9-N57, "NA")</f>
        <v>19029.97</v>
      </c>
      <c r="O59" s="107">
        <f>IFERROR(N59/N148, "NA")</f>
        <v>0.7423542849</v>
      </c>
      <c r="P59" s="119">
        <f>IFERROR(P9-P57, "NA")</f>
        <v>25757.59</v>
      </c>
      <c r="Q59" s="107">
        <f>IFERROR(P59/P148, "NA")</f>
        <v>0.7479376796</v>
      </c>
      <c r="R59" s="119">
        <f>IFERROR(R9-R57, "NA")</f>
        <v>21189.05</v>
      </c>
      <c r="S59" s="107">
        <f>IFERROR(R59/R148, "NA")</f>
        <v>0.7422024962</v>
      </c>
      <c r="T59" s="119">
        <f>IFERROR(T9-T57, "NA")</f>
        <v>26977.17</v>
      </c>
      <c r="U59" s="107">
        <f>IFERROR(T59/T148, "NA")</f>
        <v>0.7731556169</v>
      </c>
      <c r="V59" s="119">
        <f>IFERROR(V9-V57, "NA")</f>
        <v>34239.17</v>
      </c>
      <c r="W59" s="107">
        <f>IFERROR(V59/V148, "NA")</f>
        <v>0.7529701147</v>
      </c>
      <c r="X59" s="119">
        <f>IFERROR(X9-X57, "NA")</f>
        <v>29080.79</v>
      </c>
      <c r="Y59" s="107">
        <f>IFERROR(X59/X148, "NA")</f>
        <v>0.746563667</v>
      </c>
      <c r="Z59" s="119">
        <f>IFERROR(Z9-Z57, "NA")</f>
        <v>111486.18</v>
      </c>
      <c r="AA59" s="107">
        <f>IFERROR(Z59/Z148, "NA")</f>
        <v>0.7539667286</v>
      </c>
      <c r="AB59" s="119">
        <f>IFERROR((R59+T59+V59+X59)/4, "NA")</f>
        <v>27871.545</v>
      </c>
      <c r="AC59" s="107">
        <f>IFERROR(AB59/AB148, "NA")</f>
        <v>0.7539667286</v>
      </c>
      <c r="AD59" s="70">
        <f>IFERROR(X59-AB59, "NA")</f>
        <v>1209.245</v>
      </c>
      <c r="AE59" s="71">
        <f>IFERROR(AD59/AD148, "NA")</f>
        <v>0.6087881328</v>
      </c>
      <c r="AF59" s="70">
        <f>IFERROR((X59-AB59)/AB59, "NA")</f>
        <v>0.04338636412</v>
      </c>
      <c r="AG59" s="119">
        <f>IFERROR((J59+L59+N59+P59+R59+T59+V59+X59)/8, "NA")</f>
        <v>24951</v>
      </c>
      <c r="AH59" s="107">
        <f>IFERROR(AG59/AG148, "NA")</f>
        <v>0.7469521476</v>
      </c>
      <c r="AI59" s="70">
        <f>IFERROR(X59-AG59, "NA")</f>
        <v>4129.79</v>
      </c>
      <c r="AJ59" s="71">
        <f>IFERROR(AI59/AI148, "NA")</f>
        <v>0.7442251477</v>
      </c>
      <c r="AK59" s="70">
        <f>IFERROR((X59-AG59)/AG59, "NA")</f>
        <v>0.1655160114</v>
      </c>
      <c r="AL59" s="71">
        <f>IFERROR(AK59/AK148, "NA")</f>
        <v>0.9963491638</v>
      </c>
    </row>
    <row r="60" ht="3.75" customHeight="1">
      <c r="A60" s="120" t="s">
        <v>6</v>
      </c>
      <c r="B60" s="121"/>
      <c r="C60" s="76"/>
      <c r="D60" s="121"/>
      <c r="E60" s="76"/>
      <c r="F60" s="121"/>
      <c r="G60" s="76"/>
      <c r="H60" s="121"/>
      <c r="I60" s="76"/>
      <c r="J60" s="121"/>
      <c r="K60" s="76"/>
      <c r="L60" s="121"/>
      <c r="M60" s="76"/>
      <c r="N60" s="121"/>
      <c r="O60" s="76"/>
      <c r="P60" s="121"/>
      <c r="Q60" s="76"/>
      <c r="R60" s="121"/>
      <c r="S60" s="76"/>
      <c r="T60" s="121"/>
      <c r="U60" s="76"/>
      <c r="V60" s="121"/>
      <c r="W60" s="76"/>
      <c r="X60" s="121"/>
      <c r="Y60" s="76"/>
      <c r="Z60" s="121"/>
      <c r="AA60" s="76"/>
      <c r="AB60" s="121"/>
      <c r="AC60" s="76"/>
      <c r="AD60" s="122"/>
      <c r="AE60" s="78"/>
      <c r="AF60" s="122"/>
      <c r="AG60" s="121"/>
      <c r="AH60" s="76"/>
      <c r="AI60" s="122"/>
      <c r="AJ60" s="78"/>
      <c r="AK60" s="122"/>
      <c r="AL60" s="78"/>
    </row>
    <row r="61" ht="16.5" customHeight="1">
      <c r="A61" s="17" t="s">
        <v>131</v>
      </c>
      <c r="B61" s="19"/>
      <c r="C61" s="13"/>
      <c r="D61" s="19"/>
      <c r="E61" s="13"/>
      <c r="F61" s="19"/>
      <c r="G61" s="13"/>
      <c r="H61" s="19"/>
      <c r="I61" s="13"/>
      <c r="J61" s="19"/>
      <c r="K61" s="13"/>
      <c r="L61" s="19"/>
      <c r="M61" s="13"/>
      <c r="N61" s="19"/>
      <c r="O61" s="13"/>
      <c r="P61" s="19"/>
      <c r="Q61" s="13"/>
      <c r="R61" s="19"/>
      <c r="S61" s="13"/>
      <c r="T61" s="19"/>
      <c r="U61" s="13"/>
      <c r="V61" s="19"/>
      <c r="W61" s="13"/>
      <c r="X61" s="19"/>
      <c r="Y61" s="13"/>
      <c r="Z61" s="19"/>
      <c r="AA61" s="13"/>
      <c r="AB61" s="19"/>
      <c r="AC61" s="13"/>
      <c r="AD61" s="24"/>
      <c r="AE61" s="25"/>
      <c r="AF61" s="24"/>
      <c r="AG61" s="19"/>
      <c r="AH61" s="13"/>
      <c r="AI61" s="24"/>
      <c r="AJ61" s="25"/>
      <c r="AK61" s="24"/>
      <c r="AL61" s="25"/>
    </row>
    <row r="62" ht="16.5" customHeight="1">
      <c r="A62" s="17" t="s">
        <v>131</v>
      </c>
      <c r="B62" s="19"/>
      <c r="C62" s="13"/>
      <c r="D62" s="19"/>
      <c r="E62" s="13"/>
      <c r="F62" s="19"/>
      <c r="G62" s="13"/>
      <c r="H62" s="19"/>
      <c r="I62" s="13"/>
      <c r="J62" s="19"/>
      <c r="K62" s="13"/>
      <c r="L62" s="19"/>
      <c r="M62" s="13"/>
      <c r="N62" s="19"/>
      <c r="O62" s="13"/>
      <c r="P62" s="19"/>
      <c r="Q62" s="13"/>
      <c r="R62" s="19"/>
      <c r="S62" s="13"/>
      <c r="T62" s="19"/>
      <c r="U62" s="13"/>
      <c r="V62" s="19"/>
      <c r="W62" s="13"/>
      <c r="X62" s="19"/>
      <c r="Y62" s="13"/>
      <c r="Z62" s="19"/>
      <c r="AA62" s="13"/>
      <c r="AB62" s="19"/>
      <c r="AC62" s="13"/>
      <c r="AD62" s="24"/>
      <c r="AE62" s="25"/>
      <c r="AF62" s="24"/>
      <c r="AG62" s="19"/>
      <c r="AH62" s="13"/>
      <c r="AI62" s="24"/>
      <c r="AJ62" s="25"/>
      <c r="AK62" s="24"/>
      <c r="AL62" s="25"/>
    </row>
    <row r="63" ht="16.5" hidden="1" customHeight="1">
      <c r="A63" s="26" t="s">
        <v>134</v>
      </c>
      <c r="B63" s="27">
        <v>0.0</v>
      </c>
      <c r="C63" s="23">
        <f>IFERROR(B63/B148, "NA")</f>
        <v>0</v>
      </c>
      <c r="D63" s="27">
        <v>0.0</v>
      </c>
      <c r="E63" s="23">
        <f>IFERROR(D63/D148, "NA")</f>
        <v>0</v>
      </c>
      <c r="F63" s="27">
        <v>0.0</v>
      </c>
      <c r="G63" s="23">
        <f>IFERROR(F63/F148, "NA")</f>
        <v>0</v>
      </c>
      <c r="H63" s="27">
        <v>0.0</v>
      </c>
      <c r="I63" s="23">
        <f>IFERROR(H63/H148, "NA")</f>
        <v>0</v>
      </c>
      <c r="J63" s="27">
        <v>0.0</v>
      </c>
      <c r="K63" s="23">
        <f>IFERROR(J63/J148, "NA")</f>
        <v>0</v>
      </c>
      <c r="L63" s="27">
        <v>0.0</v>
      </c>
      <c r="M63" s="23">
        <f>IFERROR(L63/L148, "NA")</f>
        <v>0</v>
      </c>
      <c r="N63" s="27">
        <v>0.0</v>
      </c>
      <c r="O63" s="23">
        <f>IFERROR(N63/N148, "NA")</f>
        <v>0</v>
      </c>
      <c r="P63" s="27">
        <v>0.0</v>
      </c>
      <c r="Q63" s="23">
        <f>IFERROR(P63/P148, "NA")</f>
        <v>0</v>
      </c>
      <c r="R63" s="27">
        <v>0.0</v>
      </c>
      <c r="S63" s="23">
        <f>IFERROR(R63/R148, "NA")</f>
        <v>0</v>
      </c>
      <c r="T63" s="27">
        <v>0.0</v>
      </c>
      <c r="U63" s="23">
        <f>IFERROR(T63/T148, "NA")</f>
        <v>0</v>
      </c>
      <c r="V63" s="27">
        <v>0.0</v>
      </c>
      <c r="W63" s="23">
        <f>IFERROR(V63/V148, "NA")</f>
        <v>0</v>
      </c>
      <c r="X63" s="27">
        <v>0.0</v>
      </c>
      <c r="Y63" s="23">
        <f>IFERROR(X63/X148, "NA")</f>
        <v>0</v>
      </c>
      <c r="Z63" s="27">
        <v>0.0</v>
      </c>
      <c r="AA63" s="23">
        <f>IFERROR(Z63/Z148, "NA")</f>
        <v>0</v>
      </c>
      <c r="AB63" s="59">
        <f>IFERROR((R63+T63+V63+X63)/4, "NA")</f>
        <v>0</v>
      </c>
      <c r="AC63" s="23">
        <f>IFERROR(AB63/AB148, "NA")</f>
        <v>0</v>
      </c>
      <c r="AD63" s="61">
        <f>IFERROR(X63-AB63, "NA")</f>
        <v>0</v>
      </c>
      <c r="AE63" s="63">
        <f>IFERROR(AD63/AD148, "NA")</f>
        <v>0</v>
      </c>
      <c r="AF63" s="61" t="str">
        <f>IFERROR((X63-AB63)/AB63, "NA")</f>
        <v>NA</v>
      </c>
      <c r="AG63" s="59">
        <f>IFERROR((J63+L63+N63+P63+R63+T63+V63+X63)/8, "NA")</f>
        <v>0</v>
      </c>
      <c r="AH63" s="23">
        <f>IFERROR(AG63/AG148, "NA")</f>
        <v>0</v>
      </c>
      <c r="AI63" s="61">
        <f>IFERROR(X63-AG63, "NA")</f>
        <v>0</v>
      </c>
      <c r="AJ63" s="63">
        <f>IFERROR(AI63/AI148, "NA")</f>
        <v>0</v>
      </c>
      <c r="AK63" s="61" t="str">
        <f>IFERROR((X63-AG63)/AG63, "NA")</f>
        <v>NA</v>
      </c>
      <c r="AL63" s="63" t="str">
        <f>IFERROR(AK63/AK148, "NA")</f>
        <v>NA</v>
      </c>
    </row>
    <row r="64" ht="16.5" customHeight="1">
      <c r="A64" s="17" t="s">
        <v>136</v>
      </c>
      <c r="B64" s="19"/>
      <c r="C64" s="13"/>
      <c r="D64" s="19"/>
      <c r="E64" s="13"/>
      <c r="F64" s="19"/>
      <c r="G64" s="13"/>
      <c r="H64" s="19"/>
      <c r="I64" s="13"/>
      <c r="J64" s="19"/>
      <c r="K64" s="13"/>
      <c r="L64" s="19"/>
      <c r="M64" s="13"/>
      <c r="N64" s="19"/>
      <c r="O64" s="13"/>
      <c r="P64" s="19"/>
      <c r="Q64" s="13"/>
      <c r="R64" s="19"/>
      <c r="S64" s="13"/>
      <c r="T64" s="19"/>
      <c r="U64" s="13"/>
      <c r="V64" s="19"/>
      <c r="W64" s="13"/>
      <c r="X64" s="19"/>
      <c r="Y64" s="13"/>
      <c r="Z64" s="19"/>
      <c r="AA64" s="13"/>
      <c r="AB64" s="19"/>
      <c r="AC64" s="13"/>
      <c r="AD64" s="24"/>
      <c r="AE64" s="25"/>
      <c r="AF64" s="24"/>
      <c r="AG64" s="19"/>
      <c r="AH64" s="13"/>
      <c r="AI64" s="24"/>
      <c r="AJ64" s="25"/>
      <c r="AK64" s="24"/>
      <c r="AL64" s="25"/>
    </row>
    <row r="65" ht="16.5" hidden="1" customHeight="1">
      <c r="A65" s="26" t="s">
        <v>137</v>
      </c>
      <c r="B65" s="27">
        <v>0.0</v>
      </c>
      <c r="C65" s="23">
        <f>IFERROR(B65/B148, "NA")</f>
        <v>0</v>
      </c>
      <c r="D65" s="27">
        <v>0.0</v>
      </c>
      <c r="E65" s="23">
        <f>IFERROR(D65/D148, "NA")</f>
        <v>0</v>
      </c>
      <c r="F65" s="27">
        <v>0.0</v>
      </c>
      <c r="G65" s="23">
        <f>IFERROR(F65/F148, "NA")</f>
        <v>0</v>
      </c>
      <c r="H65" s="27">
        <v>0.0</v>
      </c>
      <c r="I65" s="23">
        <f>IFERROR(H65/H148, "NA")</f>
        <v>0</v>
      </c>
      <c r="J65" s="27">
        <v>0.0</v>
      </c>
      <c r="K65" s="23">
        <f>IFERROR(J65/J148, "NA")</f>
        <v>0</v>
      </c>
      <c r="L65" s="27">
        <v>0.0</v>
      </c>
      <c r="M65" s="23">
        <f>IFERROR(L65/L148, "NA")</f>
        <v>0</v>
      </c>
      <c r="N65" s="27">
        <v>0.0</v>
      </c>
      <c r="O65" s="23">
        <f>IFERROR(N65/N148, "NA")</f>
        <v>0</v>
      </c>
      <c r="P65" s="27">
        <v>0.0</v>
      </c>
      <c r="Q65" s="23">
        <f>IFERROR(P65/P148, "NA")</f>
        <v>0</v>
      </c>
      <c r="R65" s="27">
        <v>0.0</v>
      </c>
      <c r="S65" s="23">
        <f>IFERROR(R65/R148, "NA")</f>
        <v>0</v>
      </c>
      <c r="T65" s="27">
        <v>0.0</v>
      </c>
      <c r="U65" s="23">
        <f>IFERROR(T65/T148, "NA")</f>
        <v>0</v>
      </c>
      <c r="V65" s="27">
        <v>0.0</v>
      </c>
      <c r="W65" s="23">
        <f>IFERROR(V65/V148, "NA")</f>
        <v>0</v>
      </c>
      <c r="X65" s="27">
        <v>0.0</v>
      </c>
      <c r="Y65" s="23">
        <f>IFERROR(X65/X148, "NA")</f>
        <v>0</v>
      </c>
      <c r="Z65" s="27">
        <v>0.0</v>
      </c>
      <c r="AA65" s="23">
        <f>IFERROR(Z65/Z148, "NA")</f>
        <v>0</v>
      </c>
      <c r="AB65" s="59">
        <f t="shared" ref="AB65:AB72" si="31">IFERROR((R65+T65+V65+X65)/4, "NA")</f>
        <v>0</v>
      </c>
      <c r="AC65" s="23">
        <f>IFERROR(AB65/AB148, "NA")</f>
        <v>0</v>
      </c>
      <c r="AD65" s="61">
        <f t="shared" ref="AD65:AD72" si="32">IFERROR(X65-AB65, "NA")</f>
        <v>0</v>
      </c>
      <c r="AE65" s="63">
        <f>IFERROR(AD65/AD148, "NA")</f>
        <v>0</v>
      </c>
      <c r="AF65" s="61" t="str">
        <f t="shared" ref="AF65:AF72" si="33">IFERROR((X65-AB65)/AB65, "NA")</f>
        <v>NA</v>
      </c>
      <c r="AG65" s="59">
        <f t="shared" ref="AG65:AG72" si="34">IFERROR((J65+L65+N65+P65+R65+T65+V65+X65)/8, "NA")</f>
        <v>0</v>
      </c>
      <c r="AH65" s="23">
        <f>IFERROR(AG65/AG148, "NA")</f>
        <v>0</v>
      </c>
      <c r="AI65" s="61">
        <f t="shared" ref="AI65:AI72" si="35">IFERROR(X65-AG65, "NA")</f>
        <v>0</v>
      </c>
      <c r="AJ65" s="63">
        <f>IFERROR(AI65/AI148, "NA")</f>
        <v>0</v>
      </c>
      <c r="AK65" s="61" t="str">
        <f t="shared" ref="AK65:AK72" si="36">IFERROR((X65-AG65)/AG65, "NA")</f>
        <v>NA</v>
      </c>
      <c r="AL65" s="63" t="str">
        <f>IFERROR(AK65/AK148, "NA")</f>
        <v>NA</v>
      </c>
    </row>
    <row r="66" ht="16.5" customHeight="1">
      <c r="A66" s="26" t="s">
        <v>144</v>
      </c>
      <c r="B66" s="27">
        <v>1410.0</v>
      </c>
      <c r="C66" s="23">
        <f>IFERROR(B66/B148, "NA")</f>
        <v>0.05871335308</v>
      </c>
      <c r="D66" s="27">
        <v>1410.0</v>
      </c>
      <c r="E66" s="23">
        <f>IFERROR(D66/D148, "NA")</f>
        <v>0.05114043163</v>
      </c>
      <c r="F66" s="27">
        <v>1410.0</v>
      </c>
      <c r="G66" s="23">
        <f>IFERROR(F66/F148, "NA")</f>
        <v>0.04595071541</v>
      </c>
      <c r="H66" s="27">
        <v>1410.0</v>
      </c>
      <c r="I66" s="23">
        <f>IFERROR(H66/H148, "NA")</f>
        <v>0.06614808445</v>
      </c>
      <c r="J66" s="27">
        <v>1410.0</v>
      </c>
      <c r="K66" s="23">
        <f>IFERROR(J66/J148, "NA")</f>
        <v>0.04247324412</v>
      </c>
      <c r="L66" s="27">
        <v>1410.0</v>
      </c>
      <c r="M66" s="23">
        <f>IFERROR(L66/L148, "NA")</f>
        <v>0.05403613523</v>
      </c>
      <c r="N66" s="27">
        <v>1410.0</v>
      </c>
      <c r="O66" s="23">
        <f>IFERROR(N66/N148, "NA")</f>
        <v>0.05500374103</v>
      </c>
      <c r="P66" s="27">
        <v>1410.0</v>
      </c>
      <c r="Q66" s="23">
        <f>IFERROR(P66/P148, "NA")</f>
        <v>0.04094296587</v>
      </c>
      <c r="R66" s="27">
        <v>1410.0</v>
      </c>
      <c r="S66" s="23">
        <f>IFERROR(R66/R148, "NA")</f>
        <v>0.04938897778</v>
      </c>
      <c r="T66" s="27">
        <v>1410.0</v>
      </c>
      <c r="U66" s="23">
        <f>IFERROR(T66/T148, "NA")</f>
        <v>0.0404100734</v>
      </c>
      <c r="V66" s="27">
        <v>1410.0</v>
      </c>
      <c r="W66" s="23">
        <f>IFERROR(V66/V148, "NA")</f>
        <v>0.03100799061</v>
      </c>
      <c r="X66" s="27">
        <v>1410.0</v>
      </c>
      <c r="Y66" s="23">
        <f>IFERROR(X66/X148, "NA")</f>
        <v>0.03619759884</v>
      </c>
      <c r="Z66" s="27">
        <v>5640.0</v>
      </c>
      <c r="AA66" s="23">
        <f>IFERROR(Z66/Z148, "NA")</f>
        <v>0.03814259623</v>
      </c>
      <c r="AB66" s="59">
        <f t="shared" si="31"/>
        <v>1410</v>
      </c>
      <c r="AC66" s="23">
        <f>IFERROR(AB66/AB148, "NA")</f>
        <v>0.03814259623</v>
      </c>
      <c r="AD66" s="61">
        <f t="shared" si="32"/>
        <v>0</v>
      </c>
      <c r="AE66" s="63">
        <f>IFERROR(AD66/AD148, "NA")</f>
        <v>0</v>
      </c>
      <c r="AF66" s="61">
        <f t="shared" si="33"/>
        <v>0</v>
      </c>
      <c r="AG66" s="59">
        <f t="shared" si="34"/>
        <v>1410</v>
      </c>
      <c r="AH66" s="23">
        <f>IFERROR(AG66/AG148, "NA")</f>
        <v>0.04221083436</v>
      </c>
      <c r="AI66" s="61">
        <f t="shared" si="35"/>
        <v>0</v>
      </c>
      <c r="AJ66" s="63">
        <f>IFERROR(AI66/AI148, "NA")</f>
        <v>0</v>
      </c>
      <c r="AK66" s="61">
        <f t="shared" si="36"/>
        <v>0</v>
      </c>
      <c r="AL66" s="63">
        <f>IFERROR(AK66/AK148, "NA")</f>
        <v>0</v>
      </c>
    </row>
    <row r="67" ht="16.5" hidden="1" customHeight="1">
      <c r="A67" s="26" t="s">
        <v>146</v>
      </c>
      <c r="B67" s="27">
        <v>0.0</v>
      </c>
      <c r="C67" s="23">
        <f>IFERROR(B67/B148, "NA")</f>
        <v>0</v>
      </c>
      <c r="D67" s="27">
        <v>0.0</v>
      </c>
      <c r="E67" s="23">
        <f>IFERROR(D67/D148, "NA")</f>
        <v>0</v>
      </c>
      <c r="F67" s="27">
        <v>0.0</v>
      </c>
      <c r="G67" s="23">
        <f>IFERROR(F67/F148, "NA")</f>
        <v>0</v>
      </c>
      <c r="H67" s="27">
        <v>0.0</v>
      </c>
      <c r="I67" s="23">
        <f>IFERROR(H67/H148, "NA")</f>
        <v>0</v>
      </c>
      <c r="J67" s="27">
        <v>0.0</v>
      </c>
      <c r="K67" s="23">
        <f>IFERROR(J67/J148, "NA")</f>
        <v>0</v>
      </c>
      <c r="L67" s="27">
        <v>0.0</v>
      </c>
      <c r="M67" s="23">
        <f>IFERROR(L67/L148, "NA")</f>
        <v>0</v>
      </c>
      <c r="N67" s="27">
        <v>0.0</v>
      </c>
      <c r="O67" s="23">
        <f>IFERROR(N67/N148, "NA")</f>
        <v>0</v>
      </c>
      <c r="P67" s="27">
        <v>0.0</v>
      </c>
      <c r="Q67" s="23">
        <f>IFERROR(P67/P148, "NA")</f>
        <v>0</v>
      </c>
      <c r="R67" s="27">
        <v>0.0</v>
      </c>
      <c r="S67" s="23">
        <f>IFERROR(R67/R148, "NA")</f>
        <v>0</v>
      </c>
      <c r="T67" s="27">
        <v>0.0</v>
      </c>
      <c r="U67" s="23">
        <f>IFERROR(T67/T148, "NA")</f>
        <v>0</v>
      </c>
      <c r="V67" s="27">
        <v>0.0</v>
      </c>
      <c r="W67" s="23">
        <f>IFERROR(V67/V148, "NA")</f>
        <v>0</v>
      </c>
      <c r="X67" s="27">
        <v>0.0</v>
      </c>
      <c r="Y67" s="23">
        <f>IFERROR(X67/X148, "NA")</f>
        <v>0</v>
      </c>
      <c r="Z67" s="27">
        <v>0.0</v>
      </c>
      <c r="AA67" s="23">
        <f>IFERROR(Z67/Z148, "NA")</f>
        <v>0</v>
      </c>
      <c r="AB67" s="59">
        <f t="shared" si="31"/>
        <v>0</v>
      </c>
      <c r="AC67" s="23">
        <f>IFERROR(AB67/AB148, "NA")</f>
        <v>0</v>
      </c>
      <c r="AD67" s="61">
        <f t="shared" si="32"/>
        <v>0</v>
      </c>
      <c r="AE67" s="63">
        <f>IFERROR(AD67/AD148, "NA")</f>
        <v>0</v>
      </c>
      <c r="AF67" s="61" t="str">
        <f t="shared" si="33"/>
        <v>NA</v>
      </c>
      <c r="AG67" s="59">
        <f t="shared" si="34"/>
        <v>0</v>
      </c>
      <c r="AH67" s="23">
        <f>IFERROR(AG67/AG148, "NA")</f>
        <v>0</v>
      </c>
      <c r="AI67" s="61">
        <f t="shared" si="35"/>
        <v>0</v>
      </c>
      <c r="AJ67" s="63">
        <f>IFERROR(AI67/AI148, "NA")</f>
        <v>0</v>
      </c>
      <c r="AK67" s="61" t="str">
        <f t="shared" si="36"/>
        <v>NA</v>
      </c>
      <c r="AL67" s="63" t="str">
        <f>IFERROR(AK67/AK148, "NA")</f>
        <v>NA</v>
      </c>
    </row>
    <row r="68" ht="16.5" customHeight="1">
      <c r="A68" s="26" t="s">
        <v>150</v>
      </c>
      <c r="B68" s="27">
        <v>4825.81</v>
      </c>
      <c r="C68" s="23">
        <f>IFERROR(B68/B148, "NA")</f>
        <v>0.2009499904</v>
      </c>
      <c r="D68" s="27">
        <v>5398.75</v>
      </c>
      <c r="E68" s="23">
        <f>IFERROR(D68/D148, "NA")</f>
        <v>0.1958116349</v>
      </c>
      <c r="F68" s="27">
        <v>5385.08</v>
      </c>
      <c r="G68" s="23">
        <f>IFERROR(F68/F148, "NA")</f>
        <v>0.175495233</v>
      </c>
      <c r="H68" s="27">
        <v>4862.8</v>
      </c>
      <c r="I68" s="23">
        <f>IFERROR(H68/H148, "NA")</f>
        <v>0.2281311383</v>
      </c>
      <c r="J68" s="27">
        <v>6149.54</v>
      </c>
      <c r="K68" s="23">
        <f>IFERROR(J68/J148, "NA")</f>
        <v>0.1852417827</v>
      </c>
      <c r="L68" s="27">
        <v>5010.9</v>
      </c>
      <c r="M68" s="23">
        <f>IFERROR(L68/L148, "NA")</f>
        <v>0.192035227</v>
      </c>
      <c r="N68" s="27">
        <v>5286.64</v>
      </c>
      <c r="O68" s="23">
        <f>IFERROR(N68/N148, "NA")</f>
        <v>0.2062304805</v>
      </c>
      <c r="P68" s="27">
        <v>5865.62</v>
      </c>
      <c r="Q68" s="23">
        <f>IFERROR(P68/P148, "NA")</f>
        <v>0.1703233188</v>
      </c>
      <c r="R68" s="27">
        <v>5271.86</v>
      </c>
      <c r="S68" s="23">
        <f>IFERROR(R68/R148, "NA")</f>
        <v>0.1846608343</v>
      </c>
      <c r="T68" s="27">
        <v>6400.76</v>
      </c>
      <c r="U68" s="23">
        <f>IFERROR(T68/T148, "NA")</f>
        <v>0.1834433911</v>
      </c>
      <c r="V68" s="27">
        <v>7511.98</v>
      </c>
      <c r="W68" s="23">
        <f>IFERROR(V68/V148, "NA")</f>
        <v>0.1651995782</v>
      </c>
      <c r="X68" s="27">
        <v>7870.29</v>
      </c>
      <c r="Y68" s="23">
        <f>IFERROR(X68/X148, "NA")</f>
        <v>0.202046525</v>
      </c>
      <c r="Z68" s="27">
        <v>27054.89</v>
      </c>
      <c r="AA68" s="23">
        <f>IFERROR(Z68/Z148, "NA")</f>
        <v>0.1829687492</v>
      </c>
      <c r="AB68" s="59">
        <f t="shared" si="31"/>
        <v>6763.7225</v>
      </c>
      <c r="AC68" s="23">
        <f>IFERROR(AB68/AB148, "NA")</f>
        <v>0.1829687492</v>
      </c>
      <c r="AD68" s="61">
        <f t="shared" si="32"/>
        <v>1106.5675</v>
      </c>
      <c r="AE68" s="63">
        <f>IFERROR(AD68/AD148, "NA")</f>
        <v>0.5570956772</v>
      </c>
      <c r="AF68" s="61">
        <f t="shared" si="33"/>
        <v>0.1636033264</v>
      </c>
      <c r="AG68" s="59">
        <f t="shared" si="34"/>
        <v>6170.94875</v>
      </c>
      <c r="AH68" s="23">
        <f>IFERROR(AG68/AG148, "NA")</f>
        <v>0.1847382238</v>
      </c>
      <c r="AI68" s="61">
        <f t="shared" si="35"/>
        <v>1699.34125</v>
      </c>
      <c r="AJ68" s="63">
        <f>IFERROR(AI68/AI148, "NA")</f>
        <v>0.3062365139</v>
      </c>
      <c r="AK68" s="61">
        <f t="shared" si="36"/>
        <v>0.2753776314</v>
      </c>
      <c r="AL68" s="63">
        <f>IFERROR(AK68/AK148, "NA")</f>
        <v>1.657678133</v>
      </c>
    </row>
    <row r="69" ht="16.5" customHeight="1">
      <c r="A69" s="26" t="s">
        <v>153</v>
      </c>
      <c r="B69" s="27">
        <v>0.0</v>
      </c>
      <c r="C69" s="23">
        <f>IFERROR(B69/B148, "NA")</f>
        <v>0</v>
      </c>
      <c r="D69" s="27">
        <v>42.45</v>
      </c>
      <c r="E69" s="23">
        <f>IFERROR(D69/D148, "NA")</f>
        <v>0.00153965342</v>
      </c>
      <c r="F69" s="27">
        <v>0.0</v>
      </c>
      <c r="G69" s="23">
        <f>IFERROR(F69/F148, "NA")</f>
        <v>0</v>
      </c>
      <c r="H69" s="27">
        <v>0.0</v>
      </c>
      <c r="I69" s="23">
        <f>IFERROR(H69/H148, "NA")</f>
        <v>0</v>
      </c>
      <c r="J69" s="27">
        <v>161.16</v>
      </c>
      <c r="K69" s="23">
        <f>IFERROR(J69/J148, "NA")</f>
        <v>0.004854601434</v>
      </c>
      <c r="L69" s="27">
        <v>202.45</v>
      </c>
      <c r="M69" s="23">
        <f>IFERROR(L69/L148, "NA")</f>
        <v>0.007758592608</v>
      </c>
      <c r="N69" s="27">
        <v>0.0</v>
      </c>
      <c r="O69" s="23">
        <f>IFERROR(N69/N148, "NA")</f>
        <v>0</v>
      </c>
      <c r="P69" s="27">
        <v>104.25</v>
      </c>
      <c r="Q69" s="23">
        <f>IFERROR(P69/P148, "NA")</f>
        <v>0.003027166093</v>
      </c>
      <c r="R69" s="27">
        <v>74.04</v>
      </c>
      <c r="S69" s="23">
        <f>IFERROR(R69/R148, "NA")</f>
        <v>0.002593446748</v>
      </c>
      <c r="T69" s="27">
        <v>0.0</v>
      </c>
      <c r="U69" s="23">
        <f>IFERROR(T69/T148, "NA")</f>
        <v>0</v>
      </c>
      <c r="V69" s="27">
        <v>211.99</v>
      </c>
      <c r="W69" s="23">
        <f>IFERROR(V69/V148, "NA")</f>
        <v>0.004661974417</v>
      </c>
      <c r="X69" s="27">
        <v>154.74</v>
      </c>
      <c r="Y69" s="23">
        <f>IFERROR(X69/X148, "NA")</f>
        <v>0.003972493932</v>
      </c>
      <c r="Z69" s="27">
        <v>440.77</v>
      </c>
      <c r="AA69" s="23">
        <f>IFERROR(Z69/Z148, "NA")</f>
        <v>0.002980870947</v>
      </c>
      <c r="AB69" s="59">
        <f t="shared" si="31"/>
        <v>110.1925</v>
      </c>
      <c r="AC69" s="23">
        <f>IFERROR(AB69/AB148, "NA")</f>
        <v>0.002980870947</v>
      </c>
      <c r="AD69" s="61">
        <f t="shared" si="32"/>
        <v>44.5475</v>
      </c>
      <c r="AE69" s="63">
        <f>IFERROR(AD69/AD148, "NA")</f>
        <v>0.02242720817</v>
      </c>
      <c r="AF69" s="61">
        <f t="shared" si="33"/>
        <v>0.4042698006</v>
      </c>
      <c r="AG69" s="59">
        <f t="shared" si="34"/>
        <v>113.57875</v>
      </c>
      <c r="AH69" s="23">
        <f>IFERROR(AG69/AG148, "NA")</f>
        <v>0.003400180002</v>
      </c>
      <c r="AI69" s="61">
        <f t="shared" si="35"/>
        <v>41.16125</v>
      </c>
      <c r="AJ69" s="63">
        <f>IFERROR(AI69/AI148, "NA")</f>
        <v>0.007417625923</v>
      </c>
      <c r="AK69" s="61">
        <f t="shared" si="36"/>
        <v>0.3624027382</v>
      </c>
      <c r="AL69" s="63">
        <f>IFERROR(AK69/AK148, "NA")</f>
        <v>2.181539188</v>
      </c>
    </row>
    <row r="70" ht="16.5" customHeight="1">
      <c r="A70" s="66" t="s">
        <v>156</v>
      </c>
      <c r="B70" s="67">
        <f>IFERROR(B65+B66+B67+B68+B69, "NA")</f>
        <v>6235.81</v>
      </c>
      <c r="C70" s="69">
        <f>IFERROR(B70/B148, "NA")</f>
        <v>0.2596633435</v>
      </c>
      <c r="D70" s="67">
        <f>IFERROR(D65+D66+D67+D68+D69, "NA")</f>
        <v>6851.2</v>
      </c>
      <c r="E70" s="69">
        <f>IFERROR(D70/D148, "NA")</f>
        <v>0.24849172</v>
      </c>
      <c r="F70" s="67">
        <f>IFERROR(F65+F66+F67+F68+F69, "NA")</f>
        <v>6795.08</v>
      </c>
      <c r="G70" s="69">
        <f>IFERROR(F70/F148, "NA")</f>
        <v>0.2214459484</v>
      </c>
      <c r="H70" s="67">
        <f>IFERROR(H65+H66+H67+H68+H69, "NA")</f>
        <v>6272.8</v>
      </c>
      <c r="I70" s="69">
        <f>IFERROR(H70/H148, "NA")</f>
        <v>0.2942792228</v>
      </c>
      <c r="J70" s="67">
        <f>IFERROR(J65+J66+J67+J68+J69, "NA")</f>
        <v>7720.7</v>
      </c>
      <c r="K70" s="69">
        <f>IFERROR(J70/J148, "NA")</f>
        <v>0.2325696283</v>
      </c>
      <c r="L70" s="67">
        <f>IFERROR(L65+L66+L67+L68+L69, "NA")</f>
        <v>6623.35</v>
      </c>
      <c r="M70" s="69">
        <f>IFERROR(L70/L148, "NA")</f>
        <v>0.2538299548</v>
      </c>
      <c r="N70" s="67">
        <f>IFERROR(N65+N66+N67+N68+N69, "NA")</f>
        <v>6696.64</v>
      </c>
      <c r="O70" s="69">
        <f>IFERROR(N70/N148, "NA")</f>
        <v>0.2612342215</v>
      </c>
      <c r="P70" s="67">
        <f>IFERROR(P65+P66+P67+P68+P69, "NA")</f>
        <v>7379.87</v>
      </c>
      <c r="Q70" s="69">
        <f>IFERROR(P70/P148, "NA")</f>
        <v>0.2142934507</v>
      </c>
      <c r="R70" s="67">
        <f>IFERROR(R65+R66+R67+R68+R69, "NA")</f>
        <v>6755.9</v>
      </c>
      <c r="S70" s="69">
        <f>IFERROR(R70/R148, "NA")</f>
        <v>0.2366432589</v>
      </c>
      <c r="T70" s="67">
        <f>IFERROR(T65+T66+T67+T68+T69, "NA")</f>
        <v>7810.76</v>
      </c>
      <c r="U70" s="69">
        <f>IFERROR(T70/T148, "NA")</f>
        <v>0.2238534645</v>
      </c>
      <c r="V70" s="67">
        <f>IFERROR(V65+V66+V67+V68+V69, "NA")</f>
        <v>9133.97</v>
      </c>
      <c r="W70" s="69">
        <f>IFERROR(V70/V148, "NA")</f>
        <v>0.2008695432</v>
      </c>
      <c r="X70" s="67">
        <f>IFERROR(X65+X66+X67+X68+X69, "NA")</f>
        <v>9435.03</v>
      </c>
      <c r="Y70" s="69">
        <f>IFERROR(X70/X148, "NA")</f>
        <v>0.2422166177</v>
      </c>
      <c r="Z70" s="67">
        <f>IFERROR(Z65+Z66+Z67+Z68+Z69, "NA")</f>
        <v>33135.66</v>
      </c>
      <c r="AA70" s="69">
        <f>IFERROR(Z70/Z148, "NA")</f>
        <v>0.2240922164</v>
      </c>
      <c r="AB70" s="67">
        <f t="shared" si="31"/>
        <v>8283.915</v>
      </c>
      <c r="AC70" s="69">
        <f>IFERROR(AB70/AB148, "NA")</f>
        <v>0.2240922164</v>
      </c>
      <c r="AD70" s="70">
        <f t="shared" si="32"/>
        <v>1151.115</v>
      </c>
      <c r="AE70" s="71">
        <f>IFERROR(AD70/AD148, "NA")</f>
        <v>0.5795228853</v>
      </c>
      <c r="AF70" s="70">
        <f t="shared" si="33"/>
        <v>0.1389578478</v>
      </c>
      <c r="AG70" s="67">
        <f t="shared" si="34"/>
        <v>7694.5275</v>
      </c>
      <c r="AH70" s="69">
        <f>IFERROR(AG70/AG148, "NA")</f>
        <v>0.2303492381</v>
      </c>
      <c r="AI70" s="70">
        <f t="shared" si="35"/>
        <v>1740.5025</v>
      </c>
      <c r="AJ70" s="71">
        <f>IFERROR(AI70/AI148, "NA")</f>
        <v>0.3136541398</v>
      </c>
      <c r="AK70" s="70">
        <f t="shared" si="36"/>
        <v>0.2262000493</v>
      </c>
      <c r="AL70" s="71">
        <f>IFERROR(AK70/AK148, "NA")</f>
        <v>1.361646092</v>
      </c>
    </row>
    <row r="71" ht="16.5" hidden="1" customHeight="1">
      <c r="A71" s="26" t="s">
        <v>162</v>
      </c>
      <c r="B71" s="27">
        <v>0.0</v>
      </c>
      <c r="C71" s="23">
        <f>IFERROR(B71/B148, "NA")</f>
        <v>0</v>
      </c>
      <c r="D71" s="27">
        <v>0.0</v>
      </c>
      <c r="E71" s="23">
        <f>IFERROR(D71/D148, "NA")</f>
        <v>0</v>
      </c>
      <c r="F71" s="27">
        <v>0.0</v>
      </c>
      <c r="G71" s="23">
        <f>IFERROR(F71/F148, "NA")</f>
        <v>0</v>
      </c>
      <c r="H71" s="27">
        <v>0.0</v>
      </c>
      <c r="I71" s="23">
        <f>IFERROR(H71/H148, "NA")</f>
        <v>0</v>
      </c>
      <c r="J71" s="27">
        <v>0.0</v>
      </c>
      <c r="K71" s="23">
        <f>IFERROR(J71/J148, "NA")</f>
        <v>0</v>
      </c>
      <c r="L71" s="27">
        <v>0.0</v>
      </c>
      <c r="M71" s="23">
        <f>IFERROR(L71/L148, "NA")</f>
        <v>0</v>
      </c>
      <c r="N71" s="27">
        <v>0.0</v>
      </c>
      <c r="O71" s="23">
        <f>IFERROR(N71/N148, "NA")</f>
        <v>0</v>
      </c>
      <c r="P71" s="27">
        <v>0.0</v>
      </c>
      <c r="Q71" s="23">
        <f>IFERROR(P71/P148, "NA")</f>
        <v>0</v>
      </c>
      <c r="R71" s="27">
        <v>0.0</v>
      </c>
      <c r="S71" s="23">
        <f>IFERROR(R71/R148, "NA")</f>
        <v>0</v>
      </c>
      <c r="T71" s="27">
        <v>0.0</v>
      </c>
      <c r="U71" s="23">
        <f>IFERROR(T71/T148, "NA")</f>
        <v>0</v>
      </c>
      <c r="V71" s="27">
        <v>0.0</v>
      </c>
      <c r="W71" s="23">
        <f>IFERROR(V71/V148, "NA")</f>
        <v>0</v>
      </c>
      <c r="X71" s="27">
        <v>0.0</v>
      </c>
      <c r="Y71" s="23">
        <f>IFERROR(X71/X148, "NA")</f>
        <v>0</v>
      </c>
      <c r="Z71" s="27">
        <v>0.0</v>
      </c>
      <c r="AA71" s="23">
        <f>IFERROR(Z71/Z148, "NA")</f>
        <v>0</v>
      </c>
      <c r="AB71" s="59">
        <f t="shared" si="31"/>
        <v>0</v>
      </c>
      <c r="AC71" s="23">
        <f>IFERROR(AB71/AB148, "NA")</f>
        <v>0</v>
      </c>
      <c r="AD71" s="61">
        <f t="shared" si="32"/>
        <v>0</v>
      </c>
      <c r="AE71" s="63">
        <f>IFERROR(AD71/AD148, "NA")</f>
        <v>0</v>
      </c>
      <c r="AF71" s="61" t="str">
        <f t="shared" si="33"/>
        <v>NA</v>
      </c>
      <c r="AG71" s="59">
        <f t="shared" si="34"/>
        <v>0</v>
      </c>
      <c r="AH71" s="23">
        <f>IFERROR(AG71/AG148, "NA")</f>
        <v>0</v>
      </c>
      <c r="AI71" s="61">
        <f t="shared" si="35"/>
        <v>0</v>
      </c>
      <c r="AJ71" s="63">
        <f>IFERROR(AI71/AI148, "NA")</f>
        <v>0</v>
      </c>
      <c r="AK71" s="61" t="str">
        <f t="shared" si="36"/>
        <v>NA</v>
      </c>
      <c r="AL71" s="63" t="str">
        <f>IFERROR(AK71/AK148, "NA")</f>
        <v>NA</v>
      </c>
    </row>
    <row r="72" ht="16.5" customHeight="1">
      <c r="A72" s="26" t="s">
        <v>167</v>
      </c>
      <c r="B72" s="27">
        <v>0.0</v>
      </c>
      <c r="C72" s="23">
        <f>IFERROR(B72/B148, "NA")</f>
        <v>0</v>
      </c>
      <c r="D72" s="27">
        <v>0.0</v>
      </c>
      <c r="E72" s="23">
        <f>IFERROR(D72/D148, "NA")</f>
        <v>0</v>
      </c>
      <c r="F72" s="27">
        <v>1159.0</v>
      </c>
      <c r="G72" s="23">
        <f>IFERROR(F72/F148, "NA")</f>
        <v>0.03777083629</v>
      </c>
      <c r="H72" s="27">
        <v>0.0</v>
      </c>
      <c r="I72" s="23">
        <f>IFERROR(H72/H148, "NA")</f>
        <v>0</v>
      </c>
      <c r="J72" s="27">
        <v>0.0</v>
      </c>
      <c r="K72" s="23">
        <f>IFERROR(J72/J148, "NA")</f>
        <v>0</v>
      </c>
      <c r="L72" s="27">
        <v>0.0</v>
      </c>
      <c r="M72" s="23">
        <f>IFERROR(L72/L148, "NA")</f>
        <v>0</v>
      </c>
      <c r="N72" s="27">
        <v>0.0</v>
      </c>
      <c r="O72" s="23">
        <f>IFERROR(N72/N148, "NA")</f>
        <v>0</v>
      </c>
      <c r="P72" s="27">
        <v>423.0</v>
      </c>
      <c r="Q72" s="23">
        <f>IFERROR(P72/P148, "NA")</f>
        <v>0.01228288976</v>
      </c>
      <c r="R72" s="27">
        <v>0.0</v>
      </c>
      <c r="S72" s="23">
        <f>IFERROR(R72/R148, "NA")</f>
        <v>0</v>
      </c>
      <c r="T72" s="27">
        <v>0.0</v>
      </c>
      <c r="U72" s="23">
        <f>IFERROR(T72/T148, "NA")</f>
        <v>0</v>
      </c>
      <c r="V72" s="27">
        <v>0.0</v>
      </c>
      <c r="W72" s="23">
        <f>IFERROR(V72/V148, "NA")</f>
        <v>0</v>
      </c>
      <c r="X72" s="27">
        <v>1159.0</v>
      </c>
      <c r="Y72" s="23">
        <f>IFERROR(X72/X148, "NA")</f>
        <v>0.02975391281</v>
      </c>
      <c r="Z72" s="27">
        <v>1159.0</v>
      </c>
      <c r="AA72" s="23">
        <f>IFERROR(Z72/Z148, "NA")</f>
        <v>0.007838168268</v>
      </c>
      <c r="AB72" s="59">
        <f t="shared" si="31"/>
        <v>289.75</v>
      </c>
      <c r="AC72" s="23">
        <f>IFERROR(AB72/AB148, "NA")</f>
        <v>0.007838168268</v>
      </c>
      <c r="AD72" s="61">
        <f t="shared" si="32"/>
        <v>869.25</v>
      </c>
      <c r="AE72" s="63">
        <f>IFERROR(AD72/AD148, "NA")</f>
        <v>0.4376194108</v>
      </c>
      <c r="AF72" s="61">
        <f t="shared" si="33"/>
        <v>3</v>
      </c>
      <c r="AG72" s="59">
        <f t="shared" si="34"/>
        <v>197.75</v>
      </c>
      <c r="AH72" s="23">
        <f>IFERROR(AG72/AG148, "NA")</f>
        <v>0.005919994677</v>
      </c>
      <c r="AI72" s="61">
        <f t="shared" si="35"/>
        <v>961.25</v>
      </c>
      <c r="AJ72" s="63">
        <f>IFERROR(AI72/AI148, "NA")</f>
        <v>0.1732258597</v>
      </c>
      <c r="AK72" s="61">
        <f t="shared" si="36"/>
        <v>4.860935525</v>
      </c>
      <c r="AL72" s="63">
        <f>IFERROR(AK72/AK148, "NA")</f>
        <v>29.26115126</v>
      </c>
    </row>
    <row r="73" ht="16.5" customHeight="1">
      <c r="A73" s="17" t="s">
        <v>175</v>
      </c>
      <c r="B73" s="19"/>
      <c r="C73" s="13"/>
      <c r="D73" s="19"/>
      <c r="E73" s="13"/>
      <c r="F73" s="19"/>
      <c r="G73" s="13"/>
      <c r="H73" s="19"/>
      <c r="I73" s="13"/>
      <c r="J73" s="19"/>
      <c r="K73" s="13"/>
      <c r="L73" s="19"/>
      <c r="M73" s="13"/>
      <c r="N73" s="19"/>
      <c r="O73" s="13"/>
      <c r="P73" s="19"/>
      <c r="Q73" s="13"/>
      <c r="R73" s="19"/>
      <c r="S73" s="13"/>
      <c r="T73" s="19"/>
      <c r="U73" s="13"/>
      <c r="V73" s="19"/>
      <c r="W73" s="13"/>
      <c r="X73" s="19"/>
      <c r="Y73" s="13"/>
      <c r="Z73" s="19"/>
      <c r="AA73" s="13"/>
      <c r="AB73" s="19"/>
      <c r="AC73" s="13"/>
      <c r="AD73" s="24"/>
      <c r="AE73" s="25"/>
      <c r="AF73" s="24"/>
      <c r="AG73" s="19"/>
      <c r="AH73" s="13"/>
      <c r="AI73" s="24"/>
      <c r="AJ73" s="25"/>
      <c r="AK73" s="24"/>
      <c r="AL73" s="25"/>
    </row>
    <row r="74" ht="16.5" customHeight="1">
      <c r="A74" s="26" t="s">
        <v>177</v>
      </c>
      <c r="B74" s="27">
        <v>690.23</v>
      </c>
      <c r="C74" s="23">
        <f>IFERROR(B74/B148, "NA")</f>
        <v>0.02874164376</v>
      </c>
      <c r="D74" s="27">
        <v>603.07</v>
      </c>
      <c r="E74" s="23">
        <f>IFERROR(D74/D148, "NA")</f>
        <v>0.02187323411</v>
      </c>
      <c r="F74" s="27">
        <v>595.38</v>
      </c>
      <c r="G74" s="23">
        <f>IFERROR(F74/F148, "NA")</f>
        <v>0.019402934</v>
      </c>
      <c r="H74" s="27">
        <v>558.34</v>
      </c>
      <c r="I74" s="23">
        <f>IFERROR(H74/H148, "NA")</f>
        <v>0.02619370317</v>
      </c>
      <c r="J74" s="27">
        <v>687.95</v>
      </c>
      <c r="K74" s="23">
        <f>IFERROR(J74/J148, "NA")</f>
        <v>0.02072302716</v>
      </c>
      <c r="L74" s="27">
        <v>594.36</v>
      </c>
      <c r="M74" s="23">
        <f>IFERROR(L74/L148, "NA")</f>
        <v>0.02277795556</v>
      </c>
      <c r="N74" s="27">
        <v>584.4</v>
      </c>
      <c r="O74" s="23">
        <f>IFERROR(N74/N148, "NA")</f>
        <v>0.02279729522</v>
      </c>
      <c r="P74" s="27">
        <v>644.23</v>
      </c>
      <c r="Q74" s="23">
        <f>IFERROR(P74/P148, "NA")</f>
        <v>0.01870687014</v>
      </c>
      <c r="R74" s="27">
        <v>576.63</v>
      </c>
      <c r="S74" s="23">
        <f>IFERROR(R74/R148, "NA")</f>
        <v>0.02019799025</v>
      </c>
      <c r="T74" s="27">
        <v>689.01</v>
      </c>
      <c r="U74" s="23">
        <f>IFERROR(T74/T148, "NA")</f>
        <v>0.01974676927</v>
      </c>
      <c r="V74" s="27">
        <v>781.94</v>
      </c>
      <c r="W74" s="23">
        <f>IFERROR(V74/V148, "NA")</f>
        <v>0.01719601998</v>
      </c>
      <c r="X74" s="27">
        <v>960.79</v>
      </c>
      <c r="Y74" s="23">
        <f>IFERROR(X74/X148, "NA")</f>
        <v>0.0246654546</v>
      </c>
      <c r="Z74" s="27">
        <v>3008.37</v>
      </c>
      <c r="AA74" s="23">
        <f>IFERROR(Z74/Z148, "NA")</f>
        <v>0.02034522025</v>
      </c>
      <c r="AB74" s="59">
        <f t="shared" ref="AB74:AB85" si="37">IFERROR((R74+T74+V74+X74)/4, "NA")</f>
        <v>752.0925</v>
      </c>
      <c r="AC74" s="23">
        <f>IFERROR(AB74/AB148, "NA")</f>
        <v>0.02034522025</v>
      </c>
      <c r="AD74" s="61">
        <f t="shared" ref="AD74:AD85" si="38">IFERROR(X74-AB74, "NA")</f>
        <v>208.6975</v>
      </c>
      <c r="AE74" s="63">
        <f>IFERROR(AD74/AD148, "NA")</f>
        <v>0.1050676756</v>
      </c>
      <c r="AF74" s="61">
        <f t="shared" ref="AF74:AF85" si="39">IFERROR((X74-AB74)/AB74, "NA")</f>
        <v>0.2774891386</v>
      </c>
      <c r="AG74" s="59">
        <f t="shared" ref="AG74:AG85" si="40">IFERROR((J74+L74+N74+P74+R74+T74+V74+X74)/8, "NA")</f>
        <v>689.91375</v>
      </c>
      <c r="AH74" s="23">
        <f>IFERROR(AG74/AG148, "NA")</f>
        <v>0.02065378371</v>
      </c>
      <c r="AI74" s="61">
        <f t="shared" ref="AI74:AI85" si="41">IFERROR(X74-AG74, "NA")</f>
        <v>270.87625</v>
      </c>
      <c r="AJ74" s="63">
        <f>IFERROR(AI74/AI148, "NA")</f>
        <v>0.04881432643</v>
      </c>
      <c r="AK74" s="61">
        <f t="shared" ref="AK74:AK85" si="42">IFERROR((X74-AG74)/AG74, "NA")</f>
        <v>0.3926233533</v>
      </c>
      <c r="AL74" s="63">
        <f>IFERROR(AK74/AK148, "NA")</f>
        <v>2.363456843</v>
      </c>
    </row>
    <row r="75" ht="16.5" hidden="1" customHeight="1">
      <c r="A75" s="26" t="s">
        <v>183</v>
      </c>
      <c r="B75" s="27">
        <v>0.0</v>
      </c>
      <c r="C75" s="23">
        <f>IFERROR(B75/B148, "NA")</f>
        <v>0</v>
      </c>
      <c r="D75" s="27">
        <v>0.0</v>
      </c>
      <c r="E75" s="23">
        <f>IFERROR(D75/D148, "NA")</f>
        <v>0</v>
      </c>
      <c r="F75" s="27">
        <v>0.0</v>
      </c>
      <c r="G75" s="23">
        <f>IFERROR(F75/F148, "NA")</f>
        <v>0</v>
      </c>
      <c r="H75" s="27">
        <v>0.0</v>
      </c>
      <c r="I75" s="23">
        <f>IFERROR(H75/H148, "NA")</f>
        <v>0</v>
      </c>
      <c r="J75" s="27">
        <v>0.0</v>
      </c>
      <c r="K75" s="23">
        <f>IFERROR(J75/J148, "NA")</f>
        <v>0</v>
      </c>
      <c r="L75" s="27">
        <v>0.0</v>
      </c>
      <c r="M75" s="23">
        <f>IFERROR(L75/L148, "NA")</f>
        <v>0</v>
      </c>
      <c r="N75" s="27">
        <v>0.0</v>
      </c>
      <c r="O75" s="23">
        <f>IFERROR(N75/N148, "NA")</f>
        <v>0</v>
      </c>
      <c r="P75" s="27">
        <v>0.0</v>
      </c>
      <c r="Q75" s="23">
        <f>IFERROR(P75/P148, "NA")</f>
        <v>0</v>
      </c>
      <c r="R75" s="27">
        <v>0.0</v>
      </c>
      <c r="S75" s="23">
        <f>IFERROR(R75/R148, "NA")</f>
        <v>0</v>
      </c>
      <c r="T75" s="27">
        <v>0.0</v>
      </c>
      <c r="U75" s="23">
        <f>IFERROR(T75/T148, "NA")</f>
        <v>0</v>
      </c>
      <c r="V75" s="27">
        <v>0.0</v>
      </c>
      <c r="W75" s="23">
        <f>IFERROR(V75/V148, "NA")</f>
        <v>0</v>
      </c>
      <c r="X75" s="27">
        <v>0.0</v>
      </c>
      <c r="Y75" s="23">
        <f>IFERROR(X75/X148, "NA")</f>
        <v>0</v>
      </c>
      <c r="Z75" s="27">
        <v>0.0</v>
      </c>
      <c r="AA75" s="23">
        <f>IFERROR(Z75/Z148, "NA")</f>
        <v>0</v>
      </c>
      <c r="AB75" s="59">
        <f t="shared" si="37"/>
        <v>0</v>
      </c>
      <c r="AC75" s="23">
        <f>IFERROR(AB75/AB148, "NA")</f>
        <v>0</v>
      </c>
      <c r="AD75" s="61">
        <f t="shared" si="38"/>
        <v>0</v>
      </c>
      <c r="AE75" s="63">
        <f>IFERROR(AD75/AD148, "NA")</f>
        <v>0</v>
      </c>
      <c r="AF75" s="61" t="str">
        <f t="shared" si="39"/>
        <v>NA</v>
      </c>
      <c r="AG75" s="59">
        <f t="shared" si="40"/>
        <v>0</v>
      </c>
      <c r="AH75" s="23">
        <f>IFERROR(AG75/AG148, "NA")</f>
        <v>0</v>
      </c>
      <c r="AI75" s="61">
        <f t="shared" si="41"/>
        <v>0</v>
      </c>
      <c r="AJ75" s="63">
        <f>IFERROR(AI75/AI148, "NA")</f>
        <v>0</v>
      </c>
      <c r="AK75" s="61" t="str">
        <f t="shared" si="42"/>
        <v>NA</v>
      </c>
      <c r="AL75" s="63" t="str">
        <f>IFERROR(AK75/AK148, "NA")</f>
        <v>NA</v>
      </c>
    </row>
    <row r="76" ht="16.5" hidden="1" customHeight="1">
      <c r="A76" s="26" t="s">
        <v>184</v>
      </c>
      <c r="B76" s="27">
        <v>0.0</v>
      </c>
      <c r="C76" s="23">
        <f>IFERROR(B76/B148, "NA")</f>
        <v>0</v>
      </c>
      <c r="D76" s="27">
        <v>0.0</v>
      </c>
      <c r="E76" s="23">
        <f>IFERROR(D76/D148, "NA")</f>
        <v>0</v>
      </c>
      <c r="F76" s="27">
        <v>0.0</v>
      </c>
      <c r="G76" s="23">
        <f>IFERROR(F76/F148, "NA")</f>
        <v>0</v>
      </c>
      <c r="H76" s="27">
        <v>0.0</v>
      </c>
      <c r="I76" s="23">
        <f>IFERROR(H76/H148, "NA")</f>
        <v>0</v>
      </c>
      <c r="J76" s="27">
        <v>0.0</v>
      </c>
      <c r="K76" s="23">
        <f>IFERROR(J76/J148, "NA")</f>
        <v>0</v>
      </c>
      <c r="L76" s="27">
        <v>0.0</v>
      </c>
      <c r="M76" s="23">
        <f>IFERROR(L76/L148, "NA")</f>
        <v>0</v>
      </c>
      <c r="N76" s="27">
        <v>0.0</v>
      </c>
      <c r="O76" s="23">
        <f>IFERROR(N76/N148, "NA")</f>
        <v>0</v>
      </c>
      <c r="P76" s="27">
        <v>0.0</v>
      </c>
      <c r="Q76" s="23">
        <f>IFERROR(P76/P148, "NA")</f>
        <v>0</v>
      </c>
      <c r="R76" s="27">
        <v>0.0</v>
      </c>
      <c r="S76" s="23">
        <f>IFERROR(R76/R148, "NA")</f>
        <v>0</v>
      </c>
      <c r="T76" s="27">
        <v>0.0</v>
      </c>
      <c r="U76" s="23">
        <f>IFERROR(T76/T148, "NA")</f>
        <v>0</v>
      </c>
      <c r="V76" s="27">
        <v>0.0</v>
      </c>
      <c r="W76" s="23">
        <f>IFERROR(V76/V148, "NA")</f>
        <v>0</v>
      </c>
      <c r="X76" s="27">
        <v>0.0</v>
      </c>
      <c r="Y76" s="23">
        <f>IFERROR(X76/X148, "NA")</f>
        <v>0</v>
      </c>
      <c r="Z76" s="27">
        <v>0.0</v>
      </c>
      <c r="AA76" s="23">
        <f>IFERROR(Z76/Z148, "NA")</f>
        <v>0</v>
      </c>
      <c r="AB76" s="59">
        <f t="shared" si="37"/>
        <v>0</v>
      </c>
      <c r="AC76" s="23">
        <f>IFERROR(AB76/AB148, "NA")</f>
        <v>0</v>
      </c>
      <c r="AD76" s="61">
        <f t="shared" si="38"/>
        <v>0</v>
      </c>
      <c r="AE76" s="63">
        <f>IFERROR(AD76/AD148, "NA")</f>
        <v>0</v>
      </c>
      <c r="AF76" s="61" t="str">
        <f t="shared" si="39"/>
        <v>NA</v>
      </c>
      <c r="AG76" s="59">
        <f t="shared" si="40"/>
        <v>0</v>
      </c>
      <c r="AH76" s="23">
        <f>IFERROR(AG76/AG148, "NA")</f>
        <v>0</v>
      </c>
      <c r="AI76" s="61">
        <f t="shared" si="41"/>
        <v>0</v>
      </c>
      <c r="AJ76" s="63">
        <f>IFERROR(AI76/AI148, "NA")</f>
        <v>0</v>
      </c>
      <c r="AK76" s="61" t="str">
        <f t="shared" si="42"/>
        <v>NA</v>
      </c>
      <c r="AL76" s="63" t="str">
        <f>IFERROR(AK76/AK148, "NA")</f>
        <v>NA</v>
      </c>
    </row>
    <row r="77" ht="16.5" hidden="1" customHeight="1">
      <c r="A77" s="26" t="s">
        <v>185</v>
      </c>
      <c r="B77" s="27">
        <v>0.0</v>
      </c>
      <c r="C77" s="23">
        <f>IFERROR(B77/B148, "NA")</f>
        <v>0</v>
      </c>
      <c r="D77" s="27">
        <v>0.0</v>
      </c>
      <c r="E77" s="23">
        <f>IFERROR(D77/D148, "NA")</f>
        <v>0</v>
      </c>
      <c r="F77" s="27">
        <v>0.0</v>
      </c>
      <c r="G77" s="23">
        <f>IFERROR(F77/F148, "NA")</f>
        <v>0</v>
      </c>
      <c r="H77" s="27">
        <v>0.0</v>
      </c>
      <c r="I77" s="23">
        <f>IFERROR(H77/H148, "NA")</f>
        <v>0</v>
      </c>
      <c r="J77" s="27">
        <v>0.0</v>
      </c>
      <c r="K77" s="23">
        <f>IFERROR(J77/J148, "NA")</f>
        <v>0</v>
      </c>
      <c r="L77" s="27">
        <v>0.0</v>
      </c>
      <c r="M77" s="23">
        <f>IFERROR(L77/L148, "NA")</f>
        <v>0</v>
      </c>
      <c r="N77" s="27">
        <v>0.0</v>
      </c>
      <c r="O77" s="23">
        <f>IFERROR(N77/N148, "NA")</f>
        <v>0</v>
      </c>
      <c r="P77" s="27">
        <v>0.0</v>
      </c>
      <c r="Q77" s="23">
        <f>IFERROR(P77/P148, "NA")</f>
        <v>0</v>
      </c>
      <c r="R77" s="27">
        <v>0.0</v>
      </c>
      <c r="S77" s="23">
        <f>IFERROR(R77/R148, "NA")</f>
        <v>0</v>
      </c>
      <c r="T77" s="27">
        <v>0.0</v>
      </c>
      <c r="U77" s="23">
        <f>IFERROR(T77/T148, "NA")</f>
        <v>0</v>
      </c>
      <c r="V77" s="27">
        <v>0.0</v>
      </c>
      <c r="W77" s="23">
        <f>IFERROR(V77/V148, "NA")</f>
        <v>0</v>
      </c>
      <c r="X77" s="27">
        <v>0.0</v>
      </c>
      <c r="Y77" s="23">
        <f>IFERROR(X77/X148, "NA")</f>
        <v>0</v>
      </c>
      <c r="Z77" s="27">
        <v>0.0</v>
      </c>
      <c r="AA77" s="23">
        <f>IFERROR(Z77/Z148, "NA")</f>
        <v>0</v>
      </c>
      <c r="AB77" s="59">
        <f t="shared" si="37"/>
        <v>0</v>
      </c>
      <c r="AC77" s="23">
        <f>IFERROR(AB77/AB148, "NA")</f>
        <v>0</v>
      </c>
      <c r="AD77" s="61">
        <f t="shared" si="38"/>
        <v>0</v>
      </c>
      <c r="AE77" s="63">
        <f>IFERROR(AD77/AD148, "NA")</f>
        <v>0</v>
      </c>
      <c r="AF77" s="61" t="str">
        <f t="shared" si="39"/>
        <v>NA</v>
      </c>
      <c r="AG77" s="59">
        <f t="shared" si="40"/>
        <v>0</v>
      </c>
      <c r="AH77" s="23">
        <f>IFERROR(AG77/AG148, "NA")</f>
        <v>0</v>
      </c>
      <c r="AI77" s="61">
        <f t="shared" si="41"/>
        <v>0</v>
      </c>
      <c r="AJ77" s="63">
        <f>IFERROR(AI77/AI148, "NA")</f>
        <v>0</v>
      </c>
      <c r="AK77" s="61" t="str">
        <f t="shared" si="42"/>
        <v>NA</v>
      </c>
      <c r="AL77" s="63" t="str">
        <f>IFERROR(AK77/AK148, "NA")</f>
        <v>NA</v>
      </c>
    </row>
    <row r="78" ht="16.5" hidden="1" customHeight="1">
      <c r="A78" s="26" t="s">
        <v>186</v>
      </c>
      <c r="B78" s="27">
        <v>0.0</v>
      </c>
      <c r="C78" s="23">
        <f>IFERROR(B78/B148, "NA")</f>
        <v>0</v>
      </c>
      <c r="D78" s="27">
        <v>0.0</v>
      </c>
      <c r="E78" s="23">
        <f>IFERROR(D78/D148, "NA")</f>
        <v>0</v>
      </c>
      <c r="F78" s="27">
        <v>0.0</v>
      </c>
      <c r="G78" s="23">
        <f>IFERROR(F78/F148, "NA")</f>
        <v>0</v>
      </c>
      <c r="H78" s="27">
        <v>0.0</v>
      </c>
      <c r="I78" s="23">
        <f>IFERROR(H78/H148, "NA")</f>
        <v>0</v>
      </c>
      <c r="J78" s="27">
        <v>0.0</v>
      </c>
      <c r="K78" s="23">
        <f>IFERROR(J78/J148, "NA")</f>
        <v>0</v>
      </c>
      <c r="L78" s="27">
        <v>0.0</v>
      </c>
      <c r="M78" s="23">
        <f>IFERROR(L78/L148, "NA")</f>
        <v>0</v>
      </c>
      <c r="N78" s="27">
        <v>0.0</v>
      </c>
      <c r="O78" s="23">
        <f>IFERROR(N78/N148, "NA")</f>
        <v>0</v>
      </c>
      <c r="P78" s="27">
        <v>0.0</v>
      </c>
      <c r="Q78" s="23">
        <f>IFERROR(P78/P148, "NA")</f>
        <v>0</v>
      </c>
      <c r="R78" s="27">
        <v>0.0</v>
      </c>
      <c r="S78" s="23">
        <f>IFERROR(R78/R148, "NA")</f>
        <v>0</v>
      </c>
      <c r="T78" s="27">
        <v>0.0</v>
      </c>
      <c r="U78" s="23">
        <f>IFERROR(T78/T148, "NA")</f>
        <v>0</v>
      </c>
      <c r="V78" s="27">
        <v>0.0</v>
      </c>
      <c r="W78" s="23">
        <f>IFERROR(V78/V148, "NA")</f>
        <v>0</v>
      </c>
      <c r="X78" s="27">
        <v>0.0</v>
      </c>
      <c r="Y78" s="23">
        <f>IFERROR(X78/X148, "NA")</f>
        <v>0</v>
      </c>
      <c r="Z78" s="27">
        <v>0.0</v>
      </c>
      <c r="AA78" s="23">
        <f>IFERROR(Z78/Z148, "NA")</f>
        <v>0</v>
      </c>
      <c r="AB78" s="59">
        <f t="shared" si="37"/>
        <v>0</v>
      </c>
      <c r="AC78" s="23">
        <f>IFERROR(AB78/AB148, "NA")</f>
        <v>0</v>
      </c>
      <c r="AD78" s="61">
        <f t="shared" si="38"/>
        <v>0</v>
      </c>
      <c r="AE78" s="63">
        <f>IFERROR(AD78/AD148, "NA")</f>
        <v>0</v>
      </c>
      <c r="AF78" s="61" t="str">
        <f t="shared" si="39"/>
        <v>NA</v>
      </c>
      <c r="AG78" s="59">
        <f t="shared" si="40"/>
        <v>0</v>
      </c>
      <c r="AH78" s="23">
        <f>IFERROR(AG78/AG148, "NA")</f>
        <v>0</v>
      </c>
      <c r="AI78" s="61">
        <f t="shared" si="41"/>
        <v>0</v>
      </c>
      <c r="AJ78" s="63">
        <f>IFERROR(AI78/AI148, "NA")</f>
        <v>0</v>
      </c>
      <c r="AK78" s="61" t="str">
        <f t="shared" si="42"/>
        <v>NA</v>
      </c>
      <c r="AL78" s="63" t="str">
        <f>IFERROR(AK78/AK148, "NA")</f>
        <v>NA</v>
      </c>
    </row>
    <row r="79" ht="16.5" hidden="1" customHeight="1">
      <c r="A79" s="26" t="s">
        <v>187</v>
      </c>
      <c r="B79" s="27">
        <v>0.0</v>
      </c>
      <c r="C79" s="23">
        <f>IFERROR(B79/B148, "NA")</f>
        <v>0</v>
      </c>
      <c r="D79" s="27">
        <v>0.0</v>
      </c>
      <c r="E79" s="23">
        <f>IFERROR(D79/D148, "NA")</f>
        <v>0</v>
      </c>
      <c r="F79" s="27">
        <v>0.0</v>
      </c>
      <c r="G79" s="23">
        <f>IFERROR(F79/F148, "NA")</f>
        <v>0</v>
      </c>
      <c r="H79" s="27">
        <v>0.0</v>
      </c>
      <c r="I79" s="23">
        <f>IFERROR(H79/H148, "NA")</f>
        <v>0</v>
      </c>
      <c r="J79" s="27">
        <v>0.0</v>
      </c>
      <c r="K79" s="23">
        <f>IFERROR(J79/J148, "NA")</f>
        <v>0</v>
      </c>
      <c r="L79" s="27">
        <v>0.0</v>
      </c>
      <c r="M79" s="23">
        <f>IFERROR(L79/L148, "NA")</f>
        <v>0</v>
      </c>
      <c r="N79" s="27">
        <v>0.0</v>
      </c>
      <c r="O79" s="23">
        <f>IFERROR(N79/N148, "NA")</f>
        <v>0</v>
      </c>
      <c r="P79" s="27">
        <v>0.0</v>
      </c>
      <c r="Q79" s="23">
        <f>IFERROR(P79/P148, "NA")</f>
        <v>0</v>
      </c>
      <c r="R79" s="27">
        <v>0.0</v>
      </c>
      <c r="S79" s="23">
        <f>IFERROR(R79/R148, "NA")</f>
        <v>0</v>
      </c>
      <c r="T79" s="27">
        <v>0.0</v>
      </c>
      <c r="U79" s="23">
        <f>IFERROR(T79/T148, "NA")</f>
        <v>0</v>
      </c>
      <c r="V79" s="27">
        <v>0.0</v>
      </c>
      <c r="W79" s="23">
        <f>IFERROR(V79/V148, "NA")</f>
        <v>0</v>
      </c>
      <c r="X79" s="27">
        <v>0.0</v>
      </c>
      <c r="Y79" s="23">
        <f>IFERROR(X79/X148, "NA")</f>
        <v>0</v>
      </c>
      <c r="Z79" s="27">
        <v>0.0</v>
      </c>
      <c r="AA79" s="23">
        <f>IFERROR(Z79/Z148, "NA")</f>
        <v>0</v>
      </c>
      <c r="AB79" s="59">
        <f t="shared" si="37"/>
        <v>0</v>
      </c>
      <c r="AC79" s="23">
        <f>IFERROR(AB79/AB148, "NA")</f>
        <v>0</v>
      </c>
      <c r="AD79" s="61">
        <f t="shared" si="38"/>
        <v>0</v>
      </c>
      <c r="AE79" s="63">
        <f>IFERROR(AD79/AD148, "NA")</f>
        <v>0</v>
      </c>
      <c r="AF79" s="61" t="str">
        <f t="shared" si="39"/>
        <v>NA</v>
      </c>
      <c r="AG79" s="59">
        <f t="shared" si="40"/>
        <v>0</v>
      </c>
      <c r="AH79" s="23">
        <f>IFERROR(AG79/AG148, "NA")</f>
        <v>0</v>
      </c>
      <c r="AI79" s="61">
        <f t="shared" si="41"/>
        <v>0</v>
      </c>
      <c r="AJ79" s="63">
        <f>IFERROR(AI79/AI148, "NA")</f>
        <v>0</v>
      </c>
      <c r="AK79" s="61" t="str">
        <f t="shared" si="42"/>
        <v>NA</v>
      </c>
      <c r="AL79" s="63" t="str">
        <f>IFERROR(AK79/AK148, "NA")</f>
        <v>NA</v>
      </c>
    </row>
    <row r="80" ht="16.5" hidden="1" customHeight="1">
      <c r="A80" s="26" t="s">
        <v>188</v>
      </c>
      <c r="B80" s="27">
        <v>0.0</v>
      </c>
      <c r="C80" s="23">
        <f>IFERROR(B80/B148, "NA")</f>
        <v>0</v>
      </c>
      <c r="D80" s="27">
        <v>0.0</v>
      </c>
      <c r="E80" s="23">
        <f>IFERROR(D80/D148, "NA")</f>
        <v>0</v>
      </c>
      <c r="F80" s="27">
        <v>0.0</v>
      </c>
      <c r="G80" s="23">
        <f>IFERROR(F80/F148, "NA")</f>
        <v>0</v>
      </c>
      <c r="H80" s="27">
        <v>0.0</v>
      </c>
      <c r="I80" s="23">
        <f>IFERROR(H80/H148, "NA")</f>
        <v>0</v>
      </c>
      <c r="J80" s="27">
        <v>0.0</v>
      </c>
      <c r="K80" s="23">
        <f>IFERROR(J80/J148, "NA")</f>
        <v>0</v>
      </c>
      <c r="L80" s="27">
        <v>0.0</v>
      </c>
      <c r="M80" s="23">
        <f>IFERROR(L80/L148, "NA")</f>
        <v>0</v>
      </c>
      <c r="N80" s="27">
        <v>0.0</v>
      </c>
      <c r="O80" s="23">
        <f>IFERROR(N80/N148, "NA")</f>
        <v>0</v>
      </c>
      <c r="P80" s="27">
        <v>0.0</v>
      </c>
      <c r="Q80" s="23">
        <f>IFERROR(P80/P148, "NA")</f>
        <v>0</v>
      </c>
      <c r="R80" s="27">
        <v>0.0</v>
      </c>
      <c r="S80" s="23">
        <f>IFERROR(R80/R148, "NA")</f>
        <v>0</v>
      </c>
      <c r="T80" s="27">
        <v>0.0</v>
      </c>
      <c r="U80" s="23">
        <f>IFERROR(T80/T148, "NA")</f>
        <v>0</v>
      </c>
      <c r="V80" s="27">
        <v>0.0</v>
      </c>
      <c r="W80" s="23">
        <f>IFERROR(V80/V148, "NA")</f>
        <v>0</v>
      </c>
      <c r="X80" s="27">
        <v>0.0</v>
      </c>
      <c r="Y80" s="23">
        <f>IFERROR(X80/X148, "NA")</f>
        <v>0</v>
      </c>
      <c r="Z80" s="27">
        <v>0.0</v>
      </c>
      <c r="AA80" s="23">
        <f>IFERROR(Z80/Z148, "NA")</f>
        <v>0</v>
      </c>
      <c r="AB80" s="59">
        <f t="shared" si="37"/>
        <v>0</v>
      </c>
      <c r="AC80" s="23">
        <f>IFERROR(AB80/AB148, "NA")</f>
        <v>0</v>
      </c>
      <c r="AD80" s="61">
        <f t="shared" si="38"/>
        <v>0</v>
      </c>
      <c r="AE80" s="63">
        <f>IFERROR(AD80/AD148, "NA")</f>
        <v>0</v>
      </c>
      <c r="AF80" s="61" t="str">
        <f t="shared" si="39"/>
        <v>NA</v>
      </c>
      <c r="AG80" s="59">
        <f t="shared" si="40"/>
        <v>0</v>
      </c>
      <c r="AH80" s="23">
        <f>IFERROR(AG80/AG148, "NA")</f>
        <v>0</v>
      </c>
      <c r="AI80" s="61">
        <f t="shared" si="41"/>
        <v>0</v>
      </c>
      <c r="AJ80" s="63">
        <f>IFERROR(AI80/AI148, "NA")</f>
        <v>0</v>
      </c>
      <c r="AK80" s="61" t="str">
        <f t="shared" si="42"/>
        <v>NA</v>
      </c>
      <c r="AL80" s="63" t="str">
        <f>IFERROR(AK80/AK148, "NA")</f>
        <v>NA</v>
      </c>
    </row>
    <row r="81" ht="16.5" customHeight="1">
      <c r="A81" s="66" t="s">
        <v>189</v>
      </c>
      <c r="B81" s="67">
        <f>IFERROR(B74+B75+B76+B77+B78+B79+B80, "NA")</f>
        <v>690.23</v>
      </c>
      <c r="C81" s="69">
        <f>IFERROR(B81/B148, "NA")</f>
        <v>0.02874164376</v>
      </c>
      <c r="D81" s="67">
        <f>IFERROR(D74+D75+D76+D77+D78+D79+D80, "NA")</f>
        <v>603.07</v>
      </c>
      <c r="E81" s="69">
        <f>IFERROR(D81/D148, "NA")</f>
        <v>0.02187323411</v>
      </c>
      <c r="F81" s="67">
        <f>IFERROR(F74+F75+F76+F77+F78+F79+F80, "NA")</f>
        <v>595.38</v>
      </c>
      <c r="G81" s="69">
        <f>IFERROR(F81/F148, "NA")</f>
        <v>0.019402934</v>
      </c>
      <c r="H81" s="67">
        <f>IFERROR(H74+H75+H76+H77+H78+H79+H80, "NA")</f>
        <v>558.34</v>
      </c>
      <c r="I81" s="69">
        <f>IFERROR(H81/H148, "NA")</f>
        <v>0.02619370317</v>
      </c>
      <c r="J81" s="67">
        <f>IFERROR(J74+J75+J76+J77+J78+J79+J80, "NA")</f>
        <v>687.95</v>
      </c>
      <c r="K81" s="69">
        <f>IFERROR(J81/J148, "NA")</f>
        <v>0.02072302716</v>
      </c>
      <c r="L81" s="67">
        <f>IFERROR(L74+L75+L76+L77+L78+L79+L80, "NA")</f>
        <v>594.36</v>
      </c>
      <c r="M81" s="69">
        <f>IFERROR(L81/L148, "NA")</f>
        <v>0.02277795556</v>
      </c>
      <c r="N81" s="67">
        <f>IFERROR(N74+N75+N76+N77+N78+N79+N80, "NA")</f>
        <v>584.4</v>
      </c>
      <c r="O81" s="69">
        <f>IFERROR(N81/N148, "NA")</f>
        <v>0.02279729522</v>
      </c>
      <c r="P81" s="67">
        <f>IFERROR(P74+P75+P76+P77+P78+P79+P80, "NA")</f>
        <v>644.23</v>
      </c>
      <c r="Q81" s="69">
        <f>IFERROR(P81/P148, "NA")</f>
        <v>0.01870687014</v>
      </c>
      <c r="R81" s="67">
        <f>IFERROR(R74+R75+R76+R77+R78+R79+R80, "NA")</f>
        <v>576.63</v>
      </c>
      <c r="S81" s="69">
        <f>IFERROR(R81/R148, "NA")</f>
        <v>0.02019799025</v>
      </c>
      <c r="T81" s="67">
        <f>IFERROR(T74+T75+T76+T77+T78+T79+T80, "NA")</f>
        <v>689.01</v>
      </c>
      <c r="U81" s="69">
        <f>IFERROR(T81/T148, "NA")</f>
        <v>0.01974676927</v>
      </c>
      <c r="V81" s="67">
        <f>IFERROR(V74+V75+V76+V77+V78+V79+V80, "NA")</f>
        <v>781.94</v>
      </c>
      <c r="W81" s="69">
        <f>IFERROR(V81/V148, "NA")</f>
        <v>0.01719601998</v>
      </c>
      <c r="X81" s="67">
        <f>IFERROR(X74+X75+X76+X77+X78+X79+X80, "NA")</f>
        <v>960.79</v>
      </c>
      <c r="Y81" s="69">
        <f>IFERROR(X81/X148, "NA")</f>
        <v>0.0246654546</v>
      </c>
      <c r="Z81" s="67">
        <f>IFERROR(Z74+Z75+Z76+Z77+Z78+Z79+Z80, "NA")</f>
        <v>3008.37</v>
      </c>
      <c r="AA81" s="69">
        <f>IFERROR(Z81/Z148, "NA")</f>
        <v>0.02034522025</v>
      </c>
      <c r="AB81" s="67">
        <f t="shared" si="37"/>
        <v>752.0925</v>
      </c>
      <c r="AC81" s="69">
        <f>IFERROR(AB81/AB148, "NA")</f>
        <v>0.02034522025</v>
      </c>
      <c r="AD81" s="70">
        <f t="shared" si="38"/>
        <v>208.6975</v>
      </c>
      <c r="AE81" s="71">
        <f>IFERROR(AD81/AD148, "NA")</f>
        <v>0.1050676756</v>
      </c>
      <c r="AF81" s="70">
        <f t="shared" si="39"/>
        <v>0.2774891386</v>
      </c>
      <c r="AG81" s="67">
        <f t="shared" si="40"/>
        <v>689.91375</v>
      </c>
      <c r="AH81" s="69">
        <f>IFERROR(AG81/AG148, "NA")</f>
        <v>0.02065378371</v>
      </c>
      <c r="AI81" s="70">
        <f t="shared" si="41"/>
        <v>270.87625</v>
      </c>
      <c r="AJ81" s="71">
        <f>IFERROR(AI81/AI148, "NA")</f>
        <v>0.04881432643</v>
      </c>
      <c r="AK81" s="70">
        <f t="shared" si="42"/>
        <v>0.3926233533</v>
      </c>
      <c r="AL81" s="71">
        <f>IFERROR(AK81/AK148, "NA")</f>
        <v>2.363456843</v>
      </c>
    </row>
    <row r="82" ht="16.5" customHeight="1">
      <c r="A82" s="26" t="s">
        <v>190</v>
      </c>
      <c r="B82" s="27">
        <v>0.0</v>
      </c>
      <c r="C82" s="23">
        <f>IFERROR(B82/B148, "NA")</f>
        <v>0</v>
      </c>
      <c r="D82" s="27">
        <v>0.0</v>
      </c>
      <c r="E82" s="23">
        <f>IFERROR(D82/D148, "NA")</f>
        <v>0</v>
      </c>
      <c r="F82" s="27">
        <v>0.0</v>
      </c>
      <c r="G82" s="23">
        <f>IFERROR(F82/F148, "NA")</f>
        <v>0</v>
      </c>
      <c r="H82" s="27">
        <v>248.0</v>
      </c>
      <c r="I82" s="23">
        <f>IFERROR(H82/H148, "NA")</f>
        <v>0.0116345567</v>
      </c>
      <c r="J82" s="27">
        <v>0.0</v>
      </c>
      <c r="K82" s="23">
        <f>IFERROR(J82/J148, "NA")</f>
        <v>0</v>
      </c>
      <c r="L82" s="27">
        <v>0.0</v>
      </c>
      <c r="M82" s="23">
        <f>IFERROR(L82/L148, "NA")</f>
        <v>0</v>
      </c>
      <c r="N82" s="27">
        <v>0.0</v>
      </c>
      <c r="O82" s="23">
        <f>IFERROR(N82/N148, "NA")</f>
        <v>0</v>
      </c>
      <c r="P82" s="27">
        <v>0.0</v>
      </c>
      <c r="Q82" s="23">
        <f>IFERROR(P82/P148, "NA")</f>
        <v>0</v>
      </c>
      <c r="R82" s="27">
        <v>260.0</v>
      </c>
      <c r="S82" s="23">
        <f>IFERROR(R82/R148, "NA")</f>
        <v>0.009107187392</v>
      </c>
      <c r="T82" s="27">
        <v>0.0</v>
      </c>
      <c r="U82" s="23">
        <f>IFERROR(T82/T148, "NA")</f>
        <v>0</v>
      </c>
      <c r="V82" s="27">
        <v>0.0</v>
      </c>
      <c r="W82" s="23">
        <f>IFERROR(V82/V148, "NA")</f>
        <v>0</v>
      </c>
      <c r="X82" s="27">
        <v>0.0</v>
      </c>
      <c r="Y82" s="23">
        <f>IFERROR(X82/X148, "NA")</f>
        <v>0</v>
      </c>
      <c r="Z82" s="27">
        <v>260.0</v>
      </c>
      <c r="AA82" s="23">
        <f>IFERROR(Z82/Z148, "NA")</f>
        <v>0.001758346635</v>
      </c>
      <c r="AB82" s="59">
        <f t="shared" si="37"/>
        <v>65</v>
      </c>
      <c r="AC82" s="23">
        <f>IFERROR(AB82/AB148, "NA")</f>
        <v>0.001758346635</v>
      </c>
      <c r="AD82" s="61">
        <f t="shared" si="38"/>
        <v>-65</v>
      </c>
      <c r="AE82" s="63">
        <f>IFERROR(AD82/AD148, "NA")</f>
        <v>-0.03272391338</v>
      </c>
      <c r="AF82" s="61">
        <f t="shared" si="39"/>
        <v>-1</v>
      </c>
      <c r="AG82" s="59">
        <f t="shared" si="40"/>
        <v>32.5</v>
      </c>
      <c r="AH82" s="23">
        <f>IFERROR(AG82/AG148, "NA")</f>
        <v>0.0009729447636</v>
      </c>
      <c r="AI82" s="61">
        <f t="shared" si="41"/>
        <v>-32.5</v>
      </c>
      <c r="AJ82" s="63">
        <f>IFERROR(AI82/AI148, "NA")</f>
        <v>-0.005856791096</v>
      </c>
      <c r="AK82" s="61">
        <f t="shared" si="42"/>
        <v>-1</v>
      </c>
      <c r="AL82" s="63">
        <f>IFERROR(AK82/AK148, "NA")</f>
        <v>-6.019654265</v>
      </c>
    </row>
    <row r="83" ht="16.5" hidden="1" customHeight="1">
      <c r="A83" s="26" t="s">
        <v>191</v>
      </c>
      <c r="B83" s="27">
        <v>0.0</v>
      </c>
      <c r="C83" s="23">
        <f>IFERROR(B83/B148, "NA")</f>
        <v>0</v>
      </c>
      <c r="D83" s="27">
        <v>0.0</v>
      </c>
      <c r="E83" s="23">
        <f>IFERROR(D83/D148, "NA")</f>
        <v>0</v>
      </c>
      <c r="F83" s="27">
        <v>0.0</v>
      </c>
      <c r="G83" s="23">
        <f>IFERROR(F83/F148, "NA")</f>
        <v>0</v>
      </c>
      <c r="H83" s="27">
        <v>0.0</v>
      </c>
      <c r="I83" s="23">
        <f>IFERROR(H83/H148, "NA")</f>
        <v>0</v>
      </c>
      <c r="J83" s="27">
        <v>0.0</v>
      </c>
      <c r="K83" s="23">
        <f>IFERROR(J83/J148, "NA")</f>
        <v>0</v>
      </c>
      <c r="L83" s="27">
        <v>0.0</v>
      </c>
      <c r="M83" s="23">
        <f>IFERROR(L83/L148, "NA")</f>
        <v>0</v>
      </c>
      <c r="N83" s="27">
        <v>0.0</v>
      </c>
      <c r="O83" s="23">
        <f>IFERROR(N83/N148, "NA")</f>
        <v>0</v>
      </c>
      <c r="P83" s="27">
        <v>0.0</v>
      </c>
      <c r="Q83" s="23">
        <f>IFERROR(P83/P148, "NA")</f>
        <v>0</v>
      </c>
      <c r="R83" s="27">
        <v>0.0</v>
      </c>
      <c r="S83" s="23">
        <f>IFERROR(R83/R148, "NA")</f>
        <v>0</v>
      </c>
      <c r="T83" s="27">
        <v>0.0</v>
      </c>
      <c r="U83" s="23">
        <f>IFERROR(T83/T148, "NA")</f>
        <v>0</v>
      </c>
      <c r="V83" s="27">
        <v>0.0</v>
      </c>
      <c r="W83" s="23">
        <f>IFERROR(V83/V148, "NA")</f>
        <v>0</v>
      </c>
      <c r="X83" s="27">
        <v>0.0</v>
      </c>
      <c r="Y83" s="23">
        <f>IFERROR(X83/X148, "NA")</f>
        <v>0</v>
      </c>
      <c r="Z83" s="27">
        <v>0.0</v>
      </c>
      <c r="AA83" s="23">
        <f>IFERROR(Z83/Z148, "NA")</f>
        <v>0</v>
      </c>
      <c r="AB83" s="59">
        <f t="shared" si="37"/>
        <v>0</v>
      </c>
      <c r="AC83" s="23">
        <f>IFERROR(AB83/AB148, "NA")</f>
        <v>0</v>
      </c>
      <c r="AD83" s="61">
        <f t="shared" si="38"/>
        <v>0</v>
      </c>
      <c r="AE83" s="63">
        <f>IFERROR(AD83/AD148, "NA")</f>
        <v>0</v>
      </c>
      <c r="AF83" s="61" t="str">
        <f t="shared" si="39"/>
        <v>NA</v>
      </c>
      <c r="AG83" s="59">
        <f t="shared" si="40"/>
        <v>0</v>
      </c>
      <c r="AH83" s="23">
        <f>IFERROR(AG83/AG148, "NA")</f>
        <v>0</v>
      </c>
      <c r="AI83" s="61">
        <f t="shared" si="41"/>
        <v>0</v>
      </c>
      <c r="AJ83" s="63">
        <f>IFERROR(AI83/AI148, "NA")</f>
        <v>0</v>
      </c>
      <c r="AK83" s="61" t="str">
        <f t="shared" si="42"/>
        <v>NA</v>
      </c>
      <c r="AL83" s="63" t="str">
        <f>IFERROR(AK83/AK148, "NA")</f>
        <v>NA</v>
      </c>
    </row>
    <row r="84" ht="16.5" customHeight="1">
      <c r="A84" s="66" t="s">
        <v>53</v>
      </c>
      <c r="B84" s="67">
        <f>IFERROR(B63+B65+B66+B67+B68+B69+B71+B72+B74+B75+B76+B77+B78+B79+B80+B82+B83, "NA")</f>
        <v>6926.04</v>
      </c>
      <c r="C84" s="69">
        <f>IFERROR(B84/B148, "NA")</f>
        <v>0.2884049872</v>
      </c>
      <c r="D84" s="67">
        <f>IFERROR(D63+D65+D66+D67+D68+D69+D71+D72+D74+D75+D76+D77+D78+D79+D80+D82+D83, "NA")</f>
        <v>7454.27</v>
      </c>
      <c r="E84" s="69">
        <f>IFERROR(D84/D148, "NA")</f>
        <v>0.2703649541</v>
      </c>
      <c r="F84" s="67">
        <f>IFERROR(F63+F65+F66+F67+F68+F69+F71+F72+F74+F75+F76+F77+F78+F79+F80+F82+F83, "NA")</f>
        <v>8549.46</v>
      </c>
      <c r="G84" s="69">
        <f>IFERROR(F84/F148, "NA")</f>
        <v>0.2786197187</v>
      </c>
      <c r="H84" s="67">
        <f>IFERROR(H63+H65+H66+H67+H68+H69+H71+H72+H74+H75+H76+H77+H78+H79+H80+H82+H83, "NA")</f>
        <v>7079.14</v>
      </c>
      <c r="I84" s="69">
        <f>IFERROR(H84/H148, "NA")</f>
        <v>0.3321074827</v>
      </c>
      <c r="J84" s="67">
        <f>IFERROR(J63+J65+J66+J67+J68+J69+J71+J72+J74+J75+J76+J77+J78+J79+J80+J82+J83, "NA")</f>
        <v>8408.65</v>
      </c>
      <c r="K84" s="69">
        <f>IFERROR(J84/J148, "NA")</f>
        <v>0.2532926554</v>
      </c>
      <c r="L84" s="67">
        <f>IFERROR(L63+L65+L66+L67+L68+L69+L71+L72+L74+L75+L76+L77+L78+L79+L80+L82+L83, "NA")</f>
        <v>7217.71</v>
      </c>
      <c r="M84" s="69">
        <f>IFERROR(L84/L148, "NA")</f>
        <v>0.2766079104</v>
      </c>
      <c r="N84" s="67">
        <f>IFERROR(N63+N65+N66+N67+N68+N69+N71+N72+N74+N75+N76+N77+N78+N79+N80+N82+N83, "NA")</f>
        <v>7281.04</v>
      </c>
      <c r="O84" s="69">
        <f>IFERROR(N84/N148, "NA")</f>
        <v>0.2840315168</v>
      </c>
      <c r="P84" s="67">
        <f>IFERROR(P63+P65+P66+P67+P68+P69+P71+P72+P74+P75+P76+P77+P78+P79+P80+P82+P83, "NA")</f>
        <v>8447.1</v>
      </c>
      <c r="Q84" s="69">
        <f>IFERROR(P84/P148, "NA")</f>
        <v>0.2452832106</v>
      </c>
      <c r="R84" s="67">
        <f>IFERROR(R63+R65+R66+R67+R68+R69+R71+R72+R74+R75+R76+R77+R78+R79+R80+R82+R83, "NA")</f>
        <v>7592.53</v>
      </c>
      <c r="S84" s="69">
        <f>IFERROR(R84/R148, "NA")</f>
        <v>0.2659484365</v>
      </c>
      <c r="T84" s="67">
        <f>IFERROR(T63+T65+T66+T67+T68+T69+T71+T72+T74+T75+T76+T77+T78+T79+T80+T82+T83, "NA")</f>
        <v>8499.77</v>
      </c>
      <c r="U84" s="69">
        <f>IFERROR(T84/T148, "NA")</f>
        <v>0.2436002337</v>
      </c>
      <c r="V84" s="67">
        <f>IFERROR(V63+V65+V66+V67+V68+V69+V71+V72+V74+V75+V76+V77+V78+V79+V80+V82+V83, "NA")</f>
        <v>9915.91</v>
      </c>
      <c r="W84" s="69">
        <f>IFERROR(V84/V148, "NA")</f>
        <v>0.2180655632</v>
      </c>
      <c r="X84" s="67">
        <f>IFERROR(X63+X65+X66+X67+X68+X69+X71+X72+X74+X75+X76+X77+X78+X79+X80+X82+X83, "NA")</f>
        <v>11554.82</v>
      </c>
      <c r="Y84" s="69">
        <f>IFERROR(X84/X148, "NA")</f>
        <v>0.2966359851</v>
      </c>
      <c r="Z84" s="67">
        <f>IFERROR(Z63+Z65+Z66+Z67+Z68+Z69+Z71+Z72+Z74+Z75+Z76+Z77+Z78+Z79+Z80+Z82+Z83, "NA")</f>
        <v>37563.03</v>
      </c>
      <c r="AA84" s="69">
        <f>IFERROR(Z84/Z148, "NA")</f>
        <v>0.2540339515</v>
      </c>
      <c r="AB84" s="67">
        <f t="shared" si="37"/>
        <v>9390.7575</v>
      </c>
      <c r="AC84" s="69">
        <f>IFERROR(AB84/AB148, "NA")</f>
        <v>0.2540339515</v>
      </c>
      <c r="AD84" s="70">
        <f t="shared" si="38"/>
        <v>2164.0625</v>
      </c>
      <c r="AE84" s="71">
        <f>IFERROR(AD84/AD148, "NA")</f>
        <v>1.089486058</v>
      </c>
      <c r="AF84" s="70">
        <f t="shared" si="39"/>
        <v>0.2304459997</v>
      </c>
      <c r="AG84" s="67">
        <f t="shared" si="40"/>
        <v>8614.69125</v>
      </c>
      <c r="AH84" s="69">
        <f>IFERROR(AG84/AG148, "NA")</f>
        <v>0.2578959613</v>
      </c>
      <c r="AI84" s="70">
        <f t="shared" si="41"/>
        <v>2940.12875</v>
      </c>
      <c r="AJ84" s="71">
        <f>IFERROR(AI84/AI148, "NA")</f>
        <v>0.5298375349</v>
      </c>
      <c r="AK84" s="70">
        <f t="shared" si="42"/>
        <v>0.3412924114</v>
      </c>
      <c r="AL84" s="71">
        <f>IFERROR(AK84/AK148, "NA")</f>
        <v>2.05446232</v>
      </c>
    </row>
    <row r="85" ht="16.5" customHeight="1">
      <c r="A85" s="66" t="s">
        <v>53</v>
      </c>
      <c r="B85" s="115">
        <f>IFERROR(B63+B65+B66+B67+B68+B69+B71+B72+B74+B75+B76+B77+B78+B79+B80+B82+B83, "NA")</f>
        <v>6926.04</v>
      </c>
      <c r="C85" s="96">
        <f>IFERROR(B85/B148, "NA")</f>
        <v>0.2884049872</v>
      </c>
      <c r="D85" s="115">
        <f>IFERROR(D63+D65+D66+D67+D68+D69+D71+D72+D74+D75+D76+D77+D78+D79+D80+D82+D83, "NA")</f>
        <v>7454.27</v>
      </c>
      <c r="E85" s="96">
        <f>IFERROR(D85/D148, "NA")</f>
        <v>0.2703649541</v>
      </c>
      <c r="F85" s="115">
        <f>IFERROR(F63+F65+F66+F67+F68+F69+F71+F72+F74+F75+F76+F77+F78+F79+F80+F82+F83, "NA")</f>
        <v>8549.46</v>
      </c>
      <c r="G85" s="96">
        <f>IFERROR(F85/F148, "NA")</f>
        <v>0.2786197187</v>
      </c>
      <c r="H85" s="115">
        <f>IFERROR(H63+H65+H66+H67+H68+H69+H71+H72+H74+H75+H76+H77+H78+H79+H80+H82+H83, "NA")</f>
        <v>7079.14</v>
      </c>
      <c r="I85" s="96">
        <f>IFERROR(H85/H148, "NA")</f>
        <v>0.3321074827</v>
      </c>
      <c r="J85" s="115">
        <f>IFERROR(J63+J65+J66+J67+J68+J69+J71+J72+J74+J75+J76+J77+J78+J79+J80+J82+J83, "NA")</f>
        <v>8408.65</v>
      </c>
      <c r="K85" s="96">
        <f>IFERROR(J85/J148, "NA")</f>
        <v>0.2532926554</v>
      </c>
      <c r="L85" s="115">
        <f>IFERROR(L63+L65+L66+L67+L68+L69+L71+L72+L74+L75+L76+L77+L78+L79+L80+L82+L83, "NA")</f>
        <v>7217.71</v>
      </c>
      <c r="M85" s="96">
        <f>IFERROR(L85/L148, "NA")</f>
        <v>0.2766079104</v>
      </c>
      <c r="N85" s="115">
        <f>IFERROR(N63+N65+N66+N67+N68+N69+N71+N72+N74+N75+N76+N77+N78+N79+N80+N82+N83, "NA")</f>
        <v>7281.04</v>
      </c>
      <c r="O85" s="96">
        <f>IFERROR(N85/N148, "NA")</f>
        <v>0.2840315168</v>
      </c>
      <c r="P85" s="115">
        <f>IFERROR(P63+P65+P66+P67+P68+P69+P71+P72+P74+P75+P76+P77+P78+P79+P80+P82+P83, "NA")</f>
        <v>8447.1</v>
      </c>
      <c r="Q85" s="96">
        <f>IFERROR(P85/P148, "NA")</f>
        <v>0.2452832106</v>
      </c>
      <c r="R85" s="115">
        <f>IFERROR(R63+R65+R66+R67+R68+R69+R71+R72+R74+R75+R76+R77+R78+R79+R80+R82+R83, "NA")</f>
        <v>7592.53</v>
      </c>
      <c r="S85" s="96">
        <f>IFERROR(R85/R148, "NA")</f>
        <v>0.2659484365</v>
      </c>
      <c r="T85" s="115">
        <f>IFERROR(T63+T65+T66+T67+T68+T69+T71+T72+T74+T75+T76+T77+T78+T79+T80+T82+T83, "NA")</f>
        <v>8499.77</v>
      </c>
      <c r="U85" s="96">
        <f>IFERROR(T85/T148, "NA")</f>
        <v>0.2436002337</v>
      </c>
      <c r="V85" s="115">
        <f>IFERROR(V63+V65+V66+V67+V68+V69+V71+V72+V74+V75+V76+V77+V78+V79+V80+V82+V83, "NA")</f>
        <v>9915.91</v>
      </c>
      <c r="W85" s="96">
        <f>IFERROR(V85/V148, "NA")</f>
        <v>0.2180655632</v>
      </c>
      <c r="X85" s="115">
        <f>IFERROR(X63+X65+X66+X67+X68+X69+X71+X72+X74+X75+X76+X77+X78+X79+X80+X82+X83, "NA")</f>
        <v>11554.82</v>
      </c>
      <c r="Y85" s="96">
        <f>IFERROR(X85/X148, "NA")</f>
        <v>0.2966359851</v>
      </c>
      <c r="Z85" s="115">
        <f>IFERROR(Z63+Z65+Z66+Z67+Z68+Z69+Z71+Z72+Z74+Z75+Z76+Z77+Z78+Z79+Z80+Z82+Z83, "NA")</f>
        <v>37563.03</v>
      </c>
      <c r="AA85" s="96">
        <f>IFERROR(Z85/Z148, "NA")</f>
        <v>0.2540339515</v>
      </c>
      <c r="AB85" s="115">
        <f t="shared" si="37"/>
        <v>9390.7575</v>
      </c>
      <c r="AC85" s="96">
        <f>IFERROR(AB85/AB148, "NA")</f>
        <v>0.2540339515</v>
      </c>
      <c r="AD85" s="116">
        <f t="shared" si="38"/>
        <v>2164.0625</v>
      </c>
      <c r="AE85" s="117">
        <f>IFERROR(AD85/AD148, "NA")</f>
        <v>1.089486058</v>
      </c>
      <c r="AF85" s="116">
        <f t="shared" si="39"/>
        <v>0.2304459997</v>
      </c>
      <c r="AG85" s="115">
        <f t="shared" si="40"/>
        <v>8614.69125</v>
      </c>
      <c r="AH85" s="96">
        <f>IFERROR(AG85/AG148, "NA")</f>
        <v>0.2578959613</v>
      </c>
      <c r="AI85" s="116">
        <f t="shared" si="41"/>
        <v>2940.12875</v>
      </c>
      <c r="AJ85" s="117">
        <f>IFERROR(AI85/AI148, "NA")</f>
        <v>0.5298375349</v>
      </c>
      <c r="AK85" s="116">
        <f t="shared" si="42"/>
        <v>0.3412924114</v>
      </c>
      <c r="AL85" s="117">
        <f>IFERROR(AK85/AK148, "NA")</f>
        <v>2.05446232</v>
      </c>
    </row>
    <row r="86" ht="3.75" customHeight="1">
      <c r="A86" s="120" t="s">
        <v>6</v>
      </c>
      <c r="B86" s="121"/>
      <c r="C86" s="76"/>
      <c r="D86" s="121"/>
      <c r="E86" s="76"/>
      <c r="F86" s="121"/>
      <c r="G86" s="76"/>
      <c r="H86" s="121"/>
      <c r="I86" s="76"/>
      <c r="J86" s="121"/>
      <c r="K86" s="76"/>
      <c r="L86" s="121"/>
      <c r="M86" s="76"/>
      <c r="N86" s="121"/>
      <c r="O86" s="76"/>
      <c r="P86" s="121"/>
      <c r="Q86" s="76"/>
      <c r="R86" s="121"/>
      <c r="S86" s="76"/>
      <c r="T86" s="121"/>
      <c r="U86" s="76"/>
      <c r="V86" s="121"/>
      <c r="W86" s="76"/>
      <c r="X86" s="121"/>
      <c r="Y86" s="76"/>
      <c r="Z86" s="121"/>
      <c r="AA86" s="76"/>
      <c r="AB86" s="121"/>
      <c r="AC86" s="76"/>
      <c r="AD86" s="122"/>
      <c r="AE86" s="78"/>
      <c r="AF86" s="122"/>
      <c r="AG86" s="121"/>
      <c r="AH86" s="76"/>
      <c r="AI86" s="122"/>
      <c r="AJ86" s="78"/>
      <c r="AK86" s="122"/>
      <c r="AL86" s="78"/>
    </row>
    <row r="87" ht="16.5" customHeight="1">
      <c r="A87" s="118" t="s">
        <v>54</v>
      </c>
      <c r="B87" s="119">
        <f>IFERROR(B59-B85, "NA")</f>
        <v>10827.09</v>
      </c>
      <c r="C87" s="107">
        <f>IFERROR(B87/B148, "NA")</f>
        <v>0.4508473461</v>
      </c>
      <c r="D87" s="119">
        <f>IFERROR(D59-D85, "NA")</f>
        <v>11909.47</v>
      </c>
      <c r="E87" s="107">
        <f>IFERROR(D87/D148, "NA")</f>
        <v>0.4319542101</v>
      </c>
      <c r="F87" s="119">
        <f>IFERROR(F59-F85, "NA")</f>
        <v>14232.22</v>
      </c>
      <c r="G87" s="107">
        <f>IFERROR(F87/F148, "NA")</f>
        <v>0.4638160929</v>
      </c>
      <c r="H87" s="119">
        <f>IFERROR(H59-H85, "NA")</f>
        <v>7934.43</v>
      </c>
      <c r="I87" s="107">
        <f>IFERROR(H87/H148, "NA")</f>
        <v>0.3722321601</v>
      </c>
      <c r="J87" s="119">
        <f>IFERROR(J59-J85, "NA")</f>
        <v>15625.37</v>
      </c>
      <c r="K87" s="107">
        <f>IFERROR(J87/J148, "NA")</f>
        <v>0.4706809606</v>
      </c>
      <c r="L87" s="119">
        <f>IFERROR(L59-L85, "NA")</f>
        <v>12082.53</v>
      </c>
      <c r="M87" s="107">
        <f>IFERROR(L87/L148, "NA")</f>
        <v>0.4630448404</v>
      </c>
      <c r="N87" s="119">
        <f>IFERROR(N59-N85, "NA")</f>
        <v>11748.93</v>
      </c>
      <c r="O87" s="107">
        <f>IFERROR(N87/N148, "NA")</f>
        <v>0.4583227682</v>
      </c>
      <c r="P87" s="119">
        <f>IFERROR(P59-P85, "NA")</f>
        <v>17310.49</v>
      </c>
      <c r="Q87" s="107">
        <f>IFERROR(P87/P148, "NA")</f>
        <v>0.502654469</v>
      </c>
      <c r="R87" s="119">
        <f>IFERROR(R59-R85, "NA")</f>
        <v>13596.52</v>
      </c>
      <c r="S87" s="107">
        <f>IFERROR(R87/R148, "NA")</f>
        <v>0.4762540597</v>
      </c>
      <c r="T87" s="119">
        <f>IFERROR(T59-T85, "NA")</f>
        <v>18477.4</v>
      </c>
      <c r="U87" s="107">
        <f>IFERROR(T87/T148, "NA")</f>
        <v>0.5295553832</v>
      </c>
      <c r="V87" s="119">
        <f>IFERROR(V59-V85, "NA")</f>
        <v>24323.26</v>
      </c>
      <c r="W87" s="107">
        <f>IFERROR(V87/V148, "NA")</f>
        <v>0.5349045515</v>
      </c>
      <c r="X87" s="119">
        <f>IFERROR(X59-X85, "NA")</f>
        <v>17525.97</v>
      </c>
      <c r="Y87" s="107">
        <f>IFERROR(X87/X148, "NA")</f>
        <v>0.4499276818</v>
      </c>
      <c r="Z87" s="119">
        <f>IFERROR(Z59-Z85, "NA")</f>
        <v>73923.15</v>
      </c>
      <c r="AA87" s="107">
        <f>IFERROR(Z87/Z148, "NA")</f>
        <v>0.4999327771</v>
      </c>
      <c r="AB87" s="119">
        <f>IFERROR((R87+T87+V87+X87)/4, "NA")</f>
        <v>18480.7875</v>
      </c>
      <c r="AC87" s="107">
        <f>IFERROR(AB87/AB148, "NA")</f>
        <v>0.4999327771</v>
      </c>
      <c r="AD87" s="70">
        <f>IFERROR(X87-AB87, "NA")</f>
        <v>-954.8175</v>
      </c>
      <c r="AE87" s="71">
        <f>IFERROR(AD87/AD148, "NA")</f>
        <v>-0.4806979256</v>
      </c>
      <c r="AF87" s="70">
        <f>IFERROR((X87-AB87)/AB87, "NA")</f>
        <v>-0.05166541199</v>
      </c>
      <c r="AG87" s="119">
        <f>IFERROR((J87+L87+N87+P87+R87+T87+V87+X87)/8, "NA")</f>
        <v>16336.30875</v>
      </c>
      <c r="AH87" s="107">
        <f>IFERROR(AG87/AG148, "NA")</f>
        <v>0.4890561863</v>
      </c>
      <c r="AI87" s="70">
        <f>IFERROR(X87-AG87, "NA")</f>
        <v>1189.66125</v>
      </c>
      <c r="AJ87" s="71">
        <f>IFERROR(AI87/AI148, "NA")</f>
        <v>0.2143876128</v>
      </c>
      <c r="AK87" s="70">
        <f>IFERROR((X87-AG87)/AG87, "NA")</f>
        <v>0.07282313699</v>
      </c>
      <c r="AL87" s="71">
        <f>IFERROR(AK87/AK148, "NA")</f>
        <v>0.4383701071</v>
      </c>
    </row>
    <row r="88" ht="3.75" customHeight="1">
      <c r="A88" s="120" t="s">
        <v>6</v>
      </c>
      <c r="B88" s="121"/>
      <c r="C88" s="76"/>
      <c r="D88" s="121"/>
      <c r="E88" s="76"/>
      <c r="F88" s="121"/>
      <c r="G88" s="76"/>
      <c r="H88" s="121"/>
      <c r="I88" s="76"/>
      <c r="J88" s="121"/>
      <c r="K88" s="76"/>
      <c r="L88" s="121"/>
      <c r="M88" s="76"/>
      <c r="N88" s="121"/>
      <c r="O88" s="76"/>
      <c r="P88" s="121"/>
      <c r="Q88" s="76"/>
      <c r="R88" s="121"/>
      <c r="S88" s="76"/>
      <c r="T88" s="121"/>
      <c r="U88" s="76"/>
      <c r="V88" s="121"/>
      <c r="W88" s="76"/>
      <c r="X88" s="121"/>
      <c r="Y88" s="76"/>
      <c r="Z88" s="121"/>
      <c r="AA88" s="76"/>
      <c r="AB88" s="121"/>
      <c r="AC88" s="76"/>
      <c r="AD88" s="122"/>
      <c r="AE88" s="78"/>
      <c r="AF88" s="122"/>
      <c r="AG88" s="121"/>
      <c r="AH88" s="76"/>
      <c r="AI88" s="122"/>
      <c r="AJ88" s="78"/>
      <c r="AK88" s="122"/>
      <c r="AL88" s="78"/>
    </row>
    <row r="89" ht="16.5" hidden="1" customHeight="1">
      <c r="A89" s="17" t="s">
        <v>193</v>
      </c>
      <c r="B89" s="19"/>
      <c r="C89" s="13"/>
      <c r="D89" s="19"/>
      <c r="E89" s="13"/>
      <c r="F89" s="19"/>
      <c r="G89" s="13"/>
      <c r="H89" s="19"/>
      <c r="I89" s="13"/>
      <c r="J89" s="19"/>
      <c r="K89" s="13"/>
      <c r="L89" s="19"/>
      <c r="M89" s="13"/>
      <c r="N89" s="19"/>
      <c r="O89" s="13"/>
      <c r="P89" s="19"/>
      <c r="Q89" s="13"/>
      <c r="R89" s="19"/>
      <c r="S89" s="13"/>
      <c r="T89" s="19"/>
      <c r="U89" s="13"/>
      <c r="V89" s="19"/>
      <c r="W89" s="13"/>
      <c r="X89" s="19"/>
      <c r="Y89" s="13"/>
      <c r="Z89" s="19"/>
      <c r="AA89" s="13"/>
      <c r="AB89" s="19"/>
      <c r="AC89" s="13"/>
      <c r="AD89" s="24"/>
      <c r="AE89" s="25"/>
      <c r="AF89" s="24"/>
      <c r="AG89" s="19"/>
      <c r="AH89" s="13"/>
      <c r="AI89" s="24"/>
      <c r="AJ89" s="25"/>
      <c r="AK89" s="24"/>
      <c r="AL89" s="25"/>
    </row>
    <row r="90" ht="16.5" hidden="1" customHeight="1">
      <c r="A90" s="26" t="s">
        <v>194</v>
      </c>
      <c r="B90" s="27">
        <v>598.3199999999999</v>
      </c>
      <c r="C90" s="23">
        <f>IFERROR(B90/B148, "NA")</f>
        <v>0.02491444923</v>
      </c>
      <c r="D90" s="27">
        <v>630.48</v>
      </c>
      <c r="E90" s="23">
        <f>IFERROR(D90/D148, "NA")</f>
        <v>0.0228673896</v>
      </c>
      <c r="F90" s="27">
        <v>979.48</v>
      </c>
      <c r="G90" s="23">
        <f>IFERROR(F90/F148, "NA")</f>
        <v>0.03192043031</v>
      </c>
      <c r="H90" s="27">
        <v>408.92999999999995</v>
      </c>
      <c r="I90" s="23">
        <f>IFERROR(H90/H148, "NA")</f>
        <v>0.0191843519</v>
      </c>
      <c r="J90" s="27">
        <v>421.49</v>
      </c>
      <c r="K90" s="23">
        <f>IFERROR(J90/J148, "NA")</f>
        <v>0.0126964877</v>
      </c>
      <c r="L90" s="27">
        <v>847.9499999999999</v>
      </c>
      <c r="M90" s="23">
        <f>IFERROR(L90/L148, "NA")</f>
        <v>0.03249641196</v>
      </c>
      <c r="N90" s="27">
        <v>286.53999999999996</v>
      </c>
      <c r="O90" s="23">
        <f>IFERROR(N90/N148, "NA")</f>
        <v>0.01117785245</v>
      </c>
      <c r="P90" s="27">
        <v>919.4900000000001</v>
      </c>
      <c r="Q90" s="23">
        <f>IFERROR(P90/P148, "NA")</f>
        <v>0.02669975013</v>
      </c>
      <c r="R90" s="27">
        <v>881.83</v>
      </c>
      <c r="S90" s="23">
        <f>IFERROR(R90/R148, "NA")</f>
        <v>0.03088842715</v>
      </c>
      <c r="T90" s="27">
        <v>995.46</v>
      </c>
      <c r="U90" s="23">
        <f>IFERROR(T90/T148, "NA")</f>
        <v>0.02852951182</v>
      </c>
      <c r="V90" s="27">
        <v>300.18</v>
      </c>
      <c r="W90" s="23">
        <f>IFERROR(V90/V148, "NA")</f>
        <v>0.006601403277</v>
      </c>
      <c r="X90" s="27">
        <v>830.85</v>
      </c>
      <c r="Y90" s="23">
        <f>IFERROR(X90/X148, "NA")</f>
        <v>0.02132962766</v>
      </c>
      <c r="Z90" s="27">
        <v>3008.32</v>
      </c>
      <c r="AA90" s="23">
        <f>IFERROR(Z90/Z148, "NA")</f>
        <v>0.02034488211</v>
      </c>
      <c r="AB90" s="59">
        <f t="shared" ref="AB90:AB99" si="43">IFERROR((R90+T90+V90+X90)/4, "NA")</f>
        <v>752.08</v>
      </c>
      <c r="AC90" s="23">
        <f>IFERROR(AB90/AB148, "NA")</f>
        <v>0.02034488211</v>
      </c>
      <c r="AD90" s="61">
        <f t="shared" ref="AD90:AD99" si="44">IFERROR(X90-AB90, "NA")</f>
        <v>78.77</v>
      </c>
      <c r="AE90" s="63">
        <f>IFERROR(AD90/AD148, "NA")</f>
        <v>0.03965634857</v>
      </c>
      <c r="AF90" s="61">
        <f t="shared" ref="AF90:AF99" si="45">IFERROR((X90-AB90)/AB90, "NA")</f>
        <v>0.1047361983</v>
      </c>
      <c r="AG90" s="59">
        <f t="shared" ref="AG90:AG99" si="46">IFERROR((J90+L90+N90+P90+R90+T90+V90+X90)/8, "NA")</f>
        <v>685.47375</v>
      </c>
      <c r="AH90" s="23">
        <f>IFERROR(AG90/AG148, "NA")</f>
        <v>0.02052086448</v>
      </c>
      <c r="AI90" s="61">
        <f t="shared" ref="AI90:AI99" si="47">IFERROR(X90-AG90, "NA")</f>
        <v>145.37625</v>
      </c>
      <c r="AJ90" s="63">
        <f>IFERROR(AI90/AI148, "NA")</f>
        <v>0.02619810235</v>
      </c>
      <c r="AK90" s="61">
        <f t="shared" ref="AK90:AK99" si="48">IFERROR((X90-AG90)/AG90, "NA")</f>
        <v>0.2120814254</v>
      </c>
      <c r="AL90" s="63">
        <f>IFERROR(AK90/AK148, "NA")</f>
        <v>1.276656857</v>
      </c>
    </row>
    <row r="91" ht="16.5" hidden="1" customHeight="1">
      <c r="A91" s="26" t="s">
        <v>195</v>
      </c>
      <c r="B91" s="27">
        <v>641.36</v>
      </c>
      <c r="C91" s="23">
        <f>IFERROR(B91/B148, "NA")</f>
        <v>0.02670666392</v>
      </c>
      <c r="D91" s="27">
        <v>1069.32</v>
      </c>
      <c r="E91" s="23">
        <f>IFERROR(D91/D148, "NA")</f>
        <v>0.03878403287</v>
      </c>
      <c r="F91" s="27">
        <v>983.35</v>
      </c>
      <c r="G91" s="23">
        <f>IFERROR(F91/F148, "NA")</f>
        <v>0.03204655036</v>
      </c>
      <c r="H91" s="27">
        <v>501.65</v>
      </c>
      <c r="I91" s="23">
        <f>IFERROR(H91/H148, "NA")</f>
        <v>0.02353417487</v>
      </c>
      <c r="J91" s="27">
        <v>584.32</v>
      </c>
      <c r="K91" s="23">
        <f>IFERROR(J91/J148, "NA")</f>
        <v>0.01760139433</v>
      </c>
      <c r="L91" s="27">
        <v>556.41</v>
      </c>
      <c r="M91" s="23">
        <f>IFERROR(L91/L148, "NA")</f>
        <v>0.02132357873</v>
      </c>
      <c r="N91" s="27">
        <v>1264.3</v>
      </c>
      <c r="O91" s="23">
        <f>IFERROR(N91/N148, "NA")</f>
        <v>0.04932002113</v>
      </c>
      <c r="P91" s="27">
        <v>2682.9900000000002</v>
      </c>
      <c r="Q91" s="23">
        <f>IFERROR(P91/P148, "NA")</f>
        <v>0.07790749503</v>
      </c>
      <c r="R91" s="27">
        <v>2161.82</v>
      </c>
      <c r="S91" s="23">
        <f>IFERROR(R91/R148, "NA")</f>
        <v>0.07572346096</v>
      </c>
      <c r="T91" s="27">
        <v>3066.11</v>
      </c>
      <c r="U91" s="23">
        <f>IFERROR(T91/T148, "NA")</f>
        <v>0.08787356748</v>
      </c>
      <c r="V91" s="27">
        <v>3212.94</v>
      </c>
      <c r="W91" s="23">
        <f>IFERROR(V91/V148, "NA")</f>
        <v>0.07065731442</v>
      </c>
      <c r="X91" s="27">
        <v>540.07</v>
      </c>
      <c r="Y91" s="23">
        <f>IFERROR(X91/X148, "NA")</f>
        <v>0.01386470724</v>
      </c>
      <c r="Z91" s="27">
        <v>8980.94</v>
      </c>
      <c r="AA91" s="23">
        <f>IFERROR(Z91/Z148, "NA")</f>
        <v>0.06073694472</v>
      </c>
      <c r="AB91" s="59">
        <f t="shared" si="43"/>
        <v>2245.235</v>
      </c>
      <c r="AC91" s="23">
        <f>IFERROR(AB91/AB148, "NA")</f>
        <v>0.06073694472</v>
      </c>
      <c r="AD91" s="61">
        <f t="shared" si="44"/>
        <v>-1705.165</v>
      </c>
      <c r="AE91" s="63">
        <f>IFERROR(AD91/AD148, "NA")</f>
        <v>-0.8584564885</v>
      </c>
      <c r="AF91" s="61">
        <f t="shared" si="45"/>
        <v>-0.7594594775</v>
      </c>
      <c r="AG91" s="59">
        <f t="shared" si="46"/>
        <v>1758.62</v>
      </c>
      <c r="AH91" s="23">
        <f>IFERROR(AG91/AG148, "NA")</f>
        <v>0.05264738832</v>
      </c>
      <c r="AI91" s="61">
        <f t="shared" si="47"/>
        <v>-1218.55</v>
      </c>
      <c r="AJ91" s="63">
        <f>IFERROR(AI91/AI148, "NA")</f>
        <v>-0.2195936243</v>
      </c>
      <c r="AK91" s="61">
        <f t="shared" si="48"/>
        <v>-0.6929012521</v>
      </c>
      <c r="AL91" s="63">
        <f>IFERROR(AK91/AK148, "NA")</f>
        <v>-4.171025977</v>
      </c>
    </row>
    <row r="92" ht="16.5" hidden="1" customHeight="1">
      <c r="A92" s="26" t="s">
        <v>196</v>
      </c>
      <c r="B92" s="27">
        <v>178.20000000000002</v>
      </c>
      <c r="C92" s="23">
        <f>IFERROR(B92/B148, "NA")</f>
        <v>0.007420368453</v>
      </c>
      <c r="D92" s="27">
        <v>425.88</v>
      </c>
      <c r="E92" s="23">
        <f>IFERROR(D92/D148, "NA")</f>
        <v>0.01544658654</v>
      </c>
      <c r="F92" s="27">
        <v>576.9</v>
      </c>
      <c r="G92" s="23">
        <f>IFERROR(F92/F148, "NA")</f>
        <v>0.01880068633</v>
      </c>
      <c r="H92" s="27">
        <v>229.09</v>
      </c>
      <c r="I92" s="23">
        <f>IFERROR(H92/H148, "NA")</f>
        <v>0.01074742175</v>
      </c>
      <c r="J92" s="27">
        <v>347.48999999999995</v>
      </c>
      <c r="K92" s="23">
        <f>IFERROR(J92/J148, "NA")</f>
        <v>0.01046739546</v>
      </c>
      <c r="L92" s="27">
        <v>371.44</v>
      </c>
      <c r="M92" s="23">
        <f>IFERROR(L92/L148, "NA")</f>
        <v>0.0142348809</v>
      </c>
      <c r="N92" s="27">
        <v>332.47</v>
      </c>
      <c r="O92" s="23">
        <f>IFERROR(N92/N148, "NA")</f>
        <v>0.01296957006</v>
      </c>
      <c r="P92" s="27">
        <v>315.09000000000003</v>
      </c>
      <c r="Q92" s="23">
        <f>IFERROR(P92/P148, "NA")</f>
        <v>0.009149446181</v>
      </c>
      <c r="R92" s="27">
        <v>461.26</v>
      </c>
      <c r="S92" s="23">
        <f>IFERROR(R92/R148, "NA")</f>
        <v>0.01615685099</v>
      </c>
      <c r="T92" s="27">
        <v>347.34</v>
      </c>
      <c r="U92" s="23">
        <f>IFERROR(T92/T148, "NA")</f>
        <v>0.009954634677</v>
      </c>
      <c r="V92" s="27">
        <v>523.0600000000001</v>
      </c>
      <c r="W92" s="23">
        <f>IFERROR(V92/V148, "NA")</f>
        <v>0.01150286494</v>
      </c>
      <c r="X92" s="27">
        <v>0.0</v>
      </c>
      <c r="Y92" s="23">
        <f>IFERROR(X92/X148, "NA")</f>
        <v>0</v>
      </c>
      <c r="Z92" s="27">
        <v>1331.6599999999999</v>
      </c>
      <c r="AA92" s="23">
        <f>IFERROR(Z92/Z148, "NA")</f>
        <v>0.009005845691</v>
      </c>
      <c r="AB92" s="59">
        <f t="shared" si="43"/>
        <v>332.915</v>
      </c>
      <c r="AC92" s="23">
        <f>IFERROR(AB92/AB148, "NA")</f>
        <v>0.009005845691</v>
      </c>
      <c r="AD92" s="61">
        <f t="shared" si="44"/>
        <v>-332.915</v>
      </c>
      <c r="AE92" s="63">
        <f>IFERROR(AD92/AD148, "NA")</f>
        <v>-0.1676043326</v>
      </c>
      <c r="AF92" s="61">
        <f t="shared" si="45"/>
        <v>-1</v>
      </c>
      <c r="AG92" s="59">
        <f t="shared" si="46"/>
        <v>337.26875</v>
      </c>
      <c r="AH92" s="23">
        <f>IFERROR(AG92/AG148, "NA")</f>
        <v>0.01009673428</v>
      </c>
      <c r="AI92" s="61">
        <f t="shared" si="47"/>
        <v>-337.26875</v>
      </c>
      <c r="AJ92" s="63">
        <f>IFERROR(AI92/AI148, "NA")</f>
        <v>-0.0607788496</v>
      </c>
      <c r="AK92" s="61">
        <f t="shared" si="48"/>
        <v>-1</v>
      </c>
      <c r="AL92" s="63">
        <f>IFERROR(AK92/AK148, "NA")</f>
        <v>-6.019654265</v>
      </c>
    </row>
    <row r="93" ht="16.5" hidden="1" customHeight="1">
      <c r="A93" s="26" t="s">
        <v>197</v>
      </c>
      <c r="B93" s="27">
        <v>2589.07</v>
      </c>
      <c r="C93" s="23">
        <f>IFERROR(B93/B148, "NA")</f>
        <v>0.1078106249</v>
      </c>
      <c r="D93" s="27">
        <v>2031.22</v>
      </c>
      <c r="E93" s="23">
        <f>IFERROR(D93/D148, "NA")</f>
        <v>0.07367196278</v>
      </c>
      <c r="F93" s="27">
        <v>2220.1499999999996</v>
      </c>
      <c r="G93" s="23">
        <f>IFERROR(F93/F148, "NA")</f>
        <v>0.07235282328</v>
      </c>
      <c r="H93" s="27">
        <v>1539.5200000000002</v>
      </c>
      <c r="I93" s="23">
        <f>IFERROR(H93/H148, "NA")</f>
        <v>0.07222432551</v>
      </c>
      <c r="J93" s="27">
        <v>3236.71</v>
      </c>
      <c r="K93" s="23">
        <f>IFERROR(J93/J148, "NA")</f>
        <v>0.09749898862</v>
      </c>
      <c r="L93" s="27">
        <v>1837.3899999999999</v>
      </c>
      <c r="M93" s="23">
        <f>IFERROR(L93/L148, "NA")</f>
        <v>0.07041521596</v>
      </c>
      <c r="N93" s="27">
        <v>2129.13</v>
      </c>
      <c r="O93" s="23">
        <f>IFERROR(N93/N148, "NA")</f>
        <v>0.08305681925</v>
      </c>
      <c r="P93" s="27">
        <v>3200.38</v>
      </c>
      <c r="Q93" s="23">
        <f>IFERROR(P93/P148, "NA")</f>
        <v>0.0929312405</v>
      </c>
      <c r="R93" s="27">
        <v>2893.3500000000004</v>
      </c>
      <c r="S93" s="23">
        <f>IFERROR(R93/R148, "NA")</f>
        <v>0.1013472332</v>
      </c>
      <c r="T93" s="27">
        <v>3339.5899999999997</v>
      </c>
      <c r="U93" s="23">
        <f>IFERROR(T93/T148, "NA")</f>
        <v>0.09571140215</v>
      </c>
      <c r="V93" s="27">
        <v>5264.54</v>
      </c>
      <c r="W93" s="23">
        <f>IFERROR(V93/V148, "NA")</f>
        <v>0.1157750403</v>
      </c>
      <c r="X93" s="27">
        <v>1959.7300000000002</v>
      </c>
      <c r="Y93" s="23">
        <f>IFERROR(X93/X148, "NA")</f>
        <v>0.05031029814</v>
      </c>
      <c r="Z93" s="27">
        <v>13457.21</v>
      </c>
      <c r="AA93" s="23">
        <f>IFERROR(Z93/Z148, "NA")</f>
        <v>0.0910093843</v>
      </c>
      <c r="AB93" s="59">
        <f t="shared" si="43"/>
        <v>3364.3025</v>
      </c>
      <c r="AC93" s="23">
        <f>IFERROR(AB93/AB148, "NA")</f>
        <v>0.0910093843</v>
      </c>
      <c r="AD93" s="61">
        <f t="shared" si="44"/>
        <v>-1404.5725</v>
      </c>
      <c r="AE93" s="63">
        <f>IFERROR(AD93/AD148, "NA")</f>
        <v>-0.7071247511</v>
      </c>
      <c r="AF93" s="61">
        <f t="shared" si="45"/>
        <v>-0.4174929276</v>
      </c>
      <c r="AG93" s="59">
        <f t="shared" si="46"/>
        <v>2982.6025</v>
      </c>
      <c r="AH93" s="23">
        <f>IFERROR(AG93/AG148, "NA")</f>
        <v>0.08928946106</v>
      </c>
      <c r="AI93" s="61">
        <f t="shared" si="47"/>
        <v>-1022.8725</v>
      </c>
      <c r="AJ93" s="63">
        <f>IFERROR(AI93/AI148, "NA")</f>
        <v>-0.1843307862</v>
      </c>
      <c r="AK93" s="61">
        <f t="shared" si="48"/>
        <v>-0.3429463028</v>
      </c>
      <c r="AL93" s="63">
        <f>IFERROR(AK93/AK148, "NA")</f>
        <v>-2.064418174</v>
      </c>
    </row>
    <row r="94" ht="16.5" hidden="1" customHeight="1">
      <c r="A94" s="26" t="s">
        <v>198</v>
      </c>
      <c r="B94" s="27">
        <v>565.55</v>
      </c>
      <c r="C94" s="23">
        <f>IFERROR(B94/B148, "NA")</f>
        <v>0.02354988428</v>
      </c>
      <c r="D94" s="27">
        <v>735.9</v>
      </c>
      <c r="E94" s="23">
        <f>IFERROR(D94/D148, "NA")</f>
        <v>0.02669095293</v>
      </c>
      <c r="F94" s="27">
        <v>747.16</v>
      </c>
      <c r="G94" s="23">
        <f>IFERROR(F94/F148, "NA")</f>
        <v>0.02434931669</v>
      </c>
      <c r="H94" s="27">
        <v>611.42</v>
      </c>
      <c r="I94" s="23">
        <f>IFERROR(H94/H148, "NA")</f>
        <v>0.02868387361</v>
      </c>
      <c r="J94" s="27">
        <v>833.58</v>
      </c>
      <c r="K94" s="23">
        <f>IFERROR(J94/J148, "NA")</f>
        <v>0.02510982045</v>
      </c>
      <c r="L94" s="27">
        <v>747.21</v>
      </c>
      <c r="M94" s="23">
        <f>IFERROR(L94/L148, "NA")</f>
        <v>0.02863570256</v>
      </c>
      <c r="N94" s="27">
        <v>632.5</v>
      </c>
      <c r="O94" s="23">
        <f>IFERROR(N94/N148, "NA")</f>
        <v>0.02467366397</v>
      </c>
      <c r="P94" s="27">
        <v>967.79</v>
      </c>
      <c r="Q94" s="23">
        <f>IFERROR(P94/P148, "NA")</f>
        <v>0.02810226449</v>
      </c>
      <c r="R94" s="27">
        <v>678.52</v>
      </c>
      <c r="S94" s="23">
        <f>IFERROR(R94/R148, "NA")</f>
        <v>0.02376695688</v>
      </c>
      <c r="T94" s="27">
        <v>903.7</v>
      </c>
      <c r="U94" s="23">
        <f>IFERROR(T94/T148, "NA")</f>
        <v>0.02589970449</v>
      </c>
      <c r="V94" s="27">
        <v>1148.09</v>
      </c>
      <c r="W94" s="23">
        <f>IFERROR(V94/V148, "NA")</f>
        <v>0.02524820137</v>
      </c>
      <c r="X94" s="27">
        <v>629.06</v>
      </c>
      <c r="Y94" s="23">
        <f>IFERROR(X94/X148, "NA")</f>
        <v>0.01614926349</v>
      </c>
      <c r="Z94" s="27">
        <v>3359.37</v>
      </c>
      <c r="AA94" s="23">
        <f>IFERROR(Z94/Z148, "NA")</f>
        <v>0.02271898821</v>
      </c>
      <c r="AB94" s="59">
        <f t="shared" si="43"/>
        <v>839.8425</v>
      </c>
      <c r="AC94" s="23">
        <f>IFERROR(AB94/AB148, "NA")</f>
        <v>0.02271898821</v>
      </c>
      <c r="AD94" s="61">
        <f t="shared" si="44"/>
        <v>-210.7825</v>
      </c>
      <c r="AE94" s="63">
        <f>IFERROR(AD94/AD148, "NA")</f>
        <v>-0.106117358</v>
      </c>
      <c r="AF94" s="61">
        <f t="shared" si="45"/>
        <v>-0.2509786061</v>
      </c>
      <c r="AG94" s="59">
        <f t="shared" si="46"/>
        <v>817.55625</v>
      </c>
      <c r="AH94" s="23">
        <f>IFERROR(AG94/AG148, "NA")</f>
        <v>0.02447498684</v>
      </c>
      <c r="AI94" s="61">
        <f t="shared" si="47"/>
        <v>-188.49625</v>
      </c>
      <c r="AJ94" s="63">
        <f>IFERROR(AI94/AI148, "NA")</f>
        <v>-0.03396871257</v>
      </c>
      <c r="AK94" s="61">
        <f t="shared" si="48"/>
        <v>-0.2305605883</v>
      </c>
      <c r="AL94" s="63">
        <f>IFERROR(AK94/AK148, "NA")</f>
        <v>-1.387895029</v>
      </c>
    </row>
    <row r="95" ht="16.5" hidden="1" customHeight="1">
      <c r="A95" s="26" t="s">
        <v>199</v>
      </c>
      <c r="B95" s="27">
        <v>0.0</v>
      </c>
      <c r="C95" s="23">
        <f>IFERROR(B95/B148, "NA")</f>
        <v>0</v>
      </c>
      <c r="D95" s="27">
        <v>0.0</v>
      </c>
      <c r="E95" s="23">
        <f>IFERROR(D95/D148, "NA")</f>
        <v>0</v>
      </c>
      <c r="F95" s="27">
        <v>1101.83</v>
      </c>
      <c r="G95" s="23">
        <f>IFERROR(F95/F148, "NA")</f>
        <v>0.03590771402</v>
      </c>
      <c r="H95" s="27">
        <v>0.0</v>
      </c>
      <c r="I95" s="23">
        <f>IFERROR(H95/H148, "NA")</f>
        <v>0</v>
      </c>
      <c r="J95" s="27">
        <v>0.0</v>
      </c>
      <c r="K95" s="23">
        <f>IFERROR(J95/J148, "NA")</f>
        <v>0</v>
      </c>
      <c r="L95" s="27">
        <v>0.0</v>
      </c>
      <c r="M95" s="23">
        <f>IFERROR(L95/L148, "NA")</f>
        <v>0</v>
      </c>
      <c r="N95" s="27">
        <v>0.0</v>
      </c>
      <c r="O95" s="23">
        <f>IFERROR(N95/N148, "NA")</f>
        <v>0</v>
      </c>
      <c r="P95" s="27">
        <v>1521.4099999999999</v>
      </c>
      <c r="Q95" s="23">
        <f>IFERROR(P95/P148, "NA")</f>
        <v>0.04417804092</v>
      </c>
      <c r="R95" s="27">
        <v>0.0</v>
      </c>
      <c r="S95" s="23">
        <f>IFERROR(R95/R148, "NA")</f>
        <v>0</v>
      </c>
      <c r="T95" s="27">
        <v>0.0</v>
      </c>
      <c r="U95" s="23">
        <f>IFERROR(T95/T148, "NA")</f>
        <v>0</v>
      </c>
      <c r="V95" s="27">
        <v>0.0</v>
      </c>
      <c r="W95" s="23">
        <f>IFERROR(V95/V148, "NA")</f>
        <v>0</v>
      </c>
      <c r="X95" s="27">
        <v>1377.92</v>
      </c>
      <c r="Y95" s="23">
        <f>IFERROR(X95/X148, "NA")</f>
        <v>0.03537403929</v>
      </c>
      <c r="Z95" s="27">
        <v>1377.92</v>
      </c>
      <c r="AA95" s="23">
        <f>IFERROR(Z95/Z148, "NA")</f>
        <v>0.009318696135</v>
      </c>
      <c r="AB95" s="59">
        <f t="shared" si="43"/>
        <v>344.48</v>
      </c>
      <c r="AC95" s="23">
        <f>IFERROR(AB95/AB148, "NA")</f>
        <v>0.009318696135</v>
      </c>
      <c r="AD95" s="61">
        <f t="shared" si="44"/>
        <v>1033.44</v>
      </c>
      <c r="AE95" s="63">
        <f>IFERROR(AD95/AD148, "NA")</f>
        <v>0.520280016</v>
      </c>
      <c r="AF95" s="61">
        <f t="shared" si="45"/>
        <v>3</v>
      </c>
      <c r="AG95" s="59">
        <f t="shared" si="46"/>
        <v>362.41625</v>
      </c>
      <c r="AH95" s="23">
        <f>IFERROR(AG95/AG148, "NA")</f>
        <v>0.01084956901</v>
      </c>
      <c r="AI95" s="61">
        <f t="shared" si="47"/>
        <v>1015.50375</v>
      </c>
      <c r="AJ95" s="63">
        <f>IFERROR(AI95/AI148, "NA")</f>
        <v>0.1830028714</v>
      </c>
      <c r="AK95" s="61">
        <f t="shared" si="48"/>
        <v>2.802037022</v>
      </c>
      <c r="AL95" s="63">
        <f>IFERROR(AK95/AK148, "NA")</f>
        <v>16.86729411</v>
      </c>
    </row>
    <row r="96" ht="16.5" hidden="1" customHeight="1">
      <c r="A96" s="26" t="s">
        <v>200</v>
      </c>
      <c r="B96" s="27">
        <v>0.0</v>
      </c>
      <c r="C96" s="23">
        <f>IFERROR(B96/B148, "NA")</f>
        <v>0</v>
      </c>
      <c r="D96" s="27">
        <v>0.0</v>
      </c>
      <c r="E96" s="23">
        <f>IFERROR(D96/D148, "NA")</f>
        <v>0</v>
      </c>
      <c r="F96" s="27">
        <v>0.0</v>
      </c>
      <c r="G96" s="23">
        <f>IFERROR(F96/F148, "NA")</f>
        <v>0</v>
      </c>
      <c r="H96" s="27">
        <v>0.0</v>
      </c>
      <c r="I96" s="23">
        <f>IFERROR(H96/H148, "NA")</f>
        <v>0</v>
      </c>
      <c r="J96" s="27">
        <v>0.0</v>
      </c>
      <c r="K96" s="23">
        <f>IFERROR(J96/J148, "NA")</f>
        <v>0</v>
      </c>
      <c r="L96" s="27">
        <v>0.0</v>
      </c>
      <c r="M96" s="23">
        <f>IFERROR(L96/L148, "NA")</f>
        <v>0</v>
      </c>
      <c r="N96" s="27">
        <v>0.0</v>
      </c>
      <c r="O96" s="23">
        <f>IFERROR(N96/N148, "NA")</f>
        <v>0</v>
      </c>
      <c r="P96" s="27">
        <v>0.0</v>
      </c>
      <c r="Q96" s="23">
        <f>IFERROR(P96/P148, "NA")</f>
        <v>0</v>
      </c>
      <c r="R96" s="27">
        <v>0.0</v>
      </c>
      <c r="S96" s="23">
        <f>IFERROR(R96/R148, "NA")</f>
        <v>0</v>
      </c>
      <c r="T96" s="27">
        <v>0.0</v>
      </c>
      <c r="U96" s="23">
        <f>IFERROR(T96/T148, "NA")</f>
        <v>0</v>
      </c>
      <c r="V96" s="27">
        <v>0.0</v>
      </c>
      <c r="W96" s="23">
        <f>IFERROR(V96/V148, "NA")</f>
        <v>0</v>
      </c>
      <c r="X96" s="27">
        <v>0.0</v>
      </c>
      <c r="Y96" s="23">
        <f>IFERROR(X96/X148, "NA")</f>
        <v>0</v>
      </c>
      <c r="Z96" s="27">
        <v>0.0</v>
      </c>
      <c r="AA96" s="23">
        <f>IFERROR(Z96/Z148, "NA")</f>
        <v>0</v>
      </c>
      <c r="AB96" s="59">
        <f t="shared" si="43"/>
        <v>0</v>
      </c>
      <c r="AC96" s="23">
        <f>IFERROR(AB96/AB148, "NA")</f>
        <v>0</v>
      </c>
      <c r="AD96" s="61">
        <f t="shared" si="44"/>
        <v>0</v>
      </c>
      <c r="AE96" s="63">
        <f>IFERROR(AD96/AD148, "NA")</f>
        <v>0</v>
      </c>
      <c r="AF96" s="61" t="str">
        <f t="shared" si="45"/>
        <v>NA</v>
      </c>
      <c r="AG96" s="59">
        <f t="shared" si="46"/>
        <v>0</v>
      </c>
      <c r="AH96" s="23">
        <f>IFERROR(AG96/AG148, "NA")</f>
        <v>0</v>
      </c>
      <c r="AI96" s="61">
        <f t="shared" si="47"/>
        <v>0</v>
      </c>
      <c r="AJ96" s="63">
        <f>IFERROR(AI96/AI148, "NA")</f>
        <v>0</v>
      </c>
      <c r="AK96" s="61" t="str">
        <f t="shared" si="48"/>
        <v>NA</v>
      </c>
      <c r="AL96" s="63" t="str">
        <f>IFERROR(AK96/AK148, "NA")</f>
        <v>NA</v>
      </c>
    </row>
    <row r="97" ht="16.5" hidden="1" customHeight="1">
      <c r="A97" s="26" t="s">
        <v>201</v>
      </c>
      <c r="B97" s="27">
        <v>1548.47</v>
      </c>
      <c r="C97" s="23">
        <f>IFERROR(B97/B148, "NA")</f>
        <v>0.06447933748</v>
      </c>
      <c r="D97" s="27">
        <v>710.77</v>
      </c>
      <c r="E97" s="23">
        <f>IFERROR(D97/D148, "NA")</f>
        <v>0.02577949261</v>
      </c>
      <c r="F97" s="27">
        <v>205.49</v>
      </c>
      <c r="G97" s="23">
        <f>IFERROR(F97/F148, "NA")</f>
        <v>0.006696746461</v>
      </c>
      <c r="H97" s="27">
        <v>395.0</v>
      </c>
      <c r="I97" s="23">
        <f>IFERROR(H97/H148, "NA")</f>
        <v>0.01853084635</v>
      </c>
      <c r="J97" s="27">
        <v>0.0</v>
      </c>
      <c r="K97" s="23">
        <f>IFERROR(J97/J148, "NA")</f>
        <v>0</v>
      </c>
      <c r="L97" s="27">
        <v>488.57</v>
      </c>
      <c r="M97" s="23">
        <f>IFERROR(L97/L148, "NA")</f>
        <v>0.01872371247</v>
      </c>
      <c r="N97" s="27">
        <v>692.94</v>
      </c>
      <c r="O97" s="23">
        <f>IFERROR(N97/N148, "NA")</f>
        <v>0.02703141299</v>
      </c>
      <c r="P97" s="27">
        <v>505.48</v>
      </c>
      <c r="Q97" s="23">
        <f>IFERROR(P97/P148, "NA")</f>
        <v>0.01467790808</v>
      </c>
      <c r="R97" s="27">
        <v>600.36</v>
      </c>
      <c r="S97" s="23">
        <f>IFERROR(R97/R148, "NA")</f>
        <v>0.02102919624</v>
      </c>
      <c r="T97" s="27">
        <v>409.58</v>
      </c>
      <c r="U97" s="23">
        <f>IFERROR(T97/T148, "NA")</f>
        <v>0.01173840983</v>
      </c>
      <c r="V97" s="27">
        <v>684.3399999999999</v>
      </c>
      <c r="W97" s="23">
        <f>IFERROR(V97/V148, "NA")</f>
        <v>0.01504965127</v>
      </c>
      <c r="X97" s="27">
        <v>0.0</v>
      </c>
      <c r="Y97" s="23">
        <f>IFERROR(X97/X148, "NA")</f>
        <v>0</v>
      </c>
      <c r="Z97" s="27">
        <v>1694.28</v>
      </c>
      <c r="AA97" s="23">
        <f>IFERROR(Z97/Z148, "NA")</f>
        <v>0.01145819822</v>
      </c>
      <c r="AB97" s="59">
        <f t="shared" si="43"/>
        <v>423.57</v>
      </c>
      <c r="AC97" s="23">
        <f>IFERROR(AB97/AB148, "NA")</f>
        <v>0.01145819822</v>
      </c>
      <c r="AD97" s="61">
        <f t="shared" si="44"/>
        <v>-423.57</v>
      </c>
      <c r="AE97" s="63">
        <f>IFERROR(AD97/AD148, "NA")</f>
        <v>-0.2132441229</v>
      </c>
      <c r="AF97" s="61">
        <f t="shared" si="45"/>
        <v>-1</v>
      </c>
      <c r="AG97" s="59">
        <f t="shared" si="46"/>
        <v>422.65875</v>
      </c>
      <c r="AH97" s="23">
        <f>IFERROR(AG97/AG148, "NA")</f>
        <v>0.01265303439</v>
      </c>
      <c r="AI97" s="61">
        <f t="shared" si="47"/>
        <v>-422.65875</v>
      </c>
      <c r="AJ97" s="63">
        <f>IFERROR(AI97/AI148, "NA")</f>
        <v>-0.07616689242</v>
      </c>
      <c r="AK97" s="61">
        <f t="shared" si="48"/>
        <v>-1</v>
      </c>
      <c r="AL97" s="63">
        <f>IFERROR(AK97/AK148, "NA")</f>
        <v>-6.019654265</v>
      </c>
    </row>
    <row r="98" ht="16.5" hidden="1" customHeight="1">
      <c r="A98" s="26" t="s">
        <v>202</v>
      </c>
      <c r="B98" s="27">
        <v>591.52</v>
      </c>
      <c r="C98" s="23">
        <f>IFERROR(B98/B148, "NA")</f>
        <v>0.02463129263</v>
      </c>
      <c r="D98" s="27">
        <v>2566.85</v>
      </c>
      <c r="E98" s="23">
        <f>IFERROR(D98/D148, "NA")</f>
        <v>0.09309916093</v>
      </c>
      <c r="F98" s="27">
        <v>1075.95</v>
      </c>
      <c r="G98" s="23">
        <f>IFERROR(F98/F148, "NA")</f>
        <v>0.03506430656</v>
      </c>
      <c r="H98" s="27">
        <v>327.39</v>
      </c>
      <c r="I98" s="23">
        <f>IFERROR(H98/H148, "NA")</f>
        <v>0.01535902225</v>
      </c>
      <c r="J98" s="27">
        <v>807.06</v>
      </c>
      <c r="K98" s="23">
        <f>IFERROR(J98/J148, "NA")</f>
        <v>0.02431096198</v>
      </c>
      <c r="L98" s="27">
        <v>288.51</v>
      </c>
      <c r="M98" s="23">
        <f>IFERROR(L98/L148, "NA")</f>
        <v>0.01105671303</v>
      </c>
      <c r="N98" s="27">
        <v>1896.8000000000002</v>
      </c>
      <c r="O98" s="23">
        <f>IFERROR(N98/N148, "NA")</f>
        <v>0.0739936851</v>
      </c>
      <c r="P98" s="27">
        <v>1004.4499999999999</v>
      </c>
      <c r="Q98" s="23">
        <f>IFERROR(P98/P148, "NA")</f>
        <v>0.02916678161</v>
      </c>
      <c r="R98" s="27">
        <v>576.4300000000001</v>
      </c>
      <c r="S98" s="23">
        <f>IFERROR(R98/R148, "NA")</f>
        <v>0.02019098473</v>
      </c>
      <c r="T98" s="27">
        <v>591.63</v>
      </c>
      <c r="U98" s="23">
        <f>IFERROR(T98/T148, "NA")</f>
        <v>0.01695589484</v>
      </c>
      <c r="V98" s="27">
        <v>1951.44</v>
      </c>
      <c r="W98" s="23">
        <f>IFERROR(V98/V148, "NA")</f>
        <v>0.042915059</v>
      </c>
      <c r="X98" s="27">
        <v>307.78</v>
      </c>
      <c r="Y98" s="23">
        <f>IFERROR(X98/X148, "NA")</f>
        <v>0.00790134537</v>
      </c>
      <c r="Z98" s="27">
        <v>3427.2799999999997</v>
      </c>
      <c r="AA98" s="23">
        <f>IFERROR(Z98/Z148, "NA")</f>
        <v>0.02317825482</v>
      </c>
      <c r="AB98" s="59">
        <f t="shared" si="43"/>
        <v>856.82</v>
      </c>
      <c r="AC98" s="23">
        <f>IFERROR(AB98/AB148, "NA")</f>
        <v>0.02317825482</v>
      </c>
      <c r="AD98" s="61">
        <f t="shared" si="44"/>
        <v>-549.04</v>
      </c>
      <c r="AE98" s="63">
        <f>IFERROR(AD98/AD148, "NA")</f>
        <v>-0.2764113446</v>
      </c>
      <c r="AF98" s="61">
        <f t="shared" si="45"/>
        <v>-0.6407880302</v>
      </c>
      <c r="AG98" s="59">
        <f t="shared" si="46"/>
        <v>928.0125</v>
      </c>
      <c r="AH98" s="23">
        <f>IFERROR(AG98/AG148, "NA")</f>
        <v>0.02778168931</v>
      </c>
      <c r="AI98" s="61">
        <f t="shared" si="47"/>
        <v>-620.2325</v>
      </c>
      <c r="AJ98" s="63">
        <f>IFERROR(AI98/AI148, "NA")</f>
        <v>-0.1117714518</v>
      </c>
      <c r="AK98" s="61">
        <f t="shared" si="48"/>
        <v>-0.6683449846</v>
      </c>
      <c r="AL98" s="63">
        <f>IFERROR(AK98/AK148, "NA")</f>
        <v>-4.023205737</v>
      </c>
    </row>
    <row r="99" ht="16.5" hidden="1" customHeight="1">
      <c r="A99" s="66" t="s">
        <v>203</v>
      </c>
      <c r="B99" s="67">
        <f>IFERROR(B90+B91+B92+B93+B94+B95+B96+B97+B98, "NA")</f>
        <v>6712.49</v>
      </c>
      <c r="C99" s="69">
        <f>IFERROR(B99/B148, "NA")</f>
        <v>0.2795126209</v>
      </c>
      <c r="D99" s="67">
        <f>IFERROR(D90+D91+D92+D93+D94+D95+D96+D97+D98, "NA")</f>
        <v>8170.42</v>
      </c>
      <c r="E99" s="69">
        <f>IFERROR(D99/D148, "NA")</f>
        <v>0.2963395783</v>
      </c>
      <c r="F99" s="67">
        <f>IFERROR(F90+F91+F92+F93+F94+F95+F96+F97+F98, "NA")</f>
        <v>7890.31</v>
      </c>
      <c r="G99" s="69">
        <f>IFERROR(F99/F148, "NA")</f>
        <v>0.257138574</v>
      </c>
      <c r="H99" s="67">
        <f>IFERROR(H90+H91+H92+H93+H94+H95+H96+H97+H98, "NA")</f>
        <v>4013</v>
      </c>
      <c r="I99" s="69">
        <f>IFERROR(H99/H148, "NA")</f>
        <v>0.1882640162</v>
      </c>
      <c r="J99" s="67">
        <f>IFERROR(J90+J91+J92+J93+J94+J95+J96+J97+J98, "NA")</f>
        <v>6230.65</v>
      </c>
      <c r="K99" s="69">
        <f>IFERROR(J99/J148, "NA")</f>
        <v>0.1876850485</v>
      </c>
      <c r="L99" s="67">
        <f>IFERROR(L90+L91+L92+L93+L94+L95+L96+L97+L98, "NA")</f>
        <v>5137.48</v>
      </c>
      <c r="M99" s="69">
        <f>IFERROR(L99/L148, "NA")</f>
        <v>0.1968862156</v>
      </c>
      <c r="N99" s="67">
        <f>IFERROR(N90+N91+N92+N93+N94+N95+N96+N97+N98, "NA")</f>
        <v>7234.68</v>
      </c>
      <c r="O99" s="69">
        <f>IFERROR(N99/N148, "NA")</f>
        <v>0.282223025</v>
      </c>
      <c r="P99" s="67">
        <f>IFERROR(P90+P91+P92+P93+P94+P95+P96+P97+P98, "NA")</f>
        <v>11117.08</v>
      </c>
      <c r="Q99" s="69">
        <f>IFERROR(P99/P148, "NA")</f>
        <v>0.3228129269</v>
      </c>
      <c r="R99" s="67">
        <f>IFERROR(R90+R91+R92+R93+R94+R95+R96+R97+R98, "NA")</f>
        <v>8253.57</v>
      </c>
      <c r="S99" s="69">
        <f>IFERROR(R99/R148, "NA")</f>
        <v>0.2891031102</v>
      </c>
      <c r="T99" s="67">
        <f>IFERROR(T90+T91+T92+T93+T94+T95+T96+T97+T98, "NA")</f>
        <v>9653.41</v>
      </c>
      <c r="U99" s="69">
        <f>IFERROR(T99/T148, "NA")</f>
        <v>0.2766631253</v>
      </c>
      <c r="V99" s="67">
        <f>IFERROR(V90+V91+V92+V93+V94+V95+V96+V97+V98, "NA")</f>
        <v>13084.59</v>
      </c>
      <c r="W99" s="69">
        <f>IFERROR(V99/V148, "NA")</f>
        <v>0.2877495346</v>
      </c>
      <c r="X99" s="67">
        <f>IFERROR(X90+X91+X92+X93+X94+X95+X96+X97+X98, "NA")</f>
        <v>5645.41</v>
      </c>
      <c r="Y99" s="69">
        <f>IFERROR(X99/X148, "NA")</f>
        <v>0.1449292812</v>
      </c>
      <c r="Z99" s="67">
        <f>IFERROR(Z90+Z91+Z92+Z93+Z94+Z95+Z96+Z97+Z98, "NA")</f>
        <v>36636.98</v>
      </c>
      <c r="AA99" s="69">
        <f>IFERROR(Z99/Z148, "NA")</f>
        <v>0.2477711942</v>
      </c>
      <c r="AB99" s="67">
        <f t="shared" si="43"/>
        <v>9159.245</v>
      </c>
      <c r="AC99" s="69">
        <f>IFERROR(AB99/AB148, "NA")</f>
        <v>0.2477711942</v>
      </c>
      <c r="AD99" s="70">
        <f t="shared" si="44"/>
        <v>-3513.835</v>
      </c>
      <c r="AE99" s="71">
        <f>IFERROR(AD99/AD148, "NA")</f>
        <v>-1.769022033</v>
      </c>
      <c r="AF99" s="70">
        <f t="shared" si="45"/>
        <v>-0.3836380619</v>
      </c>
      <c r="AG99" s="67">
        <f t="shared" si="46"/>
        <v>8294.60875</v>
      </c>
      <c r="AH99" s="69">
        <f>IFERROR(AG99/AG148, "NA")</f>
        <v>0.2483137277</v>
      </c>
      <c r="AI99" s="70">
        <f t="shared" si="47"/>
        <v>-2649.19875</v>
      </c>
      <c r="AJ99" s="71">
        <f>IFERROR(AI99/AI148, "NA")</f>
        <v>-0.4774093431</v>
      </c>
      <c r="AK99" s="70">
        <f t="shared" si="48"/>
        <v>-0.3193880302</v>
      </c>
      <c r="AL99" s="71">
        <f>IFERROR(AK99/AK148, "NA")</f>
        <v>-1.922605518</v>
      </c>
    </row>
    <row r="100" ht="16.5" hidden="1" customHeight="1">
      <c r="A100" s="120" t="s">
        <v>6</v>
      </c>
      <c r="B100" s="121"/>
      <c r="C100" s="76"/>
      <c r="D100" s="121"/>
      <c r="E100" s="76"/>
      <c r="F100" s="121"/>
      <c r="G100" s="76"/>
      <c r="H100" s="121"/>
      <c r="I100" s="76"/>
      <c r="J100" s="121"/>
      <c r="K100" s="76"/>
      <c r="L100" s="121"/>
      <c r="M100" s="76"/>
      <c r="N100" s="121"/>
      <c r="O100" s="76"/>
      <c r="P100" s="121"/>
      <c r="Q100" s="76"/>
      <c r="R100" s="121"/>
      <c r="S100" s="76"/>
      <c r="T100" s="121"/>
      <c r="U100" s="76"/>
      <c r="V100" s="121"/>
      <c r="W100" s="76"/>
      <c r="X100" s="121"/>
      <c r="Y100" s="76"/>
      <c r="Z100" s="121"/>
      <c r="AA100" s="76"/>
      <c r="AB100" s="121"/>
      <c r="AC100" s="76"/>
      <c r="AD100" s="122"/>
      <c r="AE100" s="78"/>
      <c r="AF100" s="122"/>
      <c r="AG100" s="121"/>
      <c r="AH100" s="76"/>
      <c r="AI100" s="122"/>
      <c r="AJ100" s="78"/>
      <c r="AK100" s="122"/>
      <c r="AL100" s="78"/>
    </row>
    <row r="101" ht="16.5" hidden="1" customHeight="1">
      <c r="A101" s="118" t="s">
        <v>204</v>
      </c>
      <c r="B101" s="119">
        <f>IFERROR(B87-B99, "NA")</f>
        <v>4114.6</v>
      </c>
      <c r="C101" s="107">
        <f>IFERROR(B101/B148, "NA")</f>
        <v>0.1713347252</v>
      </c>
      <c r="D101" s="119">
        <f>IFERROR(D87-D99, "NA")</f>
        <v>3739.05</v>
      </c>
      <c r="E101" s="107">
        <f>IFERROR(D101/D148, "NA")</f>
        <v>0.1356146318</v>
      </c>
      <c r="F101" s="119">
        <f>IFERROR(F87-F99, "NA")</f>
        <v>6341.91</v>
      </c>
      <c r="G101" s="107">
        <f>IFERROR(F101/F148, "NA")</f>
        <v>0.2066775189</v>
      </c>
      <c r="H101" s="119">
        <f>IFERROR(H87-H99, "NA")</f>
        <v>3921.43</v>
      </c>
      <c r="I101" s="107">
        <f>IFERROR(H101/H148, "NA")</f>
        <v>0.1839681438</v>
      </c>
      <c r="J101" s="119">
        <f>IFERROR(J87-J99, "NA")</f>
        <v>9394.72</v>
      </c>
      <c r="K101" s="107">
        <f>IFERROR(J101/J148, "NA")</f>
        <v>0.282995912</v>
      </c>
      <c r="L101" s="119">
        <f>IFERROR(L87-L99, "NA")</f>
        <v>6945.05</v>
      </c>
      <c r="M101" s="107">
        <f>IFERROR(L101/L148, "NA")</f>
        <v>0.2661586248</v>
      </c>
      <c r="N101" s="119">
        <f>IFERROR(N87-N99, "NA")</f>
        <v>4514.25</v>
      </c>
      <c r="O101" s="107">
        <f>IFERROR(N101/N148, "NA")</f>
        <v>0.1760997432</v>
      </c>
      <c r="P101" s="119">
        <f>IFERROR(P87-P99, "NA")</f>
        <v>6193.41</v>
      </c>
      <c r="Q101" s="107">
        <f>IFERROR(P101/P148, "NA")</f>
        <v>0.179841542</v>
      </c>
      <c r="R101" s="119">
        <f>IFERROR(R87-R99, "NA")</f>
        <v>5342.95</v>
      </c>
      <c r="S101" s="107">
        <f>IFERROR(R101/R148, "NA")</f>
        <v>0.1871509495</v>
      </c>
      <c r="T101" s="119">
        <f>IFERROR(T87-T99, "NA")</f>
        <v>8823.99</v>
      </c>
      <c r="U101" s="107">
        <f>IFERROR(T101/T148, "NA")</f>
        <v>0.2528922579</v>
      </c>
      <c r="V101" s="119">
        <f>IFERROR(V87-V99, "NA")</f>
        <v>11238.67</v>
      </c>
      <c r="W101" s="107">
        <f>IFERROR(V101/V148, "NA")</f>
        <v>0.2471550169</v>
      </c>
      <c r="X101" s="119">
        <f>IFERROR(X87-X99, "NA")</f>
        <v>11880.56</v>
      </c>
      <c r="Y101" s="107">
        <f>IFERROR(X101/X148, "NA")</f>
        <v>0.3049984006</v>
      </c>
      <c r="Z101" s="119">
        <f>IFERROR(Z87-Z99, "NA")</f>
        <v>37286.17</v>
      </c>
      <c r="AA101" s="107">
        <f>IFERROR(Z101/Z148, "NA")</f>
        <v>0.2521615829</v>
      </c>
      <c r="AB101" s="119">
        <f>IFERROR((R101+T101+V101+X101)/4, "NA")</f>
        <v>9321.5425</v>
      </c>
      <c r="AC101" s="107">
        <f>IFERROR(AB101/AB148, "NA")</f>
        <v>0.2521615829</v>
      </c>
      <c r="AD101" s="70">
        <f>IFERROR(X101-AB101, "NA")</f>
        <v>2559.0175</v>
      </c>
      <c r="AE101" s="71">
        <f>IFERROR(AD101/AD148, "NA")</f>
        <v>1.288324108</v>
      </c>
      <c r="AF101" s="70">
        <f>IFERROR((X101-AB101)/AB101, "NA")</f>
        <v>0.2745272577</v>
      </c>
      <c r="AG101" s="119">
        <f>IFERROR((J101+L101+N101+P101+R101+T101+V101+X101)/8, "NA")</f>
        <v>8041.7</v>
      </c>
      <c r="AH101" s="107">
        <f>IFERROR(AG101/AG148, "NA")</f>
        <v>0.2407424586</v>
      </c>
      <c r="AI101" s="70">
        <f>IFERROR(X101-AG101, "NA")</f>
        <v>3838.86</v>
      </c>
      <c r="AJ101" s="71">
        <f>IFERROR(AI101/AI148, "NA")</f>
        <v>0.6917969559</v>
      </c>
      <c r="AK101" s="70">
        <f>IFERROR((X101-AG101)/AG101, "NA")</f>
        <v>0.477369213</v>
      </c>
      <c r="AL101" s="71">
        <f>IFERROR(AK101/AK148, "NA")</f>
        <v>2.873597619</v>
      </c>
    </row>
    <row r="102" ht="3.75" hidden="1" customHeight="1">
      <c r="A102" s="120" t="s">
        <v>6</v>
      </c>
      <c r="B102" s="121"/>
      <c r="C102" s="76"/>
      <c r="D102" s="121"/>
      <c r="E102" s="76"/>
      <c r="F102" s="121"/>
      <c r="G102" s="76"/>
      <c r="H102" s="121"/>
      <c r="I102" s="76"/>
      <c r="J102" s="121"/>
      <c r="K102" s="76"/>
      <c r="L102" s="121"/>
      <c r="M102" s="76"/>
      <c r="N102" s="121"/>
      <c r="O102" s="76"/>
      <c r="P102" s="121"/>
      <c r="Q102" s="76"/>
      <c r="R102" s="121"/>
      <c r="S102" s="76"/>
      <c r="T102" s="121"/>
      <c r="U102" s="76"/>
      <c r="V102" s="121"/>
      <c r="W102" s="76"/>
      <c r="X102" s="121"/>
      <c r="Y102" s="76"/>
      <c r="Z102" s="121"/>
      <c r="AA102" s="76"/>
      <c r="AB102" s="121"/>
      <c r="AC102" s="76"/>
      <c r="AD102" s="122"/>
      <c r="AE102" s="78"/>
      <c r="AF102" s="122"/>
      <c r="AG102" s="121"/>
      <c r="AH102" s="76"/>
      <c r="AI102" s="122"/>
      <c r="AJ102" s="78"/>
      <c r="AK102" s="122"/>
      <c r="AL102" s="78"/>
    </row>
    <row r="103" ht="16.5" hidden="1" customHeight="1">
      <c r="A103" s="17" t="s">
        <v>205</v>
      </c>
      <c r="B103" s="19"/>
      <c r="C103" s="13"/>
      <c r="D103" s="19"/>
      <c r="E103" s="13"/>
      <c r="F103" s="19"/>
      <c r="G103" s="13"/>
      <c r="H103" s="19"/>
      <c r="I103" s="13"/>
      <c r="J103" s="19"/>
      <c r="K103" s="13"/>
      <c r="L103" s="19"/>
      <c r="M103" s="13"/>
      <c r="N103" s="19"/>
      <c r="O103" s="13"/>
      <c r="P103" s="19"/>
      <c r="Q103" s="13"/>
      <c r="R103" s="19"/>
      <c r="S103" s="13"/>
      <c r="T103" s="19"/>
      <c r="U103" s="13"/>
      <c r="V103" s="19"/>
      <c r="W103" s="13"/>
      <c r="X103" s="19"/>
      <c r="Y103" s="13"/>
      <c r="Z103" s="19"/>
      <c r="AA103" s="13"/>
      <c r="AB103" s="19"/>
      <c r="AC103" s="13"/>
      <c r="AD103" s="24"/>
      <c r="AE103" s="25"/>
      <c r="AF103" s="24"/>
      <c r="AG103" s="19"/>
      <c r="AH103" s="13"/>
      <c r="AI103" s="24"/>
      <c r="AJ103" s="25"/>
      <c r="AK103" s="24"/>
      <c r="AL103" s="25"/>
    </row>
    <row r="104" ht="16.5" hidden="1" customHeight="1">
      <c r="A104" s="123" t="s">
        <v>206</v>
      </c>
      <c r="B104" s="124">
        <v>0.0</v>
      </c>
      <c r="C104" s="107">
        <f>IFERROR(B104/B148, "NA")</f>
        <v>0</v>
      </c>
      <c r="D104" s="124">
        <v>2179.79</v>
      </c>
      <c r="E104" s="107">
        <f>IFERROR(D104/D148, "NA")</f>
        <v>0.07906056841</v>
      </c>
      <c r="F104" s="124">
        <v>12526.02</v>
      </c>
      <c r="G104" s="107">
        <f>IFERROR(F104/F148, "NA")</f>
        <v>0.4082124683</v>
      </c>
      <c r="H104" s="124">
        <v>0.0</v>
      </c>
      <c r="I104" s="107">
        <f>IFERROR(H104/H148, "NA")</f>
        <v>0</v>
      </c>
      <c r="J104" s="124">
        <v>0.0</v>
      </c>
      <c r="K104" s="107">
        <f>IFERROR(J104/J148, "NA")</f>
        <v>0</v>
      </c>
      <c r="L104" s="124">
        <v>0.0</v>
      </c>
      <c r="M104" s="107">
        <f>IFERROR(L104/L148, "NA")</f>
        <v>0</v>
      </c>
      <c r="N104" s="124">
        <v>2238.1499999999996</v>
      </c>
      <c r="O104" s="107">
        <f>IFERROR(N104/N148, "NA")</f>
        <v>0.0873096617</v>
      </c>
      <c r="P104" s="124">
        <v>15169.11</v>
      </c>
      <c r="Q104" s="107">
        <f>IFERROR(P104/P148, "NA")</f>
        <v>0.4404740092</v>
      </c>
      <c r="R104" s="124">
        <v>0.0</v>
      </c>
      <c r="S104" s="107">
        <f>IFERROR(R104/R148, "NA")</f>
        <v>0</v>
      </c>
      <c r="T104" s="124">
        <v>0.0</v>
      </c>
      <c r="U104" s="107">
        <f>IFERROR(T104/T148, "NA")</f>
        <v>0</v>
      </c>
      <c r="V104" s="124">
        <v>0.0</v>
      </c>
      <c r="W104" s="107">
        <f>IFERROR(V104/V148, "NA")</f>
        <v>0</v>
      </c>
      <c r="X104" s="124">
        <v>0.0</v>
      </c>
      <c r="Y104" s="107">
        <f>IFERROR(X104/X148, "NA")</f>
        <v>0</v>
      </c>
      <c r="Z104" s="124">
        <v>0.0</v>
      </c>
      <c r="AA104" s="107">
        <f>IFERROR(Z104/Z148, "NA")</f>
        <v>0</v>
      </c>
      <c r="AB104" s="119">
        <f t="shared" ref="AB104:AB105" si="49">IFERROR((R104+T104+V104+X104)/4, "NA")</f>
        <v>0</v>
      </c>
      <c r="AC104" s="107">
        <f>IFERROR(AB104/AB148, "NA")</f>
        <v>0</v>
      </c>
      <c r="AD104" s="70">
        <f t="shared" ref="AD104:AD105" si="50">IFERROR(X104-AB104, "NA")</f>
        <v>0</v>
      </c>
      <c r="AE104" s="71">
        <f>IFERROR(AD104/AD148, "NA")</f>
        <v>0</v>
      </c>
      <c r="AF104" s="70" t="str">
        <f t="shared" ref="AF104:AF105" si="51">IFERROR((X104-AB104)/AB104, "NA")</f>
        <v>NA</v>
      </c>
      <c r="AG104" s="119">
        <f t="shared" ref="AG104:AG105" si="52">IFERROR((J104+L104+N104+P104+R104+T104+V104+X104)/8, "NA")</f>
        <v>2175.9075</v>
      </c>
      <c r="AH104" s="107">
        <f>IFERROR(AG104/AG148, "NA")</f>
        <v>0.06513962487</v>
      </c>
      <c r="AI104" s="70">
        <f t="shared" ref="AI104:AI105" si="53">IFERROR(X104-AG104, "NA")</f>
        <v>-2175.9075</v>
      </c>
      <c r="AJ104" s="71">
        <f>IFERROR(AI104/AI148, "NA")</f>
        <v>-0.3921180206</v>
      </c>
      <c r="AK104" s="70">
        <f t="shared" ref="AK104:AK105" si="54">IFERROR((X104-AG104)/AG104, "NA")</f>
        <v>-1</v>
      </c>
      <c r="AL104" s="71">
        <f>IFERROR(AK104/AK148, "NA")</f>
        <v>-6.019654265</v>
      </c>
    </row>
    <row r="105" ht="16.5" hidden="1" customHeight="1">
      <c r="A105" s="66" t="s">
        <v>207</v>
      </c>
      <c r="B105" s="67">
        <f>IFERROR(B104, "NA")</f>
        <v>0</v>
      </c>
      <c r="C105" s="69">
        <f>IFERROR(B105/B148, "NA")</f>
        <v>0</v>
      </c>
      <c r="D105" s="67">
        <f>IFERROR(D104, "NA")</f>
        <v>2179.79</v>
      </c>
      <c r="E105" s="69">
        <f>IFERROR(D105/D148, "NA")</f>
        <v>0.07906056841</v>
      </c>
      <c r="F105" s="67">
        <f>IFERROR(F104, "NA")</f>
        <v>12526.02</v>
      </c>
      <c r="G105" s="69">
        <f>IFERROR(F105/F148, "NA")</f>
        <v>0.4082124683</v>
      </c>
      <c r="H105" s="67">
        <f>IFERROR(H104, "NA")</f>
        <v>0</v>
      </c>
      <c r="I105" s="69">
        <f>IFERROR(H105/H148, "NA")</f>
        <v>0</v>
      </c>
      <c r="J105" s="67">
        <f>IFERROR(J104, "NA")</f>
        <v>0</v>
      </c>
      <c r="K105" s="69">
        <f>IFERROR(J105/J148, "NA")</f>
        <v>0</v>
      </c>
      <c r="L105" s="67">
        <f>IFERROR(L104, "NA")</f>
        <v>0</v>
      </c>
      <c r="M105" s="69">
        <f>IFERROR(L105/L148, "NA")</f>
        <v>0</v>
      </c>
      <c r="N105" s="67">
        <f>IFERROR(N104, "NA")</f>
        <v>2238.15</v>
      </c>
      <c r="O105" s="69">
        <f>IFERROR(N105/N148, "NA")</f>
        <v>0.0873096617</v>
      </c>
      <c r="P105" s="67">
        <f>IFERROR(P104, "NA")</f>
        <v>15169.11</v>
      </c>
      <c r="Q105" s="69">
        <f>IFERROR(P105/P148, "NA")</f>
        <v>0.4404740092</v>
      </c>
      <c r="R105" s="67">
        <f>IFERROR(R104, "NA")</f>
        <v>0</v>
      </c>
      <c r="S105" s="69">
        <f>IFERROR(R105/R148, "NA")</f>
        <v>0</v>
      </c>
      <c r="T105" s="67">
        <f>IFERROR(T104, "NA")</f>
        <v>0</v>
      </c>
      <c r="U105" s="69">
        <f>IFERROR(T105/T148, "NA")</f>
        <v>0</v>
      </c>
      <c r="V105" s="67">
        <f>IFERROR(V104, "NA")</f>
        <v>0</v>
      </c>
      <c r="W105" s="69">
        <f>IFERROR(V105/V148, "NA")</f>
        <v>0</v>
      </c>
      <c r="X105" s="67">
        <f>IFERROR(X104, "NA")</f>
        <v>0</v>
      </c>
      <c r="Y105" s="69">
        <f>IFERROR(X105/X148, "NA")</f>
        <v>0</v>
      </c>
      <c r="Z105" s="67">
        <f>IFERROR(Z104, "NA")</f>
        <v>0</v>
      </c>
      <c r="AA105" s="69">
        <f>IFERROR(Z105/Z148, "NA")</f>
        <v>0</v>
      </c>
      <c r="AB105" s="67">
        <f t="shared" si="49"/>
        <v>0</v>
      </c>
      <c r="AC105" s="69">
        <f>IFERROR(AB105/AB148, "NA")</f>
        <v>0</v>
      </c>
      <c r="AD105" s="70">
        <f t="shared" si="50"/>
        <v>0</v>
      </c>
      <c r="AE105" s="71">
        <f>IFERROR(AD105/AD148, "NA")</f>
        <v>0</v>
      </c>
      <c r="AF105" s="70" t="str">
        <f t="shared" si="51"/>
        <v>NA</v>
      </c>
      <c r="AG105" s="67">
        <f t="shared" si="52"/>
        <v>2175.9075</v>
      </c>
      <c r="AH105" s="69">
        <f>IFERROR(AG105/AG148, "NA")</f>
        <v>0.06513962487</v>
      </c>
      <c r="AI105" s="70">
        <f t="shared" si="53"/>
        <v>-2175.9075</v>
      </c>
      <c r="AJ105" s="71">
        <f>IFERROR(AI105/AI148, "NA")</f>
        <v>-0.3921180206</v>
      </c>
      <c r="AK105" s="70">
        <f t="shared" si="54"/>
        <v>-1</v>
      </c>
      <c r="AL105" s="71">
        <f>IFERROR(AK105/AK148, "NA")</f>
        <v>-6.019654265</v>
      </c>
    </row>
    <row r="106" ht="16.5" hidden="1" customHeight="1">
      <c r="A106" s="120" t="s">
        <v>6</v>
      </c>
      <c r="B106" s="121"/>
      <c r="C106" s="76"/>
      <c r="D106" s="121"/>
      <c r="E106" s="76"/>
      <c r="F106" s="121"/>
      <c r="G106" s="76"/>
      <c r="H106" s="121"/>
      <c r="I106" s="76"/>
      <c r="J106" s="121"/>
      <c r="K106" s="76"/>
      <c r="L106" s="121"/>
      <c r="M106" s="76"/>
      <c r="N106" s="121"/>
      <c r="O106" s="76"/>
      <c r="P106" s="121"/>
      <c r="Q106" s="76"/>
      <c r="R106" s="121"/>
      <c r="S106" s="76"/>
      <c r="T106" s="121"/>
      <c r="U106" s="76"/>
      <c r="V106" s="121"/>
      <c r="W106" s="76"/>
      <c r="X106" s="121"/>
      <c r="Y106" s="76"/>
      <c r="Z106" s="121"/>
      <c r="AA106" s="76"/>
      <c r="AB106" s="121"/>
      <c r="AC106" s="76"/>
      <c r="AD106" s="122"/>
      <c r="AE106" s="78"/>
      <c r="AF106" s="122"/>
      <c r="AG106" s="121"/>
      <c r="AH106" s="76"/>
      <c r="AI106" s="122"/>
      <c r="AJ106" s="78"/>
      <c r="AK106" s="122"/>
      <c r="AL106" s="78"/>
    </row>
    <row r="107" ht="16.5" hidden="1" customHeight="1">
      <c r="A107" s="118" t="s">
        <v>208</v>
      </c>
      <c r="B107" s="119">
        <f>IFERROR(B87-B99-B105, "NA")</f>
        <v>4114.6</v>
      </c>
      <c r="C107" s="107">
        <f>IFERROR(B107/B148, "NA")</f>
        <v>0.1713347252</v>
      </c>
      <c r="D107" s="119">
        <f>IFERROR(D87-D99-D105, "NA")</f>
        <v>1559.26</v>
      </c>
      <c r="E107" s="107">
        <f>IFERROR(D107/D148, "NA")</f>
        <v>0.05655406342</v>
      </c>
      <c r="F107" s="119">
        <f>IFERROR(F87-F99-F105, "NA")</f>
        <v>-6184.11</v>
      </c>
      <c r="G107" s="107">
        <f>IFERROR(F107/F148, "NA")</f>
        <v>-0.2015349494</v>
      </c>
      <c r="H107" s="119">
        <f>IFERROR(H87-H99-H105, "NA")</f>
        <v>3921.43</v>
      </c>
      <c r="I107" s="107">
        <f>IFERROR(H107/H148, "NA")</f>
        <v>0.1839681438</v>
      </c>
      <c r="J107" s="119">
        <f>IFERROR(J87-J99-J105, "NA")</f>
        <v>9394.72</v>
      </c>
      <c r="K107" s="107">
        <f>IFERROR(J107/J148, "NA")</f>
        <v>0.282995912</v>
      </c>
      <c r="L107" s="119">
        <f>IFERROR(L87-L99-L105, "NA")</f>
        <v>6945.05</v>
      </c>
      <c r="M107" s="107">
        <f>IFERROR(L107/L148, "NA")</f>
        <v>0.2661586248</v>
      </c>
      <c r="N107" s="119">
        <f>IFERROR(N87-N99-N105, "NA")</f>
        <v>2276.1</v>
      </c>
      <c r="O107" s="107">
        <f>IFERROR(N107/N148, "NA")</f>
        <v>0.08879008154</v>
      </c>
      <c r="P107" s="119">
        <f>IFERROR(P87-P99-P105, "NA")</f>
        <v>-8975.7</v>
      </c>
      <c r="Q107" s="107">
        <f>IFERROR(P107/P148, "NA")</f>
        <v>-0.2606324672</v>
      </c>
      <c r="R107" s="119">
        <f>IFERROR(R87-R99-R105, "NA")</f>
        <v>5342.95</v>
      </c>
      <c r="S107" s="107">
        <f>IFERROR(R107/R148, "NA")</f>
        <v>0.1871509495</v>
      </c>
      <c r="T107" s="119">
        <f>IFERROR(T87-T99-T105, "NA")</f>
        <v>8823.99</v>
      </c>
      <c r="U107" s="107">
        <f>IFERROR(T107/T148, "NA")</f>
        <v>0.2528922579</v>
      </c>
      <c r="V107" s="119">
        <f>IFERROR(V87-V99-V105, "NA")</f>
        <v>11238.67</v>
      </c>
      <c r="W107" s="107">
        <f>IFERROR(V107/V148, "NA")</f>
        <v>0.2471550169</v>
      </c>
      <c r="X107" s="119">
        <f>IFERROR(X87-X99-X105, "NA")</f>
        <v>11880.56</v>
      </c>
      <c r="Y107" s="107">
        <f>IFERROR(X107/X148, "NA")</f>
        <v>0.3049984006</v>
      </c>
      <c r="Z107" s="119">
        <f>IFERROR(Z87-Z99-Z105, "NA")</f>
        <v>37286.17</v>
      </c>
      <c r="AA107" s="107">
        <f>IFERROR(Z107/Z148, "NA")</f>
        <v>0.2521615829</v>
      </c>
      <c r="AB107" s="119">
        <f>IFERROR((R107+T107+V107+X107)/4, "NA")</f>
        <v>9321.5425</v>
      </c>
      <c r="AC107" s="107">
        <f>IFERROR(AB107/AB148, "NA")</f>
        <v>0.2521615829</v>
      </c>
      <c r="AD107" s="70">
        <f>IFERROR(X107-AB107, "NA")</f>
        <v>2559.0175</v>
      </c>
      <c r="AE107" s="71">
        <f>IFERROR(AD107/AD148, "NA")</f>
        <v>1.288324108</v>
      </c>
      <c r="AF107" s="70">
        <f>IFERROR((X107-AB107)/AB107, "NA")</f>
        <v>0.2745272577</v>
      </c>
      <c r="AG107" s="119">
        <f>IFERROR((J107+L107+N107+P107+R107+T107+V107+X107)/8, "NA")</f>
        <v>5865.7925</v>
      </c>
      <c r="AH107" s="107">
        <f>IFERROR(AG107/AG148, "NA")</f>
        <v>0.1756028338</v>
      </c>
      <c r="AI107" s="70">
        <f>IFERROR(X107-AG107, "NA")</f>
        <v>6014.7675</v>
      </c>
      <c r="AJ107" s="71">
        <f>IFERROR(AI107/AI148, "NA")</f>
        <v>1.083914977</v>
      </c>
      <c r="AK107" s="70">
        <f>IFERROR((X107-AG107)/AG107, "NA")</f>
        <v>1.02539725</v>
      </c>
      <c r="AL107" s="71">
        <f>IFERROR(AK107/AK148, "NA")</f>
        <v>6.17253693</v>
      </c>
    </row>
    <row r="108" ht="3.75" hidden="1" customHeight="1">
      <c r="A108" s="120" t="s">
        <v>6</v>
      </c>
      <c r="B108" s="121"/>
      <c r="C108" s="76"/>
      <c r="D108" s="121"/>
      <c r="E108" s="76"/>
      <c r="F108" s="121"/>
      <c r="G108" s="76"/>
      <c r="H108" s="121"/>
      <c r="I108" s="76"/>
      <c r="J108" s="121"/>
      <c r="K108" s="76"/>
      <c r="L108" s="121"/>
      <c r="M108" s="76"/>
      <c r="N108" s="121"/>
      <c r="O108" s="76"/>
      <c r="P108" s="121"/>
      <c r="Q108" s="76"/>
      <c r="R108" s="121"/>
      <c r="S108" s="76"/>
      <c r="T108" s="121"/>
      <c r="U108" s="76"/>
      <c r="V108" s="121"/>
      <c r="W108" s="76"/>
      <c r="X108" s="121"/>
      <c r="Y108" s="76"/>
      <c r="Z108" s="121"/>
      <c r="AA108" s="76"/>
      <c r="AB108" s="121"/>
      <c r="AC108" s="76"/>
      <c r="AD108" s="122"/>
      <c r="AE108" s="78"/>
      <c r="AF108" s="122"/>
      <c r="AG108" s="121"/>
      <c r="AH108" s="76"/>
      <c r="AI108" s="122"/>
      <c r="AJ108" s="78"/>
      <c r="AK108" s="122"/>
      <c r="AL108" s="78"/>
    </row>
    <row r="109" ht="16.5" hidden="1" customHeight="1">
      <c r="A109" s="17" t="s">
        <v>209</v>
      </c>
      <c r="B109" s="19"/>
      <c r="C109" s="13"/>
      <c r="D109" s="19"/>
      <c r="E109" s="13"/>
      <c r="F109" s="19"/>
      <c r="G109" s="13"/>
      <c r="H109" s="19"/>
      <c r="I109" s="13"/>
      <c r="J109" s="19"/>
      <c r="K109" s="13"/>
      <c r="L109" s="19"/>
      <c r="M109" s="13"/>
      <c r="N109" s="19"/>
      <c r="O109" s="13"/>
      <c r="P109" s="19"/>
      <c r="Q109" s="13"/>
      <c r="R109" s="19"/>
      <c r="S109" s="13"/>
      <c r="T109" s="19"/>
      <c r="U109" s="13"/>
      <c r="V109" s="19"/>
      <c r="W109" s="13"/>
      <c r="X109" s="19"/>
      <c r="Y109" s="13"/>
      <c r="Z109" s="19"/>
      <c r="AA109" s="13"/>
      <c r="AB109" s="19"/>
      <c r="AC109" s="13"/>
      <c r="AD109" s="24"/>
      <c r="AE109" s="25"/>
      <c r="AF109" s="24"/>
      <c r="AG109" s="19"/>
      <c r="AH109" s="13"/>
      <c r="AI109" s="24"/>
      <c r="AJ109" s="25"/>
      <c r="AK109" s="24"/>
      <c r="AL109" s="25"/>
    </row>
    <row r="110" ht="16.5" hidden="1" customHeight="1">
      <c r="A110" s="26" t="s">
        <v>210</v>
      </c>
      <c r="B110" s="27">
        <v>0.0</v>
      </c>
      <c r="C110" s="23">
        <f>IFERROR(B110/B148, "NA")</f>
        <v>0</v>
      </c>
      <c r="D110" s="27">
        <v>0.0</v>
      </c>
      <c r="E110" s="23">
        <f>IFERROR(D110/D148, "NA")</f>
        <v>0</v>
      </c>
      <c r="F110" s="27">
        <v>0.0</v>
      </c>
      <c r="G110" s="23">
        <f>IFERROR(F110/F148, "NA")</f>
        <v>0</v>
      </c>
      <c r="H110" s="27">
        <v>0.0</v>
      </c>
      <c r="I110" s="23">
        <f>IFERROR(H110/H148, "NA")</f>
        <v>0</v>
      </c>
      <c r="J110" s="27">
        <v>0.0</v>
      </c>
      <c r="K110" s="23">
        <f>IFERROR(J110/J148, "NA")</f>
        <v>0</v>
      </c>
      <c r="L110" s="27">
        <v>0.0</v>
      </c>
      <c r="M110" s="23">
        <f>IFERROR(L110/L148, "NA")</f>
        <v>0</v>
      </c>
      <c r="N110" s="27">
        <v>0.0</v>
      </c>
      <c r="O110" s="23">
        <f>IFERROR(N110/N148, "NA")</f>
        <v>0</v>
      </c>
      <c r="P110" s="27">
        <v>0.0</v>
      </c>
      <c r="Q110" s="23">
        <f>IFERROR(P110/P148, "NA")</f>
        <v>0</v>
      </c>
      <c r="R110" s="27">
        <v>0.0</v>
      </c>
      <c r="S110" s="23">
        <f>IFERROR(R110/R148, "NA")</f>
        <v>0</v>
      </c>
      <c r="T110" s="27">
        <v>0.0</v>
      </c>
      <c r="U110" s="23">
        <f>IFERROR(T110/T148, "NA")</f>
        <v>0</v>
      </c>
      <c r="V110" s="27">
        <v>0.0</v>
      </c>
      <c r="W110" s="23">
        <f>IFERROR(V110/V148, "NA")</f>
        <v>0</v>
      </c>
      <c r="X110" s="27">
        <v>0.0</v>
      </c>
      <c r="Y110" s="23">
        <f>IFERROR(X110/X148, "NA")</f>
        <v>0</v>
      </c>
      <c r="Z110" s="27">
        <v>0.0</v>
      </c>
      <c r="AA110" s="23">
        <f>IFERROR(Z110/Z148, "NA")</f>
        <v>0</v>
      </c>
      <c r="AB110" s="59">
        <f t="shared" ref="AB110:AB135" si="55">IFERROR((R110+T110+V110+X110)/4, "NA")</f>
        <v>0</v>
      </c>
      <c r="AC110" s="23">
        <f>IFERROR(AB110/AB148, "NA")</f>
        <v>0</v>
      </c>
      <c r="AD110" s="61">
        <f t="shared" ref="AD110:AD135" si="56">IFERROR(X110-AB110, "NA")</f>
        <v>0</v>
      </c>
      <c r="AE110" s="63">
        <f>IFERROR(AD110/AD148, "NA")</f>
        <v>0</v>
      </c>
      <c r="AF110" s="61" t="str">
        <f t="shared" ref="AF110:AF135" si="57">IFERROR((X110-AB110)/AB110, "NA")</f>
        <v>NA</v>
      </c>
      <c r="AG110" s="59">
        <f t="shared" ref="AG110:AG135" si="58">IFERROR((J110+L110+N110+P110+R110+T110+V110+X110)/8, "NA")</f>
        <v>0</v>
      </c>
      <c r="AH110" s="23">
        <f>IFERROR(AG110/AG148, "NA")</f>
        <v>0</v>
      </c>
      <c r="AI110" s="61">
        <f t="shared" ref="AI110:AI135" si="59">IFERROR(X110-AG110, "NA")</f>
        <v>0</v>
      </c>
      <c r="AJ110" s="63">
        <f>IFERROR(AI110/AI148, "NA")</f>
        <v>0</v>
      </c>
      <c r="AK110" s="61" t="str">
        <f t="shared" ref="AK110:AK135" si="60">IFERROR((X110-AG110)/AG110, "NA")</f>
        <v>NA</v>
      </c>
      <c r="AL110" s="63" t="str">
        <f>IFERROR(AK110/AK148, "NA")</f>
        <v>NA</v>
      </c>
    </row>
    <row r="111" ht="16.5" hidden="1" customHeight="1">
      <c r="A111" s="26" t="s">
        <v>211</v>
      </c>
      <c r="B111" s="27">
        <v>0.0</v>
      </c>
      <c r="C111" s="23">
        <f>IFERROR(B111/B148, "NA")</f>
        <v>0</v>
      </c>
      <c r="D111" s="27">
        <v>0.0</v>
      </c>
      <c r="E111" s="23">
        <f>IFERROR(D111/D148, "NA")</f>
        <v>0</v>
      </c>
      <c r="F111" s="27">
        <v>0.0</v>
      </c>
      <c r="G111" s="23">
        <f>IFERROR(F111/F148, "NA")</f>
        <v>0</v>
      </c>
      <c r="H111" s="27">
        <v>0.0</v>
      </c>
      <c r="I111" s="23">
        <f>IFERROR(H111/H148, "NA")</f>
        <v>0</v>
      </c>
      <c r="J111" s="27">
        <v>0.0</v>
      </c>
      <c r="K111" s="23">
        <f>IFERROR(J111/J148, "NA")</f>
        <v>0</v>
      </c>
      <c r="L111" s="27">
        <v>0.0</v>
      </c>
      <c r="M111" s="23">
        <f>IFERROR(L111/L148, "NA")</f>
        <v>0</v>
      </c>
      <c r="N111" s="27">
        <v>0.0</v>
      </c>
      <c r="O111" s="23">
        <f>IFERROR(N111/N148, "NA")</f>
        <v>0</v>
      </c>
      <c r="P111" s="27">
        <v>0.0</v>
      </c>
      <c r="Q111" s="23">
        <f>IFERROR(P111/P148, "NA")</f>
        <v>0</v>
      </c>
      <c r="R111" s="27">
        <v>0.0</v>
      </c>
      <c r="S111" s="23">
        <f>IFERROR(R111/R148, "NA")</f>
        <v>0</v>
      </c>
      <c r="T111" s="27">
        <v>0.0</v>
      </c>
      <c r="U111" s="23">
        <f>IFERROR(T111/T148, "NA")</f>
        <v>0</v>
      </c>
      <c r="V111" s="27">
        <v>0.0</v>
      </c>
      <c r="W111" s="23">
        <f>IFERROR(V111/V148, "NA")</f>
        <v>0</v>
      </c>
      <c r="X111" s="27">
        <v>0.0</v>
      </c>
      <c r="Y111" s="23">
        <f>IFERROR(X111/X148, "NA")</f>
        <v>0</v>
      </c>
      <c r="Z111" s="27">
        <v>0.0</v>
      </c>
      <c r="AA111" s="23">
        <f>IFERROR(Z111/Z148, "NA")</f>
        <v>0</v>
      </c>
      <c r="AB111" s="59">
        <f t="shared" si="55"/>
        <v>0</v>
      </c>
      <c r="AC111" s="23">
        <f>IFERROR(AB111/AB148, "NA")</f>
        <v>0</v>
      </c>
      <c r="AD111" s="61">
        <f t="shared" si="56"/>
        <v>0</v>
      </c>
      <c r="AE111" s="63">
        <f>IFERROR(AD111/AD148, "NA")</f>
        <v>0</v>
      </c>
      <c r="AF111" s="61" t="str">
        <f t="shared" si="57"/>
        <v>NA</v>
      </c>
      <c r="AG111" s="59">
        <f t="shared" si="58"/>
        <v>0</v>
      </c>
      <c r="AH111" s="23">
        <f>IFERROR(AG111/AG148, "NA")</f>
        <v>0</v>
      </c>
      <c r="AI111" s="61">
        <f t="shared" si="59"/>
        <v>0</v>
      </c>
      <c r="AJ111" s="63">
        <f>IFERROR(AI111/AI148, "NA")</f>
        <v>0</v>
      </c>
      <c r="AK111" s="61" t="str">
        <f t="shared" si="60"/>
        <v>NA</v>
      </c>
      <c r="AL111" s="63" t="str">
        <f>IFERROR(AK111/AK148, "NA")</f>
        <v>NA</v>
      </c>
    </row>
    <row r="112" ht="16.5" hidden="1" customHeight="1">
      <c r="A112" s="26" t="s">
        <v>212</v>
      </c>
      <c r="B112" s="27">
        <v>0.0</v>
      </c>
      <c r="C112" s="23">
        <f>IFERROR(B112/B148, "NA")</f>
        <v>0</v>
      </c>
      <c r="D112" s="27">
        <v>0.0</v>
      </c>
      <c r="E112" s="23">
        <f>IFERROR(D112/D148, "NA")</f>
        <v>0</v>
      </c>
      <c r="F112" s="27">
        <v>0.0</v>
      </c>
      <c r="G112" s="23">
        <f>IFERROR(F112/F148, "NA")</f>
        <v>0</v>
      </c>
      <c r="H112" s="27">
        <v>0.0</v>
      </c>
      <c r="I112" s="23">
        <f>IFERROR(H112/H148, "NA")</f>
        <v>0</v>
      </c>
      <c r="J112" s="27">
        <v>0.0</v>
      </c>
      <c r="K112" s="23">
        <f>IFERROR(J112/J148, "NA")</f>
        <v>0</v>
      </c>
      <c r="L112" s="27">
        <v>0.0</v>
      </c>
      <c r="M112" s="23">
        <f>IFERROR(L112/L148, "NA")</f>
        <v>0</v>
      </c>
      <c r="N112" s="27">
        <v>0.0</v>
      </c>
      <c r="O112" s="23">
        <f>IFERROR(N112/N148, "NA")</f>
        <v>0</v>
      </c>
      <c r="P112" s="27">
        <v>0.0</v>
      </c>
      <c r="Q112" s="23">
        <f>IFERROR(P112/P148, "NA")</f>
        <v>0</v>
      </c>
      <c r="R112" s="27">
        <v>0.0</v>
      </c>
      <c r="S112" s="23">
        <f>IFERROR(R112/R148, "NA")</f>
        <v>0</v>
      </c>
      <c r="T112" s="27">
        <v>0.0</v>
      </c>
      <c r="U112" s="23">
        <f>IFERROR(T112/T148, "NA")</f>
        <v>0</v>
      </c>
      <c r="V112" s="27">
        <v>0.0</v>
      </c>
      <c r="W112" s="23">
        <f>IFERROR(V112/V148, "NA")</f>
        <v>0</v>
      </c>
      <c r="X112" s="27">
        <v>0.0</v>
      </c>
      <c r="Y112" s="23">
        <f>IFERROR(X112/X148, "NA")</f>
        <v>0</v>
      </c>
      <c r="Z112" s="27">
        <v>0.0</v>
      </c>
      <c r="AA112" s="23">
        <f>IFERROR(Z112/Z148, "NA")</f>
        <v>0</v>
      </c>
      <c r="AB112" s="59">
        <f t="shared" si="55"/>
        <v>0</v>
      </c>
      <c r="AC112" s="23">
        <f>IFERROR(AB112/AB148, "NA")</f>
        <v>0</v>
      </c>
      <c r="AD112" s="61">
        <f t="shared" si="56"/>
        <v>0</v>
      </c>
      <c r="AE112" s="63">
        <f>IFERROR(AD112/AD148, "NA")</f>
        <v>0</v>
      </c>
      <c r="AF112" s="61" t="str">
        <f t="shared" si="57"/>
        <v>NA</v>
      </c>
      <c r="AG112" s="59">
        <f t="shared" si="58"/>
        <v>0</v>
      </c>
      <c r="AH112" s="23">
        <f>IFERROR(AG112/AG148, "NA")</f>
        <v>0</v>
      </c>
      <c r="AI112" s="61">
        <f t="shared" si="59"/>
        <v>0</v>
      </c>
      <c r="AJ112" s="63">
        <f>IFERROR(AI112/AI148, "NA")</f>
        <v>0</v>
      </c>
      <c r="AK112" s="61" t="str">
        <f t="shared" si="60"/>
        <v>NA</v>
      </c>
      <c r="AL112" s="63" t="str">
        <f>IFERROR(AK112/AK148, "NA")</f>
        <v>NA</v>
      </c>
    </row>
    <row r="113" ht="16.5" hidden="1" customHeight="1">
      <c r="A113" s="26" t="s">
        <v>213</v>
      </c>
      <c r="B113" s="27">
        <v>0.0</v>
      </c>
      <c r="C113" s="23">
        <f>IFERROR(B113/B148, "NA")</f>
        <v>0</v>
      </c>
      <c r="D113" s="27">
        <v>0.0</v>
      </c>
      <c r="E113" s="23">
        <f>IFERROR(D113/D148, "NA")</f>
        <v>0</v>
      </c>
      <c r="F113" s="27">
        <v>0.0</v>
      </c>
      <c r="G113" s="23">
        <f>IFERROR(F113/F148, "NA")</f>
        <v>0</v>
      </c>
      <c r="H113" s="27">
        <v>0.0</v>
      </c>
      <c r="I113" s="23">
        <f>IFERROR(H113/H148, "NA")</f>
        <v>0</v>
      </c>
      <c r="J113" s="27">
        <v>0.0</v>
      </c>
      <c r="K113" s="23">
        <f>IFERROR(J113/J148, "NA")</f>
        <v>0</v>
      </c>
      <c r="L113" s="27">
        <v>0.0</v>
      </c>
      <c r="M113" s="23">
        <f>IFERROR(L113/L148, "NA")</f>
        <v>0</v>
      </c>
      <c r="N113" s="27">
        <v>0.0</v>
      </c>
      <c r="O113" s="23">
        <f>IFERROR(N113/N148, "NA")</f>
        <v>0</v>
      </c>
      <c r="P113" s="27">
        <v>0.0</v>
      </c>
      <c r="Q113" s="23">
        <f>IFERROR(P113/P148, "NA")</f>
        <v>0</v>
      </c>
      <c r="R113" s="27">
        <v>0.0</v>
      </c>
      <c r="S113" s="23">
        <f>IFERROR(R113/R148, "NA")</f>
        <v>0</v>
      </c>
      <c r="T113" s="27">
        <v>0.0</v>
      </c>
      <c r="U113" s="23">
        <f>IFERROR(T113/T148, "NA")</f>
        <v>0</v>
      </c>
      <c r="V113" s="27">
        <v>0.0</v>
      </c>
      <c r="W113" s="23">
        <f>IFERROR(V113/V148, "NA")</f>
        <v>0</v>
      </c>
      <c r="X113" s="27">
        <v>0.0</v>
      </c>
      <c r="Y113" s="23">
        <f>IFERROR(X113/X148, "NA")</f>
        <v>0</v>
      </c>
      <c r="Z113" s="27">
        <v>0.0</v>
      </c>
      <c r="AA113" s="23">
        <f>IFERROR(Z113/Z148, "NA")</f>
        <v>0</v>
      </c>
      <c r="AB113" s="59">
        <f t="shared" si="55"/>
        <v>0</v>
      </c>
      <c r="AC113" s="23">
        <f>IFERROR(AB113/AB148, "NA")</f>
        <v>0</v>
      </c>
      <c r="AD113" s="61">
        <f t="shared" si="56"/>
        <v>0</v>
      </c>
      <c r="AE113" s="63">
        <f>IFERROR(AD113/AD148, "NA")</f>
        <v>0</v>
      </c>
      <c r="AF113" s="61" t="str">
        <f t="shared" si="57"/>
        <v>NA</v>
      </c>
      <c r="AG113" s="59">
        <f t="shared" si="58"/>
        <v>0</v>
      </c>
      <c r="AH113" s="23">
        <f>IFERROR(AG113/AG148, "NA")</f>
        <v>0</v>
      </c>
      <c r="AI113" s="61">
        <f t="shared" si="59"/>
        <v>0</v>
      </c>
      <c r="AJ113" s="63">
        <f>IFERROR(AI113/AI148, "NA")</f>
        <v>0</v>
      </c>
      <c r="AK113" s="61" t="str">
        <f t="shared" si="60"/>
        <v>NA</v>
      </c>
      <c r="AL113" s="63" t="str">
        <f>IFERROR(AK113/AK148, "NA")</f>
        <v>NA</v>
      </c>
    </row>
    <row r="114" ht="16.5" hidden="1" customHeight="1">
      <c r="A114" s="26" t="s">
        <v>214</v>
      </c>
      <c r="B114" s="27">
        <v>0.0</v>
      </c>
      <c r="C114" s="23">
        <f>IFERROR(B114/B148, "NA")</f>
        <v>0</v>
      </c>
      <c r="D114" s="27">
        <v>0.0</v>
      </c>
      <c r="E114" s="23">
        <f>IFERROR(D114/D148, "NA")</f>
        <v>0</v>
      </c>
      <c r="F114" s="27">
        <v>0.0</v>
      </c>
      <c r="G114" s="23">
        <f>IFERROR(F114/F148, "NA")</f>
        <v>0</v>
      </c>
      <c r="H114" s="27">
        <v>0.0</v>
      </c>
      <c r="I114" s="23">
        <f>IFERROR(H114/H148, "NA")</f>
        <v>0</v>
      </c>
      <c r="J114" s="27">
        <v>0.0</v>
      </c>
      <c r="K114" s="23">
        <f>IFERROR(J114/J148, "NA")</f>
        <v>0</v>
      </c>
      <c r="L114" s="27">
        <v>0.0</v>
      </c>
      <c r="M114" s="23">
        <f>IFERROR(L114/L148, "NA")</f>
        <v>0</v>
      </c>
      <c r="N114" s="27">
        <v>0.0</v>
      </c>
      <c r="O114" s="23">
        <f>IFERROR(N114/N148, "NA")</f>
        <v>0</v>
      </c>
      <c r="P114" s="27">
        <v>0.0</v>
      </c>
      <c r="Q114" s="23">
        <f>IFERROR(P114/P148, "NA")</f>
        <v>0</v>
      </c>
      <c r="R114" s="27">
        <v>0.0</v>
      </c>
      <c r="S114" s="23">
        <f>IFERROR(R114/R148, "NA")</f>
        <v>0</v>
      </c>
      <c r="T114" s="27">
        <v>0.0</v>
      </c>
      <c r="U114" s="23">
        <f>IFERROR(T114/T148, "NA")</f>
        <v>0</v>
      </c>
      <c r="V114" s="27">
        <v>0.0</v>
      </c>
      <c r="W114" s="23">
        <f>IFERROR(V114/V148, "NA")</f>
        <v>0</v>
      </c>
      <c r="X114" s="27">
        <v>0.0</v>
      </c>
      <c r="Y114" s="23">
        <f>IFERROR(X114/X148, "NA")</f>
        <v>0</v>
      </c>
      <c r="Z114" s="27">
        <v>0.0</v>
      </c>
      <c r="AA114" s="23">
        <f>IFERROR(Z114/Z148, "NA")</f>
        <v>0</v>
      </c>
      <c r="AB114" s="59">
        <f t="shared" si="55"/>
        <v>0</v>
      </c>
      <c r="AC114" s="23">
        <f>IFERROR(AB114/AB148, "NA")</f>
        <v>0</v>
      </c>
      <c r="AD114" s="61">
        <f t="shared" si="56"/>
        <v>0</v>
      </c>
      <c r="AE114" s="63">
        <f>IFERROR(AD114/AD148, "NA")</f>
        <v>0</v>
      </c>
      <c r="AF114" s="61" t="str">
        <f t="shared" si="57"/>
        <v>NA</v>
      </c>
      <c r="AG114" s="59">
        <f t="shared" si="58"/>
        <v>0</v>
      </c>
      <c r="AH114" s="23">
        <f>IFERROR(AG114/AG148, "NA")</f>
        <v>0</v>
      </c>
      <c r="AI114" s="61">
        <f t="shared" si="59"/>
        <v>0</v>
      </c>
      <c r="AJ114" s="63">
        <f>IFERROR(AI114/AI148, "NA")</f>
        <v>0</v>
      </c>
      <c r="AK114" s="61" t="str">
        <f t="shared" si="60"/>
        <v>NA</v>
      </c>
      <c r="AL114" s="63" t="str">
        <f>IFERROR(AK114/AK148, "NA")</f>
        <v>NA</v>
      </c>
    </row>
    <row r="115" ht="16.5" hidden="1" customHeight="1">
      <c r="A115" s="26" t="s">
        <v>215</v>
      </c>
      <c r="B115" s="27">
        <v>0.0</v>
      </c>
      <c r="C115" s="23">
        <f>IFERROR(B115/B148, "NA")</f>
        <v>0</v>
      </c>
      <c r="D115" s="27">
        <v>0.0</v>
      </c>
      <c r="E115" s="23">
        <f>IFERROR(D115/D148, "NA")</f>
        <v>0</v>
      </c>
      <c r="F115" s="27">
        <v>0.0</v>
      </c>
      <c r="G115" s="23">
        <f>IFERROR(F115/F148, "NA")</f>
        <v>0</v>
      </c>
      <c r="H115" s="27">
        <v>0.0</v>
      </c>
      <c r="I115" s="23">
        <f>IFERROR(H115/H148, "NA")</f>
        <v>0</v>
      </c>
      <c r="J115" s="27">
        <v>0.0</v>
      </c>
      <c r="K115" s="23">
        <f>IFERROR(J115/J148, "NA")</f>
        <v>0</v>
      </c>
      <c r="L115" s="27">
        <v>0.0</v>
      </c>
      <c r="M115" s="23">
        <f>IFERROR(L115/L148, "NA")</f>
        <v>0</v>
      </c>
      <c r="N115" s="27">
        <v>0.0</v>
      </c>
      <c r="O115" s="23">
        <f>IFERROR(N115/N148, "NA")</f>
        <v>0</v>
      </c>
      <c r="P115" s="27">
        <v>0.0</v>
      </c>
      <c r="Q115" s="23">
        <f>IFERROR(P115/P148, "NA")</f>
        <v>0</v>
      </c>
      <c r="R115" s="27">
        <v>0.0</v>
      </c>
      <c r="S115" s="23">
        <f>IFERROR(R115/R148, "NA")</f>
        <v>0</v>
      </c>
      <c r="T115" s="27">
        <v>0.0</v>
      </c>
      <c r="U115" s="23">
        <f>IFERROR(T115/T148, "NA")</f>
        <v>0</v>
      </c>
      <c r="V115" s="27">
        <v>0.0</v>
      </c>
      <c r="W115" s="23">
        <f>IFERROR(V115/V148, "NA")</f>
        <v>0</v>
      </c>
      <c r="X115" s="27">
        <v>0.0</v>
      </c>
      <c r="Y115" s="23">
        <f>IFERROR(X115/X148, "NA")</f>
        <v>0</v>
      </c>
      <c r="Z115" s="27">
        <v>0.0</v>
      </c>
      <c r="AA115" s="23">
        <f>IFERROR(Z115/Z148, "NA")</f>
        <v>0</v>
      </c>
      <c r="AB115" s="59">
        <f t="shared" si="55"/>
        <v>0</v>
      </c>
      <c r="AC115" s="23">
        <f>IFERROR(AB115/AB148, "NA")</f>
        <v>0</v>
      </c>
      <c r="AD115" s="61">
        <f t="shared" si="56"/>
        <v>0</v>
      </c>
      <c r="AE115" s="63">
        <f>IFERROR(AD115/AD148, "NA")</f>
        <v>0</v>
      </c>
      <c r="AF115" s="61" t="str">
        <f t="shared" si="57"/>
        <v>NA</v>
      </c>
      <c r="AG115" s="59">
        <f t="shared" si="58"/>
        <v>0</v>
      </c>
      <c r="AH115" s="23">
        <f>IFERROR(AG115/AG148, "NA")</f>
        <v>0</v>
      </c>
      <c r="AI115" s="61">
        <f t="shared" si="59"/>
        <v>0</v>
      </c>
      <c r="AJ115" s="63">
        <f>IFERROR(AI115/AI148, "NA")</f>
        <v>0</v>
      </c>
      <c r="AK115" s="61" t="str">
        <f t="shared" si="60"/>
        <v>NA</v>
      </c>
      <c r="AL115" s="63" t="str">
        <f>IFERROR(AK115/AK148, "NA")</f>
        <v>NA</v>
      </c>
    </row>
    <row r="116" ht="16.5" hidden="1" customHeight="1">
      <c r="A116" s="26" t="s">
        <v>216</v>
      </c>
      <c r="B116" s="27">
        <v>0.0</v>
      </c>
      <c r="C116" s="23">
        <f>IFERROR(B116/B148, "NA")</f>
        <v>0</v>
      </c>
      <c r="D116" s="27">
        <v>0.0</v>
      </c>
      <c r="E116" s="23">
        <f>IFERROR(D116/D148, "NA")</f>
        <v>0</v>
      </c>
      <c r="F116" s="27">
        <v>0.0</v>
      </c>
      <c r="G116" s="23">
        <f>IFERROR(F116/F148, "NA")</f>
        <v>0</v>
      </c>
      <c r="H116" s="27">
        <v>0.0</v>
      </c>
      <c r="I116" s="23">
        <f>IFERROR(H116/H148, "NA")</f>
        <v>0</v>
      </c>
      <c r="J116" s="27">
        <v>0.0</v>
      </c>
      <c r="K116" s="23">
        <f>IFERROR(J116/J148, "NA")</f>
        <v>0</v>
      </c>
      <c r="L116" s="27">
        <v>0.0</v>
      </c>
      <c r="M116" s="23">
        <f>IFERROR(L116/L148, "NA")</f>
        <v>0</v>
      </c>
      <c r="N116" s="27">
        <v>0.0</v>
      </c>
      <c r="O116" s="23">
        <f>IFERROR(N116/N148, "NA")</f>
        <v>0</v>
      </c>
      <c r="P116" s="27">
        <v>0.0</v>
      </c>
      <c r="Q116" s="23">
        <f>IFERROR(P116/P148, "NA")</f>
        <v>0</v>
      </c>
      <c r="R116" s="27">
        <v>0.0</v>
      </c>
      <c r="S116" s="23">
        <f>IFERROR(R116/R148, "NA")</f>
        <v>0</v>
      </c>
      <c r="T116" s="27">
        <v>0.0</v>
      </c>
      <c r="U116" s="23">
        <f>IFERROR(T116/T148, "NA")</f>
        <v>0</v>
      </c>
      <c r="V116" s="27">
        <v>0.0</v>
      </c>
      <c r="W116" s="23">
        <f>IFERROR(V116/V148, "NA")</f>
        <v>0</v>
      </c>
      <c r="X116" s="27">
        <v>0.0</v>
      </c>
      <c r="Y116" s="23">
        <f>IFERROR(X116/X148, "NA")</f>
        <v>0</v>
      </c>
      <c r="Z116" s="27">
        <v>0.0</v>
      </c>
      <c r="AA116" s="23">
        <f>IFERROR(Z116/Z148, "NA")</f>
        <v>0</v>
      </c>
      <c r="AB116" s="59">
        <f t="shared" si="55"/>
        <v>0</v>
      </c>
      <c r="AC116" s="23">
        <f>IFERROR(AB116/AB148, "NA")</f>
        <v>0</v>
      </c>
      <c r="AD116" s="61">
        <f t="shared" si="56"/>
        <v>0</v>
      </c>
      <c r="AE116" s="63">
        <f>IFERROR(AD116/AD148, "NA")</f>
        <v>0</v>
      </c>
      <c r="AF116" s="61" t="str">
        <f t="shared" si="57"/>
        <v>NA</v>
      </c>
      <c r="AG116" s="59">
        <f t="shared" si="58"/>
        <v>0</v>
      </c>
      <c r="AH116" s="23">
        <f>IFERROR(AG116/AG148, "NA")</f>
        <v>0</v>
      </c>
      <c r="AI116" s="61">
        <f t="shared" si="59"/>
        <v>0</v>
      </c>
      <c r="AJ116" s="63">
        <f>IFERROR(AI116/AI148, "NA")</f>
        <v>0</v>
      </c>
      <c r="AK116" s="61" t="str">
        <f t="shared" si="60"/>
        <v>NA</v>
      </c>
      <c r="AL116" s="63" t="str">
        <f>IFERROR(AK116/AK148, "NA")</f>
        <v>NA</v>
      </c>
    </row>
    <row r="117" ht="16.5" hidden="1" customHeight="1">
      <c r="A117" s="26" t="s">
        <v>217</v>
      </c>
      <c r="B117" s="27">
        <v>0.0</v>
      </c>
      <c r="C117" s="23">
        <f>IFERROR(B117/B148, "NA")</f>
        <v>0</v>
      </c>
      <c r="D117" s="27">
        <v>0.0</v>
      </c>
      <c r="E117" s="23">
        <f>IFERROR(D117/D148, "NA")</f>
        <v>0</v>
      </c>
      <c r="F117" s="27">
        <v>0.0</v>
      </c>
      <c r="G117" s="23">
        <f>IFERROR(F117/F148, "NA")</f>
        <v>0</v>
      </c>
      <c r="H117" s="27">
        <v>0.0</v>
      </c>
      <c r="I117" s="23">
        <f>IFERROR(H117/H148, "NA")</f>
        <v>0</v>
      </c>
      <c r="J117" s="27">
        <v>0.0</v>
      </c>
      <c r="K117" s="23">
        <f>IFERROR(J117/J148, "NA")</f>
        <v>0</v>
      </c>
      <c r="L117" s="27">
        <v>0.0</v>
      </c>
      <c r="M117" s="23">
        <f>IFERROR(L117/L148, "NA")</f>
        <v>0</v>
      </c>
      <c r="N117" s="27">
        <v>0.0</v>
      </c>
      <c r="O117" s="23">
        <f>IFERROR(N117/N148, "NA")</f>
        <v>0</v>
      </c>
      <c r="P117" s="27">
        <v>0.0</v>
      </c>
      <c r="Q117" s="23">
        <f>IFERROR(P117/P148, "NA")</f>
        <v>0</v>
      </c>
      <c r="R117" s="27">
        <v>0.0</v>
      </c>
      <c r="S117" s="23">
        <f>IFERROR(R117/R148, "NA")</f>
        <v>0</v>
      </c>
      <c r="T117" s="27">
        <v>0.0</v>
      </c>
      <c r="U117" s="23">
        <f>IFERROR(T117/T148, "NA")</f>
        <v>0</v>
      </c>
      <c r="V117" s="27">
        <v>0.0</v>
      </c>
      <c r="W117" s="23">
        <f>IFERROR(V117/V148, "NA")</f>
        <v>0</v>
      </c>
      <c r="X117" s="27">
        <v>0.0</v>
      </c>
      <c r="Y117" s="23">
        <f>IFERROR(X117/X148, "NA")</f>
        <v>0</v>
      </c>
      <c r="Z117" s="27">
        <v>0.0</v>
      </c>
      <c r="AA117" s="23">
        <f>IFERROR(Z117/Z148, "NA")</f>
        <v>0</v>
      </c>
      <c r="AB117" s="59">
        <f t="shared" si="55"/>
        <v>0</v>
      </c>
      <c r="AC117" s="23">
        <f>IFERROR(AB117/AB148, "NA")</f>
        <v>0</v>
      </c>
      <c r="AD117" s="61">
        <f t="shared" si="56"/>
        <v>0</v>
      </c>
      <c r="AE117" s="63">
        <f>IFERROR(AD117/AD148, "NA")</f>
        <v>0</v>
      </c>
      <c r="AF117" s="61" t="str">
        <f t="shared" si="57"/>
        <v>NA</v>
      </c>
      <c r="AG117" s="59">
        <f t="shared" si="58"/>
        <v>0</v>
      </c>
      <c r="AH117" s="23">
        <f>IFERROR(AG117/AG148, "NA")</f>
        <v>0</v>
      </c>
      <c r="AI117" s="61">
        <f t="shared" si="59"/>
        <v>0</v>
      </c>
      <c r="AJ117" s="63">
        <f>IFERROR(AI117/AI148, "NA")</f>
        <v>0</v>
      </c>
      <c r="AK117" s="61" t="str">
        <f t="shared" si="60"/>
        <v>NA</v>
      </c>
      <c r="AL117" s="63" t="str">
        <f>IFERROR(AK117/AK148, "NA")</f>
        <v>NA</v>
      </c>
    </row>
    <row r="118" ht="16.5" hidden="1" customHeight="1">
      <c r="A118" s="26" t="s">
        <v>218</v>
      </c>
      <c r="B118" s="27">
        <v>0.0</v>
      </c>
      <c r="C118" s="23">
        <f>IFERROR(B118/B148, "NA")</f>
        <v>0</v>
      </c>
      <c r="D118" s="27">
        <v>0.0</v>
      </c>
      <c r="E118" s="23">
        <f>IFERROR(D118/D148, "NA")</f>
        <v>0</v>
      </c>
      <c r="F118" s="27">
        <v>0.0</v>
      </c>
      <c r="G118" s="23">
        <f>IFERROR(F118/F148, "NA")</f>
        <v>0</v>
      </c>
      <c r="H118" s="27">
        <v>0.0</v>
      </c>
      <c r="I118" s="23">
        <f>IFERROR(H118/H148, "NA")</f>
        <v>0</v>
      </c>
      <c r="J118" s="27">
        <v>0.0</v>
      </c>
      <c r="K118" s="23">
        <f>IFERROR(J118/J148, "NA")</f>
        <v>0</v>
      </c>
      <c r="L118" s="27">
        <v>0.0</v>
      </c>
      <c r="M118" s="23">
        <f>IFERROR(L118/L148, "NA")</f>
        <v>0</v>
      </c>
      <c r="N118" s="27">
        <v>0.0</v>
      </c>
      <c r="O118" s="23">
        <f>IFERROR(N118/N148, "NA")</f>
        <v>0</v>
      </c>
      <c r="P118" s="27">
        <v>0.0</v>
      </c>
      <c r="Q118" s="23">
        <f>IFERROR(P118/P148, "NA")</f>
        <v>0</v>
      </c>
      <c r="R118" s="27">
        <v>0.0</v>
      </c>
      <c r="S118" s="23">
        <f>IFERROR(R118/R148, "NA")</f>
        <v>0</v>
      </c>
      <c r="T118" s="27">
        <v>0.0</v>
      </c>
      <c r="U118" s="23">
        <f>IFERROR(T118/T148, "NA")</f>
        <v>0</v>
      </c>
      <c r="V118" s="27">
        <v>0.0</v>
      </c>
      <c r="W118" s="23">
        <f>IFERROR(V118/V148, "NA")</f>
        <v>0</v>
      </c>
      <c r="X118" s="27">
        <v>0.0</v>
      </c>
      <c r="Y118" s="23">
        <f>IFERROR(X118/X148, "NA")</f>
        <v>0</v>
      </c>
      <c r="Z118" s="27">
        <v>0.0</v>
      </c>
      <c r="AA118" s="23">
        <f>IFERROR(Z118/Z148, "NA")</f>
        <v>0</v>
      </c>
      <c r="AB118" s="59">
        <f t="shared" si="55"/>
        <v>0</v>
      </c>
      <c r="AC118" s="23">
        <f>IFERROR(AB118/AB148, "NA")</f>
        <v>0</v>
      </c>
      <c r="AD118" s="61">
        <f t="shared" si="56"/>
        <v>0</v>
      </c>
      <c r="AE118" s="63">
        <f>IFERROR(AD118/AD148, "NA")</f>
        <v>0</v>
      </c>
      <c r="AF118" s="61" t="str">
        <f t="shared" si="57"/>
        <v>NA</v>
      </c>
      <c r="AG118" s="59">
        <f t="shared" si="58"/>
        <v>0</v>
      </c>
      <c r="AH118" s="23">
        <f>IFERROR(AG118/AG148, "NA")</f>
        <v>0</v>
      </c>
      <c r="AI118" s="61">
        <f t="shared" si="59"/>
        <v>0</v>
      </c>
      <c r="AJ118" s="63">
        <f>IFERROR(AI118/AI148, "NA")</f>
        <v>0</v>
      </c>
      <c r="AK118" s="61" t="str">
        <f t="shared" si="60"/>
        <v>NA</v>
      </c>
      <c r="AL118" s="63" t="str">
        <f>IFERROR(AK118/AK148, "NA")</f>
        <v>NA</v>
      </c>
    </row>
    <row r="119" ht="16.5" hidden="1" customHeight="1">
      <c r="A119" s="26" t="s">
        <v>219</v>
      </c>
      <c r="B119" s="27">
        <v>0.0</v>
      </c>
      <c r="C119" s="23">
        <f>IFERROR(B119/B148, "NA")</f>
        <v>0</v>
      </c>
      <c r="D119" s="27">
        <v>0.0</v>
      </c>
      <c r="E119" s="23">
        <f>IFERROR(D119/D148, "NA")</f>
        <v>0</v>
      </c>
      <c r="F119" s="27">
        <v>0.0</v>
      </c>
      <c r="G119" s="23">
        <f>IFERROR(F119/F148, "NA")</f>
        <v>0</v>
      </c>
      <c r="H119" s="27">
        <v>0.0</v>
      </c>
      <c r="I119" s="23">
        <f>IFERROR(H119/H148, "NA")</f>
        <v>0</v>
      </c>
      <c r="J119" s="27">
        <v>0.0</v>
      </c>
      <c r="K119" s="23">
        <f>IFERROR(J119/J148, "NA")</f>
        <v>0</v>
      </c>
      <c r="L119" s="27">
        <v>0.0</v>
      </c>
      <c r="M119" s="23">
        <f>IFERROR(L119/L148, "NA")</f>
        <v>0</v>
      </c>
      <c r="N119" s="27">
        <v>0.0</v>
      </c>
      <c r="O119" s="23">
        <f>IFERROR(N119/N148, "NA")</f>
        <v>0</v>
      </c>
      <c r="P119" s="27">
        <v>0.0</v>
      </c>
      <c r="Q119" s="23">
        <f>IFERROR(P119/P148, "NA")</f>
        <v>0</v>
      </c>
      <c r="R119" s="27">
        <v>0.0</v>
      </c>
      <c r="S119" s="23">
        <f>IFERROR(R119/R148, "NA")</f>
        <v>0</v>
      </c>
      <c r="T119" s="27">
        <v>0.0</v>
      </c>
      <c r="U119" s="23">
        <f>IFERROR(T119/T148, "NA")</f>
        <v>0</v>
      </c>
      <c r="V119" s="27">
        <v>0.0</v>
      </c>
      <c r="W119" s="23">
        <f>IFERROR(V119/V148, "NA")</f>
        <v>0</v>
      </c>
      <c r="X119" s="27">
        <v>0.0</v>
      </c>
      <c r="Y119" s="23">
        <f>IFERROR(X119/X148, "NA")</f>
        <v>0</v>
      </c>
      <c r="Z119" s="27">
        <v>0.0</v>
      </c>
      <c r="AA119" s="23">
        <f>IFERROR(Z119/Z148, "NA")</f>
        <v>0</v>
      </c>
      <c r="AB119" s="59">
        <f t="shared" si="55"/>
        <v>0</v>
      </c>
      <c r="AC119" s="23">
        <f>IFERROR(AB119/AB148, "NA")</f>
        <v>0</v>
      </c>
      <c r="AD119" s="61">
        <f t="shared" si="56"/>
        <v>0</v>
      </c>
      <c r="AE119" s="63">
        <f>IFERROR(AD119/AD148, "NA")</f>
        <v>0</v>
      </c>
      <c r="AF119" s="61" t="str">
        <f t="shared" si="57"/>
        <v>NA</v>
      </c>
      <c r="AG119" s="59">
        <f t="shared" si="58"/>
        <v>0</v>
      </c>
      <c r="AH119" s="23">
        <f>IFERROR(AG119/AG148, "NA")</f>
        <v>0</v>
      </c>
      <c r="AI119" s="61">
        <f t="shared" si="59"/>
        <v>0</v>
      </c>
      <c r="AJ119" s="63">
        <f>IFERROR(AI119/AI148, "NA")</f>
        <v>0</v>
      </c>
      <c r="AK119" s="61" t="str">
        <f t="shared" si="60"/>
        <v>NA</v>
      </c>
      <c r="AL119" s="63" t="str">
        <f>IFERROR(AK119/AK148, "NA")</f>
        <v>NA</v>
      </c>
    </row>
    <row r="120" ht="16.5" hidden="1" customHeight="1">
      <c r="A120" s="26" t="s">
        <v>220</v>
      </c>
      <c r="B120" s="27">
        <v>0.0</v>
      </c>
      <c r="C120" s="23">
        <f>IFERROR(B120/B148, "NA")</f>
        <v>0</v>
      </c>
      <c r="D120" s="27">
        <v>0.0</v>
      </c>
      <c r="E120" s="23">
        <f>IFERROR(D120/D148, "NA")</f>
        <v>0</v>
      </c>
      <c r="F120" s="27">
        <v>0.0</v>
      </c>
      <c r="G120" s="23">
        <f>IFERROR(F120/F148, "NA")</f>
        <v>0</v>
      </c>
      <c r="H120" s="27">
        <v>0.0</v>
      </c>
      <c r="I120" s="23">
        <f>IFERROR(H120/H148, "NA")</f>
        <v>0</v>
      </c>
      <c r="J120" s="27">
        <v>0.0</v>
      </c>
      <c r="K120" s="23">
        <f>IFERROR(J120/J148, "NA")</f>
        <v>0</v>
      </c>
      <c r="L120" s="27">
        <v>0.0</v>
      </c>
      <c r="M120" s="23">
        <f>IFERROR(L120/L148, "NA")</f>
        <v>0</v>
      </c>
      <c r="N120" s="27">
        <v>0.0</v>
      </c>
      <c r="O120" s="23">
        <f>IFERROR(N120/N148, "NA")</f>
        <v>0</v>
      </c>
      <c r="P120" s="27">
        <v>0.0</v>
      </c>
      <c r="Q120" s="23">
        <f>IFERROR(P120/P148, "NA")</f>
        <v>0</v>
      </c>
      <c r="R120" s="27">
        <v>0.0</v>
      </c>
      <c r="S120" s="23">
        <f>IFERROR(R120/R148, "NA")</f>
        <v>0</v>
      </c>
      <c r="T120" s="27">
        <v>0.0</v>
      </c>
      <c r="U120" s="23">
        <f>IFERROR(T120/T148, "NA")</f>
        <v>0</v>
      </c>
      <c r="V120" s="27">
        <v>0.0</v>
      </c>
      <c r="W120" s="23">
        <f>IFERROR(V120/V148, "NA")</f>
        <v>0</v>
      </c>
      <c r="X120" s="27">
        <v>0.0</v>
      </c>
      <c r="Y120" s="23">
        <f>IFERROR(X120/X148, "NA")</f>
        <v>0</v>
      </c>
      <c r="Z120" s="27">
        <v>0.0</v>
      </c>
      <c r="AA120" s="23">
        <f>IFERROR(Z120/Z148, "NA")</f>
        <v>0</v>
      </c>
      <c r="AB120" s="59">
        <f t="shared" si="55"/>
        <v>0</v>
      </c>
      <c r="AC120" s="23">
        <f>IFERROR(AB120/AB148, "NA")</f>
        <v>0</v>
      </c>
      <c r="AD120" s="61">
        <f t="shared" si="56"/>
        <v>0</v>
      </c>
      <c r="AE120" s="63">
        <f>IFERROR(AD120/AD148, "NA")</f>
        <v>0</v>
      </c>
      <c r="AF120" s="61" t="str">
        <f t="shared" si="57"/>
        <v>NA</v>
      </c>
      <c r="AG120" s="59">
        <f t="shared" si="58"/>
        <v>0</v>
      </c>
      <c r="AH120" s="23">
        <f>IFERROR(AG120/AG148, "NA")</f>
        <v>0</v>
      </c>
      <c r="AI120" s="61">
        <f t="shared" si="59"/>
        <v>0</v>
      </c>
      <c r="AJ120" s="63">
        <f>IFERROR(AI120/AI148, "NA")</f>
        <v>0</v>
      </c>
      <c r="AK120" s="61" t="str">
        <f t="shared" si="60"/>
        <v>NA</v>
      </c>
      <c r="AL120" s="63" t="str">
        <f>IFERROR(AK120/AK148, "NA")</f>
        <v>NA</v>
      </c>
    </row>
    <row r="121" ht="16.5" hidden="1" customHeight="1">
      <c r="A121" s="26" t="s">
        <v>221</v>
      </c>
      <c r="B121" s="27">
        <v>0.0</v>
      </c>
      <c r="C121" s="23">
        <f>IFERROR(B121/B148, "NA")</f>
        <v>0</v>
      </c>
      <c r="D121" s="27">
        <v>0.0</v>
      </c>
      <c r="E121" s="23">
        <f>IFERROR(D121/D148, "NA")</f>
        <v>0</v>
      </c>
      <c r="F121" s="27">
        <v>0.0</v>
      </c>
      <c r="G121" s="23">
        <f>IFERROR(F121/F148, "NA")</f>
        <v>0</v>
      </c>
      <c r="H121" s="27">
        <v>0.0</v>
      </c>
      <c r="I121" s="23">
        <f>IFERROR(H121/H148, "NA")</f>
        <v>0</v>
      </c>
      <c r="J121" s="27">
        <v>0.0</v>
      </c>
      <c r="K121" s="23">
        <f>IFERROR(J121/J148, "NA")</f>
        <v>0</v>
      </c>
      <c r="L121" s="27">
        <v>0.0</v>
      </c>
      <c r="M121" s="23">
        <f>IFERROR(L121/L148, "NA")</f>
        <v>0</v>
      </c>
      <c r="N121" s="27">
        <v>0.0</v>
      </c>
      <c r="O121" s="23">
        <f>IFERROR(N121/N148, "NA")</f>
        <v>0</v>
      </c>
      <c r="P121" s="27">
        <v>0.0</v>
      </c>
      <c r="Q121" s="23">
        <f>IFERROR(P121/P148, "NA")</f>
        <v>0</v>
      </c>
      <c r="R121" s="27">
        <v>0.0</v>
      </c>
      <c r="S121" s="23">
        <f>IFERROR(R121/R148, "NA")</f>
        <v>0</v>
      </c>
      <c r="T121" s="27">
        <v>0.0</v>
      </c>
      <c r="U121" s="23">
        <f>IFERROR(T121/T148, "NA")</f>
        <v>0</v>
      </c>
      <c r="V121" s="27">
        <v>0.0</v>
      </c>
      <c r="W121" s="23">
        <f>IFERROR(V121/V148, "NA")</f>
        <v>0</v>
      </c>
      <c r="X121" s="27">
        <v>0.0</v>
      </c>
      <c r="Y121" s="23">
        <f>IFERROR(X121/X148, "NA")</f>
        <v>0</v>
      </c>
      <c r="Z121" s="27">
        <v>0.0</v>
      </c>
      <c r="AA121" s="23">
        <f>IFERROR(Z121/Z148, "NA")</f>
        <v>0</v>
      </c>
      <c r="AB121" s="59">
        <f t="shared" si="55"/>
        <v>0</v>
      </c>
      <c r="AC121" s="23">
        <f>IFERROR(AB121/AB148, "NA")</f>
        <v>0</v>
      </c>
      <c r="AD121" s="61">
        <f t="shared" si="56"/>
        <v>0</v>
      </c>
      <c r="AE121" s="63">
        <f>IFERROR(AD121/AD148, "NA")</f>
        <v>0</v>
      </c>
      <c r="AF121" s="61" t="str">
        <f t="shared" si="57"/>
        <v>NA</v>
      </c>
      <c r="AG121" s="59">
        <f t="shared" si="58"/>
        <v>0</v>
      </c>
      <c r="AH121" s="23">
        <f>IFERROR(AG121/AG148, "NA")</f>
        <v>0</v>
      </c>
      <c r="AI121" s="61">
        <f t="shared" si="59"/>
        <v>0</v>
      </c>
      <c r="AJ121" s="63">
        <f>IFERROR(AI121/AI148, "NA")</f>
        <v>0</v>
      </c>
      <c r="AK121" s="61" t="str">
        <f t="shared" si="60"/>
        <v>NA</v>
      </c>
      <c r="AL121" s="63" t="str">
        <f>IFERROR(AK121/AK148, "NA")</f>
        <v>NA</v>
      </c>
    </row>
    <row r="122" ht="16.5" hidden="1" customHeight="1">
      <c r="A122" s="26" t="s">
        <v>222</v>
      </c>
      <c r="B122" s="27">
        <v>0.0</v>
      </c>
      <c r="C122" s="23">
        <f>IFERROR(B122/B148, "NA")</f>
        <v>0</v>
      </c>
      <c r="D122" s="27">
        <v>0.0</v>
      </c>
      <c r="E122" s="23">
        <f>IFERROR(D122/D148, "NA")</f>
        <v>0</v>
      </c>
      <c r="F122" s="27">
        <v>0.0</v>
      </c>
      <c r="G122" s="23">
        <f>IFERROR(F122/F148, "NA")</f>
        <v>0</v>
      </c>
      <c r="H122" s="27">
        <v>0.0</v>
      </c>
      <c r="I122" s="23">
        <f>IFERROR(H122/H148, "NA")</f>
        <v>0</v>
      </c>
      <c r="J122" s="27">
        <v>0.0</v>
      </c>
      <c r="K122" s="23">
        <f>IFERROR(J122/J148, "NA")</f>
        <v>0</v>
      </c>
      <c r="L122" s="27">
        <v>0.0</v>
      </c>
      <c r="M122" s="23">
        <f>IFERROR(L122/L148, "NA")</f>
        <v>0</v>
      </c>
      <c r="N122" s="27">
        <v>0.0</v>
      </c>
      <c r="O122" s="23">
        <f>IFERROR(N122/N148, "NA")</f>
        <v>0</v>
      </c>
      <c r="P122" s="27">
        <v>0.0</v>
      </c>
      <c r="Q122" s="23">
        <f>IFERROR(P122/P148, "NA")</f>
        <v>0</v>
      </c>
      <c r="R122" s="27">
        <v>0.0</v>
      </c>
      <c r="S122" s="23">
        <f>IFERROR(R122/R148, "NA")</f>
        <v>0</v>
      </c>
      <c r="T122" s="27">
        <v>0.0</v>
      </c>
      <c r="U122" s="23">
        <f>IFERROR(T122/T148, "NA")</f>
        <v>0</v>
      </c>
      <c r="V122" s="27">
        <v>0.0</v>
      </c>
      <c r="W122" s="23">
        <f>IFERROR(V122/V148, "NA")</f>
        <v>0</v>
      </c>
      <c r="X122" s="27">
        <v>0.0</v>
      </c>
      <c r="Y122" s="23">
        <f>IFERROR(X122/X148, "NA")</f>
        <v>0</v>
      </c>
      <c r="Z122" s="27">
        <v>0.0</v>
      </c>
      <c r="AA122" s="23">
        <f>IFERROR(Z122/Z148, "NA")</f>
        <v>0</v>
      </c>
      <c r="AB122" s="59">
        <f t="shared" si="55"/>
        <v>0</v>
      </c>
      <c r="AC122" s="23">
        <f>IFERROR(AB122/AB148, "NA")</f>
        <v>0</v>
      </c>
      <c r="AD122" s="61">
        <f t="shared" si="56"/>
        <v>0</v>
      </c>
      <c r="AE122" s="63">
        <f>IFERROR(AD122/AD148, "NA")</f>
        <v>0</v>
      </c>
      <c r="AF122" s="61" t="str">
        <f t="shared" si="57"/>
        <v>NA</v>
      </c>
      <c r="AG122" s="59">
        <f t="shared" si="58"/>
        <v>0</v>
      </c>
      <c r="AH122" s="23">
        <f>IFERROR(AG122/AG148, "NA")</f>
        <v>0</v>
      </c>
      <c r="AI122" s="61">
        <f t="shared" si="59"/>
        <v>0</v>
      </c>
      <c r="AJ122" s="63">
        <f>IFERROR(AI122/AI148, "NA")</f>
        <v>0</v>
      </c>
      <c r="AK122" s="61" t="str">
        <f t="shared" si="60"/>
        <v>NA</v>
      </c>
      <c r="AL122" s="63" t="str">
        <f>IFERROR(AK122/AK148, "NA")</f>
        <v>NA</v>
      </c>
    </row>
    <row r="123" ht="16.5" hidden="1" customHeight="1">
      <c r="A123" s="26" t="s">
        <v>223</v>
      </c>
      <c r="B123" s="27">
        <v>0.0</v>
      </c>
      <c r="C123" s="23">
        <f>IFERROR(B123/B148, "NA")</f>
        <v>0</v>
      </c>
      <c r="D123" s="27">
        <v>0.0</v>
      </c>
      <c r="E123" s="23">
        <f>IFERROR(D123/D148, "NA")</f>
        <v>0</v>
      </c>
      <c r="F123" s="27">
        <v>0.0</v>
      </c>
      <c r="G123" s="23">
        <f>IFERROR(F123/F148, "NA")</f>
        <v>0</v>
      </c>
      <c r="H123" s="27">
        <v>0.0</v>
      </c>
      <c r="I123" s="23">
        <f>IFERROR(H123/H148, "NA")</f>
        <v>0</v>
      </c>
      <c r="J123" s="27">
        <v>0.0</v>
      </c>
      <c r="K123" s="23">
        <f>IFERROR(J123/J148, "NA")</f>
        <v>0</v>
      </c>
      <c r="L123" s="27">
        <v>0.0</v>
      </c>
      <c r="M123" s="23">
        <f>IFERROR(L123/L148, "NA")</f>
        <v>0</v>
      </c>
      <c r="N123" s="27">
        <v>0.0</v>
      </c>
      <c r="O123" s="23">
        <f>IFERROR(N123/N148, "NA")</f>
        <v>0</v>
      </c>
      <c r="P123" s="27">
        <v>0.0</v>
      </c>
      <c r="Q123" s="23">
        <f>IFERROR(P123/P148, "NA")</f>
        <v>0</v>
      </c>
      <c r="R123" s="27">
        <v>0.0</v>
      </c>
      <c r="S123" s="23">
        <f>IFERROR(R123/R148, "NA")</f>
        <v>0</v>
      </c>
      <c r="T123" s="27">
        <v>0.0</v>
      </c>
      <c r="U123" s="23">
        <f>IFERROR(T123/T148, "NA")</f>
        <v>0</v>
      </c>
      <c r="V123" s="27">
        <v>0.0</v>
      </c>
      <c r="W123" s="23">
        <f>IFERROR(V123/V148, "NA")</f>
        <v>0</v>
      </c>
      <c r="X123" s="27">
        <v>0.0</v>
      </c>
      <c r="Y123" s="23">
        <f>IFERROR(X123/X148, "NA")</f>
        <v>0</v>
      </c>
      <c r="Z123" s="27">
        <v>0.0</v>
      </c>
      <c r="AA123" s="23">
        <f>IFERROR(Z123/Z148, "NA")</f>
        <v>0</v>
      </c>
      <c r="AB123" s="59">
        <f t="shared" si="55"/>
        <v>0</v>
      </c>
      <c r="AC123" s="23">
        <f>IFERROR(AB123/AB148, "NA")</f>
        <v>0</v>
      </c>
      <c r="AD123" s="61">
        <f t="shared" si="56"/>
        <v>0</v>
      </c>
      <c r="AE123" s="63">
        <f>IFERROR(AD123/AD148, "NA")</f>
        <v>0</v>
      </c>
      <c r="AF123" s="61" t="str">
        <f t="shared" si="57"/>
        <v>NA</v>
      </c>
      <c r="AG123" s="59">
        <f t="shared" si="58"/>
        <v>0</v>
      </c>
      <c r="AH123" s="23">
        <f>IFERROR(AG123/AG148, "NA")</f>
        <v>0</v>
      </c>
      <c r="AI123" s="61">
        <f t="shared" si="59"/>
        <v>0</v>
      </c>
      <c r="AJ123" s="63">
        <f>IFERROR(AI123/AI148, "NA")</f>
        <v>0</v>
      </c>
      <c r="AK123" s="61" t="str">
        <f t="shared" si="60"/>
        <v>NA</v>
      </c>
      <c r="AL123" s="63" t="str">
        <f>IFERROR(AK123/AK148, "NA")</f>
        <v>NA</v>
      </c>
    </row>
    <row r="124" ht="16.5" hidden="1" customHeight="1">
      <c r="A124" s="26" t="s">
        <v>224</v>
      </c>
      <c r="B124" s="27">
        <v>0.0</v>
      </c>
      <c r="C124" s="23">
        <f>IFERROR(B124/B148, "NA")</f>
        <v>0</v>
      </c>
      <c r="D124" s="27">
        <v>0.0</v>
      </c>
      <c r="E124" s="23">
        <f>IFERROR(D124/D148, "NA")</f>
        <v>0</v>
      </c>
      <c r="F124" s="27">
        <v>0.0</v>
      </c>
      <c r="G124" s="23">
        <f>IFERROR(F124/F148, "NA")</f>
        <v>0</v>
      </c>
      <c r="H124" s="27">
        <v>0.0</v>
      </c>
      <c r="I124" s="23">
        <f>IFERROR(H124/H148, "NA")</f>
        <v>0</v>
      </c>
      <c r="J124" s="27">
        <v>0.0</v>
      </c>
      <c r="K124" s="23">
        <f>IFERROR(J124/J148, "NA")</f>
        <v>0</v>
      </c>
      <c r="L124" s="27">
        <v>0.0</v>
      </c>
      <c r="M124" s="23">
        <f>IFERROR(L124/L148, "NA")</f>
        <v>0</v>
      </c>
      <c r="N124" s="27">
        <v>0.0</v>
      </c>
      <c r="O124" s="23">
        <f>IFERROR(N124/N148, "NA")</f>
        <v>0</v>
      </c>
      <c r="P124" s="27">
        <v>0.0</v>
      </c>
      <c r="Q124" s="23">
        <f>IFERROR(P124/P148, "NA")</f>
        <v>0</v>
      </c>
      <c r="R124" s="27">
        <v>0.0</v>
      </c>
      <c r="S124" s="23">
        <f>IFERROR(R124/R148, "NA")</f>
        <v>0</v>
      </c>
      <c r="T124" s="27">
        <v>0.0</v>
      </c>
      <c r="U124" s="23">
        <f>IFERROR(T124/T148, "NA")</f>
        <v>0</v>
      </c>
      <c r="V124" s="27">
        <v>0.0</v>
      </c>
      <c r="W124" s="23">
        <f>IFERROR(V124/V148, "NA")</f>
        <v>0</v>
      </c>
      <c r="X124" s="27">
        <v>0.0</v>
      </c>
      <c r="Y124" s="23">
        <f>IFERROR(X124/X148, "NA")</f>
        <v>0</v>
      </c>
      <c r="Z124" s="27">
        <v>0.0</v>
      </c>
      <c r="AA124" s="23">
        <f>IFERROR(Z124/Z148, "NA")</f>
        <v>0</v>
      </c>
      <c r="AB124" s="59">
        <f t="shared" si="55"/>
        <v>0</v>
      </c>
      <c r="AC124" s="23">
        <f>IFERROR(AB124/AB148, "NA")</f>
        <v>0</v>
      </c>
      <c r="AD124" s="61">
        <f t="shared" si="56"/>
        <v>0</v>
      </c>
      <c r="AE124" s="63">
        <f>IFERROR(AD124/AD148, "NA")</f>
        <v>0</v>
      </c>
      <c r="AF124" s="61" t="str">
        <f t="shared" si="57"/>
        <v>NA</v>
      </c>
      <c r="AG124" s="59">
        <f t="shared" si="58"/>
        <v>0</v>
      </c>
      <c r="AH124" s="23">
        <f>IFERROR(AG124/AG148, "NA")</f>
        <v>0</v>
      </c>
      <c r="AI124" s="61">
        <f t="shared" si="59"/>
        <v>0</v>
      </c>
      <c r="AJ124" s="63">
        <f>IFERROR(AI124/AI148, "NA")</f>
        <v>0</v>
      </c>
      <c r="AK124" s="61" t="str">
        <f t="shared" si="60"/>
        <v>NA</v>
      </c>
      <c r="AL124" s="63" t="str">
        <f>IFERROR(AK124/AK148, "NA")</f>
        <v>NA</v>
      </c>
    </row>
    <row r="125" ht="16.5" hidden="1" customHeight="1">
      <c r="A125" s="26" t="s">
        <v>225</v>
      </c>
      <c r="B125" s="27">
        <v>0.0</v>
      </c>
      <c r="C125" s="23">
        <f>IFERROR(B125/B148, "NA")</f>
        <v>0</v>
      </c>
      <c r="D125" s="27">
        <v>0.0</v>
      </c>
      <c r="E125" s="23">
        <f>IFERROR(D125/D148, "NA")</f>
        <v>0</v>
      </c>
      <c r="F125" s="27">
        <v>0.0</v>
      </c>
      <c r="G125" s="23">
        <f>IFERROR(F125/F148, "NA")</f>
        <v>0</v>
      </c>
      <c r="H125" s="27">
        <v>0.0</v>
      </c>
      <c r="I125" s="23">
        <f>IFERROR(H125/H148, "NA")</f>
        <v>0</v>
      </c>
      <c r="J125" s="27">
        <v>0.0</v>
      </c>
      <c r="K125" s="23">
        <f>IFERROR(J125/J148, "NA")</f>
        <v>0</v>
      </c>
      <c r="L125" s="27">
        <v>0.0</v>
      </c>
      <c r="M125" s="23">
        <f>IFERROR(L125/L148, "NA")</f>
        <v>0</v>
      </c>
      <c r="N125" s="27">
        <v>0.0</v>
      </c>
      <c r="O125" s="23">
        <f>IFERROR(N125/N148, "NA")</f>
        <v>0</v>
      </c>
      <c r="P125" s="27">
        <v>0.0</v>
      </c>
      <c r="Q125" s="23">
        <f>IFERROR(P125/P148, "NA")</f>
        <v>0</v>
      </c>
      <c r="R125" s="27">
        <v>0.0</v>
      </c>
      <c r="S125" s="23">
        <f>IFERROR(R125/R148, "NA")</f>
        <v>0</v>
      </c>
      <c r="T125" s="27">
        <v>0.0</v>
      </c>
      <c r="U125" s="23">
        <f>IFERROR(T125/T148, "NA")</f>
        <v>0</v>
      </c>
      <c r="V125" s="27">
        <v>0.0</v>
      </c>
      <c r="W125" s="23">
        <f>IFERROR(V125/V148, "NA")</f>
        <v>0</v>
      </c>
      <c r="X125" s="27">
        <v>0.0</v>
      </c>
      <c r="Y125" s="23">
        <f>IFERROR(X125/X148, "NA")</f>
        <v>0</v>
      </c>
      <c r="Z125" s="27">
        <v>0.0</v>
      </c>
      <c r="AA125" s="23">
        <f>IFERROR(Z125/Z148, "NA")</f>
        <v>0</v>
      </c>
      <c r="AB125" s="59">
        <f t="shared" si="55"/>
        <v>0</v>
      </c>
      <c r="AC125" s="23">
        <f>IFERROR(AB125/AB148, "NA")</f>
        <v>0</v>
      </c>
      <c r="AD125" s="61">
        <f t="shared" si="56"/>
        <v>0</v>
      </c>
      <c r="AE125" s="63">
        <f>IFERROR(AD125/AD148, "NA")</f>
        <v>0</v>
      </c>
      <c r="AF125" s="61" t="str">
        <f t="shared" si="57"/>
        <v>NA</v>
      </c>
      <c r="AG125" s="59">
        <f t="shared" si="58"/>
        <v>0</v>
      </c>
      <c r="AH125" s="23">
        <f>IFERROR(AG125/AG148, "NA")</f>
        <v>0</v>
      </c>
      <c r="AI125" s="61">
        <f t="shared" si="59"/>
        <v>0</v>
      </c>
      <c r="AJ125" s="63">
        <f>IFERROR(AI125/AI148, "NA")</f>
        <v>0</v>
      </c>
      <c r="AK125" s="61" t="str">
        <f t="shared" si="60"/>
        <v>NA</v>
      </c>
      <c r="AL125" s="63" t="str">
        <f>IFERROR(AK125/AK148, "NA")</f>
        <v>NA</v>
      </c>
    </row>
    <row r="126" ht="16.5" hidden="1" customHeight="1">
      <c r="A126" s="26" t="s">
        <v>226</v>
      </c>
      <c r="B126" s="27">
        <v>0.0</v>
      </c>
      <c r="C126" s="23">
        <f>IFERROR(B126/B148, "NA")</f>
        <v>0</v>
      </c>
      <c r="D126" s="27">
        <v>0.0</v>
      </c>
      <c r="E126" s="23">
        <f>IFERROR(D126/D148, "NA")</f>
        <v>0</v>
      </c>
      <c r="F126" s="27">
        <v>0.0</v>
      </c>
      <c r="G126" s="23">
        <f>IFERROR(F126/F148, "NA")</f>
        <v>0</v>
      </c>
      <c r="H126" s="27">
        <v>0.0</v>
      </c>
      <c r="I126" s="23">
        <f>IFERROR(H126/H148, "NA")</f>
        <v>0</v>
      </c>
      <c r="J126" s="27">
        <v>0.0</v>
      </c>
      <c r="K126" s="23">
        <f>IFERROR(J126/J148, "NA")</f>
        <v>0</v>
      </c>
      <c r="L126" s="27">
        <v>0.0</v>
      </c>
      <c r="M126" s="23">
        <f>IFERROR(L126/L148, "NA")</f>
        <v>0</v>
      </c>
      <c r="N126" s="27">
        <v>0.0</v>
      </c>
      <c r="O126" s="23">
        <f>IFERROR(N126/N148, "NA")</f>
        <v>0</v>
      </c>
      <c r="P126" s="27">
        <v>0.0</v>
      </c>
      <c r="Q126" s="23">
        <f>IFERROR(P126/P148, "NA")</f>
        <v>0</v>
      </c>
      <c r="R126" s="27">
        <v>0.0</v>
      </c>
      <c r="S126" s="23">
        <f>IFERROR(R126/R148, "NA")</f>
        <v>0</v>
      </c>
      <c r="T126" s="27">
        <v>0.0</v>
      </c>
      <c r="U126" s="23">
        <f>IFERROR(T126/T148, "NA")</f>
        <v>0</v>
      </c>
      <c r="V126" s="27">
        <v>0.0</v>
      </c>
      <c r="W126" s="23">
        <f>IFERROR(V126/V148, "NA")</f>
        <v>0</v>
      </c>
      <c r="X126" s="27">
        <v>0.0</v>
      </c>
      <c r="Y126" s="23">
        <f>IFERROR(X126/X148, "NA")</f>
        <v>0</v>
      </c>
      <c r="Z126" s="27">
        <v>0.0</v>
      </c>
      <c r="AA126" s="23">
        <f>IFERROR(Z126/Z148, "NA")</f>
        <v>0</v>
      </c>
      <c r="AB126" s="59">
        <f t="shared" si="55"/>
        <v>0</v>
      </c>
      <c r="AC126" s="23">
        <f>IFERROR(AB126/AB148, "NA")</f>
        <v>0</v>
      </c>
      <c r="AD126" s="61">
        <f t="shared" si="56"/>
        <v>0</v>
      </c>
      <c r="AE126" s="63">
        <f>IFERROR(AD126/AD148, "NA")</f>
        <v>0</v>
      </c>
      <c r="AF126" s="61" t="str">
        <f t="shared" si="57"/>
        <v>NA</v>
      </c>
      <c r="AG126" s="59">
        <f t="shared" si="58"/>
        <v>0</v>
      </c>
      <c r="AH126" s="23">
        <f>IFERROR(AG126/AG148, "NA")</f>
        <v>0</v>
      </c>
      <c r="AI126" s="61">
        <f t="shared" si="59"/>
        <v>0</v>
      </c>
      <c r="AJ126" s="63">
        <f>IFERROR(AI126/AI148, "NA")</f>
        <v>0</v>
      </c>
      <c r="AK126" s="61" t="str">
        <f t="shared" si="60"/>
        <v>NA</v>
      </c>
      <c r="AL126" s="63" t="str">
        <f>IFERROR(AK126/AK148, "NA")</f>
        <v>NA</v>
      </c>
    </row>
    <row r="127" ht="16.5" hidden="1" customHeight="1">
      <c r="A127" s="26" t="s">
        <v>227</v>
      </c>
      <c r="B127" s="27">
        <v>0.0</v>
      </c>
      <c r="C127" s="23">
        <f>IFERROR(B127/B148, "NA")</f>
        <v>0</v>
      </c>
      <c r="D127" s="27">
        <v>0.0</v>
      </c>
      <c r="E127" s="23">
        <f>IFERROR(D127/D148, "NA")</f>
        <v>0</v>
      </c>
      <c r="F127" s="27">
        <v>0.0</v>
      </c>
      <c r="G127" s="23">
        <f>IFERROR(F127/F148, "NA")</f>
        <v>0</v>
      </c>
      <c r="H127" s="27">
        <v>0.0</v>
      </c>
      <c r="I127" s="23">
        <f>IFERROR(H127/H148, "NA")</f>
        <v>0</v>
      </c>
      <c r="J127" s="27">
        <v>0.0</v>
      </c>
      <c r="K127" s="23">
        <f>IFERROR(J127/J148, "NA")</f>
        <v>0</v>
      </c>
      <c r="L127" s="27">
        <v>0.0</v>
      </c>
      <c r="M127" s="23">
        <f>IFERROR(L127/L148, "NA")</f>
        <v>0</v>
      </c>
      <c r="N127" s="27">
        <v>0.0</v>
      </c>
      <c r="O127" s="23">
        <f>IFERROR(N127/N148, "NA")</f>
        <v>0</v>
      </c>
      <c r="P127" s="27">
        <v>0.0</v>
      </c>
      <c r="Q127" s="23">
        <f>IFERROR(P127/P148, "NA")</f>
        <v>0</v>
      </c>
      <c r="R127" s="27">
        <v>0.0</v>
      </c>
      <c r="S127" s="23">
        <f>IFERROR(R127/R148, "NA")</f>
        <v>0</v>
      </c>
      <c r="T127" s="27">
        <v>0.0</v>
      </c>
      <c r="U127" s="23">
        <f>IFERROR(T127/T148, "NA")</f>
        <v>0</v>
      </c>
      <c r="V127" s="27">
        <v>0.0</v>
      </c>
      <c r="W127" s="23">
        <f>IFERROR(V127/V148, "NA")</f>
        <v>0</v>
      </c>
      <c r="X127" s="27">
        <v>0.0</v>
      </c>
      <c r="Y127" s="23">
        <f>IFERROR(X127/X148, "NA")</f>
        <v>0</v>
      </c>
      <c r="Z127" s="27">
        <v>0.0</v>
      </c>
      <c r="AA127" s="23">
        <f>IFERROR(Z127/Z148, "NA")</f>
        <v>0</v>
      </c>
      <c r="AB127" s="59">
        <f t="shared" si="55"/>
        <v>0</v>
      </c>
      <c r="AC127" s="23">
        <f>IFERROR(AB127/AB148, "NA")</f>
        <v>0</v>
      </c>
      <c r="AD127" s="61">
        <f t="shared" si="56"/>
        <v>0</v>
      </c>
      <c r="AE127" s="63">
        <f>IFERROR(AD127/AD148, "NA")</f>
        <v>0</v>
      </c>
      <c r="AF127" s="61" t="str">
        <f t="shared" si="57"/>
        <v>NA</v>
      </c>
      <c r="AG127" s="59">
        <f t="shared" si="58"/>
        <v>0</v>
      </c>
      <c r="AH127" s="23">
        <f>IFERROR(AG127/AG148, "NA")</f>
        <v>0</v>
      </c>
      <c r="AI127" s="61">
        <f t="shared" si="59"/>
        <v>0</v>
      </c>
      <c r="AJ127" s="63">
        <f>IFERROR(AI127/AI148, "NA")</f>
        <v>0</v>
      </c>
      <c r="AK127" s="61" t="str">
        <f t="shared" si="60"/>
        <v>NA</v>
      </c>
      <c r="AL127" s="63" t="str">
        <f>IFERROR(AK127/AK148, "NA")</f>
        <v>NA</v>
      </c>
    </row>
    <row r="128" ht="16.5" hidden="1" customHeight="1">
      <c r="A128" s="26" t="s">
        <v>228</v>
      </c>
      <c r="B128" s="27">
        <v>512.42</v>
      </c>
      <c r="C128" s="23">
        <f>IFERROR(B128/B148, "NA")</f>
        <v>0.02133751517</v>
      </c>
      <c r="D128" s="27">
        <v>580.1300000000001</v>
      </c>
      <c r="E128" s="23">
        <f>IFERROR(D128/D148, "NA")</f>
        <v>0.02104120468</v>
      </c>
      <c r="F128" s="27">
        <v>-1716.3899999999999</v>
      </c>
      <c r="G128" s="23">
        <f>IFERROR(F128/F148, "NA")</f>
        <v>-0.05593570811</v>
      </c>
      <c r="H128" s="27">
        <v>472.74999999999994</v>
      </c>
      <c r="I128" s="23">
        <f>IFERROR(H128/H148, "NA")</f>
        <v>0.0221783737</v>
      </c>
      <c r="J128" s="27">
        <v>544.79</v>
      </c>
      <c r="K128" s="23">
        <f>IFERROR(J128/J148, "NA")</f>
        <v>0.01641063735</v>
      </c>
      <c r="L128" s="27">
        <v>535.04</v>
      </c>
      <c r="M128" s="23">
        <f>IFERROR(L128/L148, "NA")</f>
        <v>0.02050460553</v>
      </c>
      <c r="N128" s="27">
        <v>472.31999999999994</v>
      </c>
      <c r="O128" s="23">
        <f>IFERROR(N128/N148, "NA")</f>
        <v>0.01842508295</v>
      </c>
      <c r="P128" s="27">
        <v>-2024.8999999999999</v>
      </c>
      <c r="Q128" s="23">
        <f>IFERROR(P128/P148, "NA")</f>
        <v>-0.05879816425</v>
      </c>
      <c r="R128" s="27">
        <v>395.29</v>
      </c>
      <c r="S128" s="23">
        <f>IFERROR(R128/R148, "NA")</f>
        <v>0.01384607732</v>
      </c>
      <c r="T128" s="27">
        <v>517.84</v>
      </c>
      <c r="U128" s="23">
        <f>IFERROR(T128/T148, "NA")</f>
        <v>0.014841101</v>
      </c>
      <c r="V128" s="27">
        <v>495.83000000000004</v>
      </c>
      <c r="W128" s="23">
        <f>IFERROR(V128/V148, "NA")</f>
        <v>0.01090403687</v>
      </c>
      <c r="X128" s="27">
        <v>401.18</v>
      </c>
      <c r="Y128" s="23">
        <f>IFERROR(X128/X148, "NA")</f>
        <v>0.01029911539</v>
      </c>
      <c r="Z128" s="27">
        <v>1810.14</v>
      </c>
      <c r="AA128" s="23">
        <f>IFERROR(Z128/Z148, "NA")</f>
        <v>0.01224174453</v>
      </c>
      <c r="AB128" s="59">
        <f t="shared" si="55"/>
        <v>452.535</v>
      </c>
      <c r="AC128" s="23">
        <f>IFERROR(AB128/AB148, "NA")</f>
        <v>0.01224174453</v>
      </c>
      <c r="AD128" s="61">
        <f t="shared" si="56"/>
        <v>-51.355</v>
      </c>
      <c r="AE128" s="63">
        <f>IFERROR(AD128/AD148, "NA")</f>
        <v>-0.02585440879</v>
      </c>
      <c r="AF128" s="61">
        <f t="shared" si="57"/>
        <v>-0.113482935</v>
      </c>
      <c r="AG128" s="59">
        <f t="shared" si="58"/>
        <v>167.17375</v>
      </c>
      <c r="AH128" s="23">
        <f>IFERROR(AG128/AG148, "NA")</f>
        <v>0.005004640759</v>
      </c>
      <c r="AI128" s="61">
        <f t="shared" si="59"/>
        <v>234.00625</v>
      </c>
      <c r="AJ128" s="63">
        <f>IFERROR(AI128/AI148, "NA")</f>
        <v>0.04217002219</v>
      </c>
      <c r="AK128" s="61">
        <f t="shared" si="60"/>
        <v>1.399778673</v>
      </c>
      <c r="AL128" s="63">
        <f>IFERROR(AK128/AK148, "NA")</f>
        <v>8.426183661</v>
      </c>
    </row>
    <row r="129" ht="16.5" hidden="1" customHeight="1">
      <c r="A129" s="26" t="s">
        <v>229</v>
      </c>
      <c r="B129" s="27">
        <v>0.0</v>
      </c>
      <c r="C129" s="23">
        <f>IFERROR(B129/B148, "NA")</f>
        <v>0</v>
      </c>
      <c r="D129" s="27">
        <v>0.0</v>
      </c>
      <c r="E129" s="23">
        <f>IFERROR(D129/D148, "NA")</f>
        <v>0</v>
      </c>
      <c r="F129" s="27">
        <v>0.0</v>
      </c>
      <c r="G129" s="23">
        <f>IFERROR(F129/F148, "NA")</f>
        <v>0</v>
      </c>
      <c r="H129" s="27">
        <v>0.0</v>
      </c>
      <c r="I129" s="23">
        <f>IFERROR(H129/H148, "NA")</f>
        <v>0</v>
      </c>
      <c r="J129" s="27">
        <v>0.0</v>
      </c>
      <c r="K129" s="23">
        <f>IFERROR(J129/J148, "NA")</f>
        <v>0</v>
      </c>
      <c r="L129" s="27">
        <v>0.0</v>
      </c>
      <c r="M129" s="23">
        <f>IFERROR(L129/L148, "NA")</f>
        <v>0</v>
      </c>
      <c r="N129" s="27">
        <v>0.0</v>
      </c>
      <c r="O129" s="23">
        <f>IFERROR(N129/N148, "NA")</f>
        <v>0</v>
      </c>
      <c r="P129" s="27">
        <v>0.0</v>
      </c>
      <c r="Q129" s="23">
        <f>IFERROR(P129/P148, "NA")</f>
        <v>0</v>
      </c>
      <c r="R129" s="27">
        <v>0.0</v>
      </c>
      <c r="S129" s="23">
        <f>IFERROR(R129/R148, "NA")</f>
        <v>0</v>
      </c>
      <c r="T129" s="27">
        <v>0.0</v>
      </c>
      <c r="U129" s="23">
        <f>IFERROR(T129/T148, "NA")</f>
        <v>0</v>
      </c>
      <c r="V129" s="27">
        <v>0.0</v>
      </c>
      <c r="W129" s="23">
        <f>IFERROR(V129/V148, "NA")</f>
        <v>0</v>
      </c>
      <c r="X129" s="27">
        <v>0.0</v>
      </c>
      <c r="Y129" s="23">
        <f>IFERROR(X129/X148, "NA")</f>
        <v>0</v>
      </c>
      <c r="Z129" s="27">
        <v>0.0</v>
      </c>
      <c r="AA129" s="23">
        <f>IFERROR(Z129/Z148, "NA")</f>
        <v>0</v>
      </c>
      <c r="AB129" s="59">
        <f t="shared" si="55"/>
        <v>0</v>
      </c>
      <c r="AC129" s="23">
        <f>IFERROR(AB129/AB148, "NA")</f>
        <v>0</v>
      </c>
      <c r="AD129" s="61">
        <f t="shared" si="56"/>
        <v>0</v>
      </c>
      <c r="AE129" s="63">
        <f>IFERROR(AD129/AD148, "NA")</f>
        <v>0</v>
      </c>
      <c r="AF129" s="61" t="str">
        <f t="shared" si="57"/>
        <v>NA</v>
      </c>
      <c r="AG129" s="59">
        <f t="shared" si="58"/>
        <v>0</v>
      </c>
      <c r="AH129" s="23">
        <f>IFERROR(AG129/AG148, "NA")</f>
        <v>0</v>
      </c>
      <c r="AI129" s="61">
        <f t="shared" si="59"/>
        <v>0</v>
      </c>
      <c r="AJ129" s="63">
        <f>IFERROR(AI129/AI148, "NA")</f>
        <v>0</v>
      </c>
      <c r="AK129" s="61" t="str">
        <f t="shared" si="60"/>
        <v>NA</v>
      </c>
      <c r="AL129" s="63" t="str">
        <f>IFERROR(AK129/AK148, "NA")</f>
        <v>NA</v>
      </c>
    </row>
    <row r="130" ht="16.5" hidden="1" customHeight="1">
      <c r="A130" s="26" t="s">
        <v>230</v>
      </c>
      <c r="B130" s="27">
        <v>0.0</v>
      </c>
      <c r="C130" s="23">
        <f>IFERROR(B130/B148, "NA")</f>
        <v>0</v>
      </c>
      <c r="D130" s="27">
        <v>0.0</v>
      </c>
      <c r="E130" s="23">
        <f>IFERROR(D130/D148, "NA")</f>
        <v>0</v>
      </c>
      <c r="F130" s="27">
        <v>0.0</v>
      </c>
      <c r="G130" s="23">
        <f>IFERROR(F130/F148, "NA")</f>
        <v>0</v>
      </c>
      <c r="H130" s="27">
        <v>0.0</v>
      </c>
      <c r="I130" s="23">
        <f>IFERROR(H130/H148, "NA")</f>
        <v>0</v>
      </c>
      <c r="J130" s="27">
        <v>0.0</v>
      </c>
      <c r="K130" s="23">
        <f>IFERROR(J130/J148, "NA")</f>
        <v>0</v>
      </c>
      <c r="L130" s="27">
        <v>0.0</v>
      </c>
      <c r="M130" s="23">
        <f>IFERROR(L130/L148, "NA")</f>
        <v>0</v>
      </c>
      <c r="N130" s="27">
        <v>0.0</v>
      </c>
      <c r="O130" s="23">
        <f>IFERROR(N130/N148, "NA")</f>
        <v>0</v>
      </c>
      <c r="P130" s="27">
        <v>0.0</v>
      </c>
      <c r="Q130" s="23">
        <f>IFERROR(P130/P148, "NA")</f>
        <v>0</v>
      </c>
      <c r="R130" s="27">
        <v>0.0</v>
      </c>
      <c r="S130" s="23">
        <f>IFERROR(R130/R148, "NA")</f>
        <v>0</v>
      </c>
      <c r="T130" s="27">
        <v>0.0</v>
      </c>
      <c r="U130" s="23">
        <f>IFERROR(T130/T148, "NA")</f>
        <v>0</v>
      </c>
      <c r="V130" s="27">
        <v>0.0</v>
      </c>
      <c r="W130" s="23">
        <f>IFERROR(V130/V148, "NA")</f>
        <v>0</v>
      </c>
      <c r="X130" s="27">
        <v>0.0</v>
      </c>
      <c r="Y130" s="23">
        <f>IFERROR(X130/X148, "NA")</f>
        <v>0</v>
      </c>
      <c r="Z130" s="27">
        <v>0.0</v>
      </c>
      <c r="AA130" s="23">
        <f>IFERROR(Z130/Z148, "NA")</f>
        <v>0</v>
      </c>
      <c r="AB130" s="59">
        <f t="shared" si="55"/>
        <v>0</v>
      </c>
      <c r="AC130" s="23">
        <f>IFERROR(AB130/AB148, "NA")</f>
        <v>0</v>
      </c>
      <c r="AD130" s="61">
        <f t="shared" si="56"/>
        <v>0</v>
      </c>
      <c r="AE130" s="63">
        <f>IFERROR(AD130/AD148, "NA")</f>
        <v>0</v>
      </c>
      <c r="AF130" s="61" t="str">
        <f t="shared" si="57"/>
        <v>NA</v>
      </c>
      <c r="AG130" s="59">
        <f t="shared" si="58"/>
        <v>0</v>
      </c>
      <c r="AH130" s="23">
        <f>IFERROR(AG130/AG148, "NA")</f>
        <v>0</v>
      </c>
      <c r="AI130" s="61">
        <f t="shared" si="59"/>
        <v>0</v>
      </c>
      <c r="AJ130" s="63">
        <f>IFERROR(AI130/AI148, "NA")</f>
        <v>0</v>
      </c>
      <c r="AK130" s="61" t="str">
        <f t="shared" si="60"/>
        <v>NA</v>
      </c>
      <c r="AL130" s="63" t="str">
        <f>IFERROR(AK130/AK148, "NA")</f>
        <v>NA</v>
      </c>
    </row>
    <row r="131" ht="16.5" hidden="1" customHeight="1">
      <c r="A131" s="26" t="s">
        <v>231</v>
      </c>
      <c r="B131" s="27">
        <v>0.0</v>
      </c>
      <c r="C131" s="23">
        <f>IFERROR(B131/B148, "NA")</f>
        <v>0</v>
      </c>
      <c r="D131" s="27">
        <v>0.0</v>
      </c>
      <c r="E131" s="23">
        <f>IFERROR(D131/D148, "NA")</f>
        <v>0</v>
      </c>
      <c r="F131" s="27">
        <v>0.0</v>
      </c>
      <c r="G131" s="23">
        <f>IFERROR(F131/F148, "NA")</f>
        <v>0</v>
      </c>
      <c r="H131" s="27">
        <v>0.0</v>
      </c>
      <c r="I131" s="23">
        <f>IFERROR(H131/H148, "NA")</f>
        <v>0</v>
      </c>
      <c r="J131" s="27">
        <v>0.0</v>
      </c>
      <c r="K131" s="23">
        <f>IFERROR(J131/J148, "NA")</f>
        <v>0</v>
      </c>
      <c r="L131" s="27">
        <v>0.0</v>
      </c>
      <c r="M131" s="23">
        <f>IFERROR(L131/L148, "NA")</f>
        <v>0</v>
      </c>
      <c r="N131" s="27">
        <v>0.0</v>
      </c>
      <c r="O131" s="23">
        <f>IFERROR(N131/N148, "NA")</f>
        <v>0</v>
      </c>
      <c r="P131" s="27">
        <v>0.0</v>
      </c>
      <c r="Q131" s="23">
        <f>IFERROR(P131/P148, "NA")</f>
        <v>0</v>
      </c>
      <c r="R131" s="27">
        <v>0.0</v>
      </c>
      <c r="S131" s="23">
        <f>IFERROR(R131/R148, "NA")</f>
        <v>0</v>
      </c>
      <c r="T131" s="27">
        <v>0.0</v>
      </c>
      <c r="U131" s="23">
        <f>IFERROR(T131/T148, "NA")</f>
        <v>0</v>
      </c>
      <c r="V131" s="27">
        <v>0.0</v>
      </c>
      <c r="W131" s="23">
        <f>IFERROR(V131/V148, "NA")</f>
        <v>0</v>
      </c>
      <c r="X131" s="27">
        <v>0.0</v>
      </c>
      <c r="Y131" s="23">
        <f>IFERROR(X131/X148, "NA")</f>
        <v>0</v>
      </c>
      <c r="Z131" s="27">
        <v>0.0</v>
      </c>
      <c r="AA131" s="23">
        <f>IFERROR(Z131/Z148, "NA")</f>
        <v>0</v>
      </c>
      <c r="AB131" s="59">
        <f t="shared" si="55"/>
        <v>0</v>
      </c>
      <c r="AC131" s="23">
        <f>IFERROR(AB131/AB148, "NA")</f>
        <v>0</v>
      </c>
      <c r="AD131" s="61">
        <f t="shared" si="56"/>
        <v>0</v>
      </c>
      <c r="AE131" s="63">
        <f>IFERROR(AD131/AD148, "NA")</f>
        <v>0</v>
      </c>
      <c r="AF131" s="61" t="str">
        <f t="shared" si="57"/>
        <v>NA</v>
      </c>
      <c r="AG131" s="59">
        <f t="shared" si="58"/>
        <v>0</v>
      </c>
      <c r="AH131" s="23">
        <f>IFERROR(AG131/AG148, "NA")</f>
        <v>0</v>
      </c>
      <c r="AI131" s="61">
        <f t="shared" si="59"/>
        <v>0</v>
      </c>
      <c r="AJ131" s="63">
        <f>IFERROR(AI131/AI148, "NA")</f>
        <v>0</v>
      </c>
      <c r="AK131" s="61" t="str">
        <f t="shared" si="60"/>
        <v>NA</v>
      </c>
      <c r="AL131" s="63" t="str">
        <f>IFERROR(AK131/AK148, "NA")</f>
        <v>NA</v>
      </c>
    </row>
    <row r="132" ht="16.5" hidden="1" customHeight="1">
      <c r="A132" s="26" t="s">
        <v>232</v>
      </c>
      <c r="B132" s="27">
        <v>0.0</v>
      </c>
      <c r="C132" s="23">
        <f>IFERROR(B132/B148, "NA")</f>
        <v>0</v>
      </c>
      <c r="D132" s="27">
        <v>0.0</v>
      </c>
      <c r="E132" s="23">
        <f>IFERROR(D132/D148, "NA")</f>
        <v>0</v>
      </c>
      <c r="F132" s="27">
        <v>0.0</v>
      </c>
      <c r="G132" s="23">
        <f>IFERROR(F132/F148, "NA")</f>
        <v>0</v>
      </c>
      <c r="H132" s="27">
        <v>0.0</v>
      </c>
      <c r="I132" s="23">
        <f>IFERROR(H132/H148, "NA")</f>
        <v>0</v>
      </c>
      <c r="J132" s="27">
        <v>0.0</v>
      </c>
      <c r="K132" s="23">
        <f>IFERROR(J132/J148, "NA")</f>
        <v>0</v>
      </c>
      <c r="L132" s="27">
        <v>0.0</v>
      </c>
      <c r="M132" s="23">
        <f>IFERROR(L132/L148, "NA")</f>
        <v>0</v>
      </c>
      <c r="N132" s="27">
        <v>0.0</v>
      </c>
      <c r="O132" s="23">
        <f>IFERROR(N132/N148, "NA")</f>
        <v>0</v>
      </c>
      <c r="P132" s="27">
        <v>0.0</v>
      </c>
      <c r="Q132" s="23">
        <f>IFERROR(P132/P148, "NA")</f>
        <v>0</v>
      </c>
      <c r="R132" s="27">
        <v>0.0</v>
      </c>
      <c r="S132" s="23">
        <f>IFERROR(R132/R148, "NA")</f>
        <v>0</v>
      </c>
      <c r="T132" s="27">
        <v>0.0</v>
      </c>
      <c r="U132" s="23">
        <f>IFERROR(T132/T148, "NA")</f>
        <v>0</v>
      </c>
      <c r="V132" s="27">
        <v>0.0</v>
      </c>
      <c r="W132" s="23">
        <f>IFERROR(V132/V148, "NA")</f>
        <v>0</v>
      </c>
      <c r="X132" s="27">
        <v>0.0</v>
      </c>
      <c r="Y132" s="23">
        <f>IFERROR(X132/X148, "NA")</f>
        <v>0</v>
      </c>
      <c r="Z132" s="27">
        <v>0.0</v>
      </c>
      <c r="AA132" s="23">
        <f>IFERROR(Z132/Z148, "NA")</f>
        <v>0</v>
      </c>
      <c r="AB132" s="59">
        <f t="shared" si="55"/>
        <v>0</v>
      </c>
      <c r="AC132" s="23">
        <f>IFERROR(AB132/AB148, "NA")</f>
        <v>0</v>
      </c>
      <c r="AD132" s="61">
        <f t="shared" si="56"/>
        <v>0</v>
      </c>
      <c r="AE132" s="63">
        <f>IFERROR(AD132/AD148, "NA")</f>
        <v>0</v>
      </c>
      <c r="AF132" s="61" t="str">
        <f t="shared" si="57"/>
        <v>NA</v>
      </c>
      <c r="AG132" s="59">
        <f t="shared" si="58"/>
        <v>0</v>
      </c>
      <c r="AH132" s="23">
        <f>IFERROR(AG132/AG148, "NA")</f>
        <v>0</v>
      </c>
      <c r="AI132" s="61">
        <f t="shared" si="59"/>
        <v>0</v>
      </c>
      <c r="AJ132" s="63">
        <f>IFERROR(AI132/AI148, "NA")</f>
        <v>0</v>
      </c>
      <c r="AK132" s="61" t="str">
        <f t="shared" si="60"/>
        <v>NA</v>
      </c>
      <c r="AL132" s="63" t="str">
        <f>IFERROR(AK132/AK148, "NA")</f>
        <v>NA</v>
      </c>
    </row>
    <row r="133" ht="16.5" hidden="1" customHeight="1">
      <c r="A133" s="26" t="s">
        <v>233</v>
      </c>
      <c r="B133" s="27">
        <v>0.0</v>
      </c>
      <c r="C133" s="23">
        <f>IFERROR(B133/B148, "NA")</f>
        <v>0</v>
      </c>
      <c r="D133" s="27">
        <v>0.0</v>
      </c>
      <c r="E133" s="23">
        <f>IFERROR(D133/D148, "NA")</f>
        <v>0</v>
      </c>
      <c r="F133" s="27">
        <v>0.0</v>
      </c>
      <c r="G133" s="23">
        <f>IFERROR(F133/F148, "NA")</f>
        <v>0</v>
      </c>
      <c r="H133" s="27">
        <v>0.0</v>
      </c>
      <c r="I133" s="23">
        <f>IFERROR(H133/H148, "NA")</f>
        <v>0</v>
      </c>
      <c r="J133" s="27">
        <v>0.0</v>
      </c>
      <c r="K133" s="23">
        <f>IFERROR(J133/J148, "NA")</f>
        <v>0</v>
      </c>
      <c r="L133" s="27">
        <v>0.0</v>
      </c>
      <c r="M133" s="23">
        <f>IFERROR(L133/L148, "NA")</f>
        <v>0</v>
      </c>
      <c r="N133" s="27">
        <v>0.0</v>
      </c>
      <c r="O133" s="23">
        <f>IFERROR(N133/N148, "NA")</f>
        <v>0</v>
      </c>
      <c r="P133" s="27">
        <v>0.0</v>
      </c>
      <c r="Q133" s="23">
        <f>IFERROR(P133/P148, "NA")</f>
        <v>0</v>
      </c>
      <c r="R133" s="27">
        <v>0.0</v>
      </c>
      <c r="S133" s="23">
        <f>IFERROR(R133/R148, "NA")</f>
        <v>0</v>
      </c>
      <c r="T133" s="27">
        <v>0.0</v>
      </c>
      <c r="U133" s="23">
        <f>IFERROR(T133/T148, "NA")</f>
        <v>0</v>
      </c>
      <c r="V133" s="27">
        <v>0.0</v>
      </c>
      <c r="W133" s="23">
        <f>IFERROR(V133/V148, "NA")</f>
        <v>0</v>
      </c>
      <c r="X133" s="27">
        <v>0.0</v>
      </c>
      <c r="Y133" s="23">
        <f>IFERROR(X133/X148, "NA")</f>
        <v>0</v>
      </c>
      <c r="Z133" s="27">
        <v>0.0</v>
      </c>
      <c r="AA133" s="23">
        <f>IFERROR(Z133/Z148, "NA")</f>
        <v>0</v>
      </c>
      <c r="AB133" s="59">
        <f t="shared" si="55"/>
        <v>0</v>
      </c>
      <c r="AC133" s="23">
        <f>IFERROR(AB133/AB148, "NA")</f>
        <v>0</v>
      </c>
      <c r="AD133" s="61">
        <f t="shared" si="56"/>
        <v>0</v>
      </c>
      <c r="AE133" s="63">
        <f>IFERROR(AD133/AD148, "NA")</f>
        <v>0</v>
      </c>
      <c r="AF133" s="61" t="str">
        <f t="shared" si="57"/>
        <v>NA</v>
      </c>
      <c r="AG133" s="59">
        <f t="shared" si="58"/>
        <v>0</v>
      </c>
      <c r="AH133" s="23">
        <f>IFERROR(AG133/AG148, "NA")</f>
        <v>0</v>
      </c>
      <c r="AI133" s="61">
        <f t="shared" si="59"/>
        <v>0</v>
      </c>
      <c r="AJ133" s="63">
        <f>IFERROR(AI133/AI148, "NA")</f>
        <v>0</v>
      </c>
      <c r="AK133" s="61" t="str">
        <f t="shared" si="60"/>
        <v>NA</v>
      </c>
      <c r="AL133" s="63" t="str">
        <f>IFERROR(AK133/AK148, "NA")</f>
        <v>NA</v>
      </c>
    </row>
    <row r="134" ht="16.5" hidden="1" customHeight="1">
      <c r="A134" s="26" t="s">
        <v>234</v>
      </c>
      <c r="B134" s="27">
        <v>0.0</v>
      </c>
      <c r="C134" s="23">
        <f>IFERROR(B134/B148, "NA")</f>
        <v>0</v>
      </c>
      <c r="D134" s="27">
        <v>0.0</v>
      </c>
      <c r="E134" s="23">
        <f>IFERROR(D134/D148, "NA")</f>
        <v>0</v>
      </c>
      <c r="F134" s="27">
        <v>0.0</v>
      </c>
      <c r="G134" s="23">
        <f>IFERROR(F134/F148, "NA")</f>
        <v>0</v>
      </c>
      <c r="H134" s="27">
        <v>0.0</v>
      </c>
      <c r="I134" s="23">
        <f>IFERROR(H134/H148, "NA")</f>
        <v>0</v>
      </c>
      <c r="J134" s="27">
        <v>0.0</v>
      </c>
      <c r="K134" s="23">
        <f>IFERROR(J134/J148, "NA")</f>
        <v>0</v>
      </c>
      <c r="L134" s="27">
        <v>0.0</v>
      </c>
      <c r="M134" s="23">
        <f>IFERROR(L134/L148, "NA")</f>
        <v>0</v>
      </c>
      <c r="N134" s="27">
        <v>0.0</v>
      </c>
      <c r="O134" s="23">
        <f>IFERROR(N134/N148, "NA")</f>
        <v>0</v>
      </c>
      <c r="P134" s="27">
        <v>0.0</v>
      </c>
      <c r="Q134" s="23">
        <f>IFERROR(P134/P148, "NA")</f>
        <v>0</v>
      </c>
      <c r="R134" s="27">
        <v>0.0</v>
      </c>
      <c r="S134" s="23">
        <f>IFERROR(R134/R148, "NA")</f>
        <v>0</v>
      </c>
      <c r="T134" s="27">
        <v>0.0</v>
      </c>
      <c r="U134" s="23">
        <f>IFERROR(T134/T148, "NA")</f>
        <v>0</v>
      </c>
      <c r="V134" s="27">
        <v>0.0</v>
      </c>
      <c r="W134" s="23">
        <f>IFERROR(V134/V148, "NA")</f>
        <v>0</v>
      </c>
      <c r="X134" s="27">
        <v>0.0</v>
      </c>
      <c r="Y134" s="23">
        <f>IFERROR(X134/X148, "NA")</f>
        <v>0</v>
      </c>
      <c r="Z134" s="27">
        <v>0.0</v>
      </c>
      <c r="AA134" s="23">
        <f>IFERROR(Z134/Z148, "NA")</f>
        <v>0</v>
      </c>
      <c r="AB134" s="59">
        <f t="shared" si="55"/>
        <v>0</v>
      </c>
      <c r="AC134" s="23">
        <f>IFERROR(AB134/AB148, "NA")</f>
        <v>0</v>
      </c>
      <c r="AD134" s="61">
        <f t="shared" si="56"/>
        <v>0</v>
      </c>
      <c r="AE134" s="63">
        <f>IFERROR(AD134/AD148, "NA")</f>
        <v>0</v>
      </c>
      <c r="AF134" s="61" t="str">
        <f t="shared" si="57"/>
        <v>NA</v>
      </c>
      <c r="AG134" s="59">
        <f t="shared" si="58"/>
        <v>0</v>
      </c>
      <c r="AH134" s="23">
        <f>IFERROR(AG134/AG148, "NA")</f>
        <v>0</v>
      </c>
      <c r="AI134" s="61">
        <f t="shared" si="59"/>
        <v>0</v>
      </c>
      <c r="AJ134" s="63">
        <f>IFERROR(AI134/AI148, "NA")</f>
        <v>0</v>
      </c>
      <c r="AK134" s="61" t="str">
        <f t="shared" si="60"/>
        <v>NA</v>
      </c>
      <c r="AL134" s="63" t="str">
        <f>IFERROR(AK134/AK148, "NA")</f>
        <v>NA</v>
      </c>
    </row>
    <row r="135" ht="16.5" hidden="1" customHeight="1">
      <c r="A135" s="66" t="s">
        <v>235</v>
      </c>
      <c r="B135" s="67">
        <f>IFERROR(B110+B111+B112+B113+B114+B115+B116+B117+B118+B119+B120+B121+B122+B123+B124+B125+B126+B127+B128+B129+B130+B131+B132+B133+B134, "NA")</f>
        <v>512.42</v>
      </c>
      <c r="C135" s="69">
        <f>IFERROR(B135/B148, "NA")</f>
        <v>0.02133751517</v>
      </c>
      <c r="D135" s="67">
        <f>IFERROR(D110+D111+D112+D113+D114+D115+D116+D117+D118+D119+D120+D121+D122+D123+D124+D125+D126+D127+D128+D129+D130+D131+D132+D133+D134, "NA")</f>
        <v>580.13</v>
      </c>
      <c r="E135" s="69">
        <f>IFERROR(D135/D148, "NA")</f>
        <v>0.02104120468</v>
      </c>
      <c r="F135" s="67">
        <f>IFERROR(F110+F111+F112+F113+F114+F115+F116+F117+F118+F119+F120+F121+F122+F123+F124+F125+F126+F127+F128+F129+F130+F131+F132+F133+F134, "NA")</f>
        <v>-1716.39</v>
      </c>
      <c r="G135" s="69">
        <f>IFERROR(F135/F148, "NA")</f>
        <v>-0.05593570811</v>
      </c>
      <c r="H135" s="67">
        <f>IFERROR(H110+H111+H112+H113+H114+H115+H116+H117+H118+H119+H120+H121+H122+H123+H124+H125+H126+H127+H128+H129+H130+H131+H132+H133+H134, "NA")</f>
        <v>472.75</v>
      </c>
      <c r="I135" s="69">
        <f>IFERROR(H135/H148, "NA")</f>
        <v>0.0221783737</v>
      </c>
      <c r="J135" s="67">
        <f>IFERROR(J110+J111+J112+J113+J114+J115+J116+J117+J118+J119+J120+J121+J122+J123+J124+J125+J126+J127+J128+J129+J130+J131+J132+J133+J134, "NA")</f>
        <v>544.79</v>
      </c>
      <c r="K135" s="69">
        <f>IFERROR(J135/J148, "NA")</f>
        <v>0.01641063735</v>
      </c>
      <c r="L135" s="67">
        <f>IFERROR(L110+L111+L112+L113+L114+L115+L116+L117+L118+L119+L120+L121+L122+L123+L124+L125+L126+L127+L128+L129+L130+L131+L132+L133+L134, "NA")</f>
        <v>535.04</v>
      </c>
      <c r="M135" s="69">
        <f>IFERROR(L135/L148, "NA")</f>
        <v>0.02050460553</v>
      </c>
      <c r="N135" s="67">
        <f>IFERROR(N110+N111+N112+N113+N114+N115+N116+N117+N118+N119+N120+N121+N122+N123+N124+N125+N126+N127+N128+N129+N130+N131+N132+N133+N134, "NA")</f>
        <v>472.32</v>
      </c>
      <c r="O135" s="69">
        <f>IFERROR(N135/N148, "NA")</f>
        <v>0.01842508295</v>
      </c>
      <c r="P135" s="67">
        <f>IFERROR(P110+P111+P112+P113+P114+P115+P116+P117+P118+P119+P120+P121+P122+P123+P124+P125+P126+P127+P128+P129+P130+P131+P132+P133+P134, "NA")</f>
        <v>-2024.9</v>
      </c>
      <c r="Q135" s="69">
        <f>IFERROR(P135/P148, "NA")</f>
        <v>-0.05879816425</v>
      </c>
      <c r="R135" s="67">
        <f>IFERROR(R110+R111+R112+R113+R114+R115+R116+R117+R118+R119+R120+R121+R122+R123+R124+R125+R126+R127+R128+R129+R130+R131+R132+R133+R134, "NA")</f>
        <v>395.29</v>
      </c>
      <c r="S135" s="69">
        <f>IFERROR(R135/R148, "NA")</f>
        <v>0.01384607732</v>
      </c>
      <c r="T135" s="67">
        <f>IFERROR(T110+T111+T112+T113+T114+T115+T116+T117+T118+T119+T120+T121+T122+T123+T124+T125+T126+T127+T128+T129+T130+T131+T132+T133+T134, "NA")</f>
        <v>517.84</v>
      </c>
      <c r="U135" s="69">
        <f>IFERROR(T135/T148, "NA")</f>
        <v>0.014841101</v>
      </c>
      <c r="V135" s="67">
        <f>IFERROR(V110+V111+V112+V113+V114+V115+V116+V117+V118+V119+V120+V121+V122+V123+V124+V125+V126+V127+V128+V129+V130+V131+V132+V133+V134, "NA")</f>
        <v>495.83</v>
      </c>
      <c r="W135" s="69">
        <f>IFERROR(V135/V148, "NA")</f>
        <v>0.01090403687</v>
      </c>
      <c r="X135" s="67">
        <f>IFERROR(X110+X111+X112+X113+X114+X115+X116+X117+X118+X119+X120+X121+X122+X123+X124+X125+X126+X127+X128+X129+X130+X131+X132+X133+X134, "NA")</f>
        <v>401.18</v>
      </c>
      <c r="Y135" s="69">
        <f>IFERROR(X135/X148, "NA")</f>
        <v>0.01029911539</v>
      </c>
      <c r="Z135" s="67">
        <f>IFERROR(Z110+Z111+Z112+Z113+Z114+Z115+Z116+Z117+Z118+Z119+Z120+Z121+Z122+Z123+Z124+Z125+Z126+Z127+Z128+Z129+Z130+Z131+Z132+Z133+Z134, "NA")</f>
        <v>1810.14</v>
      </c>
      <c r="AA135" s="69">
        <f>IFERROR(Z135/Z148, "NA")</f>
        <v>0.01224174453</v>
      </c>
      <c r="AB135" s="67">
        <f t="shared" si="55"/>
        <v>452.535</v>
      </c>
      <c r="AC135" s="69">
        <f>IFERROR(AB135/AB148, "NA")</f>
        <v>0.01224174453</v>
      </c>
      <c r="AD135" s="70">
        <f t="shared" si="56"/>
        <v>-51.355</v>
      </c>
      <c r="AE135" s="71">
        <f>IFERROR(AD135/AD148, "NA")</f>
        <v>-0.02585440879</v>
      </c>
      <c r="AF135" s="70">
        <f t="shared" si="57"/>
        <v>-0.113482935</v>
      </c>
      <c r="AG135" s="67">
        <f t="shared" si="58"/>
        <v>167.17375</v>
      </c>
      <c r="AH135" s="69">
        <f>IFERROR(AG135/AG148, "NA")</f>
        <v>0.005004640759</v>
      </c>
      <c r="AI135" s="70">
        <f t="shared" si="59"/>
        <v>234.00625</v>
      </c>
      <c r="AJ135" s="71">
        <f>IFERROR(AI135/AI148, "NA")</f>
        <v>0.04217002219</v>
      </c>
      <c r="AK135" s="70">
        <f t="shared" si="60"/>
        <v>1.399778673</v>
      </c>
      <c r="AL135" s="71">
        <f>IFERROR(AK135/AK148, "NA")</f>
        <v>8.426183661</v>
      </c>
    </row>
    <row r="136" ht="16.5" hidden="1" customHeight="1">
      <c r="A136" s="120" t="s">
        <v>6</v>
      </c>
      <c r="B136" s="121"/>
      <c r="C136" s="76"/>
      <c r="D136" s="121"/>
      <c r="E136" s="76"/>
      <c r="F136" s="121"/>
      <c r="G136" s="76"/>
      <c r="H136" s="121"/>
      <c r="I136" s="76"/>
      <c r="J136" s="121"/>
      <c r="K136" s="76"/>
      <c r="L136" s="121"/>
      <c r="M136" s="76"/>
      <c r="N136" s="121"/>
      <c r="O136" s="76"/>
      <c r="P136" s="121"/>
      <c r="Q136" s="76"/>
      <c r="R136" s="121"/>
      <c r="S136" s="76"/>
      <c r="T136" s="121"/>
      <c r="U136" s="76"/>
      <c r="V136" s="121"/>
      <c r="W136" s="76"/>
      <c r="X136" s="121"/>
      <c r="Y136" s="76"/>
      <c r="Z136" s="121"/>
      <c r="AA136" s="76"/>
      <c r="AB136" s="121"/>
      <c r="AC136" s="76"/>
      <c r="AD136" s="122"/>
      <c r="AE136" s="78"/>
      <c r="AF136" s="122"/>
      <c r="AG136" s="121"/>
      <c r="AH136" s="76"/>
      <c r="AI136" s="122"/>
      <c r="AJ136" s="78"/>
      <c r="AK136" s="122"/>
      <c r="AL136" s="78"/>
    </row>
    <row r="137" ht="16.5" hidden="1" customHeight="1">
      <c r="A137" s="118" t="s">
        <v>236</v>
      </c>
      <c r="B137" s="119">
        <f>IFERROR(B107-B135, "NA")</f>
        <v>3602.18</v>
      </c>
      <c r="C137" s="107">
        <f>IFERROR(B137/B148, "NA")</f>
        <v>0.1499972101</v>
      </c>
      <c r="D137" s="119">
        <f>IFERROR(D107-D135, "NA")</f>
        <v>979.13</v>
      </c>
      <c r="E137" s="107">
        <f>IFERROR(D137/D148, "NA")</f>
        <v>0.03551285874</v>
      </c>
      <c r="F137" s="119">
        <f>IFERROR(F107-F135, "NA")</f>
        <v>-4467.72</v>
      </c>
      <c r="G137" s="107">
        <f>IFERROR(F137/F148, "NA")</f>
        <v>-0.1455992413</v>
      </c>
      <c r="H137" s="119">
        <f>IFERROR(H107-H135, "NA")</f>
        <v>3448.68</v>
      </c>
      <c r="I137" s="107">
        <f>IFERROR(H137/H148, "NA")</f>
        <v>0.1617897701</v>
      </c>
      <c r="J137" s="119">
        <f>IFERROR(J107-J135, "NA")</f>
        <v>8849.93</v>
      </c>
      <c r="K137" s="107">
        <f>IFERROR(J137/J148, "NA")</f>
        <v>0.2665852747</v>
      </c>
      <c r="L137" s="119">
        <f>IFERROR(L107-L135, "NA")</f>
        <v>6410.01</v>
      </c>
      <c r="M137" s="107">
        <f>IFERROR(L137/L148, "NA")</f>
        <v>0.2456540193</v>
      </c>
      <c r="N137" s="119">
        <f>IFERROR(N107-N135, "NA")</f>
        <v>1803.78</v>
      </c>
      <c r="O137" s="107">
        <f>IFERROR(N137/N148, "NA")</f>
        <v>0.07036499858</v>
      </c>
      <c r="P137" s="119">
        <f>IFERROR(P107-P135, "NA")</f>
        <v>-6950.8</v>
      </c>
      <c r="Q137" s="107">
        <f>IFERROR(P137/P148, "NA")</f>
        <v>-0.2018343029</v>
      </c>
      <c r="R137" s="119">
        <f>IFERROR(R107-R135, "NA")</f>
        <v>4947.66</v>
      </c>
      <c r="S137" s="107">
        <f>IFERROR(R137/R148, "NA")</f>
        <v>0.1733048722</v>
      </c>
      <c r="T137" s="119">
        <f>IFERROR(T107-T135, "NA")</f>
        <v>8306.15</v>
      </c>
      <c r="U137" s="107">
        <f>IFERROR(T137/T148, "NA")</f>
        <v>0.2380511569</v>
      </c>
      <c r="V137" s="119">
        <f>IFERROR(V107-V135, "NA")</f>
        <v>10742.84</v>
      </c>
      <c r="W137" s="107">
        <f>IFERROR(V137/V148, "NA")</f>
        <v>0.23625098</v>
      </c>
      <c r="X137" s="119">
        <f>IFERROR(X107-X135, "NA")</f>
        <v>11479.38</v>
      </c>
      <c r="Y137" s="107">
        <f>IFERROR(X137/X148, "NA")</f>
        <v>0.2946992852</v>
      </c>
      <c r="Z137" s="119">
        <f>IFERROR(Z107-Z135, "NA")</f>
        <v>35476.03</v>
      </c>
      <c r="AA137" s="107">
        <f>IFERROR(Z137/Z148, "NA")</f>
        <v>0.2399198383</v>
      </c>
      <c r="AB137" s="119">
        <f>IFERROR((R137+T137+V137+X137)/4, "NA")</f>
        <v>8869.0075</v>
      </c>
      <c r="AC137" s="107">
        <f>IFERROR(AB137/AB148, "NA")</f>
        <v>0.2399198383</v>
      </c>
      <c r="AD137" s="70">
        <f>IFERROR(X137-AB137, "NA")</f>
        <v>2610.3725</v>
      </c>
      <c r="AE137" s="71">
        <f>IFERROR(AD137/AD148, "NA")</f>
        <v>1.314178516</v>
      </c>
      <c r="AF137" s="70">
        <f>IFERROR((X137-AB137)/AB137, "NA")</f>
        <v>0.2943252106</v>
      </c>
      <c r="AG137" s="119">
        <f>IFERROR((J137+L137+N137+P137+R137+T137+V137+X137)/8, "NA")</f>
        <v>5698.61875</v>
      </c>
      <c r="AH137" s="107">
        <f>IFERROR(AG137/AG148, "NA")</f>
        <v>0.170598193</v>
      </c>
      <c r="AI137" s="70">
        <f>IFERROR(X137-AG137, "NA")</f>
        <v>5780.76125</v>
      </c>
      <c r="AJ137" s="71">
        <f>IFERROR(AI137/AI148, "NA")</f>
        <v>1.041744954</v>
      </c>
      <c r="AK137" s="70">
        <f>IFERROR((X137-AG137)/AG137, "NA")</f>
        <v>1.014414458</v>
      </c>
      <c r="AL137" s="71">
        <f>IFERROR(AK137/AK148, "NA")</f>
        <v>6.106424318</v>
      </c>
    </row>
    <row r="138" ht="3.75" hidden="1" customHeight="1">
      <c r="A138" s="120" t="s">
        <v>6</v>
      </c>
      <c r="B138" s="121"/>
      <c r="C138" s="76"/>
      <c r="D138" s="121"/>
      <c r="E138" s="76"/>
      <c r="F138" s="121"/>
      <c r="G138" s="76"/>
      <c r="H138" s="121"/>
      <c r="I138" s="76"/>
      <c r="J138" s="121"/>
      <c r="K138" s="76"/>
      <c r="L138" s="121"/>
      <c r="M138" s="76"/>
      <c r="N138" s="121"/>
      <c r="O138" s="76"/>
      <c r="P138" s="121"/>
      <c r="Q138" s="76"/>
      <c r="R138" s="121"/>
      <c r="S138" s="76"/>
      <c r="T138" s="121"/>
      <c r="U138" s="76"/>
      <c r="V138" s="121"/>
      <c r="W138" s="76"/>
      <c r="X138" s="121"/>
      <c r="Y138" s="76"/>
      <c r="Z138" s="121"/>
      <c r="AA138" s="76"/>
      <c r="AB138" s="121"/>
      <c r="AC138" s="76"/>
      <c r="AD138" s="122"/>
      <c r="AE138" s="78"/>
      <c r="AF138" s="122"/>
      <c r="AG138" s="121"/>
      <c r="AH138" s="76"/>
      <c r="AI138" s="122"/>
      <c r="AJ138" s="78"/>
      <c r="AK138" s="122"/>
      <c r="AL138" s="78"/>
    </row>
    <row r="139" ht="16.5" hidden="1" customHeight="1">
      <c r="A139" s="17" t="s">
        <v>237</v>
      </c>
      <c r="B139" s="19"/>
      <c r="C139" s="13"/>
      <c r="D139" s="19"/>
      <c r="E139" s="13"/>
      <c r="F139" s="19"/>
      <c r="G139" s="13"/>
      <c r="H139" s="19"/>
      <c r="I139" s="13"/>
      <c r="J139" s="19"/>
      <c r="K139" s="13"/>
      <c r="L139" s="19"/>
      <c r="M139" s="13"/>
      <c r="N139" s="19"/>
      <c r="O139" s="13"/>
      <c r="P139" s="19"/>
      <c r="Q139" s="13"/>
      <c r="R139" s="19"/>
      <c r="S139" s="13"/>
      <c r="T139" s="19"/>
      <c r="U139" s="13"/>
      <c r="V139" s="19"/>
      <c r="W139" s="13"/>
      <c r="X139" s="19"/>
      <c r="Y139" s="13"/>
      <c r="Z139" s="19"/>
      <c r="AA139" s="13"/>
      <c r="AB139" s="19"/>
      <c r="AC139" s="13"/>
      <c r="AD139" s="24"/>
      <c r="AE139" s="25"/>
      <c r="AF139" s="24"/>
      <c r="AG139" s="19"/>
      <c r="AH139" s="13"/>
      <c r="AI139" s="24"/>
      <c r="AJ139" s="25"/>
      <c r="AK139" s="24"/>
      <c r="AL139" s="25"/>
    </row>
    <row r="140" ht="16.5" hidden="1" customHeight="1">
      <c r="A140" s="26" t="s">
        <v>238</v>
      </c>
      <c r="B140" s="27">
        <v>0.0</v>
      </c>
      <c r="C140" s="23">
        <f>IFERROR(B140/B148, "NA")</f>
        <v>0</v>
      </c>
      <c r="D140" s="27">
        <v>0.0</v>
      </c>
      <c r="E140" s="23">
        <f>IFERROR(D140/D148, "NA")</f>
        <v>0</v>
      </c>
      <c r="F140" s="27">
        <v>3469.35</v>
      </c>
      <c r="G140" s="23">
        <f>IFERROR(F140/F148, "NA")</f>
        <v>0.1130632018</v>
      </c>
      <c r="H140" s="27">
        <v>0.0</v>
      </c>
      <c r="I140" s="23">
        <f>IFERROR(H140/H148, "NA")</f>
        <v>0</v>
      </c>
      <c r="J140" s="27">
        <v>0.0</v>
      </c>
      <c r="K140" s="23">
        <f>IFERROR(J140/J148, "NA")</f>
        <v>0</v>
      </c>
      <c r="L140" s="27">
        <v>0.0</v>
      </c>
      <c r="M140" s="23">
        <f>IFERROR(L140/L148, "NA")</f>
        <v>0</v>
      </c>
      <c r="N140" s="27">
        <v>-82.53</v>
      </c>
      <c r="O140" s="23">
        <f>IFERROR(N140/N148, "NA")</f>
        <v>-0.003219474289</v>
      </c>
      <c r="P140" s="27">
        <v>3752.76</v>
      </c>
      <c r="Q140" s="23">
        <f>IFERROR(P140/P148, "NA")</f>
        <v>0.1089710103</v>
      </c>
      <c r="R140" s="27">
        <v>0.0</v>
      </c>
      <c r="S140" s="23">
        <f>IFERROR(R140/R148, "NA")</f>
        <v>0</v>
      </c>
      <c r="T140" s="27">
        <v>0.0</v>
      </c>
      <c r="U140" s="23">
        <f>IFERROR(T140/T148, "NA")</f>
        <v>0</v>
      </c>
      <c r="V140" s="27">
        <v>0.0</v>
      </c>
      <c r="W140" s="23">
        <f>IFERROR(V140/V148, "NA")</f>
        <v>0</v>
      </c>
      <c r="X140" s="27">
        <v>146.9</v>
      </c>
      <c r="Y140" s="23">
        <f>IFERROR(X140/X148, "NA")</f>
        <v>0.003771225014</v>
      </c>
      <c r="Z140" s="27">
        <v>146.9</v>
      </c>
      <c r="AA140" s="23">
        <f>IFERROR(Z140/Z148, "NA")</f>
        <v>0.0009934658486</v>
      </c>
      <c r="AB140" s="59">
        <f t="shared" ref="AB140:AB141" si="61">IFERROR((R140+T140+V140+X140)/4, "NA")</f>
        <v>36.725</v>
      </c>
      <c r="AC140" s="23">
        <f>IFERROR(AB140/AB148, "NA")</f>
        <v>0.0009934658486</v>
      </c>
      <c r="AD140" s="61">
        <f t="shared" ref="AD140:AD141" si="62">IFERROR(X140-AB140, "NA")</f>
        <v>110.175</v>
      </c>
      <c r="AE140" s="63">
        <f>IFERROR(AD140/AD148, "NA")</f>
        <v>0.05546703317</v>
      </c>
      <c r="AF140" s="61">
        <f t="shared" ref="AF140:AF141" si="63">IFERROR((X140-AB140)/AB140, "NA")</f>
        <v>3</v>
      </c>
      <c r="AG140" s="59">
        <f t="shared" ref="AG140:AG141" si="64">IFERROR((J140+L140+N140+P140+R140+T140+V140+X140)/8, "NA")</f>
        <v>477.14125</v>
      </c>
      <c r="AH140" s="23">
        <f>IFERROR(AG140/AG148, "NA")</f>
        <v>0.01428406402</v>
      </c>
      <c r="AI140" s="61">
        <f t="shared" ref="AI140:AI141" si="65">IFERROR(X140-AG140, "NA")</f>
        <v>-330.24125</v>
      </c>
      <c r="AJ140" s="63">
        <f>IFERROR(AI140/AI148, "NA")</f>
        <v>-0.05951243115</v>
      </c>
      <c r="AK140" s="61">
        <f t="shared" ref="AK140:AK141" si="66">IFERROR((X140-AG140)/AG140, "NA")</f>
        <v>-0.6921247115</v>
      </c>
      <c r="AL140" s="63">
        <f>IFERROR(AK140/AK148, "NA")</f>
        <v>-4.166351471</v>
      </c>
    </row>
    <row r="141" ht="16.5" hidden="1" customHeight="1">
      <c r="A141" s="66" t="s">
        <v>239</v>
      </c>
      <c r="B141" s="67">
        <f>IFERROR(B140, "NA")</f>
        <v>0</v>
      </c>
      <c r="C141" s="69">
        <f>IFERROR(B141/B148, "NA")</f>
        <v>0</v>
      </c>
      <c r="D141" s="67">
        <f>IFERROR(D140, "NA")</f>
        <v>0</v>
      </c>
      <c r="E141" s="69">
        <f>IFERROR(D141/D148, "NA")</f>
        <v>0</v>
      </c>
      <c r="F141" s="67">
        <f>IFERROR(F140, "NA")</f>
        <v>3469.35</v>
      </c>
      <c r="G141" s="69">
        <f>IFERROR(F141/F148, "NA")</f>
        <v>0.1130632018</v>
      </c>
      <c r="H141" s="67">
        <f>IFERROR(H140, "NA")</f>
        <v>0</v>
      </c>
      <c r="I141" s="69">
        <f>IFERROR(H141/H148, "NA")</f>
        <v>0</v>
      </c>
      <c r="J141" s="67">
        <f>IFERROR(J140, "NA")</f>
        <v>0</v>
      </c>
      <c r="K141" s="69">
        <f>IFERROR(J141/J148, "NA")</f>
        <v>0</v>
      </c>
      <c r="L141" s="67">
        <f>IFERROR(L140, "NA")</f>
        <v>0</v>
      </c>
      <c r="M141" s="69">
        <f>IFERROR(L141/L148, "NA")</f>
        <v>0</v>
      </c>
      <c r="N141" s="67">
        <f>IFERROR(N140, "NA")</f>
        <v>-82.53</v>
      </c>
      <c r="O141" s="69">
        <f>IFERROR(N141/N148, "NA")</f>
        <v>-0.003219474289</v>
      </c>
      <c r="P141" s="67">
        <f>IFERROR(P140, "NA")</f>
        <v>3752.76</v>
      </c>
      <c r="Q141" s="69">
        <f>IFERROR(P141/P148, "NA")</f>
        <v>0.1089710103</v>
      </c>
      <c r="R141" s="67">
        <f>IFERROR(R140, "NA")</f>
        <v>0</v>
      </c>
      <c r="S141" s="69">
        <f>IFERROR(R141/R148, "NA")</f>
        <v>0</v>
      </c>
      <c r="T141" s="67">
        <f>IFERROR(T140, "NA")</f>
        <v>0</v>
      </c>
      <c r="U141" s="69">
        <f>IFERROR(T141/T148, "NA")</f>
        <v>0</v>
      </c>
      <c r="V141" s="67">
        <f>IFERROR(V140, "NA")</f>
        <v>0</v>
      </c>
      <c r="W141" s="69">
        <f>IFERROR(V141/V148, "NA")</f>
        <v>0</v>
      </c>
      <c r="X141" s="67">
        <f>IFERROR(X140, "NA")</f>
        <v>146.9</v>
      </c>
      <c r="Y141" s="69">
        <f>IFERROR(X141/X148, "NA")</f>
        <v>0.003771225014</v>
      </c>
      <c r="Z141" s="67">
        <f>IFERROR(Z140, "NA")</f>
        <v>146.9</v>
      </c>
      <c r="AA141" s="69">
        <f>IFERROR(Z141/Z148, "NA")</f>
        <v>0.0009934658486</v>
      </c>
      <c r="AB141" s="67">
        <f t="shared" si="61"/>
        <v>36.725</v>
      </c>
      <c r="AC141" s="69">
        <f>IFERROR(AB141/AB148, "NA")</f>
        <v>0.0009934658486</v>
      </c>
      <c r="AD141" s="70">
        <f t="shared" si="62"/>
        <v>110.175</v>
      </c>
      <c r="AE141" s="71">
        <f>IFERROR(AD141/AD148, "NA")</f>
        <v>0.05546703317</v>
      </c>
      <c r="AF141" s="70">
        <f t="shared" si="63"/>
        <v>3</v>
      </c>
      <c r="AG141" s="67">
        <f t="shared" si="64"/>
        <v>477.14125</v>
      </c>
      <c r="AH141" s="69">
        <f>IFERROR(AG141/AG148, "NA")</f>
        <v>0.01428406402</v>
      </c>
      <c r="AI141" s="70">
        <f t="shared" si="65"/>
        <v>-330.24125</v>
      </c>
      <c r="AJ141" s="71">
        <f>IFERROR(AI141/AI148, "NA")</f>
        <v>-0.05951243115</v>
      </c>
      <c r="AK141" s="70">
        <f t="shared" si="66"/>
        <v>-0.6921247115</v>
      </c>
      <c r="AL141" s="71">
        <f>IFERROR(AK141/AK148, "NA")</f>
        <v>-4.166351471</v>
      </c>
    </row>
    <row r="142" ht="3.75" hidden="1" customHeight="1">
      <c r="A142" s="120" t="s">
        <v>6</v>
      </c>
      <c r="B142" s="121"/>
      <c r="C142" s="76"/>
      <c r="D142" s="121"/>
      <c r="E142" s="76"/>
      <c r="F142" s="121"/>
      <c r="G142" s="76"/>
      <c r="H142" s="121"/>
      <c r="I142" s="76"/>
      <c r="J142" s="121"/>
      <c r="K142" s="76"/>
      <c r="L142" s="121"/>
      <c r="M142" s="76"/>
      <c r="N142" s="121"/>
      <c r="O142" s="76"/>
      <c r="P142" s="121"/>
      <c r="Q142" s="76"/>
      <c r="R142" s="121"/>
      <c r="S142" s="76"/>
      <c r="T142" s="121"/>
      <c r="U142" s="76"/>
      <c r="V142" s="121"/>
      <c r="W142" s="76"/>
      <c r="X142" s="121"/>
      <c r="Y142" s="76"/>
      <c r="Z142" s="121"/>
      <c r="AA142" s="76"/>
      <c r="AB142" s="121"/>
      <c r="AC142" s="76"/>
      <c r="AD142" s="122"/>
      <c r="AE142" s="78"/>
      <c r="AF142" s="122"/>
      <c r="AG142" s="121"/>
      <c r="AH142" s="76"/>
      <c r="AI142" s="122"/>
      <c r="AJ142" s="78"/>
      <c r="AK142" s="122"/>
      <c r="AL142" s="78"/>
    </row>
    <row r="143" ht="16.5" hidden="1" customHeight="1">
      <c r="A143" s="17" t="s">
        <v>240</v>
      </c>
      <c r="B143" s="19"/>
      <c r="C143" s="13"/>
      <c r="D143" s="19"/>
      <c r="E143" s="13"/>
      <c r="F143" s="19"/>
      <c r="G143" s="13"/>
      <c r="H143" s="19"/>
      <c r="I143" s="13"/>
      <c r="J143" s="19"/>
      <c r="K143" s="13"/>
      <c r="L143" s="19"/>
      <c r="M143" s="13"/>
      <c r="N143" s="19"/>
      <c r="O143" s="13"/>
      <c r="P143" s="19"/>
      <c r="Q143" s="13"/>
      <c r="R143" s="19"/>
      <c r="S143" s="13"/>
      <c r="T143" s="19"/>
      <c r="U143" s="13"/>
      <c r="V143" s="19"/>
      <c r="W143" s="13"/>
      <c r="X143" s="19"/>
      <c r="Y143" s="13"/>
      <c r="Z143" s="19"/>
      <c r="AA143" s="13"/>
      <c r="AB143" s="19"/>
      <c r="AC143" s="13"/>
      <c r="AD143" s="24"/>
      <c r="AE143" s="25"/>
      <c r="AF143" s="24"/>
      <c r="AG143" s="19"/>
      <c r="AH143" s="13"/>
      <c r="AI143" s="24"/>
      <c r="AJ143" s="25"/>
      <c r="AK143" s="24"/>
      <c r="AL143" s="25"/>
    </row>
    <row r="144" ht="16.5" hidden="1" customHeight="1">
      <c r="A144" s="26" t="s">
        <v>241</v>
      </c>
      <c r="B144" s="27">
        <v>0.0</v>
      </c>
      <c r="C144" s="23">
        <f>IFERROR(B144/B148, "NA")</f>
        <v>0</v>
      </c>
      <c r="D144" s="27">
        <v>0.0</v>
      </c>
      <c r="E144" s="23">
        <f>IFERROR(D144/D148, "NA")</f>
        <v>0</v>
      </c>
      <c r="F144" s="27">
        <v>0.0</v>
      </c>
      <c r="G144" s="23">
        <f>IFERROR(F144/F148, "NA")</f>
        <v>0</v>
      </c>
      <c r="H144" s="27">
        <v>0.0</v>
      </c>
      <c r="I144" s="23">
        <f>IFERROR(H144/H148, "NA")</f>
        <v>0</v>
      </c>
      <c r="J144" s="27">
        <v>0.0</v>
      </c>
      <c r="K144" s="23">
        <f>IFERROR(J144/J148, "NA")</f>
        <v>0</v>
      </c>
      <c r="L144" s="27">
        <v>0.0</v>
      </c>
      <c r="M144" s="23">
        <f>IFERROR(L144/L148, "NA")</f>
        <v>0</v>
      </c>
      <c r="N144" s="27">
        <v>0.0</v>
      </c>
      <c r="O144" s="23">
        <f>IFERROR(N144/N148, "NA")</f>
        <v>0</v>
      </c>
      <c r="P144" s="27">
        <v>0.0</v>
      </c>
      <c r="Q144" s="23">
        <f>IFERROR(P144/P148, "NA")</f>
        <v>0</v>
      </c>
      <c r="R144" s="27">
        <v>0.0</v>
      </c>
      <c r="S144" s="23">
        <f>IFERROR(R144/R148, "NA")</f>
        <v>0</v>
      </c>
      <c r="T144" s="27">
        <v>0.0</v>
      </c>
      <c r="U144" s="23">
        <f>IFERROR(T144/T148, "NA")</f>
        <v>0</v>
      </c>
      <c r="V144" s="27">
        <v>0.0</v>
      </c>
      <c r="W144" s="23">
        <f>IFERROR(V144/V148, "NA")</f>
        <v>0</v>
      </c>
      <c r="X144" s="27">
        <v>0.0</v>
      </c>
      <c r="Y144" s="23">
        <f>IFERROR(X144/X148, "NA")</f>
        <v>0</v>
      </c>
      <c r="Z144" s="27">
        <v>0.0</v>
      </c>
      <c r="AA144" s="23">
        <f>IFERROR(Z144/Z148, "NA")</f>
        <v>0</v>
      </c>
      <c r="AB144" s="59">
        <f t="shared" ref="AB144:AB145" si="67">IFERROR((R144+T144+V144+X144)/4, "NA")</f>
        <v>0</v>
      </c>
      <c r="AC144" s="23">
        <f>IFERROR(AB144/AB148, "NA")</f>
        <v>0</v>
      </c>
      <c r="AD144" s="61">
        <f t="shared" ref="AD144:AD145" si="68">IFERROR(X144-AB144, "NA")</f>
        <v>0</v>
      </c>
      <c r="AE144" s="63">
        <f>IFERROR(AD144/AD148, "NA")</f>
        <v>0</v>
      </c>
      <c r="AF144" s="61" t="str">
        <f t="shared" ref="AF144:AF145" si="69">IFERROR((X144-AB144)/AB144, "NA")</f>
        <v>NA</v>
      </c>
      <c r="AG144" s="59">
        <f t="shared" ref="AG144:AG145" si="70">IFERROR((J144+L144+N144+P144+R144+T144+V144+X144)/8, "NA")</f>
        <v>0</v>
      </c>
      <c r="AH144" s="23">
        <f>IFERROR(AG144/AG148, "NA")</f>
        <v>0</v>
      </c>
      <c r="AI144" s="61">
        <f t="shared" ref="AI144:AI145" si="71">IFERROR(X144-AG144, "NA")</f>
        <v>0</v>
      </c>
      <c r="AJ144" s="63">
        <f>IFERROR(AI144/AI148, "NA")</f>
        <v>0</v>
      </c>
      <c r="AK144" s="61" t="str">
        <f t="shared" ref="AK144:AK145" si="72">IFERROR((X144-AG144)/AG144, "NA")</f>
        <v>NA</v>
      </c>
      <c r="AL144" s="63" t="str">
        <f>IFERROR(AK144/AK148, "NA")</f>
        <v>NA</v>
      </c>
    </row>
    <row r="145" ht="16.5" hidden="1" customHeight="1">
      <c r="A145" s="66" t="s">
        <v>242</v>
      </c>
      <c r="B145" s="67">
        <f>IFERROR(B144, "NA")</f>
        <v>0</v>
      </c>
      <c r="C145" s="69">
        <f>IFERROR(B145/B148, "NA")</f>
        <v>0</v>
      </c>
      <c r="D145" s="67">
        <f>IFERROR(D144, "NA")</f>
        <v>0</v>
      </c>
      <c r="E145" s="69">
        <f>IFERROR(D145/D148, "NA")</f>
        <v>0</v>
      </c>
      <c r="F145" s="67">
        <f>IFERROR(F144, "NA")</f>
        <v>0</v>
      </c>
      <c r="G145" s="69">
        <f>IFERROR(F145/F148, "NA")</f>
        <v>0</v>
      </c>
      <c r="H145" s="67">
        <f>IFERROR(H144, "NA")</f>
        <v>0</v>
      </c>
      <c r="I145" s="69">
        <f>IFERROR(H145/H148, "NA")</f>
        <v>0</v>
      </c>
      <c r="J145" s="67">
        <f>IFERROR(J144, "NA")</f>
        <v>0</v>
      </c>
      <c r="K145" s="69">
        <f>IFERROR(J145/J148, "NA")</f>
        <v>0</v>
      </c>
      <c r="L145" s="67">
        <f>IFERROR(L144, "NA")</f>
        <v>0</v>
      </c>
      <c r="M145" s="69">
        <f>IFERROR(L145/L148, "NA")</f>
        <v>0</v>
      </c>
      <c r="N145" s="67">
        <f>IFERROR(N144, "NA")</f>
        <v>0</v>
      </c>
      <c r="O145" s="69">
        <f>IFERROR(N145/N148, "NA")</f>
        <v>0</v>
      </c>
      <c r="P145" s="67">
        <f>IFERROR(P144, "NA")</f>
        <v>0</v>
      </c>
      <c r="Q145" s="69">
        <f>IFERROR(P145/P148, "NA")</f>
        <v>0</v>
      </c>
      <c r="R145" s="67">
        <f>IFERROR(R144, "NA")</f>
        <v>0</v>
      </c>
      <c r="S145" s="69">
        <f>IFERROR(R145/R148, "NA")</f>
        <v>0</v>
      </c>
      <c r="T145" s="67">
        <f>IFERROR(T144, "NA")</f>
        <v>0</v>
      </c>
      <c r="U145" s="69">
        <f>IFERROR(T145/T148, "NA")</f>
        <v>0</v>
      </c>
      <c r="V145" s="67">
        <f>IFERROR(V144, "NA")</f>
        <v>0</v>
      </c>
      <c r="W145" s="69">
        <f>IFERROR(V145/V148, "NA")</f>
        <v>0</v>
      </c>
      <c r="X145" s="67">
        <f>IFERROR(X144, "NA")</f>
        <v>0</v>
      </c>
      <c r="Y145" s="69">
        <f>IFERROR(X145/X148, "NA")</f>
        <v>0</v>
      </c>
      <c r="Z145" s="67">
        <f>IFERROR(Z144, "NA")</f>
        <v>0</v>
      </c>
      <c r="AA145" s="69">
        <f>IFERROR(Z145/Z148, "NA")</f>
        <v>0</v>
      </c>
      <c r="AB145" s="67">
        <f t="shared" si="67"/>
        <v>0</v>
      </c>
      <c r="AC145" s="69">
        <f>IFERROR(AB145/AB148, "NA")</f>
        <v>0</v>
      </c>
      <c r="AD145" s="70">
        <f t="shared" si="68"/>
        <v>0</v>
      </c>
      <c r="AE145" s="71">
        <f>IFERROR(AD145/AD148, "NA")</f>
        <v>0</v>
      </c>
      <c r="AF145" s="70" t="str">
        <f t="shared" si="69"/>
        <v>NA</v>
      </c>
      <c r="AG145" s="67">
        <f t="shared" si="70"/>
        <v>0</v>
      </c>
      <c r="AH145" s="69">
        <f>IFERROR(AG145/AG148, "NA")</f>
        <v>0</v>
      </c>
      <c r="AI145" s="70">
        <f t="shared" si="71"/>
        <v>0</v>
      </c>
      <c r="AJ145" s="71">
        <f>IFERROR(AI145/AI148, "NA")</f>
        <v>0</v>
      </c>
      <c r="AK145" s="70" t="str">
        <f t="shared" si="72"/>
        <v>NA</v>
      </c>
      <c r="AL145" s="71" t="str">
        <f>IFERROR(AK145/AK148, "NA")</f>
        <v>NA</v>
      </c>
    </row>
    <row r="146" ht="3.75" hidden="1" customHeight="1">
      <c r="A146" s="120" t="s">
        <v>6</v>
      </c>
      <c r="B146" s="121"/>
      <c r="C146" s="76"/>
      <c r="D146" s="121"/>
      <c r="E146" s="76"/>
      <c r="F146" s="121"/>
      <c r="G146" s="76"/>
      <c r="H146" s="121"/>
      <c r="I146" s="76"/>
      <c r="J146" s="121"/>
      <c r="K146" s="76"/>
      <c r="L146" s="121"/>
      <c r="M146" s="76"/>
      <c r="N146" s="121"/>
      <c r="O146" s="76"/>
      <c r="P146" s="121"/>
      <c r="Q146" s="76"/>
      <c r="R146" s="121"/>
      <c r="S146" s="76"/>
      <c r="T146" s="121"/>
      <c r="U146" s="76"/>
      <c r="V146" s="121"/>
      <c r="W146" s="76"/>
      <c r="X146" s="121"/>
      <c r="Y146" s="76"/>
      <c r="Z146" s="121"/>
      <c r="AA146" s="76"/>
      <c r="AB146" s="121"/>
      <c r="AC146" s="76"/>
      <c r="AD146" s="122"/>
      <c r="AE146" s="78"/>
      <c r="AF146" s="122"/>
      <c r="AG146" s="121"/>
      <c r="AH146" s="76"/>
      <c r="AI146" s="122"/>
      <c r="AJ146" s="78"/>
      <c r="AK146" s="122"/>
      <c r="AL146" s="78"/>
    </row>
    <row r="147" ht="16.5" hidden="1" customHeight="1">
      <c r="A147" s="118" t="s">
        <v>243</v>
      </c>
      <c r="B147" s="119">
        <f>IFERROR(B137-B141-B145, "NA")</f>
        <v>3602.18</v>
      </c>
      <c r="C147" s="107">
        <f>IFERROR(B147/B148, "NA")</f>
        <v>0.1499972101</v>
      </c>
      <c r="D147" s="119">
        <f>IFERROR(D137-D141-D145, "NA")</f>
        <v>979.13</v>
      </c>
      <c r="E147" s="107">
        <f>IFERROR(D147/D148, "NA")</f>
        <v>0.03551285874</v>
      </c>
      <c r="F147" s="119">
        <f>IFERROR(F137-F141-F145, "NA")</f>
        <v>-7937.07</v>
      </c>
      <c r="G147" s="107">
        <f>IFERROR(F147/F148, "NA")</f>
        <v>-0.2586624431</v>
      </c>
      <c r="H147" s="119">
        <f>IFERROR(H137-H141-H145, "NA")</f>
        <v>3448.68</v>
      </c>
      <c r="I147" s="107">
        <f>IFERROR(H147/H148, "NA")</f>
        <v>0.1617897701</v>
      </c>
      <c r="J147" s="119">
        <f>IFERROR(J137-J141-J145, "NA")</f>
        <v>8849.93</v>
      </c>
      <c r="K147" s="107">
        <f>IFERROR(J147/J148, "NA")</f>
        <v>0.2665852747</v>
      </c>
      <c r="L147" s="119">
        <f>IFERROR(L137-L141-L145, "NA")</f>
        <v>6410.01</v>
      </c>
      <c r="M147" s="107">
        <f>IFERROR(L147/L148, "NA")</f>
        <v>0.2456540193</v>
      </c>
      <c r="N147" s="119">
        <f>IFERROR(N137-N141-N145, "NA")</f>
        <v>1886.31</v>
      </c>
      <c r="O147" s="107">
        <f>IFERROR(N147/N148, "NA")</f>
        <v>0.07358447287</v>
      </c>
      <c r="P147" s="119">
        <f>IFERROR(P137-P141-P145, "NA")</f>
        <v>-10703.56</v>
      </c>
      <c r="Q147" s="107">
        <f>IFERROR(P147/P148, "NA")</f>
        <v>-0.3108053133</v>
      </c>
      <c r="R147" s="119">
        <f>IFERROR(R137-R141-R145, "NA")</f>
        <v>4947.66</v>
      </c>
      <c r="S147" s="107">
        <f>IFERROR(R147/R148, "NA")</f>
        <v>0.1733048722</v>
      </c>
      <c r="T147" s="119">
        <f>IFERROR(T137-T141-T145, "NA")</f>
        <v>8306.15</v>
      </c>
      <c r="U147" s="107">
        <f>IFERROR(T147/T148, "NA")</f>
        <v>0.2380511569</v>
      </c>
      <c r="V147" s="119">
        <f>IFERROR(V137-V141-V145, "NA")</f>
        <v>10742.84</v>
      </c>
      <c r="W147" s="107">
        <f>IFERROR(V147/V148, "NA")</f>
        <v>0.23625098</v>
      </c>
      <c r="X147" s="119">
        <f>IFERROR(X137-X141-X145, "NA")</f>
        <v>11332.48</v>
      </c>
      <c r="Y147" s="107">
        <f>IFERROR(X147/X148, "NA")</f>
        <v>0.2909280602</v>
      </c>
      <c r="Z147" s="119">
        <f>IFERROR(Z137-Z141-Z145, "NA")</f>
        <v>35329.13</v>
      </c>
      <c r="AA147" s="107">
        <f>IFERROR(Z147/Z148, "NA")</f>
        <v>0.2389263725</v>
      </c>
      <c r="AB147" s="119">
        <f t="shared" ref="AB147:AB148" si="73">IFERROR((R147+T147+V147+X147)/4, "NA")</f>
        <v>8832.2825</v>
      </c>
      <c r="AC147" s="107">
        <f>IFERROR(AB147/AB148, "NA")</f>
        <v>0.2389263725</v>
      </c>
      <c r="AD147" s="70">
        <f t="shared" ref="AD147:AD148" si="74">IFERROR(X147-AB147, "NA")</f>
        <v>2500.1975</v>
      </c>
      <c r="AE147" s="71">
        <f>IFERROR(AD147/AD148, "NA")</f>
        <v>1.258711483</v>
      </c>
      <c r="AF147" s="70">
        <f t="shared" ref="AF147:AF148" si="75">IFERROR((X147-AB147)/AB147, "NA")</f>
        <v>0.2830749016</v>
      </c>
      <c r="AG147" s="119">
        <f t="shared" ref="AG147:AG148" si="76">IFERROR((J147+L147+N147+P147+R147+T147+V147+X147)/8, "NA")</f>
        <v>5221.4775</v>
      </c>
      <c r="AH147" s="107">
        <f>IFERROR(AG147/AG148, "NA")</f>
        <v>0.156314129</v>
      </c>
      <c r="AI147" s="70">
        <f t="shared" ref="AI147:AI148" si="77">IFERROR(X147-AG147, "NA")</f>
        <v>6111.0025</v>
      </c>
      <c r="AJ147" s="71">
        <f>IFERROR(AI147/AI148, "NA")</f>
        <v>1.101257385</v>
      </c>
      <c r="AK147" s="70">
        <f t="shared" ref="AK147:AK148" si="78">IFERROR((X147-AG147)/AG147, "NA")</f>
        <v>1.170358869</v>
      </c>
      <c r="AL147" s="71">
        <f>IFERROR(AK147/AK148, "NA")</f>
        <v>7.045155755</v>
      </c>
    </row>
    <row r="148" ht="14.25" hidden="1" customHeight="1">
      <c r="A148" s="26" t="s">
        <v>51</v>
      </c>
      <c r="B148" s="27">
        <v>24014.98</v>
      </c>
      <c r="C148" s="125"/>
      <c r="D148" s="27">
        <v>27571.14</v>
      </c>
      <c r="E148" s="125"/>
      <c r="F148" s="27">
        <v>30685.05</v>
      </c>
      <c r="G148" s="125"/>
      <c r="H148" s="27">
        <v>21315.81</v>
      </c>
      <c r="I148" s="125"/>
      <c r="J148" s="27">
        <v>33197.37</v>
      </c>
      <c r="K148" s="125"/>
      <c r="L148" s="27">
        <v>26093.65</v>
      </c>
      <c r="M148" s="125"/>
      <c r="N148" s="27">
        <v>25634.62</v>
      </c>
      <c r="O148" s="125"/>
      <c r="P148" s="27">
        <v>34438.15</v>
      </c>
      <c r="Q148" s="125"/>
      <c r="R148" s="27">
        <v>28548.88</v>
      </c>
      <c r="S148" s="125"/>
      <c r="T148" s="27">
        <v>34892.29</v>
      </c>
      <c r="U148" s="125"/>
      <c r="V148" s="27">
        <v>45472.15</v>
      </c>
      <c r="W148" s="125"/>
      <c r="X148" s="27">
        <v>38952.86</v>
      </c>
      <c r="Y148" s="125"/>
      <c r="Z148" s="27">
        <v>147866.18</v>
      </c>
      <c r="AA148" s="125"/>
      <c r="AB148" s="59">
        <f t="shared" si="73"/>
        <v>36966.545</v>
      </c>
      <c r="AC148" s="125"/>
      <c r="AD148" s="61">
        <f t="shared" si="74"/>
        <v>1986.315</v>
      </c>
      <c r="AE148" s="126"/>
      <c r="AF148" s="61">
        <f t="shared" si="75"/>
        <v>0.05373277378</v>
      </c>
      <c r="AG148" s="59">
        <f t="shared" si="76"/>
        <v>33403.74625</v>
      </c>
      <c r="AH148" s="125"/>
      <c r="AI148" s="61">
        <f t="shared" si="77"/>
        <v>5549.11375</v>
      </c>
      <c r="AJ148" s="126"/>
      <c r="AK148" s="61">
        <f t="shared" si="78"/>
        <v>0.1661224974</v>
      </c>
      <c r="AL148" s="126"/>
    </row>
    <row r="149" ht="14.25" customHeight="1"/>
    <row r="150" ht="14.25" customHeight="1"/>
    <row r="151" ht="14.25" customHeight="1">
      <c r="A151" s="127" t="s">
        <v>244</v>
      </c>
    </row>
    <row r="152" ht="14.25" customHeight="1">
      <c r="A152" s="127" t="s">
        <v>245</v>
      </c>
    </row>
    <row r="153" ht="14.25" customHeight="1">
      <c r="A153" s="127" t="s">
        <v>246</v>
      </c>
    </row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1"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G5:AH5"/>
    <mergeCell ref="AI5:AJ5"/>
    <mergeCell ref="AK5:AL5"/>
    <mergeCell ref="A1:AL1"/>
    <mergeCell ref="A2:AL2"/>
    <mergeCell ref="A3:AL3"/>
    <mergeCell ref="B5:C5"/>
    <mergeCell ref="D5:E5"/>
    <mergeCell ref="F5:G5"/>
    <mergeCell ref="H5:I5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75"/>
  <cols>
    <col customWidth="1" min="1" max="1" width="37.5"/>
    <col customWidth="1" min="2" max="2" width="15.0"/>
    <col customWidth="1" min="3" max="3" width="8.25"/>
    <col customWidth="1" min="4" max="4" width="15.0"/>
    <col customWidth="1" min="5" max="5" width="8.25"/>
    <col customWidth="1" min="6" max="6" width="15.0"/>
    <col customWidth="1" min="7" max="7" width="8.25"/>
    <col customWidth="1" min="8" max="8" width="15.0"/>
    <col customWidth="1" min="9" max="9" width="8.25"/>
    <col customWidth="1" min="10" max="10" width="15.0"/>
    <col customWidth="1" min="11" max="11" width="8.25"/>
    <col customWidth="1" min="12" max="12" width="15.0"/>
    <col customWidth="1" min="13" max="13" width="8.25"/>
    <col customWidth="1" min="14" max="14" width="15.0"/>
    <col customWidth="1" min="15" max="15" width="8.25"/>
    <col customWidth="1" min="16" max="16" width="15.0"/>
    <col customWidth="1" min="17" max="17" width="8.25"/>
    <col customWidth="1" min="18" max="18" width="15.0"/>
    <col customWidth="1" min="19" max="19" width="8.25"/>
    <col customWidth="1" min="20" max="20" width="15.0"/>
    <col customWidth="1" min="21" max="21" width="8.25"/>
    <col customWidth="1" min="22" max="22" width="15.0"/>
    <col customWidth="1" min="23" max="23" width="8.25"/>
    <col customWidth="1" min="24" max="24" width="15.0"/>
    <col customWidth="1" min="25" max="25" width="8.25"/>
    <col customWidth="1" min="26" max="26" width="15.0"/>
    <col customWidth="1" min="27" max="27" width="8.25"/>
    <col customWidth="1" min="28" max="28" width="15.0"/>
    <col customWidth="1" min="29" max="29" width="8.25"/>
    <col customWidth="1" min="30" max="30" width="14.63"/>
    <col customWidth="1" hidden="1" min="31" max="31" width="7.63"/>
    <col customWidth="1" min="32" max="32" width="14.63"/>
    <col customWidth="1" min="33" max="33" width="15.0"/>
    <col customWidth="1" min="34" max="34" width="8.25"/>
    <col customWidth="1" min="35" max="35" width="14.63"/>
    <col customWidth="1" hidden="1" min="36" max="36" width="7.63"/>
    <col customWidth="1" min="37" max="37" width="14.63"/>
    <col customWidth="1" hidden="1" min="38" max="38" width="7.63"/>
  </cols>
  <sheetData>
    <row r="1" ht="14.25" customHeight="1">
      <c r="A1" s="3" t="s">
        <v>0</v>
      </c>
    </row>
    <row r="2" ht="14.25" customHeight="1">
      <c r="A2" s="5" t="s">
        <v>2</v>
      </c>
    </row>
    <row r="3" ht="14.25" customHeight="1">
      <c r="A3" s="6" t="s">
        <v>83</v>
      </c>
    </row>
    <row r="4" ht="14.25" customHeight="1"/>
    <row r="5" ht="13.5" customHeight="1">
      <c r="A5" s="8" t="s">
        <v>6</v>
      </c>
      <c r="B5" s="1" t="s">
        <v>9</v>
      </c>
      <c r="D5" s="1" t="s">
        <v>11</v>
      </c>
      <c r="F5" s="1" t="s">
        <v>13</v>
      </c>
      <c r="H5" s="1" t="s">
        <v>14</v>
      </c>
      <c r="J5" s="1" t="s">
        <v>16</v>
      </c>
      <c r="L5" s="1" t="s">
        <v>19</v>
      </c>
      <c r="N5" s="1" t="s">
        <v>20</v>
      </c>
      <c r="P5" s="1" t="s">
        <v>21</v>
      </c>
      <c r="R5" s="1" t="s">
        <v>22</v>
      </c>
      <c r="T5" s="1" t="s">
        <v>23</v>
      </c>
      <c r="V5" s="1" t="s">
        <v>24</v>
      </c>
      <c r="X5" s="1" t="s">
        <v>25</v>
      </c>
      <c r="Z5" s="1" t="s">
        <v>26</v>
      </c>
      <c r="AB5" s="1" t="s">
        <v>27</v>
      </c>
      <c r="AD5" s="15" t="s">
        <v>28</v>
      </c>
      <c r="AF5" s="15" t="s">
        <v>30</v>
      </c>
      <c r="AG5" s="1" t="s">
        <v>31</v>
      </c>
      <c r="AI5" s="15" t="s">
        <v>32</v>
      </c>
      <c r="AK5" s="15" t="s">
        <v>34</v>
      </c>
    </row>
    <row r="6" ht="16.5" customHeight="1">
      <c r="A6" s="17" t="s">
        <v>17</v>
      </c>
      <c r="B6" s="19"/>
      <c r="C6" s="13"/>
      <c r="D6" s="19"/>
      <c r="E6" s="13"/>
      <c r="F6" s="19"/>
      <c r="G6" s="13"/>
      <c r="H6" s="19"/>
      <c r="I6" s="13"/>
      <c r="J6" s="19"/>
      <c r="K6" s="13"/>
      <c r="L6" s="19"/>
      <c r="M6" s="13"/>
      <c r="N6" s="19"/>
      <c r="O6" s="13"/>
      <c r="P6" s="19"/>
      <c r="Q6" s="13"/>
      <c r="R6" s="19"/>
      <c r="S6" s="13"/>
      <c r="T6" s="19"/>
      <c r="U6" s="13"/>
      <c r="V6" s="19"/>
      <c r="W6" s="13"/>
      <c r="X6" s="19"/>
      <c r="Y6" s="13"/>
      <c r="Z6" s="19"/>
      <c r="AA6" s="13"/>
      <c r="AB6" s="19"/>
      <c r="AC6" s="13"/>
      <c r="AD6" s="24"/>
      <c r="AE6" s="25"/>
      <c r="AF6" s="24"/>
      <c r="AG6" s="19"/>
      <c r="AH6" s="13"/>
      <c r="AI6" s="24"/>
      <c r="AJ6" s="25"/>
      <c r="AK6" s="24"/>
      <c r="AL6" s="25"/>
    </row>
    <row r="7" ht="16.5" customHeight="1">
      <c r="A7" s="26" t="s">
        <v>17</v>
      </c>
      <c r="B7" s="27">
        <v>33728.22999999999</v>
      </c>
      <c r="C7" s="23">
        <f>IFERROR(B7/B148, "NA")</f>
        <v>1</v>
      </c>
      <c r="D7" s="27">
        <v>29344.21</v>
      </c>
      <c r="E7" s="23">
        <f>IFERROR(D7/D148, "NA")</f>
        <v>1</v>
      </c>
      <c r="F7" s="27">
        <v>29796.2</v>
      </c>
      <c r="G7" s="23">
        <f>IFERROR(F7/F148, "NA")</f>
        <v>1</v>
      </c>
      <c r="H7" s="27">
        <v>30945.32</v>
      </c>
      <c r="I7" s="23">
        <f>IFERROR(H7/H148, "NA")</f>
        <v>1</v>
      </c>
      <c r="J7" s="27">
        <v>23215.039999999997</v>
      </c>
      <c r="K7" s="23">
        <f>IFERROR(J7/J148, "NA")</f>
        <v>1</v>
      </c>
      <c r="L7" s="27">
        <v>25239.139999999996</v>
      </c>
      <c r="M7" s="23">
        <f>IFERROR(L7/L148, "NA")</f>
        <v>1</v>
      </c>
      <c r="N7" s="27">
        <v>33248.91</v>
      </c>
      <c r="O7" s="23">
        <f>IFERROR(N7/N148, "NA")</f>
        <v>1</v>
      </c>
      <c r="P7" s="27">
        <v>33375.4</v>
      </c>
      <c r="Q7" s="23">
        <f>IFERROR(P7/P148, "NA")</f>
        <v>1</v>
      </c>
      <c r="R7" s="27">
        <v>27216.920000000002</v>
      </c>
      <c r="S7" s="23">
        <f>IFERROR(R7/R148, "NA")</f>
        <v>1</v>
      </c>
      <c r="T7" s="27">
        <v>41263.46000000001</v>
      </c>
      <c r="U7" s="23">
        <f>IFERROR(T7/T148, "NA")</f>
        <v>1</v>
      </c>
      <c r="V7" s="27">
        <v>32026.440000000002</v>
      </c>
      <c r="W7" s="23">
        <f>IFERROR(V7/V148, "NA")</f>
        <v>1</v>
      </c>
      <c r="X7" s="27">
        <v>28108.319999999992</v>
      </c>
      <c r="Y7" s="23">
        <f>IFERROR(X7/X148, "NA")</f>
        <v>1</v>
      </c>
      <c r="Z7" s="27">
        <v>128615.13999999998</v>
      </c>
      <c r="AA7" s="23">
        <f>IFERROR(Z7/Z148, "NA")</f>
        <v>1</v>
      </c>
      <c r="AB7" s="59">
        <f t="shared" ref="AB7:AB9" si="1">IFERROR((R7+T7+V7+X7)/4, "NA")</f>
        <v>32153.785</v>
      </c>
      <c r="AC7" s="23">
        <f>IFERROR(AB7/AB148, "NA")</f>
        <v>1</v>
      </c>
      <c r="AD7" s="61">
        <f t="shared" ref="AD7:AD9" si="2">IFERROR(X7-AB7, "NA")</f>
        <v>-4045.465</v>
      </c>
      <c r="AE7" s="63">
        <f>IFERROR(AD7/AD148, "NA")</f>
        <v>1</v>
      </c>
      <c r="AF7" s="61">
        <f t="shared" ref="AF7:AF9" si="3">IFERROR((X7-AB7)/AB7, "NA")</f>
        <v>-0.1258161364</v>
      </c>
      <c r="AG7" s="59">
        <f t="shared" ref="AG7:AG9" si="4">IFERROR((J7+L7+N7+P7+R7+T7+V7+X7)/8, "NA")</f>
        <v>30461.70375</v>
      </c>
      <c r="AH7" s="23">
        <f>IFERROR(AG7/AG148, "NA")</f>
        <v>1</v>
      </c>
      <c r="AI7" s="61">
        <f t="shared" ref="AI7:AI9" si="5">IFERROR(X7-AG7, "NA")</f>
        <v>-2353.38375</v>
      </c>
      <c r="AJ7" s="63">
        <f>IFERROR(AI7/AI148, "NA")</f>
        <v>1</v>
      </c>
      <c r="AK7" s="61">
        <f t="shared" ref="AK7:AK9" si="6">IFERROR((X7-AG7)/AG7, "NA")</f>
        <v>-0.07725712814</v>
      </c>
      <c r="AL7" s="63">
        <f>IFERROR(AK7/AK148, "NA")</f>
        <v>1</v>
      </c>
    </row>
    <row r="8" ht="30.75" hidden="1" customHeight="1">
      <c r="A8" s="26" t="s">
        <v>57</v>
      </c>
      <c r="B8" s="27">
        <v>0.0</v>
      </c>
      <c r="C8" s="23">
        <f>IFERROR(B8/B148, "NA")</f>
        <v>0</v>
      </c>
      <c r="D8" s="27">
        <v>0.0</v>
      </c>
      <c r="E8" s="23">
        <f>IFERROR(D8/D148, "NA")</f>
        <v>0</v>
      </c>
      <c r="F8" s="27">
        <v>0.0</v>
      </c>
      <c r="G8" s="23">
        <f>IFERROR(F8/F148, "NA")</f>
        <v>0</v>
      </c>
      <c r="H8" s="27">
        <v>0.0</v>
      </c>
      <c r="I8" s="23">
        <f>IFERROR(H8/H148, "NA")</f>
        <v>0</v>
      </c>
      <c r="J8" s="27">
        <v>0.0</v>
      </c>
      <c r="K8" s="23">
        <f>IFERROR(J8/J148, "NA")</f>
        <v>0</v>
      </c>
      <c r="L8" s="27">
        <v>0.0</v>
      </c>
      <c r="M8" s="23">
        <f>IFERROR(L8/L148, "NA")</f>
        <v>0</v>
      </c>
      <c r="N8" s="27">
        <v>0.0</v>
      </c>
      <c r="O8" s="23">
        <f>IFERROR(N8/N148, "NA")</f>
        <v>0</v>
      </c>
      <c r="P8" s="27">
        <v>0.0</v>
      </c>
      <c r="Q8" s="23">
        <f>IFERROR(P8/P148, "NA")</f>
        <v>0</v>
      </c>
      <c r="R8" s="27">
        <v>0.0</v>
      </c>
      <c r="S8" s="23">
        <f>IFERROR(R8/R148, "NA")</f>
        <v>0</v>
      </c>
      <c r="T8" s="27">
        <v>0.0</v>
      </c>
      <c r="U8" s="23">
        <f>IFERROR(T8/T148, "NA")</f>
        <v>0</v>
      </c>
      <c r="V8" s="27">
        <v>0.0</v>
      </c>
      <c r="W8" s="23">
        <f>IFERROR(V8/V148, "NA")</f>
        <v>0</v>
      </c>
      <c r="X8" s="27">
        <v>0.0</v>
      </c>
      <c r="Y8" s="23">
        <f>IFERROR(X8/X148, "NA")</f>
        <v>0</v>
      </c>
      <c r="Z8" s="27">
        <v>0.0</v>
      </c>
      <c r="AA8" s="23">
        <f>IFERROR(Z8/Z148, "NA")</f>
        <v>0</v>
      </c>
      <c r="AB8" s="59">
        <f t="shared" si="1"/>
        <v>0</v>
      </c>
      <c r="AC8" s="23">
        <f>IFERROR(AB8/AB148, "NA")</f>
        <v>0</v>
      </c>
      <c r="AD8" s="61">
        <f t="shared" si="2"/>
        <v>0</v>
      </c>
      <c r="AE8" s="63">
        <f>IFERROR(AD8/AD148, "NA")</f>
        <v>0</v>
      </c>
      <c r="AF8" s="61" t="str">
        <f t="shared" si="3"/>
        <v>NA</v>
      </c>
      <c r="AG8" s="59">
        <f t="shared" si="4"/>
        <v>0</v>
      </c>
      <c r="AH8" s="23">
        <f>IFERROR(AG8/AG148, "NA")</f>
        <v>0</v>
      </c>
      <c r="AI8" s="61">
        <f t="shared" si="5"/>
        <v>0</v>
      </c>
      <c r="AJ8" s="63">
        <f>IFERROR(AI8/AI148, "NA")</f>
        <v>0</v>
      </c>
      <c r="AK8" s="61" t="str">
        <f t="shared" si="6"/>
        <v>NA</v>
      </c>
      <c r="AL8" s="63" t="str">
        <f>IFERROR(AK8/AK148, "NA")</f>
        <v>NA</v>
      </c>
    </row>
    <row r="9" ht="16.5" customHeight="1">
      <c r="A9" s="66" t="s">
        <v>51</v>
      </c>
      <c r="B9" s="67">
        <f>IFERROR(B7+B8, "NA")</f>
        <v>33728.23</v>
      </c>
      <c r="C9" s="69">
        <f>IFERROR(B9/B148, "NA")</f>
        <v>1</v>
      </c>
      <c r="D9" s="67">
        <f>IFERROR(D7+D8, "NA")</f>
        <v>29344.21</v>
      </c>
      <c r="E9" s="69">
        <f>IFERROR(D9/D148, "NA")</f>
        <v>1</v>
      </c>
      <c r="F9" s="67">
        <f>IFERROR(F7+F8, "NA")</f>
        <v>29796.2</v>
      </c>
      <c r="G9" s="69">
        <f>IFERROR(F9/F148, "NA")</f>
        <v>1</v>
      </c>
      <c r="H9" s="67">
        <f>IFERROR(H7+H8, "NA")</f>
        <v>30945.32</v>
      </c>
      <c r="I9" s="69">
        <f>IFERROR(H9/H148, "NA")</f>
        <v>1</v>
      </c>
      <c r="J9" s="67">
        <f>IFERROR(J7+J8, "NA")</f>
        <v>23215.04</v>
      </c>
      <c r="K9" s="69">
        <f>IFERROR(J9/J148, "NA")</f>
        <v>1</v>
      </c>
      <c r="L9" s="67">
        <f>IFERROR(L7+L8, "NA")</f>
        <v>25239.14</v>
      </c>
      <c r="M9" s="69">
        <f>IFERROR(L9/L148, "NA")</f>
        <v>1</v>
      </c>
      <c r="N9" s="67">
        <f>IFERROR(N7+N8, "NA")</f>
        <v>33248.91</v>
      </c>
      <c r="O9" s="69">
        <f>IFERROR(N9/N148, "NA")</f>
        <v>1</v>
      </c>
      <c r="P9" s="67">
        <f>IFERROR(P7+P8, "NA")</f>
        <v>33375.4</v>
      </c>
      <c r="Q9" s="69">
        <f>IFERROR(P9/P148, "NA")</f>
        <v>1</v>
      </c>
      <c r="R9" s="67">
        <f>IFERROR(R7+R8, "NA")</f>
        <v>27216.92</v>
      </c>
      <c r="S9" s="69">
        <f>IFERROR(R9/R148, "NA")</f>
        <v>1</v>
      </c>
      <c r="T9" s="67">
        <f>IFERROR(T7+T8, "NA")</f>
        <v>41263.46</v>
      </c>
      <c r="U9" s="69">
        <f>IFERROR(T9/T148, "NA")</f>
        <v>1</v>
      </c>
      <c r="V9" s="67">
        <f>IFERROR(V7+V8, "NA")</f>
        <v>32026.44</v>
      </c>
      <c r="W9" s="69">
        <f>IFERROR(V9/V148, "NA")</f>
        <v>1</v>
      </c>
      <c r="X9" s="67">
        <f>IFERROR(X7+X8, "NA")</f>
        <v>28108.32</v>
      </c>
      <c r="Y9" s="69">
        <f>IFERROR(X9/X148, "NA")</f>
        <v>1</v>
      </c>
      <c r="Z9" s="67">
        <f>IFERROR(Z7+Z8, "NA")</f>
        <v>128615.14</v>
      </c>
      <c r="AA9" s="69">
        <f>IFERROR(Z9/Z148, "NA")</f>
        <v>1</v>
      </c>
      <c r="AB9" s="67">
        <f t="shared" si="1"/>
        <v>32153.785</v>
      </c>
      <c r="AC9" s="69">
        <f>IFERROR(AB9/AB148, "NA")</f>
        <v>1</v>
      </c>
      <c r="AD9" s="70">
        <f t="shared" si="2"/>
        <v>-4045.465</v>
      </c>
      <c r="AE9" s="71">
        <f>IFERROR(AD9/AD148, "NA")</f>
        <v>1</v>
      </c>
      <c r="AF9" s="70">
        <f t="shared" si="3"/>
        <v>-0.1258161364</v>
      </c>
      <c r="AG9" s="67">
        <f t="shared" si="4"/>
        <v>30461.70375</v>
      </c>
      <c r="AH9" s="69">
        <f>IFERROR(AG9/AG148, "NA")</f>
        <v>1</v>
      </c>
      <c r="AI9" s="70">
        <f t="shared" si="5"/>
        <v>-2353.38375</v>
      </c>
      <c r="AJ9" s="71">
        <f>IFERROR(AI9/AI148, "NA")</f>
        <v>1</v>
      </c>
      <c r="AK9" s="70">
        <f t="shared" si="6"/>
        <v>-0.07725712814</v>
      </c>
      <c r="AL9" s="71">
        <f>IFERROR(AK9/AK148, "NA")</f>
        <v>1</v>
      </c>
    </row>
    <row r="10" ht="3.75" customHeight="1">
      <c r="A10" s="74" t="s">
        <v>6</v>
      </c>
      <c r="B10" s="75"/>
      <c r="C10" s="76"/>
      <c r="D10" s="75"/>
      <c r="E10" s="76"/>
      <c r="F10" s="75"/>
      <c r="G10" s="76"/>
      <c r="H10" s="75"/>
      <c r="I10" s="76"/>
      <c r="J10" s="75"/>
      <c r="K10" s="76"/>
      <c r="L10" s="75"/>
      <c r="M10" s="76"/>
      <c r="N10" s="75"/>
      <c r="O10" s="76"/>
      <c r="P10" s="75"/>
      <c r="Q10" s="76"/>
      <c r="R10" s="75"/>
      <c r="S10" s="76"/>
      <c r="T10" s="75"/>
      <c r="U10" s="76"/>
      <c r="V10" s="75"/>
      <c r="W10" s="76"/>
      <c r="X10" s="75"/>
      <c r="Y10" s="76"/>
      <c r="Z10" s="75"/>
      <c r="AA10" s="76"/>
      <c r="AB10" s="75"/>
      <c r="AC10" s="76"/>
      <c r="AD10" s="77"/>
      <c r="AE10" s="78"/>
      <c r="AF10" s="77"/>
      <c r="AG10" s="75"/>
      <c r="AH10" s="76"/>
      <c r="AI10" s="77"/>
      <c r="AJ10" s="78"/>
      <c r="AK10" s="77"/>
      <c r="AL10" s="78"/>
    </row>
    <row r="11" ht="16.5" customHeight="1">
      <c r="A11" s="17" t="s">
        <v>64</v>
      </c>
      <c r="B11" s="19"/>
      <c r="C11" s="13"/>
      <c r="D11" s="19"/>
      <c r="E11" s="13"/>
      <c r="F11" s="19"/>
      <c r="G11" s="13"/>
      <c r="H11" s="19"/>
      <c r="I11" s="13"/>
      <c r="J11" s="19"/>
      <c r="K11" s="13"/>
      <c r="L11" s="19"/>
      <c r="M11" s="13"/>
      <c r="N11" s="19"/>
      <c r="O11" s="13"/>
      <c r="P11" s="19"/>
      <c r="Q11" s="13"/>
      <c r="R11" s="19"/>
      <c r="S11" s="13"/>
      <c r="T11" s="19"/>
      <c r="U11" s="13"/>
      <c r="V11" s="19"/>
      <c r="W11" s="13"/>
      <c r="X11" s="19"/>
      <c r="Y11" s="13"/>
      <c r="Z11" s="19"/>
      <c r="AA11" s="13"/>
      <c r="AB11" s="19"/>
      <c r="AC11" s="13"/>
      <c r="AD11" s="24"/>
      <c r="AE11" s="25"/>
      <c r="AF11" s="24"/>
      <c r="AG11" s="19"/>
      <c r="AH11" s="13"/>
      <c r="AI11" s="24"/>
      <c r="AJ11" s="25"/>
      <c r="AK11" s="24"/>
      <c r="AL11" s="25"/>
    </row>
    <row r="12" ht="16.5" customHeight="1">
      <c r="A12" s="17" t="s">
        <v>65</v>
      </c>
      <c r="B12" s="19"/>
      <c r="C12" s="13"/>
      <c r="D12" s="19"/>
      <c r="E12" s="13"/>
      <c r="F12" s="19"/>
      <c r="G12" s="13"/>
      <c r="H12" s="19"/>
      <c r="I12" s="13"/>
      <c r="J12" s="19"/>
      <c r="K12" s="13"/>
      <c r="L12" s="19"/>
      <c r="M12" s="13"/>
      <c r="N12" s="19"/>
      <c r="O12" s="13"/>
      <c r="P12" s="19"/>
      <c r="Q12" s="13"/>
      <c r="R12" s="19"/>
      <c r="S12" s="13"/>
      <c r="T12" s="19"/>
      <c r="U12" s="13"/>
      <c r="V12" s="19"/>
      <c r="W12" s="13"/>
      <c r="X12" s="19"/>
      <c r="Y12" s="13"/>
      <c r="Z12" s="19"/>
      <c r="AA12" s="13"/>
      <c r="AB12" s="19"/>
      <c r="AC12" s="13"/>
      <c r="AD12" s="24"/>
      <c r="AE12" s="25"/>
      <c r="AF12" s="24"/>
      <c r="AG12" s="19"/>
      <c r="AH12" s="13"/>
      <c r="AI12" s="24"/>
      <c r="AJ12" s="25"/>
      <c r="AK12" s="24"/>
      <c r="AL12" s="25"/>
    </row>
    <row r="13" ht="16.5" hidden="1" customHeight="1">
      <c r="A13" s="26" t="s">
        <v>66</v>
      </c>
      <c r="B13" s="27">
        <v>0.0</v>
      </c>
      <c r="C13" s="23">
        <f>IFERROR(B13/B148, "NA")</f>
        <v>0</v>
      </c>
      <c r="D13" s="27">
        <v>0.0</v>
      </c>
      <c r="E13" s="23">
        <f>IFERROR(D13/D148, "NA")</f>
        <v>0</v>
      </c>
      <c r="F13" s="27">
        <v>0.0</v>
      </c>
      <c r="G13" s="23">
        <f>IFERROR(F13/F148, "NA")</f>
        <v>0</v>
      </c>
      <c r="H13" s="27">
        <v>0.0</v>
      </c>
      <c r="I13" s="23">
        <f>IFERROR(H13/H148, "NA")</f>
        <v>0</v>
      </c>
      <c r="J13" s="27">
        <v>0.0</v>
      </c>
      <c r="K13" s="23">
        <f>IFERROR(J13/J148, "NA")</f>
        <v>0</v>
      </c>
      <c r="L13" s="27">
        <v>0.0</v>
      </c>
      <c r="M13" s="23">
        <f>IFERROR(L13/L148, "NA")</f>
        <v>0</v>
      </c>
      <c r="N13" s="27">
        <v>0.0</v>
      </c>
      <c r="O13" s="23">
        <f>IFERROR(N13/N148, "NA")</f>
        <v>0</v>
      </c>
      <c r="P13" s="27">
        <v>0.0</v>
      </c>
      <c r="Q13" s="23">
        <f>IFERROR(P13/P148, "NA")</f>
        <v>0</v>
      </c>
      <c r="R13" s="27">
        <v>0.0</v>
      </c>
      <c r="S13" s="23">
        <f>IFERROR(R13/R148, "NA")</f>
        <v>0</v>
      </c>
      <c r="T13" s="27">
        <v>0.0</v>
      </c>
      <c r="U13" s="23">
        <f>IFERROR(T13/T148, "NA")</f>
        <v>0</v>
      </c>
      <c r="V13" s="27">
        <v>0.0</v>
      </c>
      <c r="W13" s="23">
        <f>IFERROR(V13/V148, "NA")</f>
        <v>0</v>
      </c>
      <c r="X13" s="27">
        <v>0.0</v>
      </c>
      <c r="Y13" s="23">
        <f>IFERROR(X13/X148, "NA")</f>
        <v>0</v>
      </c>
      <c r="Z13" s="27">
        <v>0.0</v>
      </c>
      <c r="AA13" s="23">
        <f>IFERROR(Z13/Z148, "NA")</f>
        <v>0</v>
      </c>
      <c r="AB13" s="59">
        <f>IFERROR((R13+T13+V13+X13)/4, "NA")</f>
        <v>0</v>
      </c>
      <c r="AC13" s="23">
        <f>IFERROR(AB13/AB148, "NA")</f>
        <v>0</v>
      </c>
      <c r="AD13" s="61">
        <f>IFERROR(X13-AB13, "NA")</f>
        <v>0</v>
      </c>
      <c r="AE13" s="63">
        <f>IFERROR(AD13/AD148, "NA")</f>
        <v>0</v>
      </c>
      <c r="AF13" s="61" t="str">
        <f>IFERROR((X13-AB13)/AB13, "NA")</f>
        <v>NA</v>
      </c>
      <c r="AG13" s="59">
        <f>IFERROR((J13+L13+N13+P13+R13+T13+V13+X13)/8, "NA")</f>
        <v>0</v>
      </c>
      <c r="AH13" s="23">
        <f>IFERROR(AG13/AG148, "NA")</f>
        <v>0</v>
      </c>
      <c r="AI13" s="61">
        <f>IFERROR(X13-AG13, "NA")</f>
        <v>0</v>
      </c>
      <c r="AJ13" s="63">
        <f>IFERROR(AI13/AI148, "NA")</f>
        <v>0</v>
      </c>
      <c r="AK13" s="61" t="str">
        <f>IFERROR((X13-AG13)/AG13, "NA")</f>
        <v>NA</v>
      </c>
      <c r="AL13" s="63" t="str">
        <f>IFERROR(AK13/AK148, "NA")</f>
        <v>NA</v>
      </c>
    </row>
    <row r="14" ht="16.5" customHeight="1">
      <c r="A14" s="17" t="s">
        <v>67</v>
      </c>
      <c r="B14" s="19"/>
      <c r="C14" s="13"/>
      <c r="D14" s="19"/>
      <c r="E14" s="13"/>
      <c r="F14" s="19"/>
      <c r="G14" s="13"/>
      <c r="H14" s="19"/>
      <c r="I14" s="13"/>
      <c r="J14" s="19"/>
      <c r="K14" s="13"/>
      <c r="L14" s="19"/>
      <c r="M14" s="13"/>
      <c r="N14" s="19"/>
      <c r="O14" s="13"/>
      <c r="P14" s="19"/>
      <c r="Q14" s="13"/>
      <c r="R14" s="19"/>
      <c r="S14" s="13"/>
      <c r="T14" s="19"/>
      <c r="U14" s="13"/>
      <c r="V14" s="19"/>
      <c r="W14" s="13"/>
      <c r="X14" s="19"/>
      <c r="Y14" s="13"/>
      <c r="Z14" s="19"/>
      <c r="AA14" s="13"/>
      <c r="AB14" s="19"/>
      <c r="AC14" s="13"/>
      <c r="AD14" s="24"/>
      <c r="AE14" s="25"/>
      <c r="AF14" s="24"/>
      <c r="AG14" s="19"/>
      <c r="AH14" s="13"/>
      <c r="AI14" s="24"/>
      <c r="AJ14" s="25"/>
      <c r="AK14" s="24"/>
      <c r="AL14" s="25"/>
    </row>
    <row r="15" ht="16.5" hidden="1" customHeight="1">
      <c r="A15" s="26" t="s">
        <v>68</v>
      </c>
      <c r="B15" s="27">
        <v>0.0</v>
      </c>
      <c r="C15" s="23">
        <f>IFERROR(B15/B148, "NA")</f>
        <v>0</v>
      </c>
      <c r="D15" s="27">
        <v>0.0</v>
      </c>
      <c r="E15" s="23">
        <f>IFERROR(D15/D148, "NA")</f>
        <v>0</v>
      </c>
      <c r="F15" s="27">
        <v>0.0</v>
      </c>
      <c r="G15" s="23">
        <f>IFERROR(F15/F148, "NA")</f>
        <v>0</v>
      </c>
      <c r="H15" s="27">
        <v>0.0</v>
      </c>
      <c r="I15" s="23">
        <f>IFERROR(H15/H148, "NA")</f>
        <v>0</v>
      </c>
      <c r="J15" s="27">
        <v>0.0</v>
      </c>
      <c r="K15" s="23">
        <f>IFERROR(J15/J148, "NA")</f>
        <v>0</v>
      </c>
      <c r="L15" s="27">
        <v>0.0</v>
      </c>
      <c r="M15" s="23">
        <f>IFERROR(L15/L148, "NA")</f>
        <v>0</v>
      </c>
      <c r="N15" s="27">
        <v>0.0</v>
      </c>
      <c r="O15" s="23">
        <f>IFERROR(N15/N148, "NA")</f>
        <v>0</v>
      </c>
      <c r="P15" s="27">
        <v>0.0</v>
      </c>
      <c r="Q15" s="23">
        <f>IFERROR(P15/P148, "NA")</f>
        <v>0</v>
      </c>
      <c r="R15" s="27">
        <v>0.0</v>
      </c>
      <c r="S15" s="23">
        <f>IFERROR(R15/R148, "NA")</f>
        <v>0</v>
      </c>
      <c r="T15" s="27">
        <v>0.0</v>
      </c>
      <c r="U15" s="23">
        <f>IFERROR(T15/T148, "NA")</f>
        <v>0</v>
      </c>
      <c r="V15" s="27">
        <v>0.0</v>
      </c>
      <c r="W15" s="23">
        <f>IFERROR(V15/V148, "NA")</f>
        <v>0</v>
      </c>
      <c r="X15" s="27">
        <v>0.0</v>
      </c>
      <c r="Y15" s="23">
        <f>IFERROR(X15/X148, "NA")</f>
        <v>0</v>
      </c>
      <c r="Z15" s="27">
        <v>0.0</v>
      </c>
      <c r="AA15" s="23">
        <f>IFERROR(Z15/Z148, "NA")</f>
        <v>0</v>
      </c>
      <c r="AB15" s="59">
        <f t="shared" ref="AB15:AB27" si="7">IFERROR((R15+T15+V15+X15)/4, "NA")</f>
        <v>0</v>
      </c>
      <c r="AC15" s="23">
        <f>IFERROR(AB15/AB148, "NA")</f>
        <v>0</v>
      </c>
      <c r="AD15" s="61">
        <f t="shared" ref="AD15:AD27" si="8">IFERROR(X15-AB15, "NA")</f>
        <v>0</v>
      </c>
      <c r="AE15" s="63">
        <f>IFERROR(AD15/AD148, "NA")</f>
        <v>0</v>
      </c>
      <c r="AF15" s="61" t="str">
        <f t="shared" ref="AF15:AF27" si="9">IFERROR((X15-AB15)/AB15, "NA")</f>
        <v>NA</v>
      </c>
      <c r="AG15" s="59">
        <f t="shared" ref="AG15:AG27" si="10">IFERROR((J15+L15+N15+P15+R15+T15+V15+X15)/8, "NA")</f>
        <v>0</v>
      </c>
      <c r="AH15" s="23">
        <f>IFERROR(AG15/AG148, "NA")</f>
        <v>0</v>
      </c>
      <c r="AI15" s="61">
        <f t="shared" ref="AI15:AI27" si="11">IFERROR(X15-AG15, "NA")</f>
        <v>0</v>
      </c>
      <c r="AJ15" s="63">
        <f>IFERROR(AI15/AI148, "NA")</f>
        <v>0</v>
      </c>
      <c r="AK15" s="61" t="str">
        <f t="shared" ref="AK15:AK27" si="12">IFERROR((X15-AG15)/AG15, "NA")</f>
        <v>NA</v>
      </c>
      <c r="AL15" s="63" t="str">
        <f>IFERROR(AK15/AK148, "NA")</f>
        <v>NA</v>
      </c>
    </row>
    <row r="16" ht="16.5" customHeight="1">
      <c r="A16" s="26" t="s">
        <v>69</v>
      </c>
      <c r="B16" s="27">
        <v>1781.41</v>
      </c>
      <c r="C16" s="23">
        <f>IFERROR(B16/B148, "NA")</f>
        <v>0.05281658717</v>
      </c>
      <c r="D16" s="27">
        <v>1286.19</v>
      </c>
      <c r="E16" s="23">
        <f>IFERROR(D16/D148, "NA")</f>
        <v>0.04383113398</v>
      </c>
      <c r="F16" s="27">
        <v>1645.38</v>
      </c>
      <c r="G16" s="23">
        <f>IFERROR(F16/F148, "NA")</f>
        <v>0.05522113558</v>
      </c>
      <c r="H16" s="27">
        <v>1690.67</v>
      </c>
      <c r="I16" s="23">
        <f>IFERROR(H16/H148, "NA")</f>
        <v>0.05463410946</v>
      </c>
      <c r="J16" s="27">
        <v>1225.12</v>
      </c>
      <c r="K16" s="23">
        <f>IFERROR(J16/J148, "NA")</f>
        <v>0.05277268529</v>
      </c>
      <c r="L16" s="27">
        <v>1149.03</v>
      </c>
      <c r="M16" s="23">
        <f>IFERROR(L16/L148, "NA")</f>
        <v>0.04552571918</v>
      </c>
      <c r="N16" s="27">
        <v>1712.22</v>
      </c>
      <c r="O16" s="23">
        <f>IFERROR(N16/N148, "NA")</f>
        <v>0.05149702652</v>
      </c>
      <c r="P16" s="27">
        <v>1520.71</v>
      </c>
      <c r="Q16" s="23">
        <f>IFERROR(P16/P148, "NA")</f>
        <v>0.04556379849</v>
      </c>
      <c r="R16" s="27">
        <v>1446.51</v>
      </c>
      <c r="S16" s="23">
        <f>IFERROR(R16/R148, "NA")</f>
        <v>0.05314745386</v>
      </c>
      <c r="T16" s="27">
        <v>1797.44</v>
      </c>
      <c r="U16" s="23">
        <f>IFERROR(T16/T148, "NA")</f>
        <v>0.04356008924</v>
      </c>
      <c r="V16" s="27">
        <v>1525.35</v>
      </c>
      <c r="W16" s="23">
        <f>IFERROR(V16/V148, "NA")</f>
        <v>0.047627835</v>
      </c>
      <c r="X16" s="27">
        <v>985.6</v>
      </c>
      <c r="Y16" s="23">
        <f>IFERROR(X16/X148, "NA")</f>
        <v>0.03506435105</v>
      </c>
      <c r="Z16" s="27">
        <v>5754.9</v>
      </c>
      <c r="AA16" s="23">
        <f>IFERROR(Z16/Z148, "NA")</f>
        <v>0.04474512099</v>
      </c>
      <c r="AB16" s="59">
        <f t="shared" si="7"/>
        <v>1438.725</v>
      </c>
      <c r="AC16" s="23">
        <f>IFERROR(AB16/AB148, "NA")</f>
        <v>0.04474512099</v>
      </c>
      <c r="AD16" s="61">
        <f t="shared" si="8"/>
        <v>-453.125</v>
      </c>
      <c r="AE16" s="63">
        <f>IFERROR(AD16/AD148, "NA")</f>
        <v>0.1120081375</v>
      </c>
      <c r="AF16" s="61">
        <f t="shared" si="9"/>
        <v>-0.314949</v>
      </c>
      <c r="AG16" s="59">
        <f t="shared" si="10"/>
        <v>1420.2475</v>
      </c>
      <c r="AH16" s="23">
        <f>IFERROR(AG16/AG148, "NA")</f>
        <v>0.04662403363</v>
      </c>
      <c r="AI16" s="61">
        <f t="shared" si="11"/>
        <v>-434.6475</v>
      </c>
      <c r="AJ16" s="63">
        <f>IFERROR(AI16/AI148, "NA")</f>
        <v>0.1846904484</v>
      </c>
      <c r="AK16" s="61">
        <f t="shared" si="12"/>
        <v>-0.3060364479</v>
      </c>
      <c r="AL16" s="63">
        <f>IFERROR(AK16/AK148, "NA")</f>
        <v>3.961271345</v>
      </c>
    </row>
    <row r="17" ht="16.5" customHeight="1">
      <c r="A17" s="26" t="s">
        <v>70</v>
      </c>
      <c r="B17" s="27">
        <v>841.31</v>
      </c>
      <c r="C17" s="23">
        <f>IFERROR(B17/B148, "NA")</f>
        <v>0.02494379337</v>
      </c>
      <c r="D17" s="27">
        <v>962.89</v>
      </c>
      <c r="E17" s="23">
        <f>IFERROR(D17/D148, "NA")</f>
        <v>0.03281362831</v>
      </c>
      <c r="F17" s="27">
        <v>803.88</v>
      </c>
      <c r="G17" s="23">
        <f>IFERROR(F17/F148, "NA")</f>
        <v>0.02697927924</v>
      </c>
      <c r="H17" s="27">
        <v>877.62</v>
      </c>
      <c r="I17" s="23">
        <f>IFERROR(H17/H148, "NA")</f>
        <v>0.02836034657</v>
      </c>
      <c r="J17" s="27">
        <v>825.32</v>
      </c>
      <c r="K17" s="23">
        <f>IFERROR(J17/J148, "NA")</f>
        <v>0.03555109102</v>
      </c>
      <c r="L17" s="27">
        <v>828.91</v>
      </c>
      <c r="M17" s="23">
        <f>IFERROR(L17/L148, "NA")</f>
        <v>0.03284224423</v>
      </c>
      <c r="N17" s="27">
        <v>778.71</v>
      </c>
      <c r="O17" s="23">
        <f>IFERROR(N17/N148, "NA")</f>
        <v>0.0234206174</v>
      </c>
      <c r="P17" s="27">
        <v>865.19</v>
      </c>
      <c r="Q17" s="23">
        <f>IFERROR(P17/P148, "NA")</f>
        <v>0.02592298519</v>
      </c>
      <c r="R17" s="27">
        <v>800.97</v>
      </c>
      <c r="S17" s="23">
        <f>IFERROR(R17/R148, "NA")</f>
        <v>0.02942911983</v>
      </c>
      <c r="T17" s="27">
        <v>916.43</v>
      </c>
      <c r="U17" s="23">
        <f>IFERROR(T17/T148, "NA")</f>
        <v>0.02220923791</v>
      </c>
      <c r="V17" s="27">
        <v>938.23</v>
      </c>
      <c r="W17" s="23">
        <f>IFERROR(V17/V148, "NA")</f>
        <v>0.02929548211</v>
      </c>
      <c r="X17" s="27">
        <v>664.03</v>
      </c>
      <c r="Y17" s="23">
        <f>IFERROR(X17/X148, "NA")</f>
        <v>0.02362396614</v>
      </c>
      <c r="Z17" s="27">
        <v>3319.66</v>
      </c>
      <c r="AA17" s="23">
        <f>IFERROR(Z17/Z148, "NA")</f>
        <v>0.02581080268</v>
      </c>
      <c r="AB17" s="59">
        <f t="shared" si="7"/>
        <v>829.915</v>
      </c>
      <c r="AC17" s="23">
        <f>IFERROR(AB17/AB148, "NA")</f>
        <v>0.02581080268</v>
      </c>
      <c r="AD17" s="61">
        <f t="shared" si="8"/>
        <v>-165.885</v>
      </c>
      <c r="AE17" s="63">
        <f>IFERROR(AD17/AD148, "NA")</f>
        <v>0.04100517493</v>
      </c>
      <c r="AF17" s="61">
        <f t="shared" si="9"/>
        <v>-0.1998819156</v>
      </c>
      <c r="AG17" s="59">
        <f t="shared" si="10"/>
        <v>827.22375</v>
      </c>
      <c r="AH17" s="23">
        <f>IFERROR(AG17/AG148, "NA")</f>
        <v>0.02715618787</v>
      </c>
      <c r="AI17" s="61">
        <f t="shared" si="11"/>
        <v>-163.19375</v>
      </c>
      <c r="AJ17" s="63">
        <f>IFERROR(AI17/AI148, "NA")</f>
        <v>0.06934430052</v>
      </c>
      <c r="AK17" s="61">
        <f t="shared" si="12"/>
        <v>-0.1972788499</v>
      </c>
      <c r="AL17" s="63">
        <f>IFERROR(AK17/AK148, "NA")</f>
        <v>2.553535895</v>
      </c>
    </row>
    <row r="18" ht="16.5" customHeight="1">
      <c r="A18" s="26" t="s">
        <v>73</v>
      </c>
      <c r="B18" s="27">
        <v>1790.14</v>
      </c>
      <c r="C18" s="23">
        <f>IFERROR(B18/B148, "NA")</f>
        <v>0.0530754208</v>
      </c>
      <c r="D18" s="27">
        <v>1257.8</v>
      </c>
      <c r="E18" s="23">
        <f>IFERROR(D18/D148, "NA")</f>
        <v>0.04286365181</v>
      </c>
      <c r="F18" s="27">
        <v>1343.16</v>
      </c>
      <c r="G18" s="23">
        <f>IFERROR(F18/F148, "NA")</f>
        <v>0.04507823145</v>
      </c>
      <c r="H18" s="27">
        <v>1463.11</v>
      </c>
      <c r="I18" s="23">
        <f>IFERROR(H18/H148, "NA")</f>
        <v>0.04728049346</v>
      </c>
      <c r="J18" s="27">
        <v>1120.1</v>
      </c>
      <c r="K18" s="23">
        <f>IFERROR(J18/J148, "NA")</f>
        <v>0.04824889382</v>
      </c>
      <c r="L18" s="27">
        <v>1181.53</v>
      </c>
      <c r="M18" s="23">
        <f>IFERROR(L18/L148, "NA")</f>
        <v>0.04681340172</v>
      </c>
      <c r="N18" s="27">
        <v>1474.91</v>
      </c>
      <c r="O18" s="23">
        <f>IFERROR(N18/N148, "NA")</f>
        <v>0.04435964968</v>
      </c>
      <c r="P18" s="27">
        <v>1469.81</v>
      </c>
      <c r="Q18" s="23">
        <f>IFERROR(P18/P148, "NA")</f>
        <v>0.04403872313</v>
      </c>
      <c r="R18" s="27">
        <v>939.71</v>
      </c>
      <c r="S18" s="23">
        <f>IFERROR(R18/R148, "NA")</f>
        <v>0.03452668414</v>
      </c>
      <c r="T18" s="27">
        <v>1409.23</v>
      </c>
      <c r="U18" s="23">
        <f>IFERROR(T18/T148, "NA")</f>
        <v>0.03415200761</v>
      </c>
      <c r="V18" s="27">
        <v>1012.97</v>
      </c>
      <c r="W18" s="23">
        <f>IFERROR(V18/V148, "NA")</f>
        <v>0.03162917889</v>
      </c>
      <c r="X18" s="27">
        <v>1102.24</v>
      </c>
      <c r="Y18" s="23">
        <f>IFERROR(X18/X148, "NA")</f>
        <v>0.03921401208</v>
      </c>
      <c r="Z18" s="27">
        <v>4464.15</v>
      </c>
      <c r="AA18" s="23">
        <f>IFERROR(Z18/Z148, "NA")</f>
        <v>0.03470936625</v>
      </c>
      <c r="AB18" s="59">
        <f t="shared" si="7"/>
        <v>1116.0375</v>
      </c>
      <c r="AC18" s="23">
        <f>IFERROR(AB18/AB148, "NA")</f>
        <v>0.03470936625</v>
      </c>
      <c r="AD18" s="61">
        <f t="shared" si="8"/>
        <v>-13.7975</v>
      </c>
      <c r="AE18" s="63">
        <f>IFERROR(AD18/AD148, "NA")</f>
        <v>0.003410609164</v>
      </c>
      <c r="AF18" s="61">
        <f t="shared" si="9"/>
        <v>-0.01236293583</v>
      </c>
      <c r="AG18" s="59">
        <f t="shared" si="10"/>
        <v>1213.8125</v>
      </c>
      <c r="AH18" s="23">
        <f>IFERROR(AG18/AG148, "NA")</f>
        <v>0.03984716383</v>
      </c>
      <c r="AI18" s="61">
        <f t="shared" si="11"/>
        <v>-111.5725</v>
      </c>
      <c r="AJ18" s="63">
        <f>IFERROR(AI18/AI148, "NA")</f>
        <v>0.04740939509</v>
      </c>
      <c r="AK18" s="61">
        <f t="shared" si="12"/>
        <v>-0.09191905669</v>
      </c>
      <c r="AL18" s="63">
        <f>IFERROR(AK18/AK148, "NA")</f>
        <v>1.189780916</v>
      </c>
    </row>
    <row r="19" ht="16.5" customHeight="1">
      <c r="A19" s="26" t="s">
        <v>74</v>
      </c>
      <c r="B19" s="27">
        <v>768.76</v>
      </c>
      <c r="C19" s="23">
        <f>IFERROR(B19/B148, "NA")</f>
        <v>0.02279277626</v>
      </c>
      <c r="D19" s="27">
        <v>689.94</v>
      </c>
      <c r="E19" s="23">
        <f>IFERROR(D19/D148, "NA")</f>
        <v>0.02351196369</v>
      </c>
      <c r="F19" s="27">
        <v>858.84</v>
      </c>
      <c r="G19" s="23">
        <f>IFERROR(F19/F148, "NA")</f>
        <v>0.02882380975</v>
      </c>
      <c r="H19" s="27">
        <v>645.15</v>
      </c>
      <c r="I19" s="23">
        <f>IFERROR(H19/H148, "NA")</f>
        <v>0.02084806362</v>
      </c>
      <c r="J19" s="27">
        <v>676.24</v>
      </c>
      <c r="K19" s="23">
        <f>IFERROR(J19/J148, "NA")</f>
        <v>0.02912939198</v>
      </c>
      <c r="L19" s="27">
        <v>586.21</v>
      </c>
      <c r="M19" s="23">
        <f>IFERROR(L19/L148, "NA")</f>
        <v>0.0232262272</v>
      </c>
      <c r="N19" s="27">
        <v>678.21</v>
      </c>
      <c r="O19" s="23">
        <f>IFERROR(N19/N148, "NA")</f>
        <v>0.02039796192</v>
      </c>
      <c r="P19" s="27">
        <v>756.68</v>
      </c>
      <c r="Q19" s="23">
        <f>IFERROR(P19/P148, "NA")</f>
        <v>0.0226717882</v>
      </c>
      <c r="R19" s="27">
        <v>541.12</v>
      </c>
      <c r="S19" s="23">
        <f>IFERROR(R19/R148, "NA")</f>
        <v>0.01988175003</v>
      </c>
      <c r="T19" s="27">
        <v>759.24</v>
      </c>
      <c r="U19" s="23">
        <f>IFERROR(T19/T148, "NA")</f>
        <v>0.01839981427</v>
      </c>
      <c r="V19" s="27">
        <v>724.77</v>
      </c>
      <c r="W19" s="23">
        <f>IFERROR(V19/V148, "NA")</f>
        <v>0.02263036416</v>
      </c>
      <c r="X19" s="27">
        <v>522.03</v>
      </c>
      <c r="Y19" s="23">
        <f>IFERROR(X19/X148, "NA")</f>
        <v>0.01857208115</v>
      </c>
      <c r="Z19" s="27">
        <v>2547.16</v>
      </c>
      <c r="AA19" s="23">
        <f>IFERROR(Z19/Z148, "NA")</f>
        <v>0.01980451135</v>
      </c>
      <c r="AB19" s="59">
        <f t="shared" si="7"/>
        <v>636.79</v>
      </c>
      <c r="AC19" s="23">
        <f>IFERROR(AB19/AB148, "NA")</f>
        <v>0.01980451135</v>
      </c>
      <c r="AD19" s="61">
        <f t="shared" si="8"/>
        <v>-114.76</v>
      </c>
      <c r="AE19" s="63">
        <f>IFERROR(AD19/AD148, "NA")</f>
        <v>0.02836756714</v>
      </c>
      <c r="AF19" s="61">
        <f t="shared" si="9"/>
        <v>-0.1802163979</v>
      </c>
      <c r="AG19" s="59">
        <f t="shared" si="10"/>
        <v>655.5625</v>
      </c>
      <c r="AH19" s="23">
        <f>IFERROR(AG19/AG148, "NA")</f>
        <v>0.02152087439</v>
      </c>
      <c r="AI19" s="61">
        <f t="shared" si="11"/>
        <v>-133.5325</v>
      </c>
      <c r="AJ19" s="63">
        <f>IFERROR(AI19/AI148, "NA")</f>
        <v>0.05674063994</v>
      </c>
      <c r="AK19" s="61">
        <f t="shared" si="12"/>
        <v>-0.2036914863</v>
      </c>
      <c r="AL19" s="63">
        <f>IFERROR(AK19/AK148, "NA")</f>
        <v>2.636539711</v>
      </c>
    </row>
    <row r="20" ht="16.5" customHeight="1">
      <c r="A20" s="26" t="s">
        <v>75</v>
      </c>
      <c r="B20" s="27">
        <v>360.32</v>
      </c>
      <c r="C20" s="23">
        <f>IFERROR(B20/B148, "NA")</f>
        <v>0.0106830391</v>
      </c>
      <c r="D20" s="27">
        <v>370.48</v>
      </c>
      <c r="E20" s="23">
        <f>IFERROR(D20/D148, "NA")</f>
        <v>0.01262531859</v>
      </c>
      <c r="F20" s="27">
        <v>376.56</v>
      </c>
      <c r="G20" s="23">
        <f>IFERROR(F20/F148, "NA")</f>
        <v>0.01263785315</v>
      </c>
      <c r="H20" s="27">
        <v>388.42</v>
      </c>
      <c r="I20" s="23">
        <f>IFERROR(H20/H148, "NA")</f>
        <v>0.01255181721</v>
      </c>
      <c r="J20" s="27">
        <v>345.67</v>
      </c>
      <c r="K20" s="23">
        <f>IFERROR(J20/J148, "NA")</f>
        <v>0.01488991619</v>
      </c>
      <c r="L20" s="27">
        <v>302.91</v>
      </c>
      <c r="M20" s="23">
        <f>IFERROR(L20/L148, "NA")</f>
        <v>0.01200159752</v>
      </c>
      <c r="N20" s="27">
        <v>387.64</v>
      </c>
      <c r="O20" s="23">
        <f>IFERROR(N20/N148, "NA")</f>
        <v>0.01165872806</v>
      </c>
      <c r="P20" s="27">
        <v>257.45</v>
      </c>
      <c r="Q20" s="23">
        <f>IFERROR(P20/P148, "NA")</f>
        <v>0.007713765228</v>
      </c>
      <c r="R20" s="27">
        <v>321.56</v>
      </c>
      <c r="S20" s="23">
        <f>IFERROR(R20/R148, "NA")</f>
        <v>0.01181470938</v>
      </c>
      <c r="T20" s="27">
        <v>373.42</v>
      </c>
      <c r="U20" s="23">
        <f>IFERROR(T20/T148, "NA")</f>
        <v>0.009049653131</v>
      </c>
      <c r="V20" s="27">
        <v>317.22</v>
      </c>
      <c r="W20" s="23">
        <f>IFERROR(V20/V148, "NA")</f>
        <v>0.009904941042</v>
      </c>
      <c r="X20" s="27">
        <v>304.6</v>
      </c>
      <c r="Y20" s="23">
        <f>IFERROR(X20/X148, "NA")</f>
        <v>0.01083664908</v>
      </c>
      <c r="Z20" s="27">
        <v>1316.8</v>
      </c>
      <c r="AA20" s="23">
        <f>IFERROR(Z20/Z148, "NA")</f>
        <v>0.01023829698</v>
      </c>
      <c r="AB20" s="59">
        <f t="shared" si="7"/>
        <v>329.2</v>
      </c>
      <c r="AC20" s="23">
        <f>IFERROR(AB20/AB148, "NA")</f>
        <v>0.01023829698</v>
      </c>
      <c r="AD20" s="61">
        <f t="shared" si="8"/>
        <v>-24.6</v>
      </c>
      <c r="AE20" s="63">
        <f>IFERROR(AD20/AD148, "NA")</f>
        <v>0.006080883162</v>
      </c>
      <c r="AF20" s="61">
        <f t="shared" si="9"/>
        <v>-0.07472660996</v>
      </c>
      <c r="AG20" s="59">
        <f t="shared" si="10"/>
        <v>326.30875</v>
      </c>
      <c r="AH20" s="23">
        <f>IFERROR(AG20/AG148, "NA")</f>
        <v>0.01071209781</v>
      </c>
      <c r="AI20" s="61">
        <f t="shared" si="11"/>
        <v>-21.70875</v>
      </c>
      <c r="AJ20" s="63">
        <f>IFERROR(AI20/AI148, "NA")</f>
        <v>0.009224483682</v>
      </c>
      <c r="AK20" s="61">
        <f t="shared" si="12"/>
        <v>-0.0665282497</v>
      </c>
      <c r="AL20" s="63">
        <f>IFERROR(AK20/AK148, "NA")</f>
        <v>0.8611276565</v>
      </c>
    </row>
    <row r="21" ht="16.5" customHeight="1">
      <c r="A21" s="26" t="s">
        <v>76</v>
      </c>
      <c r="B21" s="27">
        <v>163.98</v>
      </c>
      <c r="C21" s="23">
        <f>IFERROR(B21/B148, "NA")</f>
        <v>0.004861802709</v>
      </c>
      <c r="D21" s="27">
        <v>145.41</v>
      </c>
      <c r="E21" s="23">
        <f>IFERROR(D21/D148, "NA")</f>
        <v>0.00495532168</v>
      </c>
      <c r="F21" s="27">
        <v>257.49</v>
      </c>
      <c r="G21" s="23">
        <f>IFERROR(F21/F148, "NA")</f>
        <v>0.008641705989</v>
      </c>
      <c r="H21" s="27">
        <v>212.09</v>
      </c>
      <c r="I21" s="23">
        <f>IFERROR(H21/H148, "NA")</f>
        <v>0.006853701949</v>
      </c>
      <c r="J21" s="27">
        <v>178.25</v>
      </c>
      <c r="K21" s="23">
        <f>IFERROR(J21/J148, "NA")</f>
        <v>0.007678212056</v>
      </c>
      <c r="L21" s="27">
        <v>167.44</v>
      </c>
      <c r="M21" s="23">
        <f>IFERROR(L21/L148, "NA")</f>
        <v>0.006634140466</v>
      </c>
      <c r="N21" s="27">
        <v>208.74</v>
      </c>
      <c r="O21" s="23">
        <f>IFERROR(N21/N148, "NA")</f>
        <v>0.006278100545</v>
      </c>
      <c r="P21" s="27">
        <v>165.76</v>
      </c>
      <c r="Q21" s="23">
        <f>IFERROR(P21/P148, "NA")</f>
        <v>0.004966532236</v>
      </c>
      <c r="R21" s="27">
        <v>207.64</v>
      </c>
      <c r="S21" s="23">
        <f>IFERROR(R21/R148, "NA")</f>
        <v>0.007629077794</v>
      </c>
      <c r="T21" s="27">
        <v>302.86</v>
      </c>
      <c r="U21" s="23">
        <f>IFERROR(T21/T148, "NA")</f>
        <v>0.007339665651</v>
      </c>
      <c r="V21" s="27">
        <v>162.45</v>
      </c>
      <c r="W21" s="23">
        <f>IFERROR(V21/V148, "NA")</f>
        <v>0.005072371453</v>
      </c>
      <c r="X21" s="27">
        <v>141.19</v>
      </c>
      <c r="Y21" s="23">
        <f>IFERROR(X21/X148, "NA")</f>
        <v>0.005023067903</v>
      </c>
      <c r="Z21" s="27">
        <v>814.14</v>
      </c>
      <c r="AA21" s="23">
        <f>IFERROR(Z21/Z148, "NA")</f>
        <v>0.006330047924</v>
      </c>
      <c r="AB21" s="59">
        <f t="shared" si="7"/>
        <v>203.535</v>
      </c>
      <c r="AC21" s="23">
        <f>IFERROR(AB21/AB148, "NA")</f>
        <v>0.006330047924</v>
      </c>
      <c r="AD21" s="61">
        <f t="shared" si="8"/>
        <v>-62.345</v>
      </c>
      <c r="AE21" s="63">
        <f>IFERROR(AD21/AD148, "NA")</f>
        <v>0.01541108377</v>
      </c>
      <c r="AF21" s="61">
        <f t="shared" si="9"/>
        <v>-0.3063109539</v>
      </c>
      <c r="AG21" s="59">
        <f t="shared" si="10"/>
        <v>191.79125</v>
      </c>
      <c r="AH21" s="23">
        <f>IFERROR(AG21/AG148, "NA")</f>
        <v>0.006296143235</v>
      </c>
      <c r="AI21" s="61">
        <f t="shared" si="11"/>
        <v>-50.60125</v>
      </c>
      <c r="AJ21" s="63">
        <f>IFERROR(AI21/AI148, "NA")</f>
        <v>0.02150148695</v>
      </c>
      <c r="AK21" s="61">
        <f t="shared" si="12"/>
        <v>-0.263835029</v>
      </c>
      <c r="AL21" s="63">
        <f>IFERROR(AK21/AK148, "NA")</f>
        <v>3.415025064</v>
      </c>
    </row>
    <row r="22" ht="16.5" hidden="1" customHeight="1">
      <c r="A22" s="26" t="s">
        <v>77</v>
      </c>
      <c r="B22" s="27">
        <v>0.0</v>
      </c>
      <c r="C22" s="23">
        <f>IFERROR(B22/B148, "NA")</f>
        <v>0</v>
      </c>
      <c r="D22" s="27">
        <v>0.0</v>
      </c>
      <c r="E22" s="23">
        <f>IFERROR(D22/D148, "NA")</f>
        <v>0</v>
      </c>
      <c r="F22" s="27">
        <v>0.0</v>
      </c>
      <c r="G22" s="23">
        <f>IFERROR(F22/F148, "NA")</f>
        <v>0</v>
      </c>
      <c r="H22" s="27">
        <v>0.0</v>
      </c>
      <c r="I22" s="23">
        <f>IFERROR(H22/H148, "NA")</f>
        <v>0</v>
      </c>
      <c r="J22" s="27">
        <v>0.0</v>
      </c>
      <c r="K22" s="23">
        <f>IFERROR(J22/J148, "NA")</f>
        <v>0</v>
      </c>
      <c r="L22" s="27">
        <v>0.0</v>
      </c>
      <c r="M22" s="23">
        <f>IFERROR(L22/L148, "NA")</f>
        <v>0</v>
      </c>
      <c r="N22" s="27">
        <v>0.0</v>
      </c>
      <c r="O22" s="23">
        <f>IFERROR(N22/N148, "NA")</f>
        <v>0</v>
      </c>
      <c r="P22" s="27">
        <v>0.0</v>
      </c>
      <c r="Q22" s="23">
        <f>IFERROR(P22/P148, "NA")</f>
        <v>0</v>
      </c>
      <c r="R22" s="27">
        <v>0.0</v>
      </c>
      <c r="S22" s="23">
        <f>IFERROR(R22/R148, "NA")</f>
        <v>0</v>
      </c>
      <c r="T22" s="27">
        <v>0.0</v>
      </c>
      <c r="U22" s="23">
        <f>IFERROR(T22/T148, "NA")</f>
        <v>0</v>
      </c>
      <c r="V22" s="27">
        <v>0.0</v>
      </c>
      <c r="W22" s="23">
        <f>IFERROR(V22/V148, "NA")</f>
        <v>0</v>
      </c>
      <c r="X22" s="27">
        <v>0.0</v>
      </c>
      <c r="Y22" s="23">
        <f>IFERROR(X22/X148, "NA")</f>
        <v>0</v>
      </c>
      <c r="Z22" s="27">
        <v>0.0</v>
      </c>
      <c r="AA22" s="23">
        <f>IFERROR(Z22/Z148, "NA")</f>
        <v>0</v>
      </c>
      <c r="AB22" s="59">
        <f t="shared" si="7"/>
        <v>0</v>
      </c>
      <c r="AC22" s="23">
        <f>IFERROR(AB22/AB148, "NA")</f>
        <v>0</v>
      </c>
      <c r="AD22" s="61">
        <f t="shared" si="8"/>
        <v>0</v>
      </c>
      <c r="AE22" s="63">
        <f>IFERROR(AD22/AD148, "NA")</f>
        <v>0</v>
      </c>
      <c r="AF22" s="61" t="str">
        <f t="shared" si="9"/>
        <v>NA</v>
      </c>
      <c r="AG22" s="59">
        <f t="shared" si="10"/>
        <v>0</v>
      </c>
      <c r="AH22" s="23">
        <f>IFERROR(AG22/AG148, "NA")</f>
        <v>0</v>
      </c>
      <c r="AI22" s="61">
        <f t="shared" si="11"/>
        <v>0</v>
      </c>
      <c r="AJ22" s="63">
        <f>IFERROR(AI22/AI148, "NA")</f>
        <v>0</v>
      </c>
      <c r="AK22" s="61" t="str">
        <f t="shared" si="12"/>
        <v>NA</v>
      </c>
      <c r="AL22" s="63" t="str">
        <f>IFERROR(AK22/AK148, "NA")</f>
        <v>NA</v>
      </c>
    </row>
    <row r="23" ht="16.5" customHeight="1">
      <c r="A23" s="26" t="s">
        <v>78</v>
      </c>
      <c r="B23" s="27">
        <v>170.57</v>
      </c>
      <c r="C23" s="23">
        <f>IFERROR(B23/B148, "NA")</f>
        <v>0.005057187999</v>
      </c>
      <c r="D23" s="27">
        <v>201.71</v>
      </c>
      <c r="E23" s="23">
        <f>IFERROR(D23/D148, "NA")</f>
        <v>0.006873928451</v>
      </c>
      <c r="F23" s="27">
        <v>77.02</v>
      </c>
      <c r="G23" s="23">
        <f>IFERROR(F23/F148, "NA")</f>
        <v>0.002584893376</v>
      </c>
      <c r="H23" s="27">
        <v>249.57</v>
      </c>
      <c r="I23" s="23">
        <f>IFERROR(H23/H148, "NA")</f>
        <v>0.008064870552</v>
      </c>
      <c r="J23" s="27">
        <v>33.56</v>
      </c>
      <c r="K23" s="23">
        <f>IFERROR(J23/J148, "NA")</f>
        <v>0.001445614567</v>
      </c>
      <c r="L23" s="27">
        <v>162.33</v>
      </c>
      <c r="M23" s="23">
        <f>IFERROR(L23/L148, "NA")</f>
        <v>0.006431677149</v>
      </c>
      <c r="N23" s="27">
        <v>115.68</v>
      </c>
      <c r="O23" s="23">
        <f>IFERROR(N23/N148, "NA")</f>
        <v>0.0034792118</v>
      </c>
      <c r="P23" s="27">
        <v>427.77</v>
      </c>
      <c r="Q23" s="23">
        <f>IFERROR(P23/P148, "NA")</f>
        <v>0.01281692504</v>
      </c>
      <c r="R23" s="27">
        <v>15.31</v>
      </c>
      <c r="S23" s="23">
        <f>IFERROR(R23/R148, "NA")</f>
        <v>0.0005625177279</v>
      </c>
      <c r="T23" s="27">
        <v>228.72</v>
      </c>
      <c r="U23" s="23">
        <f>IFERROR(T23/T148, "NA")</f>
        <v>0.005542918602</v>
      </c>
      <c r="V23" s="27">
        <v>248.42</v>
      </c>
      <c r="W23" s="23">
        <f>IFERROR(V23/V148, "NA")</f>
        <v>0.007756716013</v>
      </c>
      <c r="X23" s="27">
        <v>139.55</v>
      </c>
      <c r="Y23" s="23">
        <f>IFERROR(X23/X148, "NA")</f>
        <v>0.004964722189</v>
      </c>
      <c r="Z23" s="27">
        <v>632.0</v>
      </c>
      <c r="AA23" s="23">
        <f>IFERROR(Z23/Z148, "NA")</f>
        <v>0.004913884944</v>
      </c>
      <c r="AB23" s="59">
        <f t="shared" si="7"/>
        <v>158</v>
      </c>
      <c r="AC23" s="23">
        <f>IFERROR(AB23/AB148, "NA")</f>
        <v>0.004913884944</v>
      </c>
      <c r="AD23" s="61">
        <f t="shared" si="8"/>
        <v>-18.45</v>
      </c>
      <c r="AE23" s="63">
        <f>IFERROR(AD23/AD148, "NA")</f>
        <v>0.004560662371</v>
      </c>
      <c r="AF23" s="61">
        <f t="shared" si="9"/>
        <v>-0.1167721519</v>
      </c>
      <c r="AG23" s="59">
        <f t="shared" si="10"/>
        <v>171.4175</v>
      </c>
      <c r="AH23" s="23">
        <f>IFERROR(AG23/AG148, "NA")</f>
        <v>0.005627311637</v>
      </c>
      <c r="AI23" s="61">
        <f t="shared" si="11"/>
        <v>-31.8675</v>
      </c>
      <c r="AJ23" s="63">
        <f>IFERROR(AI23/AI148, "NA")</f>
        <v>0.0135411405</v>
      </c>
      <c r="AK23" s="61">
        <f t="shared" si="12"/>
        <v>-0.1859057564</v>
      </c>
      <c r="AL23" s="63">
        <f>IFERROR(AK23/AK148, "NA")</f>
        <v>2.406324968</v>
      </c>
    </row>
    <row r="24" ht="16.5" customHeight="1">
      <c r="A24" s="26" t="s">
        <v>79</v>
      </c>
      <c r="B24" s="27">
        <v>1995.95</v>
      </c>
      <c r="C24" s="23">
        <f>IFERROR(B24/B148, "NA")</f>
        <v>0.05917743089</v>
      </c>
      <c r="D24" s="27">
        <v>2061.59</v>
      </c>
      <c r="E24" s="23">
        <f>IFERROR(D24/D148, "NA")</f>
        <v>0.07025542688</v>
      </c>
      <c r="F24" s="27">
        <v>1366.77</v>
      </c>
      <c r="G24" s="23">
        <f>IFERROR(F24/F148, "NA")</f>
        <v>0.04587061437</v>
      </c>
      <c r="H24" s="27">
        <v>1795.83</v>
      </c>
      <c r="I24" s="23">
        <f>IFERROR(H24/H148, "NA")</f>
        <v>0.0580323616</v>
      </c>
      <c r="J24" s="27">
        <v>1342.93</v>
      </c>
      <c r="K24" s="23">
        <f>IFERROR(J24/J148, "NA")</f>
        <v>0.05784741271</v>
      </c>
      <c r="L24" s="27">
        <v>1304.72</v>
      </c>
      <c r="M24" s="23">
        <f>IFERROR(L24/L148, "NA")</f>
        <v>0.05169431288</v>
      </c>
      <c r="N24" s="27">
        <v>2150.52</v>
      </c>
      <c r="O24" s="23">
        <f>IFERROR(N24/N148, "NA")</f>
        <v>0.06467941355</v>
      </c>
      <c r="P24" s="27">
        <v>1716.16</v>
      </c>
      <c r="Q24" s="23">
        <f>IFERROR(P24/P148, "NA")</f>
        <v>0.05141990808</v>
      </c>
      <c r="R24" s="27">
        <v>1650.36</v>
      </c>
      <c r="S24" s="23">
        <f>IFERROR(R24/R148, "NA")</f>
        <v>0.06063728004</v>
      </c>
      <c r="T24" s="27">
        <v>2114.33</v>
      </c>
      <c r="U24" s="23">
        <f>IFERROR(T24/T148, "NA")</f>
        <v>0.05123976516</v>
      </c>
      <c r="V24" s="27">
        <v>1887.25</v>
      </c>
      <c r="W24" s="23">
        <f>IFERROR(V24/V148, "NA")</f>
        <v>0.05892787334</v>
      </c>
      <c r="X24" s="27">
        <v>1617.4</v>
      </c>
      <c r="Y24" s="23">
        <f>IFERROR(X24/X148, "NA")</f>
        <v>0.05754168161</v>
      </c>
      <c r="Z24" s="27">
        <v>7269.34</v>
      </c>
      <c r="AA24" s="23">
        <f>IFERROR(Z24/Z148, "NA")</f>
        <v>0.05652009553</v>
      </c>
      <c r="AB24" s="59">
        <f t="shared" si="7"/>
        <v>1817.335</v>
      </c>
      <c r="AC24" s="23">
        <f>IFERROR(AB24/AB148, "NA")</f>
        <v>0.05652009553</v>
      </c>
      <c r="AD24" s="61">
        <f t="shared" si="8"/>
        <v>-199.935</v>
      </c>
      <c r="AE24" s="63">
        <f>IFERROR(AD24/AD148, "NA")</f>
        <v>0.04942200711</v>
      </c>
      <c r="AF24" s="61">
        <f t="shared" si="9"/>
        <v>-0.1100154897</v>
      </c>
      <c r="AG24" s="59">
        <f t="shared" si="10"/>
        <v>1722.95875</v>
      </c>
      <c r="AH24" s="23">
        <f>IFERROR(AG24/AG148, "NA")</f>
        <v>0.05656147024</v>
      </c>
      <c r="AI24" s="61">
        <f t="shared" si="11"/>
        <v>-105.55875</v>
      </c>
      <c r="AJ24" s="63">
        <f>IFERROR(AI24/AI148, "NA")</f>
        <v>0.04485403199</v>
      </c>
      <c r="AK24" s="61">
        <f t="shared" si="12"/>
        <v>-0.06126597633</v>
      </c>
      <c r="AL24" s="63">
        <f>IFERROR(AK24/AK148, "NA")</f>
        <v>0.793013898</v>
      </c>
    </row>
    <row r="25" ht="16.5" hidden="1" customHeight="1">
      <c r="A25" s="26" t="s">
        <v>80</v>
      </c>
      <c r="B25" s="27">
        <v>0.0</v>
      </c>
      <c r="C25" s="23">
        <f>IFERROR(B25/B148, "NA")</f>
        <v>0</v>
      </c>
      <c r="D25" s="27">
        <v>0.0</v>
      </c>
      <c r="E25" s="23">
        <f>IFERROR(D25/D148, "NA")</f>
        <v>0</v>
      </c>
      <c r="F25" s="27">
        <v>0.0</v>
      </c>
      <c r="G25" s="23">
        <f>IFERROR(F25/F148, "NA")</f>
        <v>0</v>
      </c>
      <c r="H25" s="27">
        <v>0.0</v>
      </c>
      <c r="I25" s="23">
        <f>IFERROR(H25/H148, "NA")</f>
        <v>0</v>
      </c>
      <c r="J25" s="27">
        <v>0.0</v>
      </c>
      <c r="K25" s="23">
        <f>IFERROR(J25/J148, "NA")</f>
        <v>0</v>
      </c>
      <c r="L25" s="27">
        <v>0.0</v>
      </c>
      <c r="M25" s="23">
        <f>IFERROR(L25/L148, "NA")</f>
        <v>0</v>
      </c>
      <c r="N25" s="27">
        <v>0.0</v>
      </c>
      <c r="O25" s="23">
        <f>IFERROR(N25/N148, "NA")</f>
        <v>0</v>
      </c>
      <c r="P25" s="27">
        <v>0.0</v>
      </c>
      <c r="Q25" s="23">
        <f>IFERROR(P25/P148, "NA")</f>
        <v>0</v>
      </c>
      <c r="R25" s="27">
        <v>0.0</v>
      </c>
      <c r="S25" s="23">
        <f>IFERROR(R25/R148, "NA")</f>
        <v>0</v>
      </c>
      <c r="T25" s="27">
        <v>0.0</v>
      </c>
      <c r="U25" s="23">
        <f>IFERROR(T25/T148, "NA")</f>
        <v>0</v>
      </c>
      <c r="V25" s="27">
        <v>0.0</v>
      </c>
      <c r="W25" s="23">
        <f>IFERROR(V25/V148, "NA")</f>
        <v>0</v>
      </c>
      <c r="X25" s="27">
        <v>0.0</v>
      </c>
      <c r="Y25" s="23">
        <f>IFERROR(X25/X148, "NA")</f>
        <v>0</v>
      </c>
      <c r="Z25" s="27">
        <v>0.0</v>
      </c>
      <c r="AA25" s="23">
        <f>IFERROR(Z25/Z148, "NA")</f>
        <v>0</v>
      </c>
      <c r="AB25" s="59">
        <f t="shared" si="7"/>
        <v>0</v>
      </c>
      <c r="AC25" s="23">
        <f>IFERROR(AB25/AB148, "NA")</f>
        <v>0</v>
      </c>
      <c r="AD25" s="61">
        <f t="shared" si="8"/>
        <v>0</v>
      </c>
      <c r="AE25" s="63">
        <f>IFERROR(AD25/AD148, "NA")</f>
        <v>0</v>
      </c>
      <c r="AF25" s="61" t="str">
        <f t="shared" si="9"/>
        <v>NA</v>
      </c>
      <c r="AG25" s="59">
        <f t="shared" si="10"/>
        <v>0</v>
      </c>
      <c r="AH25" s="23">
        <f>IFERROR(AG25/AG148, "NA")</f>
        <v>0</v>
      </c>
      <c r="AI25" s="61">
        <f t="shared" si="11"/>
        <v>0</v>
      </c>
      <c r="AJ25" s="63">
        <f>IFERROR(AI25/AI148, "NA")</f>
        <v>0</v>
      </c>
      <c r="AK25" s="61" t="str">
        <f t="shared" si="12"/>
        <v>NA</v>
      </c>
      <c r="AL25" s="63" t="str">
        <f>IFERROR(AK25/AK148, "NA")</f>
        <v>NA</v>
      </c>
    </row>
    <row r="26" ht="16.5" hidden="1" customHeight="1">
      <c r="A26" s="26" t="s">
        <v>81</v>
      </c>
      <c r="B26" s="27">
        <v>0.0</v>
      </c>
      <c r="C26" s="23">
        <f>IFERROR(B26/B148, "NA")</f>
        <v>0</v>
      </c>
      <c r="D26" s="27">
        <v>0.0</v>
      </c>
      <c r="E26" s="23">
        <f>IFERROR(D26/D148, "NA")</f>
        <v>0</v>
      </c>
      <c r="F26" s="27">
        <v>0.0</v>
      </c>
      <c r="G26" s="23">
        <f>IFERROR(F26/F148, "NA")</f>
        <v>0</v>
      </c>
      <c r="H26" s="27">
        <v>0.0</v>
      </c>
      <c r="I26" s="23">
        <f>IFERROR(H26/H148, "NA")</f>
        <v>0</v>
      </c>
      <c r="J26" s="27">
        <v>0.0</v>
      </c>
      <c r="K26" s="23">
        <f>IFERROR(J26/J148, "NA")</f>
        <v>0</v>
      </c>
      <c r="L26" s="27">
        <v>0.0</v>
      </c>
      <c r="M26" s="23">
        <f>IFERROR(L26/L148, "NA")</f>
        <v>0</v>
      </c>
      <c r="N26" s="27">
        <v>0.0</v>
      </c>
      <c r="O26" s="23">
        <f>IFERROR(N26/N148, "NA")</f>
        <v>0</v>
      </c>
      <c r="P26" s="27">
        <v>0.0</v>
      </c>
      <c r="Q26" s="23">
        <f>IFERROR(P26/P148, "NA")</f>
        <v>0</v>
      </c>
      <c r="R26" s="27">
        <v>0.0</v>
      </c>
      <c r="S26" s="23">
        <f>IFERROR(R26/R148, "NA")</f>
        <v>0</v>
      </c>
      <c r="T26" s="27">
        <v>0.0</v>
      </c>
      <c r="U26" s="23">
        <f>IFERROR(T26/T148, "NA")</f>
        <v>0</v>
      </c>
      <c r="V26" s="27">
        <v>0.0</v>
      </c>
      <c r="W26" s="23">
        <f>IFERROR(V26/V148, "NA")</f>
        <v>0</v>
      </c>
      <c r="X26" s="27">
        <v>0.0</v>
      </c>
      <c r="Y26" s="23">
        <f>IFERROR(X26/X148, "NA")</f>
        <v>0</v>
      </c>
      <c r="Z26" s="27">
        <v>0.0</v>
      </c>
      <c r="AA26" s="23">
        <f>IFERROR(Z26/Z148, "NA")</f>
        <v>0</v>
      </c>
      <c r="AB26" s="59">
        <f t="shared" si="7"/>
        <v>0</v>
      </c>
      <c r="AC26" s="23">
        <f>IFERROR(AB26/AB148, "NA")</f>
        <v>0</v>
      </c>
      <c r="AD26" s="61">
        <f t="shared" si="8"/>
        <v>0</v>
      </c>
      <c r="AE26" s="63">
        <f>IFERROR(AD26/AD148, "NA")</f>
        <v>0</v>
      </c>
      <c r="AF26" s="61" t="str">
        <f t="shared" si="9"/>
        <v>NA</v>
      </c>
      <c r="AG26" s="59">
        <f t="shared" si="10"/>
        <v>0</v>
      </c>
      <c r="AH26" s="23">
        <f>IFERROR(AG26/AG148, "NA")</f>
        <v>0</v>
      </c>
      <c r="AI26" s="61">
        <f t="shared" si="11"/>
        <v>0</v>
      </c>
      <c r="AJ26" s="63">
        <f>IFERROR(AI26/AI148, "NA")</f>
        <v>0</v>
      </c>
      <c r="AK26" s="61" t="str">
        <f t="shared" si="12"/>
        <v>NA</v>
      </c>
      <c r="AL26" s="63" t="str">
        <f>IFERROR(AK26/AK148, "NA")</f>
        <v>NA</v>
      </c>
    </row>
    <row r="27" ht="16.5" customHeight="1">
      <c r="A27" s="66" t="s">
        <v>84</v>
      </c>
      <c r="B27" s="67">
        <f>IFERROR(B15+B16+B17+B18+B19+B20+B21+B22+B23+B24+B25+B26, "NA")</f>
        <v>7872.44</v>
      </c>
      <c r="C27" s="69">
        <f>IFERROR(B27/B148, "NA")</f>
        <v>0.2334080383</v>
      </c>
      <c r="D27" s="67">
        <f>IFERROR(D15+D16+D17+D18+D19+D20+D21+D22+D23+D24+D25+D26, "NA")</f>
        <v>6976.01</v>
      </c>
      <c r="E27" s="69">
        <f>IFERROR(D27/D148, "NA")</f>
        <v>0.2377303734</v>
      </c>
      <c r="F27" s="67">
        <f>IFERROR(F15+F16+F17+F18+F19+F20+F21+F22+F23+F24+F25+F26, "NA")</f>
        <v>6729.1</v>
      </c>
      <c r="G27" s="69">
        <f>IFERROR(F27/F148, "NA")</f>
        <v>0.2258375229</v>
      </c>
      <c r="H27" s="67">
        <f>IFERROR(H15+H16+H17+H18+H19+H20+H21+H22+H23+H24+H25+H26, "NA")</f>
        <v>7322.46</v>
      </c>
      <c r="I27" s="69">
        <f>IFERROR(H27/H148, "NA")</f>
        <v>0.2366257644</v>
      </c>
      <c r="J27" s="67">
        <f>IFERROR(J15+J16+J17+J18+J19+J20+J21+J22+J23+J24+J25+J26, "NA")</f>
        <v>5747.19</v>
      </c>
      <c r="K27" s="69">
        <f>IFERROR(J27/J148, "NA")</f>
        <v>0.2475632176</v>
      </c>
      <c r="L27" s="67">
        <f>IFERROR(L15+L16+L17+L18+L19+L20+L21+L22+L23+L24+L25+L26, "NA")</f>
        <v>5683.08</v>
      </c>
      <c r="M27" s="69">
        <f>IFERROR(L27/L148, "NA")</f>
        <v>0.2251693203</v>
      </c>
      <c r="N27" s="67">
        <f>IFERROR(N15+N16+N17+N18+N19+N20+N21+N22+N23+N24+N25+N26, "NA")</f>
        <v>7506.63</v>
      </c>
      <c r="O27" s="69">
        <f>IFERROR(N27/N148, "NA")</f>
        <v>0.2257707095</v>
      </c>
      <c r="P27" s="67">
        <f>IFERROR(P15+P16+P17+P18+P19+P20+P21+P22+P23+P24+P25+P26, "NA")</f>
        <v>7179.53</v>
      </c>
      <c r="Q27" s="69">
        <f>IFERROR(P27/P148, "NA")</f>
        <v>0.2151144256</v>
      </c>
      <c r="R27" s="67">
        <f>IFERROR(R15+R16+R17+R18+R19+R20+R21+R22+R23+R24+R25+R26, "NA")</f>
        <v>5923.18</v>
      </c>
      <c r="S27" s="69">
        <f>IFERROR(R27/R148, "NA")</f>
        <v>0.2176285928</v>
      </c>
      <c r="T27" s="67">
        <f>IFERROR(T15+T16+T17+T18+T19+T20+T21+T22+T23+T24+T25+T26, "NA")</f>
        <v>7901.67</v>
      </c>
      <c r="U27" s="69">
        <f>IFERROR(T27/T148, "NA")</f>
        <v>0.1914931516</v>
      </c>
      <c r="V27" s="67">
        <f>IFERROR(V15+V16+V17+V18+V19+V20+V21+V22+V23+V24+V25+V26, "NA")</f>
        <v>6816.66</v>
      </c>
      <c r="W27" s="69">
        <f>IFERROR(V27/V148, "NA")</f>
        <v>0.212844762</v>
      </c>
      <c r="X27" s="67">
        <f>IFERROR(X15+X16+X17+X18+X19+X20+X21+X22+X23+X24+X25+X26, "NA")</f>
        <v>5476.64</v>
      </c>
      <c r="Y27" s="69">
        <f>IFERROR(X27/X148, "NA")</f>
        <v>0.1948405312</v>
      </c>
      <c r="Z27" s="67">
        <f>IFERROR(Z15+Z16+Z17+Z18+Z19+Z20+Z21+Z22+Z23+Z24+Z25+Z26, "NA")</f>
        <v>26118.15</v>
      </c>
      <c r="AA27" s="69">
        <f>IFERROR(Z27/Z148, "NA")</f>
        <v>0.2030721267</v>
      </c>
      <c r="AB27" s="67">
        <f t="shared" si="7"/>
        <v>6529.5375</v>
      </c>
      <c r="AC27" s="69">
        <f>IFERROR(AB27/AB148, "NA")</f>
        <v>0.2030721267</v>
      </c>
      <c r="AD27" s="70">
        <f t="shared" si="8"/>
        <v>-1052.8975</v>
      </c>
      <c r="AE27" s="71">
        <f>IFERROR(AD27/AD148, "NA")</f>
        <v>0.2602661252</v>
      </c>
      <c r="AF27" s="70">
        <f t="shared" si="9"/>
        <v>-0.1612514669</v>
      </c>
      <c r="AG27" s="67">
        <f t="shared" si="10"/>
        <v>6529.3225</v>
      </c>
      <c r="AH27" s="69">
        <f>IFERROR(AG27/AG148, "NA")</f>
        <v>0.2143452826</v>
      </c>
      <c r="AI27" s="70">
        <f t="shared" si="11"/>
        <v>-1052.6825</v>
      </c>
      <c r="AJ27" s="71">
        <f>IFERROR(AI27/AI148, "NA")</f>
        <v>0.4473059271</v>
      </c>
      <c r="AK27" s="70">
        <f t="shared" si="12"/>
        <v>-0.1612238483</v>
      </c>
      <c r="AL27" s="71">
        <f>IFERROR(AK27/AK148, "NA")</f>
        <v>2.086847546</v>
      </c>
    </row>
    <row r="28" ht="16.5" customHeight="1">
      <c r="A28" s="17" t="s">
        <v>85</v>
      </c>
      <c r="B28" s="19"/>
      <c r="C28" s="13"/>
      <c r="D28" s="19"/>
      <c r="E28" s="13"/>
      <c r="F28" s="19"/>
      <c r="G28" s="13"/>
      <c r="H28" s="19"/>
      <c r="I28" s="13"/>
      <c r="J28" s="19"/>
      <c r="K28" s="13"/>
      <c r="L28" s="19"/>
      <c r="M28" s="13"/>
      <c r="N28" s="19"/>
      <c r="O28" s="13"/>
      <c r="P28" s="19"/>
      <c r="Q28" s="13"/>
      <c r="R28" s="19"/>
      <c r="S28" s="13"/>
      <c r="T28" s="19"/>
      <c r="U28" s="13"/>
      <c r="V28" s="19"/>
      <c r="W28" s="13"/>
      <c r="X28" s="19"/>
      <c r="Y28" s="13"/>
      <c r="Z28" s="19"/>
      <c r="AA28" s="13"/>
      <c r="AB28" s="19"/>
      <c r="AC28" s="13"/>
      <c r="AD28" s="24"/>
      <c r="AE28" s="25"/>
      <c r="AF28" s="24"/>
      <c r="AG28" s="19"/>
      <c r="AH28" s="13"/>
      <c r="AI28" s="24"/>
      <c r="AJ28" s="25"/>
      <c r="AK28" s="24"/>
      <c r="AL28" s="25"/>
    </row>
    <row r="29" ht="16.5" hidden="1" customHeight="1">
      <c r="A29" s="26" t="s">
        <v>86</v>
      </c>
      <c r="B29" s="27">
        <v>0.0</v>
      </c>
      <c r="C29" s="23">
        <f>IFERROR(B29/B148, "NA")</f>
        <v>0</v>
      </c>
      <c r="D29" s="27">
        <v>0.0</v>
      </c>
      <c r="E29" s="23">
        <f>IFERROR(D29/D148, "NA")</f>
        <v>0</v>
      </c>
      <c r="F29" s="27">
        <v>0.0</v>
      </c>
      <c r="G29" s="23">
        <f>IFERROR(F29/F148, "NA")</f>
        <v>0</v>
      </c>
      <c r="H29" s="27">
        <v>0.0</v>
      </c>
      <c r="I29" s="23">
        <f>IFERROR(H29/H148, "NA")</f>
        <v>0</v>
      </c>
      <c r="J29" s="27">
        <v>0.0</v>
      </c>
      <c r="K29" s="23">
        <f>IFERROR(J29/J148, "NA")</f>
        <v>0</v>
      </c>
      <c r="L29" s="27">
        <v>0.0</v>
      </c>
      <c r="M29" s="23">
        <f>IFERROR(L29/L148, "NA")</f>
        <v>0</v>
      </c>
      <c r="N29" s="27">
        <v>0.0</v>
      </c>
      <c r="O29" s="23">
        <f>IFERROR(N29/N148, "NA")</f>
        <v>0</v>
      </c>
      <c r="P29" s="27">
        <v>0.0</v>
      </c>
      <c r="Q29" s="23">
        <f>IFERROR(P29/P148, "NA")</f>
        <v>0</v>
      </c>
      <c r="R29" s="27">
        <v>0.0</v>
      </c>
      <c r="S29" s="23">
        <f>IFERROR(R29/R148, "NA")</f>
        <v>0</v>
      </c>
      <c r="T29" s="27">
        <v>0.0</v>
      </c>
      <c r="U29" s="23">
        <f>IFERROR(T29/T148, "NA")</f>
        <v>0</v>
      </c>
      <c r="V29" s="27">
        <v>0.0</v>
      </c>
      <c r="W29" s="23">
        <f>IFERROR(V29/V148, "NA")</f>
        <v>0</v>
      </c>
      <c r="X29" s="27">
        <v>0.0</v>
      </c>
      <c r="Y29" s="23">
        <f>IFERROR(X29/X148, "NA")</f>
        <v>0</v>
      </c>
      <c r="Z29" s="27">
        <v>0.0</v>
      </c>
      <c r="AA29" s="23">
        <f>IFERROR(Z29/Z148, "NA")</f>
        <v>0</v>
      </c>
      <c r="AB29" s="59">
        <f t="shared" ref="AB29:AB35" si="13">IFERROR((R29+T29+V29+X29)/4, "NA")</f>
        <v>0</v>
      </c>
      <c r="AC29" s="23">
        <f>IFERROR(AB29/AB148, "NA")</f>
        <v>0</v>
      </c>
      <c r="AD29" s="61">
        <f t="shared" ref="AD29:AD35" si="14">IFERROR(X29-AB29, "NA")</f>
        <v>0</v>
      </c>
      <c r="AE29" s="63">
        <f>IFERROR(AD29/AD148, "NA")</f>
        <v>0</v>
      </c>
      <c r="AF29" s="61" t="str">
        <f t="shared" ref="AF29:AF35" si="15">IFERROR((X29-AB29)/AB29, "NA")</f>
        <v>NA</v>
      </c>
      <c r="AG29" s="59">
        <f t="shared" ref="AG29:AG35" si="16">IFERROR((J29+L29+N29+P29+R29+T29+V29+X29)/8, "NA")</f>
        <v>0</v>
      </c>
      <c r="AH29" s="23">
        <f>IFERROR(AG29/AG148, "NA")</f>
        <v>0</v>
      </c>
      <c r="AI29" s="61">
        <f t="shared" ref="AI29:AI35" si="17">IFERROR(X29-AG29, "NA")</f>
        <v>0</v>
      </c>
      <c r="AJ29" s="63">
        <f>IFERROR(AI29/AI148, "NA")</f>
        <v>0</v>
      </c>
      <c r="AK29" s="61" t="str">
        <f t="shared" ref="AK29:AK35" si="18">IFERROR((X29-AG29)/AG29, "NA")</f>
        <v>NA</v>
      </c>
      <c r="AL29" s="63" t="str">
        <f>IFERROR(AK29/AK148, "NA")</f>
        <v>NA</v>
      </c>
    </row>
    <row r="30" ht="16.5" customHeight="1">
      <c r="A30" s="26" t="s">
        <v>87</v>
      </c>
      <c r="B30" s="27">
        <v>242.89</v>
      </c>
      <c r="C30" s="23">
        <f>IFERROR(B30/B148, "NA")</f>
        <v>0.007201385901</v>
      </c>
      <c r="D30" s="27">
        <v>476.39</v>
      </c>
      <c r="E30" s="23">
        <f>IFERROR(D30/D148, "NA")</f>
        <v>0.01623454849</v>
      </c>
      <c r="F30" s="27">
        <v>215.45</v>
      </c>
      <c r="G30" s="23">
        <f>IFERROR(F30/F148, "NA")</f>
        <v>0.007230787819</v>
      </c>
      <c r="H30" s="27">
        <v>422.21</v>
      </c>
      <c r="I30" s="23">
        <f>IFERROR(H30/H148, "NA")</f>
        <v>0.01364374322</v>
      </c>
      <c r="J30" s="27">
        <v>549.4</v>
      </c>
      <c r="K30" s="23">
        <f>IFERROR(J30/J148, "NA")</f>
        <v>0.02366569259</v>
      </c>
      <c r="L30" s="27">
        <v>203.28</v>
      </c>
      <c r="M30" s="23">
        <f>IFERROR(L30/L148, "NA")</f>
        <v>0.008054157154</v>
      </c>
      <c r="N30" s="27">
        <v>441.15</v>
      </c>
      <c r="O30" s="23">
        <f>IFERROR(N30/N148, "NA")</f>
        <v>0.01326810413</v>
      </c>
      <c r="P30" s="27">
        <v>301.59</v>
      </c>
      <c r="Q30" s="23">
        <f>IFERROR(P30/P148, "NA")</f>
        <v>0.009036296194</v>
      </c>
      <c r="R30" s="27">
        <v>472.94</v>
      </c>
      <c r="S30" s="23">
        <f>IFERROR(R30/R148, "NA")</f>
        <v>0.01737669068</v>
      </c>
      <c r="T30" s="27">
        <v>319.44</v>
      </c>
      <c r="U30" s="23">
        <f>IFERROR(T30/T148, "NA")</f>
        <v>0.007741473934</v>
      </c>
      <c r="V30" s="27">
        <v>405.43</v>
      </c>
      <c r="W30" s="23">
        <f>IFERROR(V30/V148, "NA")</f>
        <v>0.01265922781</v>
      </c>
      <c r="X30" s="27">
        <v>314.38</v>
      </c>
      <c r="Y30" s="23">
        <f>IFERROR(X30/X148, "NA")</f>
        <v>0.01118458876</v>
      </c>
      <c r="Z30" s="27">
        <v>1512.19</v>
      </c>
      <c r="AA30" s="23">
        <f>IFERROR(Z30/Z148, "NA")</f>
        <v>0.0117574805</v>
      </c>
      <c r="AB30" s="59">
        <f t="shared" si="13"/>
        <v>378.0475</v>
      </c>
      <c r="AC30" s="23">
        <f>IFERROR(AB30/AB148, "NA")</f>
        <v>0.0117574805</v>
      </c>
      <c r="AD30" s="61">
        <f t="shared" si="14"/>
        <v>-63.6675</v>
      </c>
      <c r="AE30" s="63">
        <f>IFERROR(AD30/AD148, "NA")</f>
        <v>0.01573799304</v>
      </c>
      <c r="AF30" s="61">
        <f t="shared" si="15"/>
        <v>-0.1684113769</v>
      </c>
      <c r="AG30" s="59">
        <f t="shared" si="16"/>
        <v>375.95125</v>
      </c>
      <c r="AH30" s="23">
        <f>IFERROR(AG30/AG148, "NA")</f>
        <v>0.012341767</v>
      </c>
      <c r="AI30" s="61">
        <f t="shared" si="17"/>
        <v>-61.57125</v>
      </c>
      <c r="AJ30" s="63">
        <f>IFERROR(AI30/AI148, "NA")</f>
        <v>0.02616286018</v>
      </c>
      <c r="AK30" s="61">
        <f t="shared" si="18"/>
        <v>-0.1637745585</v>
      </c>
      <c r="AL30" s="63">
        <f>IFERROR(AK30/AK148, "NA")</f>
        <v>2.119863403</v>
      </c>
    </row>
    <row r="31" ht="16.5" customHeight="1">
      <c r="A31" s="26" t="s">
        <v>88</v>
      </c>
      <c r="B31" s="27">
        <v>7.3</v>
      </c>
      <c r="C31" s="23">
        <f>IFERROR(B31/B148, "NA")</f>
        <v>0.0002164359055</v>
      </c>
      <c r="D31" s="27">
        <v>12.18</v>
      </c>
      <c r="E31" s="23">
        <f>IFERROR(D31/D148, "NA")</f>
        <v>0.0004150733654</v>
      </c>
      <c r="F31" s="27">
        <v>7.31</v>
      </c>
      <c r="G31" s="23">
        <f>IFERROR(F31/F148, "NA")</f>
        <v>0.0002453332975</v>
      </c>
      <c r="H31" s="27">
        <v>7.3</v>
      </c>
      <c r="I31" s="23">
        <f>IFERROR(H31/H148, "NA")</f>
        <v>0.0002358999681</v>
      </c>
      <c r="J31" s="27">
        <v>29.23</v>
      </c>
      <c r="K31" s="23">
        <f>IFERROR(J31/J148, "NA")</f>
        <v>0.001259097551</v>
      </c>
      <c r="L31" s="27">
        <v>19.48</v>
      </c>
      <c r="M31" s="23">
        <f>IFERROR(L31/L148, "NA")</f>
        <v>0.0007718171063</v>
      </c>
      <c r="N31" s="27">
        <v>46.27</v>
      </c>
      <c r="O31" s="23">
        <f>IFERROR(N31/N148, "NA")</f>
        <v>0.001391624568</v>
      </c>
      <c r="P31" s="27">
        <v>19.49</v>
      </c>
      <c r="Q31" s="23">
        <f>IFERROR(P31/P148, "NA")</f>
        <v>0.0005839630386</v>
      </c>
      <c r="R31" s="27">
        <v>21.92</v>
      </c>
      <c r="S31" s="23">
        <f>IFERROR(R31/R148, "NA")</f>
        <v>0.0008053813584</v>
      </c>
      <c r="T31" s="27">
        <v>19.48</v>
      </c>
      <c r="U31" s="23">
        <f>IFERROR(T31/T148, "NA")</f>
        <v>0.0004720883804</v>
      </c>
      <c r="V31" s="27">
        <v>29.22</v>
      </c>
      <c r="W31" s="23">
        <f>IFERROR(V31/V148, "NA")</f>
        <v>0.0009123711533</v>
      </c>
      <c r="X31" s="27">
        <v>-4.87</v>
      </c>
      <c r="Y31" s="23">
        <f>IFERROR(X31/X148, "NA")</f>
        <v>-0.0001732583093</v>
      </c>
      <c r="Z31" s="27">
        <v>65.75</v>
      </c>
      <c r="AA31" s="23">
        <f>IFERROR(Z31/Z148, "NA")</f>
        <v>0.0005112150871</v>
      </c>
      <c r="AB31" s="59">
        <f t="shared" si="13"/>
        <v>16.4375</v>
      </c>
      <c r="AC31" s="23">
        <f>IFERROR(AB31/AB148, "NA")</f>
        <v>0.0005112150871</v>
      </c>
      <c r="AD31" s="61">
        <f t="shared" si="14"/>
        <v>-21.3075</v>
      </c>
      <c r="AE31" s="63">
        <f>IFERROR(AD31/AD148, "NA")</f>
        <v>0.005267008861</v>
      </c>
      <c r="AF31" s="61">
        <f t="shared" si="15"/>
        <v>-1.296273764</v>
      </c>
      <c r="AG31" s="59">
        <f t="shared" si="16"/>
        <v>22.5275</v>
      </c>
      <c r="AH31" s="23">
        <f>IFERROR(AG31/AG148, "NA")</f>
        <v>0.0007395351286</v>
      </c>
      <c r="AI31" s="61">
        <f t="shared" si="17"/>
        <v>-27.3975</v>
      </c>
      <c r="AJ31" s="63">
        <f>IFERROR(AI31/AI148, "NA")</f>
        <v>0.01164174776</v>
      </c>
      <c r="AK31" s="61">
        <f t="shared" si="18"/>
        <v>-1.216180224</v>
      </c>
      <c r="AL31" s="63">
        <f>IFERROR(AK31/AK148, "NA")</f>
        <v>15.74198075</v>
      </c>
    </row>
    <row r="32" ht="16.5" customHeight="1">
      <c r="A32" s="26" t="s">
        <v>89</v>
      </c>
      <c r="B32" s="27">
        <v>28.9</v>
      </c>
      <c r="C32" s="23">
        <f>IFERROR(B32/B148, "NA")</f>
        <v>0.0008568489956</v>
      </c>
      <c r="D32" s="27">
        <v>1.0</v>
      </c>
      <c r="E32" s="23">
        <f>IFERROR(D32/D148, "NA")</f>
        <v>0.00003407827302</v>
      </c>
      <c r="F32" s="27">
        <v>0.0</v>
      </c>
      <c r="G32" s="23">
        <f>IFERROR(F32/F148, "NA")</f>
        <v>0</v>
      </c>
      <c r="H32" s="27">
        <v>0.0</v>
      </c>
      <c r="I32" s="23">
        <f>IFERROR(H32/H148, "NA")</f>
        <v>0</v>
      </c>
      <c r="J32" s="27">
        <v>3.0</v>
      </c>
      <c r="K32" s="23">
        <f>IFERROR(J32/J148, "NA")</f>
        <v>0.0001292265704</v>
      </c>
      <c r="L32" s="27">
        <v>1.99</v>
      </c>
      <c r="M32" s="23">
        <f>IFERROR(L32/L148, "NA")</f>
        <v>0.00007884579269</v>
      </c>
      <c r="N32" s="27">
        <v>-1.99</v>
      </c>
      <c r="O32" s="23">
        <f>IFERROR(N32/N148, "NA")</f>
        <v>-0.00005985158611</v>
      </c>
      <c r="P32" s="27">
        <v>0.0</v>
      </c>
      <c r="Q32" s="23">
        <f>IFERROR(P32/P148, "NA")</f>
        <v>0</v>
      </c>
      <c r="R32" s="27">
        <v>1.99</v>
      </c>
      <c r="S32" s="23">
        <f>IFERROR(R32/R148, "NA")</f>
        <v>0.00007311628208</v>
      </c>
      <c r="T32" s="27">
        <v>-1.99</v>
      </c>
      <c r="U32" s="23">
        <f>IFERROR(T32/T148, "NA")</f>
        <v>-0.00004822668773</v>
      </c>
      <c r="V32" s="27">
        <v>-29.9</v>
      </c>
      <c r="W32" s="23">
        <f>IFERROR(V32/V148, "NA")</f>
        <v>-0.00093360361</v>
      </c>
      <c r="X32" s="27">
        <v>26.9</v>
      </c>
      <c r="Y32" s="23">
        <f>IFERROR(X32/X148, "NA")</f>
        <v>0.0009570120164</v>
      </c>
      <c r="Z32" s="27">
        <v>-3.0</v>
      </c>
      <c r="AA32" s="23">
        <f>IFERROR(Z32/Z148, "NA")</f>
        <v>-0.00002332540321</v>
      </c>
      <c r="AB32" s="59">
        <f t="shared" si="13"/>
        <v>-0.75</v>
      </c>
      <c r="AC32" s="23">
        <f>IFERROR(AB32/AB148, "NA")</f>
        <v>-0.00002332540321</v>
      </c>
      <c r="AD32" s="61">
        <f t="shared" si="14"/>
        <v>27.65</v>
      </c>
      <c r="AE32" s="63">
        <f>IFERROR(AD32/AD148, "NA")</f>
        <v>-0.006834813798</v>
      </c>
      <c r="AF32" s="61">
        <f t="shared" si="15"/>
        <v>-36.86666667</v>
      </c>
      <c r="AG32" s="59">
        <f t="shared" si="16"/>
        <v>0</v>
      </c>
      <c r="AH32" s="23">
        <f>IFERROR(AG32/AG148, "NA")</f>
        <v>0</v>
      </c>
      <c r="AI32" s="61">
        <f t="shared" si="17"/>
        <v>26.9</v>
      </c>
      <c r="AJ32" s="63">
        <f>IFERROR(AI32/AI148, "NA")</f>
        <v>-0.01143035002</v>
      </c>
      <c r="AK32" s="61" t="str">
        <f t="shared" si="18"/>
        <v>NA</v>
      </c>
      <c r="AL32" s="63" t="str">
        <f>IFERROR(AK32/AK148, "NA")</f>
        <v>NA</v>
      </c>
    </row>
    <row r="33" ht="16.5" customHeight="1">
      <c r="A33" s="26" t="s">
        <v>90</v>
      </c>
      <c r="B33" s="27">
        <v>0.0</v>
      </c>
      <c r="C33" s="23">
        <f>IFERROR(B33/B148, "NA")</f>
        <v>0</v>
      </c>
      <c r="D33" s="27">
        <v>0.0</v>
      </c>
      <c r="E33" s="23">
        <f>IFERROR(D33/D148, "NA")</f>
        <v>0</v>
      </c>
      <c r="F33" s="27">
        <v>0.0</v>
      </c>
      <c r="G33" s="23">
        <f>IFERROR(F33/F148, "NA")</f>
        <v>0</v>
      </c>
      <c r="H33" s="27">
        <v>0.0</v>
      </c>
      <c r="I33" s="23">
        <f>IFERROR(H33/H148, "NA")</f>
        <v>0</v>
      </c>
      <c r="J33" s="27">
        <v>7.35</v>
      </c>
      <c r="K33" s="23">
        <f>IFERROR(J33/J148, "NA")</f>
        <v>0.0003166050974</v>
      </c>
      <c r="L33" s="27">
        <v>0.0</v>
      </c>
      <c r="M33" s="23">
        <f>IFERROR(L33/L148, "NA")</f>
        <v>0</v>
      </c>
      <c r="N33" s="27">
        <v>14.36</v>
      </c>
      <c r="O33" s="23">
        <f>IFERROR(N33/N148, "NA")</f>
        <v>0.0004318938576</v>
      </c>
      <c r="P33" s="27">
        <v>-7.35</v>
      </c>
      <c r="Q33" s="23">
        <f>IFERROR(P33/P148, "NA")</f>
        <v>-0.0002202220797</v>
      </c>
      <c r="R33" s="27">
        <v>21.03</v>
      </c>
      <c r="S33" s="23">
        <f>IFERROR(R33/R148, "NA")</f>
        <v>0.0007726811116</v>
      </c>
      <c r="T33" s="27">
        <v>-14.7</v>
      </c>
      <c r="U33" s="23">
        <f>IFERROR(T33/T148, "NA")</f>
        <v>-0.0003562473918</v>
      </c>
      <c r="V33" s="27">
        <v>14.7</v>
      </c>
      <c r="W33" s="23">
        <f>IFERROR(V33/V148, "NA")</f>
        <v>0.0004589957548</v>
      </c>
      <c r="X33" s="27">
        <v>0.0</v>
      </c>
      <c r="Y33" s="23">
        <f>IFERROR(X33/X148, "NA")</f>
        <v>0</v>
      </c>
      <c r="Z33" s="27">
        <v>21.03</v>
      </c>
      <c r="AA33" s="23">
        <f>IFERROR(Z33/Z148, "NA")</f>
        <v>0.0001635110765</v>
      </c>
      <c r="AB33" s="59">
        <f t="shared" si="13"/>
        <v>5.2575</v>
      </c>
      <c r="AC33" s="23">
        <f>IFERROR(AB33/AB148, "NA")</f>
        <v>0.0001635110765</v>
      </c>
      <c r="AD33" s="61">
        <f t="shared" si="14"/>
        <v>-5.2575</v>
      </c>
      <c r="AE33" s="63">
        <f>IFERROR(AD33/AD148, "NA")</f>
        <v>0.001299603383</v>
      </c>
      <c r="AF33" s="61">
        <f t="shared" si="15"/>
        <v>-1</v>
      </c>
      <c r="AG33" s="59">
        <f t="shared" si="16"/>
        <v>4.42375</v>
      </c>
      <c r="AH33" s="23">
        <f>IFERROR(AG33/AG148, "NA")</f>
        <v>0.0001452233282</v>
      </c>
      <c r="AI33" s="61">
        <f t="shared" si="17"/>
        <v>-4.42375</v>
      </c>
      <c r="AJ33" s="63">
        <f>IFERROR(AI33/AI148, "NA")</f>
        <v>0.001879740183</v>
      </c>
      <c r="AK33" s="61">
        <f t="shared" si="18"/>
        <v>-1</v>
      </c>
      <c r="AL33" s="63">
        <f>IFERROR(AK33/AK148, "NA")</f>
        <v>12.94378945</v>
      </c>
    </row>
    <row r="34" ht="16.5" customHeight="1">
      <c r="A34" s="66" t="s">
        <v>91</v>
      </c>
      <c r="B34" s="67">
        <f>IFERROR(B29+B30+B31+B32+B33, "NA")</f>
        <v>279.09</v>
      </c>
      <c r="C34" s="69">
        <f>IFERROR(B34/B148, "NA")</f>
        <v>0.008274670802</v>
      </c>
      <c r="D34" s="67">
        <f>IFERROR(D29+D30+D31+D32+D33, "NA")</f>
        <v>489.57</v>
      </c>
      <c r="E34" s="69">
        <f>IFERROR(D34/D148, "NA")</f>
        <v>0.01668370012</v>
      </c>
      <c r="F34" s="67">
        <f>IFERROR(F29+F30+F31+F32+F33, "NA")</f>
        <v>222.76</v>
      </c>
      <c r="G34" s="69">
        <f>IFERROR(F34/F148, "NA")</f>
        <v>0.007476121116</v>
      </c>
      <c r="H34" s="67">
        <f>IFERROR(H29+H30+H31+H32+H33, "NA")</f>
        <v>429.51</v>
      </c>
      <c r="I34" s="69">
        <f>IFERROR(H34/H148, "NA")</f>
        <v>0.01387964319</v>
      </c>
      <c r="J34" s="67">
        <f>IFERROR(J29+J30+J31+J32+J33, "NA")</f>
        <v>588.98</v>
      </c>
      <c r="K34" s="69">
        <f>IFERROR(J34/J148, "NA")</f>
        <v>0.0253706218</v>
      </c>
      <c r="L34" s="67">
        <f>IFERROR(L29+L30+L31+L32+L33, "NA")</f>
        <v>224.75</v>
      </c>
      <c r="M34" s="69">
        <f>IFERROR(L34/L148, "NA")</f>
        <v>0.008904820053</v>
      </c>
      <c r="N34" s="67">
        <f>IFERROR(N29+N30+N31+N32+N33, "NA")</f>
        <v>499.79</v>
      </c>
      <c r="O34" s="69">
        <f>IFERROR(N34/N148, "NA")</f>
        <v>0.01503177097</v>
      </c>
      <c r="P34" s="67">
        <f>IFERROR(P29+P30+P31+P32+P33, "NA")</f>
        <v>313.73</v>
      </c>
      <c r="Q34" s="69">
        <f>IFERROR(P34/P148, "NA")</f>
        <v>0.009400037153</v>
      </c>
      <c r="R34" s="67">
        <f>IFERROR(R29+R30+R31+R32+R33, "NA")</f>
        <v>517.88</v>
      </c>
      <c r="S34" s="69">
        <f>IFERROR(R34/R148, "NA")</f>
        <v>0.01902786943</v>
      </c>
      <c r="T34" s="67">
        <f>IFERROR(T29+T30+T31+T32+T33, "NA")</f>
        <v>322.23</v>
      </c>
      <c r="U34" s="69">
        <f>IFERROR(T34/T148, "NA")</f>
        <v>0.007809088234</v>
      </c>
      <c r="V34" s="67">
        <f>IFERROR(V29+V30+V31+V32+V33, "NA")</f>
        <v>419.45</v>
      </c>
      <c r="W34" s="69">
        <f>IFERROR(V34/V148, "NA")</f>
        <v>0.01309699111</v>
      </c>
      <c r="X34" s="67">
        <f>IFERROR(X29+X30+X31+X32+X33, "NA")</f>
        <v>336.41</v>
      </c>
      <c r="Y34" s="69">
        <f>IFERROR(X34/X148, "NA")</f>
        <v>0.01196834247</v>
      </c>
      <c r="Z34" s="67">
        <f>IFERROR(Z29+Z30+Z31+Z32+Z33, "NA")</f>
        <v>1595.97</v>
      </c>
      <c r="AA34" s="69">
        <f>IFERROR(Z34/Z148, "NA")</f>
        <v>0.01240888126</v>
      </c>
      <c r="AB34" s="67">
        <f t="shared" si="13"/>
        <v>398.9925</v>
      </c>
      <c r="AC34" s="69">
        <f>IFERROR(AB34/AB148, "NA")</f>
        <v>0.01240888126</v>
      </c>
      <c r="AD34" s="70">
        <f t="shared" si="14"/>
        <v>-62.5825</v>
      </c>
      <c r="AE34" s="71">
        <f>IFERROR(AD34/AD148, "NA")</f>
        <v>0.01546979148</v>
      </c>
      <c r="AF34" s="70">
        <f t="shared" si="15"/>
        <v>-0.1568513193</v>
      </c>
      <c r="AG34" s="67">
        <f t="shared" si="16"/>
        <v>402.9025</v>
      </c>
      <c r="AH34" s="69">
        <f>IFERROR(AG34/AG148, "NA")</f>
        <v>0.01322652545</v>
      </c>
      <c r="AI34" s="70">
        <f t="shared" si="17"/>
        <v>-66.4925</v>
      </c>
      <c r="AJ34" s="71">
        <f>IFERROR(AI34/AI148, "NA")</f>
        <v>0.0282539981</v>
      </c>
      <c r="AK34" s="70">
        <f t="shared" si="18"/>
        <v>-0.165033724</v>
      </c>
      <c r="AL34" s="71">
        <f>IFERROR(AK34/AK148, "NA")</f>
        <v>2.136161776</v>
      </c>
    </row>
    <row r="35" ht="16.5" customHeight="1">
      <c r="A35" s="66" t="s">
        <v>93</v>
      </c>
      <c r="B35" s="67">
        <f>IFERROR(B13+B15+B16+B17+B18+B19+B20+B21+B22+B23+B24+B25+B26+B29+B30+B31+B32+B33, "NA")</f>
        <v>8151.53</v>
      </c>
      <c r="C35" s="69">
        <f>IFERROR(B35/B148, "NA")</f>
        <v>0.2416827091</v>
      </c>
      <c r="D35" s="67">
        <f>IFERROR(D13+D15+D16+D17+D18+D19+D20+D21+D22+D23+D24+D25+D26+D29+D30+D31+D32+D33, "NA")</f>
        <v>7465.58</v>
      </c>
      <c r="E35" s="69">
        <f>IFERROR(D35/D148, "NA")</f>
        <v>0.2544140735</v>
      </c>
      <c r="F35" s="67">
        <f>IFERROR(F13+F15+F16+F17+F18+F19+F20+F21+F22+F23+F24+F25+F26+F29+F30+F31+F32+F33, "NA")</f>
        <v>6951.86</v>
      </c>
      <c r="G35" s="69">
        <f>IFERROR(F35/F148, "NA")</f>
        <v>0.233313644</v>
      </c>
      <c r="H35" s="67">
        <f>IFERROR(H13+H15+H16+H17+H18+H19+H20+H21+H22+H23+H24+H25+H26+H29+H30+H31+H32+H33, "NA")</f>
        <v>7751.97</v>
      </c>
      <c r="I35" s="69">
        <f>IFERROR(H35/H148, "NA")</f>
        <v>0.2505054076</v>
      </c>
      <c r="J35" s="67">
        <f>IFERROR(J13+J15+J16+J17+J18+J19+J20+J21+J22+J23+J24+J25+J26+J29+J30+J31+J32+J33, "NA")</f>
        <v>6336.17</v>
      </c>
      <c r="K35" s="69">
        <f>IFERROR(J35/J148, "NA")</f>
        <v>0.2729338394</v>
      </c>
      <c r="L35" s="67">
        <f>IFERROR(L13+L15+L16+L17+L18+L19+L20+L21+L22+L23+L24+L25+L26+L29+L30+L31+L32+L33, "NA")</f>
        <v>5907.83</v>
      </c>
      <c r="M35" s="69">
        <f>IFERROR(L35/L148, "NA")</f>
        <v>0.2340741404</v>
      </c>
      <c r="N35" s="67">
        <f>IFERROR(N13+N15+N16+N17+N18+N19+N20+N21+N22+N23+N24+N25+N26+N29+N30+N31+N32+N33, "NA")</f>
        <v>8006.42</v>
      </c>
      <c r="O35" s="69">
        <f>IFERROR(N35/N148, "NA")</f>
        <v>0.2408024804</v>
      </c>
      <c r="P35" s="67">
        <f>IFERROR(P13+P15+P16+P17+P18+P19+P20+P21+P22+P23+P24+P25+P26+P29+P30+P31+P32+P33, "NA")</f>
        <v>7493.26</v>
      </c>
      <c r="Q35" s="69">
        <f>IFERROR(P35/P148, "NA")</f>
        <v>0.2245144627</v>
      </c>
      <c r="R35" s="67">
        <f>IFERROR(R13+R15+R16+R17+R18+R19+R20+R21+R22+R23+R24+R25+R26+R29+R30+R31+R32+R33, "NA")</f>
        <v>6441.06</v>
      </c>
      <c r="S35" s="69">
        <f>IFERROR(R35/R148, "NA")</f>
        <v>0.2366564622</v>
      </c>
      <c r="T35" s="67">
        <f>IFERROR(T13+T15+T16+T17+T18+T19+T20+T21+T22+T23+T24+T25+T26+T29+T30+T31+T32+T33, "NA")</f>
        <v>8223.9</v>
      </c>
      <c r="U35" s="69">
        <f>IFERROR(T35/T148, "NA")</f>
        <v>0.1993022398</v>
      </c>
      <c r="V35" s="67">
        <f>IFERROR(V13+V15+V16+V17+V18+V19+V20+V21+V22+V23+V24+V25+V26+V29+V30+V31+V32+V33, "NA")</f>
        <v>7236.11</v>
      </c>
      <c r="W35" s="69">
        <f>IFERROR(V35/V148, "NA")</f>
        <v>0.2259417531</v>
      </c>
      <c r="X35" s="67">
        <f>IFERROR(X13+X15+X16+X17+X18+X19+X20+X21+X22+X23+X24+X25+X26+X29+X30+X31+X32+X33, "NA")</f>
        <v>5813.05</v>
      </c>
      <c r="Y35" s="69">
        <f>IFERROR(X35/X148, "NA")</f>
        <v>0.2068088737</v>
      </c>
      <c r="Z35" s="67">
        <f>IFERROR(Z13+Z15+Z16+Z17+Z18+Z19+Z20+Z21+Z22+Z23+Z24+Z25+Z26+Z29+Z30+Z31+Z32+Z33, "NA")</f>
        <v>27714.12</v>
      </c>
      <c r="AA35" s="69">
        <f>IFERROR(Z35/Z148, "NA")</f>
        <v>0.2154810079</v>
      </c>
      <c r="AB35" s="67">
        <f t="shared" si="13"/>
        <v>6928.53</v>
      </c>
      <c r="AC35" s="69">
        <f>IFERROR(AB35/AB148, "NA")</f>
        <v>0.2154810079</v>
      </c>
      <c r="AD35" s="70">
        <f t="shared" si="14"/>
        <v>-1115.48</v>
      </c>
      <c r="AE35" s="71">
        <f>IFERROR(AD35/AD148, "NA")</f>
        <v>0.2757359166</v>
      </c>
      <c r="AF35" s="70">
        <f t="shared" si="15"/>
        <v>-0.1609980761</v>
      </c>
      <c r="AG35" s="67">
        <f t="shared" si="16"/>
        <v>6932.225</v>
      </c>
      <c r="AH35" s="69">
        <f>IFERROR(AG35/AG148, "NA")</f>
        <v>0.2275718081</v>
      </c>
      <c r="AI35" s="70">
        <f t="shared" si="17"/>
        <v>-1119.175</v>
      </c>
      <c r="AJ35" s="71">
        <f>IFERROR(AI35/AI148, "NA")</f>
        <v>0.4755599252</v>
      </c>
      <c r="AK35" s="70">
        <f t="shared" si="18"/>
        <v>-0.1614452791</v>
      </c>
      <c r="AL35" s="71">
        <f>IFERROR(AK35/AK148, "NA")</f>
        <v>2.0897137</v>
      </c>
    </row>
    <row r="36" ht="16.5" customHeight="1">
      <c r="A36" s="17" t="s">
        <v>94</v>
      </c>
      <c r="B36" s="19"/>
      <c r="C36" s="13"/>
      <c r="D36" s="19"/>
      <c r="E36" s="13"/>
      <c r="F36" s="19"/>
      <c r="G36" s="13"/>
      <c r="H36" s="19"/>
      <c r="I36" s="13"/>
      <c r="J36" s="19"/>
      <c r="K36" s="13"/>
      <c r="L36" s="19"/>
      <c r="M36" s="13"/>
      <c r="N36" s="19"/>
      <c r="O36" s="13"/>
      <c r="P36" s="19"/>
      <c r="Q36" s="13"/>
      <c r="R36" s="19"/>
      <c r="S36" s="13"/>
      <c r="T36" s="19"/>
      <c r="U36" s="13"/>
      <c r="V36" s="19"/>
      <c r="W36" s="13"/>
      <c r="X36" s="19"/>
      <c r="Y36" s="13"/>
      <c r="Z36" s="19"/>
      <c r="AA36" s="13"/>
      <c r="AB36" s="19"/>
      <c r="AC36" s="13"/>
      <c r="AD36" s="24"/>
      <c r="AE36" s="25"/>
      <c r="AF36" s="24"/>
      <c r="AG36" s="19"/>
      <c r="AH36" s="13"/>
      <c r="AI36" s="24"/>
      <c r="AJ36" s="25"/>
      <c r="AK36" s="24"/>
      <c r="AL36" s="25"/>
    </row>
    <row r="37" ht="16.5" hidden="1" customHeight="1">
      <c r="A37" s="26" t="s">
        <v>95</v>
      </c>
      <c r="B37" s="27">
        <v>0.0</v>
      </c>
      <c r="C37" s="23">
        <f>IFERROR(B37/B148, "NA")</f>
        <v>0</v>
      </c>
      <c r="D37" s="27">
        <v>0.0</v>
      </c>
      <c r="E37" s="23">
        <f>IFERROR(D37/D148, "NA")</f>
        <v>0</v>
      </c>
      <c r="F37" s="27">
        <v>0.0</v>
      </c>
      <c r="G37" s="23">
        <f>IFERROR(F37/F148, "NA")</f>
        <v>0</v>
      </c>
      <c r="H37" s="27">
        <v>0.0</v>
      </c>
      <c r="I37" s="23">
        <f>IFERROR(H37/H148, "NA")</f>
        <v>0</v>
      </c>
      <c r="J37" s="27">
        <v>0.0</v>
      </c>
      <c r="K37" s="23">
        <f>IFERROR(J37/J148, "NA")</f>
        <v>0</v>
      </c>
      <c r="L37" s="27">
        <v>0.0</v>
      </c>
      <c r="M37" s="23">
        <f>IFERROR(L37/L148, "NA")</f>
        <v>0</v>
      </c>
      <c r="N37" s="27">
        <v>0.0</v>
      </c>
      <c r="O37" s="23">
        <f>IFERROR(N37/N148, "NA")</f>
        <v>0</v>
      </c>
      <c r="P37" s="27">
        <v>0.0</v>
      </c>
      <c r="Q37" s="23">
        <f>IFERROR(P37/P148, "NA")</f>
        <v>0</v>
      </c>
      <c r="R37" s="27">
        <v>0.0</v>
      </c>
      <c r="S37" s="23">
        <f>IFERROR(R37/R148, "NA")</f>
        <v>0</v>
      </c>
      <c r="T37" s="27">
        <v>0.0</v>
      </c>
      <c r="U37" s="23">
        <f>IFERROR(T37/T148, "NA")</f>
        <v>0</v>
      </c>
      <c r="V37" s="27">
        <v>0.0</v>
      </c>
      <c r="W37" s="23">
        <f>IFERROR(V37/V148, "NA")</f>
        <v>0</v>
      </c>
      <c r="X37" s="27">
        <v>0.0</v>
      </c>
      <c r="Y37" s="23">
        <f>IFERROR(X37/X148, "NA")</f>
        <v>0</v>
      </c>
      <c r="Z37" s="27">
        <v>0.0</v>
      </c>
      <c r="AA37" s="23">
        <f>IFERROR(Z37/Z148, "NA")</f>
        <v>0</v>
      </c>
      <c r="AB37" s="59">
        <f>IFERROR((R37+T37+V37+X37)/4, "NA")</f>
        <v>0</v>
      </c>
      <c r="AC37" s="23">
        <f>IFERROR(AB37/AB148, "NA")</f>
        <v>0</v>
      </c>
      <c r="AD37" s="61">
        <f>IFERROR(X37-AB37, "NA")</f>
        <v>0</v>
      </c>
      <c r="AE37" s="63">
        <f>IFERROR(AD37/AD148, "NA")</f>
        <v>0</v>
      </c>
      <c r="AF37" s="61" t="str">
        <f>IFERROR((X37-AB37)/AB37, "NA")</f>
        <v>NA</v>
      </c>
      <c r="AG37" s="59">
        <f>IFERROR((J37+L37+N37+P37+R37+T37+V37+X37)/8, "NA")</f>
        <v>0</v>
      </c>
      <c r="AH37" s="23">
        <f>IFERROR(AG37/AG148, "NA")</f>
        <v>0</v>
      </c>
      <c r="AI37" s="61">
        <f>IFERROR(X37-AG37, "NA")</f>
        <v>0</v>
      </c>
      <c r="AJ37" s="63">
        <f>IFERROR(AI37/AI148, "NA")</f>
        <v>0</v>
      </c>
      <c r="AK37" s="61" t="str">
        <f>IFERROR((X37-AG37)/AG37, "NA")</f>
        <v>NA</v>
      </c>
      <c r="AL37" s="63" t="str">
        <f>IFERROR(AK37/AK148, "NA")</f>
        <v>NA</v>
      </c>
    </row>
    <row r="38" ht="16.5" customHeight="1">
      <c r="A38" s="17" t="s">
        <v>96</v>
      </c>
      <c r="B38" s="19"/>
      <c r="C38" s="13"/>
      <c r="D38" s="19"/>
      <c r="E38" s="13"/>
      <c r="F38" s="19"/>
      <c r="G38" s="13"/>
      <c r="H38" s="19"/>
      <c r="I38" s="13"/>
      <c r="J38" s="19"/>
      <c r="K38" s="13"/>
      <c r="L38" s="19"/>
      <c r="M38" s="13"/>
      <c r="N38" s="19"/>
      <c r="O38" s="13"/>
      <c r="P38" s="19"/>
      <c r="Q38" s="13"/>
      <c r="R38" s="19"/>
      <c r="S38" s="13"/>
      <c r="T38" s="19"/>
      <c r="U38" s="13"/>
      <c r="V38" s="19"/>
      <c r="W38" s="13"/>
      <c r="X38" s="19"/>
      <c r="Y38" s="13"/>
      <c r="Z38" s="19"/>
      <c r="AA38" s="13"/>
      <c r="AB38" s="19"/>
      <c r="AC38" s="13"/>
      <c r="AD38" s="24"/>
      <c r="AE38" s="25"/>
      <c r="AF38" s="24"/>
      <c r="AG38" s="19"/>
      <c r="AH38" s="13"/>
      <c r="AI38" s="24"/>
      <c r="AJ38" s="25"/>
      <c r="AK38" s="24"/>
      <c r="AL38" s="25"/>
    </row>
    <row r="39" ht="16.5" hidden="1" customHeight="1">
      <c r="A39" s="26" t="s">
        <v>97</v>
      </c>
      <c r="B39" s="27">
        <v>0.0</v>
      </c>
      <c r="C39" s="23">
        <f>IFERROR(B39/B148, "NA")</f>
        <v>0</v>
      </c>
      <c r="D39" s="27">
        <v>0.0</v>
      </c>
      <c r="E39" s="23">
        <f>IFERROR(D39/D148, "NA")</f>
        <v>0</v>
      </c>
      <c r="F39" s="27">
        <v>0.0</v>
      </c>
      <c r="G39" s="23">
        <f>IFERROR(F39/F148, "NA")</f>
        <v>0</v>
      </c>
      <c r="H39" s="27">
        <v>0.0</v>
      </c>
      <c r="I39" s="23">
        <f>IFERROR(H39/H148, "NA")</f>
        <v>0</v>
      </c>
      <c r="J39" s="27">
        <v>0.0</v>
      </c>
      <c r="K39" s="23">
        <f>IFERROR(J39/J148, "NA")</f>
        <v>0</v>
      </c>
      <c r="L39" s="27">
        <v>0.0</v>
      </c>
      <c r="M39" s="23">
        <f>IFERROR(L39/L148, "NA")</f>
        <v>0</v>
      </c>
      <c r="N39" s="27">
        <v>0.0</v>
      </c>
      <c r="O39" s="23">
        <f>IFERROR(N39/N148, "NA")</f>
        <v>0</v>
      </c>
      <c r="P39" s="27">
        <v>0.0</v>
      </c>
      <c r="Q39" s="23">
        <f>IFERROR(P39/P148, "NA")</f>
        <v>0</v>
      </c>
      <c r="R39" s="27">
        <v>0.0</v>
      </c>
      <c r="S39" s="23">
        <f>IFERROR(R39/R148, "NA")</f>
        <v>0</v>
      </c>
      <c r="T39" s="27">
        <v>0.0</v>
      </c>
      <c r="U39" s="23">
        <f>IFERROR(T39/T148, "NA")</f>
        <v>0</v>
      </c>
      <c r="V39" s="27">
        <v>0.0</v>
      </c>
      <c r="W39" s="23">
        <f>IFERROR(V39/V148, "NA")</f>
        <v>0</v>
      </c>
      <c r="X39" s="27">
        <v>0.0</v>
      </c>
      <c r="Y39" s="23">
        <f>IFERROR(X39/X148, "NA")</f>
        <v>0</v>
      </c>
      <c r="Z39" s="27">
        <v>0.0</v>
      </c>
      <c r="AA39" s="23">
        <f>IFERROR(Z39/Z148, "NA")</f>
        <v>0</v>
      </c>
      <c r="AB39" s="59">
        <f t="shared" ref="AB39:AB44" si="19">IFERROR((R39+T39+V39+X39)/4, "NA")</f>
        <v>0</v>
      </c>
      <c r="AC39" s="23">
        <f>IFERROR(AB39/AB148, "NA")</f>
        <v>0</v>
      </c>
      <c r="AD39" s="61">
        <f t="shared" ref="AD39:AD44" si="20">IFERROR(X39-AB39, "NA")</f>
        <v>0</v>
      </c>
      <c r="AE39" s="63">
        <f>IFERROR(AD39/AD148, "NA")</f>
        <v>0</v>
      </c>
      <c r="AF39" s="61" t="str">
        <f t="shared" ref="AF39:AF44" si="21">IFERROR((X39-AB39)/AB39, "NA")</f>
        <v>NA</v>
      </c>
      <c r="AG39" s="59">
        <f t="shared" ref="AG39:AG44" si="22">IFERROR((J39+L39+N39+P39+R39+T39+V39+X39)/8, "NA")</f>
        <v>0</v>
      </c>
      <c r="AH39" s="23">
        <f>IFERROR(AG39/AG148, "NA")</f>
        <v>0</v>
      </c>
      <c r="AI39" s="61">
        <f t="shared" ref="AI39:AI44" si="23">IFERROR(X39-AG39, "NA")</f>
        <v>0</v>
      </c>
      <c r="AJ39" s="63">
        <f>IFERROR(AI39/AI148, "NA")</f>
        <v>0</v>
      </c>
      <c r="AK39" s="61" t="str">
        <f t="shared" ref="AK39:AK44" si="24">IFERROR((X39-AG39)/AG39, "NA")</f>
        <v>NA</v>
      </c>
      <c r="AL39" s="63" t="str">
        <f>IFERROR(AK39/AK148, "NA")</f>
        <v>NA</v>
      </c>
    </row>
    <row r="40" ht="16.5" customHeight="1">
      <c r="A40" s="26" t="s">
        <v>98</v>
      </c>
      <c r="B40" s="27">
        <v>988.9</v>
      </c>
      <c r="C40" s="23">
        <f>IFERROR(B40/B148, "NA")</f>
        <v>0.029319653</v>
      </c>
      <c r="D40" s="27">
        <v>888.38</v>
      </c>
      <c r="E40" s="23">
        <f>IFERROR(D40/D148, "NA")</f>
        <v>0.03027445619</v>
      </c>
      <c r="F40" s="27">
        <v>821.15</v>
      </c>
      <c r="G40" s="23">
        <f>IFERROR(F40/F148, "NA")</f>
        <v>0.02755888335</v>
      </c>
      <c r="H40" s="27">
        <v>920.09</v>
      </c>
      <c r="I40" s="23">
        <f>IFERROR(H40/H148, "NA")</f>
        <v>0.02973276735</v>
      </c>
      <c r="J40" s="27">
        <v>690.78</v>
      </c>
      <c r="K40" s="23">
        <f>IFERROR(J40/J148, "NA")</f>
        <v>0.02975571009</v>
      </c>
      <c r="L40" s="27">
        <v>917.2</v>
      </c>
      <c r="M40" s="23">
        <f>IFERROR(L40/L148, "NA")</f>
        <v>0.03634038244</v>
      </c>
      <c r="N40" s="27">
        <v>824.36</v>
      </c>
      <c r="O40" s="23">
        <f>IFERROR(N40/N148, "NA")</f>
        <v>0.02479359474</v>
      </c>
      <c r="P40" s="27">
        <v>1097.35</v>
      </c>
      <c r="Q40" s="23">
        <f>IFERROR(P40/P148, "NA")</f>
        <v>0.03287900669</v>
      </c>
      <c r="R40" s="27">
        <v>688.11</v>
      </c>
      <c r="S40" s="23">
        <f>IFERROR(R40/R148, "NA")</f>
        <v>0.0252824346</v>
      </c>
      <c r="T40" s="27">
        <v>1006.73</v>
      </c>
      <c r="U40" s="23">
        <f>IFERROR(T40/T148, "NA")</f>
        <v>0.02439761474</v>
      </c>
      <c r="V40" s="27">
        <v>854.98</v>
      </c>
      <c r="W40" s="23">
        <f>IFERROR(V40/V148, "NA")</f>
        <v>0.02669606737</v>
      </c>
      <c r="X40" s="27">
        <v>814.85</v>
      </c>
      <c r="Y40" s="23">
        <f>IFERROR(X40/X148, "NA")</f>
        <v>0.02898963723</v>
      </c>
      <c r="Z40" s="27">
        <v>3364.67</v>
      </c>
      <c r="AA40" s="23">
        <f>IFERROR(Z40/Z148, "NA")</f>
        <v>0.02616076148</v>
      </c>
      <c r="AB40" s="59">
        <f t="shared" si="19"/>
        <v>841.1675</v>
      </c>
      <c r="AC40" s="23">
        <f>IFERROR(AB40/AB148, "NA")</f>
        <v>0.02616076148</v>
      </c>
      <c r="AD40" s="61">
        <f t="shared" si="20"/>
        <v>-26.3175</v>
      </c>
      <c r="AE40" s="63">
        <f>IFERROR(AD40/AD148, "NA")</f>
        <v>0.006505432626</v>
      </c>
      <c r="AF40" s="61">
        <f t="shared" si="21"/>
        <v>-0.03128687212</v>
      </c>
      <c r="AG40" s="59">
        <f t="shared" si="22"/>
        <v>861.795</v>
      </c>
      <c r="AH40" s="23">
        <f>IFERROR(AG40/AG148, "NA")</f>
        <v>0.02829109649</v>
      </c>
      <c r="AI40" s="61">
        <f t="shared" si="23"/>
        <v>-46.945</v>
      </c>
      <c r="AJ40" s="63">
        <f>IFERROR(AI40/AI148, "NA")</f>
        <v>0.01994787293</v>
      </c>
      <c r="AK40" s="61">
        <f t="shared" si="24"/>
        <v>-0.05447351168</v>
      </c>
      <c r="AL40" s="63">
        <f>IFERROR(AK40/AK148, "NA")</f>
        <v>0.7050936657</v>
      </c>
    </row>
    <row r="41" ht="16.5" customHeight="1">
      <c r="A41" s="26" t="s">
        <v>99</v>
      </c>
      <c r="B41" s="27">
        <v>388.96</v>
      </c>
      <c r="C41" s="23">
        <f>IFERROR(B41/B148, "NA")</f>
        <v>0.01153217942</v>
      </c>
      <c r="D41" s="27">
        <v>275.91</v>
      </c>
      <c r="E41" s="23">
        <f>IFERROR(D41/D148, "NA")</f>
        <v>0.00940253631</v>
      </c>
      <c r="F41" s="27">
        <v>397.52</v>
      </c>
      <c r="G41" s="23">
        <f>IFERROR(F41/F148, "NA")</f>
        <v>0.01334129855</v>
      </c>
      <c r="H41" s="27">
        <v>415.05</v>
      </c>
      <c r="I41" s="23">
        <f>IFERROR(H41/H148, "NA")</f>
        <v>0.01341236736</v>
      </c>
      <c r="J41" s="27">
        <v>76.96</v>
      </c>
      <c r="K41" s="23">
        <f>IFERROR(J41/J148, "NA")</f>
        <v>0.003315092285</v>
      </c>
      <c r="L41" s="27">
        <v>164.12</v>
      </c>
      <c r="M41" s="23">
        <f>IFERROR(L41/L148, "NA")</f>
        <v>0.006502598741</v>
      </c>
      <c r="N41" s="27">
        <v>430.02</v>
      </c>
      <c r="O41" s="23">
        <f>IFERROR(N41/N148, "NA")</f>
        <v>0.01293335631</v>
      </c>
      <c r="P41" s="27">
        <v>173.71</v>
      </c>
      <c r="Q41" s="23">
        <f>IFERROR(P41/P148, "NA")</f>
        <v>0.005204731629</v>
      </c>
      <c r="R41" s="27">
        <v>137.46</v>
      </c>
      <c r="S41" s="23">
        <f>IFERROR(R41/R148, "NA")</f>
        <v>0.005050534741</v>
      </c>
      <c r="T41" s="27">
        <v>560.49</v>
      </c>
      <c r="U41" s="23">
        <f>IFERROR(T41/T148, "NA")</f>
        <v>0.01358320412</v>
      </c>
      <c r="V41" s="27">
        <v>429.82</v>
      </c>
      <c r="W41" s="23">
        <f>IFERROR(V41/V148, "NA")</f>
        <v>0.01342078608</v>
      </c>
      <c r="X41" s="27">
        <v>261.86</v>
      </c>
      <c r="Y41" s="23">
        <f>IFERROR(X41/X148, "NA")</f>
        <v>0.009316102848</v>
      </c>
      <c r="Z41" s="27">
        <v>1389.63</v>
      </c>
      <c r="AA41" s="23">
        <f>IFERROR(Z41/Z148, "NA")</f>
        <v>0.01080456002</v>
      </c>
      <c r="AB41" s="59">
        <f t="shared" si="19"/>
        <v>347.4075</v>
      </c>
      <c r="AC41" s="23">
        <f>IFERROR(AB41/AB148, "NA")</f>
        <v>0.01080456002</v>
      </c>
      <c r="AD41" s="61">
        <f t="shared" si="20"/>
        <v>-85.5475</v>
      </c>
      <c r="AE41" s="63">
        <f>IFERROR(AD41/AD148, "NA")</f>
        <v>0.02114651839</v>
      </c>
      <c r="AF41" s="61">
        <f t="shared" si="21"/>
        <v>-0.2462454035</v>
      </c>
      <c r="AG41" s="59">
        <f t="shared" si="22"/>
        <v>279.305</v>
      </c>
      <c r="AH41" s="23">
        <f>IFERROR(AG41/AG148, "NA")</f>
        <v>0.009169053783</v>
      </c>
      <c r="AI41" s="61">
        <f t="shared" si="23"/>
        <v>-17.445</v>
      </c>
      <c r="AJ41" s="63">
        <f>IFERROR(AI41/AI148, "NA")</f>
        <v>0.007412730712</v>
      </c>
      <c r="AK41" s="61">
        <f t="shared" si="24"/>
        <v>-0.0624586026</v>
      </c>
      <c r="AL41" s="63">
        <f>IFERROR(AK41/AK148, "NA")</f>
        <v>0.8084510013</v>
      </c>
    </row>
    <row r="42" ht="16.5" hidden="1" customHeight="1">
      <c r="A42" s="26" t="s">
        <v>100</v>
      </c>
      <c r="B42" s="27">
        <v>0.0</v>
      </c>
      <c r="C42" s="23">
        <f>IFERROR(B42/B148, "NA")</f>
        <v>0</v>
      </c>
      <c r="D42" s="27">
        <v>0.0</v>
      </c>
      <c r="E42" s="23">
        <f>IFERROR(D42/D148, "NA")</f>
        <v>0</v>
      </c>
      <c r="F42" s="27">
        <v>0.0</v>
      </c>
      <c r="G42" s="23">
        <f>IFERROR(F42/F148, "NA")</f>
        <v>0</v>
      </c>
      <c r="H42" s="27">
        <v>0.0</v>
      </c>
      <c r="I42" s="23">
        <f>IFERROR(H42/H148, "NA")</f>
        <v>0</v>
      </c>
      <c r="J42" s="27">
        <v>0.0</v>
      </c>
      <c r="K42" s="23">
        <f>IFERROR(J42/J148, "NA")</f>
        <v>0</v>
      </c>
      <c r="L42" s="27">
        <v>0.0</v>
      </c>
      <c r="M42" s="23">
        <f>IFERROR(L42/L148, "NA")</f>
        <v>0</v>
      </c>
      <c r="N42" s="27">
        <v>0.0</v>
      </c>
      <c r="O42" s="23">
        <f>IFERROR(N42/N148, "NA")</f>
        <v>0</v>
      </c>
      <c r="P42" s="27">
        <v>0.0</v>
      </c>
      <c r="Q42" s="23">
        <f>IFERROR(P42/P148, "NA")</f>
        <v>0</v>
      </c>
      <c r="R42" s="27">
        <v>0.0</v>
      </c>
      <c r="S42" s="23">
        <f>IFERROR(R42/R148, "NA")</f>
        <v>0</v>
      </c>
      <c r="T42" s="27">
        <v>0.0</v>
      </c>
      <c r="U42" s="23">
        <f>IFERROR(T42/T148, "NA")</f>
        <v>0</v>
      </c>
      <c r="V42" s="27">
        <v>0.0</v>
      </c>
      <c r="W42" s="23">
        <f>IFERROR(V42/V148, "NA")</f>
        <v>0</v>
      </c>
      <c r="X42" s="27">
        <v>0.0</v>
      </c>
      <c r="Y42" s="23">
        <f>IFERROR(X42/X148, "NA")</f>
        <v>0</v>
      </c>
      <c r="Z42" s="27">
        <v>0.0</v>
      </c>
      <c r="AA42" s="23">
        <f>IFERROR(Z42/Z148, "NA")</f>
        <v>0</v>
      </c>
      <c r="AB42" s="59">
        <f t="shared" si="19"/>
        <v>0</v>
      </c>
      <c r="AC42" s="23">
        <f>IFERROR(AB42/AB148, "NA")</f>
        <v>0</v>
      </c>
      <c r="AD42" s="61">
        <f t="shared" si="20"/>
        <v>0</v>
      </c>
      <c r="AE42" s="63">
        <f>IFERROR(AD42/AD148, "NA")</f>
        <v>0</v>
      </c>
      <c r="AF42" s="61" t="str">
        <f t="shared" si="21"/>
        <v>NA</v>
      </c>
      <c r="AG42" s="59">
        <f t="shared" si="22"/>
        <v>0</v>
      </c>
      <c r="AH42" s="23">
        <f>IFERROR(AG42/AG148, "NA")</f>
        <v>0</v>
      </c>
      <c r="AI42" s="61">
        <f t="shared" si="23"/>
        <v>0</v>
      </c>
      <c r="AJ42" s="63">
        <f>IFERROR(AI42/AI148, "NA")</f>
        <v>0</v>
      </c>
      <c r="AK42" s="61" t="str">
        <f t="shared" si="24"/>
        <v>NA</v>
      </c>
      <c r="AL42" s="63" t="str">
        <f>IFERROR(AK42/AK148, "NA")</f>
        <v>NA</v>
      </c>
    </row>
    <row r="43" ht="16.5" hidden="1" customHeight="1">
      <c r="A43" s="26" t="s">
        <v>101</v>
      </c>
      <c r="B43" s="27">
        <v>0.0</v>
      </c>
      <c r="C43" s="23">
        <f>IFERROR(B43/B148, "NA")</f>
        <v>0</v>
      </c>
      <c r="D43" s="27">
        <v>0.0</v>
      </c>
      <c r="E43" s="23">
        <f>IFERROR(D43/D148, "NA")</f>
        <v>0</v>
      </c>
      <c r="F43" s="27">
        <v>0.0</v>
      </c>
      <c r="G43" s="23">
        <f>IFERROR(F43/F148, "NA")</f>
        <v>0</v>
      </c>
      <c r="H43" s="27">
        <v>0.0</v>
      </c>
      <c r="I43" s="23">
        <f>IFERROR(H43/H148, "NA")</f>
        <v>0</v>
      </c>
      <c r="J43" s="27">
        <v>0.0</v>
      </c>
      <c r="K43" s="23">
        <f>IFERROR(J43/J148, "NA")</f>
        <v>0</v>
      </c>
      <c r="L43" s="27">
        <v>0.0</v>
      </c>
      <c r="M43" s="23">
        <f>IFERROR(L43/L148, "NA")</f>
        <v>0</v>
      </c>
      <c r="N43" s="27">
        <v>0.0</v>
      </c>
      <c r="O43" s="23">
        <f>IFERROR(N43/N148, "NA")</f>
        <v>0</v>
      </c>
      <c r="P43" s="27">
        <v>0.0</v>
      </c>
      <c r="Q43" s="23">
        <f>IFERROR(P43/P148, "NA")</f>
        <v>0</v>
      </c>
      <c r="R43" s="27">
        <v>0.0</v>
      </c>
      <c r="S43" s="23">
        <f>IFERROR(R43/R148, "NA")</f>
        <v>0</v>
      </c>
      <c r="T43" s="27">
        <v>0.0</v>
      </c>
      <c r="U43" s="23">
        <f>IFERROR(T43/T148, "NA")</f>
        <v>0</v>
      </c>
      <c r="V43" s="27">
        <v>0.0</v>
      </c>
      <c r="W43" s="23">
        <f>IFERROR(V43/V148, "NA")</f>
        <v>0</v>
      </c>
      <c r="X43" s="27">
        <v>0.0</v>
      </c>
      <c r="Y43" s="23">
        <f>IFERROR(X43/X148, "NA")</f>
        <v>0</v>
      </c>
      <c r="Z43" s="27">
        <v>0.0</v>
      </c>
      <c r="AA43" s="23">
        <f>IFERROR(Z43/Z148, "NA")</f>
        <v>0</v>
      </c>
      <c r="AB43" s="59">
        <f t="shared" si="19"/>
        <v>0</v>
      </c>
      <c r="AC43" s="23">
        <f>IFERROR(AB43/AB148, "NA")</f>
        <v>0</v>
      </c>
      <c r="AD43" s="61">
        <f t="shared" si="20"/>
        <v>0</v>
      </c>
      <c r="AE43" s="63">
        <f>IFERROR(AD43/AD148, "NA")</f>
        <v>0</v>
      </c>
      <c r="AF43" s="61" t="str">
        <f t="shared" si="21"/>
        <v>NA</v>
      </c>
      <c r="AG43" s="59">
        <f t="shared" si="22"/>
        <v>0</v>
      </c>
      <c r="AH43" s="23">
        <f>IFERROR(AG43/AG148, "NA")</f>
        <v>0</v>
      </c>
      <c r="AI43" s="61">
        <f t="shared" si="23"/>
        <v>0</v>
      </c>
      <c r="AJ43" s="63">
        <f>IFERROR(AI43/AI148, "NA")</f>
        <v>0</v>
      </c>
      <c r="AK43" s="61" t="str">
        <f t="shared" si="24"/>
        <v>NA</v>
      </c>
      <c r="AL43" s="63" t="str">
        <f>IFERROR(AK43/AK148, "NA")</f>
        <v>NA</v>
      </c>
    </row>
    <row r="44" ht="16.5" customHeight="1">
      <c r="A44" s="66" t="s">
        <v>102</v>
      </c>
      <c r="B44" s="67">
        <f>IFERROR(B39+B40+B41+B42+B43, "NA")</f>
        <v>1377.86</v>
      </c>
      <c r="C44" s="69">
        <f>IFERROR(B44/B148, "NA")</f>
        <v>0.04085183243</v>
      </c>
      <c r="D44" s="67">
        <f>IFERROR(D39+D40+D41+D42+D43, "NA")</f>
        <v>1164.29</v>
      </c>
      <c r="E44" s="69">
        <f>IFERROR(D44/D148, "NA")</f>
        <v>0.0396769925</v>
      </c>
      <c r="F44" s="67">
        <f>IFERROR(F39+F40+F41+F42+F43, "NA")</f>
        <v>1218.67</v>
      </c>
      <c r="G44" s="69">
        <f>IFERROR(F44/F148, "NA")</f>
        <v>0.0409001819</v>
      </c>
      <c r="H44" s="67">
        <f>IFERROR(H39+H40+H41+H42+H43, "NA")</f>
        <v>1335.14</v>
      </c>
      <c r="I44" s="69">
        <f>IFERROR(H44/H148, "NA")</f>
        <v>0.04314513471</v>
      </c>
      <c r="J44" s="67">
        <f>IFERROR(J39+J40+J41+J42+J43, "NA")</f>
        <v>767.74</v>
      </c>
      <c r="K44" s="69">
        <f>IFERROR(J44/J148, "NA")</f>
        <v>0.03307080238</v>
      </c>
      <c r="L44" s="67">
        <f>IFERROR(L39+L40+L41+L42+L43, "NA")</f>
        <v>1081.32</v>
      </c>
      <c r="M44" s="69">
        <f>IFERROR(L44/L148, "NA")</f>
        <v>0.04284298118</v>
      </c>
      <c r="N44" s="67">
        <f>IFERROR(N39+N40+N41+N42+N43, "NA")</f>
        <v>1254.38</v>
      </c>
      <c r="O44" s="69">
        <f>IFERROR(N44/N148, "NA")</f>
        <v>0.03772695105</v>
      </c>
      <c r="P44" s="67">
        <f>IFERROR(P39+P40+P41+P42+P43, "NA")</f>
        <v>1271.06</v>
      </c>
      <c r="Q44" s="69">
        <f>IFERROR(P44/P148, "NA")</f>
        <v>0.03808373832</v>
      </c>
      <c r="R44" s="67">
        <f>IFERROR(R39+R40+R41+R42+R43, "NA")</f>
        <v>825.57</v>
      </c>
      <c r="S44" s="69">
        <f>IFERROR(R44/R148, "NA")</f>
        <v>0.03033296934</v>
      </c>
      <c r="T44" s="67">
        <f>IFERROR(T39+T40+T41+T42+T43, "NA")</f>
        <v>1567.22</v>
      </c>
      <c r="U44" s="69">
        <f>IFERROR(T44/T148, "NA")</f>
        <v>0.03798081886</v>
      </c>
      <c r="V44" s="67">
        <f>IFERROR(V39+V40+V41+V42+V43, "NA")</f>
        <v>1284.8</v>
      </c>
      <c r="W44" s="69">
        <f>IFERROR(V44/V148, "NA")</f>
        <v>0.04011685345</v>
      </c>
      <c r="X44" s="67">
        <f>IFERROR(X39+X40+X41+X42+X43, "NA")</f>
        <v>1076.71</v>
      </c>
      <c r="Y44" s="69">
        <f>IFERROR(X44/X148, "NA")</f>
        <v>0.03830574008</v>
      </c>
      <c r="Z44" s="67">
        <f>IFERROR(Z39+Z40+Z41+Z42+Z43, "NA")</f>
        <v>4754.3</v>
      </c>
      <c r="AA44" s="69">
        <f>IFERROR(Z44/Z148, "NA")</f>
        <v>0.0369653215</v>
      </c>
      <c r="AB44" s="67">
        <f t="shared" si="19"/>
        <v>1188.575</v>
      </c>
      <c r="AC44" s="69">
        <f>IFERROR(AB44/AB148, "NA")</f>
        <v>0.0369653215</v>
      </c>
      <c r="AD44" s="70">
        <f t="shared" si="20"/>
        <v>-111.865</v>
      </c>
      <c r="AE44" s="71">
        <f>IFERROR(AD44/AD148, "NA")</f>
        <v>0.02765195101</v>
      </c>
      <c r="AF44" s="70">
        <f t="shared" si="21"/>
        <v>-0.0941169047</v>
      </c>
      <c r="AG44" s="67">
        <f t="shared" si="22"/>
        <v>1141.1</v>
      </c>
      <c r="AH44" s="69">
        <f>IFERROR(AG44/AG148, "NA")</f>
        <v>0.03746015027</v>
      </c>
      <c r="AI44" s="70">
        <f t="shared" si="23"/>
        <v>-64.39</v>
      </c>
      <c r="AJ44" s="71">
        <f>IFERROR(AI44/AI148, "NA")</f>
        <v>0.02736060364</v>
      </c>
      <c r="AK44" s="70">
        <f t="shared" si="24"/>
        <v>-0.05642800806</v>
      </c>
      <c r="AL44" s="71">
        <f>IFERROR(AK44/AK148, "NA")</f>
        <v>0.7303922553</v>
      </c>
    </row>
    <row r="45" ht="16.5" customHeight="1">
      <c r="A45" s="17" t="s">
        <v>103</v>
      </c>
      <c r="B45" s="19"/>
      <c r="C45" s="13"/>
      <c r="D45" s="19"/>
      <c r="E45" s="13"/>
      <c r="F45" s="19"/>
      <c r="G45" s="13"/>
      <c r="H45" s="19"/>
      <c r="I45" s="13"/>
      <c r="J45" s="19"/>
      <c r="K45" s="13"/>
      <c r="L45" s="19"/>
      <c r="M45" s="13"/>
      <c r="N45" s="19"/>
      <c r="O45" s="13"/>
      <c r="P45" s="19"/>
      <c r="Q45" s="13"/>
      <c r="R45" s="19"/>
      <c r="S45" s="13"/>
      <c r="T45" s="19"/>
      <c r="U45" s="13"/>
      <c r="V45" s="19"/>
      <c r="W45" s="13"/>
      <c r="X45" s="19"/>
      <c r="Y45" s="13"/>
      <c r="Z45" s="19"/>
      <c r="AA45" s="13"/>
      <c r="AB45" s="19"/>
      <c r="AC45" s="13"/>
      <c r="AD45" s="24"/>
      <c r="AE45" s="25"/>
      <c r="AF45" s="24"/>
      <c r="AG45" s="19"/>
      <c r="AH45" s="13"/>
      <c r="AI45" s="24"/>
      <c r="AJ45" s="25"/>
      <c r="AK45" s="24"/>
      <c r="AL45" s="25"/>
    </row>
    <row r="46" ht="16.5" hidden="1" customHeight="1">
      <c r="A46" s="26" t="s">
        <v>104</v>
      </c>
      <c r="B46" s="27">
        <v>0.0</v>
      </c>
      <c r="C46" s="23">
        <f>IFERROR(B46/B148, "NA")</f>
        <v>0</v>
      </c>
      <c r="D46" s="27">
        <v>0.0</v>
      </c>
      <c r="E46" s="23">
        <f>IFERROR(D46/D148, "NA")</f>
        <v>0</v>
      </c>
      <c r="F46" s="27">
        <v>0.0</v>
      </c>
      <c r="G46" s="23">
        <f>IFERROR(F46/F148, "NA")</f>
        <v>0</v>
      </c>
      <c r="H46" s="27">
        <v>0.0</v>
      </c>
      <c r="I46" s="23">
        <f>IFERROR(H46/H148, "NA")</f>
        <v>0</v>
      </c>
      <c r="J46" s="27">
        <v>0.0</v>
      </c>
      <c r="K46" s="23">
        <f>IFERROR(J46/J148, "NA")</f>
        <v>0</v>
      </c>
      <c r="L46" s="27">
        <v>0.0</v>
      </c>
      <c r="M46" s="23">
        <f>IFERROR(L46/L148, "NA")</f>
        <v>0</v>
      </c>
      <c r="N46" s="27">
        <v>0.0</v>
      </c>
      <c r="O46" s="23">
        <f>IFERROR(N46/N148, "NA")</f>
        <v>0</v>
      </c>
      <c r="P46" s="27">
        <v>0.0</v>
      </c>
      <c r="Q46" s="23">
        <f>IFERROR(P46/P148, "NA")</f>
        <v>0</v>
      </c>
      <c r="R46" s="27">
        <v>0.0</v>
      </c>
      <c r="S46" s="23">
        <f>IFERROR(R46/R148, "NA")</f>
        <v>0</v>
      </c>
      <c r="T46" s="27">
        <v>0.0</v>
      </c>
      <c r="U46" s="23">
        <f>IFERROR(T46/T148, "NA")</f>
        <v>0</v>
      </c>
      <c r="V46" s="27">
        <v>0.0</v>
      </c>
      <c r="W46" s="23">
        <f>IFERROR(V46/V148, "NA")</f>
        <v>0</v>
      </c>
      <c r="X46" s="27">
        <v>0.0</v>
      </c>
      <c r="Y46" s="23">
        <f>IFERROR(X46/X148, "NA")</f>
        <v>0</v>
      </c>
      <c r="Z46" s="27">
        <v>0.0</v>
      </c>
      <c r="AA46" s="23">
        <f>IFERROR(Z46/Z148, "NA")</f>
        <v>0</v>
      </c>
      <c r="AB46" s="59">
        <f t="shared" ref="AB46:AB57" si="25">IFERROR((R46+T46+V46+X46)/4, "NA")</f>
        <v>0</v>
      </c>
      <c r="AC46" s="23">
        <f>IFERROR(AB46/AB148, "NA")</f>
        <v>0</v>
      </c>
      <c r="AD46" s="61">
        <f t="shared" ref="AD46:AD57" si="26">IFERROR(X46-AB46, "NA")</f>
        <v>0</v>
      </c>
      <c r="AE46" s="63">
        <f>IFERROR(AD46/AD148, "NA")</f>
        <v>0</v>
      </c>
      <c r="AF46" s="61" t="str">
        <f t="shared" ref="AF46:AF57" si="27">IFERROR((X46-AB46)/AB46, "NA")</f>
        <v>NA</v>
      </c>
      <c r="AG46" s="59">
        <f t="shared" ref="AG46:AG57" si="28">IFERROR((J46+L46+N46+P46+R46+T46+V46+X46)/8, "NA")</f>
        <v>0</v>
      </c>
      <c r="AH46" s="23">
        <f>IFERROR(AG46/AG148, "NA")</f>
        <v>0</v>
      </c>
      <c r="AI46" s="61">
        <f t="shared" ref="AI46:AI57" si="29">IFERROR(X46-AG46, "NA")</f>
        <v>0</v>
      </c>
      <c r="AJ46" s="63">
        <f>IFERROR(AI46/AI148, "NA")</f>
        <v>0</v>
      </c>
      <c r="AK46" s="61" t="str">
        <f t="shared" ref="AK46:AK57" si="30">IFERROR((X46-AG46)/AG46, "NA")</f>
        <v>NA</v>
      </c>
      <c r="AL46" s="63" t="str">
        <f>IFERROR(AK46/AK148, "NA")</f>
        <v>NA</v>
      </c>
    </row>
    <row r="47" ht="16.5" customHeight="1">
      <c r="A47" s="26" t="s">
        <v>107</v>
      </c>
      <c r="B47" s="27">
        <v>166.06</v>
      </c>
      <c r="C47" s="23">
        <f>IFERROR(B47/B148, "NA")</f>
        <v>0.004923472118</v>
      </c>
      <c r="D47" s="27">
        <v>171.21</v>
      </c>
      <c r="E47" s="23">
        <f>IFERROR(D47/D148, "NA")</f>
        <v>0.005834541124</v>
      </c>
      <c r="F47" s="27">
        <v>140.7</v>
      </c>
      <c r="G47" s="23">
        <f>IFERROR(F47/F148, "NA")</f>
        <v>0.004722078654</v>
      </c>
      <c r="H47" s="27">
        <v>98.82</v>
      </c>
      <c r="I47" s="23">
        <f>IFERROR(H47/H148, "NA")</f>
        <v>0.003193374636</v>
      </c>
      <c r="J47" s="27">
        <v>146.81</v>
      </c>
      <c r="K47" s="23">
        <f>IFERROR(J47/J148, "NA")</f>
        <v>0.006323917598</v>
      </c>
      <c r="L47" s="27">
        <v>144.33</v>
      </c>
      <c r="M47" s="23">
        <f>IFERROR(L47/L148, "NA")</f>
        <v>0.005718499125</v>
      </c>
      <c r="N47" s="27">
        <v>103.74</v>
      </c>
      <c r="O47" s="23">
        <f>IFERROR(N47/N148, "NA")</f>
        <v>0.003120102283</v>
      </c>
      <c r="P47" s="27">
        <v>21.24</v>
      </c>
      <c r="Q47" s="23">
        <f>IFERROR(P47/P148, "NA")</f>
        <v>0.0006363968672</v>
      </c>
      <c r="R47" s="27">
        <v>46.84</v>
      </c>
      <c r="S47" s="23">
        <f>IFERROR(R47/R148, "NA")</f>
        <v>0.001720988268</v>
      </c>
      <c r="T47" s="27">
        <v>118.01</v>
      </c>
      <c r="U47" s="23">
        <f>IFERROR(T47/T148, "NA")</f>
        <v>0.002859915286</v>
      </c>
      <c r="V47" s="27">
        <v>111.85</v>
      </c>
      <c r="W47" s="23">
        <f>IFERROR(V47/V148, "NA")</f>
        <v>0.003492426882</v>
      </c>
      <c r="X47" s="27">
        <v>105.15</v>
      </c>
      <c r="Y47" s="23">
        <f>IFERROR(X47/X148, "NA")</f>
        <v>0.003740885261</v>
      </c>
      <c r="Z47" s="27">
        <v>381.85</v>
      </c>
      <c r="AA47" s="23">
        <f>IFERROR(Z47/Z148, "NA")</f>
        <v>0.002968935072</v>
      </c>
      <c r="AB47" s="59">
        <f t="shared" si="25"/>
        <v>95.4625</v>
      </c>
      <c r="AC47" s="23">
        <f>IFERROR(AB47/AB148, "NA")</f>
        <v>0.002968935072</v>
      </c>
      <c r="AD47" s="61">
        <f t="shared" si="26"/>
        <v>9.6875</v>
      </c>
      <c r="AE47" s="63">
        <f>IFERROR(AD47/AD148, "NA")</f>
        <v>-0.002394656733</v>
      </c>
      <c r="AF47" s="61">
        <f t="shared" si="27"/>
        <v>0.1014796386</v>
      </c>
      <c r="AG47" s="59">
        <f t="shared" si="28"/>
        <v>99.74625</v>
      </c>
      <c r="AH47" s="23">
        <f>IFERROR(AG47/AG148, "NA")</f>
        <v>0.003274480338</v>
      </c>
      <c r="AI47" s="61">
        <f t="shared" si="29"/>
        <v>5.40375</v>
      </c>
      <c r="AJ47" s="63">
        <f>IFERROR(AI47/AI148, "NA")</f>
        <v>-0.002296161856</v>
      </c>
      <c r="AK47" s="61">
        <f t="shared" si="30"/>
        <v>0.05417496898</v>
      </c>
      <c r="AL47" s="63">
        <f>IFERROR(AK47/AK148, "NA")</f>
        <v>-0.7012293919</v>
      </c>
    </row>
    <row r="48" ht="16.5" hidden="1" customHeight="1">
      <c r="A48" s="26" t="s">
        <v>108</v>
      </c>
      <c r="B48" s="27">
        <v>0.0</v>
      </c>
      <c r="C48" s="23">
        <f>IFERROR(B48/B148, "NA")</f>
        <v>0</v>
      </c>
      <c r="D48" s="27">
        <v>0.0</v>
      </c>
      <c r="E48" s="23">
        <f>IFERROR(D48/D148, "NA")</f>
        <v>0</v>
      </c>
      <c r="F48" s="27">
        <v>0.0</v>
      </c>
      <c r="G48" s="23">
        <f>IFERROR(F48/F148, "NA")</f>
        <v>0</v>
      </c>
      <c r="H48" s="27">
        <v>0.0</v>
      </c>
      <c r="I48" s="23">
        <f>IFERROR(H48/H148, "NA")</f>
        <v>0</v>
      </c>
      <c r="J48" s="27">
        <v>0.0</v>
      </c>
      <c r="K48" s="23">
        <f>IFERROR(J48/J148, "NA")</f>
        <v>0</v>
      </c>
      <c r="L48" s="27">
        <v>0.0</v>
      </c>
      <c r="M48" s="23">
        <f>IFERROR(L48/L148, "NA")</f>
        <v>0</v>
      </c>
      <c r="N48" s="27">
        <v>0.0</v>
      </c>
      <c r="O48" s="23">
        <f>IFERROR(N48/N148, "NA")</f>
        <v>0</v>
      </c>
      <c r="P48" s="27">
        <v>0.0</v>
      </c>
      <c r="Q48" s="23">
        <f>IFERROR(P48/P148, "NA")</f>
        <v>0</v>
      </c>
      <c r="R48" s="27">
        <v>0.0</v>
      </c>
      <c r="S48" s="23">
        <f>IFERROR(R48/R148, "NA")</f>
        <v>0</v>
      </c>
      <c r="T48" s="27">
        <v>0.0</v>
      </c>
      <c r="U48" s="23">
        <f>IFERROR(T48/T148, "NA")</f>
        <v>0</v>
      </c>
      <c r="V48" s="27">
        <v>0.0</v>
      </c>
      <c r="W48" s="23">
        <f>IFERROR(V48/V148, "NA")</f>
        <v>0</v>
      </c>
      <c r="X48" s="27">
        <v>0.0</v>
      </c>
      <c r="Y48" s="23">
        <f>IFERROR(X48/X148, "NA")</f>
        <v>0</v>
      </c>
      <c r="Z48" s="27">
        <v>0.0</v>
      </c>
      <c r="AA48" s="23">
        <f>IFERROR(Z48/Z148, "NA")</f>
        <v>0</v>
      </c>
      <c r="AB48" s="59">
        <f t="shared" si="25"/>
        <v>0</v>
      </c>
      <c r="AC48" s="23">
        <f>IFERROR(AB48/AB148, "NA")</f>
        <v>0</v>
      </c>
      <c r="AD48" s="61">
        <f t="shared" si="26"/>
        <v>0</v>
      </c>
      <c r="AE48" s="63">
        <f>IFERROR(AD48/AD148, "NA")</f>
        <v>0</v>
      </c>
      <c r="AF48" s="61" t="str">
        <f t="shared" si="27"/>
        <v>NA</v>
      </c>
      <c r="AG48" s="59">
        <f t="shared" si="28"/>
        <v>0</v>
      </c>
      <c r="AH48" s="23">
        <f>IFERROR(AG48/AG148, "NA")</f>
        <v>0</v>
      </c>
      <c r="AI48" s="61">
        <f t="shared" si="29"/>
        <v>0</v>
      </c>
      <c r="AJ48" s="63">
        <f>IFERROR(AI48/AI148, "NA")</f>
        <v>0</v>
      </c>
      <c r="AK48" s="61" t="str">
        <f t="shared" si="30"/>
        <v>NA</v>
      </c>
      <c r="AL48" s="63" t="str">
        <f>IFERROR(AK48/AK148, "NA")</f>
        <v>NA</v>
      </c>
    </row>
    <row r="49" ht="16.5" hidden="1" customHeight="1">
      <c r="A49" s="26" t="s">
        <v>109</v>
      </c>
      <c r="B49" s="27">
        <v>0.0</v>
      </c>
      <c r="C49" s="23">
        <f>IFERROR(B49/B148, "NA")</f>
        <v>0</v>
      </c>
      <c r="D49" s="27">
        <v>0.0</v>
      </c>
      <c r="E49" s="23">
        <f>IFERROR(D49/D148, "NA")</f>
        <v>0</v>
      </c>
      <c r="F49" s="27">
        <v>0.0</v>
      </c>
      <c r="G49" s="23">
        <f>IFERROR(F49/F148, "NA")</f>
        <v>0</v>
      </c>
      <c r="H49" s="27">
        <v>0.0</v>
      </c>
      <c r="I49" s="23">
        <f>IFERROR(H49/H148, "NA")</f>
        <v>0</v>
      </c>
      <c r="J49" s="27">
        <v>0.0</v>
      </c>
      <c r="K49" s="23">
        <f>IFERROR(J49/J148, "NA")</f>
        <v>0</v>
      </c>
      <c r="L49" s="27">
        <v>0.0</v>
      </c>
      <c r="M49" s="23">
        <f>IFERROR(L49/L148, "NA")</f>
        <v>0</v>
      </c>
      <c r="N49" s="27">
        <v>0.0</v>
      </c>
      <c r="O49" s="23">
        <f>IFERROR(N49/N148, "NA")</f>
        <v>0</v>
      </c>
      <c r="P49" s="27">
        <v>0.0</v>
      </c>
      <c r="Q49" s="23">
        <f>IFERROR(P49/P148, "NA")</f>
        <v>0</v>
      </c>
      <c r="R49" s="27">
        <v>0.0</v>
      </c>
      <c r="S49" s="23">
        <f>IFERROR(R49/R148, "NA")</f>
        <v>0</v>
      </c>
      <c r="T49" s="27">
        <v>0.0</v>
      </c>
      <c r="U49" s="23">
        <f>IFERROR(T49/T148, "NA")</f>
        <v>0</v>
      </c>
      <c r="V49" s="27">
        <v>0.0</v>
      </c>
      <c r="W49" s="23">
        <f>IFERROR(V49/V148, "NA")</f>
        <v>0</v>
      </c>
      <c r="X49" s="27">
        <v>0.0</v>
      </c>
      <c r="Y49" s="23">
        <f>IFERROR(X49/X148, "NA")</f>
        <v>0</v>
      </c>
      <c r="Z49" s="27">
        <v>0.0</v>
      </c>
      <c r="AA49" s="23">
        <f>IFERROR(Z49/Z148, "NA")</f>
        <v>0</v>
      </c>
      <c r="AB49" s="59">
        <f t="shared" si="25"/>
        <v>0</v>
      </c>
      <c r="AC49" s="23">
        <f>IFERROR(AB49/AB148, "NA")</f>
        <v>0</v>
      </c>
      <c r="AD49" s="61">
        <f t="shared" si="26"/>
        <v>0</v>
      </c>
      <c r="AE49" s="63">
        <f>IFERROR(AD49/AD148, "NA")</f>
        <v>0</v>
      </c>
      <c r="AF49" s="61" t="str">
        <f t="shared" si="27"/>
        <v>NA</v>
      </c>
      <c r="AG49" s="59">
        <f t="shared" si="28"/>
        <v>0</v>
      </c>
      <c r="AH49" s="23">
        <f>IFERROR(AG49/AG148, "NA")</f>
        <v>0</v>
      </c>
      <c r="AI49" s="61">
        <f t="shared" si="29"/>
        <v>0</v>
      </c>
      <c r="AJ49" s="63">
        <f>IFERROR(AI49/AI148, "NA")</f>
        <v>0</v>
      </c>
      <c r="AK49" s="61" t="str">
        <f t="shared" si="30"/>
        <v>NA</v>
      </c>
      <c r="AL49" s="63" t="str">
        <f>IFERROR(AK49/AK148, "NA")</f>
        <v>NA</v>
      </c>
    </row>
    <row r="50" ht="16.5" hidden="1" customHeight="1">
      <c r="A50" s="26" t="s">
        <v>110</v>
      </c>
      <c r="B50" s="27">
        <v>0.0</v>
      </c>
      <c r="C50" s="23">
        <f>IFERROR(B50/B148, "NA")</f>
        <v>0</v>
      </c>
      <c r="D50" s="27">
        <v>0.0</v>
      </c>
      <c r="E50" s="23">
        <f>IFERROR(D50/D148, "NA")</f>
        <v>0</v>
      </c>
      <c r="F50" s="27">
        <v>0.0</v>
      </c>
      <c r="G50" s="23">
        <f>IFERROR(F50/F148, "NA")</f>
        <v>0</v>
      </c>
      <c r="H50" s="27">
        <v>0.0</v>
      </c>
      <c r="I50" s="23">
        <f>IFERROR(H50/H148, "NA")</f>
        <v>0</v>
      </c>
      <c r="J50" s="27">
        <v>0.0</v>
      </c>
      <c r="K50" s="23">
        <f>IFERROR(J50/J148, "NA")</f>
        <v>0</v>
      </c>
      <c r="L50" s="27">
        <v>0.0</v>
      </c>
      <c r="M50" s="23">
        <f>IFERROR(L50/L148, "NA")</f>
        <v>0</v>
      </c>
      <c r="N50" s="27">
        <v>0.0</v>
      </c>
      <c r="O50" s="23">
        <f>IFERROR(N50/N148, "NA")</f>
        <v>0</v>
      </c>
      <c r="P50" s="27">
        <v>0.0</v>
      </c>
      <c r="Q50" s="23">
        <f>IFERROR(P50/P148, "NA")</f>
        <v>0</v>
      </c>
      <c r="R50" s="27">
        <v>0.0</v>
      </c>
      <c r="S50" s="23">
        <f>IFERROR(R50/R148, "NA")</f>
        <v>0</v>
      </c>
      <c r="T50" s="27">
        <v>0.0</v>
      </c>
      <c r="U50" s="23">
        <f>IFERROR(T50/T148, "NA")</f>
        <v>0</v>
      </c>
      <c r="V50" s="27">
        <v>0.0</v>
      </c>
      <c r="W50" s="23">
        <f>IFERROR(V50/V148, "NA")</f>
        <v>0</v>
      </c>
      <c r="X50" s="27">
        <v>0.0</v>
      </c>
      <c r="Y50" s="23">
        <f>IFERROR(X50/X148, "NA")</f>
        <v>0</v>
      </c>
      <c r="Z50" s="27">
        <v>0.0</v>
      </c>
      <c r="AA50" s="23">
        <f>IFERROR(Z50/Z148, "NA")</f>
        <v>0</v>
      </c>
      <c r="AB50" s="59">
        <f t="shared" si="25"/>
        <v>0</v>
      </c>
      <c r="AC50" s="23">
        <f>IFERROR(AB50/AB148, "NA")</f>
        <v>0</v>
      </c>
      <c r="AD50" s="61">
        <f t="shared" si="26"/>
        <v>0</v>
      </c>
      <c r="AE50" s="63">
        <f>IFERROR(AD50/AD148, "NA")</f>
        <v>0</v>
      </c>
      <c r="AF50" s="61" t="str">
        <f t="shared" si="27"/>
        <v>NA</v>
      </c>
      <c r="AG50" s="59">
        <f t="shared" si="28"/>
        <v>0</v>
      </c>
      <c r="AH50" s="23">
        <f>IFERROR(AG50/AG148, "NA")</f>
        <v>0</v>
      </c>
      <c r="AI50" s="61">
        <f t="shared" si="29"/>
        <v>0</v>
      </c>
      <c r="AJ50" s="63">
        <f>IFERROR(AI50/AI148, "NA")</f>
        <v>0</v>
      </c>
      <c r="AK50" s="61" t="str">
        <f t="shared" si="30"/>
        <v>NA</v>
      </c>
      <c r="AL50" s="63" t="str">
        <f>IFERROR(AK50/AK148, "NA")</f>
        <v>NA</v>
      </c>
    </row>
    <row r="51" ht="16.5" hidden="1" customHeight="1">
      <c r="A51" s="26" t="s">
        <v>111</v>
      </c>
      <c r="B51" s="27">
        <v>0.0</v>
      </c>
      <c r="C51" s="23">
        <f>IFERROR(B51/B148, "NA")</f>
        <v>0</v>
      </c>
      <c r="D51" s="27">
        <v>0.0</v>
      </c>
      <c r="E51" s="23">
        <f>IFERROR(D51/D148, "NA")</f>
        <v>0</v>
      </c>
      <c r="F51" s="27">
        <v>0.0</v>
      </c>
      <c r="G51" s="23">
        <f>IFERROR(F51/F148, "NA")</f>
        <v>0</v>
      </c>
      <c r="H51" s="27">
        <v>0.0</v>
      </c>
      <c r="I51" s="23">
        <f>IFERROR(H51/H148, "NA")</f>
        <v>0</v>
      </c>
      <c r="J51" s="27">
        <v>0.0</v>
      </c>
      <c r="K51" s="23">
        <f>IFERROR(J51/J148, "NA")</f>
        <v>0</v>
      </c>
      <c r="L51" s="27">
        <v>0.0</v>
      </c>
      <c r="M51" s="23">
        <f>IFERROR(L51/L148, "NA")</f>
        <v>0</v>
      </c>
      <c r="N51" s="27">
        <v>0.0</v>
      </c>
      <c r="O51" s="23">
        <f>IFERROR(N51/N148, "NA")</f>
        <v>0</v>
      </c>
      <c r="P51" s="27">
        <v>0.0</v>
      </c>
      <c r="Q51" s="23">
        <f>IFERROR(P51/P148, "NA")</f>
        <v>0</v>
      </c>
      <c r="R51" s="27">
        <v>0.0</v>
      </c>
      <c r="S51" s="23">
        <f>IFERROR(R51/R148, "NA")</f>
        <v>0</v>
      </c>
      <c r="T51" s="27">
        <v>0.0</v>
      </c>
      <c r="U51" s="23">
        <f>IFERROR(T51/T148, "NA")</f>
        <v>0</v>
      </c>
      <c r="V51" s="27">
        <v>0.0</v>
      </c>
      <c r="W51" s="23">
        <f>IFERROR(V51/V148, "NA")</f>
        <v>0</v>
      </c>
      <c r="X51" s="27">
        <v>0.0</v>
      </c>
      <c r="Y51" s="23">
        <f>IFERROR(X51/X148, "NA")</f>
        <v>0</v>
      </c>
      <c r="Z51" s="27">
        <v>0.0</v>
      </c>
      <c r="AA51" s="23">
        <f>IFERROR(Z51/Z148, "NA")</f>
        <v>0</v>
      </c>
      <c r="AB51" s="59">
        <f t="shared" si="25"/>
        <v>0</v>
      </c>
      <c r="AC51" s="23">
        <f>IFERROR(AB51/AB148, "NA")</f>
        <v>0</v>
      </c>
      <c r="AD51" s="61">
        <f t="shared" si="26"/>
        <v>0</v>
      </c>
      <c r="AE51" s="63">
        <f>IFERROR(AD51/AD148, "NA")</f>
        <v>0</v>
      </c>
      <c r="AF51" s="61" t="str">
        <f t="shared" si="27"/>
        <v>NA</v>
      </c>
      <c r="AG51" s="59">
        <f t="shared" si="28"/>
        <v>0</v>
      </c>
      <c r="AH51" s="23">
        <f>IFERROR(AG51/AG148, "NA")</f>
        <v>0</v>
      </c>
      <c r="AI51" s="61">
        <f t="shared" si="29"/>
        <v>0</v>
      </c>
      <c r="AJ51" s="63">
        <f>IFERROR(AI51/AI148, "NA")</f>
        <v>0</v>
      </c>
      <c r="AK51" s="61" t="str">
        <f t="shared" si="30"/>
        <v>NA</v>
      </c>
      <c r="AL51" s="63" t="str">
        <f>IFERROR(AK51/AK148, "NA")</f>
        <v>NA</v>
      </c>
    </row>
    <row r="52" ht="16.5" customHeight="1">
      <c r="A52" s="66" t="s">
        <v>112</v>
      </c>
      <c r="B52" s="67">
        <f>IFERROR(B46+B47+B48+B49+B50+B51, "NA")</f>
        <v>166.06</v>
      </c>
      <c r="C52" s="69">
        <f>IFERROR(B52/B148, "NA")</f>
        <v>0.004923472118</v>
      </c>
      <c r="D52" s="67">
        <f>IFERROR(D46+D47+D48+D49+D50+D51, "NA")</f>
        <v>171.21</v>
      </c>
      <c r="E52" s="69">
        <f>IFERROR(D52/D148, "NA")</f>
        <v>0.005834541124</v>
      </c>
      <c r="F52" s="67">
        <f>IFERROR(F46+F47+F48+F49+F50+F51, "NA")</f>
        <v>140.7</v>
      </c>
      <c r="G52" s="69">
        <f>IFERROR(F52/F148, "NA")</f>
        <v>0.004722078654</v>
      </c>
      <c r="H52" s="67">
        <f>IFERROR(H46+H47+H48+H49+H50+H51, "NA")</f>
        <v>98.82</v>
      </c>
      <c r="I52" s="69">
        <f>IFERROR(H52/H148, "NA")</f>
        <v>0.003193374636</v>
      </c>
      <c r="J52" s="67">
        <f>IFERROR(J46+J47+J48+J49+J50+J51, "NA")</f>
        <v>146.81</v>
      </c>
      <c r="K52" s="69">
        <f>IFERROR(J52/J148, "NA")</f>
        <v>0.006323917598</v>
      </c>
      <c r="L52" s="67">
        <f>IFERROR(L46+L47+L48+L49+L50+L51, "NA")</f>
        <v>144.33</v>
      </c>
      <c r="M52" s="69">
        <f>IFERROR(L52/L148, "NA")</f>
        <v>0.005718499125</v>
      </c>
      <c r="N52" s="67">
        <f>IFERROR(N46+N47+N48+N49+N50+N51, "NA")</f>
        <v>103.74</v>
      </c>
      <c r="O52" s="69">
        <f>IFERROR(N52/N148, "NA")</f>
        <v>0.003120102283</v>
      </c>
      <c r="P52" s="67">
        <f>IFERROR(P46+P47+P48+P49+P50+P51, "NA")</f>
        <v>21.24</v>
      </c>
      <c r="Q52" s="69">
        <f>IFERROR(P52/P148, "NA")</f>
        <v>0.0006363968672</v>
      </c>
      <c r="R52" s="67">
        <f>IFERROR(R46+R47+R48+R49+R50+R51, "NA")</f>
        <v>46.84</v>
      </c>
      <c r="S52" s="69">
        <f>IFERROR(R52/R148, "NA")</f>
        <v>0.001720988268</v>
      </c>
      <c r="T52" s="67">
        <f>IFERROR(T46+T47+T48+T49+T50+T51, "NA")</f>
        <v>118.01</v>
      </c>
      <c r="U52" s="69">
        <f>IFERROR(T52/T148, "NA")</f>
        <v>0.002859915286</v>
      </c>
      <c r="V52" s="67">
        <f>IFERROR(V46+V47+V48+V49+V50+V51, "NA")</f>
        <v>111.85</v>
      </c>
      <c r="W52" s="69">
        <f>IFERROR(V52/V148, "NA")</f>
        <v>0.003492426882</v>
      </c>
      <c r="X52" s="67">
        <f>IFERROR(X46+X47+X48+X49+X50+X51, "NA")</f>
        <v>105.15</v>
      </c>
      <c r="Y52" s="69">
        <f>IFERROR(X52/X148, "NA")</f>
        <v>0.003740885261</v>
      </c>
      <c r="Z52" s="67">
        <f>IFERROR(Z46+Z47+Z48+Z49+Z50+Z51, "NA")</f>
        <v>381.85</v>
      </c>
      <c r="AA52" s="69">
        <f>IFERROR(Z52/Z148, "NA")</f>
        <v>0.002968935072</v>
      </c>
      <c r="AB52" s="67">
        <f t="shared" si="25"/>
        <v>95.4625</v>
      </c>
      <c r="AC52" s="69">
        <f>IFERROR(AB52/AB148, "NA")</f>
        <v>0.002968935072</v>
      </c>
      <c r="AD52" s="70">
        <f t="shared" si="26"/>
        <v>9.6875</v>
      </c>
      <c r="AE52" s="71">
        <f>IFERROR(AD52/AD148, "NA")</f>
        <v>-0.002394656733</v>
      </c>
      <c r="AF52" s="70">
        <f t="shared" si="27"/>
        <v>0.1014796386</v>
      </c>
      <c r="AG52" s="67">
        <f t="shared" si="28"/>
        <v>99.74625</v>
      </c>
      <c r="AH52" s="69">
        <f>IFERROR(AG52/AG148, "NA")</f>
        <v>0.003274480338</v>
      </c>
      <c r="AI52" s="70">
        <f t="shared" si="29"/>
        <v>5.40375</v>
      </c>
      <c r="AJ52" s="71">
        <f>IFERROR(AI52/AI148, "NA")</f>
        <v>-0.002296161856</v>
      </c>
      <c r="AK52" s="70">
        <f t="shared" si="30"/>
        <v>0.05417496898</v>
      </c>
      <c r="AL52" s="71">
        <f>IFERROR(AK52/AK148, "NA")</f>
        <v>-0.7012293919</v>
      </c>
    </row>
    <row r="53" ht="16.5" customHeight="1">
      <c r="A53" s="26" t="s">
        <v>113</v>
      </c>
      <c r="B53" s="27">
        <v>15.02</v>
      </c>
      <c r="C53" s="23">
        <f>IFERROR(B53/B148, "NA")</f>
        <v>0.0004453242877</v>
      </c>
      <c r="D53" s="27">
        <v>46.01</v>
      </c>
      <c r="E53" s="23">
        <f>IFERROR(D53/D148, "NA")</f>
        <v>0.001567941342</v>
      </c>
      <c r="F53" s="27">
        <v>25.43</v>
      </c>
      <c r="G53" s="23">
        <f>IFERROR(F53/F148, "NA")</f>
        <v>0.0008534645357</v>
      </c>
      <c r="H53" s="27">
        <v>24.48</v>
      </c>
      <c r="I53" s="23">
        <f>IFERROR(H53/H148, "NA")</f>
        <v>0.0007910727696</v>
      </c>
      <c r="J53" s="27">
        <v>42.87</v>
      </c>
      <c r="K53" s="23">
        <f>IFERROR(J53/J148, "NA")</f>
        <v>0.00184664769</v>
      </c>
      <c r="L53" s="27">
        <v>32.37</v>
      </c>
      <c r="M53" s="23">
        <f>IFERROR(L53/L148, "NA")</f>
        <v>0.001282531814</v>
      </c>
      <c r="N53" s="27">
        <v>39.93</v>
      </c>
      <c r="O53" s="23">
        <f>IFERROR(N53/N148, "NA")</f>
        <v>0.001200941625</v>
      </c>
      <c r="P53" s="27">
        <v>23.53</v>
      </c>
      <c r="Q53" s="23">
        <f>IFERROR(P53/P148, "NA")</f>
        <v>0.000705010277</v>
      </c>
      <c r="R53" s="27">
        <v>32.73</v>
      </c>
      <c r="S53" s="23">
        <f>IFERROR(R53/R148, "NA")</f>
        <v>0.00120256076</v>
      </c>
      <c r="T53" s="27">
        <v>97.09</v>
      </c>
      <c r="U53" s="23">
        <f>IFERROR(T53/T148, "NA")</f>
        <v>0.002352929202</v>
      </c>
      <c r="V53" s="27">
        <v>28.93</v>
      </c>
      <c r="W53" s="23">
        <f>IFERROR(V53/V148, "NA")</f>
        <v>0.000903316135</v>
      </c>
      <c r="X53" s="27">
        <v>36.39</v>
      </c>
      <c r="Y53" s="23">
        <f>IFERROR(X53/X148, "NA")</f>
        <v>0.001294634471</v>
      </c>
      <c r="Z53" s="27">
        <v>195.14</v>
      </c>
      <c r="AA53" s="23">
        <f>IFERROR(Z53/Z148, "NA")</f>
        <v>0.001517239728</v>
      </c>
      <c r="AB53" s="59">
        <f t="shared" si="25"/>
        <v>48.785</v>
      </c>
      <c r="AC53" s="23">
        <f>IFERROR(AB53/AB148, "NA")</f>
        <v>0.001517239728</v>
      </c>
      <c r="AD53" s="61">
        <f t="shared" si="26"/>
        <v>-12.395</v>
      </c>
      <c r="AE53" s="63">
        <f>IFERROR(AD53/AD148, "NA")</f>
        <v>0.003063924666</v>
      </c>
      <c r="AF53" s="61">
        <f t="shared" si="27"/>
        <v>-0.2540739982</v>
      </c>
      <c r="AG53" s="59">
        <f t="shared" si="28"/>
        <v>41.73</v>
      </c>
      <c r="AH53" s="23">
        <f>IFERROR(AG53/AG148, "NA")</f>
        <v>0.001369916809</v>
      </c>
      <c r="AI53" s="61">
        <f t="shared" si="29"/>
        <v>-5.34</v>
      </c>
      <c r="AJ53" s="63">
        <f>IFERROR(AI53/AI148, "NA")</f>
        <v>0.002269073202</v>
      </c>
      <c r="AK53" s="61">
        <f t="shared" si="30"/>
        <v>-0.1279654925</v>
      </c>
      <c r="AL53" s="63">
        <f>IFERROR(AK53/AK148, "NA")</f>
        <v>1.656358391</v>
      </c>
    </row>
    <row r="54" ht="16.5" customHeight="1">
      <c r="A54" s="26" t="s">
        <v>114</v>
      </c>
      <c r="B54" s="27">
        <v>38.75</v>
      </c>
      <c r="C54" s="23">
        <f>IFERROR(B54/B148, "NA")</f>
        <v>0.001148889224</v>
      </c>
      <c r="D54" s="27">
        <v>48.75</v>
      </c>
      <c r="E54" s="23">
        <f>IFERROR(D54/D148, "NA")</f>
        <v>0.00166131581</v>
      </c>
      <c r="F54" s="27">
        <v>48.75</v>
      </c>
      <c r="G54" s="23">
        <f>IFERROR(F54/F148, "NA")</f>
        <v>0.001636114672</v>
      </c>
      <c r="H54" s="27">
        <v>35.81</v>
      </c>
      <c r="I54" s="23">
        <f>IFERROR(H54/H148, "NA")</f>
        <v>0.001157202446</v>
      </c>
      <c r="J54" s="27">
        <v>46.75</v>
      </c>
      <c r="K54" s="23">
        <f>IFERROR(J54/J148, "NA")</f>
        <v>0.002013780721</v>
      </c>
      <c r="L54" s="27">
        <v>31.0</v>
      </c>
      <c r="M54" s="23">
        <f>IFERROR(L54/L148, "NA")</f>
        <v>0.001228251042</v>
      </c>
      <c r="N54" s="27">
        <v>34.31</v>
      </c>
      <c r="O54" s="23">
        <f>IFERROR(N54/N148, "NA")</f>
        <v>0.001031913527</v>
      </c>
      <c r="P54" s="27">
        <v>34.0</v>
      </c>
      <c r="Q54" s="23">
        <f>IFERROR(P54/P148, "NA")</f>
        <v>0.001018714382</v>
      </c>
      <c r="R54" s="27">
        <v>36.0</v>
      </c>
      <c r="S54" s="23">
        <f>IFERROR(R54/R148, "NA")</f>
        <v>0.00132270661</v>
      </c>
      <c r="T54" s="27">
        <v>39.0</v>
      </c>
      <c r="U54" s="23">
        <f>IFERROR(T54/T148, "NA")</f>
        <v>0.0009451461414</v>
      </c>
      <c r="V54" s="27">
        <v>33.25</v>
      </c>
      <c r="W54" s="23">
        <f>IFERROR(V54/V148, "NA")</f>
        <v>0.001038204683</v>
      </c>
      <c r="X54" s="27">
        <v>29.56</v>
      </c>
      <c r="Y54" s="23">
        <f>IFERROR(X54/X148, "NA")</f>
        <v>0.001051645918</v>
      </c>
      <c r="Z54" s="27">
        <v>137.81</v>
      </c>
      <c r="AA54" s="23">
        <f>IFERROR(Z54/Z148, "NA")</f>
        <v>0.001071491272</v>
      </c>
      <c r="AB54" s="59">
        <f t="shared" si="25"/>
        <v>34.4525</v>
      </c>
      <c r="AC54" s="23">
        <f>IFERROR(AB54/AB148, "NA")</f>
        <v>0.001071491272</v>
      </c>
      <c r="AD54" s="61">
        <f t="shared" si="26"/>
        <v>-4.8925</v>
      </c>
      <c r="AE54" s="63">
        <f>IFERROR(AD54/AD148, "NA")</f>
        <v>0.001209378897</v>
      </c>
      <c r="AF54" s="61">
        <f t="shared" si="27"/>
        <v>-0.1420071112</v>
      </c>
      <c r="AG54" s="59">
        <f t="shared" si="28"/>
        <v>35.48375</v>
      </c>
      <c r="AH54" s="23">
        <f>IFERROR(AG54/AG148, "NA")</f>
        <v>0.00116486426</v>
      </c>
      <c r="AI54" s="61">
        <f t="shared" si="29"/>
        <v>-5.92375</v>
      </c>
      <c r="AJ54" s="63">
        <f>IFERROR(AI54/AI148, "NA")</f>
        <v>0.002517120295</v>
      </c>
      <c r="AK54" s="61">
        <f t="shared" si="30"/>
        <v>-0.1669426146</v>
      </c>
      <c r="AL54" s="63">
        <f>IFERROR(AK54/AK148, "NA")</f>
        <v>2.160870053</v>
      </c>
    </row>
    <row r="55" ht="16.5" customHeight="1">
      <c r="A55" s="26" t="s">
        <v>115</v>
      </c>
      <c r="B55" s="27">
        <v>-348.21</v>
      </c>
      <c r="C55" s="23">
        <f>IFERROR(B55/B148, "NA")</f>
        <v>-0.01032399269</v>
      </c>
      <c r="D55" s="27">
        <v>-190.06</v>
      </c>
      <c r="E55" s="23">
        <f>IFERROR(D55/D148, "NA")</f>
        <v>-0.006476916571</v>
      </c>
      <c r="F55" s="27">
        <v>-142.2</v>
      </c>
      <c r="G55" s="23">
        <f>IFERROR(F55/F148, "NA")</f>
        <v>-0.004772420644</v>
      </c>
      <c r="H55" s="27">
        <v>-199.16</v>
      </c>
      <c r="I55" s="23">
        <f>IFERROR(H55/H148, "NA")</f>
        <v>-0.00643586817</v>
      </c>
      <c r="J55" s="27">
        <v>-183.49</v>
      </c>
      <c r="K55" s="23">
        <f>IFERROR(J55/J148, "NA")</f>
        <v>-0.007903927799</v>
      </c>
      <c r="L55" s="27">
        <v>-240.84</v>
      </c>
      <c r="M55" s="23">
        <f>IFERROR(L55/L148, "NA")</f>
        <v>-0.009542321965</v>
      </c>
      <c r="N55" s="27">
        <v>-237.66</v>
      </c>
      <c r="O55" s="23">
        <f>IFERROR(N55/N148, "NA")</f>
        <v>-0.007147903495</v>
      </c>
      <c r="P55" s="27">
        <v>-186.55</v>
      </c>
      <c r="Q55" s="23">
        <f>IFERROR(P55/P148, "NA")</f>
        <v>-0.005589446119</v>
      </c>
      <c r="R55" s="27">
        <v>-215.46</v>
      </c>
      <c r="S55" s="23">
        <f>IFERROR(R55/R148, "NA")</f>
        <v>-0.007916399064</v>
      </c>
      <c r="T55" s="27">
        <v>-142.84</v>
      </c>
      <c r="U55" s="23">
        <f>IFERROR(T55/T148, "NA")</f>
        <v>-0.003461658329</v>
      </c>
      <c r="V55" s="27">
        <v>-126.81</v>
      </c>
      <c r="W55" s="23">
        <f>IFERROR(V55/V148, "NA")</f>
        <v>-0.003959540929</v>
      </c>
      <c r="X55" s="27">
        <v>-164.03</v>
      </c>
      <c r="Y55" s="23">
        <f>IFERROR(X55/X148, "NA")</f>
        <v>-0.005835638701</v>
      </c>
      <c r="Z55" s="27">
        <v>-649.14</v>
      </c>
      <c r="AA55" s="23">
        <f>IFERROR(Z55/Z148, "NA")</f>
        <v>-0.005047150748</v>
      </c>
      <c r="AB55" s="59">
        <f t="shared" si="25"/>
        <v>-162.285</v>
      </c>
      <c r="AC55" s="23">
        <f>IFERROR(AB55/AB148, "NA")</f>
        <v>-0.005047150748</v>
      </c>
      <c r="AD55" s="61">
        <f t="shared" si="26"/>
        <v>-1.745</v>
      </c>
      <c r="AE55" s="63">
        <f>IFERROR(AD55/AD148, "NA")</f>
        <v>0.0004313471999</v>
      </c>
      <c r="AF55" s="61">
        <f t="shared" si="27"/>
        <v>0.01075268817</v>
      </c>
      <c r="AG55" s="59">
        <f t="shared" si="28"/>
        <v>-187.21</v>
      </c>
      <c r="AH55" s="23">
        <f>IFERROR(AG55/AG148, "NA")</f>
        <v>-0.006145749481</v>
      </c>
      <c r="AI55" s="61">
        <f t="shared" si="29"/>
        <v>23.18</v>
      </c>
      <c r="AJ55" s="63">
        <f>IFERROR(AI55/AI148, "NA")</f>
        <v>-0.009849647343</v>
      </c>
      <c r="AK55" s="61">
        <f t="shared" si="30"/>
        <v>-0.1238181721</v>
      </c>
      <c r="AL55" s="63">
        <f>IFERROR(AK55/AK148, "NA")</f>
        <v>1.60267635</v>
      </c>
    </row>
    <row r="56" ht="16.5" customHeight="1">
      <c r="A56" s="66" t="s">
        <v>116</v>
      </c>
      <c r="B56" s="67">
        <f>IFERROR(B37+B39+B40+B41+B42+B43+B46+B47+B48+B49+B50+B51+B53+B54+B55, "NA")</f>
        <v>1249.48</v>
      </c>
      <c r="C56" s="69">
        <f>IFERROR(B56/B148, "NA")</f>
        <v>0.03704552537</v>
      </c>
      <c r="D56" s="67">
        <f>IFERROR(D37+D39+D40+D41+D42+D43+D46+D47+D48+D49+D50+D51+D53+D54+D55, "NA")</f>
        <v>1240.2</v>
      </c>
      <c r="E56" s="69">
        <f>IFERROR(D56/D148, "NA")</f>
        <v>0.0422638742</v>
      </c>
      <c r="F56" s="67">
        <f>IFERROR(F37+F39+F40+F41+F42+F43+F46+F47+F48+F49+F50+F51+F53+F54+F55, "NA")</f>
        <v>1291.35</v>
      </c>
      <c r="G56" s="69">
        <f>IFERROR(F56/F148, "NA")</f>
        <v>0.04333941912</v>
      </c>
      <c r="H56" s="67">
        <f>IFERROR(H37+H39+H40+H41+H42+H43+H46+H47+H48+H49+H50+H51+H53+H54+H55, "NA")</f>
        <v>1295.09</v>
      </c>
      <c r="I56" s="69">
        <f>IFERROR(H56/H148, "NA")</f>
        <v>0.04185091639</v>
      </c>
      <c r="J56" s="67">
        <f>IFERROR(J37+J39+J40+J41+J42+J43+J46+J47+J48+J49+J50+J51+J53+J54+J55, "NA")</f>
        <v>820.68</v>
      </c>
      <c r="K56" s="69">
        <f>IFERROR(J56/J148, "NA")</f>
        <v>0.03535122059</v>
      </c>
      <c r="L56" s="67">
        <f>IFERROR(L37+L39+L40+L41+L42+L43+L46+L47+L48+L49+L50+L51+L53+L54+L55, "NA")</f>
        <v>1048.18</v>
      </c>
      <c r="M56" s="69">
        <f>IFERROR(L56/L148, "NA")</f>
        <v>0.04152994119</v>
      </c>
      <c r="N56" s="67">
        <f>IFERROR(N37+N39+N40+N41+N42+N43+N46+N47+N48+N49+N50+N51+N53+N54+N55, "NA")</f>
        <v>1194.7</v>
      </c>
      <c r="O56" s="69">
        <f>IFERROR(N56/N148, "NA")</f>
        <v>0.03593200499</v>
      </c>
      <c r="P56" s="67">
        <f>IFERROR(P37+P39+P40+P41+P42+P43+P46+P47+P48+P49+P50+P51+P53+P54+P55, "NA")</f>
        <v>1163.28</v>
      </c>
      <c r="Q56" s="69">
        <f>IFERROR(P56/P148, "NA")</f>
        <v>0.03485441373</v>
      </c>
      <c r="R56" s="67">
        <f>IFERROR(R37+R39+R40+R41+R42+R43+R46+R47+R48+R49+R50+R51+R53+R54+R55, "NA")</f>
        <v>725.68</v>
      </c>
      <c r="S56" s="69">
        <f>IFERROR(R56/R148, "NA")</f>
        <v>0.02666282592</v>
      </c>
      <c r="T56" s="67">
        <f>IFERROR(T37+T39+T40+T41+T42+T43+T46+T47+T48+T49+T50+T51+T53+T54+T55, "NA")</f>
        <v>1678.48</v>
      </c>
      <c r="U56" s="69">
        <f>IFERROR(T56/T148, "NA")</f>
        <v>0.04067715116</v>
      </c>
      <c r="V56" s="67">
        <f>IFERROR(V37+V39+V40+V41+V42+V43+V46+V47+V48+V49+V50+V51+V53+V54+V55, "NA")</f>
        <v>1332.02</v>
      </c>
      <c r="W56" s="69">
        <f>IFERROR(V56/V148, "NA")</f>
        <v>0.04159126022</v>
      </c>
      <c r="X56" s="67">
        <f>IFERROR(X37+X39+X40+X41+X42+X43+X46+X47+X48+X49+X50+X51+X53+X54+X55, "NA")</f>
        <v>1083.78</v>
      </c>
      <c r="Y56" s="69">
        <f>IFERROR(X56/X148, "NA")</f>
        <v>0.03855726703</v>
      </c>
      <c r="Z56" s="67">
        <f>IFERROR(Z37+Z39+Z40+Z41+Z42+Z43+Z46+Z47+Z48+Z49+Z50+Z51+Z53+Z54+Z55, "NA")</f>
        <v>4819.96</v>
      </c>
      <c r="AA56" s="69">
        <f>IFERROR(Z56/Z148, "NA")</f>
        <v>0.03747583683</v>
      </c>
      <c r="AB56" s="67">
        <f t="shared" si="25"/>
        <v>1204.99</v>
      </c>
      <c r="AC56" s="69">
        <f>IFERROR(AB56/AB148, "NA")</f>
        <v>0.03747583683</v>
      </c>
      <c r="AD56" s="70">
        <f t="shared" si="26"/>
        <v>-121.21</v>
      </c>
      <c r="AE56" s="71">
        <f>IFERROR(AD56/AD148, "NA")</f>
        <v>0.02996194504</v>
      </c>
      <c r="AF56" s="70">
        <f t="shared" si="27"/>
        <v>-0.1005900464</v>
      </c>
      <c r="AG56" s="67">
        <f t="shared" si="28"/>
        <v>1130.85</v>
      </c>
      <c r="AH56" s="69">
        <f>IFERROR(AG56/AG148, "NA")</f>
        <v>0.0371236622</v>
      </c>
      <c r="AI56" s="70">
        <f t="shared" si="29"/>
        <v>-47.07</v>
      </c>
      <c r="AJ56" s="71">
        <f>IFERROR(AI56/AI148, "NA")</f>
        <v>0.02000098794</v>
      </c>
      <c r="AK56" s="70">
        <f t="shared" si="30"/>
        <v>-0.0416235575</v>
      </c>
      <c r="AL56" s="71">
        <f>IFERROR(AK56/AK148, "NA")</f>
        <v>0.5387665644</v>
      </c>
    </row>
    <row r="57" ht="16.5" customHeight="1">
      <c r="A57" s="66" t="s">
        <v>52</v>
      </c>
      <c r="B57" s="115">
        <f>IFERROR(B13+B15+B16+B17+B18+B19+B20+B21+B22+B23+B24+B25+B26+B29+B30+B31+B32+B33+B37+B39+B40+B41+B42+B43+B46+B47+B48+B49+B50+B51+B53+B54+B55, "NA")</f>
        <v>9401.01</v>
      </c>
      <c r="C57" s="96">
        <f>IFERROR(B57/B148, "NA")</f>
        <v>0.2787282345</v>
      </c>
      <c r="D57" s="115">
        <f>IFERROR(D13+D15+D16+D17+D18+D19+D20+D21+D22+D23+D24+D25+D26+D29+D30+D31+D32+D33+D37+D39+D40+D41+D42+D43+D46+D47+D48+D49+D50+D51+D53+D54+D55, "NA")</f>
        <v>8705.78</v>
      </c>
      <c r="E57" s="96">
        <f>IFERROR(D57/D148, "NA")</f>
        <v>0.2966779477</v>
      </c>
      <c r="F57" s="115">
        <f>IFERROR(F13+F15+F16+F17+F18+F19+F20+F21+F22+F23+F24+F25+F26+F29+F30+F31+F32+F33+F37+F39+F40+F41+F42+F43+F46+F47+F48+F49+F50+F51+F53+F54+F55, "NA")</f>
        <v>8243.21</v>
      </c>
      <c r="G57" s="96">
        <f>IFERROR(F57/F148, "NA")</f>
        <v>0.2766530631</v>
      </c>
      <c r="H57" s="115">
        <f>IFERROR(H13+H15+H16+H17+H18+H19+H20+H21+H22+H23+H24+H25+H26+H29+H30+H31+H32+H33+H37+H39+H40+H41+H42+H43+H46+H47+H48+H49+H50+H51+H53+H54+H55, "NA")</f>
        <v>9047.06</v>
      </c>
      <c r="I57" s="96">
        <f>IFERROR(H57/H148, "NA")</f>
        <v>0.292356324</v>
      </c>
      <c r="J57" s="115">
        <f>IFERROR(J13+J15+J16+J17+J18+J19+J20+J21+J22+J23+J24+J25+J26+J29+J30+J31+J32+J33+J37+J39+J40+J41+J42+J43+J46+J47+J48+J49+J50+J51+J53+J54+J55, "NA")</f>
        <v>7156.85</v>
      </c>
      <c r="K57" s="96">
        <f>IFERROR(J57/J148, "NA")</f>
        <v>0.30828506</v>
      </c>
      <c r="L57" s="115">
        <f>IFERROR(L13+L15+L16+L17+L18+L19+L20+L21+L22+L23+L24+L25+L26+L29+L30+L31+L32+L33+L37+L39+L40+L41+L42+L43+L46+L47+L48+L49+L50+L51+L53+L54+L55, "NA")</f>
        <v>6956.01</v>
      </c>
      <c r="M57" s="96">
        <f>IFERROR(L57/L148, "NA")</f>
        <v>0.2756040816</v>
      </c>
      <c r="N57" s="115">
        <f>IFERROR(N13+N15+N16+N17+N18+N19+N20+N21+N22+N23+N24+N25+N26+N29+N30+N31+N32+N33+N37+N39+N40+N41+N42+N43+N46+N47+N48+N49+N50+N51+N53+N54+N55, "NA")</f>
        <v>9201.12</v>
      </c>
      <c r="O57" s="96">
        <f>IFERROR(N57/N148, "NA")</f>
        <v>0.2767344854</v>
      </c>
      <c r="P57" s="115">
        <f>IFERROR(P13+P15+P16+P17+P18+P19+P20+P21+P22+P23+P24+P25+P26+P29+P30+P31+P32+P33+P37+P39+P40+P41+P42+P43+P46+P47+P48+P49+P50+P51+P53+P54+P55, "NA")</f>
        <v>8656.54</v>
      </c>
      <c r="Q57" s="96">
        <f>IFERROR(P57/P148, "NA")</f>
        <v>0.2593688765</v>
      </c>
      <c r="R57" s="115">
        <f>IFERROR(R13+R15+R16+R17+R18+R19+R20+R21+R22+R23+R24+R25+R26+R29+R30+R31+R32+R33+R37+R39+R40+R41+R42+R43+R46+R47+R48+R49+R50+R51+R53+R54+R55, "NA")</f>
        <v>7166.74</v>
      </c>
      <c r="S57" s="96">
        <f>IFERROR(R57/R148, "NA")</f>
        <v>0.2633192881</v>
      </c>
      <c r="T57" s="115">
        <f>IFERROR(T13+T15+T16+T17+T18+T19+T20+T21+T22+T23+T24+T25+T26+T29+T30+T31+T32+T33+T37+T39+T40+T41+T42+T43+T46+T47+T48+T49+T50+T51+T53+T54+T55, "NA")</f>
        <v>9902.38</v>
      </c>
      <c r="U57" s="96">
        <f>IFERROR(T57/T148, "NA")</f>
        <v>0.239979391</v>
      </c>
      <c r="V57" s="115">
        <f>IFERROR(V13+V15+V16+V17+V18+V19+V20+V21+V22+V23+V24+V25+V26+V29+V30+V31+V32+V33+V37+V39+V40+V41+V42+V43+V46+V47+V48+V49+V50+V51+V53+V54+V55, "NA")</f>
        <v>8568.13</v>
      </c>
      <c r="W57" s="96">
        <f>IFERROR(V57/V148, "NA")</f>
        <v>0.2675330133</v>
      </c>
      <c r="X57" s="115">
        <f>IFERROR(X13+X15+X16+X17+X18+X19+X20+X21+X22+X23+X24+X25+X26+X29+X30+X31+X32+X33+X37+X39+X40+X41+X42+X43+X46+X47+X48+X49+X50+X51+X53+X54+X55, "NA")</f>
        <v>6896.83</v>
      </c>
      <c r="Y57" s="96">
        <f>IFERROR(X57/X148, "NA")</f>
        <v>0.2453661407</v>
      </c>
      <c r="Z57" s="115">
        <f>IFERROR(Z13+Z15+Z16+Z17+Z18+Z19+Z20+Z21+Z22+Z23+Z24+Z25+Z26+Z29+Z30+Z31+Z32+Z33+Z37+Z39+Z40+Z41+Z42+Z43+Z46+Z47+Z48+Z49+Z50+Z51+Z53+Z54+Z55, "NA")</f>
        <v>32534.08</v>
      </c>
      <c r="AA57" s="96">
        <f>IFERROR(Z57/Z148, "NA")</f>
        <v>0.2529568447</v>
      </c>
      <c r="AB57" s="115">
        <f t="shared" si="25"/>
        <v>8133.52</v>
      </c>
      <c r="AC57" s="96">
        <f>IFERROR(AB57/AB148, "NA")</f>
        <v>0.2529568447</v>
      </c>
      <c r="AD57" s="116">
        <f t="shared" si="26"/>
        <v>-1236.69</v>
      </c>
      <c r="AE57" s="117">
        <f>IFERROR(AD57/AD148, "NA")</f>
        <v>0.3056978617</v>
      </c>
      <c r="AF57" s="116">
        <f t="shared" si="27"/>
        <v>-0.1520485595</v>
      </c>
      <c r="AG57" s="115">
        <f t="shared" si="28"/>
        <v>8063.075</v>
      </c>
      <c r="AH57" s="96">
        <f>IFERROR(AG57/AG148, "NA")</f>
        <v>0.2646954703</v>
      </c>
      <c r="AI57" s="116">
        <f t="shared" si="29"/>
        <v>-1166.245</v>
      </c>
      <c r="AJ57" s="117">
        <f>IFERROR(AI57/AI148, "NA")</f>
        <v>0.4955609131</v>
      </c>
      <c r="AK57" s="116">
        <f t="shared" si="30"/>
        <v>-0.1446402272</v>
      </c>
      <c r="AL57" s="117">
        <f>IFERROR(AK57/AK148, "NA")</f>
        <v>1.872192647</v>
      </c>
    </row>
    <row r="58" ht="3.75" customHeight="1">
      <c r="A58" s="74" t="s">
        <v>6</v>
      </c>
      <c r="B58" s="75"/>
      <c r="C58" s="76"/>
      <c r="D58" s="75"/>
      <c r="E58" s="76"/>
      <c r="F58" s="75"/>
      <c r="G58" s="76"/>
      <c r="H58" s="75"/>
      <c r="I58" s="76"/>
      <c r="J58" s="75"/>
      <c r="K58" s="76"/>
      <c r="L58" s="75"/>
      <c r="M58" s="76"/>
      <c r="N58" s="75"/>
      <c r="O58" s="76"/>
      <c r="P58" s="75"/>
      <c r="Q58" s="76"/>
      <c r="R58" s="75"/>
      <c r="S58" s="76"/>
      <c r="T58" s="75"/>
      <c r="U58" s="76"/>
      <c r="V58" s="75"/>
      <c r="W58" s="76"/>
      <c r="X58" s="75"/>
      <c r="Y58" s="76"/>
      <c r="Z58" s="75"/>
      <c r="AA58" s="76"/>
      <c r="AB58" s="75"/>
      <c r="AC58" s="76"/>
      <c r="AD58" s="77"/>
      <c r="AE58" s="78"/>
      <c r="AF58" s="77"/>
      <c r="AG58" s="75"/>
      <c r="AH58" s="76"/>
      <c r="AI58" s="77"/>
      <c r="AJ58" s="78"/>
      <c r="AK58" s="77"/>
      <c r="AL58" s="78"/>
    </row>
    <row r="59" ht="16.5" customHeight="1">
      <c r="A59" s="118" t="s">
        <v>121</v>
      </c>
      <c r="B59" s="119">
        <f>IFERROR(B9-B57, "NA")</f>
        <v>24327.22</v>
      </c>
      <c r="C59" s="107">
        <f>IFERROR(B59/B148, "NA")</f>
        <v>0.7212717655</v>
      </c>
      <c r="D59" s="119">
        <f>IFERROR(D9-D57, "NA")</f>
        <v>20638.43</v>
      </c>
      <c r="E59" s="107">
        <f>IFERROR(D59/D148, "NA")</f>
        <v>0.7033220523</v>
      </c>
      <c r="F59" s="119">
        <f>IFERROR(F9-F57, "NA")</f>
        <v>21552.99</v>
      </c>
      <c r="G59" s="107">
        <f>IFERROR(F59/F148, "NA")</f>
        <v>0.7233469369</v>
      </c>
      <c r="H59" s="119">
        <f>IFERROR(H9-H57, "NA")</f>
        <v>21898.26</v>
      </c>
      <c r="I59" s="107">
        <f>IFERROR(H59/H148, "NA")</f>
        <v>0.707643676</v>
      </c>
      <c r="J59" s="119">
        <f>IFERROR(J9-J57, "NA")</f>
        <v>16058.19</v>
      </c>
      <c r="K59" s="107">
        <f>IFERROR(J59/J148, "NA")</f>
        <v>0.69171494</v>
      </c>
      <c r="L59" s="119">
        <f>IFERROR(L9-L57, "NA")</f>
        <v>18283.13</v>
      </c>
      <c r="M59" s="107">
        <f>IFERROR(L59/L148, "NA")</f>
        <v>0.7243959184</v>
      </c>
      <c r="N59" s="119">
        <f>IFERROR(N9-N57, "NA")</f>
        <v>24047.79</v>
      </c>
      <c r="O59" s="107">
        <f>IFERROR(N59/N148, "NA")</f>
        <v>0.7232655146</v>
      </c>
      <c r="P59" s="119">
        <f>IFERROR(P9-P57, "NA")</f>
        <v>24718.86</v>
      </c>
      <c r="Q59" s="107">
        <f>IFERROR(P59/P148, "NA")</f>
        <v>0.7406311235</v>
      </c>
      <c r="R59" s="119">
        <f>IFERROR(R9-R57, "NA")</f>
        <v>20050.18</v>
      </c>
      <c r="S59" s="107">
        <f>IFERROR(R59/R148, "NA")</f>
        <v>0.7366807119</v>
      </c>
      <c r="T59" s="119">
        <f>IFERROR(T9-T57, "NA")</f>
        <v>31361.08</v>
      </c>
      <c r="U59" s="107">
        <f>IFERROR(T59/T148, "NA")</f>
        <v>0.760020609</v>
      </c>
      <c r="V59" s="119">
        <f>IFERROR(V9-V57, "NA")</f>
        <v>23458.31</v>
      </c>
      <c r="W59" s="107">
        <f>IFERROR(V59/V148, "NA")</f>
        <v>0.7324669867</v>
      </c>
      <c r="X59" s="119">
        <f>IFERROR(X9-X57, "NA")</f>
        <v>21211.49</v>
      </c>
      <c r="Y59" s="107">
        <f>IFERROR(X59/X148, "NA")</f>
        <v>0.7546338593</v>
      </c>
      <c r="Z59" s="119">
        <f>IFERROR(Z9-Z57, "NA")</f>
        <v>96081.06</v>
      </c>
      <c r="AA59" s="107">
        <f>IFERROR(Z59/Z148, "NA")</f>
        <v>0.7470431553</v>
      </c>
      <c r="AB59" s="119">
        <f>IFERROR((R59+T59+V59+X59)/4, "NA")</f>
        <v>24020.265</v>
      </c>
      <c r="AC59" s="107">
        <f>IFERROR(AB59/AB148, "NA")</f>
        <v>0.7470431553</v>
      </c>
      <c r="AD59" s="70">
        <f>IFERROR(X59-AB59, "NA")</f>
        <v>-2808.775</v>
      </c>
      <c r="AE59" s="71">
        <f>IFERROR(AD59/AD148, "NA")</f>
        <v>0.6943021383</v>
      </c>
      <c r="AF59" s="70">
        <f>IFERROR((X59-AB59)/AB59, "NA")</f>
        <v>-0.1169335559</v>
      </c>
      <c r="AG59" s="119">
        <f>IFERROR((J59+L59+N59+P59+R59+T59+V59+X59)/8, "NA")</f>
        <v>22398.62875</v>
      </c>
      <c r="AH59" s="107">
        <f>IFERROR(AG59/AG148, "NA")</f>
        <v>0.7353045297</v>
      </c>
      <c r="AI59" s="70">
        <f>IFERROR(X59-AG59, "NA")</f>
        <v>-1187.13875</v>
      </c>
      <c r="AJ59" s="71">
        <f>IFERROR(AI59/AI148, "NA")</f>
        <v>0.5044390869</v>
      </c>
      <c r="AK59" s="70">
        <f>IFERROR((X59-AG59)/AG59, "NA")</f>
        <v>-0.05300051013</v>
      </c>
      <c r="AL59" s="71">
        <f>IFERROR(AK59/AK148, "NA")</f>
        <v>0.6860274438</v>
      </c>
    </row>
    <row r="60" ht="3.75" customHeight="1">
      <c r="A60" s="120" t="s">
        <v>6</v>
      </c>
      <c r="B60" s="121"/>
      <c r="C60" s="76"/>
      <c r="D60" s="121"/>
      <c r="E60" s="76"/>
      <c r="F60" s="121"/>
      <c r="G60" s="76"/>
      <c r="H60" s="121"/>
      <c r="I60" s="76"/>
      <c r="J60" s="121"/>
      <c r="K60" s="76"/>
      <c r="L60" s="121"/>
      <c r="M60" s="76"/>
      <c r="N60" s="121"/>
      <c r="O60" s="76"/>
      <c r="P60" s="121"/>
      <c r="Q60" s="76"/>
      <c r="R60" s="121"/>
      <c r="S60" s="76"/>
      <c r="T60" s="121"/>
      <c r="U60" s="76"/>
      <c r="V60" s="121"/>
      <c r="W60" s="76"/>
      <c r="X60" s="121"/>
      <c r="Y60" s="76"/>
      <c r="Z60" s="121"/>
      <c r="AA60" s="76"/>
      <c r="AB60" s="121"/>
      <c r="AC60" s="76"/>
      <c r="AD60" s="122"/>
      <c r="AE60" s="78"/>
      <c r="AF60" s="122"/>
      <c r="AG60" s="121"/>
      <c r="AH60" s="76"/>
      <c r="AI60" s="122"/>
      <c r="AJ60" s="78"/>
      <c r="AK60" s="122"/>
      <c r="AL60" s="78"/>
    </row>
    <row r="61" ht="16.5" customHeight="1">
      <c r="A61" s="17" t="s">
        <v>131</v>
      </c>
      <c r="B61" s="19"/>
      <c r="C61" s="13"/>
      <c r="D61" s="19"/>
      <c r="E61" s="13"/>
      <c r="F61" s="19"/>
      <c r="G61" s="13"/>
      <c r="H61" s="19"/>
      <c r="I61" s="13"/>
      <c r="J61" s="19"/>
      <c r="K61" s="13"/>
      <c r="L61" s="19"/>
      <c r="M61" s="13"/>
      <c r="N61" s="19"/>
      <c r="O61" s="13"/>
      <c r="P61" s="19"/>
      <c r="Q61" s="13"/>
      <c r="R61" s="19"/>
      <c r="S61" s="13"/>
      <c r="T61" s="19"/>
      <c r="U61" s="13"/>
      <c r="V61" s="19"/>
      <c r="W61" s="13"/>
      <c r="X61" s="19"/>
      <c r="Y61" s="13"/>
      <c r="Z61" s="19"/>
      <c r="AA61" s="13"/>
      <c r="AB61" s="19"/>
      <c r="AC61" s="13"/>
      <c r="AD61" s="24"/>
      <c r="AE61" s="25"/>
      <c r="AF61" s="24"/>
      <c r="AG61" s="19"/>
      <c r="AH61" s="13"/>
      <c r="AI61" s="24"/>
      <c r="AJ61" s="25"/>
      <c r="AK61" s="24"/>
      <c r="AL61" s="25"/>
    </row>
    <row r="62" ht="16.5" customHeight="1">
      <c r="A62" s="17" t="s">
        <v>131</v>
      </c>
      <c r="B62" s="19"/>
      <c r="C62" s="13"/>
      <c r="D62" s="19"/>
      <c r="E62" s="13"/>
      <c r="F62" s="19"/>
      <c r="G62" s="13"/>
      <c r="H62" s="19"/>
      <c r="I62" s="13"/>
      <c r="J62" s="19"/>
      <c r="K62" s="13"/>
      <c r="L62" s="19"/>
      <c r="M62" s="13"/>
      <c r="N62" s="19"/>
      <c r="O62" s="13"/>
      <c r="P62" s="19"/>
      <c r="Q62" s="13"/>
      <c r="R62" s="19"/>
      <c r="S62" s="13"/>
      <c r="T62" s="19"/>
      <c r="U62" s="13"/>
      <c r="V62" s="19"/>
      <c r="W62" s="13"/>
      <c r="X62" s="19"/>
      <c r="Y62" s="13"/>
      <c r="Z62" s="19"/>
      <c r="AA62" s="13"/>
      <c r="AB62" s="19"/>
      <c r="AC62" s="13"/>
      <c r="AD62" s="24"/>
      <c r="AE62" s="25"/>
      <c r="AF62" s="24"/>
      <c r="AG62" s="19"/>
      <c r="AH62" s="13"/>
      <c r="AI62" s="24"/>
      <c r="AJ62" s="25"/>
      <c r="AK62" s="24"/>
      <c r="AL62" s="25"/>
    </row>
    <row r="63" ht="16.5" hidden="1" customHeight="1">
      <c r="A63" s="26" t="s">
        <v>134</v>
      </c>
      <c r="B63" s="27">
        <v>0.0</v>
      </c>
      <c r="C63" s="23">
        <f>IFERROR(B63/B148, "NA")</f>
        <v>0</v>
      </c>
      <c r="D63" s="27">
        <v>0.0</v>
      </c>
      <c r="E63" s="23">
        <f>IFERROR(D63/D148, "NA")</f>
        <v>0</v>
      </c>
      <c r="F63" s="27">
        <v>0.0</v>
      </c>
      <c r="G63" s="23">
        <f>IFERROR(F63/F148, "NA")</f>
        <v>0</v>
      </c>
      <c r="H63" s="27">
        <v>0.0</v>
      </c>
      <c r="I63" s="23">
        <f>IFERROR(H63/H148, "NA")</f>
        <v>0</v>
      </c>
      <c r="J63" s="27">
        <v>0.0</v>
      </c>
      <c r="K63" s="23">
        <f>IFERROR(J63/J148, "NA")</f>
        <v>0</v>
      </c>
      <c r="L63" s="27">
        <v>0.0</v>
      </c>
      <c r="M63" s="23">
        <f>IFERROR(L63/L148, "NA")</f>
        <v>0</v>
      </c>
      <c r="N63" s="27">
        <v>0.0</v>
      </c>
      <c r="O63" s="23">
        <f>IFERROR(N63/N148, "NA")</f>
        <v>0</v>
      </c>
      <c r="P63" s="27">
        <v>0.0</v>
      </c>
      <c r="Q63" s="23">
        <f>IFERROR(P63/P148, "NA")</f>
        <v>0</v>
      </c>
      <c r="R63" s="27">
        <v>0.0</v>
      </c>
      <c r="S63" s="23">
        <f>IFERROR(R63/R148, "NA")</f>
        <v>0</v>
      </c>
      <c r="T63" s="27">
        <v>0.0</v>
      </c>
      <c r="U63" s="23">
        <f>IFERROR(T63/T148, "NA")</f>
        <v>0</v>
      </c>
      <c r="V63" s="27">
        <v>0.0</v>
      </c>
      <c r="W63" s="23">
        <f>IFERROR(V63/V148, "NA")</f>
        <v>0</v>
      </c>
      <c r="X63" s="27">
        <v>0.0</v>
      </c>
      <c r="Y63" s="23">
        <f>IFERROR(X63/X148, "NA")</f>
        <v>0</v>
      </c>
      <c r="Z63" s="27">
        <v>0.0</v>
      </c>
      <c r="AA63" s="23">
        <f>IFERROR(Z63/Z148, "NA")</f>
        <v>0</v>
      </c>
      <c r="AB63" s="59">
        <f>IFERROR((R63+T63+V63+X63)/4, "NA")</f>
        <v>0</v>
      </c>
      <c r="AC63" s="23">
        <f>IFERROR(AB63/AB148, "NA")</f>
        <v>0</v>
      </c>
      <c r="AD63" s="61">
        <f>IFERROR(X63-AB63, "NA")</f>
        <v>0</v>
      </c>
      <c r="AE63" s="63">
        <f>IFERROR(AD63/AD148, "NA")</f>
        <v>0</v>
      </c>
      <c r="AF63" s="61" t="str">
        <f>IFERROR((X63-AB63)/AB63, "NA")</f>
        <v>NA</v>
      </c>
      <c r="AG63" s="59">
        <f>IFERROR((J63+L63+N63+P63+R63+T63+V63+X63)/8, "NA")</f>
        <v>0</v>
      </c>
      <c r="AH63" s="23">
        <f>IFERROR(AG63/AG148, "NA")</f>
        <v>0</v>
      </c>
      <c r="AI63" s="61">
        <f>IFERROR(X63-AG63, "NA")</f>
        <v>0</v>
      </c>
      <c r="AJ63" s="63">
        <f>IFERROR(AI63/AI148, "NA")</f>
        <v>0</v>
      </c>
      <c r="AK63" s="61" t="str">
        <f>IFERROR((X63-AG63)/AG63, "NA")</f>
        <v>NA</v>
      </c>
      <c r="AL63" s="63" t="str">
        <f>IFERROR(AK63/AK148, "NA")</f>
        <v>NA</v>
      </c>
    </row>
    <row r="64" ht="16.5" customHeight="1">
      <c r="A64" s="17" t="s">
        <v>136</v>
      </c>
      <c r="B64" s="19"/>
      <c r="C64" s="13"/>
      <c r="D64" s="19"/>
      <c r="E64" s="13"/>
      <c r="F64" s="19"/>
      <c r="G64" s="13"/>
      <c r="H64" s="19"/>
      <c r="I64" s="13"/>
      <c r="J64" s="19"/>
      <c r="K64" s="13"/>
      <c r="L64" s="19"/>
      <c r="M64" s="13"/>
      <c r="N64" s="19"/>
      <c r="O64" s="13"/>
      <c r="P64" s="19"/>
      <c r="Q64" s="13"/>
      <c r="R64" s="19"/>
      <c r="S64" s="13"/>
      <c r="T64" s="19"/>
      <c r="U64" s="13"/>
      <c r="V64" s="19"/>
      <c r="W64" s="13"/>
      <c r="X64" s="19"/>
      <c r="Y64" s="13"/>
      <c r="Z64" s="19"/>
      <c r="AA64" s="13"/>
      <c r="AB64" s="19"/>
      <c r="AC64" s="13"/>
      <c r="AD64" s="24"/>
      <c r="AE64" s="25"/>
      <c r="AF64" s="24"/>
      <c r="AG64" s="19"/>
      <c r="AH64" s="13"/>
      <c r="AI64" s="24"/>
      <c r="AJ64" s="25"/>
      <c r="AK64" s="24"/>
      <c r="AL64" s="25"/>
    </row>
    <row r="65" ht="16.5" hidden="1" customHeight="1">
      <c r="A65" s="26" t="s">
        <v>137</v>
      </c>
      <c r="B65" s="27">
        <v>0.0</v>
      </c>
      <c r="C65" s="23">
        <f>IFERROR(B65/B148, "NA")</f>
        <v>0</v>
      </c>
      <c r="D65" s="27">
        <v>0.0</v>
      </c>
      <c r="E65" s="23">
        <f>IFERROR(D65/D148, "NA")</f>
        <v>0</v>
      </c>
      <c r="F65" s="27">
        <v>0.0</v>
      </c>
      <c r="G65" s="23">
        <f>IFERROR(F65/F148, "NA")</f>
        <v>0</v>
      </c>
      <c r="H65" s="27">
        <v>0.0</v>
      </c>
      <c r="I65" s="23">
        <f>IFERROR(H65/H148, "NA")</f>
        <v>0</v>
      </c>
      <c r="J65" s="27">
        <v>0.0</v>
      </c>
      <c r="K65" s="23">
        <f>IFERROR(J65/J148, "NA")</f>
        <v>0</v>
      </c>
      <c r="L65" s="27">
        <v>0.0</v>
      </c>
      <c r="M65" s="23">
        <f>IFERROR(L65/L148, "NA")</f>
        <v>0</v>
      </c>
      <c r="N65" s="27">
        <v>0.0</v>
      </c>
      <c r="O65" s="23">
        <f>IFERROR(N65/N148, "NA")</f>
        <v>0</v>
      </c>
      <c r="P65" s="27">
        <v>0.0</v>
      </c>
      <c r="Q65" s="23">
        <f>IFERROR(P65/P148, "NA")</f>
        <v>0</v>
      </c>
      <c r="R65" s="27">
        <v>0.0</v>
      </c>
      <c r="S65" s="23">
        <f>IFERROR(R65/R148, "NA")</f>
        <v>0</v>
      </c>
      <c r="T65" s="27">
        <v>0.0</v>
      </c>
      <c r="U65" s="23">
        <f>IFERROR(T65/T148, "NA")</f>
        <v>0</v>
      </c>
      <c r="V65" s="27">
        <v>0.0</v>
      </c>
      <c r="W65" s="23">
        <f>IFERROR(V65/V148, "NA")</f>
        <v>0</v>
      </c>
      <c r="X65" s="27">
        <v>0.0</v>
      </c>
      <c r="Y65" s="23">
        <f>IFERROR(X65/X148, "NA")</f>
        <v>0</v>
      </c>
      <c r="Z65" s="27">
        <v>0.0</v>
      </c>
      <c r="AA65" s="23">
        <f>IFERROR(Z65/Z148, "NA")</f>
        <v>0</v>
      </c>
      <c r="AB65" s="59">
        <f t="shared" ref="AB65:AB72" si="31">IFERROR((R65+T65+V65+X65)/4, "NA")</f>
        <v>0</v>
      </c>
      <c r="AC65" s="23">
        <f>IFERROR(AB65/AB148, "NA")</f>
        <v>0</v>
      </c>
      <c r="AD65" s="61">
        <f t="shared" ref="AD65:AD72" si="32">IFERROR(X65-AB65, "NA")</f>
        <v>0</v>
      </c>
      <c r="AE65" s="63">
        <f>IFERROR(AD65/AD148, "NA")</f>
        <v>0</v>
      </c>
      <c r="AF65" s="61" t="str">
        <f t="shared" ref="AF65:AF72" si="33">IFERROR((X65-AB65)/AB65, "NA")</f>
        <v>NA</v>
      </c>
      <c r="AG65" s="59">
        <f t="shared" ref="AG65:AG72" si="34">IFERROR((J65+L65+N65+P65+R65+T65+V65+X65)/8, "NA")</f>
        <v>0</v>
      </c>
      <c r="AH65" s="23">
        <f>IFERROR(AG65/AG148, "NA")</f>
        <v>0</v>
      </c>
      <c r="AI65" s="61">
        <f t="shared" ref="AI65:AI72" si="35">IFERROR(X65-AG65, "NA")</f>
        <v>0</v>
      </c>
      <c r="AJ65" s="63">
        <f>IFERROR(AI65/AI148, "NA")</f>
        <v>0</v>
      </c>
      <c r="AK65" s="61" t="str">
        <f t="shared" ref="AK65:AK72" si="36">IFERROR((X65-AG65)/AG65, "NA")</f>
        <v>NA</v>
      </c>
      <c r="AL65" s="63" t="str">
        <f>IFERROR(AK65/AK148, "NA")</f>
        <v>NA</v>
      </c>
    </row>
    <row r="66" ht="16.5" customHeight="1">
      <c r="A66" s="26" t="s">
        <v>144</v>
      </c>
      <c r="B66" s="27">
        <v>1461.54</v>
      </c>
      <c r="C66" s="23">
        <f>IFERROR(B66/B148, "NA")</f>
        <v>0.04333284018</v>
      </c>
      <c r="D66" s="27">
        <v>1461.54</v>
      </c>
      <c r="E66" s="23">
        <f>IFERROR(D66/D148, "NA")</f>
        <v>0.04980675915</v>
      </c>
      <c r="F66" s="27">
        <v>1461.54</v>
      </c>
      <c r="G66" s="23">
        <f>IFERROR(F66/F148, "NA")</f>
        <v>0.0490512213</v>
      </c>
      <c r="H66" s="27">
        <v>1461.54</v>
      </c>
      <c r="I66" s="23">
        <f>IFERROR(H66/H148, "NA")</f>
        <v>0.04722975881</v>
      </c>
      <c r="J66" s="27">
        <v>1461.54</v>
      </c>
      <c r="K66" s="23">
        <f>IFERROR(J66/J148, "NA")</f>
        <v>0.06295660055</v>
      </c>
      <c r="L66" s="27">
        <v>1461.54</v>
      </c>
      <c r="M66" s="23">
        <f>IFERROR(L66/L148, "NA")</f>
        <v>0.05790767831</v>
      </c>
      <c r="N66" s="27">
        <v>1461.54</v>
      </c>
      <c r="O66" s="23">
        <f>IFERROR(N66/N148, "NA")</f>
        <v>0.04395753124</v>
      </c>
      <c r="P66" s="27">
        <v>1461.54</v>
      </c>
      <c r="Q66" s="23">
        <f>IFERROR(P66/P148, "NA")</f>
        <v>0.04379093584</v>
      </c>
      <c r="R66" s="27">
        <v>1461.54</v>
      </c>
      <c r="S66" s="23">
        <f>IFERROR(R66/R148, "NA")</f>
        <v>0.05369968387</v>
      </c>
      <c r="T66" s="27">
        <v>1461.54</v>
      </c>
      <c r="U66" s="23">
        <f>IFERROR(T66/T148, "NA")</f>
        <v>0.03541971517</v>
      </c>
      <c r="V66" s="27">
        <v>1461.54</v>
      </c>
      <c r="W66" s="23">
        <f>IFERROR(V66/V148, "NA")</f>
        <v>0.04563541874</v>
      </c>
      <c r="X66" s="27">
        <v>1461.54</v>
      </c>
      <c r="Y66" s="23">
        <f>IFERROR(X66/X148, "NA")</f>
        <v>0.05199670418</v>
      </c>
      <c r="Z66" s="27">
        <v>5846.16</v>
      </c>
      <c r="AA66" s="23">
        <f>IFERROR(Z66/Z148, "NA")</f>
        <v>0.04545467975</v>
      </c>
      <c r="AB66" s="59">
        <f t="shared" si="31"/>
        <v>1461.54</v>
      </c>
      <c r="AC66" s="23">
        <f>IFERROR(AB66/AB148, "NA")</f>
        <v>0.04545467975</v>
      </c>
      <c r="AD66" s="61">
        <f t="shared" si="32"/>
        <v>0</v>
      </c>
      <c r="AE66" s="63">
        <f>IFERROR(AD66/AD148, "NA")</f>
        <v>0</v>
      </c>
      <c r="AF66" s="61">
        <f t="shared" si="33"/>
        <v>0</v>
      </c>
      <c r="AG66" s="59">
        <f t="shared" si="34"/>
        <v>1461.54</v>
      </c>
      <c r="AH66" s="23">
        <f>IFERROR(AG66/AG148, "NA")</f>
        <v>0.04797958814</v>
      </c>
      <c r="AI66" s="61">
        <f t="shared" si="35"/>
        <v>0</v>
      </c>
      <c r="AJ66" s="63">
        <f>IFERROR(AI66/AI148, "NA")</f>
        <v>0</v>
      </c>
      <c r="AK66" s="61">
        <f t="shared" si="36"/>
        <v>0</v>
      </c>
      <c r="AL66" s="63">
        <f>IFERROR(AK66/AK148, "NA")</f>
        <v>0</v>
      </c>
    </row>
    <row r="67" ht="16.5" hidden="1" customHeight="1">
      <c r="A67" s="26" t="s">
        <v>146</v>
      </c>
      <c r="B67" s="27">
        <v>0.0</v>
      </c>
      <c r="C67" s="23">
        <f>IFERROR(B67/B148, "NA")</f>
        <v>0</v>
      </c>
      <c r="D67" s="27">
        <v>0.0</v>
      </c>
      <c r="E67" s="23">
        <f>IFERROR(D67/D148, "NA")</f>
        <v>0</v>
      </c>
      <c r="F67" s="27">
        <v>0.0</v>
      </c>
      <c r="G67" s="23">
        <f>IFERROR(F67/F148, "NA")</f>
        <v>0</v>
      </c>
      <c r="H67" s="27">
        <v>0.0</v>
      </c>
      <c r="I67" s="23">
        <f>IFERROR(H67/H148, "NA")</f>
        <v>0</v>
      </c>
      <c r="J67" s="27">
        <v>0.0</v>
      </c>
      <c r="K67" s="23">
        <f>IFERROR(J67/J148, "NA")</f>
        <v>0</v>
      </c>
      <c r="L67" s="27">
        <v>0.0</v>
      </c>
      <c r="M67" s="23">
        <f>IFERROR(L67/L148, "NA")</f>
        <v>0</v>
      </c>
      <c r="N67" s="27">
        <v>0.0</v>
      </c>
      <c r="O67" s="23">
        <f>IFERROR(N67/N148, "NA")</f>
        <v>0</v>
      </c>
      <c r="P67" s="27">
        <v>0.0</v>
      </c>
      <c r="Q67" s="23">
        <f>IFERROR(P67/P148, "NA")</f>
        <v>0</v>
      </c>
      <c r="R67" s="27">
        <v>0.0</v>
      </c>
      <c r="S67" s="23">
        <f>IFERROR(R67/R148, "NA")</f>
        <v>0</v>
      </c>
      <c r="T67" s="27">
        <v>0.0</v>
      </c>
      <c r="U67" s="23">
        <f>IFERROR(T67/T148, "NA")</f>
        <v>0</v>
      </c>
      <c r="V67" s="27">
        <v>0.0</v>
      </c>
      <c r="W67" s="23">
        <f>IFERROR(V67/V148, "NA")</f>
        <v>0</v>
      </c>
      <c r="X67" s="27">
        <v>0.0</v>
      </c>
      <c r="Y67" s="23">
        <f>IFERROR(X67/X148, "NA")</f>
        <v>0</v>
      </c>
      <c r="Z67" s="27">
        <v>0.0</v>
      </c>
      <c r="AA67" s="23">
        <f>IFERROR(Z67/Z148, "NA")</f>
        <v>0</v>
      </c>
      <c r="AB67" s="59">
        <f t="shared" si="31"/>
        <v>0</v>
      </c>
      <c r="AC67" s="23">
        <f>IFERROR(AB67/AB148, "NA")</f>
        <v>0</v>
      </c>
      <c r="AD67" s="61">
        <f t="shared" si="32"/>
        <v>0</v>
      </c>
      <c r="AE67" s="63">
        <f>IFERROR(AD67/AD148, "NA")</f>
        <v>0</v>
      </c>
      <c r="AF67" s="61" t="str">
        <f t="shared" si="33"/>
        <v>NA</v>
      </c>
      <c r="AG67" s="59">
        <f t="shared" si="34"/>
        <v>0</v>
      </c>
      <c r="AH67" s="23">
        <f>IFERROR(AG67/AG148, "NA")</f>
        <v>0</v>
      </c>
      <c r="AI67" s="61">
        <f t="shared" si="35"/>
        <v>0</v>
      </c>
      <c r="AJ67" s="63">
        <f>IFERROR(AI67/AI148, "NA")</f>
        <v>0</v>
      </c>
      <c r="AK67" s="61" t="str">
        <f t="shared" si="36"/>
        <v>NA</v>
      </c>
      <c r="AL67" s="63" t="str">
        <f>IFERROR(AK67/AK148, "NA")</f>
        <v>NA</v>
      </c>
    </row>
    <row r="68" ht="16.5" customHeight="1">
      <c r="A68" s="26" t="s">
        <v>150</v>
      </c>
      <c r="B68" s="27">
        <v>5623.22</v>
      </c>
      <c r="C68" s="23">
        <f>IFERROR(B68/B148, "NA")</f>
        <v>0.1667214674</v>
      </c>
      <c r="D68" s="27">
        <v>5161.08</v>
      </c>
      <c r="E68" s="23">
        <f>IFERROR(D68/D148, "NA")</f>
        <v>0.1758806933</v>
      </c>
      <c r="F68" s="27">
        <v>4770.66</v>
      </c>
      <c r="G68" s="23">
        <f>IFERROR(F68/F148, "NA")</f>
        <v>0.1601096784</v>
      </c>
      <c r="H68" s="27">
        <v>4686.41</v>
      </c>
      <c r="I68" s="23">
        <f>IFERROR(H68/H148, "NA")</f>
        <v>0.1514416396</v>
      </c>
      <c r="J68" s="27">
        <v>4722.04</v>
      </c>
      <c r="K68" s="23">
        <f>IFERROR(J68/J148, "NA")</f>
        <v>0.2034043448</v>
      </c>
      <c r="L68" s="27">
        <v>5039.35</v>
      </c>
      <c r="M68" s="23">
        <f>IFERROR(L68/L148, "NA")</f>
        <v>0.1996640932</v>
      </c>
      <c r="N68" s="27">
        <v>5521.4</v>
      </c>
      <c r="O68" s="23">
        <f>IFERROR(N68/N148, "NA")</f>
        <v>0.1660625867</v>
      </c>
      <c r="P68" s="27">
        <v>5217.59</v>
      </c>
      <c r="Q68" s="23">
        <f>IFERROR(P68/P148, "NA")</f>
        <v>0.156330411</v>
      </c>
      <c r="R68" s="27">
        <v>4662.72</v>
      </c>
      <c r="S68" s="23">
        <f>IFERROR(R68/R148, "NA")</f>
        <v>0.1713169602</v>
      </c>
      <c r="T68" s="27">
        <v>5021.32</v>
      </c>
      <c r="U68" s="23">
        <f>IFERROR(T68/T148, "NA")</f>
        <v>0.1216892621</v>
      </c>
      <c r="V68" s="27">
        <v>4837.61</v>
      </c>
      <c r="W68" s="23">
        <f>IFERROR(V68/V148, "NA")</f>
        <v>0.151050507</v>
      </c>
      <c r="X68" s="27">
        <v>4549.33</v>
      </c>
      <c r="Y68" s="23">
        <f>IFERROR(X68/X148, "NA")</f>
        <v>0.1618499434</v>
      </c>
      <c r="Z68" s="27">
        <v>19070.98</v>
      </c>
      <c r="AA68" s="23">
        <f>IFERROR(Z68/Z148, "NA")</f>
        <v>0.1482794327</v>
      </c>
      <c r="AB68" s="59">
        <f t="shared" si="31"/>
        <v>4767.745</v>
      </c>
      <c r="AC68" s="23">
        <f>IFERROR(AB68/AB148, "NA")</f>
        <v>0.1482794327</v>
      </c>
      <c r="AD68" s="61">
        <f t="shared" si="32"/>
        <v>-218.415</v>
      </c>
      <c r="AE68" s="63">
        <f>IFERROR(AD68/AD148, "NA")</f>
        <v>0.05399008519</v>
      </c>
      <c r="AF68" s="61">
        <f t="shared" si="33"/>
        <v>-0.04581096514</v>
      </c>
      <c r="AG68" s="59">
        <f t="shared" si="34"/>
        <v>4946.42</v>
      </c>
      <c r="AH68" s="23">
        <f>IFERROR(AG68/AG148, "NA")</f>
        <v>0.1623815936</v>
      </c>
      <c r="AI68" s="61">
        <f t="shared" si="35"/>
        <v>-397.09</v>
      </c>
      <c r="AJ68" s="63">
        <f>IFERROR(AI68/AI148, "NA")</f>
        <v>0.1687315127</v>
      </c>
      <c r="AK68" s="61">
        <f t="shared" si="36"/>
        <v>-0.08027826185</v>
      </c>
      <c r="AL68" s="63">
        <f>IFERROR(AK68/AK148, "NA")</f>
        <v>1.039104919</v>
      </c>
    </row>
    <row r="69" ht="16.5" customHeight="1">
      <c r="A69" s="26" t="s">
        <v>153</v>
      </c>
      <c r="B69" s="27">
        <v>111.18</v>
      </c>
      <c r="C69" s="23">
        <f>IFERROR(B69/B148, "NA")</f>
        <v>0.003296348489</v>
      </c>
      <c r="D69" s="27">
        <v>70.1</v>
      </c>
      <c r="E69" s="23">
        <f>IFERROR(D69/D148, "NA")</f>
        <v>0.002388886939</v>
      </c>
      <c r="F69" s="27">
        <v>245.57</v>
      </c>
      <c r="G69" s="23">
        <f>IFERROR(F69/F148, "NA")</f>
        <v>0.008241654976</v>
      </c>
      <c r="H69" s="27">
        <v>18.81</v>
      </c>
      <c r="I69" s="23">
        <f>IFERROR(H69/H148, "NA")</f>
        <v>0.0006078463561</v>
      </c>
      <c r="J69" s="27">
        <v>255.11</v>
      </c>
      <c r="K69" s="23">
        <f>IFERROR(J69/J148, "NA")</f>
        <v>0.01098899679</v>
      </c>
      <c r="L69" s="27">
        <v>33.67</v>
      </c>
      <c r="M69" s="23">
        <f>IFERROR(L69/L148, "NA")</f>
        <v>0.001334039115</v>
      </c>
      <c r="N69" s="27">
        <v>71.71</v>
      </c>
      <c r="O69" s="23">
        <f>IFERROR(N69/N148, "NA")</f>
        <v>0.002156762432</v>
      </c>
      <c r="P69" s="27">
        <v>416.73</v>
      </c>
      <c r="Q69" s="23">
        <f>IFERROR(P69/P148, "NA")</f>
        <v>0.01248614249</v>
      </c>
      <c r="R69" s="27">
        <v>0.0</v>
      </c>
      <c r="S69" s="23">
        <f>IFERROR(R69/R148, "NA")</f>
        <v>0</v>
      </c>
      <c r="T69" s="27">
        <v>411.69</v>
      </c>
      <c r="U69" s="23">
        <f>IFERROR(T69/T148, "NA")</f>
        <v>0.009977108076</v>
      </c>
      <c r="V69" s="27">
        <v>54.34</v>
      </c>
      <c r="W69" s="23">
        <f>IFERROR(V69/V148, "NA")</f>
        <v>0.001696723083</v>
      </c>
      <c r="X69" s="27">
        <v>31.51</v>
      </c>
      <c r="Y69" s="23">
        <f>IFERROR(X69/X148, "NA")</f>
        <v>0.001121020395</v>
      </c>
      <c r="Z69" s="27">
        <v>497.54</v>
      </c>
      <c r="AA69" s="23">
        <f>IFERROR(Z69/Z148, "NA")</f>
        <v>0.003868440372</v>
      </c>
      <c r="AB69" s="59">
        <f t="shared" si="31"/>
        <v>124.385</v>
      </c>
      <c r="AC69" s="23">
        <f>IFERROR(AB69/AB148, "NA")</f>
        <v>0.003868440372</v>
      </c>
      <c r="AD69" s="61">
        <f t="shared" si="32"/>
        <v>-92.875</v>
      </c>
      <c r="AE69" s="63">
        <f>IFERROR(AD69/AD148, "NA")</f>
        <v>0.02295780584</v>
      </c>
      <c r="AF69" s="61">
        <f t="shared" si="33"/>
        <v>-0.7466736343</v>
      </c>
      <c r="AG69" s="59">
        <f t="shared" si="34"/>
        <v>159.345</v>
      </c>
      <c r="AH69" s="23">
        <f>IFERROR(AG69/AG148, "NA")</f>
        <v>0.005230994343</v>
      </c>
      <c r="AI69" s="61">
        <f t="shared" si="35"/>
        <v>-127.835</v>
      </c>
      <c r="AJ69" s="63">
        <f>IFERROR(AI69/AI148, "NA")</f>
        <v>0.05431965781</v>
      </c>
      <c r="AK69" s="61">
        <f t="shared" si="36"/>
        <v>-0.8022529731</v>
      </c>
      <c r="AL69" s="63">
        <f>IFERROR(AK69/AK148, "NA")</f>
        <v>10.38419357</v>
      </c>
    </row>
    <row r="70" ht="16.5" customHeight="1">
      <c r="A70" s="66" t="s">
        <v>156</v>
      </c>
      <c r="B70" s="67">
        <f>IFERROR(B65+B66+B67+B68+B69, "NA")</f>
        <v>7195.94</v>
      </c>
      <c r="C70" s="69">
        <f>IFERROR(B70/B148, "NA")</f>
        <v>0.2133506561</v>
      </c>
      <c r="D70" s="67">
        <f>IFERROR(D65+D66+D67+D68+D69, "NA")</f>
        <v>6692.72</v>
      </c>
      <c r="E70" s="69">
        <f>IFERROR(D70/D148, "NA")</f>
        <v>0.2280763394</v>
      </c>
      <c r="F70" s="67">
        <f>IFERROR(F65+F66+F67+F68+F69, "NA")</f>
        <v>6477.77</v>
      </c>
      <c r="G70" s="69">
        <f>IFERROR(F70/F148, "NA")</f>
        <v>0.2174025547</v>
      </c>
      <c r="H70" s="67">
        <f>IFERROR(H65+H66+H67+H68+H69, "NA")</f>
        <v>6166.76</v>
      </c>
      <c r="I70" s="69">
        <f>IFERROR(H70/H148, "NA")</f>
        <v>0.1992792448</v>
      </c>
      <c r="J70" s="67">
        <f>IFERROR(J65+J66+J67+J68+J69, "NA")</f>
        <v>6438.69</v>
      </c>
      <c r="K70" s="69">
        <f>IFERROR(J70/J148, "NA")</f>
        <v>0.2773499421</v>
      </c>
      <c r="L70" s="67">
        <f>IFERROR(L65+L66+L67+L68+L69, "NA")</f>
        <v>6534.56</v>
      </c>
      <c r="M70" s="69">
        <f>IFERROR(L70/L148, "NA")</f>
        <v>0.2589058106</v>
      </c>
      <c r="N70" s="67">
        <f>IFERROR(N65+N66+N67+N68+N69, "NA")</f>
        <v>7054.65</v>
      </c>
      <c r="O70" s="69">
        <f>IFERROR(N70/N148, "NA")</f>
        <v>0.2121768804</v>
      </c>
      <c r="P70" s="67">
        <f>IFERROR(P65+P66+P67+P68+P69, "NA")</f>
        <v>7095.86</v>
      </c>
      <c r="Q70" s="69">
        <f>IFERROR(P70/P148, "NA")</f>
        <v>0.2126074893</v>
      </c>
      <c r="R70" s="67">
        <f>IFERROR(R65+R66+R67+R68+R69, "NA")</f>
        <v>6124.26</v>
      </c>
      <c r="S70" s="69">
        <f>IFERROR(R70/R148, "NA")</f>
        <v>0.2250166441</v>
      </c>
      <c r="T70" s="67">
        <f>IFERROR(T65+T66+T67+T68+T69, "NA")</f>
        <v>6894.55</v>
      </c>
      <c r="U70" s="69">
        <f>IFERROR(T70/T148, "NA")</f>
        <v>0.1670860854</v>
      </c>
      <c r="V70" s="67">
        <f>IFERROR(V65+V66+V67+V68+V69, "NA")</f>
        <v>6353.49</v>
      </c>
      <c r="W70" s="69">
        <f>IFERROR(V70/V148, "NA")</f>
        <v>0.1983826488</v>
      </c>
      <c r="X70" s="67">
        <f>IFERROR(X65+X66+X67+X68+X69, "NA")</f>
        <v>6042.38</v>
      </c>
      <c r="Y70" s="69">
        <f>IFERROR(X70/X148, "NA")</f>
        <v>0.2149676679</v>
      </c>
      <c r="Z70" s="67">
        <f>IFERROR(Z65+Z66+Z67+Z68+Z69, "NA")</f>
        <v>25414.68</v>
      </c>
      <c r="AA70" s="69">
        <f>IFERROR(Z70/Z148, "NA")</f>
        <v>0.1976025529</v>
      </c>
      <c r="AB70" s="67">
        <f t="shared" si="31"/>
        <v>6353.67</v>
      </c>
      <c r="AC70" s="69">
        <f>IFERROR(AB70/AB148, "NA")</f>
        <v>0.1976025529</v>
      </c>
      <c r="AD70" s="70">
        <f t="shared" si="32"/>
        <v>-311.29</v>
      </c>
      <c r="AE70" s="71">
        <f>IFERROR(AD70/AD148, "NA")</f>
        <v>0.07694789103</v>
      </c>
      <c r="AF70" s="70">
        <f t="shared" si="33"/>
        <v>-0.04899373118</v>
      </c>
      <c r="AG70" s="67">
        <f t="shared" si="34"/>
        <v>6567.305</v>
      </c>
      <c r="AH70" s="69">
        <f>IFERROR(AG70/AG148, "NA")</f>
        <v>0.2155921761</v>
      </c>
      <c r="AI70" s="70">
        <f t="shared" si="35"/>
        <v>-524.925</v>
      </c>
      <c r="AJ70" s="71">
        <f>IFERROR(AI70/AI148, "NA")</f>
        <v>0.2230511705</v>
      </c>
      <c r="AK70" s="70">
        <f t="shared" si="36"/>
        <v>-0.07993004741</v>
      </c>
      <c r="AL70" s="71">
        <f>IFERROR(AK70/AK148, "NA")</f>
        <v>1.034597704</v>
      </c>
    </row>
    <row r="71" ht="16.5" hidden="1" customHeight="1">
      <c r="A71" s="26" t="s">
        <v>162</v>
      </c>
      <c r="B71" s="27">
        <v>0.0</v>
      </c>
      <c r="C71" s="23">
        <f>IFERROR(B71/B148, "NA")</f>
        <v>0</v>
      </c>
      <c r="D71" s="27">
        <v>0.0</v>
      </c>
      <c r="E71" s="23">
        <f>IFERROR(D71/D148, "NA")</f>
        <v>0</v>
      </c>
      <c r="F71" s="27">
        <v>0.0</v>
      </c>
      <c r="G71" s="23">
        <f>IFERROR(F71/F148, "NA")</f>
        <v>0</v>
      </c>
      <c r="H71" s="27">
        <v>0.0</v>
      </c>
      <c r="I71" s="23">
        <f>IFERROR(H71/H148, "NA")</f>
        <v>0</v>
      </c>
      <c r="J71" s="27">
        <v>0.0</v>
      </c>
      <c r="K71" s="23">
        <f>IFERROR(J71/J148, "NA")</f>
        <v>0</v>
      </c>
      <c r="L71" s="27">
        <v>0.0</v>
      </c>
      <c r="M71" s="23">
        <f>IFERROR(L71/L148, "NA")</f>
        <v>0</v>
      </c>
      <c r="N71" s="27">
        <v>0.0</v>
      </c>
      <c r="O71" s="23">
        <f>IFERROR(N71/N148, "NA")</f>
        <v>0</v>
      </c>
      <c r="P71" s="27">
        <v>0.0</v>
      </c>
      <c r="Q71" s="23">
        <f>IFERROR(P71/P148, "NA")</f>
        <v>0</v>
      </c>
      <c r="R71" s="27">
        <v>0.0</v>
      </c>
      <c r="S71" s="23">
        <f>IFERROR(R71/R148, "NA")</f>
        <v>0</v>
      </c>
      <c r="T71" s="27">
        <v>0.0</v>
      </c>
      <c r="U71" s="23">
        <f>IFERROR(T71/T148, "NA")</f>
        <v>0</v>
      </c>
      <c r="V71" s="27">
        <v>0.0</v>
      </c>
      <c r="W71" s="23">
        <f>IFERROR(V71/V148, "NA")</f>
        <v>0</v>
      </c>
      <c r="X71" s="27">
        <v>0.0</v>
      </c>
      <c r="Y71" s="23">
        <f>IFERROR(X71/X148, "NA")</f>
        <v>0</v>
      </c>
      <c r="Z71" s="27">
        <v>0.0</v>
      </c>
      <c r="AA71" s="23">
        <f>IFERROR(Z71/Z148, "NA")</f>
        <v>0</v>
      </c>
      <c r="AB71" s="59">
        <f t="shared" si="31"/>
        <v>0</v>
      </c>
      <c r="AC71" s="23">
        <f>IFERROR(AB71/AB148, "NA")</f>
        <v>0</v>
      </c>
      <c r="AD71" s="61">
        <f t="shared" si="32"/>
        <v>0</v>
      </c>
      <c r="AE71" s="63">
        <f>IFERROR(AD71/AD148, "NA")</f>
        <v>0</v>
      </c>
      <c r="AF71" s="61" t="str">
        <f t="shared" si="33"/>
        <v>NA</v>
      </c>
      <c r="AG71" s="59">
        <f t="shared" si="34"/>
        <v>0</v>
      </c>
      <c r="AH71" s="23">
        <f>IFERROR(AG71/AG148, "NA")</f>
        <v>0</v>
      </c>
      <c r="AI71" s="61">
        <f t="shared" si="35"/>
        <v>0</v>
      </c>
      <c r="AJ71" s="63">
        <f>IFERROR(AI71/AI148, "NA")</f>
        <v>0</v>
      </c>
      <c r="AK71" s="61" t="str">
        <f t="shared" si="36"/>
        <v>NA</v>
      </c>
      <c r="AL71" s="63" t="str">
        <f>IFERROR(AK71/AK148, "NA")</f>
        <v>NA</v>
      </c>
    </row>
    <row r="72" ht="16.5" customHeight="1">
      <c r="A72" s="26" t="s">
        <v>167</v>
      </c>
      <c r="B72" s="27">
        <v>0.0</v>
      </c>
      <c r="C72" s="23">
        <f>IFERROR(B72/B148, "NA")</f>
        <v>0</v>
      </c>
      <c r="D72" s="27">
        <v>0.0</v>
      </c>
      <c r="E72" s="23">
        <f>IFERROR(D72/D148, "NA")</f>
        <v>0</v>
      </c>
      <c r="F72" s="27">
        <v>-875.0</v>
      </c>
      <c r="G72" s="23">
        <f>IFERROR(F72/F148, "NA")</f>
        <v>-0.02936616079</v>
      </c>
      <c r="H72" s="27">
        <v>0.0</v>
      </c>
      <c r="I72" s="23">
        <f>IFERROR(H72/H148, "NA")</f>
        <v>0</v>
      </c>
      <c r="J72" s="27">
        <v>0.0</v>
      </c>
      <c r="K72" s="23">
        <f>IFERROR(J72/J148, "NA")</f>
        <v>0</v>
      </c>
      <c r="L72" s="27">
        <v>0.0</v>
      </c>
      <c r="M72" s="23">
        <f>IFERROR(L72/L148, "NA")</f>
        <v>0</v>
      </c>
      <c r="N72" s="27">
        <v>0.0</v>
      </c>
      <c r="O72" s="23">
        <f>IFERROR(N72/N148, "NA")</f>
        <v>0</v>
      </c>
      <c r="P72" s="27">
        <v>525.0</v>
      </c>
      <c r="Q72" s="23">
        <f>IFERROR(P72/P148, "NA")</f>
        <v>0.01573014855</v>
      </c>
      <c r="R72" s="27">
        <v>0.0</v>
      </c>
      <c r="S72" s="23">
        <f>IFERROR(R72/R148, "NA")</f>
        <v>0</v>
      </c>
      <c r="T72" s="27">
        <v>0.0</v>
      </c>
      <c r="U72" s="23">
        <f>IFERROR(T72/T148, "NA")</f>
        <v>0</v>
      </c>
      <c r="V72" s="27">
        <v>0.0</v>
      </c>
      <c r="W72" s="23">
        <f>IFERROR(V72/V148, "NA")</f>
        <v>0</v>
      </c>
      <c r="X72" s="27">
        <v>-875.0</v>
      </c>
      <c r="Y72" s="23">
        <f>IFERROR(X72/X148, "NA")</f>
        <v>-0.03112957302</v>
      </c>
      <c r="Z72" s="27">
        <v>-875.0</v>
      </c>
      <c r="AA72" s="23">
        <f>IFERROR(Z72/Z148, "NA")</f>
        <v>-0.006803242604</v>
      </c>
      <c r="AB72" s="59">
        <f t="shared" si="31"/>
        <v>-218.75</v>
      </c>
      <c r="AC72" s="23">
        <f>IFERROR(AB72/AB148, "NA")</f>
        <v>-0.006803242604</v>
      </c>
      <c r="AD72" s="61">
        <f t="shared" si="32"/>
        <v>-656.25</v>
      </c>
      <c r="AE72" s="63">
        <f>IFERROR(AD72/AD148, "NA")</f>
        <v>0.1622186819</v>
      </c>
      <c r="AF72" s="61">
        <f t="shared" si="33"/>
        <v>3</v>
      </c>
      <c r="AG72" s="59">
        <f t="shared" si="34"/>
        <v>-43.75</v>
      </c>
      <c r="AH72" s="23">
        <f>IFERROR(AG72/AG148, "NA")</f>
        <v>-0.001436229581</v>
      </c>
      <c r="AI72" s="61">
        <f t="shared" si="35"/>
        <v>-831.25</v>
      </c>
      <c r="AJ72" s="63">
        <f>IFERROR(AI72/AI148, "NA")</f>
        <v>0.3532148125</v>
      </c>
      <c r="AK72" s="61">
        <f t="shared" si="36"/>
        <v>19</v>
      </c>
      <c r="AL72" s="63">
        <f>IFERROR(AK72/AK148, "NA")</f>
        <v>-245.9319995</v>
      </c>
    </row>
    <row r="73" ht="16.5" customHeight="1">
      <c r="A73" s="17" t="s">
        <v>175</v>
      </c>
      <c r="B73" s="19"/>
      <c r="C73" s="13"/>
      <c r="D73" s="19"/>
      <c r="E73" s="13"/>
      <c r="F73" s="19"/>
      <c r="G73" s="13"/>
      <c r="H73" s="19"/>
      <c r="I73" s="13"/>
      <c r="J73" s="19"/>
      <c r="K73" s="13"/>
      <c r="L73" s="19"/>
      <c r="M73" s="13"/>
      <c r="N73" s="19"/>
      <c r="O73" s="13"/>
      <c r="P73" s="19"/>
      <c r="Q73" s="13"/>
      <c r="R73" s="19"/>
      <c r="S73" s="13"/>
      <c r="T73" s="19"/>
      <c r="U73" s="13"/>
      <c r="V73" s="19"/>
      <c r="W73" s="13"/>
      <c r="X73" s="19"/>
      <c r="Y73" s="13"/>
      <c r="Z73" s="19"/>
      <c r="AA73" s="13"/>
      <c r="AB73" s="19"/>
      <c r="AC73" s="13"/>
      <c r="AD73" s="24"/>
      <c r="AE73" s="25"/>
      <c r="AF73" s="24"/>
      <c r="AG73" s="19"/>
      <c r="AH73" s="13"/>
      <c r="AI73" s="24"/>
      <c r="AJ73" s="25"/>
      <c r="AK73" s="24"/>
      <c r="AL73" s="25"/>
    </row>
    <row r="74" ht="16.5" customHeight="1">
      <c r="A74" s="26" t="s">
        <v>177</v>
      </c>
      <c r="B74" s="27">
        <v>638.27</v>
      </c>
      <c r="C74" s="23">
        <f>IFERROR(B74/B148, "NA")</f>
        <v>0.01892391033</v>
      </c>
      <c r="D74" s="27">
        <v>589.31</v>
      </c>
      <c r="E74" s="23">
        <f>IFERROR(D74/D148, "NA")</f>
        <v>0.02008266707</v>
      </c>
      <c r="F74" s="27">
        <v>559.82</v>
      </c>
      <c r="G74" s="23">
        <f>IFERROR(F74/F148, "NA")</f>
        <v>0.01878830186</v>
      </c>
      <c r="H74" s="27">
        <v>537.13</v>
      </c>
      <c r="I74" s="23">
        <f>IFERROR(H74/H148, "NA")</f>
        <v>0.01735739039</v>
      </c>
      <c r="J74" s="27">
        <v>584.29</v>
      </c>
      <c r="K74" s="23">
        <f>IFERROR(J74/J148, "NA")</f>
        <v>0.0251685976</v>
      </c>
      <c r="L74" s="27">
        <v>564.79</v>
      </c>
      <c r="M74" s="23">
        <f>IFERROR(L74/L148, "NA")</f>
        <v>0.02237754535</v>
      </c>
      <c r="N74" s="27">
        <v>632.85</v>
      </c>
      <c r="O74" s="23">
        <f>IFERROR(N74/N148, "NA")</f>
        <v>0.01903370667</v>
      </c>
      <c r="P74" s="27">
        <v>630.77</v>
      </c>
      <c r="Q74" s="23">
        <f>IFERROR(P74/P148, "NA")</f>
        <v>0.01889924915</v>
      </c>
      <c r="R74" s="27">
        <v>534.32</v>
      </c>
      <c r="S74" s="23">
        <f>IFERROR(R74/R148, "NA")</f>
        <v>0.01963190545</v>
      </c>
      <c r="T74" s="27">
        <v>592.94</v>
      </c>
      <c r="U74" s="23">
        <f>IFERROR(T74/T148, "NA")</f>
        <v>0.01436961418</v>
      </c>
      <c r="V74" s="27">
        <v>559.88</v>
      </c>
      <c r="W74" s="23">
        <f>IFERROR(V74/V148, "NA")</f>
        <v>0.01748180566</v>
      </c>
      <c r="X74" s="27">
        <v>536.89</v>
      </c>
      <c r="Y74" s="23">
        <f>IFERROR(X74/X148, "NA")</f>
        <v>0.01910075024</v>
      </c>
      <c r="Z74" s="27">
        <v>2224.03</v>
      </c>
      <c r="AA74" s="23">
        <f>IFERROR(Z74/Z148, "NA")</f>
        <v>0.01729213217</v>
      </c>
      <c r="AB74" s="59">
        <f t="shared" ref="AB74:AB85" si="37">IFERROR((R74+T74+V74+X74)/4, "NA")</f>
        <v>556.0075</v>
      </c>
      <c r="AC74" s="23">
        <f>IFERROR(AB74/AB148, "NA")</f>
        <v>0.01729213217</v>
      </c>
      <c r="AD74" s="61">
        <f t="shared" ref="AD74:AD85" si="38">IFERROR(X74-AB74, "NA")</f>
        <v>-19.1175</v>
      </c>
      <c r="AE74" s="63">
        <f>IFERROR(AD74/AD148, "NA")</f>
        <v>0.004725661945</v>
      </c>
      <c r="AF74" s="61">
        <f t="shared" ref="AF74:AF85" si="39">IFERROR((X74-AB74)/AB74, "NA")</f>
        <v>-0.034383529</v>
      </c>
      <c r="AG74" s="59">
        <f t="shared" ref="AG74:AG85" si="40">IFERROR((J74+L74+N74+P74+R74+T74+V74+X74)/8, "NA")</f>
        <v>579.59125</v>
      </c>
      <c r="AH74" s="23">
        <f>IFERROR(AG74/AG148, "NA")</f>
        <v>0.01902688224</v>
      </c>
      <c r="AI74" s="61">
        <f t="shared" ref="AI74:AI85" si="41">IFERROR(X74-AG74, "NA")</f>
        <v>-42.70125</v>
      </c>
      <c r="AJ74" s="63">
        <f>IFERROR(AI74/AI148, "NA")</f>
        <v>0.01814461836</v>
      </c>
      <c r="AK74" s="61">
        <f t="shared" ref="AK74:AK85" si="42">IFERROR((X74-AG74)/AG74, "NA")</f>
        <v>-0.07367476648</v>
      </c>
      <c r="AL74" s="63">
        <f>IFERROR(AK74/AK148, "NA")</f>
        <v>0.953630665</v>
      </c>
    </row>
    <row r="75" ht="16.5" hidden="1" customHeight="1">
      <c r="A75" s="26" t="s">
        <v>183</v>
      </c>
      <c r="B75" s="27">
        <v>0.0</v>
      </c>
      <c r="C75" s="23">
        <f>IFERROR(B75/B148, "NA")</f>
        <v>0</v>
      </c>
      <c r="D75" s="27">
        <v>0.0</v>
      </c>
      <c r="E75" s="23">
        <f>IFERROR(D75/D148, "NA")</f>
        <v>0</v>
      </c>
      <c r="F75" s="27">
        <v>0.0</v>
      </c>
      <c r="G75" s="23">
        <f>IFERROR(F75/F148, "NA")</f>
        <v>0</v>
      </c>
      <c r="H75" s="27">
        <v>0.0</v>
      </c>
      <c r="I75" s="23">
        <f>IFERROR(H75/H148, "NA")</f>
        <v>0</v>
      </c>
      <c r="J75" s="27">
        <v>0.0</v>
      </c>
      <c r="K75" s="23">
        <f>IFERROR(J75/J148, "NA")</f>
        <v>0</v>
      </c>
      <c r="L75" s="27">
        <v>0.0</v>
      </c>
      <c r="M75" s="23">
        <f>IFERROR(L75/L148, "NA")</f>
        <v>0</v>
      </c>
      <c r="N75" s="27">
        <v>0.0</v>
      </c>
      <c r="O75" s="23">
        <f>IFERROR(N75/N148, "NA")</f>
        <v>0</v>
      </c>
      <c r="P75" s="27">
        <v>0.0</v>
      </c>
      <c r="Q75" s="23">
        <f>IFERROR(P75/P148, "NA")</f>
        <v>0</v>
      </c>
      <c r="R75" s="27">
        <v>0.0</v>
      </c>
      <c r="S75" s="23">
        <f>IFERROR(R75/R148, "NA")</f>
        <v>0</v>
      </c>
      <c r="T75" s="27">
        <v>0.0</v>
      </c>
      <c r="U75" s="23">
        <f>IFERROR(T75/T148, "NA")</f>
        <v>0</v>
      </c>
      <c r="V75" s="27">
        <v>0.0</v>
      </c>
      <c r="W75" s="23">
        <f>IFERROR(V75/V148, "NA")</f>
        <v>0</v>
      </c>
      <c r="X75" s="27">
        <v>0.0</v>
      </c>
      <c r="Y75" s="23">
        <f>IFERROR(X75/X148, "NA")</f>
        <v>0</v>
      </c>
      <c r="Z75" s="27">
        <v>0.0</v>
      </c>
      <c r="AA75" s="23">
        <f>IFERROR(Z75/Z148, "NA")</f>
        <v>0</v>
      </c>
      <c r="AB75" s="59">
        <f t="shared" si="37"/>
        <v>0</v>
      </c>
      <c r="AC75" s="23">
        <f>IFERROR(AB75/AB148, "NA")</f>
        <v>0</v>
      </c>
      <c r="AD75" s="61">
        <f t="shared" si="38"/>
        <v>0</v>
      </c>
      <c r="AE75" s="63">
        <f>IFERROR(AD75/AD148, "NA")</f>
        <v>0</v>
      </c>
      <c r="AF75" s="61" t="str">
        <f t="shared" si="39"/>
        <v>NA</v>
      </c>
      <c r="AG75" s="59">
        <f t="shared" si="40"/>
        <v>0</v>
      </c>
      <c r="AH75" s="23">
        <f>IFERROR(AG75/AG148, "NA")</f>
        <v>0</v>
      </c>
      <c r="AI75" s="61">
        <f t="shared" si="41"/>
        <v>0</v>
      </c>
      <c r="AJ75" s="63">
        <f>IFERROR(AI75/AI148, "NA")</f>
        <v>0</v>
      </c>
      <c r="AK75" s="61" t="str">
        <f t="shared" si="42"/>
        <v>NA</v>
      </c>
      <c r="AL75" s="63" t="str">
        <f>IFERROR(AK75/AK148, "NA")</f>
        <v>NA</v>
      </c>
    </row>
    <row r="76" ht="16.5" hidden="1" customHeight="1">
      <c r="A76" s="26" t="s">
        <v>184</v>
      </c>
      <c r="B76" s="27">
        <v>0.0</v>
      </c>
      <c r="C76" s="23">
        <f>IFERROR(B76/B148, "NA")</f>
        <v>0</v>
      </c>
      <c r="D76" s="27">
        <v>0.0</v>
      </c>
      <c r="E76" s="23">
        <f>IFERROR(D76/D148, "NA")</f>
        <v>0</v>
      </c>
      <c r="F76" s="27">
        <v>0.0</v>
      </c>
      <c r="G76" s="23">
        <f>IFERROR(F76/F148, "NA")</f>
        <v>0</v>
      </c>
      <c r="H76" s="27">
        <v>0.0</v>
      </c>
      <c r="I76" s="23">
        <f>IFERROR(H76/H148, "NA")</f>
        <v>0</v>
      </c>
      <c r="J76" s="27">
        <v>0.0</v>
      </c>
      <c r="K76" s="23">
        <f>IFERROR(J76/J148, "NA")</f>
        <v>0</v>
      </c>
      <c r="L76" s="27">
        <v>0.0</v>
      </c>
      <c r="M76" s="23">
        <f>IFERROR(L76/L148, "NA")</f>
        <v>0</v>
      </c>
      <c r="N76" s="27">
        <v>0.0</v>
      </c>
      <c r="O76" s="23">
        <f>IFERROR(N76/N148, "NA")</f>
        <v>0</v>
      </c>
      <c r="P76" s="27">
        <v>0.0</v>
      </c>
      <c r="Q76" s="23">
        <f>IFERROR(P76/P148, "NA")</f>
        <v>0</v>
      </c>
      <c r="R76" s="27">
        <v>0.0</v>
      </c>
      <c r="S76" s="23">
        <f>IFERROR(R76/R148, "NA")</f>
        <v>0</v>
      </c>
      <c r="T76" s="27">
        <v>0.0</v>
      </c>
      <c r="U76" s="23">
        <f>IFERROR(T76/T148, "NA")</f>
        <v>0</v>
      </c>
      <c r="V76" s="27">
        <v>0.0</v>
      </c>
      <c r="W76" s="23">
        <f>IFERROR(V76/V148, "NA")</f>
        <v>0</v>
      </c>
      <c r="X76" s="27">
        <v>0.0</v>
      </c>
      <c r="Y76" s="23">
        <f>IFERROR(X76/X148, "NA")</f>
        <v>0</v>
      </c>
      <c r="Z76" s="27">
        <v>0.0</v>
      </c>
      <c r="AA76" s="23">
        <f>IFERROR(Z76/Z148, "NA")</f>
        <v>0</v>
      </c>
      <c r="AB76" s="59">
        <f t="shared" si="37"/>
        <v>0</v>
      </c>
      <c r="AC76" s="23">
        <f>IFERROR(AB76/AB148, "NA")</f>
        <v>0</v>
      </c>
      <c r="AD76" s="61">
        <f t="shared" si="38"/>
        <v>0</v>
      </c>
      <c r="AE76" s="63">
        <f>IFERROR(AD76/AD148, "NA")</f>
        <v>0</v>
      </c>
      <c r="AF76" s="61" t="str">
        <f t="shared" si="39"/>
        <v>NA</v>
      </c>
      <c r="AG76" s="59">
        <f t="shared" si="40"/>
        <v>0</v>
      </c>
      <c r="AH76" s="23">
        <f>IFERROR(AG76/AG148, "NA")</f>
        <v>0</v>
      </c>
      <c r="AI76" s="61">
        <f t="shared" si="41"/>
        <v>0</v>
      </c>
      <c r="AJ76" s="63">
        <f>IFERROR(AI76/AI148, "NA")</f>
        <v>0</v>
      </c>
      <c r="AK76" s="61" t="str">
        <f t="shared" si="42"/>
        <v>NA</v>
      </c>
      <c r="AL76" s="63" t="str">
        <f>IFERROR(AK76/AK148, "NA")</f>
        <v>NA</v>
      </c>
    </row>
    <row r="77" ht="16.5" hidden="1" customHeight="1">
      <c r="A77" s="26" t="s">
        <v>185</v>
      </c>
      <c r="B77" s="27">
        <v>0.0</v>
      </c>
      <c r="C77" s="23">
        <f>IFERROR(B77/B148, "NA")</f>
        <v>0</v>
      </c>
      <c r="D77" s="27">
        <v>0.0</v>
      </c>
      <c r="E77" s="23">
        <f>IFERROR(D77/D148, "NA")</f>
        <v>0</v>
      </c>
      <c r="F77" s="27">
        <v>0.0</v>
      </c>
      <c r="G77" s="23">
        <f>IFERROR(F77/F148, "NA")</f>
        <v>0</v>
      </c>
      <c r="H77" s="27">
        <v>0.0</v>
      </c>
      <c r="I77" s="23">
        <f>IFERROR(H77/H148, "NA")</f>
        <v>0</v>
      </c>
      <c r="J77" s="27">
        <v>0.0</v>
      </c>
      <c r="K77" s="23">
        <f>IFERROR(J77/J148, "NA")</f>
        <v>0</v>
      </c>
      <c r="L77" s="27">
        <v>0.0</v>
      </c>
      <c r="M77" s="23">
        <f>IFERROR(L77/L148, "NA")</f>
        <v>0</v>
      </c>
      <c r="N77" s="27">
        <v>0.0</v>
      </c>
      <c r="O77" s="23">
        <f>IFERROR(N77/N148, "NA")</f>
        <v>0</v>
      </c>
      <c r="P77" s="27">
        <v>0.0</v>
      </c>
      <c r="Q77" s="23">
        <f>IFERROR(P77/P148, "NA")</f>
        <v>0</v>
      </c>
      <c r="R77" s="27">
        <v>0.0</v>
      </c>
      <c r="S77" s="23">
        <f>IFERROR(R77/R148, "NA")</f>
        <v>0</v>
      </c>
      <c r="T77" s="27">
        <v>0.0</v>
      </c>
      <c r="U77" s="23">
        <f>IFERROR(T77/T148, "NA")</f>
        <v>0</v>
      </c>
      <c r="V77" s="27">
        <v>0.0</v>
      </c>
      <c r="W77" s="23">
        <f>IFERROR(V77/V148, "NA")</f>
        <v>0</v>
      </c>
      <c r="X77" s="27">
        <v>0.0</v>
      </c>
      <c r="Y77" s="23">
        <f>IFERROR(X77/X148, "NA")</f>
        <v>0</v>
      </c>
      <c r="Z77" s="27">
        <v>0.0</v>
      </c>
      <c r="AA77" s="23">
        <f>IFERROR(Z77/Z148, "NA")</f>
        <v>0</v>
      </c>
      <c r="AB77" s="59">
        <f t="shared" si="37"/>
        <v>0</v>
      </c>
      <c r="AC77" s="23">
        <f>IFERROR(AB77/AB148, "NA")</f>
        <v>0</v>
      </c>
      <c r="AD77" s="61">
        <f t="shared" si="38"/>
        <v>0</v>
      </c>
      <c r="AE77" s="63">
        <f>IFERROR(AD77/AD148, "NA")</f>
        <v>0</v>
      </c>
      <c r="AF77" s="61" t="str">
        <f t="shared" si="39"/>
        <v>NA</v>
      </c>
      <c r="AG77" s="59">
        <f t="shared" si="40"/>
        <v>0</v>
      </c>
      <c r="AH77" s="23">
        <f>IFERROR(AG77/AG148, "NA")</f>
        <v>0</v>
      </c>
      <c r="AI77" s="61">
        <f t="shared" si="41"/>
        <v>0</v>
      </c>
      <c r="AJ77" s="63">
        <f>IFERROR(AI77/AI148, "NA")</f>
        <v>0</v>
      </c>
      <c r="AK77" s="61" t="str">
        <f t="shared" si="42"/>
        <v>NA</v>
      </c>
      <c r="AL77" s="63" t="str">
        <f>IFERROR(AK77/AK148, "NA")</f>
        <v>NA</v>
      </c>
    </row>
    <row r="78" ht="16.5" hidden="1" customHeight="1">
      <c r="A78" s="26" t="s">
        <v>186</v>
      </c>
      <c r="B78" s="27">
        <v>0.0</v>
      </c>
      <c r="C78" s="23">
        <f>IFERROR(B78/B148, "NA")</f>
        <v>0</v>
      </c>
      <c r="D78" s="27">
        <v>0.0</v>
      </c>
      <c r="E78" s="23">
        <f>IFERROR(D78/D148, "NA")</f>
        <v>0</v>
      </c>
      <c r="F78" s="27">
        <v>0.0</v>
      </c>
      <c r="G78" s="23">
        <f>IFERROR(F78/F148, "NA")</f>
        <v>0</v>
      </c>
      <c r="H78" s="27">
        <v>0.0</v>
      </c>
      <c r="I78" s="23">
        <f>IFERROR(H78/H148, "NA")</f>
        <v>0</v>
      </c>
      <c r="J78" s="27">
        <v>0.0</v>
      </c>
      <c r="K78" s="23">
        <f>IFERROR(J78/J148, "NA")</f>
        <v>0</v>
      </c>
      <c r="L78" s="27">
        <v>0.0</v>
      </c>
      <c r="M78" s="23">
        <f>IFERROR(L78/L148, "NA")</f>
        <v>0</v>
      </c>
      <c r="N78" s="27">
        <v>0.0</v>
      </c>
      <c r="O78" s="23">
        <f>IFERROR(N78/N148, "NA")</f>
        <v>0</v>
      </c>
      <c r="P78" s="27">
        <v>0.0</v>
      </c>
      <c r="Q78" s="23">
        <f>IFERROR(P78/P148, "NA")</f>
        <v>0</v>
      </c>
      <c r="R78" s="27">
        <v>0.0</v>
      </c>
      <c r="S78" s="23">
        <f>IFERROR(R78/R148, "NA")</f>
        <v>0</v>
      </c>
      <c r="T78" s="27">
        <v>0.0</v>
      </c>
      <c r="U78" s="23">
        <f>IFERROR(T78/T148, "NA")</f>
        <v>0</v>
      </c>
      <c r="V78" s="27">
        <v>0.0</v>
      </c>
      <c r="W78" s="23">
        <f>IFERROR(V78/V148, "NA")</f>
        <v>0</v>
      </c>
      <c r="X78" s="27">
        <v>0.0</v>
      </c>
      <c r="Y78" s="23">
        <f>IFERROR(X78/X148, "NA")</f>
        <v>0</v>
      </c>
      <c r="Z78" s="27">
        <v>0.0</v>
      </c>
      <c r="AA78" s="23">
        <f>IFERROR(Z78/Z148, "NA")</f>
        <v>0</v>
      </c>
      <c r="AB78" s="59">
        <f t="shared" si="37"/>
        <v>0</v>
      </c>
      <c r="AC78" s="23">
        <f>IFERROR(AB78/AB148, "NA")</f>
        <v>0</v>
      </c>
      <c r="AD78" s="61">
        <f t="shared" si="38"/>
        <v>0</v>
      </c>
      <c r="AE78" s="63">
        <f>IFERROR(AD78/AD148, "NA")</f>
        <v>0</v>
      </c>
      <c r="AF78" s="61" t="str">
        <f t="shared" si="39"/>
        <v>NA</v>
      </c>
      <c r="AG78" s="59">
        <f t="shared" si="40"/>
        <v>0</v>
      </c>
      <c r="AH78" s="23">
        <f>IFERROR(AG78/AG148, "NA")</f>
        <v>0</v>
      </c>
      <c r="AI78" s="61">
        <f t="shared" si="41"/>
        <v>0</v>
      </c>
      <c r="AJ78" s="63">
        <f>IFERROR(AI78/AI148, "NA")</f>
        <v>0</v>
      </c>
      <c r="AK78" s="61" t="str">
        <f t="shared" si="42"/>
        <v>NA</v>
      </c>
      <c r="AL78" s="63" t="str">
        <f>IFERROR(AK78/AK148, "NA")</f>
        <v>NA</v>
      </c>
    </row>
    <row r="79" ht="16.5" hidden="1" customHeight="1">
      <c r="A79" s="26" t="s">
        <v>187</v>
      </c>
      <c r="B79" s="27">
        <v>0.0</v>
      </c>
      <c r="C79" s="23">
        <f>IFERROR(B79/B148, "NA")</f>
        <v>0</v>
      </c>
      <c r="D79" s="27">
        <v>0.0</v>
      </c>
      <c r="E79" s="23">
        <f>IFERROR(D79/D148, "NA")</f>
        <v>0</v>
      </c>
      <c r="F79" s="27">
        <v>0.0</v>
      </c>
      <c r="G79" s="23">
        <f>IFERROR(F79/F148, "NA")</f>
        <v>0</v>
      </c>
      <c r="H79" s="27">
        <v>0.0</v>
      </c>
      <c r="I79" s="23">
        <f>IFERROR(H79/H148, "NA")</f>
        <v>0</v>
      </c>
      <c r="J79" s="27">
        <v>0.0</v>
      </c>
      <c r="K79" s="23">
        <f>IFERROR(J79/J148, "NA")</f>
        <v>0</v>
      </c>
      <c r="L79" s="27">
        <v>0.0</v>
      </c>
      <c r="M79" s="23">
        <f>IFERROR(L79/L148, "NA")</f>
        <v>0</v>
      </c>
      <c r="N79" s="27">
        <v>0.0</v>
      </c>
      <c r="O79" s="23">
        <f>IFERROR(N79/N148, "NA")</f>
        <v>0</v>
      </c>
      <c r="P79" s="27">
        <v>0.0</v>
      </c>
      <c r="Q79" s="23">
        <f>IFERROR(P79/P148, "NA")</f>
        <v>0</v>
      </c>
      <c r="R79" s="27">
        <v>0.0</v>
      </c>
      <c r="S79" s="23">
        <f>IFERROR(R79/R148, "NA")</f>
        <v>0</v>
      </c>
      <c r="T79" s="27">
        <v>0.0</v>
      </c>
      <c r="U79" s="23">
        <f>IFERROR(T79/T148, "NA")</f>
        <v>0</v>
      </c>
      <c r="V79" s="27">
        <v>0.0</v>
      </c>
      <c r="W79" s="23">
        <f>IFERROR(V79/V148, "NA")</f>
        <v>0</v>
      </c>
      <c r="X79" s="27">
        <v>0.0</v>
      </c>
      <c r="Y79" s="23">
        <f>IFERROR(X79/X148, "NA")</f>
        <v>0</v>
      </c>
      <c r="Z79" s="27">
        <v>0.0</v>
      </c>
      <c r="AA79" s="23">
        <f>IFERROR(Z79/Z148, "NA")</f>
        <v>0</v>
      </c>
      <c r="AB79" s="59">
        <f t="shared" si="37"/>
        <v>0</v>
      </c>
      <c r="AC79" s="23">
        <f>IFERROR(AB79/AB148, "NA")</f>
        <v>0</v>
      </c>
      <c r="AD79" s="61">
        <f t="shared" si="38"/>
        <v>0</v>
      </c>
      <c r="AE79" s="63">
        <f>IFERROR(AD79/AD148, "NA")</f>
        <v>0</v>
      </c>
      <c r="AF79" s="61" t="str">
        <f t="shared" si="39"/>
        <v>NA</v>
      </c>
      <c r="AG79" s="59">
        <f t="shared" si="40"/>
        <v>0</v>
      </c>
      <c r="AH79" s="23">
        <f>IFERROR(AG79/AG148, "NA")</f>
        <v>0</v>
      </c>
      <c r="AI79" s="61">
        <f t="shared" si="41"/>
        <v>0</v>
      </c>
      <c r="AJ79" s="63">
        <f>IFERROR(AI79/AI148, "NA")</f>
        <v>0</v>
      </c>
      <c r="AK79" s="61" t="str">
        <f t="shared" si="42"/>
        <v>NA</v>
      </c>
      <c r="AL79" s="63" t="str">
        <f>IFERROR(AK79/AK148, "NA")</f>
        <v>NA</v>
      </c>
    </row>
    <row r="80" ht="16.5" hidden="1" customHeight="1">
      <c r="A80" s="26" t="s">
        <v>188</v>
      </c>
      <c r="B80" s="27">
        <v>0.0</v>
      </c>
      <c r="C80" s="23">
        <f>IFERROR(B80/B148, "NA")</f>
        <v>0</v>
      </c>
      <c r="D80" s="27">
        <v>0.0</v>
      </c>
      <c r="E80" s="23">
        <f>IFERROR(D80/D148, "NA")</f>
        <v>0</v>
      </c>
      <c r="F80" s="27">
        <v>0.0</v>
      </c>
      <c r="G80" s="23">
        <f>IFERROR(F80/F148, "NA")</f>
        <v>0</v>
      </c>
      <c r="H80" s="27">
        <v>0.0</v>
      </c>
      <c r="I80" s="23">
        <f>IFERROR(H80/H148, "NA")</f>
        <v>0</v>
      </c>
      <c r="J80" s="27">
        <v>0.0</v>
      </c>
      <c r="K80" s="23">
        <f>IFERROR(J80/J148, "NA")</f>
        <v>0</v>
      </c>
      <c r="L80" s="27">
        <v>0.0</v>
      </c>
      <c r="M80" s="23">
        <f>IFERROR(L80/L148, "NA")</f>
        <v>0</v>
      </c>
      <c r="N80" s="27">
        <v>0.0</v>
      </c>
      <c r="O80" s="23">
        <f>IFERROR(N80/N148, "NA")</f>
        <v>0</v>
      </c>
      <c r="P80" s="27">
        <v>0.0</v>
      </c>
      <c r="Q80" s="23">
        <f>IFERROR(P80/P148, "NA")</f>
        <v>0</v>
      </c>
      <c r="R80" s="27">
        <v>0.0</v>
      </c>
      <c r="S80" s="23">
        <f>IFERROR(R80/R148, "NA")</f>
        <v>0</v>
      </c>
      <c r="T80" s="27">
        <v>0.0</v>
      </c>
      <c r="U80" s="23">
        <f>IFERROR(T80/T148, "NA")</f>
        <v>0</v>
      </c>
      <c r="V80" s="27">
        <v>0.0</v>
      </c>
      <c r="W80" s="23">
        <f>IFERROR(V80/V148, "NA")</f>
        <v>0</v>
      </c>
      <c r="X80" s="27">
        <v>0.0</v>
      </c>
      <c r="Y80" s="23">
        <f>IFERROR(X80/X148, "NA")</f>
        <v>0</v>
      </c>
      <c r="Z80" s="27">
        <v>0.0</v>
      </c>
      <c r="AA80" s="23">
        <f>IFERROR(Z80/Z148, "NA")</f>
        <v>0</v>
      </c>
      <c r="AB80" s="59">
        <f t="shared" si="37"/>
        <v>0</v>
      </c>
      <c r="AC80" s="23">
        <f>IFERROR(AB80/AB148, "NA")</f>
        <v>0</v>
      </c>
      <c r="AD80" s="61">
        <f t="shared" si="38"/>
        <v>0</v>
      </c>
      <c r="AE80" s="63">
        <f>IFERROR(AD80/AD148, "NA")</f>
        <v>0</v>
      </c>
      <c r="AF80" s="61" t="str">
        <f t="shared" si="39"/>
        <v>NA</v>
      </c>
      <c r="AG80" s="59">
        <f t="shared" si="40"/>
        <v>0</v>
      </c>
      <c r="AH80" s="23">
        <f>IFERROR(AG80/AG148, "NA")</f>
        <v>0</v>
      </c>
      <c r="AI80" s="61">
        <f t="shared" si="41"/>
        <v>0</v>
      </c>
      <c r="AJ80" s="63">
        <f>IFERROR(AI80/AI148, "NA")</f>
        <v>0</v>
      </c>
      <c r="AK80" s="61" t="str">
        <f t="shared" si="42"/>
        <v>NA</v>
      </c>
      <c r="AL80" s="63" t="str">
        <f>IFERROR(AK80/AK148, "NA")</f>
        <v>NA</v>
      </c>
    </row>
    <row r="81" ht="16.5" customHeight="1">
      <c r="A81" s="66" t="s">
        <v>189</v>
      </c>
      <c r="B81" s="67">
        <f>IFERROR(B74+B75+B76+B77+B78+B79+B80, "NA")</f>
        <v>638.27</v>
      </c>
      <c r="C81" s="69">
        <f>IFERROR(B81/B148, "NA")</f>
        <v>0.01892391033</v>
      </c>
      <c r="D81" s="67">
        <f>IFERROR(D74+D75+D76+D77+D78+D79+D80, "NA")</f>
        <v>589.31</v>
      </c>
      <c r="E81" s="69">
        <f>IFERROR(D81/D148, "NA")</f>
        <v>0.02008266707</v>
      </c>
      <c r="F81" s="67">
        <f>IFERROR(F74+F75+F76+F77+F78+F79+F80, "NA")</f>
        <v>559.82</v>
      </c>
      <c r="G81" s="69">
        <f>IFERROR(F81/F148, "NA")</f>
        <v>0.01878830186</v>
      </c>
      <c r="H81" s="67">
        <f>IFERROR(H74+H75+H76+H77+H78+H79+H80, "NA")</f>
        <v>537.13</v>
      </c>
      <c r="I81" s="69">
        <f>IFERROR(H81/H148, "NA")</f>
        <v>0.01735739039</v>
      </c>
      <c r="J81" s="67">
        <f>IFERROR(J74+J75+J76+J77+J78+J79+J80, "NA")</f>
        <v>584.29</v>
      </c>
      <c r="K81" s="69">
        <f>IFERROR(J81/J148, "NA")</f>
        <v>0.0251685976</v>
      </c>
      <c r="L81" s="67">
        <f>IFERROR(L74+L75+L76+L77+L78+L79+L80, "NA")</f>
        <v>564.79</v>
      </c>
      <c r="M81" s="69">
        <f>IFERROR(L81/L148, "NA")</f>
        <v>0.02237754535</v>
      </c>
      <c r="N81" s="67">
        <f>IFERROR(N74+N75+N76+N77+N78+N79+N80, "NA")</f>
        <v>632.85</v>
      </c>
      <c r="O81" s="69">
        <f>IFERROR(N81/N148, "NA")</f>
        <v>0.01903370667</v>
      </c>
      <c r="P81" s="67">
        <f>IFERROR(P74+P75+P76+P77+P78+P79+P80, "NA")</f>
        <v>630.77</v>
      </c>
      <c r="Q81" s="69">
        <f>IFERROR(P81/P148, "NA")</f>
        <v>0.01889924915</v>
      </c>
      <c r="R81" s="67">
        <f>IFERROR(R74+R75+R76+R77+R78+R79+R80, "NA")</f>
        <v>534.32</v>
      </c>
      <c r="S81" s="69">
        <f>IFERROR(R81/R148, "NA")</f>
        <v>0.01963190545</v>
      </c>
      <c r="T81" s="67">
        <f>IFERROR(T74+T75+T76+T77+T78+T79+T80, "NA")</f>
        <v>592.94</v>
      </c>
      <c r="U81" s="69">
        <f>IFERROR(T81/T148, "NA")</f>
        <v>0.01436961418</v>
      </c>
      <c r="V81" s="67">
        <f>IFERROR(V74+V75+V76+V77+V78+V79+V80, "NA")</f>
        <v>559.88</v>
      </c>
      <c r="W81" s="69">
        <f>IFERROR(V81/V148, "NA")</f>
        <v>0.01748180566</v>
      </c>
      <c r="X81" s="67">
        <f>IFERROR(X74+X75+X76+X77+X78+X79+X80, "NA")</f>
        <v>536.89</v>
      </c>
      <c r="Y81" s="69">
        <f>IFERROR(X81/X148, "NA")</f>
        <v>0.01910075024</v>
      </c>
      <c r="Z81" s="67">
        <f>IFERROR(Z74+Z75+Z76+Z77+Z78+Z79+Z80, "NA")</f>
        <v>2224.03</v>
      </c>
      <c r="AA81" s="69">
        <f>IFERROR(Z81/Z148, "NA")</f>
        <v>0.01729213217</v>
      </c>
      <c r="AB81" s="67">
        <f t="shared" si="37"/>
        <v>556.0075</v>
      </c>
      <c r="AC81" s="69">
        <f>IFERROR(AB81/AB148, "NA")</f>
        <v>0.01729213217</v>
      </c>
      <c r="AD81" s="70">
        <f t="shared" si="38"/>
        <v>-19.1175</v>
      </c>
      <c r="AE81" s="71">
        <f>IFERROR(AD81/AD148, "NA")</f>
        <v>0.004725661945</v>
      </c>
      <c r="AF81" s="70">
        <f t="shared" si="39"/>
        <v>-0.034383529</v>
      </c>
      <c r="AG81" s="67">
        <f t="shared" si="40"/>
        <v>579.59125</v>
      </c>
      <c r="AH81" s="69">
        <f>IFERROR(AG81/AG148, "NA")</f>
        <v>0.01902688224</v>
      </c>
      <c r="AI81" s="70">
        <f t="shared" si="41"/>
        <v>-42.70125</v>
      </c>
      <c r="AJ81" s="71">
        <f>IFERROR(AI81/AI148, "NA")</f>
        <v>0.01814461836</v>
      </c>
      <c r="AK81" s="70">
        <f t="shared" si="42"/>
        <v>-0.07367476648</v>
      </c>
      <c r="AL81" s="71">
        <f>IFERROR(AK81/AK148, "NA")</f>
        <v>0.953630665</v>
      </c>
    </row>
    <row r="82" ht="16.5" customHeight="1">
      <c r="A82" s="26" t="s">
        <v>190</v>
      </c>
      <c r="B82" s="27">
        <v>0.0</v>
      </c>
      <c r="C82" s="23">
        <f>IFERROR(B82/B148, "NA")</f>
        <v>0</v>
      </c>
      <c r="D82" s="27">
        <v>0.0</v>
      </c>
      <c r="E82" s="23">
        <f>IFERROR(D82/D148, "NA")</f>
        <v>0</v>
      </c>
      <c r="F82" s="27">
        <v>0.0</v>
      </c>
      <c r="G82" s="23">
        <f>IFERROR(F82/F148, "NA")</f>
        <v>0</v>
      </c>
      <c r="H82" s="27">
        <v>224.0</v>
      </c>
      <c r="I82" s="23">
        <f>IFERROR(H82/H148, "NA")</f>
        <v>0.007238574363</v>
      </c>
      <c r="J82" s="27">
        <v>0.0</v>
      </c>
      <c r="K82" s="23">
        <f>IFERROR(J82/J148, "NA")</f>
        <v>0</v>
      </c>
      <c r="L82" s="27">
        <v>0.0</v>
      </c>
      <c r="M82" s="23">
        <f>IFERROR(L82/L148, "NA")</f>
        <v>0</v>
      </c>
      <c r="N82" s="27">
        <v>0.0</v>
      </c>
      <c r="O82" s="23">
        <f>IFERROR(N82/N148, "NA")</f>
        <v>0</v>
      </c>
      <c r="P82" s="27">
        <v>0.0</v>
      </c>
      <c r="Q82" s="23">
        <f>IFERROR(P82/P148, "NA")</f>
        <v>0</v>
      </c>
      <c r="R82" s="27">
        <v>248.0</v>
      </c>
      <c r="S82" s="23">
        <f>IFERROR(R82/R148, "NA")</f>
        <v>0.009111978872</v>
      </c>
      <c r="T82" s="27">
        <v>0.0</v>
      </c>
      <c r="U82" s="23">
        <f>IFERROR(T82/T148, "NA")</f>
        <v>0</v>
      </c>
      <c r="V82" s="27">
        <v>0.0</v>
      </c>
      <c r="W82" s="23">
        <f>IFERROR(V82/V148, "NA")</f>
        <v>0</v>
      </c>
      <c r="X82" s="27">
        <v>0.0</v>
      </c>
      <c r="Y82" s="23">
        <f>IFERROR(X82/X148, "NA")</f>
        <v>0</v>
      </c>
      <c r="Z82" s="27">
        <v>248.0</v>
      </c>
      <c r="AA82" s="23">
        <f>IFERROR(Z82/Z148, "NA")</f>
        <v>0.001928233332</v>
      </c>
      <c r="AB82" s="59">
        <f t="shared" si="37"/>
        <v>62</v>
      </c>
      <c r="AC82" s="23">
        <f>IFERROR(AB82/AB148, "NA")</f>
        <v>0.001928233332</v>
      </c>
      <c r="AD82" s="61">
        <f t="shared" si="38"/>
        <v>-62</v>
      </c>
      <c r="AE82" s="63">
        <f>IFERROR(AD82/AD148, "NA")</f>
        <v>0.01532580309</v>
      </c>
      <c r="AF82" s="61">
        <f t="shared" si="39"/>
        <v>-1</v>
      </c>
      <c r="AG82" s="59">
        <f t="shared" si="40"/>
        <v>31</v>
      </c>
      <c r="AH82" s="23">
        <f>IFERROR(AG82/AG148, "NA")</f>
        <v>0.001017671246</v>
      </c>
      <c r="AI82" s="61">
        <f t="shared" si="41"/>
        <v>-31</v>
      </c>
      <c r="AJ82" s="63">
        <f>IFERROR(AI82/AI148, "NA")</f>
        <v>0.01317252233</v>
      </c>
      <c r="AK82" s="61">
        <f t="shared" si="42"/>
        <v>-1</v>
      </c>
      <c r="AL82" s="63">
        <f>IFERROR(AK82/AK148, "NA")</f>
        <v>12.94378945</v>
      </c>
    </row>
    <row r="83" ht="16.5" customHeight="1">
      <c r="A83" s="26" t="s">
        <v>191</v>
      </c>
      <c r="B83" s="27">
        <v>-236.49</v>
      </c>
      <c r="C83" s="23">
        <f>IFERROR(B83/B148, "NA")</f>
        <v>-0.007011633875</v>
      </c>
      <c r="D83" s="27">
        <v>2389.18</v>
      </c>
      <c r="E83" s="23">
        <f>IFERROR(D83/D148, "NA")</f>
        <v>0.08141912834</v>
      </c>
      <c r="F83" s="27">
        <v>-236.49</v>
      </c>
      <c r="G83" s="23">
        <f>IFERROR(F83/F148, "NA")</f>
        <v>-0.00793691813</v>
      </c>
      <c r="H83" s="27">
        <v>-236.49</v>
      </c>
      <c r="I83" s="23">
        <f>IFERROR(H83/H148, "NA")</f>
        <v>-0.007642189514</v>
      </c>
      <c r="J83" s="27">
        <v>-159.66</v>
      </c>
      <c r="K83" s="23">
        <f>IFERROR(J83/J148, "NA")</f>
        <v>-0.006877438075</v>
      </c>
      <c r="L83" s="27">
        <v>-159.66</v>
      </c>
      <c r="M83" s="23">
        <f>IFERROR(L83/L148, "NA")</f>
        <v>-0.006325889075</v>
      </c>
      <c r="N83" s="27">
        <v>2466.01</v>
      </c>
      <c r="O83" s="23">
        <f>IFERROR(N83/N148, "NA")</f>
        <v>0.07416814566</v>
      </c>
      <c r="P83" s="27">
        <v>-159.66</v>
      </c>
      <c r="Q83" s="23">
        <f>IFERROR(P83/P148, "NA")</f>
        <v>-0.004783762891</v>
      </c>
      <c r="R83" s="27">
        <v>-159.66</v>
      </c>
      <c r="S83" s="23">
        <f>IFERROR(R83/R148, "NA")</f>
        <v>-0.005866203817</v>
      </c>
      <c r="T83" s="27">
        <v>-159.66</v>
      </c>
      <c r="U83" s="23">
        <f>IFERROR(T83/T148, "NA")</f>
        <v>-0.003869282896</v>
      </c>
      <c r="V83" s="27">
        <v>1291.41</v>
      </c>
      <c r="W83" s="23">
        <f>IFERROR(V83/V148, "NA")</f>
        <v>0.04032324542</v>
      </c>
      <c r="X83" s="27">
        <v>-159.66</v>
      </c>
      <c r="Y83" s="23">
        <f>IFERROR(X83/X148, "NA")</f>
        <v>-0.005680168719</v>
      </c>
      <c r="Z83" s="27">
        <v>812.43</v>
      </c>
      <c r="AA83" s="23">
        <f>IFERROR(Z83/Z148, "NA")</f>
        <v>0.006316752445</v>
      </c>
      <c r="AB83" s="59">
        <f t="shared" si="37"/>
        <v>203.1075</v>
      </c>
      <c r="AC83" s="23">
        <f>IFERROR(AB83/AB148, "NA")</f>
        <v>0.006316752445</v>
      </c>
      <c r="AD83" s="61">
        <f t="shared" si="38"/>
        <v>-362.7675</v>
      </c>
      <c r="AE83" s="63">
        <f>IFERROR(AD83/AD148, "NA")</f>
        <v>0.08967263343</v>
      </c>
      <c r="AF83" s="61">
        <f t="shared" si="39"/>
        <v>-1.786086186</v>
      </c>
      <c r="AG83" s="59">
        <f t="shared" si="40"/>
        <v>349.9325</v>
      </c>
      <c r="AH83" s="23">
        <f>IFERROR(AG83/AG148, "NA")</f>
        <v>0.01148762075</v>
      </c>
      <c r="AI83" s="61">
        <f t="shared" si="41"/>
        <v>-509.5925</v>
      </c>
      <c r="AJ83" s="63">
        <f>IFERROR(AI83/AI148, "NA")</f>
        <v>0.2165360834</v>
      </c>
      <c r="AK83" s="61">
        <f t="shared" si="42"/>
        <v>-1.456259421</v>
      </c>
      <c r="AL83" s="63">
        <f>IFERROR(AK83/AK148, "NA")</f>
        <v>18.84951533</v>
      </c>
    </row>
    <row r="84" ht="16.5" customHeight="1">
      <c r="A84" s="66" t="s">
        <v>53</v>
      </c>
      <c r="B84" s="67">
        <f>IFERROR(B63+B65+B66+B67+B68+B69+B71+B72+B74+B75+B76+B77+B78+B79+B80+B82+B83, "NA")</f>
        <v>7597.72</v>
      </c>
      <c r="C84" s="69">
        <f>IFERROR(B84/B148, "NA")</f>
        <v>0.2252629326</v>
      </c>
      <c r="D84" s="67">
        <f>IFERROR(D63+D65+D66+D67+D68+D69+D71+D72+D74+D75+D76+D77+D78+D79+D80+D82+D83, "NA")</f>
        <v>9671.21</v>
      </c>
      <c r="E84" s="69">
        <f>IFERROR(D84/D148, "NA")</f>
        <v>0.3295781348</v>
      </c>
      <c r="F84" s="67">
        <f>IFERROR(F63+F65+F66+F67+F68+F69+F71+F72+F74+F75+F76+F77+F78+F79+F80+F82+F83, "NA")</f>
        <v>5926.1</v>
      </c>
      <c r="G84" s="69">
        <f>IFERROR(F84/F148, "NA")</f>
        <v>0.1988877776</v>
      </c>
      <c r="H84" s="67">
        <f>IFERROR(H63+H65+H66+H67+H68+H69+H71+H72+H74+H75+H76+H77+H78+H79+H80+H82+H83, "NA")</f>
        <v>6691.4</v>
      </c>
      <c r="I84" s="69">
        <f>IFERROR(H84/H148, "NA")</f>
        <v>0.21623302</v>
      </c>
      <c r="J84" s="67">
        <f>IFERROR(J63+J65+J66+J67+J68+J69+J71+J72+J74+J75+J76+J77+J78+J79+J80+J82+J83, "NA")</f>
        <v>6863.32</v>
      </c>
      <c r="K84" s="69">
        <f>IFERROR(J84/J148, "NA")</f>
        <v>0.2956411016</v>
      </c>
      <c r="L84" s="67">
        <f>IFERROR(L63+L65+L66+L67+L68+L69+L71+L72+L74+L75+L76+L77+L78+L79+L80+L82+L83, "NA")</f>
        <v>6939.69</v>
      </c>
      <c r="M84" s="69">
        <f>IFERROR(L84/L148, "NA")</f>
        <v>0.2749574669</v>
      </c>
      <c r="N84" s="67">
        <f>IFERROR(N63+N65+N66+N67+N68+N69+N71+N72+N74+N75+N76+N77+N78+N79+N80+N82+N83, "NA")</f>
        <v>10153.51</v>
      </c>
      <c r="O84" s="69">
        <f>IFERROR(N84/N148, "NA")</f>
        <v>0.3053787327</v>
      </c>
      <c r="P84" s="67">
        <f>IFERROR(P63+P65+P66+P67+P68+P69+P71+P72+P74+P75+P76+P77+P78+P79+P80+P82+P83, "NA")</f>
        <v>8091.97</v>
      </c>
      <c r="Q84" s="69">
        <f>IFERROR(P84/P148, "NA")</f>
        <v>0.2424531242</v>
      </c>
      <c r="R84" s="67">
        <f>IFERROR(R63+R65+R66+R67+R68+R69+R71+R72+R74+R75+R76+R77+R78+R79+R80+R82+R83, "NA")</f>
        <v>6746.92</v>
      </c>
      <c r="S84" s="69">
        <f>IFERROR(R84/R148, "NA")</f>
        <v>0.2478943246</v>
      </c>
      <c r="T84" s="67">
        <f>IFERROR(T63+T65+T66+T67+T68+T69+T71+T72+T74+T75+T76+T77+T78+T79+T80+T82+T83, "NA")</f>
        <v>7327.83</v>
      </c>
      <c r="U84" s="69">
        <f>IFERROR(T84/T148, "NA")</f>
        <v>0.1775864167</v>
      </c>
      <c r="V84" s="67">
        <f>IFERROR(V63+V65+V66+V67+V68+V69+V71+V72+V74+V75+V76+V77+V78+V79+V80+V82+V83, "NA")</f>
        <v>8204.78</v>
      </c>
      <c r="W84" s="69">
        <f>IFERROR(V84/V148, "NA")</f>
        <v>0.2561876999</v>
      </c>
      <c r="X84" s="67">
        <f>IFERROR(X63+X65+X66+X67+X68+X69+X71+X72+X74+X75+X76+X77+X78+X79+X80+X82+X83, "NA")</f>
        <v>5544.61</v>
      </c>
      <c r="Y84" s="69">
        <f>IFERROR(X84/X148, "NA")</f>
        <v>0.1972586764</v>
      </c>
      <c r="Z84" s="67">
        <f>IFERROR(Z63+Z65+Z66+Z67+Z68+Z69+Z71+Z72+Z74+Z75+Z76+Z77+Z78+Z79+Z80+Z82+Z83, "NA")</f>
        <v>27824.14</v>
      </c>
      <c r="AA84" s="69">
        <f>IFERROR(Z84/Z148, "NA")</f>
        <v>0.2163364282</v>
      </c>
      <c r="AB84" s="67">
        <f t="shared" si="37"/>
        <v>6956.035</v>
      </c>
      <c r="AC84" s="69">
        <f>IFERROR(AB84/AB148, "NA")</f>
        <v>0.2163364282</v>
      </c>
      <c r="AD84" s="70">
        <f t="shared" si="38"/>
        <v>-1411.425</v>
      </c>
      <c r="AE84" s="71">
        <f>IFERROR(AD84/AD148, "NA")</f>
        <v>0.3488906714</v>
      </c>
      <c r="AF84" s="70">
        <f t="shared" si="39"/>
        <v>-0.2029065409</v>
      </c>
      <c r="AG84" s="67">
        <f t="shared" si="40"/>
        <v>7484.07875</v>
      </c>
      <c r="AH84" s="69">
        <f>IFERROR(AG84/AG148, "NA")</f>
        <v>0.2456881208</v>
      </c>
      <c r="AI84" s="70">
        <f t="shared" si="41"/>
        <v>-1939.46875</v>
      </c>
      <c r="AJ84" s="71">
        <f>IFERROR(AI84/AI148, "NA")</f>
        <v>0.8241192071</v>
      </c>
      <c r="AK84" s="70">
        <f t="shared" si="42"/>
        <v>-0.259145957</v>
      </c>
      <c r="AL84" s="71">
        <f>IFERROR(AK84/AK148, "NA")</f>
        <v>3.354330704</v>
      </c>
    </row>
    <row r="85" ht="16.5" customHeight="1">
      <c r="A85" s="66" t="s">
        <v>53</v>
      </c>
      <c r="B85" s="115">
        <f>IFERROR(B63+B65+B66+B67+B68+B69+B71+B72+B74+B75+B76+B77+B78+B79+B80+B82+B83, "NA")</f>
        <v>7597.72</v>
      </c>
      <c r="C85" s="96">
        <f>IFERROR(B85/B148, "NA")</f>
        <v>0.2252629326</v>
      </c>
      <c r="D85" s="115">
        <f>IFERROR(D63+D65+D66+D67+D68+D69+D71+D72+D74+D75+D76+D77+D78+D79+D80+D82+D83, "NA")</f>
        <v>9671.21</v>
      </c>
      <c r="E85" s="96">
        <f>IFERROR(D85/D148, "NA")</f>
        <v>0.3295781348</v>
      </c>
      <c r="F85" s="115">
        <f>IFERROR(F63+F65+F66+F67+F68+F69+F71+F72+F74+F75+F76+F77+F78+F79+F80+F82+F83, "NA")</f>
        <v>5926.1</v>
      </c>
      <c r="G85" s="96">
        <f>IFERROR(F85/F148, "NA")</f>
        <v>0.1988877776</v>
      </c>
      <c r="H85" s="115">
        <f>IFERROR(H63+H65+H66+H67+H68+H69+H71+H72+H74+H75+H76+H77+H78+H79+H80+H82+H83, "NA")</f>
        <v>6691.4</v>
      </c>
      <c r="I85" s="96">
        <f>IFERROR(H85/H148, "NA")</f>
        <v>0.21623302</v>
      </c>
      <c r="J85" s="115">
        <f>IFERROR(J63+J65+J66+J67+J68+J69+J71+J72+J74+J75+J76+J77+J78+J79+J80+J82+J83, "NA")</f>
        <v>6863.32</v>
      </c>
      <c r="K85" s="96">
        <f>IFERROR(J85/J148, "NA")</f>
        <v>0.2956411016</v>
      </c>
      <c r="L85" s="115">
        <f>IFERROR(L63+L65+L66+L67+L68+L69+L71+L72+L74+L75+L76+L77+L78+L79+L80+L82+L83, "NA")</f>
        <v>6939.69</v>
      </c>
      <c r="M85" s="96">
        <f>IFERROR(L85/L148, "NA")</f>
        <v>0.2749574669</v>
      </c>
      <c r="N85" s="115">
        <f>IFERROR(N63+N65+N66+N67+N68+N69+N71+N72+N74+N75+N76+N77+N78+N79+N80+N82+N83, "NA")</f>
        <v>10153.51</v>
      </c>
      <c r="O85" s="96">
        <f>IFERROR(N85/N148, "NA")</f>
        <v>0.3053787327</v>
      </c>
      <c r="P85" s="115">
        <f>IFERROR(P63+P65+P66+P67+P68+P69+P71+P72+P74+P75+P76+P77+P78+P79+P80+P82+P83, "NA")</f>
        <v>8091.97</v>
      </c>
      <c r="Q85" s="96">
        <f>IFERROR(P85/P148, "NA")</f>
        <v>0.2424531242</v>
      </c>
      <c r="R85" s="115">
        <f>IFERROR(R63+R65+R66+R67+R68+R69+R71+R72+R74+R75+R76+R77+R78+R79+R80+R82+R83, "NA")</f>
        <v>6746.92</v>
      </c>
      <c r="S85" s="96">
        <f>IFERROR(R85/R148, "NA")</f>
        <v>0.2478943246</v>
      </c>
      <c r="T85" s="115">
        <f>IFERROR(T63+T65+T66+T67+T68+T69+T71+T72+T74+T75+T76+T77+T78+T79+T80+T82+T83, "NA")</f>
        <v>7327.83</v>
      </c>
      <c r="U85" s="96">
        <f>IFERROR(T85/T148, "NA")</f>
        <v>0.1775864167</v>
      </c>
      <c r="V85" s="115">
        <f>IFERROR(V63+V65+V66+V67+V68+V69+V71+V72+V74+V75+V76+V77+V78+V79+V80+V82+V83, "NA")</f>
        <v>8204.78</v>
      </c>
      <c r="W85" s="96">
        <f>IFERROR(V85/V148, "NA")</f>
        <v>0.2561876999</v>
      </c>
      <c r="X85" s="115">
        <f>IFERROR(X63+X65+X66+X67+X68+X69+X71+X72+X74+X75+X76+X77+X78+X79+X80+X82+X83, "NA")</f>
        <v>5544.61</v>
      </c>
      <c r="Y85" s="96">
        <f>IFERROR(X85/X148, "NA")</f>
        <v>0.1972586764</v>
      </c>
      <c r="Z85" s="115">
        <f>IFERROR(Z63+Z65+Z66+Z67+Z68+Z69+Z71+Z72+Z74+Z75+Z76+Z77+Z78+Z79+Z80+Z82+Z83, "NA")</f>
        <v>27824.14</v>
      </c>
      <c r="AA85" s="96">
        <f>IFERROR(Z85/Z148, "NA")</f>
        <v>0.2163364282</v>
      </c>
      <c r="AB85" s="115">
        <f t="shared" si="37"/>
        <v>6956.035</v>
      </c>
      <c r="AC85" s="96">
        <f>IFERROR(AB85/AB148, "NA")</f>
        <v>0.2163364282</v>
      </c>
      <c r="AD85" s="116">
        <f t="shared" si="38"/>
        <v>-1411.425</v>
      </c>
      <c r="AE85" s="117">
        <f>IFERROR(AD85/AD148, "NA")</f>
        <v>0.3488906714</v>
      </c>
      <c r="AF85" s="116">
        <f t="shared" si="39"/>
        <v>-0.2029065409</v>
      </c>
      <c r="AG85" s="115">
        <f t="shared" si="40"/>
        <v>7484.07875</v>
      </c>
      <c r="AH85" s="96">
        <f>IFERROR(AG85/AG148, "NA")</f>
        <v>0.2456881208</v>
      </c>
      <c r="AI85" s="116">
        <f t="shared" si="41"/>
        <v>-1939.46875</v>
      </c>
      <c r="AJ85" s="117">
        <f>IFERROR(AI85/AI148, "NA")</f>
        <v>0.8241192071</v>
      </c>
      <c r="AK85" s="116">
        <f t="shared" si="42"/>
        <v>-0.259145957</v>
      </c>
      <c r="AL85" s="117">
        <f>IFERROR(AK85/AK148, "NA")</f>
        <v>3.354330704</v>
      </c>
    </row>
    <row r="86" ht="3.75" customHeight="1">
      <c r="A86" s="120" t="s">
        <v>6</v>
      </c>
      <c r="B86" s="121"/>
      <c r="C86" s="76"/>
      <c r="D86" s="121"/>
      <c r="E86" s="76"/>
      <c r="F86" s="121"/>
      <c r="G86" s="76"/>
      <c r="H86" s="121"/>
      <c r="I86" s="76"/>
      <c r="J86" s="121"/>
      <c r="K86" s="76"/>
      <c r="L86" s="121"/>
      <c r="M86" s="76"/>
      <c r="N86" s="121"/>
      <c r="O86" s="76"/>
      <c r="P86" s="121"/>
      <c r="Q86" s="76"/>
      <c r="R86" s="121"/>
      <c r="S86" s="76"/>
      <c r="T86" s="121"/>
      <c r="U86" s="76"/>
      <c r="V86" s="121"/>
      <c r="W86" s="76"/>
      <c r="X86" s="121"/>
      <c r="Y86" s="76"/>
      <c r="Z86" s="121"/>
      <c r="AA86" s="76"/>
      <c r="AB86" s="121"/>
      <c r="AC86" s="76"/>
      <c r="AD86" s="122"/>
      <c r="AE86" s="78"/>
      <c r="AF86" s="122"/>
      <c r="AG86" s="121"/>
      <c r="AH86" s="76"/>
      <c r="AI86" s="122"/>
      <c r="AJ86" s="78"/>
      <c r="AK86" s="122"/>
      <c r="AL86" s="78"/>
    </row>
    <row r="87" ht="16.5" customHeight="1">
      <c r="A87" s="118" t="s">
        <v>54</v>
      </c>
      <c r="B87" s="119">
        <f>IFERROR(B59-B85, "NA")</f>
        <v>16729.5</v>
      </c>
      <c r="C87" s="107">
        <f>IFERROR(B87/B148, "NA")</f>
        <v>0.496008833</v>
      </c>
      <c r="D87" s="119">
        <f>IFERROR(D59-D85, "NA")</f>
        <v>10967.22</v>
      </c>
      <c r="E87" s="107">
        <f>IFERROR(D87/D148, "NA")</f>
        <v>0.3737439175</v>
      </c>
      <c r="F87" s="119">
        <f>IFERROR(F59-F85, "NA")</f>
        <v>15626.89</v>
      </c>
      <c r="G87" s="107">
        <f>IFERROR(F87/F148, "NA")</f>
        <v>0.5244591592</v>
      </c>
      <c r="H87" s="119">
        <f>IFERROR(H59-H85, "NA")</f>
        <v>15206.86</v>
      </c>
      <c r="I87" s="107">
        <f>IFERROR(H87/H148, "NA")</f>
        <v>0.491410656</v>
      </c>
      <c r="J87" s="119">
        <f>IFERROR(J59-J85, "NA")</f>
        <v>9194.87</v>
      </c>
      <c r="K87" s="107">
        <f>IFERROR(J87/J148, "NA")</f>
        <v>0.3960738383</v>
      </c>
      <c r="L87" s="119">
        <f>IFERROR(L59-L85, "NA")</f>
        <v>11343.44</v>
      </c>
      <c r="M87" s="107">
        <f>IFERROR(L87/L148, "NA")</f>
        <v>0.4494384515</v>
      </c>
      <c r="N87" s="119">
        <f>IFERROR(N59-N85, "NA")</f>
        <v>13894.28</v>
      </c>
      <c r="O87" s="107">
        <f>IFERROR(N87/N148, "NA")</f>
        <v>0.4178867819</v>
      </c>
      <c r="P87" s="119">
        <f>IFERROR(P59-P85, "NA")</f>
        <v>16626.89</v>
      </c>
      <c r="Q87" s="107">
        <f>IFERROR(P87/P148, "NA")</f>
        <v>0.4981779994</v>
      </c>
      <c r="R87" s="119">
        <f>IFERROR(R59-R85, "NA")</f>
        <v>13303.26</v>
      </c>
      <c r="S87" s="107">
        <f>IFERROR(R87/R148, "NA")</f>
        <v>0.4887863873</v>
      </c>
      <c r="T87" s="119">
        <f>IFERROR(T59-T85, "NA")</f>
        <v>24033.25</v>
      </c>
      <c r="U87" s="107">
        <f>IFERROR(T87/T148, "NA")</f>
        <v>0.5824341924</v>
      </c>
      <c r="V87" s="119">
        <f>IFERROR(V59-V85, "NA")</f>
        <v>15253.53</v>
      </c>
      <c r="W87" s="107">
        <f>IFERROR(V87/V148, "NA")</f>
        <v>0.4762792867</v>
      </c>
      <c r="X87" s="119">
        <f>IFERROR(X59-X85, "NA")</f>
        <v>15666.88</v>
      </c>
      <c r="Y87" s="107">
        <f>IFERROR(X87/X148, "NA")</f>
        <v>0.5573751829</v>
      </c>
      <c r="Z87" s="119">
        <f>IFERROR(Z59-Z85, "NA")</f>
        <v>68256.92</v>
      </c>
      <c r="AA87" s="107">
        <f>IFERROR(Z87/Z148, "NA")</f>
        <v>0.5307067271</v>
      </c>
      <c r="AB87" s="119">
        <f>IFERROR((R87+T87+V87+X87)/4, "NA")</f>
        <v>17064.23</v>
      </c>
      <c r="AC87" s="107">
        <f>IFERROR(AB87/AB148, "NA")</f>
        <v>0.5307067271</v>
      </c>
      <c r="AD87" s="70">
        <f>IFERROR(X87-AB87, "NA")</f>
        <v>-1397.35</v>
      </c>
      <c r="AE87" s="71">
        <f>IFERROR(AD87/AD148, "NA")</f>
        <v>0.3454114669</v>
      </c>
      <c r="AF87" s="70">
        <f>IFERROR((X87-AB87)/AB87, "NA")</f>
        <v>-0.08188766795</v>
      </c>
      <c r="AG87" s="119">
        <f>IFERROR((J87+L87+N87+P87+R87+T87+V87+X87)/8, "NA")</f>
        <v>14914.55</v>
      </c>
      <c r="AH87" s="107">
        <f>IFERROR(AG87/AG148, "NA")</f>
        <v>0.4896164089</v>
      </c>
      <c r="AI87" s="70">
        <f>IFERROR(X87-AG87, "NA")</f>
        <v>752.33</v>
      </c>
      <c r="AJ87" s="71">
        <f>IFERROR(AI87/AI148, "NA")</f>
        <v>-0.3196801202</v>
      </c>
      <c r="AK87" s="70">
        <f>IFERROR((X87-AG87)/AG87, "NA")</f>
        <v>0.05044268852</v>
      </c>
      <c r="AL87" s="71">
        <f>IFERROR(AK87/AK148, "NA")</f>
        <v>-0.6529195393</v>
      </c>
    </row>
    <row r="88" ht="3.75" customHeight="1">
      <c r="A88" s="120" t="s">
        <v>6</v>
      </c>
      <c r="B88" s="121"/>
      <c r="C88" s="76"/>
      <c r="D88" s="121"/>
      <c r="E88" s="76"/>
      <c r="F88" s="121"/>
      <c r="G88" s="76"/>
      <c r="H88" s="121"/>
      <c r="I88" s="76"/>
      <c r="J88" s="121"/>
      <c r="K88" s="76"/>
      <c r="L88" s="121"/>
      <c r="M88" s="76"/>
      <c r="N88" s="121"/>
      <c r="O88" s="76"/>
      <c r="P88" s="121"/>
      <c r="Q88" s="76"/>
      <c r="R88" s="121"/>
      <c r="S88" s="76"/>
      <c r="T88" s="121"/>
      <c r="U88" s="76"/>
      <c r="V88" s="121"/>
      <c r="W88" s="76"/>
      <c r="X88" s="121"/>
      <c r="Y88" s="76"/>
      <c r="Z88" s="121"/>
      <c r="AA88" s="76"/>
      <c r="AB88" s="121"/>
      <c r="AC88" s="76"/>
      <c r="AD88" s="122"/>
      <c r="AE88" s="78"/>
      <c r="AF88" s="122"/>
      <c r="AG88" s="121"/>
      <c r="AH88" s="76"/>
      <c r="AI88" s="122"/>
      <c r="AJ88" s="78"/>
      <c r="AK88" s="122"/>
      <c r="AL88" s="78"/>
    </row>
    <row r="89" ht="16.5" hidden="1" customHeight="1">
      <c r="A89" s="17" t="s">
        <v>193</v>
      </c>
      <c r="B89" s="19"/>
      <c r="C89" s="13"/>
      <c r="D89" s="19"/>
      <c r="E89" s="13"/>
      <c r="F89" s="19"/>
      <c r="G89" s="13"/>
      <c r="H89" s="19"/>
      <c r="I89" s="13"/>
      <c r="J89" s="19"/>
      <c r="K89" s="13"/>
      <c r="L89" s="19"/>
      <c r="M89" s="13"/>
      <c r="N89" s="19"/>
      <c r="O89" s="13"/>
      <c r="P89" s="19"/>
      <c r="Q89" s="13"/>
      <c r="R89" s="19"/>
      <c r="S89" s="13"/>
      <c r="T89" s="19"/>
      <c r="U89" s="13"/>
      <c r="V89" s="19"/>
      <c r="W89" s="13"/>
      <c r="X89" s="19"/>
      <c r="Y89" s="13"/>
      <c r="Z89" s="19"/>
      <c r="AA89" s="13"/>
      <c r="AB89" s="19"/>
      <c r="AC89" s="13"/>
      <c r="AD89" s="24"/>
      <c r="AE89" s="25"/>
      <c r="AF89" s="24"/>
      <c r="AG89" s="19"/>
      <c r="AH89" s="13"/>
      <c r="AI89" s="24"/>
      <c r="AJ89" s="25"/>
      <c r="AK89" s="24"/>
      <c r="AL89" s="25"/>
    </row>
    <row r="90" ht="16.5" hidden="1" customHeight="1">
      <c r="A90" s="26" t="s">
        <v>194</v>
      </c>
      <c r="B90" s="27">
        <v>536.19</v>
      </c>
      <c r="C90" s="23">
        <f>IFERROR(B90/B148, "NA")</f>
        <v>0.0158973655</v>
      </c>
      <c r="D90" s="27">
        <v>2241.7</v>
      </c>
      <c r="E90" s="23">
        <f>IFERROR(D90/D148, "NA")</f>
        <v>0.07639326463</v>
      </c>
      <c r="F90" s="27">
        <v>873.9799999999999</v>
      </c>
      <c r="G90" s="23">
        <f>IFERROR(F90/F148, "NA")</f>
        <v>0.02933192823</v>
      </c>
      <c r="H90" s="27">
        <v>802.93</v>
      </c>
      <c r="I90" s="23">
        <f>IFERROR(H90/H148, "NA")</f>
        <v>0.02594673443</v>
      </c>
      <c r="J90" s="27">
        <v>268.09000000000003</v>
      </c>
      <c r="K90" s="23">
        <f>IFERROR(J90/J148, "NA")</f>
        <v>0.01154811708</v>
      </c>
      <c r="L90" s="27">
        <v>460.36</v>
      </c>
      <c r="M90" s="23">
        <f>IFERROR(L90/L148, "NA")</f>
        <v>0.01823992418</v>
      </c>
      <c r="N90" s="27">
        <v>715.32</v>
      </c>
      <c r="O90" s="23">
        <f>IFERROR(N90/N148, "NA")</f>
        <v>0.02151408873</v>
      </c>
      <c r="P90" s="27">
        <v>748.79</v>
      </c>
      <c r="Q90" s="23">
        <f>IFERROR(P90/P148, "NA")</f>
        <v>0.02243538654</v>
      </c>
      <c r="R90" s="27">
        <v>604.5099999999999</v>
      </c>
      <c r="S90" s="23">
        <f>IFERROR(R90/R148, "NA")</f>
        <v>0.02221081592</v>
      </c>
      <c r="T90" s="27">
        <v>932.04</v>
      </c>
      <c r="U90" s="23">
        <f>IFERROR(T90/T148, "NA")</f>
        <v>0.02258753871</v>
      </c>
      <c r="V90" s="27">
        <v>647.66</v>
      </c>
      <c r="W90" s="23">
        <f>IFERROR(V90/V148, "NA")</f>
        <v>0.02022266602</v>
      </c>
      <c r="X90" s="27">
        <v>565.56</v>
      </c>
      <c r="Y90" s="23">
        <f>IFERROR(X90/X148, "NA")</f>
        <v>0.02012073294</v>
      </c>
      <c r="Z90" s="27">
        <v>2749.7699999999995</v>
      </c>
      <c r="AA90" s="23">
        <f>IFERROR(Z90/Z148, "NA")</f>
        <v>0.02137983133</v>
      </c>
      <c r="AB90" s="59">
        <f t="shared" ref="AB90:AB99" si="43">IFERROR((R90+T90+V90+X90)/4, "NA")</f>
        <v>687.4425</v>
      </c>
      <c r="AC90" s="23">
        <f>IFERROR(AB90/AB148, "NA")</f>
        <v>0.02137983133</v>
      </c>
      <c r="AD90" s="61">
        <f t="shared" ref="AD90:AD99" si="44">IFERROR(X90-AB90, "NA")</f>
        <v>-121.8825</v>
      </c>
      <c r="AE90" s="63">
        <f>IFERROR(AD90/AD148, "NA")</f>
        <v>0.03012818057</v>
      </c>
      <c r="AF90" s="61">
        <f t="shared" ref="AF90:AF99" si="45">IFERROR((X90-AB90)/AB90, "NA")</f>
        <v>-0.177298465</v>
      </c>
      <c r="AG90" s="59">
        <f t="shared" ref="AG90:AG99" si="46">IFERROR((J90+L90+N90+P90+R90+T90+V90+X90)/8, "NA")</f>
        <v>617.79125</v>
      </c>
      <c r="AH90" s="23">
        <f>IFERROR(AG90/AG148, "NA")</f>
        <v>0.02028091584</v>
      </c>
      <c r="AI90" s="61">
        <f t="shared" ref="AI90:AI99" si="47">IFERROR(X90-AG90, "NA")</f>
        <v>-52.23125</v>
      </c>
      <c r="AJ90" s="63">
        <f>IFERROR(AI90/AI148, "NA")</f>
        <v>0.02219410668</v>
      </c>
      <c r="AK90" s="61">
        <f t="shared" ref="AK90:AK99" si="48">IFERROR((X90-AG90)/AG90, "NA")</f>
        <v>-0.08454514369</v>
      </c>
      <c r="AL90" s="63">
        <f>IFERROR(AK90/AK148, "NA")</f>
        <v>1.094334539</v>
      </c>
    </row>
    <row r="91" ht="16.5" hidden="1" customHeight="1">
      <c r="A91" s="26" t="s">
        <v>195</v>
      </c>
      <c r="B91" s="27">
        <v>579.63</v>
      </c>
      <c r="C91" s="23">
        <f>IFERROR(B91/B148, "NA")</f>
        <v>0.01718530738</v>
      </c>
      <c r="D91" s="27">
        <v>756.0</v>
      </c>
      <c r="E91" s="23">
        <f>IFERROR(D91/D148, "NA")</f>
        <v>0.0257631744</v>
      </c>
      <c r="F91" s="27">
        <v>732.59</v>
      </c>
      <c r="G91" s="23">
        <f>IFERROR(F91/F148, "NA")</f>
        <v>0.02458669226</v>
      </c>
      <c r="H91" s="27">
        <v>457.40999999999997</v>
      </c>
      <c r="I91" s="23">
        <f>IFERROR(H91/H148, "NA")</f>
        <v>0.01478123348</v>
      </c>
      <c r="J91" s="27">
        <v>300.45</v>
      </c>
      <c r="K91" s="23">
        <f>IFERROR(J91/J148, "NA")</f>
        <v>0.01294204102</v>
      </c>
      <c r="L91" s="27">
        <v>240.8</v>
      </c>
      <c r="M91" s="23">
        <f>IFERROR(L91/L148, "NA")</f>
        <v>0.009540737125</v>
      </c>
      <c r="N91" s="27">
        <v>943.42</v>
      </c>
      <c r="O91" s="23">
        <f>IFERROR(N91/N148, "NA")</f>
        <v>0.028374464</v>
      </c>
      <c r="P91" s="27">
        <v>2082.83</v>
      </c>
      <c r="Q91" s="23">
        <f>IFERROR(P91/P148, "NA")</f>
        <v>0.06240614345</v>
      </c>
      <c r="R91" s="27">
        <v>1819.76</v>
      </c>
      <c r="S91" s="23">
        <f>IFERROR(R91/R148, "NA")</f>
        <v>0.06686134948</v>
      </c>
      <c r="T91" s="27">
        <v>1842.5900000000001</v>
      </c>
      <c r="U91" s="23">
        <f>IFERROR(T91/T148, "NA")</f>
        <v>0.04465427766</v>
      </c>
      <c r="V91" s="27">
        <v>1725.75</v>
      </c>
      <c r="W91" s="23">
        <f>IFERROR(V91/V148, "NA")</f>
        <v>0.05388516488</v>
      </c>
      <c r="X91" s="27">
        <v>1079.8600000000001</v>
      </c>
      <c r="Y91" s="23">
        <f>IFERROR(X91/X148, "NA")</f>
        <v>0.03841780654</v>
      </c>
      <c r="Z91" s="27">
        <v>6467.960000000001</v>
      </c>
      <c r="AA91" s="23">
        <f>IFERROR(Z91/Z148, "NA")</f>
        <v>0.05028925833</v>
      </c>
      <c r="AB91" s="59">
        <f t="shared" si="43"/>
        <v>1616.99</v>
      </c>
      <c r="AC91" s="23">
        <f>IFERROR(AB91/AB148, "NA")</f>
        <v>0.05028925833</v>
      </c>
      <c r="AD91" s="61">
        <f t="shared" si="44"/>
        <v>-537.13</v>
      </c>
      <c r="AE91" s="63">
        <f>IFERROR(AD91/AD148, "NA")</f>
        <v>0.1327733647</v>
      </c>
      <c r="AF91" s="61">
        <f t="shared" si="45"/>
        <v>-0.332178925</v>
      </c>
      <c r="AG91" s="59">
        <f t="shared" si="46"/>
        <v>1254.4325</v>
      </c>
      <c r="AH91" s="23">
        <f>IFERROR(AG91/AG148, "NA")</f>
        <v>0.04118064145</v>
      </c>
      <c r="AI91" s="61">
        <f t="shared" si="47"/>
        <v>-174.5725</v>
      </c>
      <c r="AJ91" s="63">
        <f>IFERROR(AI91/AI148, "NA")</f>
        <v>0.07417935983</v>
      </c>
      <c r="AK91" s="61">
        <f t="shared" si="48"/>
        <v>-0.1391645226</v>
      </c>
      <c r="AL91" s="63">
        <f>IFERROR(AK91/AK148, "NA")</f>
        <v>1.801316279</v>
      </c>
    </row>
    <row r="92" ht="16.5" hidden="1" customHeight="1">
      <c r="A92" s="26" t="s">
        <v>196</v>
      </c>
      <c r="B92" s="27">
        <v>489.85</v>
      </c>
      <c r="C92" s="23">
        <f>IFERROR(B92/B148, "NA")</f>
        <v>0.01452344223</v>
      </c>
      <c r="D92" s="27">
        <v>291.11</v>
      </c>
      <c r="E92" s="23">
        <f>IFERROR(D92/D148, "NA")</f>
        <v>0.009920526059</v>
      </c>
      <c r="F92" s="27">
        <v>407.41</v>
      </c>
      <c r="G92" s="23">
        <f>IFERROR(F92/F148, "NA")</f>
        <v>0.01367322008</v>
      </c>
      <c r="H92" s="27">
        <v>546.9499999999999</v>
      </c>
      <c r="I92" s="23">
        <f>IFERROR(H92/H148, "NA")</f>
        <v>0.01767472432</v>
      </c>
      <c r="J92" s="27">
        <v>93.6</v>
      </c>
      <c r="K92" s="23">
        <f>IFERROR(J92/J148, "NA")</f>
        <v>0.004031868995</v>
      </c>
      <c r="L92" s="27">
        <v>210.77</v>
      </c>
      <c r="M92" s="23">
        <f>IFERROR(L92/L148, "NA")</f>
        <v>0.008350918454</v>
      </c>
      <c r="N92" s="27">
        <v>309.92</v>
      </c>
      <c r="O92" s="23">
        <f>IFERROR(N92/N148, "NA")</f>
        <v>0.009321207823</v>
      </c>
      <c r="P92" s="27">
        <v>328.07</v>
      </c>
      <c r="Q92" s="23">
        <f>IFERROR(P92/P148, "NA")</f>
        <v>0.009829694925</v>
      </c>
      <c r="R92" s="27">
        <v>282.31</v>
      </c>
      <c r="S92" s="23">
        <f>IFERROR(R92/R148, "NA")</f>
        <v>0.01037259176</v>
      </c>
      <c r="T92" s="27">
        <v>593.71</v>
      </c>
      <c r="U92" s="23">
        <f>IFERROR(T92/T148, "NA")</f>
        <v>0.01438827476</v>
      </c>
      <c r="V92" s="27">
        <v>388.66</v>
      </c>
      <c r="W92" s="23">
        <f>IFERROR(V92/V148, "NA")</f>
        <v>0.01213559796</v>
      </c>
      <c r="X92" s="27">
        <v>0.0</v>
      </c>
      <c r="Y92" s="23">
        <f>IFERROR(X92/X148, "NA")</f>
        <v>0</v>
      </c>
      <c r="Z92" s="27">
        <v>1264.68</v>
      </c>
      <c r="AA92" s="23">
        <f>IFERROR(Z92/Z148, "NA")</f>
        <v>0.009833056979</v>
      </c>
      <c r="AB92" s="59">
        <f t="shared" si="43"/>
        <v>316.17</v>
      </c>
      <c r="AC92" s="23">
        <f>IFERROR(AB92/AB148, "NA")</f>
        <v>0.009833056979</v>
      </c>
      <c r="AD92" s="61">
        <f t="shared" si="44"/>
        <v>-316.17</v>
      </c>
      <c r="AE92" s="63">
        <f>IFERROR(AD92/AD148, "NA")</f>
        <v>0.07815418005</v>
      </c>
      <c r="AF92" s="61">
        <f t="shared" si="45"/>
        <v>-1</v>
      </c>
      <c r="AG92" s="59">
        <f t="shared" si="46"/>
        <v>275.88</v>
      </c>
      <c r="AH92" s="23">
        <f>IFERROR(AG92/AG148, "NA")</f>
        <v>0.009056617524</v>
      </c>
      <c r="AI92" s="61">
        <f t="shared" si="47"/>
        <v>-275.88</v>
      </c>
      <c r="AJ92" s="63">
        <f>IFERROR(AI92/AI148, "NA")</f>
        <v>0.1172269503</v>
      </c>
      <c r="AK92" s="61">
        <f t="shared" si="48"/>
        <v>-1</v>
      </c>
      <c r="AL92" s="63">
        <f>IFERROR(AK92/AK148, "NA")</f>
        <v>12.94378945</v>
      </c>
    </row>
    <row r="93" ht="16.5" hidden="1" customHeight="1">
      <c r="A93" s="26" t="s">
        <v>197</v>
      </c>
      <c r="B93" s="27">
        <v>2699.7099999999996</v>
      </c>
      <c r="C93" s="23">
        <f>IFERROR(B93/B148, "NA")</f>
        <v>0.08004303813</v>
      </c>
      <c r="D93" s="27">
        <v>1595.5400000000002</v>
      </c>
      <c r="E93" s="23">
        <f>IFERROR(D93/D148, "NA")</f>
        <v>0.05437324774</v>
      </c>
      <c r="F93" s="27">
        <v>1804.8</v>
      </c>
      <c r="G93" s="23">
        <f>IFERROR(F93/F148, "NA")</f>
        <v>0.06057148227</v>
      </c>
      <c r="H93" s="27">
        <v>2114.55</v>
      </c>
      <c r="I93" s="23">
        <f>IFERROR(H93/H148, "NA")</f>
        <v>0.06833181883</v>
      </c>
      <c r="J93" s="27">
        <v>1000.6199999999999</v>
      </c>
      <c r="K93" s="23">
        <f>IFERROR(J93/J148, "NA")</f>
        <v>0.04310223028</v>
      </c>
      <c r="L93" s="27">
        <v>1233.83</v>
      </c>
      <c r="M93" s="23">
        <f>IFERROR(L93/L148, "NA")</f>
        <v>0.0488855801</v>
      </c>
      <c r="N93" s="27">
        <v>1856.18</v>
      </c>
      <c r="O93" s="23">
        <f>IFERROR(N93/N148, "NA")</f>
        <v>0.05582679252</v>
      </c>
      <c r="P93" s="27">
        <v>2270.0699999999997</v>
      </c>
      <c r="Q93" s="23">
        <f>IFERROR(P93/P148, "NA")</f>
        <v>0.06801626348</v>
      </c>
      <c r="R93" s="27">
        <v>1419.15</v>
      </c>
      <c r="S93" s="23">
        <f>IFERROR(R93/R148, "NA")</f>
        <v>0.05214219684</v>
      </c>
      <c r="T93" s="27">
        <v>4185.07</v>
      </c>
      <c r="U93" s="23">
        <f>IFERROR(T93/T148, "NA")</f>
        <v>0.1014231477</v>
      </c>
      <c r="V93" s="27">
        <v>2236.7</v>
      </c>
      <c r="W93" s="23">
        <f>IFERROR(V93/V148, "NA")</f>
        <v>0.06983917039</v>
      </c>
      <c r="X93" s="27">
        <v>1406.37</v>
      </c>
      <c r="Y93" s="23">
        <f>IFERROR(X93/X148, "NA")</f>
        <v>0.05003394013</v>
      </c>
      <c r="Z93" s="27">
        <v>9247.29</v>
      </c>
      <c r="AA93" s="23">
        <f>IFERROR(Z93/Z148, "NA")</f>
        <v>0.07189892263</v>
      </c>
      <c r="AB93" s="59">
        <f t="shared" si="43"/>
        <v>2311.8225</v>
      </c>
      <c r="AC93" s="23">
        <f>IFERROR(AB93/AB148, "NA")</f>
        <v>0.07189892263</v>
      </c>
      <c r="AD93" s="61">
        <f t="shared" si="44"/>
        <v>-905.4525</v>
      </c>
      <c r="AE93" s="63">
        <f>IFERROR(AD93/AD148, "NA")</f>
        <v>0.2238191407</v>
      </c>
      <c r="AF93" s="61">
        <f t="shared" si="45"/>
        <v>-0.3916617733</v>
      </c>
      <c r="AG93" s="59">
        <f t="shared" si="46"/>
        <v>1950.99875</v>
      </c>
      <c r="AH93" s="23">
        <f>IFERROR(AG93/AG148, "NA")</f>
        <v>0.06404759123</v>
      </c>
      <c r="AI93" s="61">
        <f t="shared" si="47"/>
        <v>-544.62875</v>
      </c>
      <c r="AJ93" s="63">
        <f>IFERROR(AI93/AI148, "NA")</f>
        <v>0.2314236894</v>
      </c>
      <c r="AK93" s="61">
        <f t="shared" si="48"/>
        <v>-0.279153818</v>
      </c>
      <c r="AL93" s="63">
        <f>IFERROR(AK93/AK148, "NA")</f>
        <v>3.613308244</v>
      </c>
    </row>
    <row r="94" ht="16.5" hidden="1" customHeight="1">
      <c r="A94" s="26" t="s">
        <v>198</v>
      </c>
      <c r="B94" s="27">
        <v>915.59</v>
      </c>
      <c r="C94" s="23">
        <f>IFERROR(B94/B148, "NA")</f>
        <v>0.02714610283</v>
      </c>
      <c r="D94" s="27">
        <v>818.61</v>
      </c>
      <c r="E94" s="23">
        <f>IFERROR(D94/D148, "NA")</f>
        <v>0.02789681508</v>
      </c>
      <c r="F94" s="27">
        <v>813.05</v>
      </c>
      <c r="G94" s="23">
        <f>IFERROR(F94/F148, "NA")</f>
        <v>0.0272870366</v>
      </c>
      <c r="H94" s="27">
        <v>894.19</v>
      </c>
      <c r="I94" s="23">
        <f>IFERROR(H94/H148, "NA")</f>
        <v>0.02889580719</v>
      </c>
      <c r="J94" s="27">
        <v>696.46</v>
      </c>
      <c r="K94" s="23">
        <f>IFERROR(J94/J148, "NA")</f>
        <v>0.03000037906</v>
      </c>
      <c r="L94" s="27">
        <v>663.01</v>
      </c>
      <c r="M94" s="23">
        <f>IFERROR(L94/L148, "NA")</f>
        <v>0.0262691201</v>
      </c>
      <c r="N94" s="27">
        <v>1028.61</v>
      </c>
      <c r="O94" s="23">
        <f>IFERROR(N94/N148, "NA")</f>
        <v>0.03093665326</v>
      </c>
      <c r="P94" s="27">
        <v>914.66</v>
      </c>
      <c r="Q94" s="23">
        <f>IFERROR(P94/P148, "NA")</f>
        <v>0.02740521462</v>
      </c>
      <c r="R94" s="27">
        <v>773.61</v>
      </c>
      <c r="S94" s="23">
        <f>IFERROR(R94/R148, "NA")</f>
        <v>0.0284238628</v>
      </c>
      <c r="T94" s="27">
        <v>1353.57</v>
      </c>
      <c r="U94" s="23">
        <f>IFERROR(T94/T148, "NA")</f>
        <v>0.03280311443</v>
      </c>
      <c r="V94" s="27">
        <v>954.09</v>
      </c>
      <c r="W94" s="23">
        <f>IFERROR(V94/V148, "NA")</f>
        <v>0.02979069794</v>
      </c>
      <c r="X94" s="27">
        <v>694.84</v>
      </c>
      <c r="Y94" s="23">
        <f>IFERROR(X94/X148, "NA")</f>
        <v>0.02472008288</v>
      </c>
      <c r="Z94" s="27">
        <v>3776.11</v>
      </c>
      <c r="AA94" s="23">
        <f>IFERROR(Z94/Z148, "NA")</f>
        <v>0.02935976278</v>
      </c>
      <c r="AB94" s="59">
        <f t="shared" si="43"/>
        <v>944.0275</v>
      </c>
      <c r="AC94" s="23">
        <f>IFERROR(AB94/AB148, "NA")</f>
        <v>0.02935976278</v>
      </c>
      <c r="AD94" s="61">
        <f t="shared" si="44"/>
        <v>-249.1875</v>
      </c>
      <c r="AE94" s="63">
        <f>IFERROR(AD94/AD148, "NA")</f>
        <v>0.06159675093</v>
      </c>
      <c r="AF94" s="61">
        <f t="shared" si="45"/>
        <v>-0.2639621197</v>
      </c>
      <c r="AG94" s="59">
        <f t="shared" si="46"/>
        <v>884.85625</v>
      </c>
      <c r="AH94" s="23">
        <f>IFERROR(AG94/AG148, "NA")</f>
        <v>0.02904815362</v>
      </c>
      <c r="AI94" s="61">
        <f t="shared" si="47"/>
        <v>-190.01625</v>
      </c>
      <c r="AJ94" s="63">
        <f>IFERROR(AI94/AI148, "NA")</f>
        <v>0.08074171924</v>
      </c>
      <c r="AK94" s="61">
        <f t="shared" si="48"/>
        <v>-0.2147425076</v>
      </c>
      <c r="AL94" s="63">
        <f>IFERROR(AK94/AK148, "NA")</f>
        <v>2.779581804</v>
      </c>
    </row>
    <row r="95" ht="16.5" hidden="1" customHeight="1">
      <c r="A95" s="26" t="s">
        <v>199</v>
      </c>
      <c r="B95" s="27">
        <v>0.0</v>
      </c>
      <c r="C95" s="23">
        <f>IFERROR(B95/B148, "NA")</f>
        <v>0</v>
      </c>
      <c r="D95" s="27">
        <v>0.0</v>
      </c>
      <c r="E95" s="23">
        <f>IFERROR(D95/D148, "NA")</f>
        <v>0</v>
      </c>
      <c r="F95" s="27">
        <v>1092.39</v>
      </c>
      <c r="G95" s="23">
        <f>IFERROR(F95/F148, "NA")</f>
        <v>0.03666205758</v>
      </c>
      <c r="H95" s="27">
        <v>0.0</v>
      </c>
      <c r="I95" s="23">
        <f>IFERROR(H95/H148, "NA")</f>
        <v>0</v>
      </c>
      <c r="J95" s="27">
        <v>0.0</v>
      </c>
      <c r="K95" s="23">
        <f>IFERROR(J95/J148, "NA")</f>
        <v>0</v>
      </c>
      <c r="L95" s="27">
        <v>0.0</v>
      </c>
      <c r="M95" s="23">
        <f>IFERROR(L95/L148, "NA")</f>
        <v>0</v>
      </c>
      <c r="N95" s="27">
        <v>0.0</v>
      </c>
      <c r="O95" s="23">
        <f>IFERROR(N95/N148, "NA")</f>
        <v>0</v>
      </c>
      <c r="P95" s="27">
        <v>1204.99</v>
      </c>
      <c r="Q95" s="23">
        <f>IFERROR(P95/P148, "NA")</f>
        <v>0.03610413658</v>
      </c>
      <c r="R95" s="27">
        <v>0.0</v>
      </c>
      <c r="S95" s="23">
        <f>IFERROR(R95/R148, "NA")</f>
        <v>0</v>
      </c>
      <c r="T95" s="27">
        <v>-1346.0</v>
      </c>
      <c r="U95" s="23">
        <f>IFERROR(T95/T148, "NA")</f>
        <v>-0.03261965914</v>
      </c>
      <c r="V95" s="27">
        <v>0.0</v>
      </c>
      <c r="W95" s="23">
        <f>IFERROR(V95/V148, "NA")</f>
        <v>0</v>
      </c>
      <c r="X95" s="27">
        <v>1204.99</v>
      </c>
      <c r="Y95" s="23">
        <f>IFERROR(X95/X148, "NA")</f>
        <v>0.04286951337</v>
      </c>
      <c r="Z95" s="27">
        <v>-141.01</v>
      </c>
      <c r="AA95" s="23">
        <f>IFERROR(Z95/Z148, "NA")</f>
        <v>-0.001096371702</v>
      </c>
      <c r="AB95" s="59">
        <f t="shared" si="43"/>
        <v>-35.2525</v>
      </c>
      <c r="AC95" s="23">
        <f>IFERROR(AB95/AB148, "NA")</f>
        <v>-0.001096371702</v>
      </c>
      <c r="AD95" s="61">
        <f t="shared" si="44"/>
        <v>1240.2425</v>
      </c>
      <c r="AE95" s="63">
        <f>IFERROR(AD95/AD148, "NA")</f>
        <v>-0.3065760055</v>
      </c>
      <c r="AF95" s="61">
        <f t="shared" si="45"/>
        <v>-35.18168924</v>
      </c>
      <c r="AG95" s="59">
        <f t="shared" si="46"/>
        <v>132.9975</v>
      </c>
      <c r="AH95" s="23">
        <f>IFERROR(AG95/AG148, "NA")</f>
        <v>0.004366055855</v>
      </c>
      <c r="AI95" s="61">
        <f t="shared" si="47"/>
        <v>1071.9925</v>
      </c>
      <c r="AJ95" s="63">
        <f>IFERROR(AI95/AI148, "NA")</f>
        <v>-0.4555111337</v>
      </c>
      <c r="AK95" s="61">
        <f t="shared" si="48"/>
        <v>8.060245493</v>
      </c>
      <c r="AL95" s="63">
        <f>IFERROR(AK95/AK148, "NA")</f>
        <v>-104.3301206</v>
      </c>
    </row>
    <row r="96" ht="16.5" hidden="1" customHeight="1">
      <c r="A96" s="26" t="s">
        <v>200</v>
      </c>
      <c r="B96" s="27">
        <v>0.0</v>
      </c>
      <c r="C96" s="23">
        <f>IFERROR(B96/B148, "NA")</f>
        <v>0</v>
      </c>
      <c r="D96" s="27">
        <v>0.0</v>
      </c>
      <c r="E96" s="23">
        <f>IFERROR(D96/D148, "NA")</f>
        <v>0</v>
      </c>
      <c r="F96" s="27">
        <v>0.0</v>
      </c>
      <c r="G96" s="23">
        <f>IFERROR(F96/F148, "NA")</f>
        <v>0</v>
      </c>
      <c r="H96" s="27">
        <v>0.0</v>
      </c>
      <c r="I96" s="23">
        <f>IFERROR(H96/H148, "NA")</f>
        <v>0</v>
      </c>
      <c r="J96" s="27">
        <v>0.0</v>
      </c>
      <c r="K96" s="23">
        <f>IFERROR(J96/J148, "NA")</f>
        <v>0</v>
      </c>
      <c r="L96" s="27">
        <v>0.0</v>
      </c>
      <c r="M96" s="23">
        <f>IFERROR(L96/L148, "NA")</f>
        <v>0</v>
      </c>
      <c r="N96" s="27">
        <v>0.0</v>
      </c>
      <c r="O96" s="23">
        <f>IFERROR(N96/N148, "NA")</f>
        <v>0</v>
      </c>
      <c r="P96" s="27">
        <v>0.0</v>
      </c>
      <c r="Q96" s="23">
        <f>IFERROR(P96/P148, "NA")</f>
        <v>0</v>
      </c>
      <c r="R96" s="27">
        <v>0.0</v>
      </c>
      <c r="S96" s="23">
        <f>IFERROR(R96/R148, "NA")</f>
        <v>0</v>
      </c>
      <c r="T96" s="27">
        <v>0.0</v>
      </c>
      <c r="U96" s="23">
        <f>IFERROR(T96/T148, "NA")</f>
        <v>0</v>
      </c>
      <c r="V96" s="27">
        <v>0.0</v>
      </c>
      <c r="W96" s="23">
        <f>IFERROR(V96/V148, "NA")</f>
        <v>0</v>
      </c>
      <c r="X96" s="27">
        <v>0.0</v>
      </c>
      <c r="Y96" s="23">
        <f>IFERROR(X96/X148, "NA")</f>
        <v>0</v>
      </c>
      <c r="Z96" s="27">
        <v>0.0</v>
      </c>
      <c r="AA96" s="23">
        <f>IFERROR(Z96/Z148, "NA")</f>
        <v>0</v>
      </c>
      <c r="AB96" s="59">
        <f t="shared" si="43"/>
        <v>0</v>
      </c>
      <c r="AC96" s="23">
        <f>IFERROR(AB96/AB148, "NA")</f>
        <v>0</v>
      </c>
      <c r="AD96" s="61">
        <f t="shared" si="44"/>
        <v>0</v>
      </c>
      <c r="AE96" s="63">
        <f>IFERROR(AD96/AD148, "NA")</f>
        <v>0</v>
      </c>
      <c r="AF96" s="61" t="str">
        <f t="shared" si="45"/>
        <v>NA</v>
      </c>
      <c r="AG96" s="59">
        <f t="shared" si="46"/>
        <v>0</v>
      </c>
      <c r="AH96" s="23">
        <f>IFERROR(AG96/AG148, "NA")</f>
        <v>0</v>
      </c>
      <c r="AI96" s="61">
        <f t="shared" si="47"/>
        <v>0</v>
      </c>
      <c r="AJ96" s="63">
        <f>IFERROR(AI96/AI148, "NA")</f>
        <v>0</v>
      </c>
      <c r="AK96" s="61" t="str">
        <f t="shared" si="48"/>
        <v>NA</v>
      </c>
      <c r="AL96" s="63" t="str">
        <f>IFERROR(AK96/AK148, "NA")</f>
        <v>NA</v>
      </c>
    </row>
    <row r="97" ht="16.5" hidden="1" customHeight="1">
      <c r="A97" s="26" t="s">
        <v>201</v>
      </c>
      <c r="B97" s="27">
        <v>0.0</v>
      </c>
      <c r="C97" s="23">
        <f>IFERROR(B97/B148, "NA")</f>
        <v>0</v>
      </c>
      <c r="D97" s="27">
        <v>228.61</v>
      </c>
      <c r="E97" s="23">
        <f>IFERROR(D97/D148, "NA")</f>
        <v>0.007790633996</v>
      </c>
      <c r="F97" s="27">
        <v>545.55</v>
      </c>
      <c r="G97" s="23">
        <f>IFERROR(F97/F148, "NA")</f>
        <v>0.01830938173</v>
      </c>
      <c r="H97" s="27">
        <v>288.53</v>
      </c>
      <c r="I97" s="23">
        <f>IFERROR(H97/H148, "NA")</f>
        <v>0.00932386545</v>
      </c>
      <c r="J97" s="27">
        <v>0.0</v>
      </c>
      <c r="K97" s="23">
        <f>IFERROR(J97/J148, "NA")</f>
        <v>0</v>
      </c>
      <c r="L97" s="27">
        <v>322.4</v>
      </c>
      <c r="M97" s="23">
        <f>IFERROR(L97/L148, "NA")</f>
        <v>0.01277381084</v>
      </c>
      <c r="N97" s="27">
        <v>2863.75</v>
      </c>
      <c r="O97" s="23">
        <f>IFERROR(N97/N148, "NA")</f>
        <v>0.08613064308</v>
      </c>
      <c r="P97" s="27">
        <v>437.49</v>
      </c>
      <c r="Q97" s="23">
        <f>IFERROR(P97/P148, "NA")</f>
        <v>0.01310815751</v>
      </c>
      <c r="R97" s="27">
        <v>1407.54</v>
      </c>
      <c r="S97" s="23">
        <f>IFERROR(R97/R148, "NA")</f>
        <v>0.05171562396</v>
      </c>
      <c r="T97" s="27">
        <v>386.99</v>
      </c>
      <c r="U97" s="23">
        <f>IFERROR(T97/T148, "NA")</f>
        <v>0.00937851552</v>
      </c>
      <c r="V97" s="27">
        <v>226.36</v>
      </c>
      <c r="W97" s="23">
        <f>IFERROR(V97/V148, "NA")</f>
        <v>0.007067910139</v>
      </c>
      <c r="X97" s="27">
        <v>0.0</v>
      </c>
      <c r="Y97" s="23">
        <f>IFERROR(X97/X148, "NA")</f>
        <v>0</v>
      </c>
      <c r="Z97" s="27">
        <v>2020.8899999999999</v>
      </c>
      <c r="AA97" s="23">
        <f>IFERROR(Z97/Z148, "NA")</f>
        <v>0.01571269137</v>
      </c>
      <c r="AB97" s="59">
        <f t="shared" si="43"/>
        <v>505.2225</v>
      </c>
      <c r="AC97" s="23">
        <f>IFERROR(AB97/AB148, "NA")</f>
        <v>0.01571269137</v>
      </c>
      <c r="AD97" s="61">
        <f t="shared" si="44"/>
        <v>-505.2225</v>
      </c>
      <c r="AE97" s="63">
        <f>IFERROR(AD97/AD148, "NA")</f>
        <v>0.1248861379</v>
      </c>
      <c r="AF97" s="61">
        <f t="shared" si="45"/>
        <v>-1</v>
      </c>
      <c r="AG97" s="59">
        <f t="shared" si="46"/>
        <v>705.56625</v>
      </c>
      <c r="AH97" s="23">
        <f>IFERROR(AG97/AG148, "NA")</f>
        <v>0.02316240273</v>
      </c>
      <c r="AI97" s="61">
        <f t="shared" si="47"/>
        <v>-705.56625</v>
      </c>
      <c r="AJ97" s="63">
        <f>IFERROR(AI97/AI148, "NA")</f>
        <v>0.299809264</v>
      </c>
      <c r="AK97" s="61">
        <f t="shared" si="48"/>
        <v>-1</v>
      </c>
      <c r="AL97" s="63">
        <f>IFERROR(AK97/AK148, "NA")</f>
        <v>12.94378945</v>
      </c>
    </row>
    <row r="98" ht="16.5" hidden="1" customHeight="1">
      <c r="A98" s="26" t="s">
        <v>202</v>
      </c>
      <c r="B98" s="27">
        <v>652.99</v>
      </c>
      <c r="C98" s="23">
        <f>IFERROR(B98/B148, "NA")</f>
        <v>0.01936033999</v>
      </c>
      <c r="D98" s="27">
        <v>2374.56</v>
      </c>
      <c r="E98" s="23">
        <f>IFERROR(D98/D148, "NA")</f>
        <v>0.08092090399</v>
      </c>
      <c r="F98" s="27">
        <v>1407.3</v>
      </c>
      <c r="G98" s="23">
        <f>IFERROR(F98/F148, "NA")</f>
        <v>0.04723085494</v>
      </c>
      <c r="H98" s="27">
        <v>311.03</v>
      </c>
      <c r="I98" s="23">
        <f>IFERROR(H98/H148, "NA")</f>
        <v>0.01005095439</v>
      </c>
      <c r="J98" s="27">
        <v>911.51</v>
      </c>
      <c r="K98" s="23">
        <f>IFERROR(J98/J148, "NA")</f>
        <v>0.03926377038</v>
      </c>
      <c r="L98" s="27">
        <v>390.07</v>
      </c>
      <c r="M98" s="23">
        <f>IFERROR(L98/L148, "NA")</f>
        <v>0.015454964</v>
      </c>
      <c r="N98" s="27">
        <v>2351.77</v>
      </c>
      <c r="O98" s="23">
        <f>IFERROR(N98/N148, "NA")</f>
        <v>0.07073224355</v>
      </c>
      <c r="P98" s="27">
        <v>1256.95</v>
      </c>
      <c r="Q98" s="23">
        <f>IFERROR(P98/P148, "NA")</f>
        <v>0.03766097185</v>
      </c>
      <c r="R98" s="27">
        <v>408.23</v>
      </c>
      <c r="S98" s="23">
        <f>IFERROR(R98/R148, "NA")</f>
        <v>0.01499912554</v>
      </c>
      <c r="T98" s="27">
        <v>244.34</v>
      </c>
      <c r="U98" s="23">
        <f>IFERROR(T98/T148, "NA")</f>
        <v>0.005921461748</v>
      </c>
      <c r="V98" s="27">
        <v>1849.3899999999999</v>
      </c>
      <c r="W98" s="23">
        <f>IFERROR(V98/V148, "NA")</f>
        <v>0.05774572509</v>
      </c>
      <c r="X98" s="27">
        <v>164.03</v>
      </c>
      <c r="Y98" s="23">
        <f>IFERROR(X98/X148, "NA")</f>
        <v>0.005835638701</v>
      </c>
      <c r="Z98" s="27">
        <v>2665.99</v>
      </c>
      <c r="AA98" s="23">
        <f>IFERROR(Z98/Z148, "NA")</f>
        <v>0.02072843057</v>
      </c>
      <c r="AB98" s="59">
        <f t="shared" si="43"/>
        <v>666.4975</v>
      </c>
      <c r="AC98" s="23">
        <f>IFERROR(AB98/AB148, "NA")</f>
        <v>0.02072843057</v>
      </c>
      <c r="AD98" s="61">
        <f t="shared" si="44"/>
        <v>-502.4675</v>
      </c>
      <c r="AE98" s="63">
        <f>IFERROR(AD98/AD148, "NA")</f>
        <v>0.1242051285</v>
      </c>
      <c r="AF98" s="61">
        <f t="shared" si="45"/>
        <v>-0.7538925502</v>
      </c>
      <c r="AG98" s="59">
        <f t="shared" si="46"/>
        <v>947.03625</v>
      </c>
      <c r="AH98" s="23">
        <f>IFERROR(AG98/AG148, "NA")</f>
        <v>0.03108940517</v>
      </c>
      <c r="AI98" s="61">
        <f t="shared" si="47"/>
        <v>-783.00625</v>
      </c>
      <c r="AJ98" s="63">
        <f>IFERROR(AI98/AI148, "NA")</f>
        <v>0.3327150746</v>
      </c>
      <c r="AK98" s="61">
        <f t="shared" si="48"/>
        <v>-0.8267964927</v>
      </c>
      <c r="AL98" s="63">
        <f>IFERROR(AK98/AK148, "NA")</f>
        <v>10.70187972</v>
      </c>
    </row>
    <row r="99" ht="16.5" hidden="1" customHeight="1">
      <c r="A99" s="66" t="s">
        <v>203</v>
      </c>
      <c r="B99" s="67">
        <f>IFERROR(B90+B91+B92+B93+B94+B95+B96+B97+B98, "NA")</f>
        <v>5873.96</v>
      </c>
      <c r="C99" s="69">
        <f>IFERROR(B99/B148, "NA")</f>
        <v>0.1741555961</v>
      </c>
      <c r="D99" s="67">
        <f>IFERROR(D90+D91+D92+D93+D94+D95+D96+D97+D98, "NA")</f>
        <v>8306.13</v>
      </c>
      <c r="E99" s="69">
        <f>IFERROR(D99/D148, "NA")</f>
        <v>0.2830585659</v>
      </c>
      <c r="F99" s="67">
        <f>IFERROR(F90+F91+F92+F93+F94+F95+F96+F97+F98, "NA")</f>
        <v>7677.07</v>
      </c>
      <c r="G99" s="69">
        <f>IFERROR(F99/F148, "NA")</f>
        <v>0.2576526537</v>
      </c>
      <c r="H99" s="67">
        <f>IFERROR(H90+H91+H92+H93+H94+H95+H96+H97+H98, "NA")</f>
        <v>5415.59</v>
      </c>
      <c r="I99" s="69">
        <f>IFERROR(H99/H148, "NA")</f>
        <v>0.1750051381</v>
      </c>
      <c r="J99" s="67">
        <f>IFERROR(J90+J91+J92+J93+J94+J95+J96+J97+J98, "NA")</f>
        <v>3270.73</v>
      </c>
      <c r="K99" s="69">
        <f>IFERROR(J99/J148, "NA")</f>
        <v>0.1408884068</v>
      </c>
      <c r="L99" s="67">
        <f>IFERROR(L90+L91+L92+L93+L94+L95+L96+L97+L98, "NA")</f>
        <v>3521.24</v>
      </c>
      <c r="M99" s="69">
        <f>IFERROR(L99/L148, "NA")</f>
        <v>0.1395150548</v>
      </c>
      <c r="N99" s="67">
        <f>IFERROR(N90+N91+N92+N93+N94+N95+N96+N97+N98, "NA")</f>
        <v>10068.97</v>
      </c>
      <c r="O99" s="69">
        <f>IFERROR(N99/N148, "NA")</f>
        <v>0.302836093</v>
      </c>
      <c r="P99" s="67">
        <f>IFERROR(P90+P91+P92+P93+P94+P95+P96+P97+P98, "NA")</f>
        <v>9243.85</v>
      </c>
      <c r="Q99" s="69">
        <f>IFERROR(P99/P148, "NA")</f>
        <v>0.2769659689</v>
      </c>
      <c r="R99" s="67">
        <f>IFERROR(R90+R91+R92+R93+R94+R95+R96+R97+R98, "NA")</f>
        <v>6715.11</v>
      </c>
      <c r="S99" s="69">
        <f>IFERROR(R99/R148, "NA")</f>
        <v>0.2467255663</v>
      </c>
      <c r="T99" s="67">
        <f>IFERROR(T90+T91+T92+T93+T94+T95+T96+T97+T98, "NA")</f>
        <v>8192.31</v>
      </c>
      <c r="U99" s="69">
        <f>IFERROR(T99/T148, "NA")</f>
        <v>0.1985366714</v>
      </c>
      <c r="V99" s="67">
        <f>IFERROR(V90+V91+V92+V93+V94+V95+V96+V97+V98, "NA")</f>
        <v>8028.61</v>
      </c>
      <c r="W99" s="69">
        <f>IFERROR(V99/V148, "NA")</f>
        <v>0.2506869324</v>
      </c>
      <c r="X99" s="67">
        <f>IFERROR(X90+X91+X92+X93+X94+X95+X96+X97+X98, "NA")</f>
        <v>5115.65</v>
      </c>
      <c r="Y99" s="69">
        <f>IFERROR(X99/X148, "NA")</f>
        <v>0.1819977146</v>
      </c>
      <c r="Z99" s="67">
        <f>IFERROR(Z90+Z91+Z92+Z93+Z94+Z95+Z96+Z97+Z98, "NA")</f>
        <v>28051.68</v>
      </c>
      <c r="AA99" s="69">
        <f>IFERROR(Z99/Z148, "NA")</f>
        <v>0.2181055823</v>
      </c>
      <c r="AB99" s="67">
        <f t="shared" si="43"/>
        <v>7012.92</v>
      </c>
      <c r="AC99" s="69">
        <f>IFERROR(AB99/AB148, "NA")</f>
        <v>0.2181055823</v>
      </c>
      <c r="AD99" s="70">
        <f t="shared" si="44"/>
        <v>-1897.27</v>
      </c>
      <c r="AE99" s="71">
        <f>IFERROR(AD99/AD148, "NA")</f>
        <v>0.4689868779</v>
      </c>
      <c r="AF99" s="70">
        <f t="shared" si="45"/>
        <v>-0.2705392333</v>
      </c>
      <c r="AG99" s="67">
        <f t="shared" si="46"/>
        <v>6769.55875</v>
      </c>
      <c r="AH99" s="69">
        <f>IFERROR(AG99/AG148, "NA")</f>
        <v>0.2222317834</v>
      </c>
      <c r="AI99" s="70">
        <f t="shared" si="47"/>
        <v>-1653.90875</v>
      </c>
      <c r="AJ99" s="71">
        <f>IFERROR(AI99/AI148, "NA")</f>
        <v>0.7027790304</v>
      </c>
      <c r="AK99" s="70">
        <f t="shared" si="48"/>
        <v>-0.2443155915</v>
      </c>
      <c r="AL99" s="71">
        <f>IFERROR(AK99/AK148, "NA")</f>
        <v>3.162369575</v>
      </c>
    </row>
    <row r="100" ht="16.5" hidden="1" customHeight="1">
      <c r="A100" s="120" t="s">
        <v>6</v>
      </c>
      <c r="B100" s="121"/>
      <c r="C100" s="76"/>
      <c r="D100" s="121"/>
      <c r="E100" s="76"/>
      <c r="F100" s="121"/>
      <c r="G100" s="76"/>
      <c r="H100" s="121"/>
      <c r="I100" s="76"/>
      <c r="J100" s="121"/>
      <c r="K100" s="76"/>
      <c r="L100" s="121"/>
      <c r="M100" s="76"/>
      <c r="N100" s="121"/>
      <c r="O100" s="76"/>
      <c r="P100" s="121"/>
      <c r="Q100" s="76"/>
      <c r="R100" s="121"/>
      <c r="S100" s="76"/>
      <c r="T100" s="121"/>
      <c r="U100" s="76"/>
      <c r="V100" s="121"/>
      <c r="W100" s="76"/>
      <c r="X100" s="121"/>
      <c r="Y100" s="76"/>
      <c r="Z100" s="121"/>
      <c r="AA100" s="76"/>
      <c r="AB100" s="121"/>
      <c r="AC100" s="76"/>
      <c r="AD100" s="122"/>
      <c r="AE100" s="78"/>
      <c r="AF100" s="122"/>
      <c r="AG100" s="121"/>
      <c r="AH100" s="76"/>
      <c r="AI100" s="122"/>
      <c r="AJ100" s="78"/>
      <c r="AK100" s="122"/>
      <c r="AL100" s="78"/>
    </row>
    <row r="101" ht="16.5" hidden="1" customHeight="1">
      <c r="A101" s="118" t="s">
        <v>204</v>
      </c>
      <c r="B101" s="119">
        <f>IFERROR(B87-B99, "NA")</f>
        <v>10855.54</v>
      </c>
      <c r="C101" s="107">
        <f>IFERROR(B101/B148, "NA")</f>
        <v>0.3218532369</v>
      </c>
      <c r="D101" s="119">
        <f>IFERROR(D87-D99, "NA")</f>
        <v>2661.09</v>
      </c>
      <c r="E101" s="107">
        <f>IFERROR(D101/D148, "NA")</f>
        <v>0.09068535156</v>
      </c>
      <c r="F101" s="119">
        <f>IFERROR(F87-F99, "NA")</f>
        <v>7949.82</v>
      </c>
      <c r="G101" s="107">
        <f>IFERROR(F101/F148, "NA")</f>
        <v>0.2668065055</v>
      </c>
      <c r="H101" s="119">
        <f>IFERROR(H87-H99, "NA")</f>
        <v>9791.27</v>
      </c>
      <c r="I101" s="107">
        <f>IFERROR(H101/H148, "NA")</f>
        <v>0.3164055179</v>
      </c>
      <c r="J101" s="119">
        <f>IFERROR(J87-J99, "NA")</f>
        <v>5924.14</v>
      </c>
      <c r="K101" s="107">
        <f>IFERROR(J101/J148, "NA")</f>
        <v>0.2551854315</v>
      </c>
      <c r="L101" s="119">
        <f>IFERROR(L87-L99, "NA")</f>
        <v>7822.2</v>
      </c>
      <c r="M101" s="107">
        <f>IFERROR(L101/L148, "NA")</f>
        <v>0.3099233968</v>
      </c>
      <c r="N101" s="119">
        <f>IFERROR(N87-N99, "NA")</f>
        <v>3825.31</v>
      </c>
      <c r="O101" s="107">
        <f>IFERROR(N101/N148, "NA")</f>
        <v>0.1150506889</v>
      </c>
      <c r="P101" s="119">
        <f>IFERROR(P87-P99, "NA")</f>
        <v>7383.04</v>
      </c>
      <c r="Q101" s="107">
        <f>IFERROR(P101/P148, "NA")</f>
        <v>0.2212120304</v>
      </c>
      <c r="R101" s="119">
        <f>IFERROR(R87-R99, "NA")</f>
        <v>6588.15</v>
      </c>
      <c r="S101" s="107">
        <f>IFERROR(R101/R148, "NA")</f>
        <v>0.242060821</v>
      </c>
      <c r="T101" s="119">
        <f>IFERROR(T87-T99, "NA")</f>
        <v>15840.94</v>
      </c>
      <c r="U101" s="107">
        <f>IFERROR(T101/T148, "NA")</f>
        <v>0.383897521</v>
      </c>
      <c r="V101" s="119">
        <f>IFERROR(V87-V99, "NA")</f>
        <v>7224.92</v>
      </c>
      <c r="W101" s="107">
        <f>IFERROR(V101/V148, "NA")</f>
        <v>0.2255923543</v>
      </c>
      <c r="X101" s="119">
        <f>IFERROR(X87-X99, "NA")</f>
        <v>10551.23</v>
      </c>
      <c r="Y101" s="107">
        <f>IFERROR(X101/X148, "NA")</f>
        <v>0.3753774683</v>
      </c>
      <c r="Z101" s="119">
        <f>IFERROR(Z87-Z99, "NA")</f>
        <v>40205.24</v>
      </c>
      <c r="AA101" s="107">
        <f>IFERROR(Z101/Z148, "NA")</f>
        <v>0.3126011448</v>
      </c>
      <c r="AB101" s="119">
        <f>IFERROR((R101+T101+V101+X101)/4, "NA")</f>
        <v>10051.31</v>
      </c>
      <c r="AC101" s="107">
        <f>IFERROR(AB101/AB148, "NA")</f>
        <v>0.3126011448</v>
      </c>
      <c r="AD101" s="70">
        <f>IFERROR(X101-AB101, "NA")</f>
        <v>499.92</v>
      </c>
      <c r="AE101" s="71">
        <f>IFERROR(AD101/AD148, "NA")</f>
        <v>-0.123575411</v>
      </c>
      <c r="AF101" s="70">
        <f>IFERROR((X101-AB101)/AB101, "NA")</f>
        <v>0.04973680048</v>
      </c>
      <c r="AG101" s="119">
        <f>IFERROR((J101+L101+N101+P101+R101+T101+V101+X101)/8, "NA")</f>
        <v>8144.99125</v>
      </c>
      <c r="AH101" s="107">
        <f>IFERROR(AG101/AG148, "NA")</f>
        <v>0.2673846255</v>
      </c>
      <c r="AI101" s="70">
        <f>IFERROR(X101-AG101, "NA")</f>
        <v>2406.23875</v>
      </c>
      <c r="AJ101" s="71">
        <f>IFERROR(AI101/AI148, "NA")</f>
        <v>-1.022459151</v>
      </c>
      <c r="AK101" s="70">
        <f>IFERROR((X101-AG101)/AG101, "NA")</f>
        <v>0.2954255783</v>
      </c>
      <c r="AL101" s="71">
        <f>IFERROR(AK101/AK148, "NA")</f>
        <v>-3.823926483</v>
      </c>
    </row>
    <row r="102" ht="3.75" hidden="1" customHeight="1">
      <c r="A102" s="120" t="s">
        <v>6</v>
      </c>
      <c r="B102" s="121"/>
      <c r="C102" s="76"/>
      <c r="D102" s="121"/>
      <c r="E102" s="76"/>
      <c r="F102" s="121"/>
      <c r="G102" s="76"/>
      <c r="H102" s="121"/>
      <c r="I102" s="76"/>
      <c r="J102" s="121"/>
      <c r="K102" s="76"/>
      <c r="L102" s="121"/>
      <c r="M102" s="76"/>
      <c r="N102" s="121"/>
      <c r="O102" s="76"/>
      <c r="P102" s="121"/>
      <c r="Q102" s="76"/>
      <c r="R102" s="121"/>
      <c r="S102" s="76"/>
      <c r="T102" s="121"/>
      <c r="U102" s="76"/>
      <c r="V102" s="121"/>
      <c r="W102" s="76"/>
      <c r="X102" s="121"/>
      <c r="Y102" s="76"/>
      <c r="Z102" s="121"/>
      <c r="AA102" s="76"/>
      <c r="AB102" s="121"/>
      <c r="AC102" s="76"/>
      <c r="AD102" s="122"/>
      <c r="AE102" s="78"/>
      <c r="AF102" s="122"/>
      <c r="AG102" s="121"/>
      <c r="AH102" s="76"/>
      <c r="AI102" s="122"/>
      <c r="AJ102" s="78"/>
      <c r="AK102" s="122"/>
      <c r="AL102" s="78"/>
    </row>
    <row r="103" ht="16.5" hidden="1" customHeight="1">
      <c r="A103" s="17" t="s">
        <v>205</v>
      </c>
      <c r="B103" s="19"/>
      <c r="C103" s="13"/>
      <c r="D103" s="19"/>
      <c r="E103" s="13"/>
      <c r="F103" s="19"/>
      <c r="G103" s="13"/>
      <c r="H103" s="19"/>
      <c r="I103" s="13"/>
      <c r="J103" s="19"/>
      <c r="K103" s="13"/>
      <c r="L103" s="19"/>
      <c r="M103" s="13"/>
      <c r="N103" s="19"/>
      <c r="O103" s="13"/>
      <c r="P103" s="19"/>
      <c r="Q103" s="13"/>
      <c r="R103" s="19"/>
      <c r="S103" s="13"/>
      <c r="T103" s="19"/>
      <c r="U103" s="13"/>
      <c r="V103" s="19"/>
      <c r="W103" s="13"/>
      <c r="X103" s="19"/>
      <c r="Y103" s="13"/>
      <c r="Z103" s="19"/>
      <c r="AA103" s="13"/>
      <c r="AB103" s="19"/>
      <c r="AC103" s="13"/>
      <c r="AD103" s="24"/>
      <c r="AE103" s="25"/>
      <c r="AF103" s="24"/>
      <c r="AG103" s="19"/>
      <c r="AH103" s="13"/>
      <c r="AI103" s="24"/>
      <c r="AJ103" s="25"/>
      <c r="AK103" s="24"/>
      <c r="AL103" s="25"/>
    </row>
    <row r="104" ht="16.5" hidden="1" customHeight="1">
      <c r="A104" s="123" t="s">
        <v>206</v>
      </c>
      <c r="B104" s="124">
        <v>-294.71</v>
      </c>
      <c r="C104" s="107">
        <f>IFERROR(B104/B148, "NA")</f>
        <v>-0.008737784343</v>
      </c>
      <c r="D104" s="124">
        <v>926.02</v>
      </c>
      <c r="E104" s="107">
        <f>IFERROR(D104/D148, "NA")</f>
        <v>0.03155716238</v>
      </c>
      <c r="F104" s="124">
        <v>22168.329999999998</v>
      </c>
      <c r="G104" s="107">
        <f>IFERROR(F104/F148, "NA")</f>
        <v>0.7439985636</v>
      </c>
      <c r="H104" s="124">
        <v>-4844.35</v>
      </c>
      <c r="I104" s="107">
        <f>IFERROR(H104/H148, "NA")</f>
        <v>-0.1565454809</v>
      </c>
      <c r="J104" s="124">
        <v>0.0</v>
      </c>
      <c r="K104" s="107">
        <f>IFERROR(J104/J148, "NA")</f>
        <v>0</v>
      </c>
      <c r="L104" s="124">
        <v>0.0</v>
      </c>
      <c r="M104" s="107">
        <f>IFERROR(L104/L148, "NA")</f>
        <v>0</v>
      </c>
      <c r="N104" s="124">
        <v>927.8299999999999</v>
      </c>
      <c r="O104" s="107">
        <f>IFERROR(N104/N148, "NA")</f>
        <v>0.02790557645</v>
      </c>
      <c r="P104" s="124">
        <v>25414.949999999997</v>
      </c>
      <c r="Q104" s="107">
        <f>IFERROR(P104/P148, "NA")</f>
        <v>0.7614875028</v>
      </c>
      <c r="R104" s="124">
        <v>-5855.0</v>
      </c>
      <c r="S104" s="107">
        <f>IFERROR(R104/R148, "NA")</f>
        <v>-0.2151235334</v>
      </c>
      <c r="T104" s="124">
        <v>0.0</v>
      </c>
      <c r="U104" s="107">
        <f>IFERROR(T104/T148, "NA")</f>
        <v>0</v>
      </c>
      <c r="V104" s="124">
        <v>861.28</v>
      </c>
      <c r="W104" s="107">
        <f>IFERROR(V104/V148, "NA")</f>
        <v>0.02689277984</v>
      </c>
      <c r="X104" s="124">
        <v>0.0</v>
      </c>
      <c r="Y104" s="107">
        <f>IFERROR(X104/X148, "NA")</f>
        <v>0</v>
      </c>
      <c r="Z104" s="124">
        <v>-4993.72</v>
      </c>
      <c r="AA104" s="107">
        <f>IFERROR(Z104/Z148, "NA")</f>
        <v>-0.03882684418</v>
      </c>
      <c r="AB104" s="119">
        <f t="shared" ref="AB104:AB105" si="49">IFERROR((R104+T104+V104+X104)/4, "NA")</f>
        <v>-1248.43</v>
      </c>
      <c r="AC104" s="107">
        <f>IFERROR(AB104/AB148, "NA")</f>
        <v>-0.03882684418</v>
      </c>
      <c r="AD104" s="70">
        <f t="shared" ref="AD104:AD105" si="50">IFERROR(X104-AB104, "NA")</f>
        <v>1248.43</v>
      </c>
      <c r="AE104" s="71">
        <f>IFERROR(AD104/AD148, "NA")</f>
        <v>-0.3085998767</v>
      </c>
      <c r="AF104" s="70">
        <f t="shared" ref="AF104:AF105" si="51">IFERROR((X104-AB104)/AB104, "NA")</f>
        <v>-1</v>
      </c>
      <c r="AG104" s="119">
        <f t="shared" ref="AG104:AG105" si="52">IFERROR((J104+L104+N104+P104+R104+T104+V104+X104)/8, "NA")</f>
        <v>2668.6325</v>
      </c>
      <c r="AH104" s="107">
        <f>IFERROR(AG104/AG148, "NA")</f>
        <v>0.08760614711</v>
      </c>
      <c r="AI104" s="70">
        <f t="shared" ref="AI104:AI105" si="53">IFERROR(X104-AG104, "NA")</f>
        <v>-2668.6325</v>
      </c>
      <c r="AJ104" s="71">
        <f>IFERROR(AI104/AI148, "NA")</f>
        <v>1.133955523</v>
      </c>
      <c r="AK104" s="70">
        <f t="shared" ref="AK104:AK105" si="54">IFERROR((X104-AG104)/AG104, "NA")</f>
        <v>-1</v>
      </c>
      <c r="AL104" s="71">
        <f>IFERROR(AK104/AK148, "NA")</f>
        <v>12.94378945</v>
      </c>
    </row>
    <row r="105" ht="16.5" hidden="1" customHeight="1">
      <c r="A105" s="66" t="s">
        <v>207</v>
      </c>
      <c r="B105" s="67">
        <f>IFERROR(B104, "NA")</f>
        <v>-294.71</v>
      </c>
      <c r="C105" s="69">
        <f>IFERROR(B105/B148, "NA")</f>
        <v>-0.008737784343</v>
      </c>
      <c r="D105" s="67">
        <f>IFERROR(D104, "NA")</f>
        <v>926.02</v>
      </c>
      <c r="E105" s="69">
        <f>IFERROR(D105/D148, "NA")</f>
        <v>0.03155716238</v>
      </c>
      <c r="F105" s="67">
        <f>IFERROR(F104, "NA")</f>
        <v>22168.33</v>
      </c>
      <c r="G105" s="69">
        <f>IFERROR(F105/F148, "NA")</f>
        <v>0.7439985636</v>
      </c>
      <c r="H105" s="67">
        <f>IFERROR(H104, "NA")</f>
        <v>-4844.35</v>
      </c>
      <c r="I105" s="69">
        <f>IFERROR(H105/H148, "NA")</f>
        <v>-0.1565454809</v>
      </c>
      <c r="J105" s="67">
        <f>IFERROR(J104, "NA")</f>
        <v>0</v>
      </c>
      <c r="K105" s="69">
        <f>IFERROR(J105/J148, "NA")</f>
        <v>0</v>
      </c>
      <c r="L105" s="67">
        <f>IFERROR(L104, "NA")</f>
        <v>0</v>
      </c>
      <c r="M105" s="69">
        <f>IFERROR(L105/L148, "NA")</f>
        <v>0</v>
      </c>
      <c r="N105" s="67">
        <f>IFERROR(N104, "NA")</f>
        <v>927.83</v>
      </c>
      <c r="O105" s="69">
        <f>IFERROR(N105/N148, "NA")</f>
        <v>0.02790557645</v>
      </c>
      <c r="P105" s="67">
        <f>IFERROR(P104, "NA")</f>
        <v>25414.95</v>
      </c>
      <c r="Q105" s="69">
        <f>IFERROR(P105/P148, "NA")</f>
        <v>0.7614875028</v>
      </c>
      <c r="R105" s="67">
        <f>IFERROR(R104, "NA")</f>
        <v>-5855</v>
      </c>
      <c r="S105" s="69">
        <f>IFERROR(R105/R148, "NA")</f>
        <v>-0.2151235334</v>
      </c>
      <c r="T105" s="67">
        <f>IFERROR(T104, "NA")</f>
        <v>0</v>
      </c>
      <c r="U105" s="69">
        <f>IFERROR(T105/T148, "NA")</f>
        <v>0</v>
      </c>
      <c r="V105" s="67">
        <f>IFERROR(V104, "NA")</f>
        <v>861.28</v>
      </c>
      <c r="W105" s="69">
        <f>IFERROR(V105/V148, "NA")</f>
        <v>0.02689277984</v>
      </c>
      <c r="X105" s="67">
        <f>IFERROR(X104, "NA")</f>
        <v>0</v>
      </c>
      <c r="Y105" s="69">
        <f>IFERROR(X105/X148, "NA")</f>
        <v>0</v>
      </c>
      <c r="Z105" s="67">
        <f>IFERROR(Z104, "NA")</f>
        <v>-4993.72</v>
      </c>
      <c r="AA105" s="69">
        <f>IFERROR(Z105/Z148, "NA")</f>
        <v>-0.03882684418</v>
      </c>
      <c r="AB105" s="67">
        <f t="shared" si="49"/>
        <v>-1248.43</v>
      </c>
      <c r="AC105" s="69">
        <f>IFERROR(AB105/AB148, "NA")</f>
        <v>-0.03882684418</v>
      </c>
      <c r="AD105" s="70">
        <f t="shared" si="50"/>
        <v>1248.43</v>
      </c>
      <c r="AE105" s="71">
        <f>IFERROR(AD105/AD148, "NA")</f>
        <v>-0.3085998767</v>
      </c>
      <c r="AF105" s="70">
        <f t="shared" si="51"/>
        <v>-1</v>
      </c>
      <c r="AG105" s="67">
        <f t="shared" si="52"/>
        <v>2668.6325</v>
      </c>
      <c r="AH105" s="69">
        <f>IFERROR(AG105/AG148, "NA")</f>
        <v>0.08760614711</v>
      </c>
      <c r="AI105" s="70">
        <f t="shared" si="53"/>
        <v>-2668.6325</v>
      </c>
      <c r="AJ105" s="71">
        <f>IFERROR(AI105/AI148, "NA")</f>
        <v>1.133955523</v>
      </c>
      <c r="AK105" s="70">
        <f t="shared" si="54"/>
        <v>-1</v>
      </c>
      <c r="AL105" s="71">
        <f>IFERROR(AK105/AK148, "NA")</f>
        <v>12.94378945</v>
      </c>
    </row>
    <row r="106" ht="16.5" hidden="1" customHeight="1">
      <c r="A106" s="120" t="s">
        <v>6</v>
      </c>
      <c r="B106" s="121"/>
      <c r="C106" s="76"/>
      <c r="D106" s="121"/>
      <c r="E106" s="76"/>
      <c r="F106" s="121"/>
      <c r="G106" s="76"/>
      <c r="H106" s="121"/>
      <c r="I106" s="76"/>
      <c r="J106" s="121"/>
      <c r="K106" s="76"/>
      <c r="L106" s="121"/>
      <c r="M106" s="76"/>
      <c r="N106" s="121"/>
      <c r="O106" s="76"/>
      <c r="P106" s="121"/>
      <c r="Q106" s="76"/>
      <c r="R106" s="121"/>
      <c r="S106" s="76"/>
      <c r="T106" s="121"/>
      <c r="U106" s="76"/>
      <c r="V106" s="121"/>
      <c r="W106" s="76"/>
      <c r="X106" s="121"/>
      <c r="Y106" s="76"/>
      <c r="Z106" s="121"/>
      <c r="AA106" s="76"/>
      <c r="AB106" s="121"/>
      <c r="AC106" s="76"/>
      <c r="AD106" s="122"/>
      <c r="AE106" s="78"/>
      <c r="AF106" s="122"/>
      <c r="AG106" s="121"/>
      <c r="AH106" s="76"/>
      <c r="AI106" s="122"/>
      <c r="AJ106" s="78"/>
      <c r="AK106" s="122"/>
      <c r="AL106" s="78"/>
    </row>
    <row r="107" ht="16.5" hidden="1" customHeight="1">
      <c r="A107" s="118" t="s">
        <v>208</v>
      </c>
      <c r="B107" s="119">
        <f>IFERROR(B87-B99-B105, "NA")</f>
        <v>11150.25</v>
      </c>
      <c r="C107" s="107">
        <f>IFERROR(B107/B148, "NA")</f>
        <v>0.3305910212</v>
      </c>
      <c r="D107" s="119">
        <f>IFERROR(D87-D99-D105, "NA")</f>
        <v>1735.07</v>
      </c>
      <c r="E107" s="107">
        <f>IFERROR(D107/D148, "NA")</f>
        <v>0.05912818917</v>
      </c>
      <c r="F107" s="119">
        <f>IFERROR(F87-F99-F105, "NA")</f>
        <v>-14218.51</v>
      </c>
      <c r="G107" s="107">
        <f>IFERROR(F107/F148, "NA")</f>
        <v>-0.477192058</v>
      </c>
      <c r="H107" s="119">
        <f>IFERROR(H87-H99-H105, "NA")</f>
        <v>14635.62</v>
      </c>
      <c r="I107" s="107">
        <f>IFERROR(H107/H148, "NA")</f>
        <v>0.4729509987</v>
      </c>
      <c r="J107" s="119">
        <f>IFERROR(J87-J99-J105, "NA")</f>
        <v>5924.14</v>
      </c>
      <c r="K107" s="107">
        <f>IFERROR(J107/J148, "NA")</f>
        <v>0.2551854315</v>
      </c>
      <c r="L107" s="119">
        <f>IFERROR(L87-L99-L105, "NA")</f>
        <v>7822.2</v>
      </c>
      <c r="M107" s="107">
        <f>IFERROR(L107/L148, "NA")</f>
        <v>0.3099233968</v>
      </c>
      <c r="N107" s="119">
        <f>IFERROR(N87-N99-N105, "NA")</f>
        <v>2897.48</v>
      </c>
      <c r="O107" s="107">
        <f>IFERROR(N107/N148, "NA")</f>
        <v>0.08714511243</v>
      </c>
      <c r="P107" s="119">
        <f>IFERROR(P87-P99-P105, "NA")</f>
        <v>-18031.91</v>
      </c>
      <c r="Q107" s="107">
        <f>IFERROR(P107/P148, "NA")</f>
        <v>-0.5402754724</v>
      </c>
      <c r="R107" s="119">
        <f>IFERROR(R87-R99-R105, "NA")</f>
        <v>12443.15</v>
      </c>
      <c r="S107" s="107">
        <f>IFERROR(R107/R148, "NA")</f>
        <v>0.4571843544</v>
      </c>
      <c r="T107" s="119">
        <f>IFERROR(T87-T99-T105, "NA")</f>
        <v>15840.94</v>
      </c>
      <c r="U107" s="107">
        <f>IFERROR(T107/T148, "NA")</f>
        <v>0.383897521</v>
      </c>
      <c r="V107" s="119">
        <f>IFERROR(V87-V99-V105, "NA")</f>
        <v>6363.64</v>
      </c>
      <c r="W107" s="107">
        <f>IFERROR(V107/V148, "NA")</f>
        <v>0.1986995745</v>
      </c>
      <c r="X107" s="119">
        <f>IFERROR(X87-X99-X105, "NA")</f>
        <v>10551.23</v>
      </c>
      <c r="Y107" s="107">
        <f>IFERROR(X107/X148, "NA")</f>
        <v>0.3753774683</v>
      </c>
      <c r="Z107" s="119">
        <f>IFERROR(Z87-Z99-Z105, "NA")</f>
        <v>45198.96</v>
      </c>
      <c r="AA107" s="107">
        <f>IFERROR(Z107/Z148, "NA")</f>
        <v>0.351427989</v>
      </c>
      <c r="AB107" s="119">
        <f>IFERROR((R107+T107+V107+X107)/4, "NA")</f>
        <v>11299.74</v>
      </c>
      <c r="AC107" s="107">
        <f>IFERROR(AB107/AB148, "NA")</f>
        <v>0.351427989</v>
      </c>
      <c r="AD107" s="70">
        <f>IFERROR(X107-AB107, "NA")</f>
        <v>-748.51</v>
      </c>
      <c r="AE107" s="71">
        <f>IFERROR(AD107/AD148, "NA")</f>
        <v>0.1850244657</v>
      </c>
      <c r="AF107" s="70">
        <f>IFERROR((X107-AB107)/AB107, "NA")</f>
        <v>-0.06624134715</v>
      </c>
      <c r="AG107" s="119">
        <f>IFERROR((J107+L107+N107+P107+R107+T107+V107+X107)/8, "NA")</f>
        <v>5476.35875</v>
      </c>
      <c r="AH107" s="107">
        <f>IFERROR(AG107/AG148, "NA")</f>
        <v>0.1797784784</v>
      </c>
      <c r="AI107" s="70">
        <f>IFERROR(X107-AG107, "NA")</f>
        <v>5074.87125</v>
      </c>
      <c r="AJ107" s="71">
        <f>IFERROR(AI107/AI148, "NA")</f>
        <v>-2.156414673</v>
      </c>
      <c r="AK107" s="70">
        <f>IFERROR((X107-AG107)/AG107, "NA")</f>
        <v>0.9266871441</v>
      </c>
      <c r="AL107" s="71">
        <f>IFERROR(AK107/AK148, "NA")</f>
        <v>-11.99484328</v>
      </c>
    </row>
    <row r="108" ht="3.75" hidden="1" customHeight="1">
      <c r="A108" s="120" t="s">
        <v>6</v>
      </c>
      <c r="B108" s="121"/>
      <c r="C108" s="76"/>
      <c r="D108" s="121"/>
      <c r="E108" s="76"/>
      <c r="F108" s="121"/>
      <c r="G108" s="76"/>
      <c r="H108" s="121"/>
      <c r="I108" s="76"/>
      <c r="J108" s="121"/>
      <c r="K108" s="76"/>
      <c r="L108" s="121"/>
      <c r="M108" s="76"/>
      <c r="N108" s="121"/>
      <c r="O108" s="76"/>
      <c r="P108" s="121"/>
      <c r="Q108" s="76"/>
      <c r="R108" s="121"/>
      <c r="S108" s="76"/>
      <c r="T108" s="121"/>
      <c r="U108" s="76"/>
      <c r="V108" s="121"/>
      <c r="W108" s="76"/>
      <c r="X108" s="121"/>
      <c r="Y108" s="76"/>
      <c r="Z108" s="121"/>
      <c r="AA108" s="76"/>
      <c r="AB108" s="121"/>
      <c r="AC108" s="76"/>
      <c r="AD108" s="122"/>
      <c r="AE108" s="78"/>
      <c r="AF108" s="122"/>
      <c r="AG108" s="121"/>
      <c r="AH108" s="76"/>
      <c r="AI108" s="122"/>
      <c r="AJ108" s="78"/>
      <c r="AK108" s="122"/>
      <c r="AL108" s="78"/>
    </row>
    <row r="109" ht="16.5" hidden="1" customHeight="1">
      <c r="A109" s="17" t="s">
        <v>209</v>
      </c>
      <c r="B109" s="19"/>
      <c r="C109" s="13"/>
      <c r="D109" s="19"/>
      <c r="E109" s="13"/>
      <c r="F109" s="19"/>
      <c r="G109" s="13"/>
      <c r="H109" s="19"/>
      <c r="I109" s="13"/>
      <c r="J109" s="19"/>
      <c r="K109" s="13"/>
      <c r="L109" s="19"/>
      <c r="M109" s="13"/>
      <c r="N109" s="19"/>
      <c r="O109" s="13"/>
      <c r="P109" s="19"/>
      <c r="Q109" s="13"/>
      <c r="R109" s="19"/>
      <c r="S109" s="13"/>
      <c r="T109" s="19"/>
      <c r="U109" s="13"/>
      <c r="V109" s="19"/>
      <c r="W109" s="13"/>
      <c r="X109" s="19"/>
      <c r="Y109" s="13"/>
      <c r="Z109" s="19"/>
      <c r="AA109" s="13"/>
      <c r="AB109" s="19"/>
      <c r="AC109" s="13"/>
      <c r="AD109" s="24"/>
      <c r="AE109" s="25"/>
      <c r="AF109" s="24"/>
      <c r="AG109" s="19"/>
      <c r="AH109" s="13"/>
      <c r="AI109" s="24"/>
      <c r="AJ109" s="25"/>
      <c r="AK109" s="24"/>
      <c r="AL109" s="25"/>
    </row>
    <row r="110" ht="16.5" hidden="1" customHeight="1">
      <c r="A110" s="26" t="s">
        <v>210</v>
      </c>
      <c r="B110" s="27">
        <v>0.0</v>
      </c>
      <c r="C110" s="23">
        <f>IFERROR(B110/B148, "NA")</f>
        <v>0</v>
      </c>
      <c r="D110" s="27">
        <v>0.0</v>
      </c>
      <c r="E110" s="23">
        <f>IFERROR(D110/D148, "NA")</f>
        <v>0</v>
      </c>
      <c r="F110" s="27">
        <v>0.0</v>
      </c>
      <c r="G110" s="23">
        <f>IFERROR(F110/F148, "NA")</f>
        <v>0</v>
      </c>
      <c r="H110" s="27">
        <v>0.0</v>
      </c>
      <c r="I110" s="23">
        <f>IFERROR(H110/H148, "NA")</f>
        <v>0</v>
      </c>
      <c r="J110" s="27">
        <v>0.0</v>
      </c>
      <c r="K110" s="23">
        <f>IFERROR(J110/J148, "NA")</f>
        <v>0</v>
      </c>
      <c r="L110" s="27">
        <v>0.0</v>
      </c>
      <c r="M110" s="23">
        <f>IFERROR(L110/L148, "NA")</f>
        <v>0</v>
      </c>
      <c r="N110" s="27">
        <v>0.0</v>
      </c>
      <c r="O110" s="23">
        <f>IFERROR(N110/N148, "NA")</f>
        <v>0</v>
      </c>
      <c r="P110" s="27">
        <v>0.0</v>
      </c>
      <c r="Q110" s="23">
        <f>IFERROR(P110/P148, "NA")</f>
        <v>0</v>
      </c>
      <c r="R110" s="27">
        <v>0.0</v>
      </c>
      <c r="S110" s="23">
        <f>IFERROR(R110/R148, "NA")</f>
        <v>0</v>
      </c>
      <c r="T110" s="27">
        <v>0.0</v>
      </c>
      <c r="U110" s="23">
        <f>IFERROR(T110/T148, "NA")</f>
        <v>0</v>
      </c>
      <c r="V110" s="27">
        <v>0.0</v>
      </c>
      <c r="W110" s="23">
        <f>IFERROR(V110/V148, "NA")</f>
        <v>0</v>
      </c>
      <c r="X110" s="27">
        <v>0.0</v>
      </c>
      <c r="Y110" s="23">
        <f>IFERROR(X110/X148, "NA")</f>
        <v>0</v>
      </c>
      <c r="Z110" s="27">
        <v>0.0</v>
      </c>
      <c r="AA110" s="23">
        <f>IFERROR(Z110/Z148, "NA")</f>
        <v>0</v>
      </c>
      <c r="AB110" s="59">
        <f t="shared" ref="AB110:AB135" si="55">IFERROR((R110+T110+V110+X110)/4, "NA")</f>
        <v>0</v>
      </c>
      <c r="AC110" s="23">
        <f>IFERROR(AB110/AB148, "NA")</f>
        <v>0</v>
      </c>
      <c r="AD110" s="61">
        <f t="shared" ref="AD110:AD135" si="56">IFERROR(X110-AB110, "NA")</f>
        <v>0</v>
      </c>
      <c r="AE110" s="63">
        <f>IFERROR(AD110/AD148, "NA")</f>
        <v>0</v>
      </c>
      <c r="AF110" s="61" t="str">
        <f t="shared" ref="AF110:AF135" si="57">IFERROR((X110-AB110)/AB110, "NA")</f>
        <v>NA</v>
      </c>
      <c r="AG110" s="59">
        <f t="shared" ref="AG110:AG135" si="58">IFERROR((J110+L110+N110+P110+R110+T110+V110+X110)/8, "NA")</f>
        <v>0</v>
      </c>
      <c r="AH110" s="23">
        <f>IFERROR(AG110/AG148, "NA")</f>
        <v>0</v>
      </c>
      <c r="AI110" s="61">
        <f t="shared" ref="AI110:AI135" si="59">IFERROR(X110-AG110, "NA")</f>
        <v>0</v>
      </c>
      <c r="AJ110" s="63">
        <f>IFERROR(AI110/AI148, "NA")</f>
        <v>0</v>
      </c>
      <c r="AK110" s="61" t="str">
        <f t="shared" ref="AK110:AK135" si="60">IFERROR((X110-AG110)/AG110, "NA")</f>
        <v>NA</v>
      </c>
      <c r="AL110" s="63" t="str">
        <f>IFERROR(AK110/AK148, "NA")</f>
        <v>NA</v>
      </c>
    </row>
    <row r="111" ht="16.5" hidden="1" customHeight="1">
      <c r="A111" s="26" t="s">
        <v>211</v>
      </c>
      <c r="B111" s="27">
        <v>0.0</v>
      </c>
      <c r="C111" s="23">
        <f>IFERROR(B111/B148, "NA")</f>
        <v>0</v>
      </c>
      <c r="D111" s="27">
        <v>0.0</v>
      </c>
      <c r="E111" s="23">
        <f>IFERROR(D111/D148, "NA")</f>
        <v>0</v>
      </c>
      <c r="F111" s="27">
        <v>0.0</v>
      </c>
      <c r="G111" s="23">
        <f>IFERROR(F111/F148, "NA")</f>
        <v>0</v>
      </c>
      <c r="H111" s="27">
        <v>0.0</v>
      </c>
      <c r="I111" s="23">
        <f>IFERROR(H111/H148, "NA")</f>
        <v>0</v>
      </c>
      <c r="J111" s="27">
        <v>0.0</v>
      </c>
      <c r="K111" s="23">
        <f>IFERROR(J111/J148, "NA")</f>
        <v>0</v>
      </c>
      <c r="L111" s="27">
        <v>0.0</v>
      </c>
      <c r="M111" s="23">
        <f>IFERROR(L111/L148, "NA")</f>
        <v>0</v>
      </c>
      <c r="N111" s="27">
        <v>0.0</v>
      </c>
      <c r="O111" s="23">
        <f>IFERROR(N111/N148, "NA")</f>
        <v>0</v>
      </c>
      <c r="P111" s="27">
        <v>0.0</v>
      </c>
      <c r="Q111" s="23">
        <f>IFERROR(P111/P148, "NA")</f>
        <v>0</v>
      </c>
      <c r="R111" s="27">
        <v>0.0</v>
      </c>
      <c r="S111" s="23">
        <f>IFERROR(R111/R148, "NA")</f>
        <v>0</v>
      </c>
      <c r="T111" s="27">
        <v>0.0</v>
      </c>
      <c r="U111" s="23">
        <f>IFERROR(T111/T148, "NA")</f>
        <v>0</v>
      </c>
      <c r="V111" s="27">
        <v>0.0</v>
      </c>
      <c r="W111" s="23">
        <f>IFERROR(V111/V148, "NA")</f>
        <v>0</v>
      </c>
      <c r="X111" s="27">
        <v>0.0</v>
      </c>
      <c r="Y111" s="23">
        <f>IFERROR(X111/X148, "NA")</f>
        <v>0</v>
      </c>
      <c r="Z111" s="27">
        <v>0.0</v>
      </c>
      <c r="AA111" s="23">
        <f>IFERROR(Z111/Z148, "NA")</f>
        <v>0</v>
      </c>
      <c r="AB111" s="59">
        <f t="shared" si="55"/>
        <v>0</v>
      </c>
      <c r="AC111" s="23">
        <f>IFERROR(AB111/AB148, "NA")</f>
        <v>0</v>
      </c>
      <c r="AD111" s="61">
        <f t="shared" si="56"/>
        <v>0</v>
      </c>
      <c r="AE111" s="63">
        <f>IFERROR(AD111/AD148, "NA")</f>
        <v>0</v>
      </c>
      <c r="AF111" s="61" t="str">
        <f t="shared" si="57"/>
        <v>NA</v>
      </c>
      <c r="AG111" s="59">
        <f t="shared" si="58"/>
        <v>0</v>
      </c>
      <c r="AH111" s="23">
        <f>IFERROR(AG111/AG148, "NA")</f>
        <v>0</v>
      </c>
      <c r="AI111" s="61">
        <f t="shared" si="59"/>
        <v>0</v>
      </c>
      <c r="AJ111" s="63">
        <f>IFERROR(AI111/AI148, "NA")</f>
        <v>0</v>
      </c>
      <c r="AK111" s="61" t="str">
        <f t="shared" si="60"/>
        <v>NA</v>
      </c>
      <c r="AL111" s="63" t="str">
        <f>IFERROR(AK111/AK148, "NA")</f>
        <v>NA</v>
      </c>
    </row>
    <row r="112" ht="16.5" hidden="1" customHeight="1">
      <c r="A112" s="26" t="s">
        <v>212</v>
      </c>
      <c r="B112" s="27">
        <v>0.0</v>
      </c>
      <c r="C112" s="23">
        <f>IFERROR(B112/B148, "NA")</f>
        <v>0</v>
      </c>
      <c r="D112" s="27">
        <v>0.0</v>
      </c>
      <c r="E112" s="23">
        <f>IFERROR(D112/D148, "NA")</f>
        <v>0</v>
      </c>
      <c r="F112" s="27">
        <v>0.0</v>
      </c>
      <c r="G112" s="23">
        <f>IFERROR(F112/F148, "NA")</f>
        <v>0</v>
      </c>
      <c r="H112" s="27">
        <v>0.0</v>
      </c>
      <c r="I112" s="23">
        <f>IFERROR(H112/H148, "NA")</f>
        <v>0</v>
      </c>
      <c r="J112" s="27">
        <v>0.0</v>
      </c>
      <c r="K112" s="23">
        <f>IFERROR(J112/J148, "NA")</f>
        <v>0</v>
      </c>
      <c r="L112" s="27">
        <v>0.0</v>
      </c>
      <c r="M112" s="23">
        <f>IFERROR(L112/L148, "NA")</f>
        <v>0</v>
      </c>
      <c r="N112" s="27">
        <v>0.0</v>
      </c>
      <c r="O112" s="23">
        <f>IFERROR(N112/N148, "NA")</f>
        <v>0</v>
      </c>
      <c r="P112" s="27">
        <v>0.0</v>
      </c>
      <c r="Q112" s="23">
        <f>IFERROR(P112/P148, "NA")</f>
        <v>0</v>
      </c>
      <c r="R112" s="27">
        <v>0.0</v>
      </c>
      <c r="S112" s="23">
        <f>IFERROR(R112/R148, "NA")</f>
        <v>0</v>
      </c>
      <c r="T112" s="27">
        <v>0.0</v>
      </c>
      <c r="U112" s="23">
        <f>IFERROR(T112/T148, "NA")</f>
        <v>0</v>
      </c>
      <c r="V112" s="27">
        <v>0.0</v>
      </c>
      <c r="W112" s="23">
        <f>IFERROR(V112/V148, "NA")</f>
        <v>0</v>
      </c>
      <c r="X112" s="27">
        <v>0.0</v>
      </c>
      <c r="Y112" s="23">
        <f>IFERROR(X112/X148, "NA")</f>
        <v>0</v>
      </c>
      <c r="Z112" s="27">
        <v>0.0</v>
      </c>
      <c r="AA112" s="23">
        <f>IFERROR(Z112/Z148, "NA")</f>
        <v>0</v>
      </c>
      <c r="AB112" s="59">
        <f t="shared" si="55"/>
        <v>0</v>
      </c>
      <c r="AC112" s="23">
        <f>IFERROR(AB112/AB148, "NA")</f>
        <v>0</v>
      </c>
      <c r="AD112" s="61">
        <f t="shared" si="56"/>
        <v>0</v>
      </c>
      <c r="AE112" s="63">
        <f>IFERROR(AD112/AD148, "NA")</f>
        <v>0</v>
      </c>
      <c r="AF112" s="61" t="str">
        <f t="shared" si="57"/>
        <v>NA</v>
      </c>
      <c r="AG112" s="59">
        <f t="shared" si="58"/>
        <v>0</v>
      </c>
      <c r="AH112" s="23">
        <f>IFERROR(AG112/AG148, "NA")</f>
        <v>0</v>
      </c>
      <c r="AI112" s="61">
        <f t="shared" si="59"/>
        <v>0</v>
      </c>
      <c r="AJ112" s="63">
        <f>IFERROR(AI112/AI148, "NA")</f>
        <v>0</v>
      </c>
      <c r="AK112" s="61" t="str">
        <f t="shared" si="60"/>
        <v>NA</v>
      </c>
      <c r="AL112" s="63" t="str">
        <f>IFERROR(AK112/AK148, "NA")</f>
        <v>NA</v>
      </c>
    </row>
    <row r="113" ht="16.5" hidden="1" customHeight="1">
      <c r="A113" s="26" t="s">
        <v>213</v>
      </c>
      <c r="B113" s="27">
        <v>0.0</v>
      </c>
      <c r="C113" s="23">
        <f>IFERROR(B113/B148, "NA")</f>
        <v>0</v>
      </c>
      <c r="D113" s="27">
        <v>0.0</v>
      </c>
      <c r="E113" s="23">
        <f>IFERROR(D113/D148, "NA")</f>
        <v>0</v>
      </c>
      <c r="F113" s="27">
        <v>0.0</v>
      </c>
      <c r="G113" s="23">
        <f>IFERROR(F113/F148, "NA")</f>
        <v>0</v>
      </c>
      <c r="H113" s="27">
        <v>0.0</v>
      </c>
      <c r="I113" s="23">
        <f>IFERROR(H113/H148, "NA")</f>
        <v>0</v>
      </c>
      <c r="J113" s="27">
        <v>0.0</v>
      </c>
      <c r="K113" s="23">
        <f>IFERROR(J113/J148, "NA")</f>
        <v>0</v>
      </c>
      <c r="L113" s="27">
        <v>0.0</v>
      </c>
      <c r="M113" s="23">
        <f>IFERROR(L113/L148, "NA")</f>
        <v>0</v>
      </c>
      <c r="N113" s="27">
        <v>0.0</v>
      </c>
      <c r="O113" s="23">
        <f>IFERROR(N113/N148, "NA")</f>
        <v>0</v>
      </c>
      <c r="P113" s="27">
        <v>0.0</v>
      </c>
      <c r="Q113" s="23">
        <f>IFERROR(P113/P148, "NA")</f>
        <v>0</v>
      </c>
      <c r="R113" s="27">
        <v>0.0</v>
      </c>
      <c r="S113" s="23">
        <f>IFERROR(R113/R148, "NA")</f>
        <v>0</v>
      </c>
      <c r="T113" s="27">
        <v>0.0</v>
      </c>
      <c r="U113" s="23">
        <f>IFERROR(T113/T148, "NA")</f>
        <v>0</v>
      </c>
      <c r="V113" s="27">
        <v>0.0</v>
      </c>
      <c r="W113" s="23">
        <f>IFERROR(V113/V148, "NA")</f>
        <v>0</v>
      </c>
      <c r="X113" s="27">
        <v>0.0</v>
      </c>
      <c r="Y113" s="23">
        <f>IFERROR(X113/X148, "NA")</f>
        <v>0</v>
      </c>
      <c r="Z113" s="27">
        <v>0.0</v>
      </c>
      <c r="AA113" s="23">
        <f>IFERROR(Z113/Z148, "NA")</f>
        <v>0</v>
      </c>
      <c r="AB113" s="59">
        <f t="shared" si="55"/>
        <v>0</v>
      </c>
      <c r="AC113" s="23">
        <f>IFERROR(AB113/AB148, "NA")</f>
        <v>0</v>
      </c>
      <c r="AD113" s="61">
        <f t="shared" si="56"/>
        <v>0</v>
      </c>
      <c r="AE113" s="63">
        <f>IFERROR(AD113/AD148, "NA")</f>
        <v>0</v>
      </c>
      <c r="AF113" s="61" t="str">
        <f t="shared" si="57"/>
        <v>NA</v>
      </c>
      <c r="AG113" s="59">
        <f t="shared" si="58"/>
        <v>0</v>
      </c>
      <c r="AH113" s="23">
        <f>IFERROR(AG113/AG148, "NA")</f>
        <v>0</v>
      </c>
      <c r="AI113" s="61">
        <f t="shared" si="59"/>
        <v>0</v>
      </c>
      <c r="AJ113" s="63">
        <f>IFERROR(AI113/AI148, "NA")</f>
        <v>0</v>
      </c>
      <c r="AK113" s="61" t="str">
        <f t="shared" si="60"/>
        <v>NA</v>
      </c>
      <c r="AL113" s="63" t="str">
        <f>IFERROR(AK113/AK148, "NA")</f>
        <v>NA</v>
      </c>
    </row>
    <row r="114" ht="16.5" hidden="1" customHeight="1">
      <c r="A114" s="26" t="s">
        <v>214</v>
      </c>
      <c r="B114" s="27">
        <v>0.0</v>
      </c>
      <c r="C114" s="23">
        <f>IFERROR(B114/B148, "NA")</f>
        <v>0</v>
      </c>
      <c r="D114" s="27">
        <v>0.0</v>
      </c>
      <c r="E114" s="23">
        <f>IFERROR(D114/D148, "NA")</f>
        <v>0</v>
      </c>
      <c r="F114" s="27">
        <v>0.0</v>
      </c>
      <c r="G114" s="23">
        <f>IFERROR(F114/F148, "NA")</f>
        <v>0</v>
      </c>
      <c r="H114" s="27">
        <v>0.0</v>
      </c>
      <c r="I114" s="23">
        <f>IFERROR(H114/H148, "NA")</f>
        <v>0</v>
      </c>
      <c r="J114" s="27">
        <v>0.0</v>
      </c>
      <c r="K114" s="23">
        <f>IFERROR(J114/J148, "NA")</f>
        <v>0</v>
      </c>
      <c r="L114" s="27">
        <v>0.0</v>
      </c>
      <c r="M114" s="23">
        <f>IFERROR(L114/L148, "NA")</f>
        <v>0</v>
      </c>
      <c r="N114" s="27">
        <v>0.0</v>
      </c>
      <c r="O114" s="23">
        <f>IFERROR(N114/N148, "NA")</f>
        <v>0</v>
      </c>
      <c r="P114" s="27">
        <v>0.0</v>
      </c>
      <c r="Q114" s="23">
        <f>IFERROR(P114/P148, "NA")</f>
        <v>0</v>
      </c>
      <c r="R114" s="27">
        <v>0.0</v>
      </c>
      <c r="S114" s="23">
        <f>IFERROR(R114/R148, "NA")</f>
        <v>0</v>
      </c>
      <c r="T114" s="27">
        <v>0.0</v>
      </c>
      <c r="U114" s="23">
        <f>IFERROR(T114/T148, "NA")</f>
        <v>0</v>
      </c>
      <c r="V114" s="27">
        <v>0.0</v>
      </c>
      <c r="W114" s="23">
        <f>IFERROR(V114/V148, "NA")</f>
        <v>0</v>
      </c>
      <c r="X114" s="27">
        <v>0.0</v>
      </c>
      <c r="Y114" s="23">
        <f>IFERROR(X114/X148, "NA")</f>
        <v>0</v>
      </c>
      <c r="Z114" s="27">
        <v>0.0</v>
      </c>
      <c r="AA114" s="23">
        <f>IFERROR(Z114/Z148, "NA")</f>
        <v>0</v>
      </c>
      <c r="AB114" s="59">
        <f t="shared" si="55"/>
        <v>0</v>
      </c>
      <c r="AC114" s="23">
        <f>IFERROR(AB114/AB148, "NA")</f>
        <v>0</v>
      </c>
      <c r="AD114" s="61">
        <f t="shared" si="56"/>
        <v>0</v>
      </c>
      <c r="AE114" s="63">
        <f>IFERROR(AD114/AD148, "NA")</f>
        <v>0</v>
      </c>
      <c r="AF114" s="61" t="str">
        <f t="shared" si="57"/>
        <v>NA</v>
      </c>
      <c r="AG114" s="59">
        <f t="shared" si="58"/>
        <v>0</v>
      </c>
      <c r="AH114" s="23">
        <f>IFERROR(AG114/AG148, "NA")</f>
        <v>0</v>
      </c>
      <c r="AI114" s="61">
        <f t="shared" si="59"/>
        <v>0</v>
      </c>
      <c r="AJ114" s="63">
        <f>IFERROR(AI114/AI148, "NA")</f>
        <v>0</v>
      </c>
      <c r="AK114" s="61" t="str">
        <f t="shared" si="60"/>
        <v>NA</v>
      </c>
      <c r="AL114" s="63" t="str">
        <f>IFERROR(AK114/AK148, "NA")</f>
        <v>NA</v>
      </c>
    </row>
    <row r="115" ht="16.5" hidden="1" customHeight="1">
      <c r="A115" s="26" t="s">
        <v>215</v>
      </c>
      <c r="B115" s="27">
        <v>0.0</v>
      </c>
      <c r="C115" s="23">
        <f>IFERROR(B115/B148, "NA")</f>
        <v>0</v>
      </c>
      <c r="D115" s="27">
        <v>0.0</v>
      </c>
      <c r="E115" s="23">
        <f>IFERROR(D115/D148, "NA")</f>
        <v>0</v>
      </c>
      <c r="F115" s="27">
        <v>0.0</v>
      </c>
      <c r="G115" s="23">
        <f>IFERROR(F115/F148, "NA")</f>
        <v>0</v>
      </c>
      <c r="H115" s="27">
        <v>0.0</v>
      </c>
      <c r="I115" s="23">
        <f>IFERROR(H115/H148, "NA")</f>
        <v>0</v>
      </c>
      <c r="J115" s="27">
        <v>0.0</v>
      </c>
      <c r="K115" s="23">
        <f>IFERROR(J115/J148, "NA")</f>
        <v>0</v>
      </c>
      <c r="L115" s="27">
        <v>0.0</v>
      </c>
      <c r="M115" s="23">
        <f>IFERROR(L115/L148, "NA")</f>
        <v>0</v>
      </c>
      <c r="N115" s="27">
        <v>0.0</v>
      </c>
      <c r="O115" s="23">
        <f>IFERROR(N115/N148, "NA")</f>
        <v>0</v>
      </c>
      <c r="P115" s="27">
        <v>0.0</v>
      </c>
      <c r="Q115" s="23">
        <f>IFERROR(P115/P148, "NA")</f>
        <v>0</v>
      </c>
      <c r="R115" s="27">
        <v>0.0</v>
      </c>
      <c r="S115" s="23">
        <f>IFERROR(R115/R148, "NA")</f>
        <v>0</v>
      </c>
      <c r="T115" s="27">
        <v>0.0</v>
      </c>
      <c r="U115" s="23">
        <f>IFERROR(T115/T148, "NA")</f>
        <v>0</v>
      </c>
      <c r="V115" s="27">
        <v>0.0</v>
      </c>
      <c r="W115" s="23">
        <f>IFERROR(V115/V148, "NA")</f>
        <v>0</v>
      </c>
      <c r="X115" s="27">
        <v>0.0</v>
      </c>
      <c r="Y115" s="23">
        <f>IFERROR(X115/X148, "NA")</f>
        <v>0</v>
      </c>
      <c r="Z115" s="27">
        <v>0.0</v>
      </c>
      <c r="AA115" s="23">
        <f>IFERROR(Z115/Z148, "NA")</f>
        <v>0</v>
      </c>
      <c r="AB115" s="59">
        <f t="shared" si="55"/>
        <v>0</v>
      </c>
      <c r="AC115" s="23">
        <f>IFERROR(AB115/AB148, "NA")</f>
        <v>0</v>
      </c>
      <c r="AD115" s="61">
        <f t="shared" si="56"/>
        <v>0</v>
      </c>
      <c r="AE115" s="63">
        <f>IFERROR(AD115/AD148, "NA")</f>
        <v>0</v>
      </c>
      <c r="AF115" s="61" t="str">
        <f t="shared" si="57"/>
        <v>NA</v>
      </c>
      <c r="AG115" s="59">
        <f t="shared" si="58"/>
        <v>0</v>
      </c>
      <c r="AH115" s="23">
        <f>IFERROR(AG115/AG148, "NA")</f>
        <v>0</v>
      </c>
      <c r="AI115" s="61">
        <f t="shared" si="59"/>
        <v>0</v>
      </c>
      <c r="AJ115" s="63">
        <f>IFERROR(AI115/AI148, "NA")</f>
        <v>0</v>
      </c>
      <c r="AK115" s="61" t="str">
        <f t="shared" si="60"/>
        <v>NA</v>
      </c>
      <c r="AL115" s="63" t="str">
        <f>IFERROR(AK115/AK148, "NA")</f>
        <v>NA</v>
      </c>
    </row>
    <row r="116" ht="16.5" hidden="1" customHeight="1">
      <c r="A116" s="26" t="s">
        <v>216</v>
      </c>
      <c r="B116" s="27">
        <v>0.0</v>
      </c>
      <c r="C116" s="23">
        <f>IFERROR(B116/B148, "NA")</f>
        <v>0</v>
      </c>
      <c r="D116" s="27">
        <v>0.0</v>
      </c>
      <c r="E116" s="23">
        <f>IFERROR(D116/D148, "NA")</f>
        <v>0</v>
      </c>
      <c r="F116" s="27">
        <v>0.0</v>
      </c>
      <c r="G116" s="23">
        <f>IFERROR(F116/F148, "NA")</f>
        <v>0</v>
      </c>
      <c r="H116" s="27">
        <v>0.0</v>
      </c>
      <c r="I116" s="23">
        <f>IFERROR(H116/H148, "NA")</f>
        <v>0</v>
      </c>
      <c r="J116" s="27">
        <v>0.0</v>
      </c>
      <c r="K116" s="23">
        <f>IFERROR(J116/J148, "NA")</f>
        <v>0</v>
      </c>
      <c r="L116" s="27">
        <v>0.0</v>
      </c>
      <c r="M116" s="23">
        <f>IFERROR(L116/L148, "NA")</f>
        <v>0</v>
      </c>
      <c r="N116" s="27">
        <v>0.0</v>
      </c>
      <c r="O116" s="23">
        <f>IFERROR(N116/N148, "NA")</f>
        <v>0</v>
      </c>
      <c r="P116" s="27">
        <v>0.0</v>
      </c>
      <c r="Q116" s="23">
        <f>IFERROR(P116/P148, "NA")</f>
        <v>0</v>
      </c>
      <c r="R116" s="27">
        <v>0.0</v>
      </c>
      <c r="S116" s="23">
        <f>IFERROR(R116/R148, "NA")</f>
        <v>0</v>
      </c>
      <c r="T116" s="27">
        <v>0.0</v>
      </c>
      <c r="U116" s="23">
        <f>IFERROR(T116/T148, "NA")</f>
        <v>0</v>
      </c>
      <c r="V116" s="27">
        <v>0.0</v>
      </c>
      <c r="W116" s="23">
        <f>IFERROR(V116/V148, "NA")</f>
        <v>0</v>
      </c>
      <c r="X116" s="27">
        <v>0.0</v>
      </c>
      <c r="Y116" s="23">
        <f>IFERROR(X116/X148, "NA")</f>
        <v>0</v>
      </c>
      <c r="Z116" s="27">
        <v>0.0</v>
      </c>
      <c r="AA116" s="23">
        <f>IFERROR(Z116/Z148, "NA")</f>
        <v>0</v>
      </c>
      <c r="AB116" s="59">
        <f t="shared" si="55"/>
        <v>0</v>
      </c>
      <c r="AC116" s="23">
        <f>IFERROR(AB116/AB148, "NA")</f>
        <v>0</v>
      </c>
      <c r="AD116" s="61">
        <f t="shared" si="56"/>
        <v>0</v>
      </c>
      <c r="AE116" s="63">
        <f>IFERROR(AD116/AD148, "NA")</f>
        <v>0</v>
      </c>
      <c r="AF116" s="61" t="str">
        <f t="shared" si="57"/>
        <v>NA</v>
      </c>
      <c r="AG116" s="59">
        <f t="shared" si="58"/>
        <v>0</v>
      </c>
      <c r="AH116" s="23">
        <f>IFERROR(AG116/AG148, "NA")</f>
        <v>0</v>
      </c>
      <c r="AI116" s="61">
        <f t="shared" si="59"/>
        <v>0</v>
      </c>
      <c r="AJ116" s="63">
        <f>IFERROR(AI116/AI148, "NA")</f>
        <v>0</v>
      </c>
      <c r="AK116" s="61" t="str">
        <f t="shared" si="60"/>
        <v>NA</v>
      </c>
      <c r="AL116" s="63" t="str">
        <f>IFERROR(AK116/AK148, "NA")</f>
        <v>NA</v>
      </c>
    </row>
    <row r="117" ht="16.5" hidden="1" customHeight="1">
      <c r="A117" s="26" t="s">
        <v>217</v>
      </c>
      <c r="B117" s="27">
        <v>0.0</v>
      </c>
      <c r="C117" s="23">
        <f>IFERROR(B117/B148, "NA")</f>
        <v>0</v>
      </c>
      <c r="D117" s="27">
        <v>0.0</v>
      </c>
      <c r="E117" s="23">
        <f>IFERROR(D117/D148, "NA")</f>
        <v>0</v>
      </c>
      <c r="F117" s="27">
        <v>0.0</v>
      </c>
      <c r="G117" s="23">
        <f>IFERROR(F117/F148, "NA")</f>
        <v>0</v>
      </c>
      <c r="H117" s="27">
        <v>0.0</v>
      </c>
      <c r="I117" s="23">
        <f>IFERROR(H117/H148, "NA")</f>
        <v>0</v>
      </c>
      <c r="J117" s="27">
        <v>0.0</v>
      </c>
      <c r="K117" s="23">
        <f>IFERROR(J117/J148, "NA")</f>
        <v>0</v>
      </c>
      <c r="L117" s="27">
        <v>0.0</v>
      </c>
      <c r="M117" s="23">
        <f>IFERROR(L117/L148, "NA")</f>
        <v>0</v>
      </c>
      <c r="N117" s="27">
        <v>0.0</v>
      </c>
      <c r="O117" s="23">
        <f>IFERROR(N117/N148, "NA")</f>
        <v>0</v>
      </c>
      <c r="P117" s="27">
        <v>0.0</v>
      </c>
      <c r="Q117" s="23">
        <f>IFERROR(P117/P148, "NA")</f>
        <v>0</v>
      </c>
      <c r="R117" s="27">
        <v>0.0</v>
      </c>
      <c r="S117" s="23">
        <f>IFERROR(R117/R148, "NA")</f>
        <v>0</v>
      </c>
      <c r="T117" s="27">
        <v>0.0</v>
      </c>
      <c r="U117" s="23">
        <f>IFERROR(T117/T148, "NA")</f>
        <v>0</v>
      </c>
      <c r="V117" s="27">
        <v>0.0</v>
      </c>
      <c r="W117" s="23">
        <f>IFERROR(V117/V148, "NA")</f>
        <v>0</v>
      </c>
      <c r="X117" s="27">
        <v>0.0</v>
      </c>
      <c r="Y117" s="23">
        <f>IFERROR(X117/X148, "NA")</f>
        <v>0</v>
      </c>
      <c r="Z117" s="27">
        <v>0.0</v>
      </c>
      <c r="AA117" s="23">
        <f>IFERROR(Z117/Z148, "NA")</f>
        <v>0</v>
      </c>
      <c r="AB117" s="59">
        <f t="shared" si="55"/>
        <v>0</v>
      </c>
      <c r="AC117" s="23">
        <f>IFERROR(AB117/AB148, "NA")</f>
        <v>0</v>
      </c>
      <c r="AD117" s="61">
        <f t="shared" si="56"/>
        <v>0</v>
      </c>
      <c r="AE117" s="63">
        <f>IFERROR(AD117/AD148, "NA")</f>
        <v>0</v>
      </c>
      <c r="AF117" s="61" t="str">
        <f t="shared" si="57"/>
        <v>NA</v>
      </c>
      <c r="AG117" s="59">
        <f t="shared" si="58"/>
        <v>0</v>
      </c>
      <c r="AH117" s="23">
        <f>IFERROR(AG117/AG148, "NA")</f>
        <v>0</v>
      </c>
      <c r="AI117" s="61">
        <f t="shared" si="59"/>
        <v>0</v>
      </c>
      <c r="AJ117" s="63">
        <f>IFERROR(AI117/AI148, "NA")</f>
        <v>0</v>
      </c>
      <c r="AK117" s="61" t="str">
        <f t="shared" si="60"/>
        <v>NA</v>
      </c>
      <c r="AL117" s="63" t="str">
        <f>IFERROR(AK117/AK148, "NA")</f>
        <v>NA</v>
      </c>
    </row>
    <row r="118" ht="16.5" hidden="1" customHeight="1">
      <c r="A118" s="26" t="s">
        <v>218</v>
      </c>
      <c r="B118" s="27">
        <v>0.0</v>
      </c>
      <c r="C118" s="23">
        <f>IFERROR(B118/B148, "NA")</f>
        <v>0</v>
      </c>
      <c r="D118" s="27">
        <v>0.0</v>
      </c>
      <c r="E118" s="23">
        <f>IFERROR(D118/D148, "NA")</f>
        <v>0</v>
      </c>
      <c r="F118" s="27">
        <v>0.0</v>
      </c>
      <c r="G118" s="23">
        <f>IFERROR(F118/F148, "NA")</f>
        <v>0</v>
      </c>
      <c r="H118" s="27">
        <v>0.0</v>
      </c>
      <c r="I118" s="23">
        <f>IFERROR(H118/H148, "NA")</f>
        <v>0</v>
      </c>
      <c r="J118" s="27">
        <v>0.0</v>
      </c>
      <c r="K118" s="23">
        <f>IFERROR(J118/J148, "NA")</f>
        <v>0</v>
      </c>
      <c r="L118" s="27">
        <v>0.0</v>
      </c>
      <c r="M118" s="23">
        <f>IFERROR(L118/L148, "NA")</f>
        <v>0</v>
      </c>
      <c r="N118" s="27">
        <v>0.0</v>
      </c>
      <c r="O118" s="23">
        <f>IFERROR(N118/N148, "NA")</f>
        <v>0</v>
      </c>
      <c r="P118" s="27">
        <v>0.0</v>
      </c>
      <c r="Q118" s="23">
        <f>IFERROR(P118/P148, "NA")</f>
        <v>0</v>
      </c>
      <c r="R118" s="27">
        <v>0.0</v>
      </c>
      <c r="S118" s="23">
        <f>IFERROR(R118/R148, "NA")</f>
        <v>0</v>
      </c>
      <c r="T118" s="27">
        <v>0.0</v>
      </c>
      <c r="U118" s="23">
        <f>IFERROR(T118/T148, "NA")</f>
        <v>0</v>
      </c>
      <c r="V118" s="27">
        <v>0.0</v>
      </c>
      <c r="W118" s="23">
        <f>IFERROR(V118/V148, "NA")</f>
        <v>0</v>
      </c>
      <c r="X118" s="27">
        <v>0.0</v>
      </c>
      <c r="Y118" s="23">
        <f>IFERROR(X118/X148, "NA")</f>
        <v>0</v>
      </c>
      <c r="Z118" s="27">
        <v>0.0</v>
      </c>
      <c r="AA118" s="23">
        <f>IFERROR(Z118/Z148, "NA")</f>
        <v>0</v>
      </c>
      <c r="AB118" s="59">
        <f t="shared" si="55"/>
        <v>0</v>
      </c>
      <c r="AC118" s="23">
        <f>IFERROR(AB118/AB148, "NA")</f>
        <v>0</v>
      </c>
      <c r="AD118" s="61">
        <f t="shared" si="56"/>
        <v>0</v>
      </c>
      <c r="AE118" s="63">
        <f>IFERROR(AD118/AD148, "NA")</f>
        <v>0</v>
      </c>
      <c r="AF118" s="61" t="str">
        <f t="shared" si="57"/>
        <v>NA</v>
      </c>
      <c r="AG118" s="59">
        <f t="shared" si="58"/>
        <v>0</v>
      </c>
      <c r="AH118" s="23">
        <f>IFERROR(AG118/AG148, "NA")</f>
        <v>0</v>
      </c>
      <c r="AI118" s="61">
        <f t="shared" si="59"/>
        <v>0</v>
      </c>
      <c r="AJ118" s="63">
        <f>IFERROR(AI118/AI148, "NA")</f>
        <v>0</v>
      </c>
      <c r="AK118" s="61" t="str">
        <f t="shared" si="60"/>
        <v>NA</v>
      </c>
      <c r="AL118" s="63" t="str">
        <f>IFERROR(AK118/AK148, "NA")</f>
        <v>NA</v>
      </c>
    </row>
    <row r="119" ht="16.5" hidden="1" customHeight="1">
      <c r="A119" s="26" t="s">
        <v>219</v>
      </c>
      <c r="B119" s="27">
        <v>0.0</v>
      </c>
      <c r="C119" s="23">
        <f>IFERROR(B119/B148, "NA")</f>
        <v>0</v>
      </c>
      <c r="D119" s="27">
        <v>0.0</v>
      </c>
      <c r="E119" s="23">
        <f>IFERROR(D119/D148, "NA")</f>
        <v>0</v>
      </c>
      <c r="F119" s="27">
        <v>0.0</v>
      </c>
      <c r="G119" s="23">
        <f>IFERROR(F119/F148, "NA")</f>
        <v>0</v>
      </c>
      <c r="H119" s="27">
        <v>0.0</v>
      </c>
      <c r="I119" s="23">
        <f>IFERROR(H119/H148, "NA")</f>
        <v>0</v>
      </c>
      <c r="J119" s="27">
        <v>0.0</v>
      </c>
      <c r="K119" s="23">
        <f>IFERROR(J119/J148, "NA")</f>
        <v>0</v>
      </c>
      <c r="L119" s="27">
        <v>0.0</v>
      </c>
      <c r="M119" s="23">
        <f>IFERROR(L119/L148, "NA")</f>
        <v>0</v>
      </c>
      <c r="N119" s="27">
        <v>0.0</v>
      </c>
      <c r="O119" s="23">
        <f>IFERROR(N119/N148, "NA")</f>
        <v>0</v>
      </c>
      <c r="P119" s="27">
        <v>0.0</v>
      </c>
      <c r="Q119" s="23">
        <f>IFERROR(P119/P148, "NA")</f>
        <v>0</v>
      </c>
      <c r="R119" s="27">
        <v>0.0</v>
      </c>
      <c r="S119" s="23">
        <f>IFERROR(R119/R148, "NA")</f>
        <v>0</v>
      </c>
      <c r="T119" s="27">
        <v>0.0</v>
      </c>
      <c r="U119" s="23">
        <f>IFERROR(T119/T148, "NA")</f>
        <v>0</v>
      </c>
      <c r="V119" s="27">
        <v>0.0</v>
      </c>
      <c r="W119" s="23">
        <f>IFERROR(V119/V148, "NA")</f>
        <v>0</v>
      </c>
      <c r="X119" s="27">
        <v>0.0</v>
      </c>
      <c r="Y119" s="23">
        <f>IFERROR(X119/X148, "NA")</f>
        <v>0</v>
      </c>
      <c r="Z119" s="27">
        <v>0.0</v>
      </c>
      <c r="AA119" s="23">
        <f>IFERROR(Z119/Z148, "NA")</f>
        <v>0</v>
      </c>
      <c r="AB119" s="59">
        <f t="shared" si="55"/>
        <v>0</v>
      </c>
      <c r="AC119" s="23">
        <f>IFERROR(AB119/AB148, "NA")</f>
        <v>0</v>
      </c>
      <c r="AD119" s="61">
        <f t="shared" si="56"/>
        <v>0</v>
      </c>
      <c r="AE119" s="63">
        <f>IFERROR(AD119/AD148, "NA")</f>
        <v>0</v>
      </c>
      <c r="AF119" s="61" t="str">
        <f t="shared" si="57"/>
        <v>NA</v>
      </c>
      <c r="AG119" s="59">
        <f t="shared" si="58"/>
        <v>0</v>
      </c>
      <c r="AH119" s="23">
        <f>IFERROR(AG119/AG148, "NA")</f>
        <v>0</v>
      </c>
      <c r="AI119" s="61">
        <f t="shared" si="59"/>
        <v>0</v>
      </c>
      <c r="AJ119" s="63">
        <f>IFERROR(AI119/AI148, "NA")</f>
        <v>0</v>
      </c>
      <c r="AK119" s="61" t="str">
        <f t="shared" si="60"/>
        <v>NA</v>
      </c>
      <c r="AL119" s="63" t="str">
        <f>IFERROR(AK119/AK148, "NA")</f>
        <v>NA</v>
      </c>
    </row>
    <row r="120" ht="16.5" hidden="1" customHeight="1">
      <c r="A120" s="26" t="s">
        <v>220</v>
      </c>
      <c r="B120" s="27">
        <v>0.0</v>
      </c>
      <c r="C120" s="23">
        <f>IFERROR(B120/B148, "NA")</f>
        <v>0</v>
      </c>
      <c r="D120" s="27">
        <v>0.0</v>
      </c>
      <c r="E120" s="23">
        <f>IFERROR(D120/D148, "NA")</f>
        <v>0</v>
      </c>
      <c r="F120" s="27">
        <v>0.0</v>
      </c>
      <c r="G120" s="23">
        <f>IFERROR(F120/F148, "NA")</f>
        <v>0</v>
      </c>
      <c r="H120" s="27">
        <v>0.0</v>
      </c>
      <c r="I120" s="23">
        <f>IFERROR(H120/H148, "NA")</f>
        <v>0</v>
      </c>
      <c r="J120" s="27">
        <v>0.0</v>
      </c>
      <c r="K120" s="23">
        <f>IFERROR(J120/J148, "NA")</f>
        <v>0</v>
      </c>
      <c r="L120" s="27">
        <v>0.0</v>
      </c>
      <c r="M120" s="23">
        <f>IFERROR(L120/L148, "NA")</f>
        <v>0</v>
      </c>
      <c r="N120" s="27">
        <v>0.0</v>
      </c>
      <c r="O120" s="23">
        <f>IFERROR(N120/N148, "NA")</f>
        <v>0</v>
      </c>
      <c r="P120" s="27">
        <v>0.0</v>
      </c>
      <c r="Q120" s="23">
        <f>IFERROR(P120/P148, "NA")</f>
        <v>0</v>
      </c>
      <c r="R120" s="27">
        <v>0.0</v>
      </c>
      <c r="S120" s="23">
        <f>IFERROR(R120/R148, "NA")</f>
        <v>0</v>
      </c>
      <c r="T120" s="27">
        <v>0.0</v>
      </c>
      <c r="U120" s="23">
        <f>IFERROR(T120/T148, "NA")</f>
        <v>0</v>
      </c>
      <c r="V120" s="27">
        <v>0.0</v>
      </c>
      <c r="W120" s="23">
        <f>IFERROR(V120/V148, "NA")</f>
        <v>0</v>
      </c>
      <c r="X120" s="27">
        <v>0.0</v>
      </c>
      <c r="Y120" s="23">
        <f>IFERROR(X120/X148, "NA")</f>
        <v>0</v>
      </c>
      <c r="Z120" s="27">
        <v>0.0</v>
      </c>
      <c r="AA120" s="23">
        <f>IFERROR(Z120/Z148, "NA")</f>
        <v>0</v>
      </c>
      <c r="AB120" s="59">
        <f t="shared" si="55"/>
        <v>0</v>
      </c>
      <c r="AC120" s="23">
        <f>IFERROR(AB120/AB148, "NA")</f>
        <v>0</v>
      </c>
      <c r="AD120" s="61">
        <f t="shared" si="56"/>
        <v>0</v>
      </c>
      <c r="AE120" s="63">
        <f>IFERROR(AD120/AD148, "NA")</f>
        <v>0</v>
      </c>
      <c r="AF120" s="61" t="str">
        <f t="shared" si="57"/>
        <v>NA</v>
      </c>
      <c r="AG120" s="59">
        <f t="shared" si="58"/>
        <v>0</v>
      </c>
      <c r="AH120" s="23">
        <f>IFERROR(AG120/AG148, "NA")</f>
        <v>0</v>
      </c>
      <c r="AI120" s="61">
        <f t="shared" si="59"/>
        <v>0</v>
      </c>
      <c r="AJ120" s="63">
        <f>IFERROR(AI120/AI148, "NA")</f>
        <v>0</v>
      </c>
      <c r="AK120" s="61" t="str">
        <f t="shared" si="60"/>
        <v>NA</v>
      </c>
      <c r="AL120" s="63" t="str">
        <f>IFERROR(AK120/AK148, "NA")</f>
        <v>NA</v>
      </c>
    </row>
    <row r="121" ht="16.5" hidden="1" customHeight="1">
      <c r="A121" s="26" t="s">
        <v>221</v>
      </c>
      <c r="B121" s="27">
        <v>0.0</v>
      </c>
      <c r="C121" s="23">
        <f>IFERROR(B121/B148, "NA")</f>
        <v>0</v>
      </c>
      <c r="D121" s="27">
        <v>0.0</v>
      </c>
      <c r="E121" s="23">
        <f>IFERROR(D121/D148, "NA")</f>
        <v>0</v>
      </c>
      <c r="F121" s="27">
        <v>0.0</v>
      </c>
      <c r="G121" s="23">
        <f>IFERROR(F121/F148, "NA")</f>
        <v>0</v>
      </c>
      <c r="H121" s="27">
        <v>0.0</v>
      </c>
      <c r="I121" s="23">
        <f>IFERROR(H121/H148, "NA")</f>
        <v>0</v>
      </c>
      <c r="J121" s="27">
        <v>0.0</v>
      </c>
      <c r="K121" s="23">
        <f>IFERROR(J121/J148, "NA")</f>
        <v>0</v>
      </c>
      <c r="L121" s="27">
        <v>0.0</v>
      </c>
      <c r="M121" s="23">
        <f>IFERROR(L121/L148, "NA")</f>
        <v>0</v>
      </c>
      <c r="N121" s="27">
        <v>0.0</v>
      </c>
      <c r="O121" s="23">
        <f>IFERROR(N121/N148, "NA")</f>
        <v>0</v>
      </c>
      <c r="P121" s="27">
        <v>0.0</v>
      </c>
      <c r="Q121" s="23">
        <f>IFERROR(P121/P148, "NA")</f>
        <v>0</v>
      </c>
      <c r="R121" s="27">
        <v>0.0</v>
      </c>
      <c r="S121" s="23">
        <f>IFERROR(R121/R148, "NA")</f>
        <v>0</v>
      </c>
      <c r="T121" s="27">
        <v>0.0</v>
      </c>
      <c r="U121" s="23">
        <f>IFERROR(T121/T148, "NA")</f>
        <v>0</v>
      </c>
      <c r="V121" s="27">
        <v>0.0</v>
      </c>
      <c r="W121" s="23">
        <f>IFERROR(V121/V148, "NA")</f>
        <v>0</v>
      </c>
      <c r="X121" s="27">
        <v>0.0</v>
      </c>
      <c r="Y121" s="23">
        <f>IFERROR(X121/X148, "NA")</f>
        <v>0</v>
      </c>
      <c r="Z121" s="27">
        <v>0.0</v>
      </c>
      <c r="AA121" s="23">
        <f>IFERROR(Z121/Z148, "NA")</f>
        <v>0</v>
      </c>
      <c r="AB121" s="59">
        <f t="shared" si="55"/>
        <v>0</v>
      </c>
      <c r="AC121" s="23">
        <f>IFERROR(AB121/AB148, "NA")</f>
        <v>0</v>
      </c>
      <c r="AD121" s="61">
        <f t="shared" si="56"/>
        <v>0</v>
      </c>
      <c r="AE121" s="63">
        <f>IFERROR(AD121/AD148, "NA")</f>
        <v>0</v>
      </c>
      <c r="AF121" s="61" t="str">
        <f t="shared" si="57"/>
        <v>NA</v>
      </c>
      <c r="AG121" s="59">
        <f t="shared" si="58"/>
        <v>0</v>
      </c>
      <c r="AH121" s="23">
        <f>IFERROR(AG121/AG148, "NA")</f>
        <v>0</v>
      </c>
      <c r="AI121" s="61">
        <f t="shared" si="59"/>
        <v>0</v>
      </c>
      <c r="AJ121" s="63">
        <f>IFERROR(AI121/AI148, "NA")</f>
        <v>0</v>
      </c>
      <c r="AK121" s="61" t="str">
        <f t="shared" si="60"/>
        <v>NA</v>
      </c>
      <c r="AL121" s="63" t="str">
        <f>IFERROR(AK121/AK148, "NA")</f>
        <v>NA</v>
      </c>
    </row>
    <row r="122" ht="16.5" hidden="1" customHeight="1">
      <c r="A122" s="26" t="s">
        <v>222</v>
      </c>
      <c r="B122" s="27">
        <v>0.0</v>
      </c>
      <c r="C122" s="23">
        <f>IFERROR(B122/B148, "NA")</f>
        <v>0</v>
      </c>
      <c r="D122" s="27">
        <v>0.0</v>
      </c>
      <c r="E122" s="23">
        <f>IFERROR(D122/D148, "NA")</f>
        <v>0</v>
      </c>
      <c r="F122" s="27">
        <v>0.0</v>
      </c>
      <c r="G122" s="23">
        <f>IFERROR(F122/F148, "NA")</f>
        <v>0</v>
      </c>
      <c r="H122" s="27">
        <v>0.0</v>
      </c>
      <c r="I122" s="23">
        <f>IFERROR(H122/H148, "NA")</f>
        <v>0</v>
      </c>
      <c r="J122" s="27">
        <v>0.0</v>
      </c>
      <c r="K122" s="23">
        <f>IFERROR(J122/J148, "NA")</f>
        <v>0</v>
      </c>
      <c r="L122" s="27">
        <v>0.0</v>
      </c>
      <c r="M122" s="23">
        <f>IFERROR(L122/L148, "NA")</f>
        <v>0</v>
      </c>
      <c r="N122" s="27">
        <v>0.0</v>
      </c>
      <c r="O122" s="23">
        <f>IFERROR(N122/N148, "NA")</f>
        <v>0</v>
      </c>
      <c r="P122" s="27">
        <v>0.0</v>
      </c>
      <c r="Q122" s="23">
        <f>IFERROR(P122/P148, "NA")</f>
        <v>0</v>
      </c>
      <c r="R122" s="27">
        <v>0.0</v>
      </c>
      <c r="S122" s="23">
        <f>IFERROR(R122/R148, "NA")</f>
        <v>0</v>
      </c>
      <c r="T122" s="27">
        <v>0.0</v>
      </c>
      <c r="U122" s="23">
        <f>IFERROR(T122/T148, "NA")</f>
        <v>0</v>
      </c>
      <c r="V122" s="27">
        <v>0.0</v>
      </c>
      <c r="W122" s="23">
        <f>IFERROR(V122/V148, "NA")</f>
        <v>0</v>
      </c>
      <c r="X122" s="27">
        <v>0.0</v>
      </c>
      <c r="Y122" s="23">
        <f>IFERROR(X122/X148, "NA")</f>
        <v>0</v>
      </c>
      <c r="Z122" s="27">
        <v>0.0</v>
      </c>
      <c r="AA122" s="23">
        <f>IFERROR(Z122/Z148, "NA")</f>
        <v>0</v>
      </c>
      <c r="AB122" s="59">
        <f t="shared" si="55"/>
        <v>0</v>
      </c>
      <c r="AC122" s="23">
        <f>IFERROR(AB122/AB148, "NA")</f>
        <v>0</v>
      </c>
      <c r="AD122" s="61">
        <f t="shared" si="56"/>
        <v>0</v>
      </c>
      <c r="AE122" s="63">
        <f>IFERROR(AD122/AD148, "NA")</f>
        <v>0</v>
      </c>
      <c r="AF122" s="61" t="str">
        <f t="shared" si="57"/>
        <v>NA</v>
      </c>
      <c r="AG122" s="59">
        <f t="shared" si="58"/>
        <v>0</v>
      </c>
      <c r="AH122" s="23">
        <f>IFERROR(AG122/AG148, "NA")</f>
        <v>0</v>
      </c>
      <c r="AI122" s="61">
        <f t="shared" si="59"/>
        <v>0</v>
      </c>
      <c r="AJ122" s="63">
        <f>IFERROR(AI122/AI148, "NA")</f>
        <v>0</v>
      </c>
      <c r="AK122" s="61" t="str">
        <f t="shared" si="60"/>
        <v>NA</v>
      </c>
      <c r="AL122" s="63" t="str">
        <f>IFERROR(AK122/AK148, "NA")</f>
        <v>NA</v>
      </c>
    </row>
    <row r="123" ht="16.5" hidden="1" customHeight="1">
      <c r="A123" s="26" t="s">
        <v>223</v>
      </c>
      <c r="B123" s="27">
        <v>0.0</v>
      </c>
      <c r="C123" s="23">
        <f>IFERROR(B123/B148, "NA")</f>
        <v>0</v>
      </c>
      <c r="D123" s="27">
        <v>0.0</v>
      </c>
      <c r="E123" s="23">
        <f>IFERROR(D123/D148, "NA")</f>
        <v>0</v>
      </c>
      <c r="F123" s="27">
        <v>0.0</v>
      </c>
      <c r="G123" s="23">
        <f>IFERROR(F123/F148, "NA")</f>
        <v>0</v>
      </c>
      <c r="H123" s="27">
        <v>0.0</v>
      </c>
      <c r="I123" s="23">
        <f>IFERROR(H123/H148, "NA")</f>
        <v>0</v>
      </c>
      <c r="J123" s="27">
        <v>0.0</v>
      </c>
      <c r="K123" s="23">
        <f>IFERROR(J123/J148, "NA")</f>
        <v>0</v>
      </c>
      <c r="L123" s="27">
        <v>0.0</v>
      </c>
      <c r="M123" s="23">
        <f>IFERROR(L123/L148, "NA")</f>
        <v>0</v>
      </c>
      <c r="N123" s="27">
        <v>0.0</v>
      </c>
      <c r="O123" s="23">
        <f>IFERROR(N123/N148, "NA")</f>
        <v>0</v>
      </c>
      <c r="P123" s="27">
        <v>0.0</v>
      </c>
      <c r="Q123" s="23">
        <f>IFERROR(P123/P148, "NA")</f>
        <v>0</v>
      </c>
      <c r="R123" s="27">
        <v>0.0</v>
      </c>
      <c r="S123" s="23">
        <f>IFERROR(R123/R148, "NA")</f>
        <v>0</v>
      </c>
      <c r="T123" s="27">
        <v>0.0</v>
      </c>
      <c r="U123" s="23">
        <f>IFERROR(T123/T148, "NA")</f>
        <v>0</v>
      </c>
      <c r="V123" s="27">
        <v>0.0</v>
      </c>
      <c r="W123" s="23">
        <f>IFERROR(V123/V148, "NA")</f>
        <v>0</v>
      </c>
      <c r="X123" s="27">
        <v>0.0</v>
      </c>
      <c r="Y123" s="23">
        <f>IFERROR(X123/X148, "NA")</f>
        <v>0</v>
      </c>
      <c r="Z123" s="27">
        <v>0.0</v>
      </c>
      <c r="AA123" s="23">
        <f>IFERROR(Z123/Z148, "NA")</f>
        <v>0</v>
      </c>
      <c r="AB123" s="59">
        <f t="shared" si="55"/>
        <v>0</v>
      </c>
      <c r="AC123" s="23">
        <f>IFERROR(AB123/AB148, "NA")</f>
        <v>0</v>
      </c>
      <c r="AD123" s="61">
        <f t="shared" si="56"/>
        <v>0</v>
      </c>
      <c r="AE123" s="63">
        <f>IFERROR(AD123/AD148, "NA")</f>
        <v>0</v>
      </c>
      <c r="AF123" s="61" t="str">
        <f t="shared" si="57"/>
        <v>NA</v>
      </c>
      <c r="AG123" s="59">
        <f t="shared" si="58"/>
        <v>0</v>
      </c>
      <c r="AH123" s="23">
        <f>IFERROR(AG123/AG148, "NA")</f>
        <v>0</v>
      </c>
      <c r="AI123" s="61">
        <f t="shared" si="59"/>
        <v>0</v>
      </c>
      <c r="AJ123" s="63">
        <f>IFERROR(AI123/AI148, "NA")</f>
        <v>0</v>
      </c>
      <c r="AK123" s="61" t="str">
        <f t="shared" si="60"/>
        <v>NA</v>
      </c>
      <c r="AL123" s="63" t="str">
        <f>IFERROR(AK123/AK148, "NA")</f>
        <v>NA</v>
      </c>
    </row>
    <row r="124" ht="16.5" hidden="1" customHeight="1">
      <c r="A124" s="26" t="s">
        <v>224</v>
      </c>
      <c r="B124" s="27">
        <v>0.0</v>
      </c>
      <c r="C124" s="23">
        <f>IFERROR(B124/B148, "NA")</f>
        <v>0</v>
      </c>
      <c r="D124" s="27">
        <v>0.0</v>
      </c>
      <c r="E124" s="23">
        <f>IFERROR(D124/D148, "NA")</f>
        <v>0</v>
      </c>
      <c r="F124" s="27">
        <v>0.0</v>
      </c>
      <c r="G124" s="23">
        <f>IFERROR(F124/F148, "NA")</f>
        <v>0</v>
      </c>
      <c r="H124" s="27">
        <v>0.0</v>
      </c>
      <c r="I124" s="23">
        <f>IFERROR(H124/H148, "NA")</f>
        <v>0</v>
      </c>
      <c r="J124" s="27">
        <v>0.0</v>
      </c>
      <c r="K124" s="23">
        <f>IFERROR(J124/J148, "NA")</f>
        <v>0</v>
      </c>
      <c r="L124" s="27">
        <v>0.0</v>
      </c>
      <c r="M124" s="23">
        <f>IFERROR(L124/L148, "NA")</f>
        <v>0</v>
      </c>
      <c r="N124" s="27">
        <v>0.0</v>
      </c>
      <c r="O124" s="23">
        <f>IFERROR(N124/N148, "NA")</f>
        <v>0</v>
      </c>
      <c r="P124" s="27">
        <v>0.0</v>
      </c>
      <c r="Q124" s="23">
        <f>IFERROR(P124/P148, "NA")</f>
        <v>0</v>
      </c>
      <c r="R124" s="27">
        <v>0.0</v>
      </c>
      <c r="S124" s="23">
        <f>IFERROR(R124/R148, "NA")</f>
        <v>0</v>
      </c>
      <c r="T124" s="27">
        <v>0.0</v>
      </c>
      <c r="U124" s="23">
        <f>IFERROR(T124/T148, "NA")</f>
        <v>0</v>
      </c>
      <c r="V124" s="27">
        <v>0.0</v>
      </c>
      <c r="W124" s="23">
        <f>IFERROR(V124/V148, "NA")</f>
        <v>0</v>
      </c>
      <c r="X124" s="27">
        <v>0.0</v>
      </c>
      <c r="Y124" s="23">
        <f>IFERROR(X124/X148, "NA")</f>
        <v>0</v>
      </c>
      <c r="Z124" s="27">
        <v>0.0</v>
      </c>
      <c r="AA124" s="23">
        <f>IFERROR(Z124/Z148, "NA")</f>
        <v>0</v>
      </c>
      <c r="AB124" s="59">
        <f t="shared" si="55"/>
        <v>0</v>
      </c>
      <c r="AC124" s="23">
        <f>IFERROR(AB124/AB148, "NA")</f>
        <v>0</v>
      </c>
      <c r="AD124" s="61">
        <f t="shared" si="56"/>
        <v>0</v>
      </c>
      <c r="AE124" s="63">
        <f>IFERROR(AD124/AD148, "NA")</f>
        <v>0</v>
      </c>
      <c r="AF124" s="61" t="str">
        <f t="shared" si="57"/>
        <v>NA</v>
      </c>
      <c r="AG124" s="59">
        <f t="shared" si="58"/>
        <v>0</v>
      </c>
      <c r="AH124" s="23">
        <f>IFERROR(AG124/AG148, "NA")</f>
        <v>0</v>
      </c>
      <c r="AI124" s="61">
        <f t="shared" si="59"/>
        <v>0</v>
      </c>
      <c r="AJ124" s="63">
        <f>IFERROR(AI124/AI148, "NA")</f>
        <v>0</v>
      </c>
      <c r="AK124" s="61" t="str">
        <f t="shared" si="60"/>
        <v>NA</v>
      </c>
      <c r="AL124" s="63" t="str">
        <f>IFERROR(AK124/AK148, "NA")</f>
        <v>NA</v>
      </c>
    </row>
    <row r="125" ht="16.5" hidden="1" customHeight="1">
      <c r="A125" s="26" t="s">
        <v>225</v>
      </c>
      <c r="B125" s="27">
        <v>0.0</v>
      </c>
      <c r="C125" s="23">
        <f>IFERROR(B125/B148, "NA")</f>
        <v>0</v>
      </c>
      <c r="D125" s="27">
        <v>0.0</v>
      </c>
      <c r="E125" s="23">
        <f>IFERROR(D125/D148, "NA")</f>
        <v>0</v>
      </c>
      <c r="F125" s="27">
        <v>0.0</v>
      </c>
      <c r="G125" s="23">
        <f>IFERROR(F125/F148, "NA")</f>
        <v>0</v>
      </c>
      <c r="H125" s="27">
        <v>0.0</v>
      </c>
      <c r="I125" s="23">
        <f>IFERROR(H125/H148, "NA")</f>
        <v>0</v>
      </c>
      <c r="J125" s="27">
        <v>0.0</v>
      </c>
      <c r="K125" s="23">
        <f>IFERROR(J125/J148, "NA")</f>
        <v>0</v>
      </c>
      <c r="L125" s="27">
        <v>0.0</v>
      </c>
      <c r="M125" s="23">
        <f>IFERROR(L125/L148, "NA")</f>
        <v>0</v>
      </c>
      <c r="N125" s="27">
        <v>0.0</v>
      </c>
      <c r="O125" s="23">
        <f>IFERROR(N125/N148, "NA")</f>
        <v>0</v>
      </c>
      <c r="P125" s="27">
        <v>0.0</v>
      </c>
      <c r="Q125" s="23">
        <f>IFERROR(P125/P148, "NA")</f>
        <v>0</v>
      </c>
      <c r="R125" s="27">
        <v>0.0</v>
      </c>
      <c r="S125" s="23">
        <f>IFERROR(R125/R148, "NA")</f>
        <v>0</v>
      </c>
      <c r="T125" s="27">
        <v>0.0</v>
      </c>
      <c r="U125" s="23">
        <f>IFERROR(T125/T148, "NA")</f>
        <v>0</v>
      </c>
      <c r="V125" s="27">
        <v>0.0</v>
      </c>
      <c r="W125" s="23">
        <f>IFERROR(V125/V148, "NA")</f>
        <v>0</v>
      </c>
      <c r="X125" s="27">
        <v>0.0</v>
      </c>
      <c r="Y125" s="23">
        <f>IFERROR(X125/X148, "NA")</f>
        <v>0</v>
      </c>
      <c r="Z125" s="27">
        <v>0.0</v>
      </c>
      <c r="AA125" s="23">
        <f>IFERROR(Z125/Z148, "NA")</f>
        <v>0</v>
      </c>
      <c r="AB125" s="59">
        <f t="shared" si="55"/>
        <v>0</v>
      </c>
      <c r="AC125" s="23">
        <f>IFERROR(AB125/AB148, "NA")</f>
        <v>0</v>
      </c>
      <c r="AD125" s="61">
        <f t="shared" si="56"/>
        <v>0</v>
      </c>
      <c r="AE125" s="63">
        <f>IFERROR(AD125/AD148, "NA")</f>
        <v>0</v>
      </c>
      <c r="AF125" s="61" t="str">
        <f t="shared" si="57"/>
        <v>NA</v>
      </c>
      <c r="AG125" s="59">
        <f t="shared" si="58"/>
        <v>0</v>
      </c>
      <c r="AH125" s="23">
        <f>IFERROR(AG125/AG148, "NA")</f>
        <v>0</v>
      </c>
      <c r="AI125" s="61">
        <f t="shared" si="59"/>
        <v>0</v>
      </c>
      <c r="AJ125" s="63">
        <f>IFERROR(AI125/AI148, "NA")</f>
        <v>0</v>
      </c>
      <c r="AK125" s="61" t="str">
        <f t="shared" si="60"/>
        <v>NA</v>
      </c>
      <c r="AL125" s="63" t="str">
        <f>IFERROR(AK125/AK148, "NA")</f>
        <v>NA</v>
      </c>
    </row>
    <row r="126" ht="16.5" hidden="1" customHeight="1">
      <c r="A126" s="26" t="s">
        <v>226</v>
      </c>
      <c r="B126" s="27">
        <v>0.0</v>
      </c>
      <c r="C126" s="23">
        <f>IFERROR(B126/B148, "NA")</f>
        <v>0</v>
      </c>
      <c r="D126" s="27">
        <v>0.0</v>
      </c>
      <c r="E126" s="23">
        <f>IFERROR(D126/D148, "NA")</f>
        <v>0</v>
      </c>
      <c r="F126" s="27">
        <v>0.0</v>
      </c>
      <c r="G126" s="23">
        <f>IFERROR(F126/F148, "NA")</f>
        <v>0</v>
      </c>
      <c r="H126" s="27">
        <v>0.0</v>
      </c>
      <c r="I126" s="23">
        <f>IFERROR(H126/H148, "NA")</f>
        <v>0</v>
      </c>
      <c r="J126" s="27">
        <v>0.0</v>
      </c>
      <c r="K126" s="23">
        <f>IFERROR(J126/J148, "NA")</f>
        <v>0</v>
      </c>
      <c r="L126" s="27">
        <v>0.0</v>
      </c>
      <c r="M126" s="23">
        <f>IFERROR(L126/L148, "NA")</f>
        <v>0</v>
      </c>
      <c r="N126" s="27">
        <v>0.0</v>
      </c>
      <c r="O126" s="23">
        <f>IFERROR(N126/N148, "NA")</f>
        <v>0</v>
      </c>
      <c r="P126" s="27">
        <v>0.0</v>
      </c>
      <c r="Q126" s="23">
        <f>IFERROR(P126/P148, "NA")</f>
        <v>0</v>
      </c>
      <c r="R126" s="27">
        <v>0.0</v>
      </c>
      <c r="S126" s="23">
        <f>IFERROR(R126/R148, "NA")</f>
        <v>0</v>
      </c>
      <c r="T126" s="27">
        <v>0.0</v>
      </c>
      <c r="U126" s="23">
        <f>IFERROR(T126/T148, "NA")</f>
        <v>0</v>
      </c>
      <c r="V126" s="27">
        <v>0.0</v>
      </c>
      <c r="W126" s="23">
        <f>IFERROR(V126/V148, "NA")</f>
        <v>0</v>
      </c>
      <c r="X126" s="27">
        <v>0.0</v>
      </c>
      <c r="Y126" s="23">
        <f>IFERROR(X126/X148, "NA")</f>
        <v>0</v>
      </c>
      <c r="Z126" s="27">
        <v>0.0</v>
      </c>
      <c r="AA126" s="23">
        <f>IFERROR(Z126/Z148, "NA")</f>
        <v>0</v>
      </c>
      <c r="AB126" s="59">
        <f t="shared" si="55"/>
        <v>0</v>
      </c>
      <c r="AC126" s="23">
        <f>IFERROR(AB126/AB148, "NA")</f>
        <v>0</v>
      </c>
      <c r="AD126" s="61">
        <f t="shared" si="56"/>
        <v>0</v>
      </c>
      <c r="AE126" s="63">
        <f>IFERROR(AD126/AD148, "NA")</f>
        <v>0</v>
      </c>
      <c r="AF126" s="61" t="str">
        <f t="shared" si="57"/>
        <v>NA</v>
      </c>
      <c r="AG126" s="59">
        <f t="shared" si="58"/>
        <v>0</v>
      </c>
      <c r="AH126" s="23">
        <f>IFERROR(AG126/AG148, "NA")</f>
        <v>0</v>
      </c>
      <c r="AI126" s="61">
        <f t="shared" si="59"/>
        <v>0</v>
      </c>
      <c r="AJ126" s="63">
        <f>IFERROR(AI126/AI148, "NA")</f>
        <v>0</v>
      </c>
      <c r="AK126" s="61" t="str">
        <f t="shared" si="60"/>
        <v>NA</v>
      </c>
      <c r="AL126" s="63" t="str">
        <f>IFERROR(AK126/AK148, "NA")</f>
        <v>NA</v>
      </c>
    </row>
    <row r="127" ht="16.5" hidden="1" customHeight="1">
      <c r="A127" s="26" t="s">
        <v>227</v>
      </c>
      <c r="B127" s="27">
        <v>0.0</v>
      </c>
      <c r="C127" s="23">
        <f>IFERROR(B127/B148, "NA")</f>
        <v>0</v>
      </c>
      <c r="D127" s="27">
        <v>0.0</v>
      </c>
      <c r="E127" s="23">
        <f>IFERROR(D127/D148, "NA")</f>
        <v>0</v>
      </c>
      <c r="F127" s="27">
        <v>0.0</v>
      </c>
      <c r="G127" s="23">
        <f>IFERROR(F127/F148, "NA")</f>
        <v>0</v>
      </c>
      <c r="H127" s="27">
        <v>0.0</v>
      </c>
      <c r="I127" s="23">
        <f>IFERROR(H127/H148, "NA")</f>
        <v>0</v>
      </c>
      <c r="J127" s="27">
        <v>0.0</v>
      </c>
      <c r="K127" s="23">
        <f>IFERROR(J127/J148, "NA")</f>
        <v>0</v>
      </c>
      <c r="L127" s="27">
        <v>0.0</v>
      </c>
      <c r="M127" s="23">
        <f>IFERROR(L127/L148, "NA")</f>
        <v>0</v>
      </c>
      <c r="N127" s="27">
        <v>0.0</v>
      </c>
      <c r="O127" s="23">
        <f>IFERROR(N127/N148, "NA")</f>
        <v>0</v>
      </c>
      <c r="P127" s="27">
        <v>0.0</v>
      </c>
      <c r="Q127" s="23">
        <f>IFERROR(P127/P148, "NA")</f>
        <v>0</v>
      </c>
      <c r="R127" s="27">
        <v>0.0</v>
      </c>
      <c r="S127" s="23">
        <f>IFERROR(R127/R148, "NA")</f>
        <v>0</v>
      </c>
      <c r="T127" s="27">
        <v>0.0</v>
      </c>
      <c r="U127" s="23">
        <f>IFERROR(T127/T148, "NA")</f>
        <v>0</v>
      </c>
      <c r="V127" s="27">
        <v>0.0</v>
      </c>
      <c r="W127" s="23">
        <f>IFERROR(V127/V148, "NA")</f>
        <v>0</v>
      </c>
      <c r="X127" s="27">
        <v>0.0</v>
      </c>
      <c r="Y127" s="23">
        <f>IFERROR(X127/X148, "NA")</f>
        <v>0</v>
      </c>
      <c r="Z127" s="27">
        <v>0.0</v>
      </c>
      <c r="AA127" s="23">
        <f>IFERROR(Z127/Z148, "NA")</f>
        <v>0</v>
      </c>
      <c r="AB127" s="59">
        <f t="shared" si="55"/>
        <v>0</v>
      </c>
      <c r="AC127" s="23">
        <f>IFERROR(AB127/AB148, "NA")</f>
        <v>0</v>
      </c>
      <c r="AD127" s="61">
        <f t="shared" si="56"/>
        <v>0</v>
      </c>
      <c r="AE127" s="63">
        <f>IFERROR(AD127/AD148, "NA")</f>
        <v>0</v>
      </c>
      <c r="AF127" s="61" t="str">
        <f t="shared" si="57"/>
        <v>NA</v>
      </c>
      <c r="AG127" s="59">
        <f t="shared" si="58"/>
        <v>0</v>
      </c>
      <c r="AH127" s="23">
        <f>IFERROR(AG127/AG148, "NA")</f>
        <v>0</v>
      </c>
      <c r="AI127" s="61">
        <f t="shared" si="59"/>
        <v>0</v>
      </c>
      <c r="AJ127" s="63">
        <f>IFERROR(AI127/AI148, "NA")</f>
        <v>0</v>
      </c>
      <c r="AK127" s="61" t="str">
        <f t="shared" si="60"/>
        <v>NA</v>
      </c>
      <c r="AL127" s="63" t="str">
        <f>IFERROR(AK127/AK148, "NA")</f>
        <v>NA</v>
      </c>
    </row>
    <row r="128" ht="16.5" hidden="1" customHeight="1">
      <c r="A128" s="26" t="s">
        <v>228</v>
      </c>
      <c r="B128" s="27">
        <v>351.38</v>
      </c>
      <c r="C128" s="23">
        <f>IFERROR(B128/B148, "NA")</f>
        <v>0.01041797924</v>
      </c>
      <c r="D128" s="27">
        <v>430.0</v>
      </c>
      <c r="E128" s="23">
        <f>IFERROR(D128/D148, "NA")</f>
        <v>0.0146536574</v>
      </c>
      <c r="F128" s="27">
        <v>-1145.6399999999999</v>
      </c>
      <c r="G128" s="23">
        <f>IFERROR(F128/F148, "NA")</f>
        <v>-0.03844919822</v>
      </c>
      <c r="H128" s="27">
        <v>393.65999999999997</v>
      </c>
      <c r="I128" s="23">
        <f>IFERROR(H128/H148, "NA")</f>
        <v>0.01272114814</v>
      </c>
      <c r="J128" s="27">
        <v>366.36</v>
      </c>
      <c r="K128" s="23">
        <f>IFERROR(J128/J148, "NA")</f>
        <v>0.01578114877</v>
      </c>
      <c r="L128" s="27">
        <v>301.05</v>
      </c>
      <c r="M128" s="23">
        <f>IFERROR(L128/L148, "NA")</f>
        <v>0.01192790246</v>
      </c>
      <c r="N128" s="27">
        <v>285.37</v>
      </c>
      <c r="O128" s="23">
        <f>IFERROR(N128/N148, "NA")</f>
        <v>0.008582837753</v>
      </c>
      <c r="P128" s="27">
        <v>-1346.44</v>
      </c>
      <c r="Q128" s="23">
        <f>IFERROR(P128/P148, "NA")</f>
        <v>-0.04034228803</v>
      </c>
      <c r="R128" s="27">
        <v>300.65</v>
      </c>
      <c r="S128" s="23">
        <f>IFERROR(R128/R148, "NA")</f>
        <v>0.01104643729</v>
      </c>
      <c r="T128" s="27">
        <v>245.37</v>
      </c>
      <c r="U128" s="23">
        <f>IFERROR(T128/T148, "NA")</f>
        <v>0.0059464233</v>
      </c>
      <c r="V128" s="27">
        <v>251.6</v>
      </c>
      <c r="W128" s="23">
        <f>IFERROR(V128/V148, "NA")</f>
        <v>0.007856008973</v>
      </c>
      <c r="X128" s="27">
        <v>252.27</v>
      </c>
      <c r="Y128" s="23">
        <f>IFERROR(X128/X148, "NA")</f>
        <v>0.008974922728</v>
      </c>
      <c r="Z128" s="27">
        <v>1049.89</v>
      </c>
      <c r="AA128" s="23">
        <f>IFERROR(Z128/Z148, "NA")</f>
        <v>0.00816303586</v>
      </c>
      <c r="AB128" s="59">
        <f t="shared" si="55"/>
        <v>262.4725</v>
      </c>
      <c r="AC128" s="23">
        <f>IFERROR(AB128/AB148, "NA")</f>
        <v>0.00816303586</v>
      </c>
      <c r="AD128" s="61">
        <f t="shared" si="56"/>
        <v>-10.2025</v>
      </c>
      <c r="AE128" s="63">
        <f>IFERROR(AD128/AD148, "NA")</f>
        <v>0.002521959775</v>
      </c>
      <c r="AF128" s="61">
        <f t="shared" si="57"/>
        <v>-0.03887073884</v>
      </c>
      <c r="AG128" s="59">
        <f t="shared" si="58"/>
        <v>82.02875</v>
      </c>
      <c r="AH128" s="23">
        <f>IFERROR(AG128/AG148, "NA")</f>
        <v>0.002692848393</v>
      </c>
      <c r="AI128" s="61">
        <f t="shared" si="59"/>
        <v>170.24125</v>
      </c>
      <c r="AJ128" s="63">
        <f>IFERROR(AI128/AI148, "NA")</f>
        <v>-0.07233892475</v>
      </c>
      <c r="AK128" s="61">
        <f t="shared" si="60"/>
        <v>2.075385155</v>
      </c>
      <c r="AL128" s="63">
        <f>IFERROR(AK128/AK148, "NA")</f>
        <v>-26.86334846</v>
      </c>
    </row>
    <row r="129" ht="16.5" hidden="1" customHeight="1">
      <c r="A129" s="26" t="s">
        <v>229</v>
      </c>
      <c r="B129" s="27">
        <v>0.0</v>
      </c>
      <c r="C129" s="23">
        <f>IFERROR(B129/B148, "NA")</f>
        <v>0</v>
      </c>
      <c r="D129" s="27">
        <v>0.0</v>
      </c>
      <c r="E129" s="23">
        <f>IFERROR(D129/D148, "NA")</f>
        <v>0</v>
      </c>
      <c r="F129" s="27">
        <v>0.0</v>
      </c>
      <c r="G129" s="23">
        <f>IFERROR(F129/F148, "NA")</f>
        <v>0</v>
      </c>
      <c r="H129" s="27">
        <v>0.0</v>
      </c>
      <c r="I129" s="23">
        <f>IFERROR(H129/H148, "NA")</f>
        <v>0</v>
      </c>
      <c r="J129" s="27">
        <v>0.0</v>
      </c>
      <c r="K129" s="23">
        <f>IFERROR(J129/J148, "NA")</f>
        <v>0</v>
      </c>
      <c r="L129" s="27">
        <v>0.0</v>
      </c>
      <c r="M129" s="23">
        <f>IFERROR(L129/L148, "NA")</f>
        <v>0</v>
      </c>
      <c r="N129" s="27">
        <v>0.0</v>
      </c>
      <c r="O129" s="23">
        <f>IFERROR(N129/N148, "NA")</f>
        <v>0</v>
      </c>
      <c r="P129" s="27">
        <v>0.0</v>
      </c>
      <c r="Q129" s="23">
        <f>IFERROR(P129/P148, "NA")</f>
        <v>0</v>
      </c>
      <c r="R129" s="27">
        <v>0.0</v>
      </c>
      <c r="S129" s="23">
        <f>IFERROR(R129/R148, "NA")</f>
        <v>0</v>
      </c>
      <c r="T129" s="27">
        <v>0.0</v>
      </c>
      <c r="U129" s="23">
        <f>IFERROR(T129/T148, "NA")</f>
        <v>0</v>
      </c>
      <c r="V129" s="27">
        <v>0.0</v>
      </c>
      <c r="W129" s="23">
        <f>IFERROR(V129/V148, "NA")</f>
        <v>0</v>
      </c>
      <c r="X129" s="27">
        <v>0.0</v>
      </c>
      <c r="Y129" s="23">
        <f>IFERROR(X129/X148, "NA")</f>
        <v>0</v>
      </c>
      <c r="Z129" s="27">
        <v>0.0</v>
      </c>
      <c r="AA129" s="23">
        <f>IFERROR(Z129/Z148, "NA")</f>
        <v>0</v>
      </c>
      <c r="AB129" s="59">
        <f t="shared" si="55"/>
        <v>0</v>
      </c>
      <c r="AC129" s="23">
        <f>IFERROR(AB129/AB148, "NA")</f>
        <v>0</v>
      </c>
      <c r="AD129" s="61">
        <f t="shared" si="56"/>
        <v>0</v>
      </c>
      <c r="AE129" s="63">
        <f>IFERROR(AD129/AD148, "NA")</f>
        <v>0</v>
      </c>
      <c r="AF129" s="61" t="str">
        <f t="shared" si="57"/>
        <v>NA</v>
      </c>
      <c r="AG129" s="59">
        <f t="shared" si="58"/>
        <v>0</v>
      </c>
      <c r="AH129" s="23">
        <f>IFERROR(AG129/AG148, "NA")</f>
        <v>0</v>
      </c>
      <c r="AI129" s="61">
        <f t="shared" si="59"/>
        <v>0</v>
      </c>
      <c r="AJ129" s="63">
        <f>IFERROR(AI129/AI148, "NA")</f>
        <v>0</v>
      </c>
      <c r="AK129" s="61" t="str">
        <f t="shared" si="60"/>
        <v>NA</v>
      </c>
      <c r="AL129" s="63" t="str">
        <f>IFERROR(AK129/AK148, "NA")</f>
        <v>NA</v>
      </c>
    </row>
    <row r="130" ht="16.5" hidden="1" customHeight="1">
      <c r="A130" s="26" t="s">
        <v>230</v>
      </c>
      <c r="B130" s="27">
        <v>0.0</v>
      </c>
      <c r="C130" s="23">
        <f>IFERROR(B130/B148, "NA")</f>
        <v>0</v>
      </c>
      <c r="D130" s="27">
        <v>0.0</v>
      </c>
      <c r="E130" s="23">
        <f>IFERROR(D130/D148, "NA")</f>
        <v>0</v>
      </c>
      <c r="F130" s="27">
        <v>0.0</v>
      </c>
      <c r="G130" s="23">
        <f>IFERROR(F130/F148, "NA")</f>
        <v>0</v>
      </c>
      <c r="H130" s="27">
        <v>0.0</v>
      </c>
      <c r="I130" s="23">
        <f>IFERROR(H130/H148, "NA")</f>
        <v>0</v>
      </c>
      <c r="J130" s="27">
        <v>0.0</v>
      </c>
      <c r="K130" s="23">
        <f>IFERROR(J130/J148, "NA")</f>
        <v>0</v>
      </c>
      <c r="L130" s="27">
        <v>0.0</v>
      </c>
      <c r="M130" s="23">
        <f>IFERROR(L130/L148, "NA")</f>
        <v>0</v>
      </c>
      <c r="N130" s="27">
        <v>0.0</v>
      </c>
      <c r="O130" s="23">
        <f>IFERROR(N130/N148, "NA")</f>
        <v>0</v>
      </c>
      <c r="P130" s="27">
        <v>0.0</v>
      </c>
      <c r="Q130" s="23">
        <f>IFERROR(P130/P148, "NA")</f>
        <v>0</v>
      </c>
      <c r="R130" s="27">
        <v>0.0</v>
      </c>
      <c r="S130" s="23">
        <f>IFERROR(R130/R148, "NA")</f>
        <v>0</v>
      </c>
      <c r="T130" s="27">
        <v>0.0</v>
      </c>
      <c r="U130" s="23">
        <f>IFERROR(T130/T148, "NA")</f>
        <v>0</v>
      </c>
      <c r="V130" s="27">
        <v>0.0</v>
      </c>
      <c r="W130" s="23">
        <f>IFERROR(V130/V148, "NA")</f>
        <v>0</v>
      </c>
      <c r="X130" s="27">
        <v>0.0</v>
      </c>
      <c r="Y130" s="23">
        <f>IFERROR(X130/X148, "NA")</f>
        <v>0</v>
      </c>
      <c r="Z130" s="27">
        <v>0.0</v>
      </c>
      <c r="AA130" s="23">
        <f>IFERROR(Z130/Z148, "NA")</f>
        <v>0</v>
      </c>
      <c r="AB130" s="59">
        <f t="shared" si="55"/>
        <v>0</v>
      </c>
      <c r="AC130" s="23">
        <f>IFERROR(AB130/AB148, "NA")</f>
        <v>0</v>
      </c>
      <c r="AD130" s="61">
        <f t="shared" si="56"/>
        <v>0</v>
      </c>
      <c r="AE130" s="63">
        <f>IFERROR(AD130/AD148, "NA")</f>
        <v>0</v>
      </c>
      <c r="AF130" s="61" t="str">
        <f t="shared" si="57"/>
        <v>NA</v>
      </c>
      <c r="AG130" s="59">
        <f t="shared" si="58"/>
        <v>0</v>
      </c>
      <c r="AH130" s="23">
        <f>IFERROR(AG130/AG148, "NA")</f>
        <v>0</v>
      </c>
      <c r="AI130" s="61">
        <f t="shared" si="59"/>
        <v>0</v>
      </c>
      <c r="AJ130" s="63">
        <f>IFERROR(AI130/AI148, "NA")</f>
        <v>0</v>
      </c>
      <c r="AK130" s="61" t="str">
        <f t="shared" si="60"/>
        <v>NA</v>
      </c>
      <c r="AL130" s="63" t="str">
        <f>IFERROR(AK130/AK148, "NA")</f>
        <v>NA</v>
      </c>
    </row>
    <row r="131" ht="16.5" hidden="1" customHeight="1">
      <c r="A131" s="26" t="s">
        <v>231</v>
      </c>
      <c r="B131" s="27">
        <v>0.0</v>
      </c>
      <c r="C131" s="23">
        <f>IFERROR(B131/B148, "NA")</f>
        <v>0</v>
      </c>
      <c r="D131" s="27">
        <v>0.0</v>
      </c>
      <c r="E131" s="23">
        <f>IFERROR(D131/D148, "NA")</f>
        <v>0</v>
      </c>
      <c r="F131" s="27">
        <v>0.0</v>
      </c>
      <c r="G131" s="23">
        <f>IFERROR(F131/F148, "NA")</f>
        <v>0</v>
      </c>
      <c r="H131" s="27">
        <v>0.0</v>
      </c>
      <c r="I131" s="23">
        <f>IFERROR(H131/H148, "NA")</f>
        <v>0</v>
      </c>
      <c r="J131" s="27">
        <v>0.0</v>
      </c>
      <c r="K131" s="23">
        <f>IFERROR(J131/J148, "NA")</f>
        <v>0</v>
      </c>
      <c r="L131" s="27">
        <v>0.0</v>
      </c>
      <c r="M131" s="23">
        <f>IFERROR(L131/L148, "NA")</f>
        <v>0</v>
      </c>
      <c r="N131" s="27">
        <v>0.0</v>
      </c>
      <c r="O131" s="23">
        <f>IFERROR(N131/N148, "NA")</f>
        <v>0</v>
      </c>
      <c r="P131" s="27">
        <v>0.0</v>
      </c>
      <c r="Q131" s="23">
        <f>IFERROR(P131/P148, "NA")</f>
        <v>0</v>
      </c>
      <c r="R131" s="27">
        <v>0.0</v>
      </c>
      <c r="S131" s="23">
        <f>IFERROR(R131/R148, "NA")</f>
        <v>0</v>
      </c>
      <c r="T131" s="27">
        <v>0.0</v>
      </c>
      <c r="U131" s="23">
        <f>IFERROR(T131/T148, "NA")</f>
        <v>0</v>
      </c>
      <c r="V131" s="27">
        <v>0.0</v>
      </c>
      <c r="W131" s="23">
        <f>IFERROR(V131/V148, "NA")</f>
        <v>0</v>
      </c>
      <c r="X131" s="27">
        <v>0.0</v>
      </c>
      <c r="Y131" s="23">
        <f>IFERROR(X131/X148, "NA")</f>
        <v>0</v>
      </c>
      <c r="Z131" s="27">
        <v>0.0</v>
      </c>
      <c r="AA131" s="23">
        <f>IFERROR(Z131/Z148, "NA")</f>
        <v>0</v>
      </c>
      <c r="AB131" s="59">
        <f t="shared" si="55"/>
        <v>0</v>
      </c>
      <c r="AC131" s="23">
        <f>IFERROR(AB131/AB148, "NA")</f>
        <v>0</v>
      </c>
      <c r="AD131" s="61">
        <f t="shared" si="56"/>
        <v>0</v>
      </c>
      <c r="AE131" s="63">
        <f>IFERROR(AD131/AD148, "NA")</f>
        <v>0</v>
      </c>
      <c r="AF131" s="61" t="str">
        <f t="shared" si="57"/>
        <v>NA</v>
      </c>
      <c r="AG131" s="59">
        <f t="shared" si="58"/>
        <v>0</v>
      </c>
      <c r="AH131" s="23">
        <f>IFERROR(AG131/AG148, "NA")</f>
        <v>0</v>
      </c>
      <c r="AI131" s="61">
        <f t="shared" si="59"/>
        <v>0</v>
      </c>
      <c r="AJ131" s="63">
        <f>IFERROR(AI131/AI148, "NA")</f>
        <v>0</v>
      </c>
      <c r="AK131" s="61" t="str">
        <f t="shared" si="60"/>
        <v>NA</v>
      </c>
      <c r="AL131" s="63" t="str">
        <f>IFERROR(AK131/AK148, "NA")</f>
        <v>NA</v>
      </c>
    </row>
    <row r="132" ht="16.5" hidden="1" customHeight="1">
      <c r="A132" s="26" t="s">
        <v>232</v>
      </c>
      <c r="B132" s="27">
        <v>0.0</v>
      </c>
      <c r="C132" s="23">
        <f>IFERROR(B132/B148, "NA")</f>
        <v>0</v>
      </c>
      <c r="D132" s="27">
        <v>0.0</v>
      </c>
      <c r="E132" s="23">
        <f>IFERROR(D132/D148, "NA")</f>
        <v>0</v>
      </c>
      <c r="F132" s="27">
        <v>0.0</v>
      </c>
      <c r="G132" s="23">
        <f>IFERROR(F132/F148, "NA")</f>
        <v>0</v>
      </c>
      <c r="H132" s="27">
        <v>0.0</v>
      </c>
      <c r="I132" s="23">
        <f>IFERROR(H132/H148, "NA")</f>
        <v>0</v>
      </c>
      <c r="J132" s="27">
        <v>0.0</v>
      </c>
      <c r="K132" s="23">
        <f>IFERROR(J132/J148, "NA")</f>
        <v>0</v>
      </c>
      <c r="L132" s="27">
        <v>0.0</v>
      </c>
      <c r="M132" s="23">
        <f>IFERROR(L132/L148, "NA")</f>
        <v>0</v>
      </c>
      <c r="N132" s="27">
        <v>0.0</v>
      </c>
      <c r="O132" s="23">
        <f>IFERROR(N132/N148, "NA")</f>
        <v>0</v>
      </c>
      <c r="P132" s="27">
        <v>0.0</v>
      </c>
      <c r="Q132" s="23">
        <f>IFERROR(P132/P148, "NA")</f>
        <v>0</v>
      </c>
      <c r="R132" s="27">
        <v>0.0</v>
      </c>
      <c r="S132" s="23">
        <f>IFERROR(R132/R148, "NA")</f>
        <v>0</v>
      </c>
      <c r="T132" s="27">
        <v>0.0</v>
      </c>
      <c r="U132" s="23">
        <f>IFERROR(T132/T148, "NA")</f>
        <v>0</v>
      </c>
      <c r="V132" s="27">
        <v>0.0</v>
      </c>
      <c r="W132" s="23">
        <f>IFERROR(V132/V148, "NA")</f>
        <v>0</v>
      </c>
      <c r="X132" s="27">
        <v>0.0</v>
      </c>
      <c r="Y132" s="23">
        <f>IFERROR(X132/X148, "NA")</f>
        <v>0</v>
      </c>
      <c r="Z132" s="27">
        <v>0.0</v>
      </c>
      <c r="AA132" s="23">
        <f>IFERROR(Z132/Z148, "NA")</f>
        <v>0</v>
      </c>
      <c r="AB132" s="59">
        <f t="shared" si="55"/>
        <v>0</v>
      </c>
      <c r="AC132" s="23">
        <f>IFERROR(AB132/AB148, "NA")</f>
        <v>0</v>
      </c>
      <c r="AD132" s="61">
        <f t="shared" si="56"/>
        <v>0</v>
      </c>
      <c r="AE132" s="63">
        <f>IFERROR(AD132/AD148, "NA")</f>
        <v>0</v>
      </c>
      <c r="AF132" s="61" t="str">
        <f t="shared" si="57"/>
        <v>NA</v>
      </c>
      <c r="AG132" s="59">
        <f t="shared" si="58"/>
        <v>0</v>
      </c>
      <c r="AH132" s="23">
        <f>IFERROR(AG132/AG148, "NA")</f>
        <v>0</v>
      </c>
      <c r="AI132" s="61">
        <f t="shared" si="59"/>
        <v>0</v>
      </c>
      <c r="AJ132" s="63">
        <f>IFERROR(AI132/AI148, "NA")</f>
        <v>0</v>
      </c>
      <c r="AK132" s="61" t="str">
        <f t="shared" si="60"/>
        <v>NA</v>
      </c>
      <c r="AL132" s="63" t="str">
        <f>IFERROR(AK132/AK148, "NA")</f>
        <v>NA</v>
      </c>
    </row>
    <row r="133" ht="16.5" hidden="1" customHeight="1">
      <c r="A133" s="26" t="s">
        <v>233</v>
      </c>
      <c r="B133" s="27">
        <v>0.0</v>
      </c>
      <c r="C133" s="23">
        <f>IFERROR(B133/B148, "NA")</f>
        <v>0</v>
      </c>
      <c r="D133" s="27">
        <v>0.0</v>
      </c>
      <c r="E133" s="23">
        <f>IFERROR(D133/D148, "NA")</f>
        <v>0</v>
      </c>
      <c r="F133" s="27">
        <v>0.0</v>
      </c>
      <c r="G133" s="23">
        <f>IFERROR(F133/F148, "NA")</f>
        <v>0</v>
      </c>
      <c r="H133" s="27">
        <v>0.0</v>
      </c>
      <c r="I133" s="23">
        <f>IFERROR(H133/H148, "NA")</f>
        <v>0</v>
      </c>
      <c r="J133" s="27">
        <v>0.0</v>
      </c>
      <c r="K133" s="23">
        <f>IFERROR(J133/J148, "NA")</f>
        <v>0</v>
      </c>
      <c r="L133" s="27">
        <v>0.0</v>
      </c>
      <c r="M133" s="23">
        <f>IFERROR(L133/L148, "NA")</f>
        <v>0</v>
      </c>
      <c r="N133" s="27">
        <v>0.0</v>
      </c>
      <c r="O133" s="23">
        <f>IFERROR(N133/N148, "NA")</f>
        <v>0</v>
      </c>
      <c r="P133" s="27">
        <v>0.0</v>
      </c>
      <c r="Q133" s="23">
        <f>IFERROR(P133/P148, "NA")</f>
        <v>0</v>
      </c>
      <c r="R133" s="27">
        <v>0.0</v>
      </c>
      <c r="S133" s="23">
        <f>IFERROR(R133/R148, "NA")</f>
        <v>0</v>
      </c>
      <c r="T133" s="27">
        <v>0.0</v>
      </c>
      <c r="U133" s="23">
        <f>IFERROR(T133/T148, "NA")</f>
        <v>0</v>
      </c>
      <c r="V133" s="27">
        <v>0.0</v>
      </c>
      <c r="W133" s="23">
        <f>IFERROR(V133/V148, "NA")</f>
        <v>0</v>
      </c>
      <c r="X133" s="27">
        <v>0.0</v>
      </c>
      <c r="Y133" s="23">
        <f>IFERROR(X133/X148, "NA")</f>
        <v>0</v>
      </c>
      <c r="Z133" s="27">
        <v>0.0</v>
      </c>
      <c r="AA133" s="23">
        <f>IFERROR(Z133/Z148, "NA")</f>
        <v>0</v>
      </c>
      <c r="AB133" s="59">
        <f t="shared" si="55"/>
        <v>0</v>
      </c>
      <c r="AC133" s="23">
        <f>IFERROR(AB133/AB148, "NA")</f>
        <v>0</v>
      </c>
      <c r="AD133" s="61">
        <f t="shared" si="56"/>
        <v>0</v>
      </c>
      <c r="AE133" s="63">
        <f>IFERROR(AD133/AD148, "NA")</f>
        <v>0</v>
      </c>
      <c r="AF133" s="61" t="str">
        <f t="shared" si="57"/>
        <v>NA</v>
      </c>
      <c r="AG133" s="59">
        <f t="shared" si="58"/>
        <v>0</v>
      </c>
      <c r="AH133" s="23">
        <f>IFERROR(AG133/AG148, "NA")</f>
        <v>0</v>
      </c>
      <c r="AI133" s="61">
        <f t="shared" si="59"/>
        <v>0</v>
      </c>
      <c r="AJ133" s="63">
        <f>IFERROR(AI133/AI148, "NA")</f>
        <v>0</v>
      </c>
      <c r="AK133" s="61" t="str">
        <f t="shared" si="60"/>
        <v>NA</v>
      </c>
      <c r="AL133" s="63" t="str">
        <f>IFERROR(AK133/AK148, "NA")</f>
        <v>NA</v>
      </c>
    </row>
    <row r="134" ht="16.5" hidden="1" customHeight="1">
      <c r="A134" s="26" t="s">
        <v>234</v>
      </c>
      <c r="B134" s="27">
        <v>0.0</v>
      </c>
      <c r="C134" s="23">
        <f>IFERROR(B134/B148, "NA")</f>
        <v>0</v>
      </c>
      <c r="D134" s="27">
        <v>0.0</v>
      </c>
      <c r="E134" s="23">
        <f>IFERROR(D134/D148, "NA")</f>
        <v>0</v>
      </c>
      <c r="F134" s="27">
        <v>0.0</v>
      </c>
      <c r="G134" s="23">
        <f>IFERROR(F134/F148, "NA")</f>
        <v>0</v>
      </c>
      <c r="H134" s="27">
        <v>0.0</v>
      </c>
      <c r="I134" s="23">
        <f>IFERROR(H134/H148, "NA")</f>
        <v>0</v>
      </c>
      <c r="J134" s="27">
        <v>0.0</v>
      </c>
      <c r="K134" s="23">
        <f>IFERROR(J134/J148, "NA")</f>
        <v>0</v>
      </c>
      <c r="L134" s="27">
        <v>0.0</v>
      </c>
      <c r="M134" s="23">
        <f>IFERROR(L134/L148, "NA")</f>
        <v>0</v>
      </c>
      <c r="N134" s="27">
        <v>0.0</v>
      </c>
      <c r="O134" s="23">
        <f>IFERROR(N134/N148, "NA")</f>
        <v>0</v>
      </c>
      <c r="P134" s="27">
        <v>0.0</v>
      </c>
      <c r="Q134" s="23">
        <f>IFERROR(P134/P148, "NA")</f>
        <v>0</v>
      </c>
      <c r="R134" s="27">
        <v>0.0</v>
      </c>
      <c r="S134" s="23">
        <f>IFERROR(R134/R148, "NA")</f>
        <v>0</v>
      </c>
      <c r="T134" s="27">
        <v>0.0</v>
      </c>
      <c r="U134" s="23">
        <f>IFERROR(T134/T148, "NA")</f>
        <v>0</v>
      </c>
      <c r="V134" s="27">
        <v>0.0</v>
      </c>
      <c r="W134" s="23">
        <f>IFERROR(V134/V148, "NA")</f>
        <v>0</v>
      </c>
      <c r="X134" s="27">
        <v>0.0</v>
      </c>
      <c r="Y134" s="23">
        <f>IFERROR(X134/X148, "NA")</f>
        <v>0</v>
      </c>
      <c r="Z134" s="27">
        <v>0.0</v>
      </c>
      <c r="AA134" s="23">
        <f>IFERROR(Z134/Z148, "NA")</f>
        <v>0</v>
      </c>
      <c r="AB134" s="59">
        <f t="shared" si="55"/>
        <v>0</v>
      </c>
      <c r="AC134" s="23">
        <f>IFERROR(AB134/AB148, "NA")</f>
        <v>0</v>
      </c>
      <c r="AD134" s="61">
        <f t="shared" si="56"/>
        <v>0</v>
      </c>
      <c r="AE134" s="63">
        <f>IFERROR(AD134/AD148, "NA")</f>
        <v>0</v>
      </c>
      <c r="AF134" s="61" t="str">
        <f t="shared" si="57"/>
        <v>NA</v>
      </c>
      <c r="AG134" s="59">
        <f t="shared" si="58"/>
        <v>0</v>
      </c>
      <c r="AH134" s="23">
        <f>IFERROR(AG134/AG148, "NA")</f>
        <v>0</v>
      </c>
      <c r="AI134" s="61">
        <f t="shared" si="59"/>
        <v>0</v>
      </c>
      <c r="AJ134" s="63">
        <f>IFERROR(AI134/AI148, "NA")</f>
        <v>0</v>
      </c>
      <c r="AK134" s="61" t="str">
        <f t="shared" si="60"/>
        <v>NA</v>
      </c>
      <c r="AL134" s="63" t="str">
        <f>IFERROR(AK134/AK148, "NA")</f>
        <v>NA</v>
      </c>
    </row>
    <row r="135" ht="16.5" hidden="1" customHeight="1">
      <c r="A135" s="66" t="s">
        <v>235</v>
      </c>
      <c r="B135" s="67">
        <f>IFERROR(B110+B111+B112+B113+B114+B115+B116+B117+B118+B119+B120+B121+B122+B123+B124+B125+B126+B127+B128+B129+B130+B131+B132+B133+B134, "NA")</f>
        <v>351.38</v>
      </c>
      <c r="C135" s="69">
        <f>IFERROR(B135/B148, "NA")</f>
        <v>0.01041797924</v>
      </c>
      <c r="D135" s="67">
        <f>IFERROR(D110+D111+D112+D113+D114+D115+D116+D117+D118+D119+D120+D121+D122+D123+D124+D125+D126+D127+D128+D129+D130+D131+D132+D133+D134, "NA")</f>
        <v>430</v>
      </c>
      <c r="E135" s="69">
        <f>IFERROR(D135/D148, "NA")</f>
        <v>0.0146536574</v>
      </c>
      <c r="F135" s="67">
        <f>IFERROR(F110+F111+F112+F113+F114+F115+F116+F117+F118+F119+F120+F121+F122+F123+F124+F125+F126+F127+F128+F129+F130+F131+F132+F133+F134, "NA")</f>
        <v>-1145.64</v>
      </c>
      <c r="G135" s="69">
        <f>IFERROR(F135/F148, "NA")</f>
        <v>-0.03844919822</v>
      </c>
      <c r="H135" s="67">
        <f>IFERROR(H110+H111+H112+H113+H114+H115+H116+H117+H118+H119+H120+H121+H122+H123+H124+H125+H126+H127+H128+H129+H130+H131+H132+H133+H134, "NA")</f>
        <v>393.66</v>
      </c>
      <c r="I135" s="69">
        <f>IFERROR(H135/H148, "NA")</f>
        <v>0.01272114814</v>
      </c>
      <c r="J135" s="67">
        <f>IFERROR(J110+J111+J112+J113+J114+J115+J116+J117+J118+J119+J120+J121+J122+J123+J124+J125+J126+J127+J128+J129+J130+J131+J132+J133+J134, "NA")</f>
        <v>366.36</v>
      </c>
      <c r="K135" s="69">
        <f>IFERROR(J135/J148, "NA")</f>
        <v>0.01578114877</v>
      </c>
      <c r="L135" s="67">
        <f>IFERROR(L110+L111+L112+L113+L114+L115+L116+L117+L118+L119+L120+L121+L122+L123+L124+L125+L126+L127+L128+L129+L130+L131+L132+L133+L134, "NA")</f>
        <v>301.05</v>
      </c>
      <c r="M135" s="69">
        <f>IFERROR(L135/L148, "NA")</f>
        <v>0.01192790246</v>
      </c>
      <c r="N135" s="67">
        <f>IFERROR(N110+N111+N112+N113+N114+N115+N116+N117+N118+N119+N120+N121+N122+N123+N124+N125+N126+N127+N128+N129+N130+N131+N132+N133+N134, "NA")</f>
        <v>285.37</v>
      </c>
      <c r="O135" s="69">
        <f>IFERROR(N135/N148, "NA")</f>
        <v>0.008582837753</v>
      </c>
      <c r="P135" s="67">
        <f>IFERROR(P110+P111+P112+P113+P114+P115+P116+P117+P118+P119+P120+P121+P122+P123+P124+P125+P126+P127+P128+P129+P130+P131+P132+P133+P134, "NA")</f>
        <v>-1346.44</v>
      </c>
      <c r="Q135" s="69">
        <f>IFERROR(P135/P148, "NA")</f>
        <v>-0.04034228803</v>
      </c>
      <c r="R135" s="67">
        <f>IFERROR(R110+R111+R112+R113+R114+R115+R116+R117+R118+R119+R120+R121+R122+R123+R124+R125+R126+R127+R128+R129+R130+R131+R132+R133+R134, "NA")</f>
        <v>300.65</v>
      </c>
      <c r="S135" s="69">
        <f>IFERROR(R135/R148, "NA")</f>
        <v>0.01104643729</v>
      </c>
      <c r="T135" s="67">
        <f>IFERROR(T110+T111+T112+T113+T114+T115+T116+T117+T118+T119+T120+T121+T122+T123+T124+T125+T126+T127+T128+T129+T130+T131+T132+T133+T134, "NA")</f>
        <v>245.37</v>
      </c>
      <c r="U135" s="69">
        <f>IFERROR(T135/T148, "NA")</f>
        <v>0.0059464233</v>
      </c>
      <c r="V135" s="67">
        <f>IFERROR(V110+V111+V112+V113+V114+V115+V116+V117+V118+V119+V120+V121+V122+V123+V124+V125+V126+V127+V128+V129+V130+V131+V132+V133+V134, "NA")</f>
        <v>251.6</v>
      </c>
      <c r="W135" s="69">
        <f>IFERROR(V135/V148, "NA")</f>
        <v>0.007856008973</v>
      </c>
      <c r="X135" s="67">
        <f>IFERROR(X110+X111+X112+X113+X114+X115+X116+X117+X118+X119+X120+X121+X122+X123+X124+X125+X126+X127+X128+X129+X130+X131+X132+X133+X134, "NA")</f>
        <v>252.27</v>
      </c>
      <c r="Y135" s="69">
        <f>IFERROR(X135/X148, "NA")</f>
        <v>0.008974922728</v>
      </c>
      <c r="Z135" s="67">
        <f>IFERROR(Z110+Z111+Z112+Z113+Z114+Z115+Z116+Z117+Z118+Z119+Z120+Z121+Z122+Z123+Z124+Z125+Z126+Z127+Z128+Z129+Z130+Z131+Z132+Z133+Z134, "NA")</f>
        <v>1049.89</v>
      </c>
      <c r="AA135" s="69">
        <f>IFERROR(Z135/Z148, "NA")</f>
        <v>0.00816303586</v>
      </c>
      <c r="AB135" s="67">
        <f t="shared" si="55"/>
        <v>262.4725</v>
      </c>
      <c r="AC135" s="69">
        <f>IFERROR(AB135/AB148, "NA")</f>
        <v>0.00816303586</v>
      </c>
      <c r="AD135" s="70">
        <f t="shared" si="56"/>
        <v>-10.2025</v>
      </c>
      <c r="AE135" s="71">
        <f>IFERROR(AD135/AD148, "NA")</f>
        <v>0.002521959775</v>
      </c>
      <c r="AF135" s="70">
        <f t="shared" si="57"/>
        <v>-0.03887073884</v>
      </c>
      <c r="AG135" s="67">
        <f t="shared" si="58"/>
        <v>82.02875</v>
      </c>
      <c r="AH135" s="69">
        <f>IFERROR(AG135/AG148, "NA")</f>
        <v>0.002692848393</v>
      </c>
      <c r="AI135" s="70">
        <f t="shared" si="59"/>
        <v>170.24125</v>
      </c>
      <c r="AJ135" s="71">
        <f>IFERROR(AI135/AI148, "NA")</f>
        <v>-0.07233892475</v>
      </c>
      <c r="AK135" s="70">
        <f t="shared" si="60"/>
        <v>2.075385155</v>
      </c>
      <c r="AL135" s="71">
        <f>IFERROR(AK135/AK148, "NA")</f>
        <v>-26.86334846</v>
      </c>
    </row>
    <row r="136" ht="16.5" hidden="1" customHeight="1">
      <c r="A136" s="120" t="s">
        <v>6</v>
      </c>
      <c r="B136" s="121"/>
      <c r="C136" s="76"/>
      <c r="D136" s="121"/>
      <c r="E136" s="76"/>
      <c r="F136" s="121"/>
      <c r="G136" s="76"/>
      <c r="H136" s="121"/>
      <c r="I136" s="76"/>
      <c r="J136" s="121"/>
      <c r="K136" s="76"/>
      <c r="L136" s="121"/>
      <c r="M136" s="76"/>
      <c r="N136" s="121"/>
      <c r="O136" s="76"/>
      <c r="P136" s="121"/>
      <c r="Q136" s="76"/>
      <c r="R136" s="121"/>
      <c r="S136" s="76"/>
      <c r="T136" s="121"/>
      <c r="U136" s="76"/>
      <c r="V136" s="121"/>
      <c r="W136" s="76"/>
      <c r="X136" s="121"/>
      <c r="Y136" s="76"/>
      <c r="Z136" s="121"/>
      <c r="AA136" s="76"/>
      <c r="AB136" s="121"/>
      <c r="AC136" s="76"/>
      <c r="AD136" s="122"/>
      <c r="AE136" s="78"/>
      <c r="AF136" s="122"/>
      <c r="AG136" s="121"/>
      <c r="AH136" s="76"/>
      <c r="AI136" s="122"/>
      <c r="AJ136" s="78"/>
      <c r="AK136" s="122"/>
      <c r="AL136" s="78"/>
    </row>
    <row r="137" ht="16.5" hidden="1" customHeight="1">
      <c r="A137" s="118" t="s">
        <v>236</v>
      </c>
      <c r="B137" s="119">
        <f>IFERROR(B107-B135, "NA")</f>
        <v>10798.87</v>
      </c>
      <c r="C137" s="107">
        <f>IFERROR(B137/B148, "NA")</f>
        <v>0.320173042</v>
      </c>
      <c r="D137" s="119">
        <f>IFERROR(D107-D135, "NA")</f>
        <v>1305.07</v>
      </c>
      <c r="E137" s="107">
        <f>IFERROR(D137/D148, "NA")</f>
        <v>0.04447453177</v>
      </c>
      <c r="F137" s="119">
        <f>IFERROR(F107-F135, "NA")</f>
        <v>-13072.87</v>
      </c>
      <c r="G137" s="107">
        <f>IFERROR(F137/F148, "NA")</f>
        <v>-0.4387428598</v>
      </c>
      <c r="H137" s="119">
        <f>IFERROR(H107-H135, "NA")</f>
        <v>14241.96</v>
      </c>
      <c r="I137" s="107">
        <f>IFERROR(H137/H148, "NA")</f>
        <v>0.4602298506</v>
      </c>
      <c r="J137" s="119">
        <f>IFERROR(J107-J135, "NA")</f>
        <v>5557.78</v>
      </c>
      <c r="K137" s="107">
        <f>IFERROR(J137/J148, "NA")</f>
        <v>0.2394042827</v>
      </c>
      <c r="L137" s="119">
        <f>IFERROR(L107-L135, "NA")</f>
        <v>7521.15</v>
      </c>
      <c r="M137" s="107">
        <f>IFERROR(L137/L148, "NA")</f>
        <v>0.2979954943</v>
      </c>
      <c r="N137" s="119">
        <f>IFERROR(N107-N135, "NA")</f>
        <v>2612.11</v>
      </c>
      <c r="O137" s="107">
        <f>IFERROR(N137/N148, "NA")</f>
        <v>0.07856227467</v>
      </c>
      <c r="P137" s="119">
        <f>IFERROR(P107-P135, "NA")</f>
        <v>-16685.47</v>
      </c>
      <c r="Q137" s="107">
        <f>IFERROR(P137/P148, "NA")</f>
        <v>-0.4999331843</v>
      </c>
      <c r="R137" s="119">
        <f>IFERROR(R107-R135, "NA")</f>
        <v>12142.5</v>
      </c>
      <c r="S137" s="107">
        <f>IFERROR(R137/R148, "NA")</f>
        <v>0.4461379171</v>
      </c>
      <c r="T137" s="119">
        <f>IFERROR(T107-T135, "NA")</f>
        <v>15595.57</v>
      </c>
      <c r="U137" s="107">
        <f>IFERROR(T137/T148, "NA")</f>
        <v>0.3779510977</v>
      </c>
      <c r="V137" s="119">
        <f>IFERROR(V107-V135, "NA")</f>
        <v>6112.04</v>
      </c>
      <c r="W137" s="107">
        <f>IFERROR(V137/V148, "NA")</f>
        <v>0.1908435655</v>
      </c>
      <c r="X137" s="119">
        <f>IFERROR(X107-X135, "NA")</f>
        <v>10298.96</v>
      </c>
      <c r="Y137" s="107">
        <f>IFERROR(X137/X148, "NA")</f>
        <v>0.3664025456</v>
      </c>
      <c r="Z137" s="119">
        <f>IFERROR(Z107-Z135, "NA")</f>
        <v>44149.07</v>
      </c>
      <c r="AA137" s="107">
        <f>IFERROR(Z137/Z148, "NA")</f>
        <v>0.3432649531</v>
      </c>
      <c r="AB137" s="119">
        <f>IFERROR((R137+T137+V137+X137)/4, "NA")</f>
        <v>11037.2675</v>
      </c>
      <c r="AC137" s="107">
        <f>IFERROR(AB137/AB148, "NA")</f>
        <v>0.3432649531</v>
      </c>
      <c r="AD137" s="70">
        <f>IFERROR(X137-AB137, "NA")</f>
        <v>-738.3075</v>
      </c>
      <c r="AE137" s="71">
        <f>IFERROR(AD137/AD148, "NA")</f>
        <v>0.1825025059</v>
      </c>
      <c r="AF137" s="70">
        <f>IFERROR((X137-AB137)/AB137, "NA")</f>
        <v>-0.06689223578</v>
      </c>
      <c r="AG137" s="119">
        <f>IFERROR((J137+L137+N137+P137+R137+T137+V137+X137)/8, "NA")</f>
        <v>5394.33</v>
      </c>
      <c r="AH137" s="107">
        <f>IFERROR(AG137/AG148, "NA")</f>
        <v>0.17708563</v>
      </c>
      <c r="AI137" s="70">
        <f>IFERROR(X137-AG137, "NA")</f>
        <v>4904.63</v>
      </c>
      <c r="AJ137" s="71">
        <f>IFERROR(AI137/AI148, "NA")</f>
        <v>-2.084075748</v>
      </c>
      <c r="AK137" s="70">
        <f>IFERROR((X137-AG137)/AG137, "NA")</f>
        <v>0.9092194953</v>
      </c>
      <c r="AL137" s="71">
        <f>IFERROR(AK137/AK148, "NA")</f>
        <v>-11.76874571</v>
      </c>
    </row>
    <row r="138" ht="3.75" hidden="1" customHeight="1">
      <c r="A138" s="120" t="s">
        <v>6</v>
      </c>
      <c r="B138" s="121"/>
      <c r="C138" s="76"/>
      <c r="D138" s="121"/>
      <c r="E138" s="76"/>
      <c r="F138" s="121"/>
      <c r="G138" s="76"/>
      <c r="H138" s="121"/>
      <c r="I138" s="76"/>
      <c r="J138" s="121"/>
      <c r="K138" s="76"/>
      <c r="L138" s="121"/>
      <c r="M138" s="76"/>
      <c r="N138" s="121"/>
      <c r="O138" s="76"/>
      <c r="P138" s="121"/>
      <c r="Q138" s="76"/>
      <c r="R138" s="121"/>
      <c r="S138" s="76"/>
      <c r="T138" s="121"/>
      <c r="U138" s="76"/>
      <c r="V138" s="121"/>
      <c r="W138" s="76"/>
      <c r="X138" s="121"/>
      <c r="Y138" s="76"/>
      <c r="Z138" s="121"/>
      <c r="AA138" s="76"/>
      <c r="AB138" s="121"/>
      <c r="AC138" s="76"/>
      <c r="AD138" s="122"/>
      <c r="AE138" s="78"/>
      <c r="AF138" s="122"/>
      <c r="AG138" s="121"/>
      <c r="AH138" s="76"/>
      <c r="AI138" s="122"/>
      <c r="AJ138" s="78"/>
      <c r="AK138" s="122"/>
      <c r="AL138" s="78"/>
    </row>
    <row r="139" ht="16.5" hidden="1" customHeight="1">
      <c r="A139" s="17" t="s">
        <v>237</v>
      </c>
      <c r="B139" s="19"/>
      <c r="C139" s="13"/>
      <c r="D139" s="19"/>
      <c r="E139" s="13"/>
      <c r="F139" s="19"/>
      <c r="G139" s="13"/>
      <c r="H139" s="19"/>
      <c r="I139" s="13"/>
      <c r="J139" s="19"/>
      <c r="K139" s="13"/>
      <c r="L139" s="19"/>
      <c r="M139" s="13"/>
      <c r="N139" s="19"/>
      <c r="O139" s="13"/>
      <c r="P139" s="19"/>
      <c r="Q139" s="13"/>
      <c r="R139" s="19"/>
      <c r="S139" s="13"/>
      <c r="T139" s="19"/>
      <c r="U139" s="13"/>
      <c r="V139" s="19"/>
      <c r="W139" s="13"/>
      <c r="X139" s="19"/>
      <c r="Y139" s="13"/>
      <c r="Z139" s="19"/>
      <c r="AA139" s="13"/>
      <c r="AB139" s="19"/>
      <c r="AC139" s="13"/>
      <c r="AD139" s="24"/>
      <c r="AE139" s="25"/>
      <c r="AF139" s="24"/>
      <c r="AG139" s="19"/>
      <c r="AH139" s="13"/>
      <c r="AI139" s="24"/>
      <c r="AJ139" s="25"/>
      <c r="AK139" s="24"/>
      <c r="AL139" s="25"/>
    </row>
    <row r="140" ht="16.5" hidden="1" customHeight="1">
      <c r="A140" s="26" t="s">
        <v>238</v>
      </c>
      <c r="B140" s="27">
        <v>0.0</v>
      </c>
      <c r="C140" s="23">
        <f>IFERROR(B140/B148, "NA")</f>
        <v>0</v>
      </c>
      <c r="D140" s="27">
        <v>0.0</v>
      </c>
      <c r="E140" s="23">
        <f>IFERROR(D140/D148, "NA")</f>
        <v>0</v>
      </c>
      <c r="F140" s="27">
        <v>8237.14</v>
      </c>
      <c r="G140" s="23">
        <f>IFERROR(F140/F148, "NA")</f>
        <v>0.2764493459</v>
      </c>
      <c r="H140" s="27">
        <v>0.0</v>
      </c>
      <c r="I140" s="23">
        <f>IFERROR(H140/H148, "NA")</f>
        <v>0</v>
      </c>
      <c r="J140" s="27">
        <v>0.0</v>
      </c>
      <c r="K140" s="23">
        <f>IFERROR(J140/J148, "NA")</f>
        <v>0</v>
      </c>
      <c r="L140" s="27">
        <v>0.0</v>
      </c>
      <c r="M140" s="23">
        <f>IFERROR(L140/L148, "NA")</f>
        <v>0</v>
      </c>
      <c r="N140" s="27">
        <v>-159.82999999999998</v>
      </c>
      <c r="O140" s="23">
        <f>IFERROR(N140/N148, "NA")</f>
        <v>-0.004807074879</v>
      </c>
      <c r="P140" s="27">
        <v>8772.99</v>
      </c>
      <c r="Q140" s="23">
        <f>IFERROR(P140/P148, "NA")</f>
        <v>0.2628579732</v>
      </c>
      <c r="R140" s="27">
        <v>0.0</v>
      </c>
      <c r="S140" s="23">
        <f>IFERROR(R140/R148, "NA")</f>
        <v>0</v>
      </c>
      <c r="T140" s="27">
        <v>0.0</v>
      </c>
      <c r="U140" s="23">
        <f>IFERROR(T140/T148, "NA")</f>
        <v>0</v>
      </c>
      <c r="V140" s="27">
        <v>0.0</v>
      </c>
      <c r="W140" s="23">
        <f>IFERROR(V140/V148, "NA")</f>
        <v>0</v>
      </c>
      <c r="X140" s="27">
        <v>-281.88</v>
      </c>
      <c r="Y140" s="23">
        <f>IFERROR(X140/X148, "NA")</f>
        <v>-0.01002834748</v>
      </c>
      <c r="Z140" s="27">
        <v>-281.88</v>
      </c>
      <c r="AA140" s="23">
        <f>IFERROR(Z140/Z148, "NA")</f>
        <v>-0.002191654886</v>
      </c>
      <c r="AB140" s="59">
        <f t="shared" ref="AB140:AB141" si="61">IFERROR((R140+T140+V140+X140)/4, "NA")</f>
        <v>-70.47</v>
      </c>
      <c r="AC140" s="23">
        <f>IFERROR(AB140/AB148, "NA")</f>
        <v>-0.002191654886</v>
      </c>
      <c r="AD140" s="61">
        <f t="shared" ref="AD140:AD141" si="62">IFERROR(X140-AB140, "NA")</f>
        <v>-211.41</v>
      </c>
      <c r="AE140" s="63">
        <f>IFERROR(AD140/AD148, "NA")</f>
        <v>0.05225851664</v>
      </c>
      <c r="AF140" s="61">
        <f t="shared" ref="AF140:AF141" si="63">IFERROR((X140-AB140)/AB140, "NA")</f>
        <v>3</v>
      </c>
      <c r="AG140" s="59">
        <f t="shared" ref="AG140:AG141" si="64">IFERROR((J140+L140+N140+P140+R140+T140+V140+X140)/8, "NA")</f>
        <v>1041.41</v>
      </c>
      <c r="AH140" s="23">
        <f>IFERROR(AG140/AG148, "NA")</f>
        <v>0.03418751651</v>
      </c>
      <c r="AI140" s="61">
        <f t="shared" ref="AI140:AI141" si="65">IFERROR(X140-AG140, "NA")</f>
        <v>-1323.29</v>
      </c>
      <c r="AJ140" s="63">
        <f>IFERROR(AI140/AI148, "NA")</f>
        <v>0.5622924863</v>
      </c>
      <c r="AK140" s="61">
        <f t="shared" ref="AK140:AK141" si="66">IFERROR((X140-AG140)/AG140, "NA")</f>
        <v>-1.270671493</v>
      </c>
      <c r="AL140" s="63">
        <f>IFERROR(AK140/AK148, "NA")</f>
        <v>16.44730427</v>
      </c>
    </row>
    <row r="141" ht="16.5" hidden="1" customHeight="1">
      <c r="A141" s="66" t="s">
        <v>239</v>
      </c>
      <c r="B141" s="67">
        <f>IFERROR(B140, "NA")</f>
        <v>0</v>
      </c>
      <c r="C141" s="69">
        <f>IFERROR(B141/B148, "NA")</f>
        <v>0</v>
      </c>
      <c r="D141" s="67">
        <f>IFERROR(D140, "NA")</f>
        <v>0</v>
      </c>
      <c r="E141" s="69">
        <f>IFERROR(D141/D148, "NA")</f>
        <v>0</v>
      </c>
      <c r="F141" s="67">
        <f>IFERROR(F140, "NA")</f>
        <v>8237.14</v>
      </c>
      <c r="G141" s="69">
        <f>IFERROR(F141/F148, "NA")</f>
        <v>0.2764493459</v>
      </c>
      <c r="H141" s="67">
        <f>IFERROR(H140, "NA")</f>
        <v>0</v>
      </c>
      <c r="I141" s="69">
        <f>IFERROR(H141/H148, "NA")</f>
        <v>0</v>
      </c>
      <c r="J141" s="67">
        <f>IFERROR(J140, "NA")</f>
        <v>0</v>
      </c>
      <c r="K141" s="69">
        <f>IFERROR(J141/J148, "NA")</f>
        <v>0</v>
      </c>
      <c r="L141" s="67">
        <f>IFERROR(L140, "NA")</f>
        <v>0</v>
      </c>
      <c r="M141" s="69">
        <f>IFERROR(L141/L148, "NA")</f>
        <v>0</v>
      </c>
      <c r="N141" s="67">
        <f>IFERROR(N140, "NA")</f>
        <v>-159.83</v>
      </c>
      <c r="O141" s="69">
        <f>IFERROR(N141/N148, "NA")</f>
        <v>-0.004807074879</v>
      </c>
      <c r="P141" s="67">
        <f>IFERROR(P140, "NA")</f>
        <v>8772.99</v>
      </c>
      <c r="Q141" s="69">
        <f>IFERROR(P141/P148, "NA")</f>
        <v>0.2628579732</v>
      </c>
      <c r="R141" s="67">
        <f>IFERROR(R140, "NA")</f>
        <v>0</v>
      </c>
      <c r="S141" s="69">
        <f>IFERROR(R141/R148, "NA")</f>
        <v>0</v>
      </c>
      <c r="T141" s="67">
        <f>IFERROR(T140, "NA")</f>
        <v>0</v>
      </c>
      <c r="U141" s="69">
        <f>IFERROR(T141/T148, "NA")</f>
        <v>0</v>
      </c>
      <c r="V141" s="67">
        <f>IFERROR(V140, "NA")</f>
        <v>0</v>
      </c>
      <c r="W141" s="69">
        <f>IFERROR(V141/V148, "NA")</f>
        <v>0</v>
      </c>
      <c r="X141" s="67">
        <f>IFERROR(X140, "NA")</f>
        <v>-281.88</v>
      </c>
      <c r="Y141" s="69">
        <f>IFERROR(X141/X148, "NA")</f>
        <v>-0.01002834748</v>
      </c>
      <c r="Z141" s="67">
        <f>IFERROR(Z140, "NA")</f>
        <v>-281.88</v>
      </c>
      <c r="AA141" s="69">
        <f>IFERROR(Z141/Z148, "NA")</f>
        <v>-0.002191654886</v>
      </c>
      <c r="AB141" s="67">
        <f t="shared" si="61"/>
        <v>-70.47</v>
      </c>
      <c r="AC141" s="69">
        <f>IFERROR(AB141/AB148, "NA")</f>
        <v>-0.002191654886</v>
      </c>
      <c r="AD141" s="70">
        <f t="shared" si="62"/>
        <v>-211.41</v>
      </c>
      <c r="AE141" s="71">
        <f>IFERROR(AD141/AD148, "NA")</f>
        <v>0.05225851664</v>
      </c>
      <c r="AF141" s="70">
        <f t="shared" si="63"/>
        <v>3</v>
      </c>
      <c r="AG141" s="67">
        <f t="shared" si="64"/>
        <v>1041.41</v>
      </c>
      <c r="AH141" s="69">
        <f>IFERROR(AG141/AG148, "NA")</f>
        <v>0.03418751651</v>
      </c>
      <c r="AI141" s="70">
        <f t="shared" si="65"/>
        <v>-1323.29</v>
      </c>
      <c r="AJ141" s="71">
        <f>IFERROR(AI141/AI148, "NA")</f>
        <v>0.5622924863</v>
      </c>
      <c r="AK141" s="70">
        <f t="shared" si="66"/>
        <v>-1.270671493</v>
      </c>
      <c r="AL141" s="71">
        <f>IFERROR(AK141/AK148, "NA")</f>
        <v>16.44730427</v>
      </c>
    </row>
    <row r="142" ht="3.75" hidden="1" customHeight="1">
      <c r="A142" s="120" t="s">
        <v>6</v>
      </c>
      <c r="B142" s="121"/>
      <c r="C142" s="76"/>
      <c r="D142" s="121"/>
      <c r="E142" s="76"/>
      <c r="F142" s="121"/>
      <c r="G142" s="76"/>
      <c r="H142" s="121"/>
      <c r="I142" s="76"/>
      <c r="J142" s="121"/>
      <c r="K142" s="76"/>
      <c r="L142" s="121"/>
      <c r="M142" s="76"/>
      <c r="N142" s="121"/>
      <c r="O142" s="76"/>
      <c r="P142" s="121"/>
      <c r="Q142" s="76"/>
      <c r="R142" s="121"/>
      <c r="S142" s="76"/>
      <c r="T142" s="121"/>
      <c r="U142" s="76"/>
      <c r="V142" s="121"/>
      <c r="W142" s="76"/>
      <c r="X142" s="121"/>
      <c r="Y142" s="76"/>
      <c r="Z142" s="121"/>
      <c r="AA142" s="76"/>
      <c r="AB142" s="121"/>
      <c r="AC142" s="76"/>
      <c r="AD142" s="122"/>
      <c r="AE142" s="78"/>
      <c r="AF142" s="122"/>
      <c r="AG142" s="121"/>
      <c r="AH142" s="76"/>
      <c r="AI142" s="122"/>
      <c r="AJ142" s="78"/>
      <c r="AK142" s="122"/>
      <c r="AL142" s="78"/>
    </row>
    <row r="143" ht="16.5" hidden="1" customHeight="1">
      <c r="A143" s="17" t="s">
        <v>240</v>
      </c>
      <c r="B143" s="19"/>
      <c r="C143" s="13"/>
      <c r="D143" s="19"/>
      <c r="E143" s="13"/>
      <c r="F143" s="19"/>
      <c r="G143" s="13"/>
      <c r="H143" s="19"/>
      <c r="I143" s="13"/>
      <c r="J143" s="19"/>
      <c r="K143" s="13"/>
      <c r="L143" s="19"/>
      <c r="M143" s="13"/>
      <c r="N143" s="19"/>
      <c r="O143" s="13"/>
      <c r="P143" s="19"/>
      <c r="Q143" s="13"/>
      <c r="R143" s="19"/>
      <c r="S143" s="13"/>
      <c r="T143" s="19"/>
      <c r="U143" s="13"/>
      <c r="V143" s="19"/>
      <c r="W143" s="13"/>
      <c r="X143" s="19"/>
      <c r="Y143" s="13"/>
      <c r="Z143" s="19"/>
      <c r="AA143" s="13"/>
      <c r="AB143" s="19"/>
      <c r="AC143" s="13"/>
      <c r="AD143" s="24"/>
      <c r="AE143" s="25"/>
      <c r="AF143" s="24"/>
      <c r="AG143" s="19"/>
      <c r="AH143" s="13"/>
      <c r="AI143" s="24"/>
      <c r="AJ143" s="25"/>
      <c r="AK143" s="24"/>
      <c r="AL143" s="25"/>
    </row>
    <row r="144" ht="16.5" hidden="1" customHeight="1">
      <c r="A144" s="26" t="s">
        <v>241</v>
      </c>
      <c r="B144" s="27">
        <v>0.0</v>
      </c>
      <c r="C144" s="23">
        <f>IFERROR(B144/B148, "NA")</f>
        <v>0</v>
      </c>
      <c r="D144" s="27">
        <v>0.0</v>
      </c>
      <c r="E144" s="23">
        <f>IFERROR(D144/D148, "NA")</f>
        <v>0</v>
      </c>
      <c r="F144" s="27">
        <v>0.0</v>
      </c>
      <c r="G144" s="23">
        <f>IFERROR(F144/F148, "NA")</f>
        <v>0</v>
      </c>
      <c r="H144" s="27">
        <v>0.0</v>
      </c>
      <c r="I144" s="23">
        <f>IFERROR(H144/H148, "NA")</f>
        <v>0</v>
      </c>
      <c r="J144" s="27">
        <v>0.0</v>
      </c>
      <c r="K144" s="23">
        <f>IFERROR(J144/J148, "NA")</f>
        <v>0</v>
      </c>
      <c r="L144" s="27">
        <v>0.0</v>
      </c>
      <c r="M144" s="23">
        <f>IFERROR(L144/L148, "NA")</f>
        <v>0</v>
      </c>
      <c r="N144" s="27">
        <v>0.0</v>
      </c>
      <c r="O144" s="23">
        <f>IFERROR(N144/N148, "NA")</f>
        <v>0</v>
      </c>
      <c r="P144" s="27">
        <v>0.0</v>
      </c>
      <c r="Q144" s="23">
        <f>IFERROR(P144/P148, "NA")</f>
        <v>0</v>
      </c>
      <c r="R144" s="27">
        <v>0.0</v>
      </c>
      <c r="S144" s="23">
        <f>IFERROR(R144/R148, "NA")</f>
        <v>0</v>
      </c>
      <c r="T144" s="27">
        <v>0.0</v>
      </c>
      <c r="U144" s="23">
        <f>IFERROR(T144/T148, "NA")</f>
        <v>0</v>
      </c>
      <c r="V144" s="27">
        <v>0.0</v>
      </c>
      <c r="W144" s="23">
        <f>IFERROR(V144/V148, "NA")</f>
        <v>0</v>
      </c>
      <c r="X144" s="27">
        <v>0.0</v>
      </c>
      <c r="Y144" s="23">
        <f>IFERROR(X144/X148, "NA")</f>
        <v>0</v>
      </c>
      <c r="Z144" s="27">
        <v>0.0</v>
      </c>
      <c r="AA144" s="23">
        <f>IFERROR(Z144/Z148, "NA")</f>
        <v>0</v>
      </c>
      <c r="AB144" s="59">
        <f t="shared" ref="AB144:AB145" si="67">IFERROR((R144+T144+V144+X144)/4, "NA")</f>
        <v>0</v>
      </c>
      <c r="AC144" s="23">
        <f>IFERROR(AB144/AB148, "NA")</f>
        <v>0</v>
      </c>
      <c r="AD144" s="61">
        <f t="shared" ref="AD144:AD145" si="68">IFERROR(X144-AB144, "NA")</f>
        <v>0</v>
      </c>
      <c r="AE144" s="63">
        <f>IFERROR(AD144/AD148, "NA")</f>
        <v>0</v>
      </c>
      <c r="AF144" s="61" t="str">
        <f t="shared" ref="AF144:AF145" si="69">IFERROR((X144-AB144)/AB144, "NA")</f>
        <v>NA</v>
      </c>
      <c r="AG144" s="59">
        <f t="shared" ref="AG144:AG145" si="70">IFERROR((J144+L144+N144+P144+R144+T144+V144+X144)/8, "NA")</f>
        <v>0</v>
      </c>
      <c r="AH144" s="23">
        <f>IFERROR(AG144/AG148, "NA")</f>
        <v>0</v>
      </c>
      <c r="AI144" s="61">
        <f t="shared" ref="AI144:AI145" si="71">IFERROR(X144-AG144, "NA")</f>
        <v>0</v>
      </c>
      <c r="AJ144" s="63">
        <f>IFERROR(AI144/AI148, "NA")</f>
        <v>0</v>
      </c>
      <c r="AK144" s="61" t="str">
        <f t="shared" ref="AK144:AK145" si="72">IFERROR((X144-AG144)/AG144, "NA")</f>
        <v>NA</v>
      </c>
      <c r="AL144" s="63" t="str">
        <f>IFERROR(AK144/AK148, "NA")</f>
        <v>NA</v>
      </c>
    </row>
    <row r="145" ht="16.5" hidden="1" customHeight="1">
      <c r="A145" s="66" t="s">
        <v>242</v>
      </c>
      <c r="B145" s="67">
        <f>IFERROR(B144, "NA")</f>
        <v>0</v>
      </c>
      <c r="C145" s="69">
        <f>IFERROR(B145/B148, "NA")</f>
        <v>0</v>
      </c>
      <c r="D145" s="67">
        <f>IFERROR(D144, "NA")</f>
        <v>0</v>
      </c>
      <c r="E145" s="69">
        <f>IFERROR(D145/D148, "NA")</f>
        <v>0</v>
      </c>
      <c r="F145" s="67">
        <f>IFERROR(F144, "NA")</f>
        <v>0</v>
      </c>
      <c r="G145" s="69">
        <f>IFERROR(F145/F148, "NA")</f>
        <v>0</v>
      </c>
      <c r="H145" s="67">
        <f>IFERROR(H144, "NA")</f>
        <v>0</v>
      </c>
      <c r="I145" s="69">
        <f>IFERROR(H145/H148, "NA")</f>
        <v>0</v>
      </c>
      <c r="J145" s="67">
        <f>IFERROR(J144, "NA")</f>
        <v>0</v>
      </c>
      <c r="K145" s="69">
        <f>IFERROR(J145/J148, "NA")</f>
        <v>0</v>
      </c>
      <c r="L145" s="67">
        <f>IFERROR(L144, "NA")</f>
        <v>0</v>
      </c>
      <c r="M145" s="69">
        <f>IFERROR(L145/L148, "NA")</f>
        <v>0</v>
      </c>
      <c r="N145" s="67">
        <f>IFERROR(N144, "NA")</f>
        <v>0</v>
      </c>
      <c r="O145" s="69">
        <f>IFERROR(N145/N148, "NA")</f>
        <v>0</v>
      </c>
      <c r="P145" s="67">
        <f>IFERROR(P144, "NA")</f>
        <v>0</v>
      </c>
      <c r="Q145" s="69">
        <f>IFERROR(P145/P148, "NA")</f>
        <v>0</v>
      </c>
      <c r="R145" s="67">
        <f>IFERROR(R144, "NA")</f>
        <v>0</v>
      </c>
      <c r="S145" s="69">
        <f>IFERROR(R145/R148, "NA")</f>
        <v>0</v>
      </c>
      <c r="T145" s="67">
        <f>IFERROR(T144, "NA")</f>
        <v>0</v>
      </c>
      <c r="U145" s="69">
        <f>IFERROR(T145/T148, "NA")</f>
        <v>0</v>
      </c>
      <c r="V145" s="67">
        <f>IFERROR(V144, "NA")</f>
        <v>0</v>
      </c>
      <c r="W145" s="69">
        <f>IFERROR(V145/V148, "NA")</f>
        <v>0</v>
      </c>
      <c r="X145" s="67">
        <f>IFERROR(X144, "NA")</f>
        <v>0</v>
      </c>
      <c r="Y145" s="69">
        <f>IFERROR(X145/X148, "NA")</f>
        <v>0</v>
      </c>
      <c r="Z145" s="67">
        <f>IFERROR(Z144, "NA")</f>
        <v>0</v>
      </c>
      <c r="AA145" s="69">
        <f>IFERROR(Z145/Z148, "NA")</f>
        <v>0</v>
      </c>
      <c r="AB145" s="67">
        <f t="shared" si="67"/>
        <v>0</v>
      </c>
      <c r="AC145" s="69">
        <f>IFERROR(AB145/AB148, "NA")</f>
        <v>0</v>
      </c>
      <c r="AD145" s="70">
        <f t="shared" si="68"/>
        <v>0</v>
      </c>
      <c r="AE145" s="71">
        <f>IFERROR(AD145/AD148, "NA")</f>
        <v>0</v>
      </c>
      <c r="AF145" s="70" t="str">
        <f t="shared" si="69"/>
        <v>NA</v>
      </c>
      <c r="AG145" s="67">
        <f t="shared" si="70"/>
        <v>0</v>
      </c>
      <c r="AH145" s="69">
        <f>IFERROR(AG145/AG148, "NA")</f>
        <v>0</v>
      </c>
      <c r="AI145" s="70">
        <f t="shared" si="71"/>
        <v>0</v>
      </c>
      <c r="AJ145" s="71">
        <f>IFERROR(AI145/AI148, "NA")</f>
        <v>0</v>
      </c>
      <c r="AK145" s="70" t="str">
        <f t="shared" si="72"/>
        <v>NA</v>
      </c>
      <c r="AL145" s="71" t="str">
        <f>IFERROR(AK145/AK148, "NA")</f>
        <v>NA</v>
      </c>
    </row>
    <row r="146" ht="3.75" hidden="1" customHeight="1">
      <c r="A146" s="120" t="s">
        <v>6</v>
      </c>
      <c r="B146" s="121"/>
      <c r="C146" s="76"/>
      <c r="D146" s="121"/>
      <c r="E146" s="76"/>
      <c r="F146" s="121"/>
      <c r="G146" s="76"/>
      <c r="H146" s="121"/>
      <c r="I146" s="76"/>
      <c r="J146" s="121"/>
      <c r="K146" s="76"/>
      <c r="L146" s="121"/>
      <c r="M146" s="76"/>
      <c r="N146" s="121"/>
      <c r="O146" s="76"/>
      <c r="P146" s="121"/>
      <c r="Q146" s="76"/>
      <c r="R146" s="121"/>
      <c r="S146" s="76"/>
      <c r="T146" s="121"/>
      <c r="U146" s="76"/>
      <c r="V146" s="121"/>
      <c r="W146" s="76"/>
      <c r="X146" s="121"/>
      <c r="Y146" s="76"/>
      <c r="Z146" s="121"/>
      <c r="AA146" s="76"/>
      <c r="AB146" s="121"/>
      <c r="AC146" s="76"/>
      <c r="AD146" s="122"/>
      <c r="AE146" s="78"/>
      <c r="AF146" s="122"/>
      <c r="AG146" s="121"/>
      <c r="AH146" s="76"/>
      <c r="AI146" s="122"/>
      <c r="AJ146" s="78"/>
      <c r="AK146" s="122"/>
      <c r="AL146" s="78"/>
    </row>
    <row r="147" ht="16.5" hidden="1" customHeight="1">
      <c r="A147" s="118" t="s">
        <v>243</v>
      </c>
      <c r="B147" s="119">
        <f>IFERROR(B137-B141-B145, "NA")</f>
        <v>10798.87</v>
      </c>
      <c r="C147" s="107">
        <f>IFERROR(B147/B148, "NA")</f>
        <v>0.320173042</v>
      </c>
      <c r="D147" s="119">
        <f>IFERROR(D137-D141-D145, "NA")</f>
        <v>1305.07</v>
      </c>
      <c r="E147" s="107">
        <f>IFERROR(D147/D148, "NA")</f>
        <v>0.04447453177</v>
      </c>
      <c r="F147" s="119">
        <f>IFERROR(F137-F141-F145, "NA")</f>
        <v>-21310.01</v>
      </c>
      <c r="G147" s="107">
        <f>IFERROR(F147/F148, "NA")</f>
        <v>-0.7151922057</v>
      </c>
      <c r="H147" s="119">
        <f>IFERROR(H137-H141-H145, "NA")</f>
        <v>14241.96</v>
      </c>
      <c r="I147" s="107">
        <f>IFERROR(H147/H148, "NA")</f>
        <v>0.4602298506</v>
      </c>
      <c r="J147" s="119">
        <f>IFERROR(J137-J141-J145, "NA")</f>
        <v>5557.78</v>
      </c>
      <c r="K147" s="107">
        <f>IFERROR(J147/J148, "NA")</f>
        <v>0.2394042827</v>
      </c>
      <c r="L147" s="119">
        <f>IFERROR(L137-L141-L145, "NA")</f>
        <v>7521.15</v>
      </c>
      <c r="M147" s="107">
        <f>IFERROR(L147/L148, "NA")</f>
        <v>0.2979954943</v>
      </c>
      <c r="N147" s="119">
        <f>IFERROR(N137-N141-N145, "NA")</f>
        <v>2771.94</v>
      </c>
      <c r="O147" s="107">
        <f>IFERROR(N147/N148, "NA")</f>
        <v>0.08336934955</v>
      </c>
      <c r="P147" s="119">
        <f>IFERROR(P137-P141-P145, "NA")</f>
        <v>-25458.46</v>
      </c>
      <c r="Q147" s="107">
        <f>IFERROR(P147/P148, "NA")</f>
        <v>-0.7627911576</v>
      </c>
      <c r="R147" s="119">
        <f>IFERROR(R137-R141-R145, "NA")</f>
        <v>12142.5</v>
      </c>
      <c r="S147" s="107">
        <f>IFERROR(R147/R148, "NA")</f>
        <v>0.4461379171</v>
      </c>
      <c r="T147" s="119">
        <f>IFERROR(T137-T141-T145, "NA")</f>
        <v>15595.57</v>
      </c>
      <c r="U147" s="107">
        <f>IFERROR(T147/T148, "NA")</f>
        <v>0.3779510977</v>
      </c>
      <c r="V147" s="119">
        <f>IFERROR(V137-V141-V145, "NA")</f>
        <v>6112.04</v>
      </c>
      <c r="W147" s="107">
        <f>IFERROR(V147/V148, "NA")</f>
        <v>0.1908435655</v>
      </c>
      <c r="X147" s="119">
        <f>IFERROR(X137-X141-X145, "NA")</f>
        <v>10580.84</v>
      </c>
      <c r="Y147" s="107">
        <f>IFERROR(X147/X148, "NA")</f>
        <v>0.3764308931</v>
      </c>
      <c r="Z147" s="119">
        <f>IFERROR(Z137-Z141-Z145, "NA")</f>
        <v>44430.95</v>
      </c>
      <c r="AA147" s="107">
        <f>IFERROR(Z147/Z148, "NA")</f>
        <v>0.345456608</v>
      </c>
      <c r="AB147" s="119">
        <f t="shared" ref="AB147:AB148" si="73">IFERROR((R147+T147+V147+X147)/4, "NA")</f>
        <v>11107.7375</v>
      </c>
      <c r="AC147" s="107">
        <f>IFERROR(AB147/AB148, "NA")</f>
        <v>0.345456608</v>
      </c>
      <c r="AD147" s="70">
        <f t="shared" ref="AD147:AD148" si="74">IFERROR(X147-AB147, "NA")</f>
        <v>-526.8975</v>
      </c>
      <c r="AE147" s="71">
        <f>IFERROR(AD147/AD148, "NA")</f>
        <v>0.1302439893</v>
      </c>
      <c r="AF147" s="70">
        <f t="shared" ref="AF147:AF148" si="75">IFERROR((X147-AB147)/AB147, "NA")</f>
        <v>-0.04743517751</v>
      </c>
      <c r="AG147" s="119">
        <f t="shared" ref="AG147:AG148" si="76">IFERROR((J147+L147+N147+P147+R147+T147+V147+X147)/8, "NA")</f>
        <v>4352.92</v>
      </c>
      <c r="AH147" s="107">
        <f>IFERROR(AG147/AG148, "NA")</f>
        <v>0.1428981135</v>
      </c>
      <c r="AI147" s="70">
        <f t="shared" ref="AI147:AI148" si="77">IFERROR(X147-AG147, "NA")</f>
        <v>6227.92</v>
      </c>
      <c r="AJ147" s="71">
        <f>IFERROR(AI147/AI148, "NA")</f>
        <v>-2.646368235</v>
      </c>
      <c r="AK147" s="70">
        <f t="shared" ref="AK147:AK148" si="78">IFERROR((X147-AG147)/AG147, "NA")</f>
        <v>1.430745339</v>
      </c>
      <c r="AL147" s="71">
        <f>IFERROR(AK147/AK148, "NA")</f>
        <v>-18.51926642</v>
      </c>
    </row>
    <row r="148" ht="14.25" hidden="1" customHeight="1">
      <c r="A148" s="26" t="s">
        <v>51</v>
      </c>
      <c r="B148" s="27">
        <v>33728.23</v>
      </c>
      <c r="C148" s="125"/>
      <c r="D148" s="27">
        <v>29344.21</v>
      </c>
      <c r="E148" s="125"/>
      <c r="F148" s="27">
        <v>29796.2</v>
      </c>
      <c r="G148" s="125"/>
      <c r="H148" s="27">
        <v>30945.32</v>
      </c>
      <c r="I148" s="125"/>
      <c r="J148" s="27">
        <v>23215.04</v>
      </c>
      <c r="K148" s="125"/>
      <c r="L148" s="27">
        <v>25239.14</v>
      </c>
      <c r="M148" s="125"/>
      <c r="N148" s="27">
        <v>33248.91</v>
      </c>
      <c r="O148" s="125"/>
      <c r="P148" s="27">
        <v>33375.4</v>
      </c>
      <c r="Q148" s="125"/>
      <c r="R148" s="27">
        <v>27216.92</v>
      </c>
      <c r="S148" s="125"/>
      <c r="T148" s="27">
        <v>41263.46</v>
      </c>
      <c r="U148" s="125"/>
      <c r="V148" s="27">
        <v>32026.44</v>
      </c>
      <c r="W148" s="125"/>
      <c r="X148" s="27">
        <v>28108.32</v>
      </c>
      <c r="Y148" s="125"/>
      <c r="Z148" s="27">
        <v>128615.14</v>
      </c>
      <c r="AA148" s="125"/>
      <c r="AB148" s="59">
        <f t="shared" si="73"/>
        <v>32153.785</v>
      </c>
      <c r="AC148" s="125"/>
      <c r="AD148" s="61">
        <f t="shared" si="74"/>
        <v>-4045.465</v>
      </c>
      <c r="AE148" s="126"/>
      <c r="AF148" s="61">
        <f t="shared" si="75"/>
        <v>-0.1258161364</v>
      </c>
      <c r="AG148" s="59">
        <f t="shared" si="76"/>
        <v>30461.70375</v>
      </c>
      <c r="AH148" s="125"/>
      <c r="AI148" s="61">
        <f t="shared" si="77"/>
        <v>-2353.38375</v>
      </c>
      <c r="AJ148" s="126"/>
      <c r="AK148" s="61">
        <f t="shared" si="78"/>
        <v>-0.07725712814</v>
      </c>
      <c r="AL148" s="126"/>
    </row>
    <row r="149" ht="14.25" customHeight="1"/>
    <row r="150" ht="14.25" customHeight="1"/>
    <row r="151" ht="14.25" customHeight="1">
      <c r="A151" s="127" t="s">
        <v>244</v>
      </c>
    </row>
    <row r="152" ht="14.25" customHeight="1">
      <c r="A152" s="127" t="s">
        <v>245</v>
      </c>
    </row>
    <row r="153" ht="14.25" customHeight="1">
      <c r="A153" s="127" t="s">
        <v>246</v>
      </c>
    </row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1"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G5:AH5"/>
    <mergeCell ref="AI5:AJ5"/>
    <mergeCell ref="AK5:AL5"/>
    <mergeCell ref="A1:AL1"/>
    <mergeCell ref="A2:AL2"/>
    <mergeCell ref="A3:AL3"/>
    <mergeCell ref="B5:C5"/>
    <mergeCell ref="D5:E5"/>
    <mergeCell ref="F5:G5"/>
    <mergeCell ref="H5:I5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75"/>
  <cols>
    <col customWidth="1" min="1" max="1" width="37.5"/>
    <col customWidth="1" min="2" max="2" width="15.0"/>
    <col customWidth="1" min="3" max="3" width="8.25"/>
    <col customWidth="1" min="4" max="4" width="15.0"/>
    <col customWidth="1" min="5" max="5" width="8.25"/>
    <col customWidth="1" min="6" max="6" width="15.0"/>
    <col customWidth="1" min="7" max="7" width="8.25"/>
    <col customWidth="1" min="8" max="8" width="15.0"/>
    <col customWidth="1" min="9" max="9" width="8.25"/>
    <col customWidth="1" min="10" max="10" width="15.0"/>
    <col customWidth="1" min="11" max="11" width="8.25"/>
    <col customWidth="1" min="12" max="12" width="15.0"/>
    <col customWidth="1" min="13" max="13" width="8.25"/>
    <col customWidth="1" min="14" max="14" width="15.0"/>
    <col customWidth="1" min="15" max="15" width="8.25"/>
    <col customWidth="1" min="16" max="16" width="15.0"/>
    <col customWidth="1" min="17" max="17" width="8.25"/>
    <col customWidth="1" min="18" max="18" width="15.0"/>
    <col customWidth="1" min="19" max="19" width="8.25"/>
    <col customWidth="1" min="20" max="20" width="15.0"/>
    <col customWidth="1" min="21" max="21" width="8.25"/>
    <col customWidth="1" min="22" max="22" width="15.0"/>
    <col customWidth="1" min="23" max="23" width="8.25"/>
    <col customWidth="1" min="24" max="24" width="15.0"/>
    <col customWidth="1" min="25" max="25" width="8.25"/>
    <col customWidth="1" min="26" max="26" width="15.0"/>
    <col customWidth="1" min="27" max="27" width="8.25"/>
    <col customWidth="1" min="28" max="28" width="15.0"/>
    <col customWidth="1" min="29" max="29" width="8.25"/>
    <col customWidth="1" min="30" max="30" width="14.63"/>
    <col customWidth="1" hidden="1" min="31" max="31" width="7.63"/>
    <col customWidth="1" min="32" max="32" width="14.63"/>
    <col customWidth="1" min="33" max="33" width="15.0"/>
    <col customWidth="1" min="34" max="34" width="8.25"/>
    <col customWidth="1" min="35" max="35" width="14.63"/>
    <col customWidth="1" hidden="1" min="36" max="36" width="7.63"/>
    <col customWidth="1" min="37" max="37" width="14.63"/>
    <col customWidth="1" hidden="1" min="38" max="38" width="7.63"/>
  </cols>
  <sheetData>
    <row r="1" ht="14.25" customHeight="1">
      <c r="A1" s="3" t="s">
        <v>0</v>
      </c>
    </row>
    <row r="2" ht="14.25" customHeight="1">
      <c r="A2" s="5" t="s">
        <v>2</v>
      </c>
    </row>
    <row r="3" ht="14.25" customHeight="1">
      <c r="A3" s="6" t="s">
        <v>5</v>
      </c>
    </row>
    <row r="4" ht="14.25" customHeight="1"/>
    <row r="5" ht="13.5" customHeight="1">
      <c r="A5" s="8" t="s">
        <v>6</v>
      </c>
      <c r="B5" s="1" t="s">
        <v>9</v>
      </c>
      <c r="D5" s="1" t="s">
        <v>11</v>
      </c>
      <c r="F5" s="1" t="s">
        <v>13</v>
      </c>
      <c r="H5" s="1" t="s">
        <v>14</v>
      </c>
      <c r="J5" s="1" t="s">
        <v>16</v>
      </c>
      <c r="L5" s="1" t="s">
        <v>19</v>
      </c>
      <c r="N5" s="1" t="s">
        <v>20</v>
      </c>
      <c r="P5" s="1" t="s">
        <v>21</v>
      </c>
      <c r="R5" s="1" t="s">
        <v>22</v>
      </c>
      <c r="T5" s="1" t="s">
        <v>23</v>
      </c>
      <c r="V5" s="1" t="s">
        <v>24</v>
      </c>
      <c r="X5" s="1" t="s">
        <v>25</v>
      </c>
      <c r="Z5" s="1" t="s">
        <v>26</v>
      </c>
      <c r="AB5" s="1" t="s">
        <v>27</v>
      </c>
      <c r="AD5" s="15" t="s">
        <v>28</v>
      </c>
      <c r="AF5" s="15" t="s">
        <v>30</v>
      </c>
      <c r="AG5" s="1" t="s">
        <v>31</v>
      </c>
      <c r="AI5" s="15" t="s">
        <v>32</v>
      </c>
      <c r="AK5" s="15" t="s">
        <v>34</v>
      </c>
    </row>
    <row r="6" ht="16.5" customHeight="1">
      <c r="A6" s="17" t="s">
        <v>17</v>
      </c>
      <c r="B6" s="19"/>
      <c r="C6" s="13"/>
      <c r="D6" s="19"/>
      <c r="E6" s="13"/>
      <c r="F6" s="19"/>
      <c r="G6" s="13"/>
      <c r="H6" s="19"/>
      <c r="I6" s="13"/>
      <c r="J6" s="19"/>
      <c r="K6" s="13"/>
      <c r="L6" s="19"/>
      <c r="M6" s="13"/>
      <c r="N6" s="19"/>
      <c r="O6" s="13"/>
      <c r="P6" s="19"/>
      <c r="Q6" s="13"/>
      <c r="R6" s="19"/>
      <c r="S6" s="13"/>
      <c r="T6" s="19"/>
      <c r="U6" s="13"/>
      <c r="V6" s="19"/>
      <c r="W6" s="13"/>
      <c r="X6" s="19"/>
      <c r="Y6" s="13"/>
      <c r="Z6" s="19"/>
      <c r="AA6" s="13"/>
      <c r="AB6" s="19"/>
      <c r="AC6" s="13"/>
      <c r="AD6" s="24"/>
      <c r="AE6" s="25"/>
      <c r="AF6" s="24"/>
      <c r="AG6" s="19"/>
      <c r="AH6" s="13"/>
      <c r="AI6" s="24"/>
      <c r="AJ6" s="25"/>
      <c r="AK6" s="24"/>
      <c r="AL6" s="25"/>
    </row>
    <row r="7" ht="16.5" customHeight="1">
      <c r="A7" s="26" t="s">
        <v>17</v>
      </c>
      <c r="B7" s="27">
        <v>29103.98</v>
      </c>
      <c r="C7" s="23">
        <f>IFERROR(B7/B148, "NA")</f>
        <v>1</v>
      </c>
      <c r="D7" s="27">
        <v>32074.60999999999</v>
      </c>
      <c r="E7" s="23">
        <f>IFERROR(D7/D148, "NA")</f>
        <v>1</v>
      </c>
      <c r="F7" s="27">
        <v>26320.46</v>
      </c>
      <c r="G7" s="23">
        <f>IFERROR(F7/F148, "NA")</f>
        <v>1</v>
      </c>
      <c r="H7" s="27">
        <v>24750.340000000004</v>
      </c>
      <c r="I7" s="23">
        <f>IFERROR(H7/H148, "NA")</f>
        <v>1</v>
      </c>
      <c r="J7" s="27">
        <v>26472.72</v>
      </c>
      <c r="K7" s="23">
        <f>IFERROR(J7/J148, "NA")</f>
        <v>1</v>
      </c>
      <c r="L7" s="27">
        <v>24876.73</v>
      </c>
      <c r="M7" s="23">
        <f>IFERROR(L7/L148, "NA")</f>
        <v>1</v>
      </c>
      <c r="N7" s="27">
        <v>30546.13</v>
      </c>
      <c r="O7" s="23">
        <f>IFERROR(N7/N148, "NA")</f>
        <v>1</v>
      </c>
      <c r="P7" s="27">
        <v>33828.81999999999</v>
      </c>
      <c r="Q7" s="23">
        <f>IFERROR(P7/P148, "NA")</f>
        <v>1</v>
      </c>
      <c r="R7" s="27">
        <v>24888.17</v>
      </c>
      <c r="S7" s="23">
        <f>IFERROR(R7/R148, "NA")</f>
        <v>1</v>
      </c>
      <c r="T7" s="27">
        <v>31639.470000000012</v>
      </c>
      <c r="U7" s="23">
        <f>IFERROR(T7/T148, "NA")</f>
        <v>1</v>
      </c>
      <c r="V7" s="27">
        <v>30080.68999999999</v>
      </c>
      <c r="W7" s="23">
        <f>IFERROR(V7/V148, "NA")</f>
        <v>1</v>
      </c>
      <c r="X7" s="27">
        <v>24894.059999999994</v>
      </c>
      <c r="Y7" s="23">
        <f>IFERROR(X7/X148, "NA")</f>
        <v>1</v>
      </c>
      <c r="Z7" s="27">
        <v>111502.39</v>
      </c>
      <c r="AA7" s="23">
        <f>IFERROR(Z7/Z148, "NA")</f>
        <v>1</v>
      </c>
      <c r="AB7" s="59">
        <f t="shared" ref="AB7:AB9" si="1">IFERROR((R7+T7+V7+X7)/4, "NA")</f>
        <v>27875.5975</v>
      </c>
      <c r="AC7" s="23">
        <f>IFERROR(AB7/AB148, "NA")</f>
        <v>1</v>
      </c>
      <c r="AD7" s="61">
        <f t="shared" ref="AD7:AD9" si="2">IFERROR(X7-AB7, "NA")</f>
        <v>-2981.5375</v>
      </c>
      <c r="AE7" s="63">
        <f>IFERROR(AD7/AD148, "NA")</f>
        <v>1</v>
      </c>
      <c r="AF7" s="61">
        <f t="shared" ref="AF7:AF9" si="3">IFERROR((X7-AB7)/AB7, "NA")</f>
        <v>-0.1069586939</v>
      </c>
      <c r="AG7" s="59">
        <f t="shared" ref="AG7:AG9" si="4">IFERROR((J7+L7+N7+P7+R7+T7+V7+X7)/8, "NA")</f>
        <v>28403.34875</v>
      </c>
      <c r="AH7" s="23">
        <f>IFERROR(AG7/AG148, "NA")</f>
        <v>1</v>
      </c>
      <c r="AI7" s="61">
        <f t="shared" ref="AI7:AI9" si="5">IFERROR(X7-AG7, "NA")</f>
        <v>-3509.28875</v>
      </c>
      <c r="AJ7" s="63">
        <f>IFERROR(AI7/AI148, "NA")</f>
        <v>1</v>
      </c>
      <c r="AK7" s="61">
        <f t="shared" ref="AK7:AK9" si="6">IFERROR((X7-AG7)/AG7, "NA")</f>
        <v>-0.1235519368</v>
      </c>
      <c r="AL7" s="63">
        <f>IFERROR(AK7/AK148, "NA")</f>
        <v>1</v>
      </c>
    </row>
    <row r="8" ht="30.75" hidden="1" customHeight="1">
      <c r="A8" s="26" t="s">
        <v>57</v>
      </c>
      <c r="B8" s="27">
        <v>0.0</v>
      </c>
      <c r="C8" s="23">
        <f>IFERROR(B8/B148, "NA")</f>
        <v>0</v>
      </c>
      <c r="D8" s="27">
        <v>0.0</v>
      </c>
      <c r="E8" s="23">
        <f>IFERROR(D8/D148, "NA")</f>
        <v>0</v>
      </c>
      <c r="F8" s="27">
        <v>0.0</v>
      </c>
      <c r="G8" s="23">
        <f>IFERROR(F8/F148, "NA")</f>
        <v>0</v>
      </c>
      <c r="H8" s="27">
        <v>0.0</v>
      </c>
      <c r="I8" s="23">
        <f>IFERROR(H8/H148, "NA")</f>
        <v>0</v>
      </c>
      <c r="J8" s="27">
        <v>0.0</v>
      </c>
      <c r="K8" s="23">
        <f>IFERROR(J8/J148, "NA")</f>
        <v>0</v>
      </c>
      <c r="L8" s="27">
        <v>0.0</v>
      </c>
      <c r="M8" s="23">
        <f>IFERROR(L8/L148, "NA")</f>
        <v>0</v>
      </c>
      <c r="N8" s="27">
        <v>0.0</v>
      </c>
      <c r="O8" s="23">
        <f>IFERROR(N8/N148, "NA")</f>
        <v>0</v>
      </c>
      <c r="P8" s="27">
        <v>0.0</v>
      </c>
      <c r="Q8" s="23">
        <f>IFERROR(P8/P148, "NA")</f>
        <v>0</v>
      </c>
      <c r="R8" s="27">
        <v>0.0</v>
      </c>
      <c r="S8" s="23">
        <f>IFERROR(R8/R148, "NA")</f>
        <v>0</v>
      </c>
      <c r="T8" s="27">
        <v>0.0</v>
      </c>
      <c r="U8" s="23">
        <f>IFERROR(T8/T148, "NA")</f>
        <v>0</v>
      </c>
      <c r="V8" s="27">
        <v>0.0</v>
      </c>
      <c r="W8" s="23">
        <f>IFERROR(V8/V148, "NA")</f>
        <v>0</v>
      </c>
      <c r="X8" s="27">
        <v>0.0</v>
      </c>
      <c r="Y8" s="23">
        <f>IFERROR(X8/X148, "NA")</f>
        <v>0</v>
      </c>
      <c r="Z8" s="27">
        <v>0.0</v>
      </c>
      <c r="AA8" s="23">
        <f>IFERROR(Z8/Z148, "NA")</f>
        <v>0</v>
      </c>
      <c r="AB8" s="59">
        <f t="shared" si="1"/>
        <v>0</v>
      </c>
      <c r="AC8" s="23">
        <f>IFERROR(AB8/AB148, "NA")</f>
        <v>0</v>
      </c>
      <c r="AD8" s="61">
        <f t="shared" si="2"/>
        <v>0</v>
      </c>
      <c r="AE8" s="63">
        <f>IFERROR(AD8/AD148, "NA")</f>
        <v>0</v>
      </c>
      <c r="AF8" s="61" t="str">
        <f t="shared" si="3"/>
        <v>NA</v>
      </c>
      <c r="AG8" s="59">
        <f t="shared" si="4"/>
        <v>0</v>
      </c>
      <c r="AH8" s="23">
        <f>IFERROR(AG8/AG148, "NA")</f>
        <v>0</v>
      </c>
      <c r="AI8" s="61">
        <f t="shared" si="5"/>
        <v>0</v>
      </c>
      <c r="AJ8" s="63">
        <f>IFERROR(AI8/AI148, "NA")</f>
        <v>0</v>
      </c>
      <c r="AK8" s="61" t="str">
        <f t="shared" si="6"/>
        <v>NA</v>
      </c>
      <c r="AL8" s="63" t="str">
        <f>IFERROR(AK8/AK148, "NA")</f>
        <v>NA</v>
      </c>
    </row>
    <row r="9" ht="16.5" customHeight="1">
      <c r="A9" s="66" t="s">
        <v>51</v>
      </c>
      <c r="B9" s="67">
        <f>IFERROR(B7+B8, "NA")</f>
        <v>29103.98</v>
      </c>
      <c r="C9" s="69">
        <f>IFERROR(B9/B148, "NA")</f>
        <v>1</v>
      </c>
      <c r="D9" s="67">
        <f>IFERROR(D7+D8, "NA")</f>
        <v>32074.61</v>
      </c>
      <c r="E9" s="69">
        <f>IFERROR(D9/D148, "NA")</f>
        <v>1</v>
      </c>
      <c r="F9" s="67">
        <f>IFERROR(F7+F8, "NA")</f>
        <v>26320.46</v>
      </c>
      <c r="G9" s="69">
        <f>IFERROR(F9/F148, "NA")</f>
        <v>1</v>
      </c>
      <c r="H9" s="67">
        <f>IFERROR(H7+H8, "NA")</f>
        <v>24750.34</v>
      </c>
      <c r="I9" s="69">
        <f>IFERROR(H9/H148, "NA")</f>
        <v>1</v>
      </c>
      <c r="J9" s="67">
        <f>IFERROR(J7+J8, "NA")</f>
        <v>26472.72</v>
      </c>
      <c r="K9" s="69">
        <f>IFERROR(J9/J148, "NA")</f>
        <v>1</v>
      </c>
      <c r="L9" s="67">
        <f>IFERROR(L7+L8, "NA")</f>
        <v>24876.73</v>
      </c>
      <c r="M9" s="69">
        <f>IFERROR(L9/L148, "NA")</f>
        <v>1</v>
      </c>
      <c r="N9" s="67">
        <f>IFERROR(N7+N8, "NA")</f>
        <v>30546.13</v>
      </c>
      <c r="O9" s="69">
        <f>IFERROR(N9/N148, "NA")</f>
        <v>1</v>
      </c>
      <c r="P9" s="67">
        <f>IFERROR(P7+P8, "NA")</f>
        <v>33828.82</v>
      </c>
      <c r="Q9" s="69">
        <f>IFERROR(P9/P148, "NA")</f>
        <v>1</v>
      </c>
      <c r="R9" s="67">
        <f>IFERROR(R7+R8, "NA")</f>
        <v>24888.17</v>
      </c>
      <c r="S9" s="69">
        <f>IFERROR(R9/R148, "NA")</f>
        <v>1</v>
      </c>
      <c r="T9" s="67">
        <f>IFERROR(T7+T8, "NA")</f>
        <v>31639.47</v>
      </c>
      <c r="U9" s="69">
        <f>IFERROR(T9/T148, "NA")</f>
        <v>1</v>
      </c>
      <c r="V9" s="67">
        <f>IFERROR(V7+V8, "NA")</f>
        <v>30080.69</v>
      </c>
      <c r="W9" s="69">
        <f>IFERROR(V9/V148, "NA")</f>
        <v>1</v>
      </c>
      <c r="X9" s="67">
        <f>IFERROR(X7+X8, "NA")</f>
        <v>24894.06</v>
      </c>
      <c r="Y9" s="69">
        <f>IFERROR(X9/X148, "NA")</f>
        <v>1</v>
      </c>
      <c r="Z9" s="67">
        <f>IFERROR(Z7+Z8, "NA")</f>
        <v>111502.39</v>
      </c>
      <c r="AA9" s="69">
        <f>IFERROR(Z9/Z148, "NA")</f>
        <v>1</v>
      </c>
      <c r="AB9" s="67">
        <f t="shared" si="1"/>
        <v>27875.5975</v>
      </c>
      <c r="AC9" s="69">
        <f>IFERROR(AB9/AB148, "NA")</f>
        <v>1</v>
      </c>
      <c r="AD9" s="70">
        <f t="shared" si="2"/>
        <v>-2981.5375</v>
      </c>
      <c r="AE9" s="71">
        <f>IFERROR(AD9/AD148, "NA")</f>
        <v>1</v>
      </c>
      <c r="AF9" s="70">
        <f t="shared" si="3"/>
        <v>-0.1069586939</v>
      </c>
      <c r="AG9" s="67">
        <f t="shared" si="4"/>
        <v>28403.34875</v>
      </c>
      <c r="AH9" s="69">
        <f>IFERROR(AG9/AG148, "NA")</f>
        <v>1</v>
      </c>
      <c r="AI9" s="70">
        <f t="shared" si="5"/>
        <v>-3509.28875</v>
      </c>
      <c r="AJ9" s="71">
        <f>IFERROR(AI9/AI148, "NA")</f>
        <v>1</v>
      </c>
      <c r="AK9" s="70">
        <f t="shared" si="6"/>
        <v>-0.1235519368</v>
      </c>
      <c r="AL9" s="71">
        <f>IFERROR(AK9/AK148, "NA")</f>
        <v>1</v>
      </c>
    </row>
    <row r="10" ht="3.75" customHeight="1">
      <c r="A10" s="74" t="s">
        <v>6</v>
      </c>
      <c r="B10" s="75"/>
      <c r="C10" s="76"/>
      <c r="D10" s="75"/>
      <c r="E10" s="76"/>
      <c r="F10" s="75"/>
      <c r="G10" s="76"/>
      <c r="H10" s="75"/>
      <c r="I10" s="76"/>
      <c r="J10" s="75"/>
      <c r="K10" s="76"/>
      <c r="L10" s="75"/>
      <c r="M10" s="76"/>
      <c r="N10" s="75"/>
      <c r="O10" s="76"/>
      <c r="P10" s="75"/>
      <c r="Q10" s="76"/>
      <c r="R10" s="75"/>
      <c r="S10" s="76"/>
      <c r="T10" s="75"/>
      <c r="U10" s="76"/>
      <c r="V10" s="75"/>
      <c r="W10" s="76"/>
      <c r="X10" s="75"/>
      <c r="Y10" s="76"/>
      <c r="Z10" s="75"/>
      <c r="AA10" s="76"/>
      <c r="AB10" s="75"/>
      <c r="AC10" s="76"/>
      <c r="AD10" s="77"/>
      <c r="AE10" s="78"/>
      <c r="AF10" s="77"/>
      <c r="AG10" s="75"/>
      <c r="AH10" s="76"/>
      <c r="AI10" s="77"/>
      <c r="AJ10" s="78"/>
      <c r="AK10" s="77"/>
      <c r="AL10" s="78"/>
    </row>
    <row r="11" ht="16.5" customHeight="1">
      <c r="A11" s="17" t="s">
        <v>64</v>
      </c>
      <c r="B11" s="19"/>
      <c r="C11" s="13"/>
      <c r="D11" s="19"/>
      <c r="E11" s="13"/>
      <c r="F11" s="19"/>
      <c r="G11" s="13"/>
      <c r="H11" s="19"/>
      <c r="I11" s="13"/>
      <c r="J11" s="19"/>
      <c r="K11" s="13"/>
      <c r="L11" s="19"/>
      <c r="M11" s="13"/>
      <c r="N11" s="19"/>
      <c r="O11" s="13"/>
      <c r="P11" s="19"/>
      <c r="Q11" s="13"/>
      <c r="R11" s="19"/>
      <c r="S11" s="13"/>
      <c r="T11" s="19"/>
      <c r="U11" s="13"/>
      <c r="V11" s="19"/>
      <c r="W11" s="13"/>
      <c r="X11" s="19"/>
      <c r="Y11" s="13"/>
      <c r="Z11" s="19"/>
      <c r="AA11" s="13"/>
      <c r="AB11" s="19"/>
      <c r="AC11" s="13"/>
      <c r="AD11" s="24"/>
      <c r="AE11" s="25"/>
      <c r="AF11" s="24"/>
      <c r="AG11" s="19"/>
      <c r="AH11" s="13"/>
      <c r="AI11" s="24"/>
      <c r="AJ11" s="25"/>
      <c r="AK11" s="24"/>
      <c r="AL11" s="25"/>
    </row>
    <row r="12" ht="16.5" customHeight="1">
      <c r="A12" s="17" t="s">
        <v>65</v>
      </c>
      <c r="B12" s="19"/>
      <c r="C12" s="13"/>
      <c r="D12" s="19"/>
      <c r="E12" s="13"/>
      <c r="F12" s="19"/>
      <c r="G12" s="13"/>
      <c r="H12" s="19"/>
      <c r="I12" s="13"/>
      <c r="J12" s="19"/>
      <c r="K12" s="13"/>
      <c r="L12" s="19"/>
      <c r="M12" s="13"/>
      <c r="N12" s="19"/>
      <c r="O12" s="13"/>
      <c r="P12" s="19"/>
      <c r="Q12" s="13"/>
      <c r="R12" s="19"/>
      <c r="S12" s="13"/>
      <c r="T12" s="19"/>
      <c r="U12" s="13"/>
      <c r="V12" s="19"/>
      <c r="W12" s="13"/>
      <c r="X12" s="19"/>
      <c r="Y12" s="13"/>
      <c r="Z12" s="19"/>
      <c r="AA12" s="13"/>
      <c r="AB12" s="19"/>
      <c r="AC12" s="13"/>
      <c r="AD12" s="24"/>
      <c r="AE12" s="25"/>
      <c r="AF12" s="24"/>
      <c r="AG12" s="19"/>
      <c r="AH12" s="13"/>
      <c r="AI12" s="24"/>
      <c r="AJ12" s="25"/>
      <c r="AK12" s="24"/>
      <c r="AL12" s="25"/>
    </row>
    <row r="13" ht="16.5" hidden="1" customHeight="1">
      <c r="A13" s="26" t="s">
        <v>66</v>
      </c>
      <c r="B13" s="27">
        <v>0.0</v>
      </c>
      <c r="C13" s="23">
        <f>IFERROR(B13/B148, "NA")</f>
        <v>0</v>
      </c>
      <c r="D13" s="27">
        <v>0.0</v>
      </c>
      <c r="E13" s="23">
        <f>IFERROR(D13/D148, "NA")</f>
        <v>0</v>
      </c>
      <c r="F13" s="27">
        <v>0.0</v>
      </c>
      <c r="G13" s="23">
        <f>IFERROR(F13/F148, "NA")</f>
        <v>0</v>
      </c>
      <c r="H13" s="27">
        <v>0.0</v>
      </c>
      <c r="I13" s="23">
        <f>IFERROR(H13/H148, "NA")</f>
        <v>0</v>
      </c>
      <c r="J13" s="27">
        <v>0.0</v>
      </c>
      <c r="K13" s="23">
        <f>IFERROR(J13/J148, "NA")</f>
        <v>0</v>
      </c>
      <c r="L13" s="27">
        <v>0.0</v>
      </c>
      <c r="M13" s="23">
        <f>IFERROR(L13/L148, "NA")</f>
        <v>0</v>
      </c>
      <c r="N13" s="27">
        <v>0.0</v>
      </c>
      <c r="O13" s="23">
        <f>IFERROR(N13/N148, "NA")</f>
        <v>0</v>
      </c>
      <c r="P13" s="27">
        <v>0.0</v>
      </c>
      <c r="Q13" s="23">
        <f>IFERROR(P13/P148, "NA")</f>
        <v>0</v>
      </c>
      <c r="R13" s="27">
        <v>0.0</v>
      </c>
      <c r="S13" s="23">
        <f>IFERROR(R13/R148, "NA")</f>
        <v>0</v>
      </c>
      <c r="T13" s="27">
        <v>0.0</v>
      </c>
      <c r="U13" s="23">
        <f>IFERROR(T13/T148, "NA")</f>
        <v>0</v>
      </c>
      <c r="V13" s="27">
        <v>0.0</v>
      </c>
      <c r="W13" s="23">
        <f>IFERROR(V13/V148, "NA")</f>
        <v>0</v>
      </c>
      <c r="X13" s="27">
        <v>0.0</v>
      </c>
      <c r="Y13" s="23">
        <f>IFERROR(X13/X148, "NA")</f>
        <v>0</v>
      </c>
      <c r="Z13" s="27">
        <v>0.0</v>
      </c>
      <c r="AA13" s="23">
        <f>IFERROR(Z13/Z148, "NA")</f>
        <v>0</v>
      </c>
      <c r="AB13" s="59">
        <f>IFERROR((R13+T13+V13+X13)/4, "NA")</f>
        <v>0</v>
      </c>
      <c r="AC13" s="23">
        <f>IFERROR(AB13/AB148, "NA")</f>
        <v>0</v>
      </c>
      <c r="AD13" s="61">
        <f>IFERROR(X13-AB13, "NA")</f>
        <v>0</v>
      </c>
      <c r="AE13" s="63">
        <f>IFERROR(AD13/AD148, "NA")</f>
        <v>0</v>
      </c>
      <c r="AF13" s="61" t="str">
        <f>IFERROR((X13-AB13)/AB13, "NA")</f>
        <v>NA</v>
      </c>
      <c r="AG13" s="59">
        <f>IFERROR((J13+L13+N13+P13+R13+T13+V13+X13)/8, "NA")</f>
        <v>0</v>
      </c>
      <c r="AH13" s="23">
        <f>IFERROR(AG13/AG148, "NA")</f>
        <v>0</v>
      </c>
      <c r="AI13" s="61">
        <f>IFERROR(X13-AG13, "NA")</f>
        <v>0</v>
      </c>
      <c r="AJ13" s="63">
        <f>IFERROR(AI13/AI148, "NA")</f>
        <v>0</v>
      </c>
      <c r="AK13" s="61" t="str">
        <f>IFERROR((X13-AG13)/AG13, "NA")</f>
        <v>NA</v>
      </c>
      <c r="AL13" s="63" t="str">
        <f>IFERROR(AK13/AK148, "NA")</f>
        <v>NA</v>
      </c>
    </row>
    <row r="14" ht="16.5" customHeight="1">
      <c r="A14" s="17" t="s">
        <v>67</v>
      </c>
      <c r="B14" s="19"/>
      <c r="C14" s="13"/>
      <c r="D14" s="19"/>
      <c r="E14" s="13"/>
      <c r="F14" s="19"/>
      <c r="G14" s="13"/>
      <c r="H14" s="19"/>
      <c r="I14" s="13"/>
      <c r="J14" s="19"/>
      <c r="K14" s="13"/>
      <c r="L14" s="19"/>
      <c r="M14" s="13"/>
      <c r="N14" s="19"/>
      <c r="O14" s="13"/>
      <c r="P14" s="19"/>
      <c r="Q14" s="13"/>
      <c r="R14" s="19"/>
      <c r="S14" s="13"/>
      <c r="T14" s="19"/>
      <c r="U14" s="13"/>
      <c r="V14" s="19"/>
      <c r="W14" s="13"/>
      <c r="X14" s="19"/>
      <c r="Y14" s="13"/>
      <c r="Z14" s="19"/>
      <c r="AA14" s="13"/>
      <c r="AB14" s="19"/>
      <c r="AC14" s="13"/>
      <c r="AD14" s="24"/>
      <c r="AE14" s="25"/>
      <c r="AF14" s="24"/>
      <c r="AG14" s="19"/>
      <c r="AH14" s="13"/>
      <c r="AI14" s="24"/>
      <c r="AJ14" s="25"/>
      <c r="AK14" s="24"/>
      <c r="AL14" s="25"/>
    </row>
    <row r="15" ht="16.5" hidden="1" customHeight="1">
      <c r="A15" s="26" t="s">
        <v>68</v>
      </c>
      <c r="B15" s="27">
        <v>0.0</v>
      </c>
      <c r="C15" s="23">
        <f>IFERROR(B15/B148, "NA")</f>
        <v>0</v>
      </c>
      <c r="D15" s="27">
        <v>0.0</v>
      </c>
      <c r="E15" s="23">
        <f>IFERROR(D15/D148, "NA")</f>
        <v>0</v>
      </c>
      <c r="F15" s="27">
        <v>0.0</v>
      </c>
      <c r="G15" s="23">
        <f>IFERROR(F15/F148, "NA")</f>
        <v>0</v>
      </c>
      <c r="H15" s="27">
        <v>0.0</v>
      </c>
      <c r="I15" s="23">
        <f>IFERROR(H15/H148, "NA")</f>
        <v>0</v>
      </c>
      <c r="J15" s="27">
        <v>0.0</v>
      </c>
      <c r="K15" s="23">
        <f>IFERROR(J15/J148, "NA")</f>
        <v>0</v>
      </c>
      <c r="L15" s="27">
        <v>0.0</v>
      </c>
      <c r="M15" s="23">
        <f>IFERROR(L15/L148, "NA")</f>
        <v>0</v>
      </c>
      <c r="N15" s="27">
        <v>0.0</v>
      </c>
      <c r="O15" s="23">
        <f>IFERROR(N15/N148, "NA")</f>
        <v>0</v>
      </c>
      <c r="P15" s="27">
        <v>0.0</v>
      </c>
      <c r="Q15" s="23">
        <f>IFERROR(P15/P148, "NA")</f>
        <v>0</v>
      </c>
      <c r="R15" s="27">
        <v>0.0</v>
      </c>
      <c r="S15" s="23">
        <f>IFERROR(R15/R148, "NA")</f>
        <v>0</v>
      </c>
      <c r="T15" s="27">
        <v>0.0</v>
      </c>
      <c r="U15" s="23">
        <f>IFERROR(T15/T148, "NA")</f>
        <v>0</v>
      </c>
      <c r="V15" s="27">
        <v>0.0</v>
      </c>
      <c r="W15" s="23">
        <f>IFERROR(V15/V148, "NA")</f>
        <v>0</v>
      </c>
      <c r="X15" s="27">
        <v>0.0</v>
      </c>
      <c r="Y15" s="23">
        <f>IFERROR(X15/X148, "NA")</f>
        <v>0</v>
      </c>
      <c r="Z15" s="27">
        <v>0.0</v>
      </c>
      <c r="AA15" s="23">
        <f>IFERROR(Z15/Z148, "NA")</f>
        <v>0</v>
      </c>
      <c r="AB15" s="59">
        <f t="shared" ref="AB15:AB27" si="7">IFERROR((R15+T15+V15+X15)/4, "NA")</f>
        <v>0</v>
      </c>
      <c r="AC15" s="23">
        <f>IFERROR(AB15/AB148, "NA")</f>
        <v>0</v>
      </c>
      <c r="AD15" s="61">
        <f t="shared" ref="AD15:AD27" si="8">IFERROR(X15-AB15, "NA")</f>
        <v>0</v>
      </c>
      <c r="AE15" s="63">
        <f>IFERROR(AD15/AD148, "NA")</f>
        <v>0</v>
      </c>
      <c r="AF15" s="61" t="str">
        <f t="shared" ref="AF15:AF27" si="9">IFERROR((X15-AB15)/AB15, "NA")</f>
        <v>NA</v>
      </c>
      <c r="AG15" s="59">
        <f t="shared" ref="AG15:AG27" si="10">IFERROR((J15+L15+N15+P15+R15+T15+V15+X15)/8, "NA")</f>
        <v>0</v>
      </c>
      <c r="AH15" s="23">
        <f>IFERROR(AG15/AG148, "NA")</f>
        <v>0</v>
      </c>
      <c r="AI15" s="61">
        <f t="shared" ref="AI15:AI27" si="11">IFERROR(X15-AG15, "NA")</f>
        <v>0</v>
      </c>
      <c r="AJ15" s="63">
        <f>IFERROR(AI15/AI148, "NA")</f>
        <v>0</v>
      </c>
      <c r="AK15" s="61" t="str">
        <f t="shared" ref="AK15:AK27" si="12">IFERROR((X15-AG15)/AG15, "NA")</f>
        <v>NA</v>
      </c>
      <c r="AL15" s="63" t="str">
        <f>IFERROR(AK15/AK148, "NA")</f>
        <v>NA</v>
      </c>
    </row>
    <row r="16" ht="16.5" customHeight="1">
      <c r="A16" s="26" t="s">
        <v>69</v>
      </c>
      <c r="B16" s="27">
        <v>1517.76</v>
      </c>
      <c r="C16" s="23">
        <f>IFERROR(B16/B148, "NA")</f>
        <v>0.05214956855</v>
      </c>
      <c r="D16" s="27">
        <v>1624.9</v>
      </c>
      <c r="E16" s="23">
        <f>IFERROR(D16/D148, "NA")</f>
        <v>0.05066000803</v>
      </c>
      <c r="F16" s="27">
        <v>1351.1</v>
      </c>
      <c r="G16" s="23">
        <f>IFERROR(F16/F148, "NA")</f>
        <v>0.05133268947</v>
      </c>
      <c r="H16" s="27">
        <v>1548.56</v>
      </c>
      <c r="I16" s="23">
        <f>IFERROR(H16/H148, "NA")</f>
        <v>0.0625672213</v>
      </c>
      <c r="J16" s="27">
        <v>1343.64</v>
      </c>
      <c r="K16" s="23">
        <f>IFERROR(J16/J148, "NA")</f>
        <v>0.05075564581</v>
      </c>
      <c r="L16" s="27">
        <v>1340.64</v>
      </c>
      <c r="M16" s="23">
        <f>IFERROR(L16/L148, "NA")</f>
        <v>0.05389132736</v>
      </c>
      <c r="N16" s="27">
        <v>1291.16</v>
      </c>
      <c r="O16" s="23">
        <f>IFERROR(N16/N148, "NA")</f>
        <v>0.04226918435</v>
      </c>
      <c r="P16" s="27">
        <v>1648.44</v>
      </c>
      <c r="Q16" s="23">
        <f>IFERROR(P16/P148, "NA")</f>
        <v>0.04872886491</v>
      </c>
      <c r="R16" s="27">
        <v>1064.31</v>
      </c>
      <c r="S16" s="23">
        <f>IFERROR(R16/R148, "NA")</f>
        <v>0.04276369054</v>
      </c>
      <c r="T16" s="27">
        <v>1557.6</v>
      </c>
      <c r="U16" s="23">
        <f>IFERROR(T16/T148, "NA")</f>
        <v>0.04922964892</v>
      </c>
      <c r="V16" s="27">
        <v>1210.77</v>
      </c>
      <c r="W16" s="23">
        <f>IFERROR(V16/V148, "NA")</f>
        <v>0.04025073893</v>
      </c>
      <c r="X16" s="27">
        <v>1128.83</v>
      </c>
      <c r="Y16" s="23">
        <f>IFERROR(X16/X148, "NA")</f>
        <v>0.04534535548</v>
      </c>
      <c r="Z16" s="27">
        <v>4961.51</v>
      </c>
      <c r="AA16" s="23">
        <f>IFERROR(Z16/Z148, "NA")</f>
        <v>0.04449689374</v>
      </c>
      <c r="AB16" s="59">
        <f t="shared" si="7"/>
        <v>1240.3775</v>
      </c>
      <c r="AC16" s="23">
        <f>IFERROR(AB16/AB148, "NA")</f>
        <v>0.04449689374</v>
      </c>
      <c r="AD16" s="61">
        <f t="shared" si="8"/>
        <v>-111.5475</v>
      </c>
      <c r="AE16" s="63">
        <f>IFERROR(AD16/AD148, "NA")</f>
        <v>0.03741274426</v>
      </c>
      <c r="AF16" s="61">
        <f t="shared" si="9"/>
        <v>-0.08993028332</v>
      </c>
      <c r="AG16" s="59">
        <f t="shared" si="10"/>
        <v>1323.17375</v>
      </c>
      <c r="AH16" s="23">
        <f>IFERROR(AG16/AG148, "NA")</f>
        <v>0.04658513197</v>
      </c>
      <c r="AI16" s="61">
        <f t="shared" si="11"/>
        <v>-194.34375</v>
      </c>
      <c r="AJ16" s="63">
        <f>IFERROR(AI16/AI148, "NA")</f>
        <v>0.05537981165</v>
      </c>
      <c r="AK16" s="61">
        <f t="shared" si="12"/>
        <v>-0.1468769691</v>
      </c>
      <c r="AL16" s="63">
        <f>IFERROR(AK16/AK148, "NA")</f>
        <v>1.188787265</v>
      </c>
    </row>
    <row r="17" ht="16.5" customHeight="1">
      <c r="A17" s="26" t="s">
        <v>70</v>
      </c>
      <c r="B17" s="27">
        <v>756.71</v>
      </c>
      <c r="C17" s="23">
        <f>IFERROR(B17/B148, "NA")</f>
        <v>0.02600022402</v>
      </c>
      <c r="D17" s="27">
        <v>728.94</v>
      </c>
      <c r="E17" s="23">
        <f>IFERROR(D17/D148, "NA")</f>
        <v>0.02272638701</v>
      </c>
      <c r="F17" s="27">
        <v>680.32</v>
      </c>
      <c r="G17" s="23">
        <f>IFERROR(F17/F148, "NA")</f>
        <v>0.02584757257</v>
      </c>
      <c r="H17" s="27">
        <v>699.69</v>
      </c>
      <c r="I17" s="23">
        <f>IFERROR(H17/H148, "NA")</f>
        <v>0.02826991468</v>
      </c>
      <c r="J17" s="27">
        <v>812.87</v>
      </c>
      <c r="K17" s="23">
        <f>IFERROR(J17/J148, "NA")</f>
        <v>0.03070594937</v>
      </c>
      <c r="L17" s="27">
        <v>735.9</v>
      </c>
      <c r="M17" s="23">
        <f>IFERROR(L17/L148, "NA")</f>
        <v>0.02958186225</v>
      </c>
      <c r="N17" s="27">
        <v>790.03</v>
      </c>
      <c r="O17" s="23">
        <f>IFERROR(N17/N148, "NA")</f>
        <v>0.02586350546</v>
      </c>
      <c r="P17" s="27">
        <v>808.58</v>
      </c>
      <c r="Q17" s="23">
        <f>IFERROR(P17/P148, "NA")</f>
        <v>0.02390210477</v>
      </c>
      <c r="R17" s="27">
        <v>591.7</v>
      </c>
      <c r="S17" s="23">
        <f>IFERROR(R17/R148, "NA")</f>
        <v>0.02377434741</v>
      </c>
      <c r="T17" s="27">
        <v>1035.24</v>
      </c>
      <c r="U17" s="23">
        <f>IFERROR(T17/T148, "NA")</f>
        <v>0.03271989069</v>
      </c>
      <c r="V17" s="27">
        <v>689.43</v>
      </c>
      <c r="W17" s="23">
        <f>IFERROR(V17/V148, "NA")</f>
        <v>0.02291935458</v>
      </c>
      <c r="X17" s="27">
        <v>574.75</v>
      </c>
      <c r="Y17" s="23">
        <f>IFERROR(X17/X148, "NA")</f>
        <v>0.02308783702</v>
      </c>
      <c r="Z17" s="27">
        <v>2891.12</v>
      </c>
      <c r="AA17" s="23">
        <f>IFERROR(Z17/Z148, "NA")</f>
        <v>0.02592877157</v>
      </c>
      <c r="AB17" s="59">
        <f t="shared" si="7"/>
        <v>722.78</v>
      </c>
      <c r="AC17" s="23">
        <f>IFERROR(AB17/AB148, "NA")</f>
        <v>0.02592877157</v>
      </c>
      <c r="AD17" s="61">
        <f t="shared" si="8"/>
        <v>-148.03</v>
      </c>
      <c r="AE17" s="63">
        <f>IFERROR(AD17/AD148, "NA")</f>
        <v>0.04964888082</v>
      </c>
      <c r="AF17" s="61">
        <f t="shared" si="9"/>
        <v>-0.2048064418</v>
      </c>
      <c r="AG17" s="59">
        <f t="shared" si="10"/>
        <v>754.8125</v>
      </c>
      <c r="AH17" s="23">
        <f>IFERROR(AG17/AG148, "NA")</f>
        <v>0.0265747714</v>
      </c>
      <c r="AI17" s="61">
        <f t="shared" si="11"/>
        <v>-180.0625</v>
      </c>
      <c r="AJ17" s="63">
        <f>IFERROR(AI17/AI148, "NA")</f>
        <v>0.05131025482</v>
      </c>
      <c r="AK17" s="61">
        <f t="shared" si="12"/>
        <v>-0.2385526207</v>
      </c>
      <c r="AL17" s="63">
        <f>IFERROR(AK17/AK148, "NA")</f>
        <v>1.930788192</v>
      </c>
    </row>
    <row r="18" ht="16.5" customHeight="1">
      <c r="A18" s="26" t="s">
        <v>73</v>
      </c>
      <c r="B18" s="27">
        <v>1189.26</v>
      </c>
      <c r="C18" s="23">
        <f>IFERROR(B18/B148, "NA")</f>
        <v>0.04086245249</v>
      </c>
      <c r="D18" s="27">
        <v>1477.68</v>
      </c>
      <c r="E18" s="23">
        <f>IFERROR(D18/D148, "NA")</f>
        <v>0.04607008472</v>
      </c>
      <c r="F18" s="27">
        <v>1025.48</v>
      </c>
      <c r="G18" s="23">
        <f>IFERROR(F18/F148, "NA")</f>
        <v>0.03896132514</v>
      </c>
      <c r="H18" s="27">
        <v>1100.58</v>
      </c>
      <c r="I18" s="23">
        <f>IFERROR(H18/H148, "NA")</f>
        <v>0.04446726792</v>
      </c>
      <c r="J18" s="27">
        <v>1361.16</v>
      </c>
      <c r="K18" s="23">
        <f>IFERROR(J18/J148, "NA")</f>
        <v>0.05141745918</v>
      </c>
      <c r="L18" s="27">
        <v>1063.78</v>
      </c>
      <c r="M18" s="23">
        <f>IFERROR(L18/L148, "NA")</f>
        <v>0.04276205112</v>
      </c>
      <c r="N18" s="27">
        <v>1288.91</v>
      </c>
      <c r="O18" s="23">
        <f>IFERROR(N18/N148, "NA")</f>
        <v>0.04219552526</v>
      </c>
      <c r="P18" s="27">
        <v>1385.16</v>
      </c>
      <c r="Q18" s="23">
        <f>IFERROR(P18/P148, "NA")</f>
        <v>0.04094615183</v>
      </c>
      <c r="R18" s="27">
        <v>1064.04</v>
      </c>
      <c r="S18" s="23">
        <f>IFERROR(R18/R148, "NA")</f>
        <v>0.04275284201</v>
      </c>
      <c r="T18" s="27">
        <v>1439.44</v>
      </c>
      <c r="U18" s="23">
        <f>IFERROR(T18/T148, "NA")</f>
        <v>0.04549507308</v>
      </c>
      <c r="V18" s="27">
        <v>741.82</v>
      </c>
      <c r="W18" s="23">
        <f>IFERROR(V18/V148, "NA")</f>
        <v>0.02466100345</v>
      </c>
      <c r="X18" s="27">
        <v>864.7</v>
      </c>
      <c r="Y18" s="23">
        <f>IFERROR(X18/X148, "NA")</f>
        <v>0.03473519386</v>
      </c>
      <c r="Z18" s="27">
        <v>4110.0</v>
      </c>
      <c r="AA18" s="23">
        <f>IFERROR(Z18/Z148, "NA")</f>
        <v>0.03686019645</v>
      </c>
      <c r="AB18" s="59">
        <f t="shared" si="7"/>
        <v>1027.5</v>
      </c>
      <c r="AC18" s="23">
        <f>IFERROR(AB18/AB148, "NA")</f>
        <v>0.03686019645</v>
      </c>
      <c r="AD18" s="61">
        <f t="shared" si="8"/>
        <v>-162.8</v>
      </c>
      <c r="AE18" s="63">
        <f>IFERROR(AD18/AD148, "NA")</f>
        <v>0.05460270079</v>
      </c>
      <c r="AF18" s="61">
        <f t="shared" si="9"/>
        <v>-0.1584428224</v>
      </c>
      <c r="AG18" s="59">
        <f t="shared" si="10"/>
        <v>1151.12625</v>
      </c>
      <c r="AH18" s="23">
        <f>IFERROR(AG18/AG148, "NA")</f>
        <v>0.04052783565</v>
      </c>
      <c r="AI18" s="61">
        <f t="shared" si="11"/>
        <v>-286.42625</v>
      </c>
      <c r="AJ18" s="63">
        <f>IFERROR(AI18/AI148, "NA")</f>
        <v>0.08161945921</v>
      </c>
      <c r="AK18" s="61">
        <f t="shared" si="12"/>
        <v>-0.2488226205</v>
      </c>
      <c r="AL18" s="63">
        <f>IFERROR(AK18/AK148, "NA")</f>
        <v>2.013911128</v>
      </c>
    </row>
    <row r="19" ht="16.5" customHeight="1">
      <c r="A19" s="26" t="s">
        <v>74</v>
      </c>
      <c r="B19" s="27">
        <v>702.46</v>
      </c>
      <c r="C19" s="23">
        <f>IFERROR(B19/B148, "NA")</f>
        <v>0.0241362178</v>
      </c>
      <c r="D19" s="27">
        <v>584.05</v>
      </c>
      <c r="E19" s="23">
        <f>IFERROR(D19/D148, "NA")</f>
        <v>0.01820910683</v>
      </c>
      <c r="F19" s="27">
        <v>658.7</v>
      </c>
      <c r="G19" s="23">
        <f>IFERROR(F19/F148, "NA")</f>
        <v>0.02502615836</v>
      </c>
      <c r="H19" s="27">
        <v>601.57</v>
      </c>
      <c r="I19" s="23">
        <f>IFERROR(H19/H148, "NA")</f>
        <v>0.02430552469</v>
      </c>
      <c r="J19" s="27">
        <v>626.01</v>
      </c>
      <c r="K19" s="23">
        <f>IFERROR(J19/J148, "NA")</f>
        <v>0.02364736227</v>
      </c>
      <c r="L19" s="27">
        <v>515.22</v>
      </c>
      <c r="M19" s="23">
        <f>IFERROR(L19/L148, "NA")</f>
        <v>0.02071092141</v>
      </c>
      <c r="N19" s="27">
        <v>709.53</v>
      </c>
      <c r="O19" s="23">
        <f>IFERROR(N19/N148, "NA")</f>
        <v>0.02322814707</v>
      </c>
      <c r="P19" s="27">
        <v>517.1</v>
      </c>
      <c r="Q19" s="23">
        <f>IFERROR(P19/P148, "NA")</f>
        <v>0.01528578295</v>
      </c>
      <c r="R19" s="27">
        <v>448.49</v>
      </c>
      <c r="S19" s="23">
        <f>IFERROR(R19/R148, "NA")</f>
        <v>0.01802020799</v>
      </c>
      <c r="T19" s="27">
        <v>675.3</v>
      </c>
      <c r="U19" s="23">
        <f>IFERROR(T19/T148, "NA")</f>
        <v>0.02134359394</v>
      </c>
      <c r="V19" s="27">
        <v>756.02</v>
      </c>
      <c r="W19" s="23">
        <f>IFERROR(V19/V148, "NA")</f>
        <v>0.02513306709</v>
      </c>
      <c r="X19" s="27">
        <v>477.57</v>
      </c>
      <c r="Y19" s="23">
        <f>IFERROR(X19/X148, "NA")</f>
        <v>0.01918409452</v>
      </c>
      <c r="Z19" s="27">
        <v>2357.38</v>
      </c>
      <c r="AA19" s="23">
        <f>IFERROR(Z19/Z148, "NA")</f>
        <v>0.02114196835</v>
      </c>
      <c r="AB19" s="59">
        <f t="shared" si="7"/>
        <v>589.345</v>
      </c>
      <c r="AC19" s="23">
        <f>IFERROR(AB19/AB148, "NA")</f>
        <v>0.02114196835</v>
      </c>
      <c r="AD19" s="61">
        <f t="shared" si="8"/>
        <v>-111.775</v>
      </c>
      <c r="AE19" s="63">
        <f>IFERROR(AD19/AD148, "NA")</f>
        <v>0.03748904718</v>
      </c>
      <c r="AF19" s="61">
        <f t="shared" si="9"/>
        <v>-0.189659707</v>
      </c>
      <c r="AG19" s="59">
        <f t="shared" si="10"/>
        <v>590.655</v>
      </c>
      <c r="AH19" s="23">
        <f>IFERROR(AG19/AG148, "NA")</f>
        <v>0.02079525922</v>
      </c>
      <c r="AI19" s="61">
        <f t="shared" si="11"/>
        <v>-113.085</v>
      </c>
      <c r="AJ19" s="63">
        <f>IFERROR(AI19/AI148, "NA")</f>
        <v>0.03222447854</v>
      </c>
      <c r="AK19" s="61">
        <f t="shared" si="12"/>
        <v>-0.1914569419</v>
      </c>
      <c r="AL19" s="63">
        <f>IFERROR(AK19/AK148, "NA")</f>
        <v>1.549606965</v>
      </c>
    </row>
    <row r="20" ht="16.5" customHeight="1">
      <c r="A20" s="26" t="s">
        <v>75</v>
      </c>
      <c r="B20" s="27">
        <v>240.58</v>
      </c>
      <c r="C20" s="23">
        <f>IFERROR(B20/B148, "NA")</f>
        <v>0.008266223383</v>
      </c>
      <c r="D20" s="27">
        <v>470.65</v>
      </c>
      <c r="E20" s="23">
        <f>IFERROR(D20/D148, "NA")</f>
        <v>0.01467360008</v>
      </c>
      <c r="F20" s="27">
        <v>416.66</v>
      </c>
      <c r="G20" s="23">
        <f>IFERROR(F20/F148, "NA")</f>
        <v>0.01583027044</v>
      </c>
      <c r="H20" s="27">
        <v>344.72</v>
      </c>
      <c r="I20" s="23">
        <f>IFERROR(H20/H148, "NA")</f>
        <v>0.01392788948</v>
      </c>
      <c r="J20" s="27">
        <v>354.94</v>
      </c>
      <c r="K20" s="23">
        <f>IFERROR(J20/J148, "NA")</f>
        <v>0.01340776467</v>
      </c>
      <c r="L20" s="27">
        <v>284.65</v>
      </c>
      <c r="M20" s="23">
        <f>IFERROR(L20/L148, "NA")</f>
        <v>0.01144242029</v>
      </c>
      <c r="N20" s="27">
        <v>445.93</v>
      </c>
      <c r="O20" s="23">
        <f>IFERROR(N20/N148, "NA")</f>
        <v>0.01459857599</v>
      </c>
      <c r="P20" s="27">
        <v>523.4</v>
      </c>
      <c r="Q20" s="23">
        <f>IFERROR(P20/P148, "NA")</f>
        <v>0.01547201469</v>
      </c>
      <c r="R20" s="27">
        <v>323.9</v>
      </c>
      <c r="S20" s="23">
        <f>IFERROR(R20/R148, "NA")</f>
        <v>0.01301421519</v>
      </c>
      <c r="T20" s="27">
        <v>678.43</v>
      </c>
      <c r="U20" s="23">
        <f>IFERROR(T20/T148, "NA")</f>
        <v>0.021442521</v>
      </c>
      <c r="V20" s="27">
        <v>219.33</v>
      </c>
      <c r="W20" s="23">
        <f>IFERROR(V20/V148, "NA")</f>
        <v>0.007291388595</v>
      </c>
      <c r="X20" s="27">
        <v>374.18</v>
      </c>
      <c r="Y20" s="23">
        <f>IFERROR(X20/X148, "NA")</f>
        <v>0.01503089492</v>
      </c>
      <c r="Z20" s="27">
        <v>1595.84</v>
      </c>
      <c r="AA20" s="23">
        <f>IFERROR(Z20/Z148, "NA")</f>
        <v>0.01431215959</v>
      </c>
      <c r="AB20" s="59">
        <f t="shared" si="7"/>
        <v>398.96</v>
      </c>
      <c r="AC20" s="23">
        <f>IFERROR(AB20/AB148, "NA")</f>
        <v>0.01431215959</v>
      </c>
      <c r="AD20" s="61">
        <f t="shared" si="8"/>
        <v>-24.78</v>
      </c>
      <c r="AE20" s="63">
        <f>IFERROR(AD20/AD148, "NA")</f>
        <v>0.008311148191</v>
      </c>
      <c r="AF20" s="61">
        <f t="shared" si="9"/>
        <v>-0.06211148987</v>
      </c>
      <c r="AG20" s="59">
        <f t="shared" si="10"/>
        <v>400.595</v>
      </c>
      <c r="AH20" s="23">
        <f>IFERROR(AG20/AG148, "NA")</f>
        <v>0.01410379472</v>
      </c>
      <c r="AI20" s="61">
        <f t="shared" si="11"/>
        <v>-26.415</v>
      </c>
      <c r="AJ20" s="63">
        <f>IFERROR(AI20/AI148, "NA")</f>
        <v>0.007527166295</v>
      </c>
      <c r="AK20" s="61">
        <f t="shared" si="12"/>
        <v>-0.06593941512</v>
      </c>
      <c r="AL20" s="63">
        <f>IFERROR(AK20/AK148, "NA")</f>
        <v>0.5336979478</v>
      </c>
    </row>
    <row r="21" ht="16.5" customHeight="1">
      <c r="A21" s="26" t="s">
        <v>76</v>
      </c>
      <c r="B21" s="27">
        <v>306.03</v>
      </c>
      <c r="C21" s="23">
        <f>IFERROR(B21/B148, "NA")</f>
        <v>0.0105150567</v>
      </c>
      <c r="D21" s="27">
        <v>201.86</v>
      </c>
      <c r="E21" s="23">
        <f>IFERROR(D21/D148, "NA")</f>
        <v>0.006293451425</v>
      </c>
      <c r="F21" s="27">
        <v>176.3</v>
      </c>
      <c r="G21" s="23">
        <f>IFERROR(F21/F148, "NA")</f>
        <v>0.006698211201</v>
      </c>
      <c r="H21" s="27">
        <v>173.51</v>
      </c>
      <c r="I21" s="23">
        <f>IFERROR(H21/H148, "NA")</f>
        <v>0.007010408746</v>
      </c>
      <c r="J21" s="27">
        <v>131.99</v>
      </c>
      <c r="K21" s="23">
        <f>IFERROR(J21/J148, "NA")</f>
        <v>0.004985887359</v>
      </c>
      <c r="L21" s="27">
        <v>138.72</v>
      </c>
      <c r="M21" s="23">
        <f>IFERROR(L21/L148, "NA")</f>
        <v>0.005576295598</v>
      </c>
      <c r="N21" s="27">
        <v>244.05</v>
      </c>
      <c r="O21" s="23">
        <f>IFERROR(N21/N148, "NA")</f>
        <v>0.007989555469</v>
      </c>
      <c r="P21" s="27">
        <v>228.17</v>
      </c>
      <c r="Q21" s="23">
        <f>IFERROR(P21/P148, "NA")</f>
        <v>0.006744840642</v>
      </c>
      <c r="R21" s="27">
        <v>191.21</v>
      </c>
      <c r="S21" s="23">
        <f>IFERROR(R21/R148, "NA")</f>
        <v>0.007682766551</v>
      </c>
      <c r="T21" s="27">
        <v>172.15</v>
      </c>
      <c r="U21" s="23">
        <f>IFERROR(T21/T148, "NA")</f>
        <v>0.00544098874</v>
      </c>
      <c r="V21" s="27">
        <v>227.91</v>
      </c>
      <c r="W21" s="23">
        <f>IFERROR(V21/V148, "NA")</f>
        <v>0.007576621414</v>
      </c>
      <c r="X21" s="27">
        <v>82.32</v>
      </c>
      <c r="Y21" s="23">
        <f>IFERROR(X21/X148, "NA")</f>
        <v>0.003306812951</v>
      </c>
      <c r="Z21" s="27">
        <v>673.59</v>
      </c>
      <c r="AA21" s="23">
        <f>IFERROR(Z21/Z148, "NA")</f>
        <v>0.00604103643</v>
      </c>
      <c r="AB21" s="59">
        <f t="shared" si="7"/>
        <v>168.3975</v>
      </c>
      <c r="AC21" s="23">
        <f>IFERROR(AB21/AB148, "NA")</f>
        <v>0.00604103643</v>
      </c>
      <c r="AD21" s="61">
        <f t="shared" si="8"/>
        <v>-86.0775</v>
      </c>
      <c r="AE21" s="63">
        <f>IFERROR(AD21/AD148, "NA")</f>
        <v>0.02887017185</v>
      </c>
      <c r="AF21" s="61">
        <f t="shared" si="9"/>
        <v>-0.5111566383</v>
      </c>
      <c r="AG21" s="59">
        <f t="shared" si="10"/>
        <v>177.065</v>
      </c>
      <c r="AH21" s="23">
        <f>IFERROR(AG21/AG148, "NA")</f>
        <v>0.006233948031</v>
      </c>
      <c r="AI21" s="61">
        <f t="shared" si="11"/>
        <v>-94.745</v>
      </c>
      <c r="AJ21" s="63">
        <f>IFERROR(AI21/AI148, "NA")</f>
        <v>0.02699834831</v>
      </c>
      <c r="AK21" s="61">
        <f t="shared" si="12"/>
        <v>-0.5350859854</v>
      </c>
      <c r="AL21" s="63">
        <f>IFERROR(AK21/AK148, "NA")</f>
        <v>4.33085874</v>
      </c>
    </row>
    <row r="22" ht="16.5" hidden="1" customHeight="1">
      <c r="A22" s="26" t="s">
        <v>77</v>
      </c>
      <c r="B22" s="27">
        <v>0.0</v>
      </c>
      <c r="C22" s="23">
        <f>IFERROR(B22/B148, "NA")</f>
        <v>0</v>
      </c>
      <c r="D22" s="27">
        <v>0.0</v>
      </c>
      <c r="E22" s="23">
        <f>IFERROR(D22/D148, "NA")</f>
        <v>0</v>
      </c>
      <c r="F22" s="27">
        <v>0.0</v>
      </c>
      <c r="G22" s="23">
        <f>IFERROR(F22/F148, "NA")</f>
        <v>0</v>
      </c>
      <c r="H22" s="27">
        <v>0.0</v>
      </c>
      <c r="I22" s="23">
        <f>IFERROR(H22/H148, "NA")</f>
        <v>0</v>
      </c>
      <c r="J22" s="27">
        <v>0.0</v>
      </c>
      <c r="K22" s="23">
        <f>IFERROR(J22/J148, "NA")</f>
        <v>0</v>
      </c>
      <c r="L22" s="27">
        <v>0.0</v>
      </c>
      <c r="M22" s="23">
        <f>IFERROR(L22/L148, "NA")</f>
        <v>0</v>
      </c>
      <c r="N22" s="27">
        <v>0.0</v>
      </c>
      <c r="O22" s="23">
        <f>IFERROR(N22/N148, "NA")</f>
        <v>0</v>
      </c>
      <c r="P22" s="27">
        <v>0.0</v>
      </c>
      <c r="Q22" s="23">
        <f>IFERROR(P22/P148, "NA")</f>
        <v>0</v>
      </c>
      <c r="R22" s="27">
        <v>0.0</v>
      </c>
      <c r="S22" s="23">
        <f>IFERROR(R22/R148, "NA")</f>
        <v>0</v>
      </c>
      <c r="T22" s="27">
        <v>0.0</v>
      </c>
      <c r="U22" s="23">
        <f>IFERROR(T22/T148, "NA")</f>
        <v>0</v>
      </c>
      <c r="V22" s="27">
        <v>0.0</v>
      </c>
      <c r="W22" s="23">
        <f>IFERROR(V22/V148, "NA")</f>
        <v>0</v>
      </c>
      <c r="X22" s="27">
        <v>0.0</v>
      </c>
      <c r="Y22" s="23">
        <f>IFERROR(X22/X148, "NA")</f>
        <v>0</v>
      </c>
      <c r="Z22" s="27">
        <v>0.0</v>
      </c>
      <c r="AA22" s="23">
        <f>IFERROR(Z22/Z148, "NA")</f>
        <v>0</v>
      </c>
      <c r="AB22" s="59">
        <f t="shared" si="7"/>
        <v>0</v>
      </c>
      <c r="AC22" s="23">
        <f>IFERROR(AB22/AB148, "NA")</f>
        <v>0</v>
      </c>
      <c r="AD22" s="61">
        <f t="shared" si="8"/>
        <v>0</v>
      </c>
      <c r="AE22" s="63">
        <f>IFERROR(AD22/AD148, "NA")</f>
        <v>0</v>
      </c>
      <c r="AF22" s="61" t="str">
        <f t="shared" si="9"/>
        <v>NA</v>
      </c>
      <c r="AG22" s="59">
        <f t="shared" si="10"/>
        <v>0</v>
      </c>
      <c r="AH22" s="23">
        <f>IFERROR(AG22/AG148, "NA")</f>
        <v>0</v>
      </c>
      <c r="AI22" s="61">
        <f t="shared" si="11"/>
        <v>0</v>
      </c>
      <c r="AJ22" s="63">
        <f>IFERROR(AI22/AI148, "NA")</f>
        <v>0</v>
      </c>
      <c r="AK22" s="61" t="str">
        <f t="shared" si="12"/>
        <v>NA</v>
      </c>
      <c r="AL22" s="63" t="str">
        <f>IFERROR(AK22/AK148, "NA")</f>
        <v>NA</v>
      </c>
    </row>
    <row r="23" ht="16.5" customHeight="1">
      <c r="A23" s="26" t="s">
        <v>78</v>
      </c>
      <c r="B23" s="27">
        <v>94.48</v>
      </c>
      <c r="C23" s="23">
        <f>IFERROR(B23/B148, "NA")</f>
        <v>0.003246291401</v>
      </c>
      <c r="D23" s="27">
        <v>181.11</v>
      </c>
      <c r="E23" s="23">
        <f>IFERROR(D23/D148, "NA")</f>
        <v>0.00564652228</v>
      </c>
      <c r="F23" s="27">
        <v>158.31</v>
      </c>
      <c r="G23" s="23">
        <f>IFERROR(F23/F148, "NA")</f>
        <v>0.006014712509</v>
      </c>
      <c r="H23" s="27">
        <v>150.68</v>
      </c>
      <c r="I23" s="23">
        <f>IFERROR(H23/H148, "NA")</f>
        <v>0.006087997175</v>
      </c>
      <c r="J23" s="27">
        <v>57.17</v>
      </c>
      <c r="K23" s="23">
        <f>IFERROR(J23/J148, "NA")</f>
        <v>0.002159581637</v>
      </c>
      <c r="L23" s="27">
        <v>178.14</v>
      </c>
      <c r="M23" s="23">
        <f>IFERROR(L23/L148, "NA")</f>
        <v>0.00716090901</v>
      </c>
      <c r="N23" s="27">
        <v>131.59</v>
      </c>
      <c r="O23" s="23">
        <f>IFERROR(N23/N148, "NA")</f>
        <v>0.004307910691</v>
      </c>
      <c r="P23" s="27">
        <v>183.04</v>
      </c>
      <c r="Q23" s="23">
        <f>IFERROR(P23/P148, "NA")</f>
        <v>0.005410771053</v>
      </c>
      <c r="R23" s="27">
        <v>233.65</v>
      </c>
      <c r="S23" s="23">
        <f>IFERROR(R23/R148, "NA")</f>
        <v>0.009387994376</v>
      </c>
      <c r="T23" s="27">
        <v>183.79</v>
      </c>
      <c r="U23" s="23">
        <f>IFERROR(T23/T148, "NA")</f>
        <v>0.005808883651</v>
      </c>
      <c r="V23" s="27">
        <v>88.56</v>
      </c>
      <c r="W23" s="23">
        <f>IFERROR(V23/V148, "NA")</f>
        <v>0.002944081402</v>
      </c>
      <c r="X23" s="27">
        <v>76.66</v>
      </c>
      <c r="Y23" s="23">
        <f>IFERROR(X23/X148, "NA")</f>
        <v>0.003079449475</v>
      </c>
      <c r="Z23" s="27">
        <v>582.66</v>
      </c>
      <c r="AA23" s="23">
        <f>IFERROR(Z23/Z148, "NA")</f>
        <v>0.005225538215</v>
      </c>
      <c r="AB23" s="59">
        <f t="shared" si="7"/>
        <v>145.665</v>
      </c>
      <c r="AC23" s="23">
        <f>IFERROR(AB23/AB148, "NA")</f>
        <v>0.005225538215</v>
      </c>
      <c r="AD23" s="61">
        <f t="shared" si="8"/>
        <v>-69.005</v>
      </c>
      <c r="AE23" s="63">
        <f>IFERROR(AD23/AD148, "NA")</f>
        <v>0.02314409931</v>
      </c>
      <c r="AF23" s="61">
        <f t="shared" si="9"/>
        <v>-0.4737239557</v>
      </c>
      <c r="AG23" s="59">
        <f t="shared" si="10"/>
        <v>141.575</v>
      </c>
      <c r="AH23" s="23">
        <f>IFERROR(AG23/AG148, "NA")</f>
        <v>0.004984447476</v>
      </c>
      <c r="AI23" s="61">
        <f t="shared" si="11"/>
        <v>-64.915</v>
      </c>
      <c r="AJ23" s="63">
        <f>IFERROR(AI23/AI148, "NA")</f>
        <v>0.01849805035</v>
      </c>
      <c r="AK23" s="61">
        <f t="shared" si="12"/>
        <v>-0.458520219</v>
      </c>
      <c r="AL23" s="63">
        <f>IFERROR(AK23/AK148, "NA")</f>
        <v>3.711153631</v>
      </c>
    </row>
    <row r="24" ht="16.5" customHeight="1">
      <c r="A24" s="26" t="s">
        <v>79</v>
      </c>
      <c r="B24" s="27">
        <v>1726.67</v>
      </c>
      <c r="C24" s="23">
        <f>IFERROR(B24/B148, "NA")</f>
        <v>0.05932762461</v>
      </c>
      <c r="D24" s="27">
        <v>2331.97</v>
      </c>
      <c r="E24" s="23">
        <f>IFERROR(D24/D148, "NA")</f>
        <v>0.0727045473</v>
      </c>
      <c r="F24" s="27">
        <v>1901.52</v>
      </c>
      <c r="G24" s="23">
        <f>IFERROR(F24/F148, "NA")</f>
        <v>0.07224493797</v>
      </c>
      <c r="H24" s="27">
        <v>1288.21</v>
      </c>
      <c r="I24" s="23">
        <f>IFERROR(H24/H148, "NA")</f>
        <v>0.05204817388</v>
      </c>
      <c r="J24" s="27">
        <v>1697.53</v>
      </c>
      <c r="K24" s="23">
        <f>IFERROR(J24/J148, "NA")</f>
        <v>0.06412374701</v>
      </c>
      <c r="L24" s="27">
        <v>1511.09</v>
      </c>
      <c r="M24" s="23">
        <f>IFERROR(L24/L148, "NA")</f>
        <v>0.06074311214</v>
      </c>
      <c r="N24" s="27">
        <v>2023.88</v>
      </c>
      <c r="O24" s="23">
        <f>IFERROR(N24/N148, "NA")</f>
        <v>0.06625651105</v>
      </c>
      <c r="P24" s="27">
        <v>1939.95</v>
      </c>
      <c r="Q24" s="23">
        <f>IFERROR(P24/P148, "NA")</f>
        <v>0.05734607356</v>
      </c>
      <c r="R24" s="27">
        <v>2170.73</v>
      </c>
      <c r="S24" s="23">
        <f>IFERROR(R24/R148, "NA")</f>
        <v>0.08721934959</v>
      </c>
      <c r="T24" s="27">
        <v>1835.14</v>
      </c>
      <c r="U24" s="23">
        <f>IFERROR(T24/T148, "NA")</f>
        <v>0.05800160369</v>
      </c>
      <c r="V24" s="27">
        <v>1723.82</v>
      </c>
      <c r="W24" s="23">
        <f>IFERROR(V24/V148, "NA")</f>
        <v>0.0573065312</v>
      </c>
      <c r="X24" s="27">
        <v>1584.58</v>
      </c>
      <c r="Y24" s="23">
        <f>IFERROR(X24/X148, "NA")</f>
        <v>0.06365293568</v>
      </c>
      <c r="Z24" s="27">
        <v>7314.27</v>
      </c>
      <c r="AA24" s="23">
        <f>IFERROR(Z24/Z148, "NA")</f>
        <v>0.065597428</v>
      </c>
      <c r="AB24" s="59">
        <f t="shared" si="7"/>
        <v>1828.5675</v>
      </c>
      <c r="AC24" s="23">
        <f>IFERROR(AB24/AB148, "NA")</f>
        <v>0.065597428</v>
      </c>
      <c r="AD24" s="61">
        <f t="shared" si="8"/>
        <v>-243.9875</v>
      </c>
      <c r="AE24" s="63">
        <f>IFERROR(AD24/AD148, "NA")</f>
        <v>0.08183277923</v>
      </c>
      <c r="AF24" s="61">
        <f t="shared" si="9"/>
        <v>-0.1334309507</v>
      </c>
      <c r="AG24" s="59">
        <f t="shared" si="10"/>
        <v>1810.84</v>
      </c>
      <c r="AH24" s="23">
        <f>IFERROR(AG24/AG148, "NA")</f>
        <v>0.06375445431</v>
      </c>
      <c r="AI24" s="61">
        <f t="shared" si="11"/>
        <v>-226.26</v>
      </c>
      <c r="AJ24" s="63">
        <f>IFERROR(AI24/AI148, "NA")</f>
        <v>0.06447460329</v>
      </c>
      <c r="AK24" s="61">
        <f t="shared" si="12"/>
        <v>-0.1249475382</v>
      </c>
      <c r="AL24" s="63">
        <f>IFERROR(AK24/AK148, "NA")</f>
        <v>1.011295665</v>
      </c>
    </row>
    <row r="25" ht="16.5" hidden="1" customHeight="1">
      <c r="A25" s="26" t="s">
        <v>80</v>
      </c>
      <c r="B25" s="27">
        <v>0.0</v>
      </c>
      <c r="C25" s="23">
        <f>IFERROR(B25/B148, "NA")</f>
        <v>0</v>
      </c>
      <c r="D25" s="27">
        <v>0.0</v>
      </c>
      <c r="E25" s="23">
        <f>IFERROR(D25/D148, "NA")</f>
        <v>0</v>
      </c>
      <c r="F25" s="27">
        <v>0.0</v>
      </c>
      <c r="G25" s="23">
        <f>IFERROR(F25/F148, "NA")</f>
        <v>0</v>
      </c>
      <c r="H25" s="27">
        <v>0.0</v>
      </c>
      <c r="I25" s="23">
        <f>IFERROR(H25/H148, "NA")</f>
        <v>0</v>
      </c>
      <c r="J25" s="27">
        <v>0.0</v>
      </c>
      <c r="K25" s="23">
        <f>IFERROR(J25/J148, "NA")</f>
        <v>0</v>
      </c>
      <c r="L25" s="27">
        <v>0.0</v>
      </c>
      <c r="M25" s="23">
        <f>IFERROR(L25/L148, "NA")</f>
        <v>0</v>
      </c>
      <c r="N25" s="27">
        <v>0.0</v>
      </c>
      <c r="O25" s="23">
        <f>IFERROR(N25/N148, "NA")</f>
        <v>0</v>
      </c>
      <c r="P25" s="27">
        <v>0.0</v>
      </c>
      <c r="Q25" s="23">
        <f>IFERROR(P25/P148, "NA")</f>
        <v>0</v>
      </c>
      <c r="R25" s="27">
        <v>0.0</v>
      </c>
      <c r="S25" s="23">
        <f>IFERROR(R25/R148, "NA")</f>
        <v>0</v>
      </c>
      <c r="T25" s="27">
        <v>0.0</v>
      </c>
      <c r="U25" s="23">
        <f>IFERROR(T25/T148, "NA")</f>
        <v>0</v>
      </c>
      <c r="V25" s="27">
        <v>0.0</v>
      </c>
      <c r="W25" s="23">
        <f>IFERROR(V25/V148, "NA")</f>
        <v>0</v>
      </c>
      <c r="X25" s="27">
        <v>0.0</v>
      </c>
      <c r="Y25" s="23">
        <f>IFERROR(X25/X148, "NA")</f>
        <v>0</v>
      </c>
      <c r="Z25" s="27">
        <v>0.0</v>
      </c>
      <c r="AA25" s="23">
        <f>IFERROR(Z25/Z148, "NA")</f>
        <v>0</v>
      </c>
      <c r="AB25" s="59">
        <f t="shared" si="7"/>
        <v>0</v>
      </c>
      <c r="AC25" s="23">
        <f>IFERROR(AB25/AB148, "NA")</f>
        <v>0</v>
      </c>
      <c r="AD25" s="61">
        <f t="shared" si="8"/>
        <v>0</v>
      </c>
      <c r="AE25" s="63">
        <f>IFERROR(AD25/AD148, "NA")</f>
        <v>0</v>
      </c>
      <c r="AF25" s="61" t="str">
        <f t="shared" si="9"/>
        <v>NA</v>
      </c>
      <c r="AG25" s="59">
        <f t="shared" si="10"/>
        <v>0</v>
      </c>
      <c r="AH25" s="23">
        <f>IFERROR(AG25/AG148, "NA")</f>
        <v>0</v>
      </c>
      <c r="AI25" s="61">
        <f t="shared" si="11"/>
        <v>0</v>
      </c>
      <c r="AJ25" s="63">
        <f>IFERROR(AI25/AI148, "NA")</f>
        <v>0</v>
      </c>
      <c r="AK25" s="61" t="str">
        <f t="shared" si="12"/>
        <v>NA</v>
      </c>
      <c r="AL25" s="63" t="str">
        <f>IFERROR(AK25/AK148, "NA")</f>
        <v>NA</v>
      </c>
    </row>
    <row r="26" ht="16.5" hidden="1" customHeight="1">
      <c r="A26" s="26" t="s">
        <v>81</v>
      </c>
      <c r="B26" s="27">
        <v>0.0</v>
      </c>
      <c r="C26" s="23">
        <f>IFERROR(B26/B148, "NA")</f>
        <v>0</v>
      </c>
      <c r="D26" s="27">
        <v>0.0</v>
      </c>
      <c r="E26" s="23">
        <f>IFERROR(D26/D148, "NA")</f>
        <v>0</v>
      </c>
      <c r="F26" s="27">
        <v>0.0</v>
      </c>
      <c r="G26" s="23">
        <f>IFERROR(F26/F148, "NA")</f>
        <v>0</v>
      </c>
      <c r="H26" s="27">
        <v>0.0</v>
      </c>
      <c r="I26" s="23">
        <f>IFERROR(H26/H148, "NA")</f>
        <v>0</v>
      </c>
      <c r="J26" s="27">
        <v>0.0</v>
      </c>
      <c r="K26" s="23">
        <f>IFERROR(J26/J148, "NA")</f>
        <v>0</v>
      </c>
      <c r="L26" s="27">
        <v>0.0</v>
      </c>
      <c r="M26" s="23">
        <f>IFERROR(L26/L148, "NA")</f>
        <v>0</v>
      </c>
      <c r="N26" s="27">
        <v>0.0</v>
      </c>
      <c r="O26" s="23">
        <f>IFERROR(N26/N148, "NA")</f>
        <v>0</v>
      </c>
      <c r="P26" s="27">
        <v>0.0</v>
      </c>
      <c r="Q26" s="23">
        <f>IFERROR(P26/P148, "NA")</f>
        <v>0</v>
      </c>
      <c r="R26" s="27">
        <v>0.0</v>
      </c>
      <c r="S26" s="23">
        <f>IFERROR(R26/R148, "NA")</f>
        <v>0</v>
      </c>
      <c r="T26" s="27">
        <v>0.0</v>
      </c>
      <c r="U26" s="23">
        <f>IFERROR(T26/T148, "NA")</f>
        <v>0</v>
      </c>
      <c r="V26" s="27">
        <v>0.0</v>
      </c>
      <c r="W26" s="23">
        <f>IFERROR(V26/V148, "NA")</f>
        <v>0</v>
      </c>
      <c r="X26" s="27">
        <v>0.0</v>
      </c>
      <c r="Y26" s="23">
        <f>IFERROR(X26/X148, "NA")</f>
        <v>0</v>
      </c>
      <c r="Z26" s="27">
        <v>0.0</v>
      </c>
      <c r="AA26" s="23">
        <f>IFERROR(Z26/Z148, "NA")</f>
        <v>0</v>
      </c>
      <c r="AB26" s="59">
        <f t="shared" si="7"/>
        <v>0</v>
      </c>
      <c r="AC26" s="23">
        <f>IFERROR(AB26/AB148, "NA")</f>
        <v>0</v>
      </c>
      <c r="AD26" s="61">
        <f t="shared" si="8"/>
        <v>0</v>
      </c>
      <c r="AE26" s="63">
        <f>IFERROR(AD26/AD148, "NA")</f>
        <v>0</v>
      </c>
      <c r="AF26" s="61" t="str">
        <f t="shared" si="9"/>
        <v>NA</v>
      </c>
      <c r="AG26" s="59">
        <f t="shared" si="10"/>
        <v>0</v>
      </c>
      <c r="AH26" s="23">
        <f>IFERROR(AG26/AG148, "NA")</f>
        <v>0</v>
      </c>
      <c r="AI26" s="61">
        <f t="shared" si="11"/>
        <v>0</v>
      </c>
      <c r="AJ26" s="63">
        <f>IFERROR(AI26/AI148, "NA")</f>
        <v>0</v>
      </c>
      <c r="AK26" s="61" t="str">
        <f t="shared" si="12"/>
        <v>NA</v>
      </c>
      <c r="AL26" s="63" t="str">
        <f>IFERROR(AK26/AK148, "NA")</f>
        <v>NA</v>
      </c>
    </row>
    <row r="27" ht="16.5" customHeight="1">
      <c r="A27" s="66" t="s">
        <v>84</v>
      </c>
      <c r="B27" s="67">
        <f>IFERROR(B15+B16+B17+B18+B19+B20+B21+B22+B23+B24+B25+B26, "NA")</f>
        <v>6533.95</v>
      </c>
      <c r="C27" s="69">
        <f>IFERROR(B27/B148, "NA")</f>
        <v>0.2245036589</v>
      </c>
      <c r="D27" s="67">
        <f>IFERROR(D15+D16+D17+D18+D19+D20+D21+D22+D23+D24+D25+D26, "NA")</f>
        <v>7601.16</v>
      </c>
      <c r="E27" s="69">
        <f>IFERROR(D27/D148, "NA")</f>
        <v>0.2369837077</v>
      </c>
      <c r="F27" s="67">
        <f>IFERROR(F15+F16+F17+F18+F19+F20+F21+F22+F23+F24+F25+F26, "NA")</f>
        <v>6368.39</v>
      </c>
      <c r="G27" s="69">
        <f>IFERROR(F27/F148, "NA")</f>
        <v>0.2419558777</v>
      </c>
      <c r="H27" s="67">
        <f>IFERROR(H15+H16+H17+H18+H19+H20+H21+H22+H23+H24+H25+H26, "NA")</f>
        <v>5907.52</v>
      </c>
      <c r="I27" s="69">
        <f>IFERROR(H27/H148, "NA")</f>
        <v>0.2386843979</v>
      </c>
      <c r="J27" s="67">
        <f>IFERROR(J15+J16+J17+J18+J19+J20+J21+J22+J23+J24+J25+J26, "NA")</f>
        <v>6385.31</v>
      </c>
      <c r="K27" s="69">
        <f>IFERROR(J27/J148, "NA")</f>
        <v>0.2412033973</v>
      </c>
      <c r="L27" s="67">
        <f>IFERROR(L15+L16+L17+L18+L19+L20+L21+L22+L23+L24+L25+L26, "NA")</f>
        <v>5768.14</v>
      </c>
      <c r="M27" s="69">
        <f>IFERROR(L27/L148, "NA")</f>
        <v>0.2318688992</v>
      </c>
      <c r="N27" s="67">
        <f>IFERROR(N15+N16+N17+N18+N19+N20+N21+N22+N23+N24+N25+N26, "NA")</f>
        <v>6925.08</v>
      </c>
      <c r="O27" s="69">
        <f>IFERROR(N27/N148, "NA")</f>
        <v>0.2267089153</v>
      </c>
      <c r="P27" s="67">
        <f>IFERROR(P15+P16+P17+P18+P19+P20+P21+P22+P23+P24+P25+P26, "NA")</f>
        <v>7233.84</v>
      </c>
      <c r="Q27" s="69">
        <f>IFERROR(P27/P148, "NA")</f>
        <v>0.2138366044</v>
      </c>
      <c r="R27" s="67">
        <f>IFERROR(R15+R16+R17+R18+R19+R20+R21+R22+R23+R24+R25+R26, "NA")</f>
        <v>6088.03</v>
      </c>
      <c r="S27" s="69">
        <f>IFERROR(R27/R148, "NA")</f>
        <v>0.2446154137</v>
      </c>
      <c r="T27" s="67">
        <f>IFERROR(T15+T16+T17+T18+T19+T20+T21+T22+T23+T24+T25+T26, "NA")</f>
        <v>7577.09</v>
      </c>
      <c r="U27" s="69">
        <f>IFERROR(T27/T148, "NA")</f>
        <v>0.2394822037</v>
      </c>
      <c r="V27" s="67">
        <f>IFERROR(V15+V16+V17+V18+V19+V20+V21+V22+V23+V24+V25+V26, "NA")</f>
        <v>5657.66</v>
      </c>
      <c r="W27" s="69">
        <f>IFERROR(V27/V148, "NA")</f>
        <v>0.1880827867</v>
      </c>
      <c r="X27" s="67">
        <f>IFERROR(X15+X16+X17+X18+X19+X20+X21+X22+X23+X24+X25+X26, "NA")</f>
        <v>5163.59</v>
      </c>
      <c r="Y27" s="69">
        <f>IFERROR(X27/X148, "NA")</f>
        <v>0.2074225739</v>
      </c>
      <c r="Z27" s="67">
        <f>IFERROR(Z15+Z16+Z17+Z18+Z19+Z20+Z21+Z22+Z23+Z24+Z25+Z26, "NA")</f>
        <v>24486.37</v>
      </c>
      <c r="AA27" s="69">
        <f>IFERROR(Z27/Z148, "NA")</f>
        <v>0.2196039923</v>
      </c>
      <c r="AB27" s="67">
        <f t="shared" si="7"/>
        <v>6121.5925</v>
      </c>
      <c r="AC27" s="69">
        <f>IFERROR(AB27/AB148, "NA")</f>
        <v>0.2196039923</v>
      </c>
      <c r="AD27" s="70">
        <f t="shared" si="8"/>
        <v>-958.0025</v>
      </c>
      <c r="AE27" s="71">
        <f>IFERROR(AD27/AD148, "NA")</f>
        <v>0.3213115716</v>
      </c>
      <c r="AF27" s="70">
        <f t="shared" si="9"/>
        <v>-0.1564956341</v>
      </c>
      <c r="AG27" s="67">
        <f t="shared" si="10"/>
        <v>6349.8425</v>
      </c>
      <c r="AH27" s="69">
        <f>IFERROR(AG27/AG148, "NA")</f>
        <v>0.2235596428</v>
      </c>
      <c r="AI27" s="70">
        <f t="shared" si="11"/>
        <v>-1186.2525</v>
      </c>
      <c r="AJ27" s="71">
        <f>IFERROR(AI27/AI148, "NA")</f>
        <v>0.3380321725</v>
      </c>
      <c r="AK27" s="70">
        <f t="shared" si="12"/>
        <v>-0.1868160509</v>
      </c>
      <c r="AL27" s="71">
        <f>IFERROR(AK27/AK148, "NA")</f>
        <v>1.512044698</v>
      </c>
    </row>
    <row r="28" ht="16.5" customHeight="1">
      <c r="A28" s="17" t="s">
        <v>85</v>
      </c>
      <c r="B28" s="19"/>
      <c r="C28" s="13"/>
      <c r="D28" s="19"/>
      <c r="E28" s="13"/>
      <c r="F28" s="19"/>
      <c r="G28" s="13"/>
      <c r="H28" s="19"/>
      <c r="I28" s="13"/>
      <c r="J28" s="19"/>
      <c r="K28" s="13"/>
      <c r="L28" s="19"/>
      <c r="M28" s="13"/>
      <c r="N28" s="19"/>
      <c r="O28" s="13"/>
      <c r="P28" s="19"/>
      <c r="Q28" s="13"/>
      <c r="R28" s="19"/>
      <c r="S28" s="13"/>
      <c r="T28" s="19"/>
      <c r="U28" s="13"/>
      <c r="V28" s="19"/>
      <c r="W28" s="13"/>
      <c r="X28" s="19"/>
      <c r="Y28" s="13"/>
      <c r="Z28" s="19"/>
      <c r="AA28" s="13"/>
      <c r="AB28" s="19"/>
      <c r="AC28" s="13"/>
      <c r="AD28" s="24"/>
      <c r="AE28" s="25"/>
      <c r="AF28" s="24"/>
      <c r="AG28" s="19"/>
      <c r="AH28" s="13"/>
      <c r="AI28" s="24"/>
      <c r="AJ28" s="25"/>
      <c r="AK28" s="24"/>
      <c r="AL28" s="25"/>
    </row>
    <row r="29" ht="16.5" hidden="1" customHeight="1">
      <c r="A29" s="26" t="s">
        <v>86</v>
      </c>
      <c r="B29" s="27">
        <v>0.0</v>
      </c>
      <c r="C29" s="23">
        <f>IFERROR(B29/B148, "NA")</f>
        <v>0</v>
      </c>
      <c r="D29" s="27">
        <v>0.0</v>
      </c>
      <c r="E29" s="23">
        <f>IFERROR(D29/D148, "NA")</f>
        <v>0</v>
      </c>
      <c r="F29" s="27">
        <v>0.0</v>
      </c>
      <c r="G29" s="23">
        <f>IFERROR(F29/F148, "NA")</f>
        <v>0</v>
      </c>
      <c r="H29" s="27">
        <v>0.0</v>
      </c>
      <c r="I29" s="23">
        <f>IFERROR(H29/H148, "NA")</f>
        <v>0</v>
      </c>
      <c r="J29" s="27">
        <v>0.0</v>
      </c>
      <c r="K29" s="23">
        <f>IFERROR(J29/J148, "NA")</f>
        <v>0</v>
      </c>
      <c r="L29" s="27">
        <v>0.0</v>
      </c>
      <c r="M29" s="23">
        <f>IFERROR(L29/L148, "NA")</f>
        <v>0</v>
      </c>
      <c r="N29" s="27">
        <v>0.0</v>
      </c>
      <c r="O29" s="23">
        <f>IFERROR(N29/N148, "NA")</f>
        <v>0</v>
      </c>
      <c r="P29" s="27">
        <v>0.0</v>
      </c>
      <c r="Q29" s="23">
        <f>IFERROR(P29/P148, "NA")</f>
        <v>0</v>
      </c>
      <c r="R29" s="27">
        <v>0.0</v>
      </c>
      <c r="S29" s="23">
        <f>IFERROR(R29/R148, "NA")</f>
        <v>0</v>
      </c>
      <c r="T29" s="27">
        <v>0.0</v>
      </c>
      <c r="U29" s="23">
        <f>IFERROR(T29/T148, "NA")</f>
        <v>0</v>
      </c>
      <c r="V29" s="27">
        <v>0.0</v>
      </c>
      <c r="W29" s="23">
        <f>IFERROR(V29/V148, "NA")</f>
        <v>0</v>
      </c>
      <c r="X29" s="27">
        <v>0.0</v>
      </c>
      <c r="Y29" s="23">
        <f>IFERROR(X29/X148, "NA")</f>
        <v>0</v>
      </c>
      <c r="Z29" s="27">
        <v>0.0</v>
      </c>
      <c r="AA29" s="23">
        <f>IFERROR(Z29/Z148, "NA")</f>
        <v>0</v>
      </c>
      <c r="AB29" s="59">
        <f t="shared" ref="AB29:AB35" si="13">IFERROR((R29+T29+V29+X29)/4, "NA")</f>
        <v>0</v>
      </c>
      <c r="AC29" s="23">
        <f>IFERROR(AB29/AB148, "NA")</f>
        <v>0</v>
      </c>
      <c r="AD29" s="61">
        <f t="shared" ref="AD29:AD35" si="14">IFERROR(X29-AB29, "NA")</f>
        <v>0</v>
      </c>
      <c r="AE29" s="63">
        <f>IFERROR(AD29/AD148, "NA")</f>
        <v>0</v>
      </c>
      <c r="AF29" s="61" t="str">
        <f t="shared" ref="AF29:AF35" si="15">IFERROR((X29-AB29)/AB29, "NA")</f>
        <v>NA</v>
      </c>
      <c r="AG29" s="59">
        <f t="shared" ref="AG29:AG35" si="16">IFERROR((J29+L29+N29+P29+R29+T29+V29+X29)/8, "NA")</f>
        <v>0</v>
      </c>
      <c r="AH29" s="23">
        <f>IFERROR(AG29/AG148, "NA")</f>
        <v>0</v>
      </c>
      <c r="AI29" s="61">
        <f t="shared" ref="AI29:AI35" si="17">IFERROR(X29-AG29, "NA")</f>
        <v>0</v>
      </c>
      <c r="AJ29" s="63">
        <f>IFERROR(AI29/AI148, "NA")</f>
        <v>0</v>
      </c>
      <c r="AK29" s="61" t="str">
        <f t="shared" ref="AK29:AK35" si="18">IFERROR((X29-AG29)/AG29, "NA")</f>
        <v>NA</v>
      </c>
      <c r="AL29" s="63" t="str">
        <f>IFERROR(AK29/AK148, "NA")</f>
        <v>NA</v>
      </c>
    </row>
    <row r="30" ht="16.5" customHeight="1">
      <c r="A30" s="26" t="s">
        <v>87</v>
      </c>
      <c r="B30" s="27">
        <v>317.55</v>
      </c>
      <c r="C30" s="23">
        <f>IFERROR(B30/B148, "NA")</f>
        <v>0.01091087886</v>
      </c>
      <c r="D30" s="27">
        <v>404.11</v>
      </c>
      <c r="E30" s="23">
        <f>IFERROR(D30/D148, "NA")</f>
        <v>0.012599062</v>
      </c>
      <c r="F30" s="27">
        <v>330.59</v>
      </c>
      <c r="G30" s="23">
        <f>IFERROR(F30/F148, "NA")</f>
        <v>0.01256019082</v>
      </c>
      <c r="H30" s="27">
        <v>328.89</v>
      </c>
      <c r="I30" s="23">
        <f>IFERROR(H30/H148, "NA")</f>
        <v>0.0132883023</v>
      </c>
      <c r="J30" s="27">
        <v>303.02</v>
      </c>
      <c r="K30" s="23">
        <f>IFERROR(J30/J148, "NA")</f>
        <v>0.0114465004</v>
      </c>
      <c r="L30" s="27">
        <v>352.35</v>
      </c>
      <c r="M30" s="23">
        <f>IFERROR(L30/L148, "NA")</f>
        <v>0.01416383906</v>
      </c>
      <c r="N30" s="27">
        <v>395.9</v>
      </c>
      <c r="O30" s="23">
        <f>IFERROR(N30/N148, "NA")</f>
        <v>0.0129607253</v>
      </c>
      <c r="P30" s="27">
        <v>296.76</v>
      </c>
      <c r="Q30" s="23">
        <f>IFERROR(P30/P148, "NA")</f>
        <v>0.008772401757</v>
      </c>
      <c r="R30" s="27">
        <v>312.8</v>
      </c>
      <c r="S30" s="23">
        <f>IFERROR(R30/R148, "NA")</f>
        <v>0.01256822016</v>
      </c>
      <c r="T30" s="27">
        <v>341.14</v>
      </c>
      <c r="U30" s="23">
        <f>IFERROR(T30/T148, "NA")</f>
        <v>0.01078210223</v>
      </c>
      <c r="V30" s="27">
        <v>289.75</v>
      </c>
      <c r="W30" s="23">
        <f>IFERROR(V30/V148, "NA")</f>
        <v>0.00963242532</v>
      </c>
      <c r="X30" s="27">
        <v>291.43</v>
      </c>
      <c r="Y30" s="23">
        <f>IFERROR(X30/X148, "NA")</f>
        <v>0.01170680877</v>
      </c>
      <c r="Z30" s="27">
        <v>1235.12</v>
      </c>
      <c r="AA30" s="23">
        <f>IFERROR(Z30/Z148, "NA")</f>
        <v>0.01107707198</v>
      </c>
      <c r="AB30" s="59">
        <f t="shared" si="13"/>
        <v>308.78</v>
      </c>
      <c r="AC30" s="23">
        <f>IFERROR(AB30/AB148, "NA")</f>
        <v>0.01107707198</v>
      </c>
      <c r="AD30" s="61">
        <f t="shared" si="14"/>
        <v>-17.35</v>
      </c>
      <c r="AE30" s="63">
        <f>IFERROR(AD30/AD148, "NA")</f>
        <v>0.005819145324</v>
      </c>
      <c r="AF30" s="61">
        <f t="shared" si="15"/>
        <v>-0.05618887234</v>
      </c>
      <c r="AG30" s="59">
        <f t="shared" si="16"/>
        <v>322.89375</v>
      </c>
      <c r="AH30" s="23">
        <f>IFERROR(AG30/AG148, "NA")</f>
        <v>0.01136815778</v>
      </c>
      <c r="AI30" s="61">
        <f t="shared" si="17"/>
        <v>-31.46375</v>
      </c>
      <c r="AJ30" s="63">
        <f>IFERROR(AI30/AI148, "NA")</f>
        <v>0.008965848137</v>
      </c>
      <c r="AK30" s="61">
        <f t="shared" si="18"/>
        <v>-0.09744304435</v>
      </c>
      <c r="AL30" s="63">
        <f>IFERROR(AK30/AK148, "NA")</f>
        <v>0.7886808322</v>
      </c>
    </row>
    <row r="31" ht="16.5" customHeight="1">
      <c r="A31" s="26" t="s">
        <v>88</v>
      </c>
      <c r="B31" s="27">
        <v>17.03</v>
      </c>
      <c r="C31" s="23">
        <f>IFERROR(B31/B148, "NA")</f>
        <v>0.0005851433378</v>
      </c>
      <c r="D31" s="27">
        <v>4.71</v>
      </c>
      <c r="E31" s="23">
        <f>IFERROR(D31/D148, "NA")</f>
        <v>0.0001468451214</v>
      </c>
      <c r="F31" s="27">
        <v>10.99</v>
      </c>
      <c r="G31" s="23">
        <f>IFERROR(F31/F148, "NA")</f>
        <v>0.000417545894</v>
      </c>
      <c r="H31" s="27">
        <v>16.05</v>
      </c>
      <c r="I31" s="23">
        <f>IFERROR(H31/H148, "NA")</f>
        <v>0.0006484759401</v>
      </c>
      <c r="J31" s="27">
        <v>10.36</v>
      </c>
      <c r="K31" s="23">
        <f>IFERROR(J31/J148, "NA")</f>
        <v>0.0003913462614</v>
      </c>
      <c r="L31" s="27">
        <v>10.78</v>
      </c>
      <c r="M31" s="23">
        <f>IFERROR(L31/L148, "NA")</f>
        <v>0.0004333366966</v>
      </c>
      <c r="N31" s="27">
        <v>17.86</v>
      </c>
      <c r="O31" s="23">
        <f>IFERROR(N31/N148, "NA")</f>
        <v>0.0005846894517</v>
      </c>
      <c r="P31" s="27">
        <v>12.3</v>
      </c>
      <c r="Q31" s="23">
        <f>IFERROR(P31/P148, "NA")</f>
        <v>0.0003635953013</v>
      </c>
      <c r="R31" s="27">
        <v>11.33</v>
      </c>
      <c r="S31" s="23">
        <f>IFERROR(R31/R148, "NA")</f>
        <v>0.0004552363633</v>
      </c>
      <c r="T31" s="27">
        <v>27.42</v>
      </c>
      <c r="U31" s="23">
        <f>IFERROR(T31/T148, "NA")</f>
        <v>0.0008666390429</v>
      </c>
      <c r="V31" s="27">
        <v>1.36</v>
      </c>
      <c r="W31" s="23">
        <f>IFERROR(V31/V148, "NA")</f>
        <v>0.00004521172885</v>
      </c>
      <c r="X31" s="27">
        <v>9.12</v>
      </c>
      <c r="Y31" s="23">
        <f>IFERROR(X31/X148, "NA")</f>
        <v>0.0003663524552</v>
      </c>
      <c r="Z31" s="27">
        <v>49.23</v>
      </c>
      <c r="AA31" s="23">
        <f>IFERROR(Z31/Z148, "NA")</f>
        <v>0.0004415151998</v>
      </c>
      <c r="AB31" s="59">
        <f t="shared" si="13"/>
        <v>12.3075</v>
      </c>
      <c r="AC31" s="23">
        <f>IFERROR(AB31/AB148, "NA")</f>
        <v>0.0004415151998</v>
      </c>
      <c r="AD31" s="61">
        <f t="shared" si="14"/>
        <v>-3.1875</v>
      </c>
      <c r="AE31" s="63">
        <f>IFERROR(AD31/AD148, "NA")</f>
        <v>0.001069079292</v>
      </c>
      <c r="AF31" s="61">
        <f t="shared" si="15"/>
        <v>-0.2589884217</v>
      </c>
      <c r="AG31" s="59">
        <f t="shared" si="16"/>
        <v>12.56625</v>
      </c>
      <c r="AH31" s="23">
        <f>IFERROR(AG31/AG148, "NA")</f>
        <v>0.000442421424</v>
      </c>
      <c r="AI31" s="61">
        <f t="shared" si="17"/>
        <v>-3.44625</v>
      </c>
      <c r="AJ31" s="63">
        <f>IFERROR(AI31/AI148, "NA")</f>
        <v>0.0009820366021</v>
      </c>
      <c r="AK31" s="61">
        <f t="shared" si="18"/>
        <v>-0.2742464936</v>
      </c>
      <c r="AL31" s="63">
        <f>IFERROR(AK31/AK148, "NA")</f>
        <v>2.219685912</v>
      </c>
    </row>
    <row r="32" ht="16.5" hidden="1" customHeight="1">
      <c r="A32" s="26" t="s">
        <v>89</v>
      </c>
      <c r="B32" s="27">
        <v>0.0</v>
      </c>
      <c r="C32" s="23">
        <f>IFERROR(B32/B148, "NA")</f>
        <v>0</v>
      </c>
      <c r="D32" s="27">
        <v>0.0</v>
      </c>
      <c r="E32" s="23">
        <f>IFERROR(D32/D148, "NA")</f>
        <v>0</v>
      </c>
      <c r="F32" s="27">
        <v>0.0</v>
      </c>
      <c r="G32" s="23">
        <f>IFERROR(F32/F148, "NA")</f>
        <v>0</v>
      </c>
      <c r="H32" s="27">
        <v>0.0</v>
      </c>
      <c r="I32" s="23">
        <f>IFERROR(H32/H148, "NA")</f>
        <v>0</v>
      </c>
      <c r="J32" s="27">
        <v>0.0</v>
      </c>
      <c r="K32" s="23">
        <f>IFERROR(J32/J148, "NA")</f>
        <v>0</v>
      </c>
      <c r="L32" s="27">
        <v>0.0</v>
      </c>
      <c r="M32" s="23">
        <f>IFERROR(L32/L148, "NA")</f>
        <v>0</v>
      </c>
      <c r="N32" s="27">
        <v>0.0</v>
      </c>
      <c r="O32" s="23">
        <f>IFERROR(N32/N148, "NA")</f>
        <v>0</v>
      </c>
      <c r="P32" s="27">
        <v>0.0</v>
      </c>
      <c r="Q32" s="23">
        <f>IFERROR(P32/P148, "NA")</f>
        <v>0</v>
      </c>
      <c r="R32" s="27">
        <v>0.0</v>
      </c>
      <c r="S32" s="23">
        <f>IFERROR(R32/R148, "NA")</f>
        <v>0</v>
      </c>
      <c r="T32" s="27">
        <v>0.0</v>
      </c>
      <c r="U32" s="23">
        <f>IFERROR(T32/T148, "NA")</f>
        <v>0</v>
      </c>
      <c r="V32" s="27">
        <v>0.0</v>
      </c>
      <c r="W32" s="23">
        <f>IFERROR(V32/V148, "NA")</f>
        <v>0</v>
      </c>
      <c r="X32" s="27">
        <v>0.0</v>
      </c>
      <c r="Y32" s="23">
        <f>IFERROR(X32/X148, "NA")</f>
        <v>0</v>
      </c>
      <c r="Z32" s="27">
        <v>0.0</v>
      </c>
      <c r="AA32" s="23">
        <f>IFERROR(Z32/Z148, "NA")</f>
        <v>0</v>
      </c>
      <c r="AB32" s="59">
        <f t="shared" si="13"/>
        <v>0</v>
      </c>
      <c r="AC32" s="23">
        <f>IFERROR(AB32/AB148, "NA")</f>
        <v>0</v>
      </c>
      <c r="AD32" s="61">
        <f t="shared" si="14"/>
        <v>0</v>
      </c>
      <c r="AE32" s="63">
        <f>IFERROR(AD32/AD148, "NA")</f>
        <v>0</v>
      </c>
      <c r="AF32" s="61" t="str">
        <f t="shared" si="15"/>
        <v>NA</v>
      </c>
      <c r="AG32" s="59">
        <f t="shared" si="16"/>
        <v>0</v>
      </c>
      <c r="AH32" s="23">
        <f>IFERROR(AG32/AG148, "NA")</f>
        <v>0</v>
      </c>
      <c r="AI32" s="61">
        <f t="shared" si="17"/>
        <v>0</v>
      </c>
      <c r="AJ32" s="63">
        <f>IFERROR(AI32/AI148, "NA")</f>
        <v>0</v>
      </c>
      <c r="AK32" s="61" t="str">
        <f t="shared" si="18"/>
        <v>NA</v>
      </c>
      <c r="AL32" s="63" t="str">
        <f>IFERROR(AK32/AK148, "NA")</f>
        <v>NA</v>
      </c>
    </row>
    <row r="33" ht="16.5" hidden="1" customHeight="1">
      <c r="A33" s="26" t="s">
        <v>90</v>
      </c>
      <c r="B33" s="27">
        <v>0.0</v>
      </c>
      <c r="C33" s="23">
        <f>IFERROR(B33/B148, "NA")</f>
        <v>0</v>
      </c>
      <c r="D33" s="27">
        <v>0.0</v>
      </c>
      <c r="E33" s="23">
        <f>IFERROR(D33/D148, "NA")</f>
        <v>0</v>
      </c>
      <c r="F33" s="27">
        <v>0.0</v>
      </c>
      <c r="G33" s="23">
        <f>IFERROR(F33/F148, "NA")</f>
        <v>0</v>
      </c>
      <c r="H33" s="27">
        <v>0.0</v>
      </c>
      <c r="I33" s="23">
        <f>IFERROR(H33/H148, "NA")</f>
        <v>0</v>
      </c>
      <c r="J33" s="27">
        <v>0.0</v>
      </c>
      <c r="K33" s="23">
        <f>IFERROR(J33/J148, "NA")</f>
        <v>0</v>
      </c>
      <c r="L33" s="27">
        <v>0.0</v>
      </c>
      <c r="M33" s="23">
        <f>IFERROR(L33/L148, "NA")</f>
        <v>0</v>
      </c>
      <c r="N33" s="27">
        <v>0.0</v>
      </c>
      <c r="O33" s="23">
        <f>IFERROR(N33/N148, "NA")</f>
        <v>0</v>
      </c>
      <c r="P33" s="27">
        <v>0.0</v>
      </c>
      <c r="Q33" s="23">
        <f>IFERROR(P33/P148, "NA")</f>
        <v>0</v>
      </c>
      <c r="R33" s="27">
        <v>0.0</v>
      </c>
      <c r="S33" s="23">
        <f>IFERROR(R33/R148, "NA")</f>
        <v>0</v>
      </c>
      <c r="T33" s="27">
        <v>0.0</v>
      </c>
      <c r="U33" s="23">
        <f>IFERROR(T33/T148, "NA")</f>
        <v>0</v>
      </c>
      <c r="V33" s="27">
        <v>0.0</v>
      </c>
      <c r="W33" s="23">
        <f>IFERROR(V33/V148, "NA")</f>
        <v>0</v>
      </c>
      <c r="X33" s="27">
        <v>0.0</v>
      </c>
      <c r="Y33" s="23">
        <f>IFERROR(X33/X148, "NA")</f>
        <v>0</v>
      </c>
      <c r="Z33" s="27">
        <v>0.0</v>
      </c>
      <c r="AA33" s="23">
        <f>IFERROR(Z33/Z148, "NA")</f>
        <v>0</v>
      </c>
      <c r="AB33" s="59">
        <f t="shared" si="13"/>
        <v>0</v>
      </c>
      <c r="AC33" s="23">
        <f>IFERROR(AB33/AB148, "NA")</f>
        <v>0</v>
      </c>
      <c r="AD33" s="61">
        <f t="shared" si="14"/>
        <v>0</v>
      </c>
      <c r="AE33" s="63">
        <f>IFERROR(AD33/AD148, "NA")</f>
        <v>0</v>
      </c>
      <c r="AF33" s="61" t="str">
        <f t="shared" si="15"/>
        <v>NA</v>
      </c>
      <c r="AG33" s="59">
        <f t="shared" si="16"/>
        <v>0</v>
      </c>
      <c r="AH33" s="23">
        <f>IFERROR(AG33/AG148, "NA")</f>
        <v>0</v>
      </c>
      <c r="AI33" s="61">
        <f t="shared" si="17"/>
        <v>0</v>
      </c>
      <c r="AJ33" s="63">
        <f>IFERROR(AI33/AI148, "NA")</f>
        <v>0</v>
      </c>
      <c r="AK33" s="61" t="str">
        <f t="shared" si="18"/>
        <v>NA</v>
      </c>
      <c r="AL33" s="63" t="str">
        <f>IFERROR(AK33/AK148, "NA")</f>
        <v>NA</v>
      </c>
    </row>
    <row r="34" ht="16.5" customHeight="1">
      <c r="A34" s="66" t="s">
        <v>91</v>
      </c>
      <c r="B34" s="67">
        <f>IFERROR(B29+B30+B31+B32+B33, "NA")</f>
        <v>334.58</v>
      </c>
      <c r="C34" s="69">
        <f>IFERROR(B34/B148, "NA")</f>
        <v>0.01149602219</v>
      </c>
      <c r="D34" s="67">
        <f>IFERROR(D29+D30+D31+D32+D33, "NA")</f>
        <v>408.82</v>
      </c>
      <c r="E34" s="69">
        <f>IFERROR(D34/D148, "NA")</f>
        <v>0.01274590712</v>
      </c>
      <c r="F34" s="67">
        <f>IFERROR(F29+F30+F31+F32+F33, "NA")</f>
        <v>341.58</v>
      </c>
      <c r="G34" s="69">
        <f>IFERROR(F34/F148, "NA")</f>
        <v>0.01297773671</v>
      </c>
      <c r="H34" s="67">
        <f>IFERROR(H29+H30+H31+H32+H33, "NA")</f>
        <v>344.94</v>
      </c>
      <c r="I34" s="69">
        <f>IFERROR(H34/H148, "NA")</f>
        <v>0.01393677824</v>
      </c>
      <c r="J34" s="67">
        <f>IFERROR(J29+J30+J31+J32+J33, "NA")</f>
        <v>313.38</v>
      </c>
      <c r="K34" s="69">
        <f>IFERROR(J34/J148, "NA")</f>
        <v>0.01183784666</v>
      </c>
      <c r="L34" s="67">
        <f>IFERROR(L29+L30+L31+L32+L33, "NA")</f>
        <v>363.13</v>
      </c>
      <c r="M34" s="69">
        <f>IFERROR(L34/L148, "NA")</f>
        <v>0.01459717575</v>
      </c>
      <c r="N34" s="67">
        <f>IFERROR(N29+N30+N31+N32+N33, "NA")</f>
        <v>413.76</v>
      </c>
      <c r="O34" s="69">
        <f>IFERROR(N34/N148, "NA")</f>
        <v>0.01354541475</v>
      </c>
      <c r="P34" s="67">
        <f>IFERROR(P29+P30+P31+P32+P33, "NA")</f>
        <v>309.06</v>
      </c>
      <c r="Q34" s="69">
        <f>IFERROR(P34/P148, "NA")</f>
        <v>0.009135997058</v>
      </c>
      <c r="R34" s="67">
        <f>IFERROR(R29+R30+R31+R32+R33, "NA")</f>
        <v>324.13</v>
      </c>
      <c r="S34" s="69">
        <f>IFERROR(R34/R148, "NA")</f>
        <v>0.01302345653</v>
      </c>
      <c r="T34" s="67">
        <f>IFERROR(T29+T30+T31+T32+T33, "NA")</f>
        <v>368.56</v>
      </c>
      <c r="U34" s="69">
        <f>IFERROR(T34/T148, "NA")</f>
        <v>0.01164874127</v>
      </c>
      <c r="V34" s="67">
        <f>IFERROR(V29+V30+V31+V32+V33, "NA")</f>
        <v>291.11</v>
      </c>
      <c r="W34" s="69">
        <f>IFERROR(V34/V148, "NA")</f>
        <v>0.009677637049</v>
      </c>
      <c r="X34" s="67">
        <f>IFERROR(X29+X30+X31+X32+X33, "NA")</f>
        <v>300.55</v>
      </c>
      <c r="Y34" s="69">
        <f>IFERROR(X34/X148, "NA")</f>
        <v>0.01207316123</v>
      </c>
      <c r="Z34" s="67">
        <f>IFERROR(Z29+Z30+Z31+Z32+Z33, "NA")</f>
        <v>1284.35</v>
      </c>
      <c r="AA34" s="69">
        <f>IFERROR(Z34/Z148, "NA")</f>
        <v>0.01151858718</v>
      </c>
      <c r="AB34" s="67">
        <f t="shared" si="13"/>
        <v>321.0875</v>
      </c>
      <c r="AC34" s="69">
        <f>IFERROR(AB34/AB148, "NA")</f>
        <v>0.01151858718</v>
      </c>
      <c r="AD34" s="70">
        <f t="shared" si="14"/>
        <v>-20.5375</v>
      </c>
      <c r="AE34" s="71">
        <f>IFERROR(AD34/AD148, "NA")</f>
        <v>0.006888224616</v>
      </c>
      <c r="AF34" s="70">
        <f t="shared" si="15"/>
        <v>-0.06396231557</v>
      </c>
      <c r="AG34" s="67">
        <f t="shared" si="16"/>
        <v>335.46</v>
      </c>
      <c r="AH34" s="69">
        <f>IFERROR(AG34/AG148, "NA")</f>
        <v>0.0118105792</v>
      </c>
      <c r="AI34" s="70">
        <f t="shared" si="17"/>
        <v>-34.91</v>
      </c>
      <c r="AJ34" s="71">
        <f>IFERROR(AI34/AI148, "NA")</f>
        <v>0.009947884739</v>
      </c>
      <c r="AK34" s="70">
        <f t="shared" si="18"/>
        <v>-0.1040660585</v>
      </c>
      <c r="AL34" s="71">
        <f>IFERROR(AK34/AK148, "NA")</f>
        <v>0.8422859344</v>
      </c>
    </row>
    <row r="35" ht="16.5" customHeight="1">
      <c r="A35" s="66" t="s">
        <v>93</v>
      </c>
      <c r="B35" s="67">
        <f>IFERROR(B13+B15+B16+B17+B18+B19+B20+B21+B22+B23+B24+B25+B26+B29+B30+B31+B32+B33, "NA")</f>
        <v>6868.53</v>
      </c>
      <c r="C35" s="69">
        <f>IFERROR(B35/B148, "NA")</f>
        <v>0.2359996811</v>
      </c>
      <c r="D35" s="67">
        <f>IFERROR(D13+D15+D16+D17+D18+D19+D20+D21+D22+D23+D24+D25+D26+D29+D30+D31+D32+D33, "NA")</f>
        <v>8009.98</v>
      </c>
      <c r="E35" s="69">
        <f>IFERROR(D35/D148, "NA")</f>
        <v>0.2497296148</v>
      </c>
      <c r="F35" s="67">
        <f>IFERROR(F13+F15+F16+F17+F18+F19+F20+F21+F22+F23+F24+F25+F26+F29+F30+F31+F32+F33, "NA")</f>
        <v>6709.97</v>
      </c>
      <c r="G35" s="69">
        <f>IFERROR(F35/F148, "NA")</f>
        <v>0.2549336144</v>
      </c>
      <c r="H35" s="67">
        <f>IFERROR(H13+H15+H16+H17+H18+H19+H20+H21+H22+H23+H24+H25+H26+H29+H30+H31+H32+H33, "NA")</f>
        <v>6252.46</v>
      </c>
      <c r="I35" s="69">
        <f>IFERROR(H35/H148, "NA")</f>
        <v>0.2526211761</v>
      </c>
      <c r="J35" s="67">
        <f>IFERROR(J13+J15+J16+J17+J18+J19+J20+J21+J22+J23+J24+J25+J26+J29+J30+J31+J32+J33, "NA")</f>
        <v>6698.69</v>
      </c>
      <c r="K35" s="69">
        <f>IFERROR(J35/J148, "NA")</f>
        <v>0.253041244</v>
      </c>
      <c r="L35" s="67">
        <f>IFERROR(L13+L15+L16+L17+L18+L19+L20+L21+L22+L23+L24+L25+L26+L29+L30+L31+L32+L33, "NA")</f>
        <v>6131.27</v>
      </c>
      <c r="M35" s="69">
        <f>IFERROR(L35/L148, "NA")</f>
        <v>0.2464660749</v>
      </c>
      <c r="N35" s="67">
        <f>IFERROR(N13+N15+N16+N17+N18+N19+N20+N21+N22+N23+N24+N25+N26+N29+N30+N31+N32+N33, "NA")</f>
        <v>7338.84</v>
      </c>
      <c r="O35" s="69">
        <f>IFERROR(N35/N148, "NA")</f>
        <v>0.2402543301</v>
      </c>
      <c r="P35" s="67">
        <f>IFERROR(P13+P15+P16+P17+P18+P19+P20+P21+P22+P23+P24+P25+P26+P29+P30+P31+P32+P33, "NA")</f>
        <v>7542.9</v>
      </c>
      <c r="Q35" s="69">
        <f>IFERROR(P35/P148, "NA")</f>
        <v>0.2229726015</v>
      </c>
      <c r="R35" s="67">
        <f>IFERROR(R13+R15+R16+R17+R18+R19+R20+R21+R22+R23+R24+R25+R26+R29+R30+R31+R32+R33, "NA")</f>
        <v>6412.16</v>
      </c>
      <c r="S35" s="69">
        <f>IFERROR(R35/R148, "NA")</f>
        <v>0.2576388702</v>
      </c>
      <c r="T35" s="67">
        <f>IFERROR(T13+T15+T16+T17+T18+T19+T20+T21+T22+T23+T24+T25+T26+T29+T30+T31+T32+T33, "NA")</f>
        <v>7945.65</v>
      </c>
      <c r="U35" s="69">
        <f>IFERROR(T35/T148, "NA")</f>
        <v>0.251130945</v>
      </c>
      <c r="V35" s="67">
        <f>IFERROR(V13+V15+V16+V17+V18+V19+V20+V21+V22+V23+V24+V25+V26+V29+V30+V31+V32+V33, "NA")</f>
        <v>5948.77</v>
      </c>
      <c r="W35" s="69">
        <f>IFERROR(V35/V148, "NA")</f>
        <v>0.1977604237</v>
      </c>
      <c r="X35" s="67">
        <f>IFERROR(X13+X15+X16+X17+X18+X19+X20+X21+X22+X23+X24+X25+X26+X29+X30+X31+X32+X33, "NA")</f>
        <v>5464.14</v>
      </c>
      <c r="Y35" s="69">
        <f>IFERROR(X35/X148, "NA")</f>
        <v>0.2194957351</v>
      </c>
      <c r="Z35" s="67">
        <f>IFERROR(Z13+Z15+Z16+Z17+Z18+Z19+Z20+Z21+Z22+Z23+Z24+Z25+Z26+Z29+Z30+Z31+Z32+Z33, "NA")</f>
        <v>25770.72</v>
      </c>
      <c r="AA35" s="69">
        <f>IFERROR(Z35/Z148, "NA")</f>
        <v>0.2311225795</v>
      </c>
      <c r="AB35" s="67">
        <f t="shared" si="13"/>
        <v>6442.68</v>
      </c>
      <c r="AC35" s="69">
        <f>IFERROR(AB35/AB148, "NA")</f>
        <v>0.2311225795</v>
      </c>
      <c r="AD35" s="70">
        <f t="shared" si="14"/>
        <v>-978.54</v>
      </c>
      <c r="AE35" s="71">
        <f>IFERROR(AD35/AD148, "NA")</f>
        <v>0.3281997962</v>
      </c>
      <c r="AF35" s="70">
        <f t="shared" si="15"/>
        <v>-0.1518839986</v>
      </c>
      <c r="AG35" s="67">
        <f t="shared" si="16"/>
        <v>6685.3025</v>
      </c>
      <c r="AH35" s="69">
        <f>IFERROR(AG35/AG148, "NA")</f>
        <v>0.235370222</v>
      </c>
      <c r="AI35" s="70">
        <f t="shared" si="17"/>
        <v>-1221.1625</v>
      </c>
      <c r="AJ35" s="71">
        <f>IFERROR(AI35/AI148, "NA")</f>
        <v>0.3479800572</v>
      </c>
      <c r="AK35" s="70">
        <f t="shared" si="18"/>
        <v>-0.1826637613</v>
      </c>
      <c r="AL35" s="71">
        <f>IFERROR(AK35/AK148, "NA")</f>
        <v>1.478437052</v>
      </c>
    </row>
    <row r="36" ht="16.5" customHeight="1">
      <c r="A36" s="17" t="s">
        <v>94</v>
      </c>
      <c r="B36" s="19"/>
      <c r="C36" s="13"/>
      <c r="D36" s="19"/>
      <c r="E36" s="13"/>
      <c r="F36" s="19"/>
      <c r="G36" s="13"/>
      <c r="H36" s="19"/>
      <c r="I36" s="13"/>
      <c r="J36" s="19"/>
      <c r="K36" s="13"/>
      <c r="L36" s="19"/>
      <c r="M36" s="13"/>
      <c r="N36" s="19"/>
      <c r="O36" s="13"/>
      <c r="P36" s="19"/>
      <c r="Q36" s="13"/>
      <c r="R36" s="19"/>
      <c r="S36" s="13"/>
      <c r="T36" s="19"/>
      <c r="U36" s="13"/>
      <c r="V36" s="19"/>
      <c r="W36" s="13"/>
      <c r="X36" s="19"/>
      <c r="Y36" s="13"/>
      <c r="Z36" s="19"/>
      <c r="AA36" s="13"/>
      <c r="AB36" s="19"/>
      <c r="AC36" s="13"/>
      <c r="AD36" s="24"/>
      <c r="AE36" s="25"/>
      <c r="AF36" s="24"/>
      <c r="AG36" s="19"/>
      <c r="AH36" s="13"/>
      <c r="AI36" s="24"/>
      <c r="AJ36" s="25"/>
      <c r="AK36" s="24"/>
      <c r="AL36" s="25"/>
    </row>
    <row r="37" ht="16.5" hidden="1" customHeight="1">
      <c r="A37" s="26" t="s">
        <v>95</v>
      </c>
      <c r="B37" s="27">
        <v>0.0</v>
      </c>
      <c r="C37" s="23">
        <f>IFERROR(B37/B148, "NA")</f>
        <v>0</v>
      </c>
      <c r="D37" s="27">
        <v>0.0</v>
      </c>
      <c r="E37" s="23">
        <f>IFERROR(D37/D148, "NA")</f>
        <v>0</v>
      </c>
      <c r="F37" s="27">
        <v>0.0</v>
      </c>
      <c r="G37" s="23">
        <f>IFERROR(F37/F148, "NA")</f>
        <v>0</v>
      </c>
      <c r="H37" s="27">
        <v>0.0</v>
      </c>
      <c r="I37" s="23">
        <f>IFERROR(H37/H148, "NA")</f>
        <v>0</v>
      </c>
      <c r="J37" s="27">
        <v>0.0</v>
      </c>
      <c r="K37" s="23">
        <f>IFERROR(J37/J148, "NA")</f>
        <v>0</v>
      </c>
      <c r="L37" s="27">
        <v>0.0</v>
      </c>
      <c r="M37" s="23">
        <f>IFERROR(L37/L148, "NA")</f>
        <v>0</v>
      </c>
      <c r="N37" s="27">
        <v>0.0</v>
      </c>
      <c r="O37" s="23">
        <f>IFERROR(N37/N148, "NA")</f>
        <v>0</v>
      </c>
      <c r="P37" s="27">
        <v>0.0</v>
      </c>
      <c r="Q37" s="23">
        <f>IFERROR(P37/P148, "NA")</f>
        <v>0</v>
      </c>
      <c r="R37" s="27">
        <v>0.0</v>
      </c>
      <c r="S37" s="23">
        <f>IFERROR(R37/R148, "NA")</f>
        <v>0</v>
      </c>
      <c r="T37" s="27">
        <v>0.0</v>
      </c>
      <c r="U37" s="23">
        <f>IFERROR(T37/T148, "NA")</f>
        <v>0</v>
      </c>
      <c r="V37" s="27">
        <v>0.0</v>
      </c>
      <c r="W37" s="23">
        <f>IFERROR(V37/V148, "NA")</f>
        <v>0</v>
      </c>
      <c r="X37" s="27">
        <v>0.0</v>
      </c>
      <c r="Y37" s="23">
        <f>IFERROR(X37/X148, "NA")</f>
        <v>0</v>
      </c>
      <c r="Z37" s="27">
        <v>0.0</v>
      </c>
      <c r="AA37" s="23">
        <f>IFERROR(Z37/Z148, "NA")</f>
        <v>0</v>
      </c>
      <c r="AB37" s="59">
        <f>IFERROR((R37+T37+V37+X37)/4, "NA")</f>
        <v>0</v>
      </c>
      <c r="AC37" s="23">
        <f>IFERROR(AB37/AB148, "NA")</f>
        <v>0</v>
      </c>
      <c r="AD37" s="61">
        <f>IFERROR(X37-AB37, "NA")</f>
        <v>0</v>
      </c>
      <c r="AE37" s="63">
        <f>IFERROR(AD37/AD148, "NA")</f>
        <v>0</v>
      </c>
      <c r="AF37" s="61" t="str">
        <f>IFERROR((X37-AB37)/AB37, "NA")</f>
        <v>NA</v>
      </c>
      <c r="AG37" s="59">
        <f>IFERROR((J37+L37+N37+P37+R37+T37+V37+X37)/8, "NA")</f>
        <v>0</v>
      </c>
      <c r="AH37" s="23">
        <f>IFERROR(AG37/AG148, "NA")</f>
        <v>0</v>
      </c>
      <c r="AI37" s="61">
        <f>IFERROR(X37-AG37, "NA")</f>
        <v>0</v>
      </c>
      <c r="AJ37" s="63">
        <f>IFERROR(AI37/AI148, "NA")</f>
        <v>0</v>
      </c>
      <c r="AK37" s="61" t="str">
        <f>IFERROR((X37-AG37)/AG37, "NA")</f>
        <v>NA</v>
      </c>
      <c r="AL37" s="63" t="str">
        <f>IFERROR(AK37/AK148, "NA")</f>
        <v>NA</v>
      </c>
    </row>
    <row r="38" ht="16.5" customHeight="1">
      <c r="A38" s="17" t="s">
        <v>96</v>
      </c>
      <c r="B38" s="19"/>
      <c r="C38" s="13"/>
      <c r="D38" s="19"/>
      <c r="E38" s="13"/>
      <c r="F38" s="19"/>
      <c r="G38" s="13"/>
      <c r="H38" s="19"/>
      <c r="I38" s="13"/>
      <c r="J38" s="19"/>
      <c r="K38" s="13"/>
      <c r="L38" s="19"/>
      <c r="M38" s="13"/>
      <c r="N38" s="19"/>
      <c r="O38" s="13"/>
      <c r="P38" s="19"/>
      <c r="Q38" s="13"/>
      <c r="R38" s="19"/>
      <c r="S38" s="13"/>
      <c r="T38" s="19"/>
      <c r="U38" s="13"/>
      <c r="V38" s="19"/>
      <c r="W38" s="13"/>
      <c r="X38" s="19"/>
      <c r="Y38" s="13"/>
      <c r="Z38" s="19"/>
      <c r="AA38" s="13"/>
      <c r="AB38" s="19"/>
      <c r="AC38" s="13"/>
      <c r="AD38" s="24"/>
      <c r="AE38" s="25"/>
      <c r="AF38" s="24"/>
      <c r="AG38" s="19"/>
      <c r="AH38" s="13"/>
      <c r="AI38" s="24"/>
      <c r="AJ38" s="25"/>
      <c r="AK38" s="24"/>
      <c r="AL38" s="25"/>
    </row>
    <row r="39" ht="16.5" hidden="1" customHeight="1">
      <c r="A39" s="26" t="s">
        <v>97</v>
      </c>
      <c r="B39" s="27">
        <v>0.0</v>
      </c>
      <c r="C39" s="23">
        <f>IFERROR(B39/B148, "NA")</f>
        <v>0</v>
      </c>
      <c r="D39" s="27">
        <v>0.0</v>
      </c>
      <c r="E39" s="23">
        <f>IFERROR(D39/D148, "NA")</f>
        <v>0</v>
      </c>
      <c r="F39" s="27">
        <v>0.0</v>
      </c>
      <c r="G39" s="23">
        <f>IFERROR(F39/F148, "NA")</f>
        <v>0</v>
      </c>
      <c r="H39" s="27">
        <v>0.0</v>
      </c>
      <c r="I39" s="23">
        <f>IFERROR(H39/H148, "NA")</f>
        <v>0</v>
      </c>
      <c r="J39" s="27">
        <v>0.0</v>
      </c>
      <c r="K39" s="23">
        <f>IFERROR(J39/J148, "NA")</f>
        <v>0</v>
      </c>
      <c r="L39" s="27">
        <v>0.0</v>
      </c>
      <c r="M39" s="23">
        <f>IFERROR(L39/L148, "NA")</f>
        <v>0</v>
      </c>
      <c r="N39" s="27">
        <v>0.0</v>
      </c>
      <c r="O39" s="23">
        <f>IFERROR(N39/N148, "NA")</f>
        <v>0</v>
      </c>
      <c r="P39" s="27">
        <v>0.0</v>
      </c>
      <c r="Q39" s="23">
        <f>IFERROR(P39/P148, "NA")</f>
        <v>0</v>
      </c>
      <c r="R39" s="27">
        <v>0.0</v>
      </c>
      <c r="S39" s="23">
        <f>IFERROR(R39/R148, "NA")</f>
        <v>0</v>
      </c>
      <c r="T39" s="27">
        <v>0.0</v>
      </c>
      <c r="U39" s="23">
        <f>IFERROR(T39/T148, "NA")</f>
        <v>0</v>
      </c>
      <c r="V39" s="27">
        <v>0.0</v>
      </c>
      <c r="W39" s="23">
        <f>IFERROR(V39/V148, "NA")</f>
        <v>0</v>
      </c>
      <c r="X39" s="27">
        <v>0.0</v>
      </c>
      <c r="Y39" s="23">
        <f>IFERROR(X39/X148, "NA")</f>
        <v>0</v>
      </c>
      <c r="Z39" s="27">
        <v>0.0</v>
      </c>
      <c r="AA39" s="23">
        <f>IFERROR(Z39/Z148, "NA")</f>
        <v>0</v>
      </c>
      <c r="AB39" s="59">
        <f t="shared" ref="AB39:AB44" si="19">IFERROR((R39+T39+V39+X39)/4, "NA")</f>
        <v>0</v>
      </c>
      <c r="AC39" s="23">
        <f>IFERROR(AB39/AB148, "NA")</f>
        <v>0</v>
      </c>
      <c r="AD39" s="61">
        <f t="shared" ref="AD39:AD44" si="20">IFERROR(X39-AB39, "NA")</f>
        <v>0</v>
      </c>
      <c r="AE39" s="63">
        <f>IFERROR(AD39/AD148, "NA")</f>
        <v>0</v>
      </c>
      <c r="AF39" s="61" t="str">
        <f t="shared" ref="AF39:AF44" si="21">IFERROR((X39-AB39)/AB39, "NA")</f>
        <v>NA</v>
      </c>
      <c r="AG39" s="59">
        <f t="shared" ref="AG39:AG44" si="22">IFERROR((J39+L39+N39+P39+R39+T39+V39+X39)/8, "NA")</f>
        <v>0</v>
      </c>
      <c r="AH39" s="23">
        <f>IFERROR(AG39/AG148, "NA")</f>
        <v>0</v>
      </c>
      <c r="AI39" s="61">
        <f t="shared" ref="AI39:AI44" si="23">IFERROR(X39-AG39, "NA")</f>
        <v>0</v>
      </c>
      <c r="AJ39" s="63">
        <f>IFERROR(AI39/AI148, "NA")</f>
        <v>0</v>
      </c>
      <c r="AK39" s="61" t="str">
        <f t="shared" ref="AK39:AK44" si="24">IFERROR((X39-AG39)/AG39, "NA")</f>
        <v>NA</v>
      </c>
      <c r="AL39" s="63" t="str">
        <f>IFERROR(AK39/AK148, "NA")</f>
        <v>NA</v>
      </c>
    </row>
    <row r="40" ht="16.5" customHeight="1">
      <c r="A40" s="26" t="s">
        <v>98</v>
      </c>
      <c r="B40" s="27">
        <v>1000.21</v>
      </c>
      <c r="C40" s="23">
        <f>IFERROR(B40/B148, "NA")</f>
        <v>0.03436677733</v>
      </c>
      <c r="D40" s="27">
        <v>909.94</v>
      </c>
      <c r="E40" s="23">
        <f>IFERROR(D40/D148, "NA")</f>
        <v>0.02836947978</v>
      </c>
      <c r="F40" s="27">
        <v>853.66</v>
      </c>
      <c r="G40" s="23">
        <f>IFERROR(F40/F148, "NA")</f>
        <v>0.03243332373</v>
      </c>
      <c r="H40" s="27">
        <v>775.49</v>
      </c>
      <c r="I40" s="23">
        <f>IFERROR(H40/H148, "NA")</f>
        <v>0.03133249887</v>
      </c>
      <c r="J40" s="27">
        <v>836.31</v>
      </c>
      <c r="K40" s="23">
        <f>IFERROR(J40/J148, "NA")</f>
        <v>0.03159138917</v>
      </c>
      <c r="L40" s="27">
        <v>815.47</v>
      </c>
      <c r="M40" s="23">
        <f>IFERROR(L40/L148, "NA")</f>
        <v>0.03278043376</v>
      </c>
      <c r="N40" s="27">
        <v>816.43</v>
      </c>
      <c r="O40" s="23">
        <f>IFERROR(N40/N148, "NA")</f>
        <v>0.02672777206</v>
      </c>
      <c r="P40" s="27">
        <v>942.18</v>
      </c>
      <c r="Q40" s="23">
        <f>IFERROR(P40/P148, "NA")</f>
        <v>0.02785140008</v>
      </c>
      <c r="R40" s="27">
        <v>838.65</v>
      </c>
      <c r="S40" s="23">
        <f>IFERROR(R40/R148, "NA")</f>
        <v>0.03369673222</v>
      </c>
      <c r="T40" s="27">
        <v>795.43</v>
      </c>
      <c r="U40" s="23">
        <f>IFERROR(T40/T148, "NA")</f>
        <v>0.02514043377</v>
      </c>
      <c r="V40" s="27">
        <v>867.54</v>
      </c>
      <c r="W40" s="23">
        <f>IFERROR(V40/V148, "NA")</f>
        <v>0.02884042886</v>
      </c>
      <c r="X40" s="27">
        <v>769.11</v>
      </c>
      <c r="Y40" s="23">
        <f>IFERROR(X40/X148, "NA")</f>
        <v>0.03089532202</v>
      </c>
      <c r="Z40" s="27">
        <v>3270.73</v>
      </c>
      <c r="AA40" s="23">
        <f>IFERROR(Z40/Z148, "NA")</f>
        <v>0.02933327259</v>
      </c>
      <c r="AB40" s="59">
        <f t="shared" si="19"/>
        <v>817.6825</v>
      </c>
      <c r="AC40" s="23">
        <f>IFERROR(AB40/AB148, "NA")</f>
        <v>0.02933327259</v>
      </c>
      <c r="AD40" s="61">
        <f t="shared" si="20"/>
        <v>-48.5725</v>
      </c>
      <c r="AE40" s="63">
        <f>IFERROR(AD40/AD148, "NA")</f>
        <v>0.01629109143</v>
      </c>
      <c r="AF40" s="61">
        <f t="shared" si="21"/>
        <v>-0.059402641</v>
      </c>
      <c r="AG40" s="59">
        <f t="shared" si="22"/>
        <v>835.14</v>
      </c>
      <c r="AH40" s="23">
        <f>IFERROR(AG40/AG148, "NA")</f>
        <v>0.02940287103</v>
      </c>
      <c r="AI40" s="61">
        <f t="shared" si="23"/>
        <v>-66.03</v>
      </c>
      <c r="AJ40" s="63">
        <f>IFERROR(AI40/AI148, "NA")</f>
        <v>0.01881577855</v>
      </c>
      <c r="AK40" s="61">
        <f t="shared" si="24"/>
        <v>-0.07906458797</v>
      </c>
      <c r="AL40" s="63">
        <f>IFERROR(AK40/AK148, "NA")</f>
        <v>0.6399299761</v>
      </c>
    </row>
    <row r="41" ht="16.5" customHeight="1">
      <c r="A41" s="26" t="s">
        <v>99</v>
      </c>
      <c r="B41" s="27">
        <v>293.77</v>
      </c>
      <c r="C41" s="23">
        <f>IFERROR(B41/B148, "NA")</f>
        <v>0.01009380848</v>
      </c>
      <c r="D41" s="27">
        <v>225.45</v>
      </c>
      <c r="E41" s="23">
        <f>IFERROR(D41/D148, "NA")</f>
        <v>0.007028924124</v>
      </c>
      <c r="F41" s="27">
        <v>108.97</v>
      </c>
      <c r="G41" s="23">
        <f>IFERROR(F41/F148, "NA")</f>
        <v>0.004140125211</v>
      </c>
      <c r="H41" s="27">
        <v>73.89</v>
      </c>
      <c r="I41" s="23">
        <f>IFERROR(H41/H148, "NA")</f>
        <v>0.002985413534</v>
      </c>
      <c r="J41" s="27">
        <v>119.35</v>
      </c>
      <c r="K41" s="23">
        <f>IFERROR(J41/J148, "NA")</f>
        <v>0.0045084147</v>
      </c>
      <c r="L41" s="27">
        <v>106.74</v>
      </c>
      <c r="M41" s="23">
        <f>IFERROR(L41/L148, "NA")</f>
        <v>0.004290756864</v>
      </c>
      <c r="N41" s="27">
        <v>485.56</v>
      </c>
      <c r="O41" s="23">
        <f>IFERROR(N41/N148, "NA")</f>
        <v>0.01589595801</v>
      </c>
      <c r="P41" s="27">
        <v>248.46</v>
      </c>
      <c r="Q41" s="23">
        <f>IFERROR(P41/P148, "NA")</f>
        <v>0.007344625086</v>
      </c>
      <c r="R41" s="27">
        <v>248.12</v>
      </c>
      <c r="S41" s="23">
        <f>IFERROR(R41/R148, "NA")</f>
        <v>0.009969395098</v>
      </c>
      <c r="T41" s="27">
        <v>439.62</v>
      </c>
      <c r="U41" s="23">
        <f>IFERROR(T41/T148, "NA")</f>
        <v>0.01389467017</v>
      </c>
      <c r="V41" s="27">
        <v>257.66</v>
      </c>
      <c r="W41" s="23">
        <f>IFERROR(V41/V148, "NA")</f>
        <v>0.008565627983</v>
      </c>
      <c r="X41" s="27">
        <v>-0.58</v>
      </c>
      <c r="Y41" s="23">
        <f>IFERROR(X41/X148, "NA")</f>
        <v>-0.0000232987307</v>
      </c>
      <c r="Z41" s="27">
        <v>944.82</v>
      </c>
      <c r="AA41" s="23">
        <f>IFERROR(Z41/Z148, "NA")</f>
        <v>0.008473540343</v>
      </c>
      <c r="AB41" s="59">
        <f t="shared" si="19"/>
        <v>236.205</v>
      </c>
      <c r="AC41" s="23">
        <f>IFERROR(AB41/AB148, "NA")</f>
        <v>0.008473540343</v>
      </c>
      <c r="AD41" s="61">
        <f t="shared" si="20"/>
        <v>-236.785</v>
      </c>
      <c r="AE41" s="63">
        <f>IFERROR(AD41/AD148, "NA")</f>
        <v>0.07941707928</v>
      </c>
      <c r="AF41" s="61">
        <f t="shared" si="21"/>
        <v>-1.002455494</v>
      </c>
      <c r="AG41" s="59">
        <f t="shared" si="22"/>
        <v>238.11625</v>
      </c>
      <c r="AH41" s="23">
        <f>IFERROR(AG41/AG148, "NA")</f>
        <v>0.008383386484</v>
      </c>
      <c r="AI41" s="61">
        <f t="shared" si="23"/>
        <v>-238.69625</v>
      </c>
      <c r="AJ41" s="63">
        <f>IFERROR(AI41/AI148, "NA")</f>
        <v>0.06801841256</v>
      </c>
      <c r="AK41" s="61">
        <f t="shared" si="24"/>
        <v>-1.002435785</v>
      </c>
      <c r="AL41" s="63">
        <f>IFERROR(AK41/AK148, "NA")</f>
        <v>8.113476898</v>
      </c>
    </row>
    <row r="42" ht="16.5" hidden="1" customHeight="1">
      <c r="A42" s="26" t="s">
        <v>100</v>
      </c>
      <c r="B42" s="27">
        <v>0.0</v>
      </c>
      <c r="C42" s="23">
        <f>IFERROR(B42/B148, "NA")</f>
        <v>0</v>
      </c>
      <c r="D42" s="27">
        <v>0.0</v>
      </c>
      <c r="E42" s="23">
        <f>IFERROR(D42/D148, "NA")</f>
        <v>0</v>
      </c>
      <c r="F42" s="27">
        <v>0.0</v>
      </c>
      <c r="G42" s="23">
        <f>IFERROR(F42/F148, "NA")</f>
        <v>0</v>
      </c>
      <c r="H42" s="27">
        <v>0.0</v>
      </c>
      <c r="I42" s="23">
        <f>IFERROR(H42/H148, "NA")</f>
        <v>0</v>
      </c>
      <c r="J42" s="27">
        <v>0.0</v>
      </c>
      <c r="K42" s="23">
        <f>IFERROR(J42/J148, "NA")</f>
        <v>0</v>
      </c>
      <c r="L42" s="27">
        <v>0.0</v>
      </c>
      <c r="M42" s="23">
        <f>IFERROR(L42/L148, "NA")</f>
        <v>0</v>
      </c>
      <c r="N42" s="27">
        <v>0.0</v>
      </c>
      <c r="O42" s="23">
        <f>IFERROR(N42/N148, "NA")</f>
        <v>0</v>
      </c>
      <c r="P42" s="27">
        <v>0.0</v>
      </c>
      <c r="Q42" s="23">
        <f>IFERROR(P42/P148, "NA")</f>
        <v>0</v>
      </c>
      <c r="R42" s="27">
        <v>0.0</v>
      </c>
      <c r="S42" s="23">
        <f>IFERROR(R42/R148, "NA")</f>
        <v>0</v>
      </c>
      <c r="T42" s="27">
        <v>0.0</v>
      </c>
      <c r="U42" s="23">
        <f>IFERROR(T42/T148, "NA")</f>
        <v>0</v>
      </c>
      <c r="V42" s="27">
        <v>0.0</v>
      </c>
      <c r="W42" s="23">
        <f>IFERROR(V42/V148, "NA")</f>
        <v>0</v>
      </c>
      <c r="X42" s="27">
        <v>0.0</v>
      </c>
      <c r="Y42" s="23">
        <f>IFERROR(X42/X148, "NA")</f>
        <v>0</v>
      </c>
      <c r="Z42" s="27">
        <v>0.0</v>
      </c>
      <c r="AA42" s="23">
        <f>IFERROR(Z42/Z148, "NA")</f>
        <v>0</v>
      </c>
      <c r="AB42" s="59">
        <f t="shared" si="19"/>
        <v>0</v>
      </c>
      <c r="AC42" s="23">
        <f>IFERROR(AB42/AB148, "NA")</f>
        <v>0</v>
      </c>
      <c r="AD42" s="61">
        <f t="shared" si="20"/>
        <v>0</v>
      </c>
      <c r="AE42" s="63">
        <f>IFERROR(AD42/AD148, "NA")</f>
        <v>0</v>
      </c>
      <c r="AF42" s="61" t="str">
        <f t="shared" si="21"/>
        <v>NA</v>
      </c>
      <c r="AG42" s="59">
        <f t="shared" si="22"/>
        <v>0</v>
      </c>
      <c r="AH42" s="23">
        <f>IFERROR(AG42/AG148, "NA")</f>
        <v>0</v>
      </c>
      <c r="AI42" s="61">
        <f t="shared" si="23"/>
        <v>0</v>
      </c>
      <c r="AJ42" s="63">
        <f>IFERROR(AI42/AI148, "NA")</f>
        <v>0</v>
      </c>
      <c r="AK42" s="61" t="str">
        <f t="shared" si="24"/>
        <v>NA</v>
      </c>
      <c r="AL42" s="63" t="str">
        <f>IFERROR(AK42/AK148, "NA")</f>
        <v>NA</v>
      </c>
    </row>
    <row r="43" ht="16.5" hidden="1" customHeight="1">
      <c r="A43" s="26" t="s">
        <v>101</v>
      </c>
      <c r="B43" s="27">
        <v>0.0</v>
      </c>
      <c r="C43" s="23">
        <f>IFERROR(B43/B148, "NA")</f>
        <v>0</v>
      </c>
      <c r="D43" s="27">
        <v>0.0</v>
      </c>
      <c r="E43" s="23">
        <f>IFERROR(D43/D148, "NA")</f>
        <v>0</v>
      </c>
      <c r="F43" s="27">
        <v>0.0</v>
      </c>
      <c r="G43" s="23">
        <f>IFERROR(F43/F148, "NA")</f>
        <v>0</v>
      </c>
      <c r="H43" s="27">
        <v>0.0</v>
      </c>
      <c r="I43" s="23">
        <f>IFERROR(H43/H148, "NA")</f>
        <v>0</v>
      </c>
      <c r="J43" s="27">
        <v>0.0</v>
      </c>
      <c r="K43" s="23">
        <f>IFERROR(J43/J148, "NA")</f>
        <v>0</v>
      </c>
      <c r="L43" s="27">
        <v>0.0</v>
      </c>
      <c r="M43" s="23">
        <f>IFERROR(L43/L148, "NA")</f>
        <v>0</v>
      </c>
      <c r="N43" s="27">
        <v>0.0</v>
      </c>
      <c r="O43" s="23">
        <f>IFERROR(N43/N148, "NA")</f>
        <v>0</v>
      </c>
      <c r="P43" s="27">
        <v>0.0</v>
      </c>
      <c r="Q43" s="23">
        <f>IFERROR(P43/P148, "NA")</f>
        <v>0</v>
      </c>
      <c r="R43" s="27">
        <v>0.0</v>
      </c>
      <c r="S43" s="23">
        <f>IFERROR(R43/R148, "NA")</f>
        <v>0</v>
      </c>
      <c r="T43" s="27">
        <v>0.0</v>
      </c>
      <c r="U43" s="23">
        <f>IFERROR(T43/T148, "NA")</f>
        <v>0</v>
      </c>
      <c r="V43" s="27">
        <v>0.0</v>
      </c>
      <c r="W43" s="23">
        <f>IFERROR(V43/V148, "NA")</f>
        <v>0</v>
      </c>
      <c r="X43" s="27">
        <v>0.0</v>
      </c>
      <c r="Y43" s="23">
        <f>IFERROR(X43/X148, "NA")</f>
        <v>0</v>
      </c>
      <c r="Z43" s="27">
        <v>0.0</v>
      </c>
      <c r="AA43" s="23">
        <f>IFERROR(Z43/Z148, "NA")</f>
        <v>0</v>
      </c>
      <c r="AB43" s="59">
        <f t="shared" si="19"/>
        <v>0</v>
      </c>
      <c r="AC43" s="23">
        <f>IFERROR(AB43/AB148, "NA")</f>
        <v>0</v>
      </c>
      <c r="AD43" s="61">
        <f t="shared" si="20"/>
        <v>0</v>
      </c>
      <c r="AE43" s="63">
        <f>IFERROR(AD43/AD148, "NA")</f>
        <v>0</v>
      </c>
      <c r="AF43" s="61" t="str">
        <f t="shared" si="21"/>
        <v>NA</v>
      </c>
      <c r="AG43" s="59">
        <f t="shared" si="22"/>
        <v>0</v>
      </c>
      <c r="AH43" s="23">
        <f>IFERROR(AG43/AG148, "NA")</f>
        <v>0</v>
      </c>
      <c r="AI43" s="61">
        <f t="shared" si="23"/>
        <v>0</v>
      </c>
      <c r="AJ43" s="63">
        <f>IFERROR(AI43/AI148, "NA")</f>
        <v>0</v>
      </c>
      <c r="AK43" s="61" t="str">
        <f t="shared" si="24"/>
        <v>NA</v>
      </c>
      <c r="AL43" s="63" t="str">
        <f>IFERROR(AK43/AK148, "NA")</f>
        <v>NA</v>
      </c>
    </row>
    <row r="44" ht="16.5" customHeight="1">
      <c r="A44" s="66" t="s">
        <v>102</v>
      </c>
      <c r="B44" s="67">
        <f>IFERROR(B39+B40+B41+B42+B43, "NA")</f>
        <v>1293.98</v>
      </c>
      <c r="C44" s="69">
        <f>IFERROR(B44/B148, "NA")</f>
        <v>0.0444605858</v>
      </c>
      <c r="D44" s="67">
        <f>IFERROR(D39+D40+D41+D42+D43, "NA")</f>
        <v>1135.39</v>
      </c>
      <c r="E44" s="69">
        <f>IFERROR(D44/D148, "NA")</f>
        <v>0.03539840391</v>
      </c>
      <c r="F44" s="67">
        <f>IFERROR(F39+F40+F41+F42+F43, "NA")</f>
        <v>962.63</v>
      </c>
      <c r="G44" s="69">
        <f>IFERROR(F44/F148, "NA")</f>
        <v>0.03657344894</v>
      </c>
      <c r="H44" s="67">
        <f>IFERROR(H39+H40+H41+H42+H43, "NA")</f>
        <v>849.38</v>
      </c>
      <c r="I44" s="69">
        <f>IFERROR(H44/H148, "NA")</f>
        <v>0.0343179124</v>
      </c>
      <c r="J44" s="67">
        <f>IFERROR(J39+J40+J41+J42+J43, "NA")</f>
        <v>955.66</v>
      </c>
      <c r="K44" s="69">
        <f>IFERROR(J44/J148, "NA")</f>
        <v>0.03609980387</v>
      </c>
      <c r="L44" s="67">
        <f>IFERROR(L39+L40+L41+L42+L43, "NA")</f>
        <v>922.21</v>
      </c>
      <c r="M44" s="69">
        <f>IFERROR(L44/L148, "NA")</f>
        <v>0.03707119063</v>
      </c>
      <c r="N44" s="67">
        <f>IFERROR(N39+N40+N41+N42+N43, "NA")</f>
        <v>1301.99</v>
      </c>
      <c r="O44" s="69">
        <f>IFERROR(N44/N148, "NA")</f>
        <v>0.04262373008</v>
      </c>
      <c r="P44" s="67">
        <f>IFERROR(P39+P40+P41+P42+P43, "NA")</f>
        <v>1190.64</v>
      </c>
      <c r="Q44" s="69">
        <f>IFERROR(P44/P148, "NA")</f>
        <v>0.03519602516</v>
      </c>
      <c r="R44" s="67">
        <f>IFERROR(R39+R40+R41+R42+R43, "NA")</f>
        <v>1086.77</v>
      </c>
      <c r="S44" s="69">
        <f>IFERROR(R44/R148, "NA")</f>
        <v>0.04366612732</v>
      </c>
      <c r="T44" s="67">
        <f>IFERROR(T39+T40+T41+T42+T43, "NA")</f>
        <v>1235.05</v>
      </c>
      <c r="U44" s="69">
        <f>IFERROR(T44/T148, "NA")</f>
        <v>0.03903510394</v>
      </c>
      <c r="V44" s="67">
        <f>IFERROR(V39+V40+V41+V42+V43, "NA")</f>
        <v>1125.2</v>
      </c>
      <c r="W44" s="69">
        <f>IFERROR(V44/V148, "NA")</f>
        <v>0.03740605684</v>
      </c>
      <c r="X44" s="67">
        <f>IFERROR(X39+X40+X41+X42+X43, "NA")</f>
        <v>768.53</v>
      </c>
      <c r="Y44" s="69">
        <f>IFERROR(X44/X148, "NA")</f>
        <v>0.03087202329</v>
      </c>
      <c r="Z44" s="67">
        <f>IFERROR(Z39+Z40+Z41+Z42+Z43, "NA")</f>
        <v>4215.55</v>
      </c>
      <c r="AA44" s="69">
        <f>IFERROR(Z44/Z148, "NA")</f>
        <v>0.03780681293</v>
      </c>
      <c r="AB44" s="67">
        <f t="shared" si="19"/>
        <v>1053.8875</v>
      </c>
      <c r="AC44" s="69">
        <f>IFERROR(AB44/AB148, "NA")</f>
        <v>0.03780681293</v>
      </c>
      <c r="AD44" s="70">
        <f t="shared" si="20"/>
        <v>-285.3575</v>
      </c>
      <c r="AE44" s="71">
        <f>IFERROR(AD44/AD148, "NA")</f>
        <v>0.0957081707</v>
      </c>
      <c r="AF44" s="70">
        <f t="shared" si="21"/>
        <v>-0.2707665666</v>
      </c>
      <c r="AG44" s="67">
        <f t="shared" si="22"/>
        <v>1073.25625</v>
      </c>
      <c r="AH44" s="69">
        <f>IFERROR(AG44/AG148, "NA")</f>
        <v>0.03778625751</v>
      </c>
      <c r="AI44" s="70">
        <f t="shared" si="23"/>
        <v>-304.72625</v>
      </c>
      <c r="AJ44" s="71">
        <f>IFERROR(AI44/AI148, "NA")</f>
        <v>0.08683419112</v>
      </c>
      <c r="AK44" s="70">
        <f t="shared" si="24"/>
        <v>-0.2839268348</v>
      </c>
      <c r="AL44" s="71">
        <f>IFERROR(AK44/AK148, "NA")</f>
        <v>2.298036293</v>
      </c>
    </row>
    <row r="45" ht="16.5" customHeight="1">
      <c r="A45" s="17" t="s">
        <v>103</v>
      </c>
      <c r="B45" s="19"/>
      <c r="C45" s="13"/>
      <c r="D45" s="19"/>
      <c r="E45" s="13"/>
      <c r="F45" s="19"/>
      <c r="G45" s="13"/>
      <c r="H45" s="19"/>
      <c r="I45" s="13"/>
      <c r="J45" s="19"/>
      <c r="K45" s="13"/>
      <c r="L45" s="19"/>
      <c r="M45" s="13"/>
      <c r="N45" s="19"/>
      <c r="O45" s="13"/>
      <c r="P45" s="19"/>
      <c r="Q45" s="13"/>
      <c r="R45" s="19"/>
      <c r="S45" s="13"/>
      <c r="T45" s="19"/>
      <c r="U45" s="13"/>
      <c r="V45" s="19"/>
      <c r="W45" s="13"/>
      <c r="X45" s="19"/>
      <c r="Y45" s="13"/>
      <c r="Z45" s="19"/>
      <c r="AA45" s="13"/>
      <c r="AB45" s="19"/>
      <c r="AC45" s="13"/>
      <c r="AD45" s="24"/>
      <c r="AE45" s="25"/>
      <c r="AF45" s="24"/>
      <c r="AG45" s="19"/>
      <c r="AH45" s="13"/>
      <c r="AI45" s="24"/>
      <c r="AJ45" s="25"/>
      <c r="AK45" s="24"/>
      <c r="AL45" s="25"/>
    </row>
    <row r="46" ht="16.5" hidden="1" customHeight="1">
      <c r="A46" s="26" t="s">
        <v>104</v>
      </c>
      <c r="B46" s="27">
        <v>0.0</v>
      </c>
      <c r="C46" s="23">
        <f>IFERROR(B46/B148, "NA")</f>
        <v>0</v>
      </c>
      <c r="D46" s="27">
        <v>0.0</v>
      </c>
      <c r="E46" s="23">
        <f>IFERROR(D46/D148, "NA")</f>
        <v>0</v>
      </c>
      <c r="F46" s="27">
        <v>0.0</v>
      </c>
      <c r="G46" s="23">
        <f>IFERROR(F46/F148, "NA")</f>
        <v>0</v>
      </c>
      <c r="H46" s="27">
        <v>0.0</v>
      </c>
      <c r="I46" s="23">
        <f>IFERROR(H46/H148, "NA")</f>
        <v>0</v>
      </c>
      <c r="J46" s="27">
        <v>0.0</v>
      </c>
      <c r="K46" s="23">
        <f>IFERROR(J46/J148, "NA")</f>
        <v>0</v>
      </c>
      <c r="L46" s="27">
        <v>0.0</v>
      </c>
      <c r="M46" s="23">
        <f>IFERROR(L46/L148, "NA")</f>
        <v>0</v>
      </c>
      <c r="N46" s="27">
        <v>0.0</v>
      </c>
      <c r="O46" s="23">
        <f>IFERROR(N46/N148, "NA")</f>
        <v>0</v>
      </c>
      <c r="P46" s="27">
        <v>0.0</v>
      </c>
      <c r="Q46" s="23">
        <f>IFERROR(P46/P148, "NA")</f>
        <v>0</v>
      </c>
      <c r="R46" s="27">
        <v>0.0</v>
      </c>
      <c r="S46" s="23">
        <f>IFERROR(R46/R148, "NA")</f>
        <v>0</v>
      </c>
      <c r="T46" s="27">
        <v>0.0</v>
      </c>
      <c r="U46" s="23">
        <f>IFERROR(T46/T148, "NA")</f>
        <v>0</v>
      </c>
      <c r="V46" s="27">
        <v>0.0</v>
      </c>
      <c r="W46" s="23">
        <f>IFERROR(V46/V148, "NA")</f>
        <v>0</v>
      </c>
      <c r="X46" s="27">
        <v>0.0</v>
      </c>
      <c r="Y46" s="23">
        <f>IFERROR(X46/X148, "NA")</f>
        <v>0</v>
      </c>
      <c r="Z46" s="27">
        <v>0.0</v>
      </c>
      <c r="AA46" s="23">
        <f>IFERROR(Z46/Z148, "NA")</f>
        <v>0</v>
      </c>
      <c r="AB46" s="59">
        <f t="shared" ref="AB46:AB57" si="25">IFERROR((R46+T46+V46+X46)/4, "NA")</f>
        <v>0</v>
      </c>
      <c r="AC46" s="23">
        <f>IFERROR(AB46/AB148, "NA")</f>
        <v>0</v>
      </c>
      <c r="AD46" s="61">
        <f t="shared" ref="AD46:AD57" si="26">IFERROR(X46-AB46, "NA")</f>
        <v>0</v>
      </c>
      <c r="AE46" s="63">
        <f>IFERROR(AD46/AD148, "NA")</f>
        <v>0</v>
      </c>
      <c r="AF46" s="61" t="str">
        <f t="shared" ref="AF46:AF57" si="27">IFERROR((X46-AB46)/AB46, "NA")</f>
        <v>NA</v>
      </c>
      <c r="AG46" s="59">
        <f t="shared" ref="AG46:AG57" si="28">IFERROR((J46+L46+N46+P46+R46+T46+V46+X46)/8, "NA")</f>
        <v>0</v>
      </c>
      <c r="AH46" s="23">
        <f>IFERROR(AG46/AG148, "NA")</f>
        <v>0</v>
      </c>
      <c r="AI46" s="61">
        <f t="shared" ref="AI46:AI57" si="29">IFERROR(X46-AG46, "NA")</f>
        <v>0</v>
      </c>
      <c r="AJ46" s="63">
        <f>IFERROR(AI46/AI148, "NA")</f>
        <v>0</v>
      </c>
      <c r="AK46" s="61" t="str">
        <f t="shared" ref="AK46:AK57" si="30">IFERROR((X46-AG46)/AG46, "NA")</f>
        <v>NA</v>
      </c>
      <c r="AL46" s="63" t="str">
        <f>IFERROR(AK46/AK148, "NA")</f>
        <v>NA</v>
      </c>
    </row>
    <row r="47" ht="16.5" customHeight="1">
      <c r="A47" s="26" t="s">
        <v>107</v>
      </c>
      <c r="B47" s="27">
        <v>69.9</v>
      </c>
      <c r="C47" s="23">
        <f>IFERROR(B47/B148, "NA")</f>
        <v>0.002401733371</v>
      </c>
      <c r="D47" s="27">
        <v>48.16</v>
      </c>
      <c r="E47" s="23">
        <f>IFERROR(D47/D148, "NA")</f>
        <v>0.001501499161</v>
      </c>
      <c r="F47" s="27">
        <v>120.09</v>
      </c>
      <c r="G47" s="23">
        <f>IFERROR(F47/F148, "NA")</f>
        <v>0.004562610228</v>
      </c>
      <c r="H47" s="27">
        <v>110.79</v>
      </c>
      <c r="I47" s="23">
        <f>IFERROR(H47/H148, "NA")</f>
        <v>0.004476302144</v>
      </c>
      <c r="J47" s="27">
        <v>56.05</v>
      </c>
      <c r="K47" s="23">
        <f>IFERROR(J47/J148, "NA")</f>
        <v>0.002117273933</v>
      </c>
      <c r="L47" s="27">
        <v>196.03</v>
      </c>
      <c r="M47" s="23">
        <f>IFERROR(L47/L148, "NA")</f>
        <v>0.007880054975</v>
      </c>
      <c r="N47" s="27">
        <v>89.6</v>
      </c>
      <c r="O47" s="23">
        <f>IFERROR(N47/N148, "NA")</f>
        <v>0.00293326847</v>
      </c>
      <c r="P47" s="27">
        <v>120.7</v>
      </c>
      <c r="Q47" s="23">
        <f>IFERROR(P47/P148, "NA")</f>
        <v>0.003567963648</v>
      </c>
      <c r="R47" s="27">
        <v>113.62</v>
      </c>
      <c r="S47" s="23">
        <f>IFERROR(R47/R148, "NA")</f>
        <v>0.004565221147</v>
      </c>
      <c r="T47" s="27">
        <v>81.19</v>
      </c>
      <c r="U47" s="23">
        <f>IFERROR(T47/T148, "NA")</f>
        <v>0.00256609861</v>
      </c>
      <c r="V47" s="27">
        <v>138.65</v>
      </c>
      <c r="W47" s="23">
        <f>IFERROR(V47/V148, "NA")</f>
        <v>0.004609269269</v>
      </c>
      <c r="X47" s="27">
        <v>142.69</v>
      </c>
      <c r="Y47" s="23">
        <f>IFERROR(X47/X148, "NA")</f>
        <v>0.005731889455</v>
      </c>
      <c r="Z47" s="27">
        <v>476.15</v>
      </c>
      <c r="AA47" s="23">
        <f>IFERROR(Z47/Z148, "NA")</f>
        <v>0.004270312053</v>
      </c>
      <c r="AB47" s="59">
        <f t="shared" si="25"/>
        <v>119.0375</v>
      </c>
      <c r="AC47" s="23">
        <f>IFERROR(AB47/AB148, "NA")</f>
        <v>0.004270312053</v>
      </c>
      <c r="AD47" s="61">
        <f t="shared" si="26"/>
        <v>23.6525</v>
      </c>
      <c r="AE47" s="63">
        <f>IFERROR(AD47/AD148, "NA")</f>
        <v>-0.007932987594</v>
      </c>
      <c r="AF47" s="61">
        <f t="shared" si="27"/>
        <v>0.1986978893</v>
      </c>
      <c r="AG47" s="59">
        <f t="shared" si="28"/>
        <v>117.31625</v>
      </c>
      <c r="AH47" s="23">
        <f>IFERROR(AG47/AG148, "NA")</f>
        <v>0.004130366846</v>
      </c>
      <c r="AI47" s="61">
        <f t="shared" si="29"/>
        <v>25.37375</v>
      </c>
      <c r="AJ47" s="63">
        <f>IFERROR(AI47/AI148, "NA")</f>
        <v>-0.007230453749</v>
      </c>
      <c r="AK47" s="61">
        <f t="shared" si="30"/>
        <v>0.2162850415</v>
      </c>
      <c r="AL47" s="63">
        <f>IFERROR(AK47/AK148, "NA")</f>
        <v>-1.7505597</v>
      </c>
    </row>
    <row r="48" ht="16.5" hidden="1" customHeight="1">
      <c r="A48" s="26" t="s">
        <v>108</v>
      </c>
      <c r="B48" s="27">
        <v>0.0</v>
      </c>
      <c r="C48" s="23">
        <f>IFERROR(B48/B148, "NA")</f>
        <v>0</v>
      </c>
      <c r="D48" s="27">
        <v>0.0</v>
      </c>
      <c r="E48" s="23">
        <f>IFERROR(D48/D148, "NA")</f>
        <v>0</v>
      </c>
      <c r="F48" s="27">
        <v>0.0</v>
      </c>
      <c r="G48" s="23">
        <f>IFERROR(F48/F148, "NA")</f>
        <v>0</v>
      </c>
      <c r="H48" s="27">
        <v>0.0</v>
      </c>
      <c r="I48" s="23">
        <f>IFERROR(H48/H148, "NA")</f>
        <v>0</v>
      </c>
      <c r="J48" s="27">
        <v>0.0</v>
      </c>
      <c r="K48" s="23">
        <f>IFERROR(J48/J148, "NA")</f>
        <v>0</v>
      </c>
      <c r="L48" s="27">
        <v>0.0</v>
      </c>
      <c r="M48" s="23">
        <f>IFERROR(L48/L148, "NA")</f>
        <v>0</v>
      </c>
      <c r="N48" s="27">
        <v>0.0</v>
      </c>
      <c r="O48" s="23">
        <f>IFERROR(N48/N148, "NA")</f>
        <v>0</v>
      </c>
      <c r="P48" s="27">
        <v>0.0</v>
      </c>
      <c r="Q48" s="23">
        <f>IFERROR(P48/P148, "NA")</f>
        <v>0</v>
      </c>
      <c r="R48" s="27">
        <v>0.0</v>
      </c>
      <c r="S48" s="23">
        <f>IFERROR(R48/R148, "NA")</f>
        <v>0</v>
      </c>
      <c r="T48" s="27">
        <v>0.0</v>
      </c>
      <c r="U48" s="23">
        <f>IFERROR(T48/T148, "NA")</f>
        <v>0</v>
      </c>
      <c r="V48" s="27">
        <v>0.0</v>
      </c>
      <c r="W48" s="23">
        <f>IFERROR(V48/V148, "NA")</f>
        <v>0</v>
      </c>
      <c r="X48" s="27">
        <v>0.0</v>
      </c>
      <c r="Y48" s="23">
        <f>IFERROR(X48/X148, "NA")</f>
        <v>0</v>
      </c>
      <c r="Z48" s="27">
        <v>0.0</v>
      </c>
      <c r="AA48" s="23">
        <f>IFERROR(Z48/Z148, "NA")</f>
        <v>0</v>
      </c>
      <c r="AB48" s="59">
        <f t="shared" si="25"/>
        <v>0</v>
      </c>
      <c r="AC48" s="23">
        <f>IFERROR(AB48/AB148, "NA")</f>
        <v>0</v>
      </c>
      <c r="AD48" s="61">
        <f t="shared" si="26"/>
        <v>0</v>
      </c>
      <c r="AE48" s="63">
        <f>IFERROR(AD48/AD148, "NA")</f>
        <v>0</v>
      </c>
      <c r="AF48" s="61" t="str">
        <f t="shared" si="27"/>
        <v>NA</v>
      </c>
      <c r="AG48" s="59">
        <f t="shared" si="28"/>
        <v>0</v>
      </c>
      <c r="AH48" s="23">
        <f>IFERROR(AG48/AG148, "NA")</f>
        <v>0</v>
      </c>
      <c r="AI48" s="61">
        <f t="shared" si="29"/>
        <v>0</v>
      </c>
      <c r="AJ48" s="63">
        <f>IFERROR(AI48/AI148, "NA")</f>
        <v>0</v>
      </c>
      <c r="AK48" s="61" t="str">
        <f t="shared" si="30"/>
        <v>NA</v>
      </c>
      <c r="AL48" s="63" t="str">
        <f>IFERROR(AK48/AK148, "NA")</f>
        <v>NA</v>
      </c>
    </row>
    <row r="49" ht="16.5" hidden="1" customHeight="1">
      <c r="A49" s="26" t="s">
        <v>109</v>
      </c>
      <c r="B49" s="27">
        <v>0.0</v>
      </c>
      <c r="C49" s="23">
        <f>IFERROR(B49/B148, "NA")</f>
        <v>0</v>
      </c>
      <c r="D49" s="27">
        <v>0.0</v>
      </c>
      <c r="E49" s="23">
        <f>IFERROR(D49/D148, "NA")</f>
        <v>0</v>
      </c>
      <c r="F49" s="27">
        <v>0.0</v>
      </c>
      <c r="G49" s="23">
        <f>IFERROR(F49/F148, "NA")</f>
        <v>0</v>
      </c>
      <c r="H49" s="27">
        <v>0.0</v>
      </c>
      <c r="I49" s="23">
        <f>IFERROR(H49/H148, "NA")</f>
        <v>0</v>
      </c>
      <c r="J49" s="27">
        <v>0.0</v>
      </c>
      <c r="K49" s="23">
        <f>IFERROR(J49/J148, "NA")</f>
        <v>0</v>
      </c>
      <c r="L49" s="27">
        <v>0.0</v>
      </c>
      <c r="M49" s="23">
        <f>IFERROR(L49/L148, "NA")</f>
        <v>0</v>
      </c>
      <c r="N49" s="27">
        <v>0.0</v>
      </c>
      <c r="O49" s="23">
        <f>IFERROR(N49/N148, "NA")</f>
        <v>0</v>
      </c>
      <c r="P49" s="27">
        <v>0.0</v>
      </c>
      <c r="Q49" s="23">
        <f>IFERROR(P49/P148, "NA")</f>
        <v>0</v>
      </c>
      <c r="R49" s="27">
        <v>0.0</v>
      </c>
      <c r="S49" s="23">
        <f>IFERROR(R49/R148, "NA")</f>
        <v>0</v>
      </c>
      <c r="T49" s="27">
        <v>0.0</v>
      </c>
      <c r="U49" s="23">
        <f>IFERROR(T49/T148, "NA")</f>
        <v>0</v>
      </c>
      <c r="V49" s="27">
        <v>0.0</v>
      </c>
      <c r="W49" s="23">
        <f>IFERROR(V49/V148, "NA")</f>
        <v>0</v>
      </c>
      <c r="X49" s="27">
        <v>0.0</v>
      </c>
      <c r="Y49" s="23">
        <f>IFERROR(X49/X148, "NA")</f>
        <v>0</v>
      </c>
      <c r="Z49" s="27">
        <v>0.0</v>
      </c>
      <c r="AA49" s="23">
        <f>IFERROR(Z49/Z148, "NA")</f>
        <v>0</v>
      </c>
      <c r="AB49" s="59">
        <f t="shared" si="25"/>
        <v>0</v>
      </c>
      <c r="AC49" s="23">
        <f>IFERROR(AB49/AB148, "NA")</f>
        <v>0</v>
      </c>
      <c r="AD49" s="61">
        <f t="shared" si="26"/>
        <v>0</v>
      </c>
      <c r="AE49" s="63">
        <f>IFERROR(AD49/AD148, "NA")</f>
        <v>0</v>
      </c>
      <c r="AF49" s="61" t="str">
        <f t="shared" si="27"/>
        <v>NA</v>
      </c>
      <c r="AG49" s="59">
        <f t="shared" si="28"/>
        <v>0</v>
      </c>
      <c r="AH49" s="23">
        <f>IFERROR(AG49/AG148, "NA")</f>
        <v>0</v>
      </c>
      <c r="AI49" s="61">
        <f t="shared" si="29"/>
        <v>0</v>
      </c>
      <c r="AJ49" s="63">
        <f>IFERROR(AI49/AI148, "NA")</f>
        <v>0</v>
      </c>
      <c r="AK49" s="61" t="str">
        <f t="shared" si="30"/>
        <v>NA</v>
      </c>
      <c r="AL49" s="63" t="str">
        <f>IFERROR(AK49/AK148, "NA")</f>
        <v>NA</v>
      </c>
    </row>
    <row r="50" ht="16.5" hidden="1" customHeight="1">
      <c r="A50" s="26" t="s">
        <v>110</v>
      </c>
      <c r="B50" s="27">
        <v>0.0</v>
      </c>
      <c r="C50" s="23">
        <f>IFERROR(B50/B148, "NA")</f>
        <v>0</v>
      </c>
      <c r="D50" s="27">
        <v>0.0</v>
      </c>
      <c r="E50" s="23">
        <f>IFERROR(D50/D148, "NA")</f>
        <v>0</v>
      </c>
      <c r="F50" s="27">
        <v>0.0</v>
      </c>
      <c r="G50" s="23">
        <f>IFERROR(F50/F148, "NA")</f>
        <v>0</v>
      </c>
      <c r="H50" s="27">
        <v>0.0</v>
      </c>
      <c r="I50" s="23">
        <f>IFERROR(H50/H148, "NA")</f>
        <v>0</v>
      </c>
      <c r="J50" s="27">
        <v>0.0</v>
      </c>
      <c r="K50" s="23">
        <f>IFERROR(J50/J148, "NA")</f>
        <v>0</v>
      </c>
      <c r="L50" s="27">
        <v>0.0</v>
      </c>
      <c r="M50" s="23">
        <f>IFERROR(L50/L148, "NA")</f>
        <v>0</v>
      </c>
      <c r="N50" s="27">
        <v>0.0</v>
      </c>
      <c r="O50" s="23">
        <f>IFERROR(N50/N148, "NA")</f>
        <v>0</v>
      </c>
      <c r="P50" s="27">
        <v>0.0</v>
      </c>
      <c r="Q50" s="23">
        <f>IFERROR(P50/P148, "NA")</f>
        <v>0</v>
      </c>
      <c r="R50" s="27">
        <v>0.0</v>
      </c>
      <c r="S50" s="23">
        <f>IFERROR(R50/R148, "NA")</f>
        <v>0</v>
      </c>
      <c r="T50" s="27">
        <v>0.0</v>
      </c>
      <c r="U50" s="23">
        <f>IFERROR(T50/T148, "NA")</f>
        <v>0</v>
      </c>
      <c r="V50" s="27">
        <v>0.0</v>
      </c>
      <c r="W50" s="23">
        <f>IFERROR(V50/V148, "NA")</f>
        <v>0</v>
      </c>
      <c r="X50" s="27">
        <v>0.0</v>
      </c>
      <c r="Y50" s="23">
        <f>IFERROR(X50/X148, "NA")</f>
        <v>0</v>
      </c>
      <c r="Z50" s="27">
        <v>0.0</v>
      </c>
      <c r="AA50" s="23">
        <f>IFERROR(Z50/Z148, "NA")</f>
        <v>0</v>
      </c>
      <c r="AB50" s="59">
        <f t="shared" si="25"/>
        <v>0</v>
      </c>
      <c r="AC50" s="23">
        <f>IFERROR(AB50/AB148, "NA")</f>
        <v>0</v>
      </c>
      <c r="AD50" s="61">
        <f t="shared" si="26"/>
        <v>0</v>
      </c>
      <c r="AE50" s="63">
        <f>IFERROR(AD50/AD148, "NA")</f>
        <v>0</v>
      </c>
      <c r="AF50" s="61" t="str">
        <f t="shared" si="27"/>
        <v>NA</v>
      </c>
      <c r="AG50" s="59">
        <f t="shared" si="28"/>
        <v>0</v>
      </c>
      <c r="AH50" s="23">
        <f>IFERROR(AG50/AG148, "NA")</f>
        <v>0</v>
      </c>
      <c r="AI50" s="61">
        <f t="shared" si="29"/>
        <v>0</v>
      </c>
      <c r="AJ50" s="63">
        <f>IFERROR(AI50/AI148, "NA")</f>
        <v>0</v>
      </c>
      <c r="AK50" s="61" t="str">
        <f t="shared" si="30"/>
        <v>NA</v>
      </c>
      <c r="AL50" s="63" t="str">
        <f>IFERROR(AK50/AK148, "NA")</f>
        <v>NA</v>
      </c>
    </row>
    <row r="51" ht="16.5" hidden="1" customHeight="1">
      <c r="A51" s="26" t="s">
        <v>111</v>
      </c>
      <c r="B51" s="27">
        <v>0.0</v>
      </c>
      <c r="C51" s="23">
        <f>IFERROR(B51/B148, "NA")</f>
        <v>0</v>
      </c>
      <c r="D51" s="27">
        <v>0.0</v>
      </c>
      <c r="E51" s="23">
        <f>IFERROR(D51/D148, "NA")</f>
        <v>0</v>
      </c>
      <c r="F51" s="27">
        <v>0.0</v>
      </c>
      <c r="G51" s="23">
        <f>IFERROR(F51/F148, "NA")</f>
        <v>0</v>
      </c>
      <c r="H51" s="27">
        <v>0.0</v>
      </c>
      <c r="I51" s="23">
        <f>IFERROR(H51/H148, "NA")</f>
        <v>0</v>
      </c>
      <c r="J51" s="27">
        <v>0.0</v>
      </c>
      <c r="K51" s="23">
        <f>IFERROR(J51/J148, "NA")</f>
        <v>0</v>
      </c>
      <c r="L51" s="27">
        <v>0.0</v>
      </c>
      <c r="M51" s="23">
        <f>IFERROR(L51/L148, "NA")</f>
        <v>0</v>
      </c>
      <c r="N51" s="27">
        <v>0.0</v>
      </c>
      <c r="O51" s="23">
        <f>IFERROR(N51/N148, "NA")</f>
        <v>0</v>
      </c>
      <c r="P51" s="27">
        <v>0.0</v>
      </c>
      <c r="Q51" s="23">
        <f>IFERROR(P51/P148, "NA")</f>
        <v>0</v>
      </c>
      <c r="R51" s="27">
        <v>0.0</v>
      </c>
      <c r="S51" s="23">
        <f>IFERROR(R51/R148, "NA")</f>
        <v>0</v>
      </c>
      <c r="T51" s="27">
        <v>0.0</v>
      </c>
      <c r="U51" s="23">
        <f>IFERROR(T51/T148, "NA")</f>
        <v>0</v>
      </c>
      <c r="V51" s="27">
        <v>0.0</v>
      </c>
      <c r="W51" s="23">
        <f>IFERROR(V51/V148, "NA")</f>
        <v>0</v>
      </c>
      <c r="X51" s="27">
        <v>0.0</v>
      </c>
      <c r="Y51" s="23">
        <f>IFERROR(X51/X148, "NA")</f>
        <v>0</v>
      </c>
      <c r="Z51" s="27">
        <v>0.0</v>
      </c>
      <c r="AA51" s="23">
        <f>IFERROR(Z51/Z148, "NA")</f>
        <v>0</v>
      </c>
      <c r="AB51" s="59">
        <f t="shared" si="25"/>
        <v>0</v>
      </c>
      <c r="AC51" s="23">
        <f>IFERROR(AB51/AB148, "NA")</f>
        <v>0</v>
      </c>
      <c r="AD51" s="61">
        <f t="shared" si="26"/>
        <v>0</v>
      </c>
      <c r="AE51" s="63">
        <f>IFERROR(AD51/AD148, "NA")</f>
        <v>0</v>
      </c>
      <c r="AF51" s="61" t="str">
        <f t="shared" si="27"/>
        <v>NA</v>
      </c>
      <c r="AG51" s="59">
        <f t="shared" si="28"/>
        <v>0</v>
      </c>
      <c r="AH51" s="23">
        <f>IFERROR(AG51/AG148, "NA")</f>
        <v>0</v>
      </c>
      <c r="AI51" s="61">
        <f t="shared" si="29"/>
        <v>0</v>
      </c>
      <c r="AJ51" s="63">
        <f>IFERROR(AI51/AI148, "NA")</f>
        <v>0</v>
      </c>
      <c r="AK51" s="61" t="str">
        <f t="shared" si="30"/>
        <v>NA</v>
      </c>
      <c r="AL51" s="63" t="str">
        <f>IFERROR(AK51/AK148, "NA")</f>
        <v>NA</v>
      </c>
    </row>
    <row r="52" ht="16.5" customHeight="1">
      <c r="A52" s="66" t="s">
        <v>112</v>
      </c>
      <c r="B52" s="67">
        <f>IFERROR(B46+B47+B48+B49+B50+B51, "NA")</f>
        <v>69.9</v>
      </c>
      <c r="C52" s="69">
        <f>IFERROR(B52/B148, "NA")</f>
        <v>0.002401733371</v>
      </c>
      <c r="D52" s="67">
        <f>IFERROR(D46+D47+D48+D49+D50+D51, "NA")</f>
        <v>48.16</v>
      </c>
      <c r="E52" s="69">
        <f>IFERROR(D52/D148, "NA")</f>
        <v>0.001501499161</v>
      </c>
      <c r="F52" s="67">
        <f>IFERROR(F46+F47+F48+F49+F50+F51, "NA")</f>
        <v>120.09</v>
      </c>
      <c r="G52" s="69">
        <f>IFERROR(F52/F148, "NA")</f>
        <v>0.004562610228</v>
      </c>
      <c r="H52" s="67">
        <f>IFERROR(H46+H47+H48+H49+H50+H51, "NA")</f>
        <v>110.79</v>
      </c>
      <c r="I52" s="69">
        <f>IFERROR(H52/H148, "NA")</f>
        <v>0.004476302144</v>
      </c>
      <c r="J52" s="67">
        <f>IFERROR(J46+J47+J48+J49+J50+J51, "NA")</f>
        <v>56.05</v>
      </c>
      <c r="K52" s="69">
        <f>IFERROR(J52/J148, "NA")</f>
        <v>0.002117273933</v>
      </c>
      <c r="L52" s="67">
        <f>IFERROR(L46+L47+L48+L49+L50+L51, "NA")</f>
        <v>196.03</v>
      </c>
      <c r="M52" s="69">
        <f>IFERROR(L52/L148, "NA")</f>
        <v>0.007880054975</v>
      </c>
      <c r="N52" s="67">
        <f>IFERROR(N46+N47+N48+N49+N50+N51, "NA")</f>
        <v>89.6</v>
      </c>
      <c r="O52" s="69">
        <f>IFERROR(N52/N148, "NA")</f>
        <v>0.00293326847</v>
      </c>
      <c r="P52" s="67">
        <f>IFERROR(P46+P47+P48+P49+P50+P51, "NA")</f>
        <v>120.7</v>
      </c>
      <c r="Q52" s="69">
        <f>IFERROR(P52/P148, "NA")</f>
        <v>0.003567963648</v>
      </c>
      <c r="R52" s="67">
        <f>IFERROR(R46+R47+R48+R49+R50+R51, "NA")</f>
        <v>113.62</v>
      </c>
      <c r="S52" s="69">
        <f>IFERROR(R52/R148, "NA")</f>
        <v>0.004565221147</v>
      </c>
      <c r="T52" s="67">
        <f>IFERROR(T46+T47+T48+T49+T50+T51, "NA")</f>
        <v>81.19</v>
      </c>
      <c r="U52" s="69">
        <f>IFERROR(T52/T148, "NA")</f>
        <v>0.00256609861</v>
      </c>
      <c r="V52" s="67">
        <f>IFERROR(V46+V47+V48+V49+V50+V51, "NA")</f>
        <v>138.65</v>
      </c>
      <c r="W52" s="69">
        <f>IFERROR(V52/V148, "NA")</f>
        <v>0.004609269269</v>
      </c>
      <c r="X52" s="67">
        <f>IFERROR(X46+X47+X48+X49+X50+X51, "NA")</f>
        <v>142.69</v>
      </c>
      <c r="Y52" s="69">
        <f>IFERROR(X52/X148, "NA")</f>
        <v>0.005731889455</v>
      </c>
      <c r="Z52" s="67">
        <f>IFERROR(Z46+Z47+Z48+Z49+Z50+Z51, "NA")</f>
        <v>476.15</v>
      </c>
      <c r="AA52" s="69">
        <f>IFERROR(Z52/Z148, "NA")</f>
        <v>0.004270312053</v>
      </c>
      <c r="AB52" s="67">
        <f t="shared" si="25"/>
        <v>119.0375</v>
      </c>
      <c r="AC52" s="69">
        <f>IFERROR(AB52/AB148, "NA")</f>
        <v>0.004270312053</v>
      </c>
      <c r="AD52" s="70">
        <f t="shared" si="26"/>
        <v>23.6525</v>
      </c>
      <c r="AE52" s="71">
        <f>IFERROR(AD52/AD148, "NA")</f>
        <v>-0.007932987594</v>
      </c>
      <c r="AF52" s="70">
        <f t="shared" si="27"/>
        <v>0.1986978893</v>
      </c>
      <c r="AG52" s="67">
        <f t="shared" si="28"/>
        <v>117.31625</v>
      </c>
      <c r="AH52" s="69">
        <f>IFERROR(AG52/AG148, "NA")</f>
        <v>0.004130366846</v>
      </c>
      <c r="AI52" s="70">
        <f t="shared" si="29"/>
        <v>25.37375</v>
      </c>
      <c r="AJ52" s="71">
        <f>IFERROR(AI52/AI148, "NA")</f>
        <v>-0.007230453749</v>
      </c>
      <c r="AK52" s="70">
        <f t="shared" si="30"/>
        <v>0.2162850415</v>
      </c>
      <c r="AL52" s="71">
        <f>IFERROR(AK52/AK148, "NA")</f>
        <v>-1.7505597</v>
      </c>
    </row>
    <row r="53" ht="16.5" customHeight="1">
      <c r="A53" s="26" t="s">
        <v>113</v>
      </c>
      <c r="B53" s="27">
        <v>28.26</v>
      </c>
      <c r="C53" s="23">
        <f>IFERROR(B53/B148, "NA")</f>
        <v>0.000971001217</v>
      </c>
      <c r="D53" s="27">
        <v>27.81</v>
      </c>
      <c r="E53" s="23">
        <f>IFERROR(D53/D148, "NA")</f>
        <v>0.0008670409399</v>
      </c>
      <c r="F53" s="27">
        <v>17.92</v>
      </c>
      <c r="G53" s="23">
        <f>IFERROR(F53/F148, "NA")</f>
        <v>0.0006808391647</v>
      </c>
      <c r="H53" s="27">
        <v>19.89</v>
      </c>
      <c r="I53" s="23">
        <f>IFERROR(H53/H148, "NA")</f>
        <v>0.0008036253239</v>
      </c>
      <c r="J53" s="27">
        <v>53.66</v>
      </c>
      <c r="K53" s="23">
        <f>IFERROR(J53/J148, "NA")</f>
        <v>0.002026992315</v>
      </c>
      <c r="L53" s="27">
        <v>25.44</v>
      </c>
      <c r="M53" s="23">
        <f>IFERROR(L53/L148, "NA")</f>
        <v>0.001022642445</v>
      </c>
      <c r="N53" s="27">
        <v>26.76</v>
      </c>
      <c r="O53" s="23">
        <f>IFERROR(N53/N148, "NA")</f>
        <v>0.0008760520563</v>
      </c>
      <c r="P53" s="27">
        <v>38.28</v>
      </c>
      <c r="Q53" s="23">
        <f>IFERROR(P53/P148, "NA")</f>
        <v>0.001131579523</v>
      </c>
      <c r="R53" s="27">
        <v>33.17</v>
      </c>
      <c r="S53" s="23">
        <f>IFERROR(R53/R148, "NA")</f>
        <v>0.00133276171</v>
      </c>
      <c r="T53" s="27">
        <v>44.24</v>
      </c>
      <c r="U53" s="23">
        <f>IFERROR(T53/T148, "NA")</f>
        <v>0.001398253511</v>
      </c>
      <c r="V53" s="27">
        <v>21.3</v>
      </c>
      <c r="W53" s="23">
        <f>IFERROR(V53/V148, "NA")</f>
        <v>0.0007080954592</v>
      </c>
      <c r="X53" s="27">
        <v>33.29</v>
      </c>
      <c r="Y53" s="23">
        <f>IFERROR(X53/X148, "NA")</f>
        <v>0.001337266802</v>
      </c>
      <c r="Z53" s="27">
        <v>132.0</v>
      </c>
      <c r="AA53" s="23">
        <f>IFERROR(Z53/Z148, "NA")</f>
        <v>0.001183831127</v>
      </c>
      <c r="AB53" s="59">
        <f t="shared" si="25"/>
        <v>33</v>
      </c>
      <c r="AC53" s="23">
        <f>IFERROR(AB53/AB148, "NA")</f>
        <v>0.001183831127</v>
      </c>
      <c r="AD53" s="61">
        <f t="shared" si="26"/>
        <v>0.29</v>
      </c>
      <c r="AE53" s="63">
        <f>IFERROR(AD53/AD148, "NA")</f>
        <v>-0.00009726525325</v>
      </c>
      <c r="AF53" s="61">
        <f t="shared" si="27"/>
        <v>0.008787878788</v>
      </c>
      <c r="AG53" s="59">
        <f t="shared" si="28"/>
        <v>34.5175</v>
      </c>
      <c r="AH53" s="23">
        <f>IFERROR(AG53/AG148, "NA")</f>
        <v>0.001215261634</v>
      </c>
      <c r="AI53" s="61">
        <f t="shared" si="29"/>
        <v>-1.2275</v>
      </c>
      <c r="AJ53" s="63">
        <f>IFERROR(AI53/AI148, "NA")</f>
        <v>0.0003497859787</v>
      </c>
      <c r="AK53" s="61">
        <f t="shared" si="30"/>
        <v>-0.03556167162</v>
      </c>
      <c r="AL53" s="63">
        <f>IFERROR(AK53/AK148, "NA")</f>
        <v>0.2878277147</v>
      </c>
    </row>
    <row r="54" ht="16.5" customHeight="1">
      <c r="A54" s="26" t="s">
        <v>114</v>
      </c>
      <c r="B54" s="27">
        <v>40.25</v>
      </c>
      <c r="C54" s="23">
        <f>IFERROR(B54/B148, "NA")</f>
        <v>0.001382972363</v>
      </c>
      <c r="D54" s="27">
        <v>31.75</v>
      </c>
      <c r="E54" s="23">
        <f>IFERROR(D54/D148, "NA")</f>
        <v>0.000989879534</v>
      </c>
      <c r="F54" s="27">
        <v>38.0</v>
      </c>
      <c r="G54" s="23">
        <f>IFERROR(F54/F148, "NA")</f>
        <v>0.001443743764</v>
      </c>
      <c r="H54" s="27">
        <v>28.81</v>
      </c>
      <c r="I54" s="23">
        <f>IFERROR(H54/H148, "NA")</f>
        <v>0.001164024413</v>
      </c>
      <c r="J54" s="27">
        <v>28.75</v>
      </c>
      <c r="K54" s="23">
        <f>IFERROR(J54/J148, "NA")</f>
        <v>0.00108602365</v>
      </c>
      <c r="L54" s="27">
        <v>24.0</v>
      </c>
      <c r="M54" s="23">
        <f>IFERROR(L54/L148, "NA")</f>
        <v>0.0009647570239</v>
      </c>
      <c r="N54" s="27">
        <v>40.31</v>
      </c>
      <c r="O54" s="23">
        <f>IFERROR(N54/N148, "NA")</f>
        <v>0.001319643438</v>
      </c>
      <c r="P54" s="27">
        <v>33.0</v>
      </c>
      <c r="Q54" s="23">
        <f>IFERROR(P54/P148, "NA")</f>
        <v>0.0009754995888</v>
      </c>
      <c r="R54" s="27">
        <v>37.0</v>
      </c>
      <c r="S54" s="23">
        <f>IFERROR(R54/R148, "NA")</f>
        <v>0.001486650083</v>
      </c>
      <c r="T54" s="27">
        <v>23.25</v>
      </c>
      <c r="U54" s="23">
        <f>IFERROR(T54/T148, "NA")</f>
        <v>0.0007348416393</v>
      </c>
      <c r="V54" s="27">
        <v>39.31</v>
      </c>
      <c r="W54" s="23">
        <f>IFERROR(V54/V148, "NA")</f>
        <v>0.001306818427</v>
      </c>
      <c r="X54" s="27">
        <v>33.0</v>
      </c>
      <c r="Y54" s="23">
        <f>IFERROR(X54/X148, "NA")</f>
        <v>0.001325617436</v>
      </c>
      <c r="Z54" s="27">
        <v>132.56</v>
      </c>
      <c r="AA54" s="23">
        <f>IFERROR(Z54/Z148, "NA")</f>
        <v>0.001188853441</v>
      </c>
      <c r="AB54" s="59">
        <f t="shared" si="25"/>
        <v>33.14</v>
      </c>
      <c r="AC54" s="23">
        <f>IFERROR(AB54/AB148, "NA")</f>
        <v>0.001188853441</v>
      </c>
      <c r="AD54" s="61">
        <f t="shared" si="26"/>
        <v>-0.14</v>
      </c>
      <c r="AE54" s="63">
        <f>IFERROR(AD54/AD148, "NA")</f>
        <v>0.0000469556395</v>
      </c>
      <c r="AF54" s="61">
        <f t="shared" si="27"/>
        <v>-0.004224502112</v>
      </c>
      <c r="AG54" s="59">
        <f t="shared" si="28"/>
        <v>32.3275</v>
      </c>
      <c r="AH54" s="23">
        <f>IFERROR(AG54/AG148, "NA")</f>
        <v>0.001138158049</v>
      </c>
      <c r="AI54" s="61">
        <f t="shared" si="29"/>
        <v>0.6725</v>
      </c>
      <c r="AJ54" s="63">
        <f>IFERROR(AI54/AI148, "NA")</f>
        <v>-0.0001916342735</v>
      </c>
      <c r="AK54" s="61">
        <f t="shared" si="30"/>
        <v>0.02080272214</v>
      </c>
      <c r="AL54" s="63">
        <f>IFERROR(AK54/AK148, "NA")</f>
        <v>-0.1683722868</v>
      </c>
    </row>
    <row r="55" ht="16.5" customHeight="1">
      <c r="A55" s="26" t="s">
        <v>115</v>
      </c>
      <c r="B55" s="27">
        <v>-438.8</v>
      </c>
      <c r="C55" s="23">
        <f>IFERROR(B55/B148, "NA")</f>
        <v>-0.01507697573</v>
      </c>
      <c r="D55" s="27">
        <v>-205.83</v>
      </c>
      <c r="E55" s="23">
        <f>IFERROR(D55/D148, "NA")</f>
        <v>-0.006417225338</v>
      </c>
      <c r="F55" s="27">
        <v>-156.45</v>
      </c>
      <c r="G55" s="23">
        <f>IFERROR(F55/F148, "NA")</f>
        <v>-0.005944045051</v>
      </c>
      <c r="H55" s="27">
        <v>-164.59</v>
      </c>
      <c r="I55" s="23">
        <f>IFERROR(H55/H148, "NA")</f>
        <v>-0.006650009656</v>
      </c>
      <c r="J55" s="27">
        <v>-218.46</v>
      </c>
      <c r="K55" s="23">
        <f>IFERROR(J55/J148, "NA")</f>
        <v>-0.008252268751</v>
      </c>
      <c r="L55" s="27">
        <v>-234.94</v>
      </c>
      <c r="M55" s="23">
        <f>IFERROR(L55/L148, "NA")</f>
        <v>-0.0094441673</v>
      </c>
      <c r="N55" s="27">
        <v>-252.29</v>
      </c>
      <c r="O55" s="23">
        <f>IFERROR(N55/N148, "NA")</f>
        <v>-0.008259311409</v>
      </c>
      <c r="P55" s="27">
        <v>-116.88</v>
      </c>
      <c r="Q55" s="23">
        <f>IFERROR(P55/P148, "NA")</f>
        <v>-0.00345504218</v>
      </c>
      <c r="R55" s="27">
        <v>-210.01</v>
      </c>
      <c r="S55" s="23">
        <f>IFERROR(R55/R148, "NA")</f>
        <v>-0.008438145513</v>
      </c>
      <c r="T55" s="27">
        <v>-233.82</v>
      </c>
      <c r="U55" s="23">
        <f>IFERROR(T55/T148, "NA")</f>
        <v>-0.007390136434</v>
      </c>
      <c r="V55" s="27">
        <v>-188.18</v>
      </c>
      <c r="W55" s="23">
        <f>IFERROR(V55/V148, "NA")</f>
        <v>-0.006255840541</v>
      </c>
      <c r="X55" s="27">
        <v>-194.74</v>
      </c>
      <c r="Y55" s="23">
        <f>IFERROR(X55/X148, "NA")</f>
        <v>-0.007822749684</v>
      </c>
      <c r="Z55" s="27">
        <v>-826.75</v>
      </c>
      <c r="AA55" s="23">
        <f>IFERROR(Z55/Z148, "NA")</f>
        <v>-0.007414639274</v>
      </c>
      <c r="AB55" s="59">
        <f t="shared" si="25"/>
        <v>-206.6875</v>
      </c>
      <c r="AC55" s="23">
        <f>IFERROR(AB55/AB148, "NA")</f>
        <v>-0.007414639274</v>
      </c>
      <c r="AD55" s="61">
        <f t="shared" si="26"/>
        <v>11.9475</v>
      </c>
      <c r="AE55" s="63">
        <f>IFERROR(AD55/AD148, "NA")</f>
        <v>-0.004007160735</v>
      </c>
      <c r="AF55" s="61">
        <f t="shared" si="27"/>
        <v>-0.05780465679</v>
      </c>
      <c r="AG55" s="59">
        <f t="shared" si="28"/>
        <v>-206.165</v>
      </c>
      <c r="AH55" s="23">
        <f>IFERROR(AG55/AG148, "NA")</f>
        <v>-0.007258475112</v>
      </c>
      <c r="AI55" s="61">
        <f t="shared" si="29"/>
        <v>11.425</v>
      </c>
      <c r="AJ55" s="63">
        <f>IFERROR(AI55/AI148, "NA")</f>
        <v>-0.003255645464</v>
      </c>
      <c r="AK55" s="61">
        <f t="shared" si="30"/>
        <v>-0.05541677782</v>
      </c>
      <c r="AL55" s="63">
        <f>IFERROR(AK55/AK148, "NA")</f>
        <v>0.4485302234</v>
      </c>
    </row>
    <row r="56" ht="16.5" customHeight="1">
      <c r="A56" s="66" t="s">
        <v>116</v>
      </c>
      <c r="B56" s="67">
        <f>IFERROR(B37+B39+B40+B41+B42+B43+B46+B47+B48+B49+B50+B51+B53+B54+B55, "NA")</f>
        <v>993.59</v>
      </c>
      <c r="C56" s="69">
        <f>IFERROR(B56/B148, "NA")</f>
        <v>0.03413931703</v>
      </c>
      <c r="D56" s="67">
        <f>IFERROR(D37+D39+D40+D41+D42+D43+D46+D47+D48+D49+D50+D51+D53+D54+D55, "NA")</f>
        <v>1037.28</v>
      </c>
      <c r="E56" s="69">
        <f>IFERROR(D56/D148, "NA")</f>
        <v>0.03233959821</v>
      </c>
      <c r="F56" s="67">
        <f>IFERROR(F37+F39+F40+F41+F42+F43+F46+F47+F48+F49+F50+F51+F53+F54+F55, "NA")</f>
        <v>982.19</v>
      </c>
      <c r="G56" s="69">
        <f>IFERROR(F56/F148, "NA")</f>
        <v>0.03731659705</v>
      </c>
      <c r="H56" s="67">
        <f>IFERROR(H37+H39+H40+H41+H42+H43+H46+H47+H48+H49+H50+H51+H53+H54+H55, "NA")</f>
        <v>844.28</v>
      </c>
      <c r="I56" s="69">
        <f>IFERROR(H56/H148, "NA")</f>
        <v>0.03411185463</v>
      </c>
      <c r="J56" s="67">
        <f>IFERROR(J37+J39+J40+J41+J42+J43+J46+J47+J48+J49+J50+J51+J53+J54+J55, "NA")</f>
        <v>875.66</v>
      </c>
      <c r="K56" s="69">
        <f>IFERROR(J56/J148, "NA")</f>
        <v>0.03307782502</v>
      </c>
      <c r="L56" s="67">
        <f>IFERROR(L37+L39+L40+L41+L42+L43+L46+L47+L48+L49+L50+L51+L53+L54+L55, "NA")</f>
        <v>932.74</v>
      </c>
      <c r="M56" s="69">
        <f>IFERROR(L56/L148, "NA")</f>
        <v>0.03749447777</v>
      </c>
      <c r="N56" s="67">
        <f>IFERROR(N37+N39+N40+N41+N42+N43+N46+N47+N48+N49+N50+N51+N53+N54+N55, "NA")</f>
        <v>1206.37</v>
      </c>
      <c r="O56" s="69">
        <f>IFERROR(N56/N148, "NA")</f>
        <v>0.03949338263</v>
      </c>
      <c r="P56" s="67">
        <f>IFERROR(P37+P39+P40+P41+P42+P43+P46+P47+P48+P49+P50+P51+P53+P54+P55, "NA")</f>
        <v>1265.74</v>
      </c>
      <c r="Q56" s="69">
        <f>IFERROR(P56/P148, "NA")</f>
        <v>0.03741602574</v>
      </c>
      <c r="R56" s="67">
        <f>IFERROR(R37+R39+R40+R41+R42+R43+R46+R47+R48+R49+R50+R51+R53+R54+R55, "NA")</f>
        <v>1060.55</v>
      </c>
      <c r="S56" s="69">
        <f>IFERROR(R56/R148, "NA")</f>
        <v>0.04261261475</v>
      </c>
      <c r="T56" s="67">
        <f>IFERROR(T37+T39+T40+T41+T42+T43+T46+T47+T48+T49+T50+T51+T53+T54+T55, "NA")</f>
        <v>1149.91</v>
      </c>
      <c r="U56" s="69">
        <f>IFERROR(T56/T148, "NA")</f>
        <v>0.03634416126</v>
      </c>
      <c r="V56" s="67">
        <f>IFERROR(V37+V39+V40+V41+V42+V43+V46+V47+V48+V49+V50+V51+V53+V54+V55, "NA")</f>
        <v>1136.28</v>
      </c>
      <c r="W56" s="69">
        <f>IFERROR(V56/V148, "NA")</f>
        <v>0.03777439946</v>
      </c>
      <c r="X56" s="67">
        <f>IFERROR(X37+X39+X40+X41+X42+X43+X46+X47+X48+X49+X50+X51+X53+X54+X55, "NA")</f>
        <v>782.77</v>
      </c>
      <c r="Y56" s="69">
        <f>IFERROR(X56/X148, "NA")</f>
        <v>0.03144404729</v>
      </c>
      <c r="Z56" s="67">
        <f>IFERROR(Z37+Z39+Z40+Z41+Z42+Z43+Z46+Z47+Z48+Z49+Z50+Z51+Z53+Z54+Z55, "NA")</f>
        <v>4129.51</v>
      </c>
      <c r="AA56" s="69">
        <f>IFERROR(Z56/Z148, "NA")</f>
        <v>0.03703517028</v>
      </c>
      <c r="AB56" s="67">
        <f t="shared" si="25"/>
        <v>1032.3775</v>
      </c>
      <c r="AC56" s="69">
        <f>IFERROR(AB56/AB148, "NA")</f>
        <v>0.03703517028</v>
      </c>
      <c r="AD56" s="70">
        <f t="shared" si="26"/>
        <v>-249.6075</v>
      </c>
      <c r="AE56" s="71">
        <f>IFERROR(AD56/AD148, "NA")</f>
        <v>0.08371771276</v>
      </c>
      <c r="AF56" s="70">
        <f t="shared" si="27"/>
        <v>-0.241779291</v>
      </c>
      <c r="AG56" s="67">
        <f t="shared" si="28"/>
        <v>1051.2525</v>
      </c>
      <c r="AH56" s="69">
        <f>IFERROR(AG56/AG148, "NA")</f>
        <v>0.03701156893</v>
      </c>
      <c r="AI56" s="70">
        <f t="shared" si="29"/>
        <v>-268.4825</v>
      </c>
      <c r="AJ56" s="71">
        <f>IFERROR(AI56/AI148, "NA")</f>
        <v>0.07650624361</v>
      </c>
      <c r="AK56" s="70">
        <f t="shared" si="30"/>
        <v>-0.2553929717</v>
      </c>
      <c r="AL56" s="71">
        <f>IFERROR(AK56/AK148, "NA")</f>
        <v>2.067089989</v>
      </c>
    </row>
    <row r="57" ht="16.5" customHeight="1">
      <c r="A57" s="66" t="s">
        <v>52</v>
      </c>
      <c r="B57" s="115">
        <f>IFERROR(B13+B15+B16+B17+B18+B19+B20+B21+B22+B23+B24+B25+B26+B29+B30+B31+B32+B33+B37+B39+B40+B41+B42+B43+B46+B47+B48+B49+B50+B51+B53+B54+B55, "NA")</f>
        <v>7862.12</v>
      </c>
      <c r="C57" s="96">
        <f>IFERROR(B57/B148, "NA")</f>
        <v>0.2701389982</v>
      </c>
      <c r="D57" s="115">
        <f>IFERROR(D13+D15+D16+D17+D18+D19+D20+D21+D22+D23+D24+D25+D26+D29+D30+D31+D32+D33+D37+D39+D40+D41+D42+D43+D46+D47+D48+D49+D50+D51+D53+D54+D55, "NA")</f>
        <v>9047.26</v>
      </c>
      <c r="E57" s="96">
        <f>IFERROR(D57/D148, "NA")</f>
        <v>0.282069213</v>
      </c>
      <c r="F57" s="115">
        <f>IFERROR(F13+F15+F16+F17+F18+F19+F20+F21+F22+F23+F24+F25+F26+F29+F30+F31+F32+F33+F37+F39+F40+F41+F42+F43+F46+F47+F48+F49+F50+F51+F53+F54+F55, "NA")</f>
        <v>7692.16</v>
      </c>
      <c r="G57" s="96">
        <f>IFERROR(F57/F148, "NA")</f>
        <v>0.2922502114</v>
      </c>
      <c r="H57" s="115">
        <f>IFERROR(H13+H15+H16+H17+H18+H19+H20+H21+H22+H23+H24+H25+H26+H29+H30+H31+H32+H33+H37+H39+H40+H41+H42+H43+H46+H47+H48+H49+H50+H51+H53+H54+H55, "NA")</f>
        <v>7096.74</v>
      </c>
      <c r="I57" s="96">
        <f>IFERROR(H57/H148, "NA")</f>
        <v>0.2867330307</v>
      </c>
      <c r="J57" s="115">
        <f>IFERROR(J13+J15+J16+J17+J18+J19+J20+J21+J22+J23+J24+J25+J26+J29+J30+J31+J32+J33+J37+J39+J40+J41+J42+J43+J46+J47+J48+J49+J50+J51+J53+J54+J55, "NA")</f>
        <v>7574.35</v>
      </c>
      <c r="K57" s="96">
        <f>IFERROR(J57/J148, "NA")</f>
        <v>0.286119069</v>
      </c>
      <c r="L57" s="115">
        <f>IFERROR(L13+L15+L16+L17+L18+L19+L20+L21+L22+L23+L24+L25+L26+L29+L30+L31+L32+L33+L37+L39+L40+L41+L42+L43+L46+L47+L48+L49+L50+L51+L53+L54+L55, "NA")</f>
        <v>7064.01</v>
      </c>
      <c r="M57" s="96">
        <f>IFERROR(L57/L148, "NA")</f>
        <v>0.2839605527</v>
      </c>
      <c r="N57" s="115">
        <f>IFERROR(N13+N15+N16+N17+N18+N19+N20+N21+N22+N23+N24+N25+N26+N29+N30+N31+N32+N33+N37+N39+N40+N41+N42+N43+N46+N47+N48+N49+N50+N51+N53+N54+N55, "NA")</f>
        <v>8545.21</v>
      </c>
      <c r="O57" s="96">
        <f>IFERROR(N57/N148, "NA")</f>
        <v>0.2797477127</v>
      </c>
      <c r="P57" s="115">
        <f>IFERROR(P13+P15+P16+P17+P18+P19+P20+P21+P22+P23+P24+P25+P26+P29+P30+P31+P32+P33+P37+P39+P40+P41+P42+P43+P46+P47+P48+P49+P50+P51+P53+P54+P55, "NA")</f>
        <v>8808.64</v>
      </c>
      <c r="Q57" s="96">
        <f>IFERROR(P57/P148, "NA")</f>
        <v>0.2603886272</v>
      </c>
      <c r="R57" s="115">
        <f>IFERROR(R13+R15+R16+R17+R18+R19+R20+R21+R22+R23+R24+R25+R26+R29+R30+R31+R32+R33+R37+R39+R40+R41+R42+R43+R46+R47+R48+R49+R50+R51+R53+R54+R55, "NA")</f>
        <v>7472.71</v>
      </c>
      <c r="S57" s="96">
        <f>IFERROR(R57/R148, "NA")</f>
        <v>0.3002514849</v>
      </c>
      <c r="T57" s="115">
        <f>IFERROR(T13+T15+T16+T17+T18+T19+T20+T21+T22+T23+T24+T25+T26+T29+T30+T31+T32+T33+T37+T39+T40+T41+T42+T43+T46+T47+T48+T49+T50+T51+T53+T54+T55, "NA")</f>
        <v>9095.56</v>
      </c>
      <c r="U57" s="96">
        <f>IFERROR(T57/T148, "NA")</f>
        <v>0.2874751063</v>
      </c>
      <c r="V57" s="115">
        <f>IFERROR(V13+V15+V16+V17+V18+V19+V20+V21+V22+V23+V24+V25+V26+V29+V30+V31+V32+V33+V37+V39+V40+V41+V42+V43+V46+V47+V48+V49+V50+V51+V53+V54+V55, "NA")</f>
        <v>7085.05</v>
      </c>
      <c r="W57" s="96">
        <f>IFERROR(V57/V148, "NA")</f>
        <v>0.2355348232</v>
      </c>
      <c r="X57" s="115">
        <f>IFERROR(X13+X15+X16+X17+X18+X19+X20+X21+X22+X23+X24+X25+X26+X29+X30+X31+X32+X33+X37+X39+X40+X41+X42+X43+X46+X47+X48+X49+X50+X51+X53+X54+X55, "NA")</f>
        <v>6246.91</v>
      </c>
      <c r="Y57" s="96">
        <f>IFERROR(X57/X148, "NA")</f>
        <v>0.2509397824</v>
      </c>
      <c r="Z57" s="115">
        <f>IFERROR(Z13+Z15+Z16+Z17+Z18+Z19+Z20+Z21+Z22+Z23+Z24+Z25+Z26+Z29+Z30+Z31+Z32+Z33+Z37+Z39+Z40+Z41+Z42+Z43+Z46+Z47+Z48+Z49+Z50+Z51+Z53+Z54+Z55, "NA")</f>
        <v>29900.23</v>
      </c>
      <c r="AA57" s="96">
        <f>IFERROR(Z57/Z148, "NA")</f>
        <v>0.2681577498</v>
      </c>
      <c r="AB57" s="115">
        <f t="shared" si="25"/>
        <v>7475.0575</v>
      </c>
      <c r="AC57" s="96">
        <f>IFERROR(AB57/AB148, "NA")</f>
        <v>0.2681577498</v>
      </c>
      <c r="AD57" s="116">
        <f t="shared" si="26"/>
        <v>-1228.1475</v>
      </c>
      <c r="AE57" s="117">
        <f>IFERROR(AD57/AD148, "NA")</f>
        <v>0.411917509</v>
      </c>
      <c r="AF57" s="116">
        <f t="shared" si="27"/>
        <v>-0.1642994051</v>
      </c>
      <c r="AG57" s="115">
        <f t="shared" si="28"/>
        <v>7736.555</v>
      </c>
      <c r="AH57" s="96">
        <f>IFERROR(AG57/AG148, "NA")</f>
        <v>0.2723817909</v>
      </c>
      <c r="AI57" s="116">
        <f t="shared" si="29"/>
        <v>-1489.645</v>
      </c>
      <c r="AJ57" s="117">
        <f>IFERROR(AI57/AI148, "NA")</f>
        <v>0.4244863008</v>
      </c>
      <c r="AK57" s="116">
        <f t="shared" si="30"/>
        <v>-0.1925462948</v>
      </c>
      <c r="AL57" s="117">
        <f>IFERROR(AK57/AK148, "NA")</f>
        <v>1.558423929</v>
      </c>
    </row>
    <row r="58" ht="3.75" customHeight="1">
      <c r="A58" s="74" t="s">
        <v>6</v>
      </c>
      <c r="B58" s="75"/>
      <c r="C58" s="76"/>
      <c r="D58" s="75"/>
      <c r="E58" s="76"/>
      <c r="F58" s="75"/>
      <c r="G58" s="76"/>
      <c r="H58" s="75"/>
      <c r="I58" s="76"/>
      <c r="J58" s="75"/>
      <c r="K58" s="76"/>
      <c r="L58" s="75"/>
      <c r="M58" s="76"/>
      <c r="N58" s="75"/>
      <c r="O58" s="76"/>
      <c r="P58" s="75"/>
      <c r="Q58" s="76"/>
      <c r="R58" s="75"/>
      <c r="S58" s="76"/>
      <c r="T58" s="75"/>
      <c r="U58" s="76"/>
      <c r="V58" s="75"/>
      <c r="W58" s="76"/>
      <c r="X58" s="75"/>
      <c r="Y58" s="76"/>
      <c r="Z58" s="75"/>
      <c r="AA58" s="76"/>
      <c r="AB58" s="75"/>
      <c r="AC58" s="76"/>
      <c r="AD58" s="77"/>
      <c r="AE58" s="78"/>
      <c r="AF58" s="77"/>
      <c r="AG58" s="75"/>
      <c r="AH58" s="76"/>
      <c r="AI58" s="77"/>
      <c r="AJ58" s="78"/>
      <c r="AK58" s="77"/>
      <c r="AL58" s="78"/>
    </row>
    <row r="59" ht="16.5" customHeight="1">
      <c r="A59" s="118" t="s">
        <v>121</v>
      </c>
      <c r="B59" s="119">
        <f>IFERROR(B9-B57, "NA")</f>
        <v>21241.86</v>
      </c>
      <c r="C59" s="107">
        <f>IFERROR(B59/B148, "NA")</f>
        <v>0.7298610018</v>
      </c>
      <c r="D59" s="119">
        <f>IFERROR(D9-D57, "NA")</f>
        <v>23027.35</v>
      </c>
      <c r="E59" s="107">
        <f>IFERROR(D59/D148, "NA")</f>
        <v>0.717930787</v>
      </c>
      <c r="F59" s="119">
        <f>IFERROR(F9-F57, "NA")</f>
        <v>18628.3</v>
      </c>
      <c r="G59" s="107">
        <f>IFERROR(F59/F148, "NA")</f>
        <v>0.7077497886</v>
      </c>
      <c r="H59" s="119">
        <f>IFERROR(H9-H57, "NA")</f>
        <v>17653.6</v>
      </c>
      <c r="I59" s="107">
        <f>IFERROR(H59/H148, "NA")</f>
        <v>0.7132669693</v>
      </c>
      <c r="J59" s="119">
        <f>IFERROR(J9-J57, "NA")</f>
        <v>18898.37</v>
      </c>
      <c r="K59" s="107">
        <f>IFERROR(J59/J148, "NA")</f>
        <v>0.713880931</v>
      </c>
      <c r="L59" s="119">
        <f>IFERROR(L9-L57, "NA")</f>
        <v>17812.72</v>
      </c>
      <c r="M59" s="107">
        <f>IFERROR(L59/L148, "NA")</f>
        <v>0.7160394473</v>
      </c>
      <c r="N59" s="119">
        <f>IFERROR(N9-N57, "NA")</f>
        <v>22000.92</v>
      </c>
      <c r="O59" s="107">
        <f>IFERROR(N59/N148, "NA")</f>
        <v>0.7202522873</v>
      </c>
      <c r="P59" s="119">
        <f>IFERROR(P9-P57, "NA")</f>
        <v>25020.18</v>
      </c>
      <c r="Q59" s="107">
        <f>IFERROR(P59/P148, "NA")</f>
        <v>0.7396113728</v>
      </c>
      <c r="R59" s="119">
        <f>IFERROR(R9-R57, "NA")</f>
        <v>17415.46</v>
      </c>
      <c r="S59" s="107">
        <f>IFERROR(R59/R148, "NA")</f>
        <v>0.6997485151</v>
      </c>
      <c r="T59" s="119">
        <f>IFERROR(T9-T57, "NA")</f>
        <v>22543.91</v>
      </c>
      <c r="U59" s="107">
        <f>IFERROR(T59/T148, "NA")</f>
        <v>0.7125248937</v>
      </c>
      <c r="V59" s="119">
        <f>IFERROR(V9-V57, "NA")</f>
        <v>22995.64</v>
      </c>
      <c r="W59" s="107">
        <f>IFERROR(V59/V148, "NA")</f>
        <v>0.7644651768</v>
      </c>
      <c r="X59" s="119">
        <f>IFERROR(X9-X57, "NA")</f>
        <v>18647.15</v>
      </c>
      <c r="Y59" s="107">
        <f>IFERROR(X59/X148, "NA")</f>
        <v>0.7490602176</v>
      </c>
      <c r="Z59" s="119">
        <f>IFERROR(Z9-Z57, "NA")</f>
        <v>81602.16</v>
      </c>
      <c r="AA59" s="107">
        <f>IFERROR(Z59/Z148, "NA")</f>
        <v>0.7318422502</v>
      </c>
      <c r="AB59" s="119">
        <f>IFERROR((R59+T59+V59+X59)/4, "NA")</f>
        <v>20400.54</v>
      </c>
      <c r="AC59" s="107">
        <f>IFERROR(AB59/AB148, "NA")</f>
        <v>0.7318422502</v>
      </c>
      <c r="AD59" s="70">
        <f>IFERROR(X59-AB59, "NA")</f>
        <v>-1753.39</v>
      </c>
      <c r="AE59" s="71">
        <f>IFERROR(AD59/AD148, "NA")</f>
        <v>0.588082491</v>
      </c>
      <c r="AF59" s="70">
        <f>IFERROR((X59-AB59)/AB59, "NA")</f>
        <v>-0.0859482151</v>
      </c>
      <c r="AG59" s="119">
        <f>IFERROR((J59+L59+N59+P59+R59+T59+V59+X59)/8, "NA")</f>
        <v>20666.79375</v>
      </c>
      <c r="AH59" s="107">
        <f>IFERROR(AG59/AG148, "NA")</f>
        <v>0.7276182091</v>
      </c>
      <c r="AI59" s="70">
        <f>IFERROR(X59-AG59, "NA")</f>
        <v>-2019.64375</v>
      </c>
      <c r="AJ59" s="71">
        <f>IFERROR(AI59/AI148, "NA")</f>
        <v>0.5755136992</v>
      </c>
      <c r="AK59" s="70">
        <f>IFERROR((X59-AG59)/AG59, "NA")</f>
        <v>-0.09772409666</v>
      </c>
      <c r="AL59" s="71">
        <f>IFERROR(AK59/AK148, "NA")</f>
        <v>0.7909556028</v>
      </c>
    </row>
    <row r="60" ht="3.75" customHeight="1">
      <c r="A60" s="120" t="s">
        <v>6</v>
      </c>
      <c r="B60" s="121"/>
      <c r="C60" s="76"/>
      <c r="D60" s="121"/>
      <c r="E60" s="76"/>
      <c r="F60" s="121"/>
      <c r="G60" s="76"/>
      <c r="H60" s="121"/>
      <c r="I60" s="76"/>
      <c r="J60" s="121"/>
      <c r="K60" s="76"/>
      <c r="L60" s="121"/>
      <c r="M60" s="76"/>
      <c r="N60" s="121"/>
      <c r="O60" s="76"/>
      <c r="P60" s="121"/>
      <c r="Q60" s="76"/>
      <c r="R60" s="121"/>
      <c r="S60" s="76"/>
      <c r="T60" s="121"/>
      <c r="U60" s="76"/>
      <c r="V60" s="121"/>
      <c r="W60" s="76"/>
      <c r="X60" s="121"/>
      <c r="Y60" s="76"/>
      <c r="Z60" s="121"/>
      <c r="AA60" s="76"/>
      <c r="AB60" s="121"/>
      <c r="AC60" s="76"/>
      <c r="AD60" s="122"/>
      <c r="AE60" s="78"/>
      <c r="AF60" s="122"/>
      <c r="AG60" s="121"/>
      <c r="AH60" s="76"/>
      <c r="AI60" s="122"/>
      <c r="AJ60" s="78"/>
      <c r="AK60" s="122"/>
      <c r="AL60" s="78"/>
    </row>
    <row r="61" ht="16.5" customHeight="1">
      <c r="A61" s="17" t="s">
        <v>131</v>
      </c>
      <c r="B61" s="19"/>
      <c r="C61" s="13"/>
      <c r="D61" s="19"/>
      <c r="E61" s="13"/>
      <c r="F61" s="19"/>
      <c r="G61" s="13"/>
      <c r="H61" s="19"/>
      <c r="I61" s="13"/>
      <c r="J61" s="19"/>
      <c r="K61" s="13"/>
      <c r="L61" s="19"/>
      <c r="M61" s="13"/>
      <c r="N61" s="19"/>
      <c r="O61" s="13"/>
      <c r="P61" s="19"/>
      <c r="Q61" s="13"/>
      <c r="R61" s="19"/>
      <c r="S61" s="13"/>
      <c r="T61" s="19"/>
      <c r="U61" s="13"/>
      <c r="V61" s="19"/>
      <c r="W61" s="13"/>
      <c r="X61" s="19"/>
      <c r="Y61" s="13"/>
      <c r="Z61" s="19"/>
      <c r="AA61" s="13"/>
      <c r="AB61" s="19"/>
      <c r="AC61" s="13"/>
      <c r="AD61" s="24"/>
      <c r="AE61" s="25"/>
      <c r="AF61" s="24"/>
      <c r="AG61" s="19"/>
      <c r="AH61" s="13"/>
      <c r="AI61" s="24"/>
      <c r="AJ61" s="25"/>
      <c r="AK61" s="24"/>
      <c r="AL61" s="25"/>
    </row>
    <row r="62" ht="16.5" customHeight="1">
      <c r="A62" s="17" t="s">
        <v>131</v>
      </c>
      <c r="B62" s="19"/>
      <c r="C62" s="13"/>
      <c r="D62" s="19"/>
      <c r="E62" s="13"/>
      <c r="F62" s="19"/>
      <c r="G62" s="13"/>
      <c r="H62" s="19"/>
      <c r="I62" s="13"/>
      <c r="J62" s="19"/>
      <c r="K62" s="13"/>
      <c r="L62" s="19"/>
      <c r="M62" s="13"/>
      <c r="N62" s="19"/>
      <c r="O62" s="13"/>
      <c r="P62" s="19"/>
      <c r="Q62" s="13"/>
      <c r="R62" s="19"/>
      <c r="S62" s="13"/>
      <c r="T62" s="19"/>
      <c r="U62" s="13"/>
      <c r="V62" s="19"/>
      <c r="W62" s="13"/>
      <c r="X62" s="19"/>
      <c r="Y62" s="13"/>
      <c r="Z62" s="19"/>
      <c r="AA62" s="13"/>
      <c r="AB62" s="19"/>
      <c r="AC62" s="13"/>
      <c r="AD62" s="24"/>
      <c r="AE62" s="25"/>
      <c r="AF62" s="24"/>
      <c r="AG62" s="19"/>
      <c r="AH62" s="13"/>
      <c r="AI62" s="24"/>
      <c r="AJ62" s="25"/>
      <c r="AK62" s="24"/>
      <c r="AL62" s="25"/>
    </row>
    <row r="63" ht="16.5" hidden="1" customHeight="1">
      <c r="A63" s="26" t="s">
        <v>134</v>
      </c>
      <c r="B63" s="27">
        <v>0.0</v>
      </c>
      <c r="C63" s="23">
        <f>IFERROR(B63/B148, "NA")</f>
        <v>0</v>
      </c>
      <c r="D63" s="27">
        <v>0.0</v>
      </c>
      <c r="E63" s="23">
        <f>IFERROR(D63/D148, "NA")</f>
        <v>0</v>
      </c>
      <c r="F63" s="27">
        <v>0.0</v>
      </c>
      <c r="G63" s="23">
        <f>IFERROR(F63/F148, "NA")</f>
        <v>0</v>
      </c>
      <c r="H63" s="27">
        <v>0.0</v>
      </c>
      <c r="I63" s="23">
        <f>IFERROR(H63/H148, "NA")</f>
        <v>0</v>
      </c>
      <c r="J63" s="27">
        <v>0.0</v>
      </c>
      <c r="K63" s="23">
        <f>IFERROR(J63/J148, "NA")</f>
        <v>0</v>
      </c>
      <c r="L63" s="27">
        <v>0.0</v>
      </c>
      <c r="M63" s="23">
        <f>IFERROR(L63/L148, "NA")</f>
        <v>0</v>
      </c>
      <c r="N63" s="27">
        <v>0.0</v>
      </c>
      <c r="O63" s="23">
        <f>IFERROR(N63/N148, "NA")</f>
        <v>0</v>
      </c>
      <c r="P63" s="27">
        <v>0.0</v>
      </c>
      <c r="Q63" s="23">
        <f>IFERROR(P63/P148, "NA")</f>
        <v>0</v>
      </c>
      <c r="R63" s="27">
        <v>0.0</v>
      </c>
      <c r="S63" s="23">
        <f>IFERROR(R63/R148, "NA")</f>
        <v>0</v>
      </c>
      <c r="T63" s="27">
        <v>0.0</v>
      </c>
      <c r="U63" s="23">
        <f>IFERROR(T63/T148, "NA")</f>
        <v>0</v>
      </c>
      <c r="V63" s="27">
        <v>0.0</v>
      </c>
      <c r="W63" s="23">
        <f>IFERROR(V63/V148, "NA")</f>
        <v>0</v>
      </c>
      <c r="X63" s="27">
        <v>0.0</v>
      </c>
      <c r="Y63" s="23">
        <f>IFERROR(X63/X148, "NA")</f>
        <v>0</v>
      </c>
      <c r="Z63" s="27">
        <v>0.0</v>
      </c>
      <c r="AA63" s="23">
        <f>IFERROR(Z63/Z148, "NA")</f>
        <v>0</v>
      </c>
      <c r="AB63" s="59">
        <f>IFERROR((R63+T63+V63+X63)/4, "NA")</f>
        <v>0</v>
      </c>
      <c r="AC63" s="23">
        <f>IFERROR(AB63/AB148, "NA")</f>
        <v>0</v>
      </c>
      <c r="AD63" s="61">
        <f>IFERROR(X63-AB63, "NA")</f>
        <v>0</v>
      </c>
      <c r="AE63" s="63">
        <f>IFERROR(AD63/AD148, "NA")</f>
        <v>0</v>
      </c>
      <c r="AF63" s="61" t="str">
        <f>IFERROR((X63-AB63)/AB63, "NA")</f>
        <v>NA</v>
      </c>
      <c r="AG63" s="59">
        <f>IFERROR((J63+L63+N63+P63+R63+T63+V63+X63)/8, "NA")</f>
        <v>0</v>
      </c>
      <c r="AH63" s="23">
        <f>IFERROR(AG63/AG148, "NA")</f>
        <v>0</v>
      </c>
      <c r="AI63" s="61">
        <f>IFERROR(X63-AG63, "NA")</f>
        <v>0</v>
      </c>
      <c r="AJ63" s="63">
        <f>IFERROR(AI63/AI148, "NA")</f>
        <v>0</v>
      </c>
      <c r="AK63" s="61" t="str">
        <f>IFERROR((X63-AG63)/AG63, "NA")</f>
        <v>NA</v>
      </c>
      <c r="AL63" s="63" t="str">
        <f>IFERROR(AK63/AK148, "NA")</f>
        <v>NA</v>
      </c>
    </row>
    <row r="64" ht="16.5" customHeight="1">
      <c r="A64" s="17" t="s">
        <v>136</v>
      </c>
      <c r="B64" s="19"/>
      <c r="C64" s="13"/>
      <c r="D64" s="19"/>
      <c r="E64" s="13"/>
      <c r="F64" s="19"/>
      <c r="G64" s="13"/>
      <c r="H64" s="19"/>
      <c r="I64" s="13"/>
      <c r="J64" s="19"/>
      <c r="K64" s="13"/>
      <c r="L64" s="19"/>
      <c r="M64" s="13"/>
      <c r="N64" s="19"/>
      <c r="O64" s="13"/>
      <c r="P64" s="19"/>
      <c r="Q64" s="13"/>
      <c r="R64" s="19"/>
      <c r="S64" s="13"/>
      <c r="T64" s="19"/>
      <c r="U64" s="13"/>
      <c r="V64" s="19"/>
      <c r="W64" s="13"/>
      <c r="X64" s="19"/>
      <c r="Y64" s="13"/>
      <c r="Z64" s="19"/>
      <c r="AA64" s="13"/>
      <c r="AB64" s="19"/>
      <c r="AC64" s="13"/>
      <c r="AD64" s="24"/>
      <c r="AE64" s="25"/>
      <c r="AF64" s="24"/>
      <c r="AG64" s="19"/>
      <c r="AH64" s="13"/>
      <c r="AI64" s="24"/>
      <c r="AJ64" s="25"/>
      <c r="AK64" s="24"/>
      <c r="AL64" s="25"/>
    </row>
    <row r="65" ht="16.5" hidden="1" customHeight="1">
      <c r="A65" s="26" t="s">
        <v>137</v>
      </c>
      <c r="B65" s="27">
        <v>0.0</v>
      </c>
      <c r="C65" s="23">
        <f>IFERROR(B65/B148, "NA")</f>
        <v>0</v>
      </c>
      <c r="D65" s="27">
        <v>0.0</v>
      </c>
      <c r="E65" s="23">
        <f>IFERROR(D65/D148, "NA")</f>
        <v>0</v>
      </c>
      <c r="F65" s="27">
        <v>0.0</v>
      </c>
      <c r="G65" s="23">
        <f>IFERROR(F65/F148, "NA")</f>
        <v>0</v>
      </c>
      <c r="H65" s="27">
        <v>0.0</v>
      </c>
      <c r="I65" s="23">
        <f>IFERROR(H65/H148, "NA")</f>
        <v>0</v>
      </c>
      <c r="J65" s="27">
        <v>0.0</v>
      </c>
      <c r="K65" s="23">
        <f>IFERROR(J65/J148, "NA")</f>
        <v>0</v>
      </c>
      <c r="L65" s="27">
        <v>0.0</v>
      </c>
      <c r="M65" s="23">
        <f>IFERROR(L65/L148, "NA")</f>
        <v>0</v>
      </c>
      <c r="N65" s="27">
        <v>0.0</v>
      </c>
      <c r="O65" s="23">
        <f>IFERROR(N65/N148, "NA")</f>
        <v>0</v>
      </c>
      <c r="P65" s="27">
        <v>0.0</v>
      </c>
      <c r="Q65" s="23">
        <f>IFERROR(P65/P148, "NA")</f>
        <v>0</v>
      </c>
      <c r="R65" s="27">
        <v>0.0</v>
      </c>
      <c r="S65" s="23">
        <f>IFERROR(R65/R148, "NA")</f>
        <v>0</v>
      </c>
      <c r="T65" s="27">
        <v>0.0</v>
      </c>
      <c r="U65" s="23">
        <f>IFERROR(T65/T148, "NA")</f>
        <v>0</v>
      </c>
      <c r="V65" s="27">
        <v>0.0</v>
      </c>
      <c r="W65" s="23">
        <f>IFERROR(V65/V148, "NA")</f>
        <v>0</v>
      </c>
      <c r="X65" s="27">
        <v>0.0</v>
      </c>
      <c r="Y65" s="23">
        <f>IFERROR(X65/X148, "NA")</f>
        <v>0</v>
      </c>
      <c r="Z65" s="27">
        <v>0.0</v>
      </c>
      <c r="AA65" s="23">
        <f>IFERROR(Z65/Z148, "NA")</f>
        <v>0</v>
      </c>
      <c r="AB65" s="59">
        <f t="shared" ref="AB65:AB72" si="31">IFERROR((R65+T65+V65+X65)/4, "NA")</f>
        <v>0</v>
      </c>
      <c r="AC65" s="23">
        <f>IFERROR(AB65/AB148, "NA")</f>
        <v>0</v>
      </c>
      <c r="AD65" s="61">
        <f t="shared" ref="AD65:AD72" si="32">IFERROR(X65-AB65, "NA")</f>
        <v>0</v>
      </c>
      <c r="AE65" s="63">
        <f>IFERROR(AD65/AD148, "NA")</f>
        <v>0</v>
      </c>
      <c r="AF65" s="61" t="str">
        <f t="shared" ref="AF65:AF72" si="33">IFERROR((X65-AB65)/AB65, "NA")</f>
        <v>NA</v>
      </c>
      <c r="AG65" s="59">
        <f t="shared" ref="AG65:AG72" si="34">IFERROR((J65+L65+N65+P65+R65+T65+V65+X65)/8, "NA")</f>
        <v>0</v>
      </c>
      <c r="AH65" s="23">
        <f>IFERROR(AG65/AG148, "NA")</f>
        <v>0</v>
      </c>
      <c r="AI65" s="61">
        <f t="shared" ref="AI65:AI72" si="35">IFERROR(X65-AG65, "NA")</f>
        <v>0</v>
      </c>
      <c r="AJ65" s="63">
        <f>IFERROR(AI65/AI148, "NA")</f>
        <v>0</v>
      </c>
      <c r="AK65" s="61" t="str">
        <f t="shared" ref="AK65:AK72" si="36">IFERROR((X65-AG65)/AG65, "NA")</f>
        <v>NA</v>
      </c>
      <c r="AL65" s="63" t="str">
        <f>IFERROR(AK65/AK148, "NA")</f>
        <v>NA</v>
      </c>
    </row>
    <row r="66" ht="16.5" customHeight="1">
      <c r="A66" s="26" t="s">
        <v>144</v>
      </c>
      <c r="B66" s="27">
        <v>1298.08</v>
      </c>
      <c r="C66" s="23">
        <f>IFERROR(B66/B148, "NA")</f>
        <v>0.04460146001</v>
      </c>
      <c r="D66" s="27">
        <v>1298.08</v>
      </c>
      <c r="E66" s="23">
        <f>IFERROR(D66/D148, "NA")</f>
        <v>0.04047064017</v>
      </c>
      <c r="F66" s="27">
        <v>1298.08</v>
      </c>
      <c r="G66" s="23">
        <f>IFERROR(F66/F148, "NA")</f>
        <v>0.04931828699</v>
      </c>
      <c r="H66" s="27">
        <v>1298.08</v>
      </c>
      <c r="I66" s="23">
        <f>IFERROR(H66/H148, "NA")</f>
        <v>0.05244695628</v>
      </c>
      <c r="J66" s="27">
        <v>1298.08</v>
      </c>
      <c r="K66" s="23">
        <f>IFERROR(J66/J148, "NA")</f>
        <v>0.04903462886</v>
      </c>
      <c r="L66" s="27">
        <v>1298.08</v>
      </c>
      <c r="M66" s="23">
        <f>IFERROR(L66/L148, "NA")</f>
        <v>0.05218049157</v>
      </c>
      <c r="N66" s="27">
        <v>1298.08</v>
      </c>
      <c r="O66" s="23">
        <f>IFERROR(N66/N148, "NA")</f>
        <v>0.04249572695</v>
      </c>
      <c r="P66" s="27">
        <v>1298.08</v>
      </c>
      <c r="Q66" s="23">
        <f>IFERROR(P66/P148, "NA")</f>
        <v>0.03837201534</v>
      </c>
      <c r="R66" s="27">
        <v>1298.08</v>
      </c>
      <c r="S66" s="23">
        <f>IFERROR(R66/R148, "NA")</f>
        <v>0.05215650648</v>
      </c>
      <c r="T66" s="27">
        <v>1298.08</v>
      </c>
      <c r="U66" s="23">
        <f>IFERROR(T66/T148, "NA")</f>
        <v>0.04102723592</v>
      </c>
      <c r="V66" s="27">
        <v>1298.08</v>
      </c>
      <c r="W66" s="23">
        <f>IFERROR(V66/V148, "NA")</f>
        <v>0.04315326543</v>
      </c>
      <c r="X66" s="27">
        <v>1298.08</v>
      </c>
      <c r="Y66" s="23">
        <f>IFERROR(X66/X148, "NA")</f>
        <v>0.05214416612</v>
      </c>
      <c r="Z66" s="27">
        <v>5192.32</v>
      </c>
      <c r="AA66" s="23">
        <f>IFERROR(Z66/Z148, "NA")</f>
        <v>0.04656689422</v>
      </c>
      <c r="AB66" s="59">
        <f t="shared" si="31"/>
        <v>1298.08</v>
      </c>
      <c r="AC66" s="23">
        <f>IFERROR(AB66/AB148, "NA")</f>
        <v>0.04656689422</v>
      </c>
      <c r="AD66" s="61">
        <f t="shared" si="32"/>
        <v>0</v>
      </c>
      <c r="AE66" s="63">
        <f>IFERROR(AD66/AD148, "NA")</f>
        <v>0</v>
      </c>
      <c r="AF66" s="61">
        <f t="shared" si="33"/>
        <v>0</v>
      </c>
      <c r="AG66" s="59">
        <f t="shared" si="34"/>
        <v>1298.08</v>
      </c>
      <c r="AH66" s="23">
        <f>IFERROR(AG66/AG148, "NA")</f>
        <v>0.0457016534</v>
      </c>
      <c r="AI66" s="61">
        <f t="shared" si="35"/>
        <v>0</v>
      </c>
      <c r="AJ66" s="63">
        <f>IFERROR(AI66/AI148, "NA")</f>
        <v>0</v>
      </c>
      <c r="AK66" s="61">
        <f t="shared" si="36"/>
        <v>0</v>
      </c>
      <c r="AL66" s="63">
        <f>IFERROR(AK66/AK148, "NA")</f>
        <v>0</v>
      </c>
    </row>
    <row r="67" ht="16.5" hidden="1" customHeight="1">
      <c r="A67" s="26" t="s">
        <v>146</v>
      </c>
      <c r="B67" s="27">
        <v>0.0</v>
      </c>
      <c r="C67" s="23">
        <f>IFERROR(B67/B148, "NA")</f>
        <v>0</v>
      </c>
      <c r="D67" s="27">
        <v>0.0</v>
      </c>
      <c r="E67" s="23">
        <f>IFERROR(D67/D148, "NA")</f>
        <v>0</v>
      </c>
      <c r="F67" s="27">
        <v>0.0</v>
      </c>
      <c r="G67" s="23">
        <f>IFERROR(F67/F148, "NA")</f>
        <v>0</v>
      </c>
      <c r="H67" s="27">
        <v>0.0</v>
      </c>
      <c r="I67" s="23">
        <f>IFERROR(H67/H148, "NA")</f>
        <v>0</v>
      </c>
      <c r="J67" s="27">
        <v>0.0</v>
      </c>
      <c r="K67" s="23">
        <f>IFERROR(J67/J148, "NA")</f>
        <v>0</v>
      </c>
      <c r="L67" s="27">
        <v>0.0</v>
      </c>
      <c r="M67" s="23">
        <f>IFERROR(L67/L148, "NA")</f>
        <v>0</v>
      </c>
      <c r="N67" s="27">
        <v>0.0</v>
      </c>
      <c r="O67" s="23">
        <f>IFERROR(N67/N148, "NA")</f>
        <v>0</v>
      </c>
      <c r="P67" s="27">
        <v>0.0</v>
      </c>
      <c r="Q67" s="23">
        <f>IFERROR(P67/P148, "NA")</f>
        <v>0</v>
      </c>
      <c r="R67" s="27">
        <v>0.0</v>
      </c>
      <c r="S67" s="23">
        <f>IFERROR(R67/R148, "NA")</f>
        <v>0</v>
      </c>
      <c r="T67" s="27">
        <v>0.0</v>
      </c>
      <c r="U67" s="23">
        <f>IFERROR(T67/T148, "NA")</f>
        <v>0</v>
      </c>
      <c r="V67" s="27">
        <v>0.0</v>
      </c>
      <c r="W67" s="23">
        <f>IFERROR(V67/V148, "NA")</f>
        <v>0</v>
      </c>
      <c r="X67" s="27">
        <v>0.0</v>
      </c>
      <c r="Y67" s="23">
        <f>IFERROR(X67/X148, "NA")</f>
        <v>0</v>
      </c>
      <c r="Z67" s="27">
        <v>0.0</v>
      </c>
      <c r="AA67" s="23">
        <f>IFERROR(Z67/Z148, "NA")</f>
        <v>0</v>
      </c>
      <c r="AB67" s="59">
        <f t="shared" si="31"/>
        <v>0</v>
      </c>
      <c r="AC67" s="23">
        <f>IFERROR(AB67/AB148, "NA")</f>
        <v>0</v>
      </c>
      <c r="AD67" s="61">
        <f t="shared" si="32"/>
        <v>0</v>
      </c>
      <c r="AE67" s="63">
        <f>IFERROR(AD67/AD148, "NA")</f>
        <v>0</v>
      </c>
      <c r="AF67" s="61" t="str">
        <f t="shared" si="33"/>
        <v>NA</v>
      </c>
      <c r="AG67" s="59">
        <f t="shared" si="34"/>
        <v>0</v>
      </c>
      <c r="AH67" s="23">
        <f>IFERROR(AG67/AG148, "NA")</f>
        <v>0</v>
      </c>
      <c r="AI67" s="61">
        <f t="shared" si="35"/>
        <v>0</v>
      </c>
      <c r="AJ67" s="63">
        <f>IFERROR(AI67/AI148, "NA")</f>
        <v>0</v>
      </c>
      <c r="AK67" s="61" t="str">
        <f t="shared" si="36"/>
        <v>NA</v>
      </c>
      <c r="AL67" s="63" t="str">
        <f>IFERROR(AK67/AK148, "NA")</f>
        <v>NA</v>
      </c>
    </row>
    <row r="68" ht="16.5" customHeight="1">
      <c r="A68" s="26" t="s">
        <v>150</v>
      </c>
      <c r="B68" s="27">
        <v>6119.22</v>
      </c>
      <c r="C68" s="23">
        <f>IFERROR(B68/B148, "NA")</f>
        <v>0.2102537179</v>
      </c>
      <c r="D68" s="27">
        <v>5469.89</v>
      </c>
      <c r="E68" s="23">
        <f>IFERROR(D68/D148, "NA")</f>
        <v>0.1705364461</v>
      </c>
      <c r="F68" s="27">
        <v>5521.27</v>
      </c>
      <c r="G68" s="23">
        <f>IFERROR(F68/F148, "NA")</f>
        <v>0.2097710298</v>
      </c>
      <c r="H68" s="27">
        <v>5933.63</v>
      </c>
      <c r="I68" s="23">
        <f>IFERROR(H68/H148, "NA")</f>
        <v>0.2397393329</v>
      </c>
      <c r="J68" s="27">
        <v>5918.55</v>
      </c>
      <c r="K68" s="23">
        <f>IFERROR(J68/J148, "NA")</f>
        <v>0.2235716617</v>
      </c>
      <c r="L68" s="27">
        <v>5508.42</v>
      </c>
      <c r="M68" s="23">
        <f>IFERROR(L68/L148, "NA")</f>
        <v>0.2214286202</v>
      </c>
      <c r="N68" s="27">
        <v>5924.51</v>
      </c>
      <c r="O68" s="23">
        <f>IFERROR(N68/N148, "NA")</f>
        <v>0.1939528837</v>
      </c>
      <c r="P68" s="27">
        <v>6025.8</v>
      </c>
      <c r="Q68" s="23">
        <f>IFERROR(P68/P148, "NA")</f>
        <v>0.1781262249</v>
      </c>
      <c r="R68" s="27">
        <v>4873.4</v>
      </c>
      <c r="S68" s="23">
        <f>IFERROR(R68/R148, "NA")</f>
        <v>0.1958119058</v>
      </c>
      <c r="T68" s="27">
        <v>7406.74</v>
      </c>
      <c r="U68" s="23">
        <f>IFERROR(T68/T148, "NA")</f>
        <v>0.2340981059</v>
      </c>
      <c r="V68" s="27">
        <v>7525.43</v>
      </c>
      <c r="W68" s="23">
        <f>IFERROR(V68/V148, "NA")</f>
        <v>0.2501747799</v>
      </c>
      <c r="X68" s="27">
        <v>5639.93</v>
      </c>
      <c r="Y68" s="23">
        <f>IFERROR(X68/X148, "NA")</f>
        <v>0.226557259</v>
      </c>
      <c r="Z68" s="27">
        <v>25445.5</v>
      </c>
      <c r="AA68" s="23">
        <f>IFERROR(Z68/Z148, "NA")</f>
        <v>0.2282058707</v>
      </c>
      <c r="AB68" s="59">
        <f t="shared" si="31"/>
        <v>6361.375</v>
      </c>
      <c r="AC68" s="23">
        <f>IFERROR(AB68/AB148, "NA")</f>
        <v>0.2282058707</v>
      </c>
      <c r="AD68" s="61">
        <f t="shared" si="32"/>
        <v>-721.445</v>
      </c>
      <c r="AE68" s="63">
        <f>IFERROR(AD68/AD148, "NA")</f>
        <v>0.2419707953</v>
      </c>
      <c r="AF68" s="61">
        <f t="shared" si="33"/>
        <v>-0.1134102297</v>
      </c>
      <c r="AG68" s="59">
        <f t="shared" si="34"/>
        <v>6102.8475</v>
      </c>
      <c r="AH68" s="23">
        <f>IFERROR(AG68/AG148, "NA")</f>
        <v>0.2148636611</v>
      </c>
      <c r="AI68" s="61">
        <f t="shared" si="35"/>
        <v>-462.9175</v>
      </c>
      <c r="AJ68" s="63">
        <f>IFERROR(AI68/AI148, "NA")</f>
        <v>0.1319120577</v>
      </c>
      <c r="AK68" s="61">
        <f t="shared" si="36"/>
        <v>-0.07585270646</v>
      </c>
      <c r="AL68" s="63">
        <f>IFERROR(AK68/AK148, "NA")</f>
        <v>0.6139337708</v>
      </c>
    </row>
    <row r="69" ht="16.5" customHeight="1">
      <c r="A69" s="26" t="s">
        <v>153</v>
      </c>
      <c r="B69" s="27">
        <v>77.16</v>
      </c>
      <c r="C69" s="23">
        <f>IFERROR(B69/B148, "NA")</f>
        <v>0.00265118379</v>
      </c>
      <c r="D69" s="27">
        <v>59.36</v>
      </c>
      <c r="E69" s="23">
        <f>IFERROR(D69/D148, "NA")</f>
        <v>0.001850685012</v>
      </c>
      <c r="F69" s="27">
        <v>0.0</v>
      </c>
      <c r="G69" s="23">
        <f>IFERROR(F69/F148, "NA")</f>
        <v>0</v>
      </c>
      <c r="H69" s="27">
        <v>0.0</v>
      </c>
      <c r="I69" s="23">
        <f>IFERROR(H69/H148, "NA")</f>
        <v>0</v>
      </c>
      <c r="J69" s="27">
        <v>0.0</v>
      </c>
      <c r="K69" s="23">
        <f>IFERROR(J69/J148, "NA")</f>
        <v>0</v>
      </c>
      <c r="L69" s="27">
        <v>0.0</v>
      </c>
      <c r="M69" s="23">
        <f>IFERROR(L69/L148, "NA")</f>
        <v>0</v>
      </c>
      <c r="N69" s="27">
        <v>0.0</v>
      </c>
      <c r="O69" s="23">
        <f>IFERROR(N69/N148, "NA")</f>
        <v>0</v>
      </c>
      <c r="P69" s="27">
        <v>175.69</v>
      </c>
      <c r="Q69" s="23">
        <f>IFERROR(P69/P148, "NA")</f>
        <v>0.00519350069</v>
      </c>
      <c r="R69" s="27">
        <v>0.0</v>
      </c>
      <c r="S69" s="23">
        <f>IFERROR(R69/R148, "NA")</f>
        <v>0</v>
      </c>
      <c r="T69" s="27">
        <v>68.26</v>
      </c>
      <c r="U69" s="23">
        <f>IFERROR(T69/T148, "NA")</f>
        <v>0.002157431841</v>
      </c>
      <c r="V69" s="27">
        <v>13.35</v>
      </c>
      <c r="W69" s="23">
        <f>IFERROR(V69/V148, "NA")</f>
        <v>0.000443806309</v>
      </c>
      <c r="X69" s="27">
        <v>0.0</v>
      </c>
      <c r="Y69" s="23">
        <f>IFERROR(X69/X148, "NA")</f>
        <v>0</v>
      </c>
      <c r="Z69" s="27">
        <v>81.61</v>
      </c>
      <c r="AA69" s="23">
        <f>IFERROR(Z69/Z148, "NA")</f>
        <v>0.0007319125626</v>
      </c>
      <c r="AB69" s="59">
        <f t="shared" si="31"/>
        <v>20.4025</v>
      </c>
      <c r="AC69" s="23">
        <f>IFERROR(AB69/AB148, "NA")</f>
        <v>0.0007319125626</v>
      </c>
      <c r="AD69" s="61">
        <f t="shared" si="32"/>
        <v>-20.4025</v>
      </c>
      <c r="AE69" s="63">
        <f>IFERROR(AD69/AD148, "NA")</f>
        <v>0.006842945963</v>
      </c>
      <c r="AF69" s="61">
        <f t="shared" si="33"/>
        <v>-1</v>
      </c>
      <c r="AG69" s="59">
        <f t="shared" si="34"/>
        <v>32.1625</v>
      </c>
      <c r="AH69" s="23">
        <f>IFERROR(AG69/AG148, "NA")</f>
        <v>0.001132348875</v>
      </c>
      <c r="AI69" s="61">
        <f t="shared" si="35"/>
        <v>-32.1625</v>
      </c>
      <c r="AJ69" s="63">
        <f>IFERROR(AI69/AI148, "NA")</f>
        <v>0.009164962558</v>
      </c>
      <c r="AK69" s="61">
        <f t="shared" si="36"/>
        <v>-1</v>
      </c>
      <c r="AL69" s="63">
        <f>IFERROR(AK69/AK148, "NA")</f>
        <v>8.093762233</v>
      </c>
    </row>
    <row r="70" ht="16.5" customHeight="1">
      <c r="A70" s="66" t="s">
        <v>156</v>
      </c>
      <c r="B70" s="67">
        <f>IFERROR(B65+B66+B67+B68+B69, "NA")</f>
        <v>7494.46</v>
      </c>
      <c r="C70" s="69">
        <f>IFERROR(B70/B148, "NA")</f>
        <v>0.2575063617</v>
      </c>
      <c r="D70" s="67">
        <f>IFERROR(D65+D66+D67+D68+D69, "NA")</f>
        <v>6827.33</v>
      </c>
      <c r="E70" s="69">
        <f>IFERROR(D70/D148, "NA")</f>
        <v>0.2128577713</v>
      </c>
      <c r="F70" s="67">
        <f>IFERROR(F65+F66+F67+F68+F69, "NA")</f>
        <v>6819.35</v>
      </c>
      <c r="G70" s="69">
        <f>IFERROR(F70/F148, "NA")</f>
        <v>0.2590893168</v>
      </c>
      <c r="H70" s="67">
        <f>IFERROR(H65+H66+H67+H68+H69, "NA")</f>
        <v>7231.71</v>
      </c>
      <c r="I70" s="69">
        <f>IFERROR(H70/H148, "NA")</f>
        <v>0.2921862892</v>
      </c>
      <c r="J70" s="67">
        <f>IFERROR(J65+J66+J67+J68+J69, "NA")</f>
        <v>7216.63</v>
      </c>
      <c r="K70" s="69">
        <f>IFERROR(J70/J148, "NA")</f>
        <v>0.2726062906</v>
      </c>
      <c r="L70" s="67">
        <f>IFERROR(L65+L66+L67+L68+L69, "NA")</f>
        <v>6806.5</v>
      </c>
      <c r="M70" s="69">
        <f>IFERROR(L70/L148, "NA")</f>
        <v>0.2736091118</v>
      </c>
      <c r="N70" s="67">
        <f>IFERROR(N65+N66+N67+N68+N69, "NA")</f>
        <v>7222.59</v>
      </c>
      <c r="O70" s="69">
        <f>IFERROR(N70/N148, "NA")</f>
        <v>0.2364486107</v>
      </c>
      <c r="P70" s="67">
        <f>IFERROR(P65+P66+P67+P68+P69, "NA")</f>
        <v>7499.57</v>
      </c>
      <c r="Q70" s="69">
        <f>IFERROR(P70/P148, "NA")</f>
        <v>0.2216917409</v>
      </c>
      <c r="R70" s="67">
        <f>IFERROR(R65+R66+R67+R68+R69, "NA")</f>
        <v>6171.48</v>
      </c>
      <c r="S70" s="69">
        <f>IFERROR(R70/R148, "NA")</f>
        <v>0.2479684123</v>
      </c>
      <c r="T70" s="67">
        <f>IFERROR(T65+T66+T67+T68+T69, "NA")</f>
        <v>8773.08</v>
      </c>
      <c r="U70" s="69">
        <f>IFERROR(T70/T148, "NA")</f>
        <v>0.2772827737</v>
      </c>
      <c r="V70" s="67">
        <f>IFERROR(V65+V66+V67+V68+V69, "NA")</f>
        <v>8836.86</v>
      </c>
      <c r="W70" s="69">
        <f>IFERROR(V70/V148, "NA")</f>
        <v>0.2937718516</v>
      </c>
      <c r="X70" s="67">
        <f>IFERROR(X65+X66+X67+X68+X69, "NA")</f>
        <v>6938.01</v>
      </c>
      <c r="Y70" s="69">
        <f>IFERROR(X70/X148, "NA")</f>
        <v>0.2787014252</v>
      </c>
      <c r="Z70" s="67">
        <f>IFERROR(Z65+Z66+Z67+Z68+Z69, "NA")</f>
        <v>30719.43</v>
      </c>
      <c r="AA70" s="69">
        <f>IFERROR(Z70/Z148, "NA")</f>
        <v>0.2755046775</v>
      </c>
      <c r="AB70" s="67">
        <f t="shared" si="31"/>
        <v>7679.8575</v>
      </c>
      <c r="AC70" s="69">
        <f>IFERROR(AB70/AB148, "NA")</f>
        <v>0.2755046775</v>
      </c>
      <c r="AD70" s="70">
        <f t="shared" si="32"/>
        <v>-741.8475</v>
      </c>
      <c r="AE70" s="71">
        <f>IFERROR(AD70/AD148, "NA")</f>
        <v>0.2488137412</v>
      </c>
      <c r="AF70" s="70">
        <f t="shared" si="33"/>
        <v>-0.09659651888</v>
      </c>
      <c r="AG70" s="67">
        <f t="shared" si="34"/>
        <v>7433.09</v>
      </c>
      <c r="AH70" s="69">
        <f>IFERROR(AG70/AG148, "NA")</f>
        <v>0.2616976634</v>
      </c>
      <c r="AI70" s="70">
        <f t="shared" si="35"/>
        <v>-495.08</v>
      </c>
      <c r="AJ70" s="71">
        <f>IFERROR(AI70/AI148, "NA")</f>
        <v>0.1410770202</v>
      </c>
      <c r="AK70" s="70">
        <f t="shared" si="36"/>
        <v>-0.06660487092</v>
      </c>
      <c r="AL70" s="71">
        <f>IFERROR(AK70/AK148, "NA")</f>
        <v>0.5390839888</v>
      </c>
    </row>
    <row r="71" ht="16.5" hidden="1" customHeight="1">
      <c r="A71" s="26" t="s">
        <v>162</v>
      </c>
      <c r="B71" s="27">
        <v>0.0</v>
      </c>
      <c r="C71" s="23">
        <f>IFERROR(B71/B148, "NA")</f>
        <v>0</v>
      </c>
      <c r="D71" s="27">
        <v>0.0</v>
      </c>
      <c r="E71" s="23">
        <f>IFERROR(D71/D148, "NA")</f>
        <v>0</v>
      </c>
      <c r="F71" s="27">
        <v>0.0</v>
      </c>
      <c r="G71" s="23">
        <f>IFERROR(F71/F148, "NA")</f>
        <v>0</v>
      </c>
      <c r="H71" s="27">
        <v>0.0</v>
      </c>
      <c r="I71" s="23">
        <f>IFERROR(H71/H148, "NA")</f>
        <v>0</v>
      </c>
      <c r="J71" s="27">
        <v>0.0</v>
      </c>
      <c r="K71" s="23">
        <f>IFERROR(J71/J148, "NA")</f>
        <v>0</v>
      </c>
      <c r="L71" s="27">
        <v>0.0</v>
      </c>
      <c r="M71" s="23">
        <f>IFERROR(L71/L148, "NA")</f>
        <v>0</v>
      </c>
      <c r="N71" s="27">
        <v>0.0</v>
      </c>
      <c r="O71" s="23">
        <f>IFERROR(N71/N148, "NA")</f>
        <v>0</v>
      </c>
      <c r="P71" s="27">
        <v>0.0</v>
      </c>
      <c r="Q71" s="23">
        <f>IFERROR(P71/P148, "NA")</f>
        <v>0</v>
      </c>
      <c r="R71" s="27">
        <v>0.0</v>
      </c>
      <c r="S71" s="23">
        <f>IFERROR(R71/R148, "NA")</f>
        <v>0</v>
      </c>
      <c r="T71" s="27">
        <v>0.0</v>
      </c>
      <c r="U71" s="23">
        <f>IFERROR(T71/T148, "NA")</f>
        <v>0</v>
      </c>
      <c r="V71" s="27">
        <v>0.0</v>
      </c>
      <c r="W71" s="23">
        <f>IFERROR(V71/V148, "NA")</f>
        <v>0</v>
      </c>
      <c r="X71" s="27">
        <v>0.0</v>
      </c>
      <c r="Y71" s="23">
        <f>IFERROR(X71/X148, "NA")</f>
        <v>0</v>
      </c>
      <c r="Z71" s="27">
        <v>0.0</v>
      </c>
      <c r="AA71" s="23">
        <f>IFERROR(Z71/Z148, "NA")</f>
        <v>0</v>
      </c>
      <c r="AB71" s="59">
        <f t="shared" si="31"/>
        <v>0</v>
      </c>
      <c r="AC71" s="23">
        <f>IFERROR(AB71/AB148, "NA")</f>
        <v>0</v>
      </c>
      <c r="AD71" s="61">
        <f t="shared" si="32"/>
        <v>0</v>
      </c>
      <c r="AE71" s="63">
        <f>IFERROR(AD71/AD148, "NA")</f>
        <v>0</v>
      </c>
      <c r="AF71" s="61" t="str">
        <f t="shared" si="33"/>
        <v>NA</v>
      </c>
      <c r="AG71" s="59">
        <f t="shared" si="34"/>
        <v>0</v>
      </c>
      <c r="AH71" s="23">
        <f>IFERROR(AG71/AG148, "NA")</f>
        <v>0</v>
      </c>
      <c r="AI71" s="61">
        <f t="shared" si="35"/>
        <v>0</v>
      </c>
      <c r="AJ71" s="63">
        <f>IFERROR(AI71/AI148, "NA")</f>
        <v>0</v>
      </c>
      <c r="AK71" s="61" t="str">
        <f t="shared" si="36"/>
        <v>NA</v>
      </c>
      <c r="AL71" s="63" t="str">
        <f>IFERROR(AK71/AK148, "NA")</f>
        <v>NA</v>
      </c>
    </row>
    <row r="72" ht="16.5" customHeight="1">
      <c r="A72" s="26" t="s">
        <v>167</v>
      </c>
      <c r="B72" s="27">
        <v>0.0</v>
      </c>
      <c r="C72" s="23">
        <f>IFERROR(B72/B148, "NA")</f>
        <v>0</v>
      </c>
      <c r="D72" s="27">
        <v>0.0</v>
      </c>
      <c r="E72" s="23">
        <f>IFERROR(D72/D148, "NA")</f>
        <v>0</v>
      </c>
      <c r="F72" s="27">
        <v>-813.0</v>
      </c>
      <c r="G72" s="23">
        <f>IFERROR(F72/F148, "NA")</f>
        <v>-0.03088851791</v>
      </c>
      <c r="H72" s="27">
        <v>0.0</v>
      </c>
      <c r="I72" s="23">
        <f>IFERROR(H72/H148, "NA")</f>
        <v>0</v>
      </c>
      <c r="J72" s="27">
        <v>0.0</v>
      </c>
      <c r="K72" s="23">
        <f>IFERROR(J72/J148, "NA")</f>
        <v>0</v>
      </c>
      <c r="L72" s="27">
        <v>0.0</v>
      </c>
      <c r="M72" s="23">
        <f>IFERROR(L72/L148, "NA")</f>
        <v>0</v>
      </c>
      <c r="N72" s="27">
        <v>0.0</v>
      </c>
      <c r="O72" s="23">
        <f>IFERROR(N72/N148, "NA")</f>
        <v>0</v>
      </c>
      <c r="P72" s="27">
        <v>488.0</v>
      </c>
      <c r="Q72" s="23">
        <f>IFERROR(P72/P148, "NA")</f>
        <v>0.01442556968</v>
      </c>
      <c r="R72" s="27">
        <v>0.0</v>
      </c>
      <c r="S72" s="23">
        <f>IFERROR(R72/R148, "NA")</f>
        <v>0</v>
      </c>
      <c r="T72" s="27">
        <v>0.0</v>
      </c>
      <c r="U72" s="23">
        <f>IFERROR(T72/T148, "NA")</f>
        <v>0</v>
      </c>
      <c r="V72" s="27">
        <v>0.0</v>
      </c>
      <c r="W72" s="23">
        <f>IFERROR(V72/V148, "NA")</f>
        <v>0</v>
      </c>
      <c r="X72" s="27">
        <v>-813.0</v>
      </c>
      <c r="Y72" s="23">
        <f>IFERROR(X72/X148, "NA")</f>
        <v>-0.03265839321</v>
      </c>
      <c r="Z72" s="27">
        <v>-813.0</v>
      </c>
      <c r="AA72" s="23">
        <f>IFERROR(Z72/Z148, "NA")</f>
        <v>-0.007291323531</v>
      </c>
      <c r="AB72" s="59">
        <f t="shared" si="31"/>
        <v>-203.25</v>
      </c>
      <c r="AC72" s="23">
        <f>IFERROR(AB72/AB148, "NA")</f>
        <v>-0.007291323531</v>
      </c>
      <c r="AD72" s="61">
        <f t="shared" si="32"/>
        <v>-609.75</v>
      </c>
      <c r="AE72" s="63">
        <f>IFERROR(AD72/AD148, "NA")</f>
        <v>0.2045085799</v>
      </c>
      <c r="AF72" s="61">
        <f t="shared" si="33"/>
        <v>3</v>
      </c>
      <c r="AG72" s="59">
        <f t="shared" si="34"/>
        <v>-40.625</v>
      </c>
      <c r="AH72" s="23">
        <f>IFERROR(AG72/AG148, "NA")</f>
        <v>-0.001430289096</v>
      </c>
      <c r="AI72" s="61">
        <f t="shared" si="35"/>
        <v>-772.375</v>
      </c>
      <c r="AJ72" s="63">
        <f>IFERROR(AI72/AI148, "NA")</f>
        <v>0.2200944565</v>
      </c>
      <c r="AK72" s="61">
        <f t="shared" si="36"/>
        <v>19.01230769</v>
      </c>
      <c r="AL72" s="63">
        <f>IFERROR(AK72/AK148, "NA")</f>
        <v>-153.881098</v>
      </c>
    </row>
    <row r="73" ht="16.5" customHeight="1">
      <c r="A73" s="17" t="s">
        <v>175</v>
      </c>
      <c r="B73" s="19"/>
      <c r="C73" s="13"/>
      <c r="D73" s="19"/>
      <c r="E73" s="13"/>
      <c r="F73" s="19"/>
      <c r="G73" s="13"/>
      <c r="H73" s="19"/>
      <c r="I73" s="13"/>
      <c r="J73" s="19"/>
      <c r="K73" s="13"/>
      <c r="L73" s="19"/>
      <c r="M73" s="13"/>
      <c r="N73" s="19"/>
      <c r="O73" s="13"/>
      <c r="P73" s="19"/>
      <c r="Q73" s="13"/>
      <c r="R73" s="19"/>
      <c r="S73" s="13"/>
      <c r="T73" s="19"/>
      <c r="U73" s="13"/>
      <c r="V73" s="19"/>
      <c r="W73" s="13"/>
      <c r="X73" s="19"/>
      <c r="Y73" s="13"/>
      <c r="Z73" s="19"/>
      <c r="AA73" s="13"/>
      <c r="AB73" s="19"/>
      <c r="AC73" s="13"/>
      <c r="AD73" s="24"/>
      <c r="AE73" s="25"/>
      <c r="AF73" s="24"/>
      <c r="AG73" s="19"/>
      <c r="AH73" s="13"/>
      <c r="AI73" s="24"/>
      <c r="AJ73" s="25"/>
      <c r="AK73" s="24"/>
      <c r="AL73" s="25"/>
    </row>
    <row r="74" ht="16.5" customHeight="1">
      <c r="A74" s="26" t="s">
        <v>177</v>
      </c>
      <c r="B74" s="27">
        <v>677.23</v>
      </c>
      <c r="C74" s="23">
        <f>IFERROR(B74/B148, "NA")</f>
        <v>0.02326932605</v>
      </c>
      <c r="D74" s="27">
        <v>626.61</v>
      </c>
      <c r="E74" s="23">
        <f>IFERROR(D74/D148, "NA")</f>
        <v>0.01953601306</v>
      </c>
      <c r="F74" s="27">
        <v>621.45</v>
      </c>
      <c r="G74" s="23">
        <f>IFERROR(F74/F148, "NA")</f>
        <v>0.02361090954</v>
      </c>
      <c r="H74" s="27">
        <v>646.95</v>
      </c>
      <c r="I74" s="23">
        <f>IFERROR(H74/H148, "NA")</f>
        <v>0.02613903486</v>
      </c>
      <c r="J74" s="27">
        <v>641.68</v>
      </c>
      <c r="K74" s="23">
        <f>IFERROR(J74/J148, "NA")</f>
        <v>0.02423929237</v>
      </c>
      <c r="L74" s="27">
        <v>609.27</v>
      </c>
      <c r="M74" s="23">
        <f>IFERROR(L74/L148, "NA")</f>
        <v>0.024491563</v>
      </c>
      <c r="N74" s="27">
        <v>629.49</v>
      </c>
      <c r="O74" s="23">
        <f>IFERROR(N74/N148, "NA")</f>
        <v>0.02060784787</v>
      </c>
      <c r="P74" s="27">
        <v>647.77</v>
      </c>
      <c r="Q74" s="23">
        <f>IFERROR(P74/P148, "NA")</f>
        <v>0.01914846572</v>
      </c>
      <c r="R74" s="27">
        <v>548.44</v>
      </c>
      <c r="S74" s="23">
        <f>IFERROR(R74/R148, "NA")</f>
        <v>0.02203617221</v>
      </c>
      <c r="T74" s="27">
        <v>753.72</v>
      </c>
      <c r="U74" s="23">
        <f>IFERROR(T74/T148, "NA")</f>
        <v>0.02382214367</v>
      </c>
      <c r="V74" s="27">
        <v>764.64</v>
      </c>
      <c r="W74" s="23">
        <f>IFERROR(V74/V148, "NA")</f>
        <v>0.02541962967</v>
      </c>
      <c r="X74" s="27">
        <v>621.16</v>
      </c>
      <c r="Y74" s="23">
        <f>IFERROR(X74/X148, "NA")</f>
        <v>0.02495213718</v>
      </c>
      <c r="Z74" s="27">
        <v>2687.96</v>
      </c>
      <c r="AA74" s="23">
        <f>IFERROR(Z74/Z148, "NA")</f>
        <v>0.02410674785</v>
      </c>
      <c r="AB74" s="59">
        <f t="shared" ref="AB74:AB85" si="37">IFERROR((R74+T74+V74+X74)/4, "NA")</f>
        <v>671.99</v>
      </c>
      <c r="AC74" s="23">
        <f>IFERROR(AB74/AB148, "NA")</f>
        <v>0.02410674785</v>
      </c>
      <c r="AD74" s="61">
        <f t="shared" ref="AD74:AD85" si="38">IFERROR(X74-AB74, "NA")</f>
        <v>-50.83</v>
      </c>
      <c r="AE74" s="63">
        <f>IFERROR(AD74/AD148, "NA")</f>
        <v>0.01704825111</v>
      </c>
      <c r="AF74" s="61">
        <f t="shared" ref="AF74:AF85" si="39">IFERROR((X74-AB74)/AB74, "NA")</f>
        <v>-0.07564100656</v>
      </c>
      <c r="AG74" s="59">
        <f t="shared" ref="AG74:AG85" si="40">IFERROR((J74+L74+N74+P74+R74+T74+V74+X74)/8, "NA")</f>
        <v>652.02125</v>
      </c>
      <c r="AH74" s="23">
        <f>IFERROR(AG74/AG148, "NA")</f>
        <v>0.02295578792</v>
      </c>
      <c r="AI74" s="61">
        <f t="shared" ref="AI74:AI85" si="41">IFERROR(X74-AG74, "NA")</f>
        <v>-30.86125</v>
      </c>
      <c r="AJ74" s="63">
        <f>IFERROR(AI74/AI148, "NA")</f>
        <v>0.008794160925</v>
      </c>
      <c r="AK74" s="61">
        <f t="shared" ref="AK74:AK85" si="42">IFERROR((X74-AG74)/AG74, "NA")</f>
        <v>-0.04733166289</v>
      </c>
      <c r="AL74" s="63">
        <f>IFERROR(AK74/AK148, "NA")</f>
        <v>0.3830912255</v>
      </c>
    </row>
    <row r="75" ht="16.5" hidden="1" customHeight="1">
      <c r="A75" s="26" t="s">
        <v>183</v>
      </c>
      <c r="B75" s="27">
        <v>0.0</v>
      </c>
      <c r="C75" s="23">
        <f>IFERROR(B75/B148, "NA")</f>
        <v>0</v>
      </c>
      <c r="D75" s="27">
        <v>0.0</v>
      </c>
      <c r="E75" s="23">
        <f>IFERROR(D75/D148, "NA")</f>
        <v>0</v>
      </c>
      <c r="F75" s="27">
        <v>0.0</v>
      </c>
      <c r="G75" s="23">
        <f>IFERROR(F75/F148, "NA")</f>
        <v>0</v>
      </c>
      <c r="H75" s="27">
        <v>0.0</v>
      </c>
      <c r="I75" s="23">
        <f>IFERROR(H75/H148, "NA")</f>
        <v>0</v>
      </c>
      <c r="J75" s="27">
        <v>0.0</v>
      </c>
      <c r="K75" s="23">
        <f>IFERROR(J75/J148, "NA")</f>
        <v>0</v>
      </c>
      <c r="L75" s="27">
        <v>0.0</v>
      </c>
      <c r="M75" s="23">
        <f>IFERROR(L75/L148, "NA")</f>
        <v>0</v>
      </c>
      <c r="N75" s="27">
        <v>0.0</v>
      </c>
      <c r="O75" s="23">
        <f>IFERROR(N75/N148, "NA")</f>
        <v>0</v>
      </c>
      <c r="P75" s="27">
        <v>0.0</v>
      </c>
      <c r="Q75" s="23">
        <f>IFERROR(P75/P148, "NA")</f>
        <v>0</v>
      </c>
      <c r="R75" s="27">
        <v>0.0</v>
      </c>
      <c r="S75" s="23">
        <f>IFERROR(R75/R148, "NA")</f>
        <v>0</v>
      </c>
      <c r="T75" s="27">
        <v>0.0</v>
      </c>
      <c r="U75" s="23">
        <f>IFERROR(T75/T148, "NA")</f>
        <v>0</v>
      </c>
      <c r="V75" s="27">
        <v>0.0</v>
      </c>
      <c r="W75" s="23">
        <f>IFERROR(V75/V148, "NA")</f>
        <v>0</v>
      </c>
      <c r="X75" s="27">
        <v>0.0</v>
      </c>
      <c r="Y75" s="23">
        <f>IFERROR(X75/X148, "NA")</f>
        <v>0</v>
      </c>
      <c r="Z75" s="27">
        <v>0.0</v>
      </c>
      <c r="AA75" s="23">
        <f>IFERROR(Z75/Z148, "NA")</f>
        <v>0</v>
      </c>
      <c r="AB75" s="59">
        <f t="shared" si="37"/>
        <v>0</v>
      </c>
      <c r="AC75" s="23">
        <f>IFERROR(AB75/AB148, "NA")</f>
        <v>0</v>
      </c>
      <c r="AD75" s="61">
        <f t="shared" si="38"/>
        <v>0</v>
      </c>
      <c r="AE75" s="63">
        <f>IFERROR(AD75/AD148, "NA")</f>
        <v>0</v>
      </c>
      <c r="AF75" s="61" t="str">
        <f t="shared" si="39"/>
        <v>NA</v>
      </c>
      <c r="AG75" s="59">
        <f t="shared" si="40"/>
        <v>0</v>
      </c>
      <c r="AH75" s="23">
        <f>IFERROR(AG75/AG148, "NA")</f>
        <v>0</v>
      </c>
      <c r="AI75" s="61">
        <f t="shared" si="41"/>
        <v>0</v>
      </c>
      <c r="AJ75" s="63">
        <f>IFERROR(AI75/AI148, "NA")</f>
        <v>0</v>
      </c>
      <c r="AK75" s="61" t="str">
        <f t="shared" si="42"/>
        <v>NA</v>
      </c>
      <c r="AL75" s="63" t="str">
        <f>IFERROR(AK75/AK148, "NA")</f>
        <v>NA</v>
      </c>
    </row>
    <row r="76" ht="16.5" hidden="1" customHeight="1">
      <c r="A76" s="26" t="s">
        <v>184</v>
      </c>
      <c r="B76" s="27">
        <v>0.0</v>
      </c>
      <c r="C76" s="23">
        <f>IFERROR(B76/B148, "NA")</f>
        <v>0</v>
      </c>
      <c r="D76" s="27">
        <v>0.0</v>
      </c>
      <c r="E76" s="23">
        <f>IFERROR(D76/D148, "NA")</f>
        <v>0</v>
      </c>
      <c r="F76" s="27">
        <v>0.0</v>
      </c>
      <c r="G76" s="23">
        <f>IFERROR(F76/F148, "NA")</f>
        <v>0</v>
      </c>
      <c r="H76" s="27">
        <v>0.0</v>
      </c>
      <c r="I76" s="23">
        <f>IFERROR(H76/H148, "NA")</f>
        <v>0</v>
      </c>
      <c r="J76" s="27">
        <v>0.0</v>
      </c>
      <c r="K76" s="23">
        <f>IFERROR(J76/J148, "NA")</f>
        <v>0</v>
      </c>
      <c r="L76" s="27">
        <v>0.0</v>
      </c>
      <c r="M76" s="23">
        <f>IFERROR(L76/L148, "NA")</f>
        <v>0</v>
      </c>
      <c r="N76" s="27">
        <v>0.0</v>
      </c>
      <c r="O76" s="23">
        <f>IFERROR(N76/N148, "NA")</f>
        <v>0</v>
      </c>
      <c r="P76" s="27">
        <v>0.0</v>
      </c>
      <c r="Q76" s="23">
        <f>IFERROR(P76/P148, "NA")</f>
        <v>0</v>
      </c>
      <c r="R76" s="27">
        <v>0.0</v>
      </c>
      <c r="S76" s="23">
        <f>IFERROR(R76/R148, "NA")</f>
        <v>0</v>
      </c>
      <c r="T76" s="27">
        <v>0.0</v>
      </c>
      <c r="U76" s="23">
        <f>IFERROR(T76/T148, "NA")</f>
        <v>0</v>
      </c>
      <c r="V76" s="27">
        <v>0.0</v>
      </c>
      <c r="W76" s="23">
        <f>IFERROR(V76/V148, "NA")</f>
        <v>0</v>
      </c>
      <c r="X76" s="27">
        <v>0.0</v>
      </c>
      <c r="Y76" s="23">
        <f>IFERROR(X76/X148, "NA")</f>
        <v>0</v>
      </c>
      <c r="Z76" s="27">
        <v>0.0</v>
      </c>
      <c r="AA76" s="23">
        <f>IFERROR(Z76/Z148, "NA")</f>
        <v>0</v>
      </c>
      <c r="AB76" s="59">
        <f t="shared" si="37"/>
        <v>0</v>
      </c>
      <c r="AC76" s="23">
        <f>IFERROR(AB76/AB148, "NA")</f>
        <v>0</v>
      </c>
      <c r="AD76" s="61">
        <f t="shared" si="38"/>
        <v>0</v>
      </c>
      <c r="AE76" s="63">
        <f>IFERROR(AD76/AD148, "NA")</f>
        <v>0</v>
      </c>
      <c r="AF76" s="61" t="str">
        <f t="shared" si="39"/>
        <v>NA</v>
      </c>
      <c r="AG76" s="59">
        <f t="shared" si="40"/>
        <v>0</v>
      </c>
      <c r="AH76" s="23">
        <f>IFERROR(AG76/AG148, "NA")</f>
        <v>0</v>
      </c>
      <c r="AI76" s="61">
        <f t="shared" si="41"/>
        <v>0</v>
      </c>
      <c r="AJ76" s="63">
        <f>IFERROR(AI76/AI148, "NA")</f>
        <v>0</v>
      </c>
      <c r="AK76" s="61" t="str">
        <f t="shared" si="42"/>
        <v>NA</v>
      </c>
      <c r="AL76" s="63" t="str">
        <f>IFERROR(AK76/AK148, "NA")</f>
        <v>NA</v>
      </c>
    </row>
    <row r="77" ht="16.5" hidden="1" customHeight="1">
      <c r="A77" s="26" t="s">
        <v>185</v>
      </c>
      <c r="B77" s="27">
        <v>0.0</v>
      </c>
      <c r="C77" s="23">
        <f>IFERROR(B77/B148, "NA")</f>
        <v>0</v>
      </c>
      <c r="D77" s="27">
        <v>0.0</v>
      </c>
      <c r="E77" s="23">
        <f>IFERROR(D77/D148, "NA")</f>
        <v>0</v>
      </c>
      <c r="F77" s="27">
        <v>0.0</v>
      </c>
      <c r="G77" s="23">
        <f>IFERROR(F77/F148, "NA")</f>
        <v>0</v>
      </c>
      <c r="H77" s="27">
        <v>0.0</v>
      </c>
      <c r="I77" s="23">
        <f>IFERROR(H77/H148, "NA")</f>
        <v>0</v>
      </c>
      <c r="J77" s="27">
        <v>0.0</v>
      </c>
      <c r="K77" s="23">
        <f>IFERROR(J77/J148, "NA")</f>
        <v>0</v>
      </c>
      <c r="L77" s="27">
        <v>0.0</v>
      </c>
      <c r="M77" s="23">
        <f>IFERROR(L77/L148, "NA")</f>
        <v>0</v>
      </c>
      <c r="N77" s="27">
        <v>0.0</v>
      </c>
      <c r="O77" s="23">
        <f>IFERROR(N77/N148, "NA")</f>
        <v>0</v>
      </c>
      <c r="P77" s="27">
        <v>0.0</v>
      </c>
      <c r="Q77" s="23">
        <f>IFERROR(P77/P148, "NA")</f>
        <v>0</v>
      </c>
      <c r="R77" s="27">
        <v>0.0</v>
      </c>
      <c r="S77" s="23">
        <f>IFERROR(R77/R148, "NA")</f>
        <v>0</v>
      </c>
      <c r="T77" s="27">
        <v>0.0</v>
      </c>
      <c r="U77" s="23">
        <f>IFERROR(T77/T148, "NA")</f>
        <v>0</v>
      </c>
      <c r="V77" s="27">
        <v>0.0</v>
      </c>
      <c r="W77" s="23">
        <f>IFERROR(V77/V148, "NA")</f>
        <v>0</v>
      </c>
      <c r="X77" s="27">
        <v>0.0</v>
      </c>
      <c r="Y77" s="23">
        <f>IFERROR(X77/X148, "NA")</f>
        <v>0</v>
      </c>
      <c r="Z77" s="27">
        <v>0.0</v>
      </c>
      <c r="AA77" s="23">
        <f>IFERROR(Z77/Z148, "NA")</f>
        <v>0</v>
      </c>
      <c r="AB77" s="59">
        <f t="shared" si="37"/>
        <v>0</v>
      </c>
      <c r="AC77" s="23">
        <f>IFERROR(AB77/AB148, "NA")</f>
        <v>0</v>
      </c>
      <c r="AD77" s="61">
        <f t="shared" si="38"/>
        <v>0</v>
      </c>
      <c r="AE77" s="63">
        <f>IFERROR(AD77/AD148, "NA")</f>
        <v>0</v>
      </c>
      <c r="AF77" s="61" t="str">
        <f t="shared" si="39"/>
        <v>NA</v>
      </c>
      <c r="AG77" s="59">
        <f t="shared" si="40"/>
        <v>0</v>
      </c>
      <c r="AH77" s="23">
        <f>IFERROR(AG77/AG148, "NA")</f>
        <v>0</v>
      </c>
      <c r="AI77" s="61">
        <f t="shared" si="41"/>
        <v>0</v>
      </c>
      <c r="AJ77" s="63">
        <f>IFERROR(AI77/AI148, "NA")</f>
        <v>0</v>
      </c>
      <c r="AK77" s="61" t="str">
        <f t="shared" si="42"/>
        <v>NA</v>
      </c>
      <c r="AL77" s="63" t="str">
        <f>IFERROR(AK77/AK148, "NA")</f>
        <v>NA</v>
      </c>
    </row>
    <row r="78" ht="16.5" hidden="1" customHeight="1">
      <c r="A78" s="26" t="s">
        <v>186</v>
      </c>
      <c r="B78" s="27">
        <v>0.0</v>
      </c>
      <c r="C78" s="23">
        <f>IFERROR(B78/B148, "NA")</f>
        <v>0</v>
      </c>
      <c r="D78" s="27">
        <v>0.0</v>
      </c>
      <c r="E78" s="23">
        <f>IFERROR(D78/D148, "NA")</f>
        <v>0</v>
      </c>
      <c r="F78" s="27">
        <v>0.0</v>
      </c>
      <c r="G78" s="23">
        <f>IFERROR(F78/F148, "NA")</f>
        <v>0</v>
      </c>
      <c r="H78" s="27">
        <v>0.0</v>
      </c>
      <c r="I78" s="23">
        <f>IFERROR(H78/H148, "NA")</f>
        <v>0</v>
      </c>
      <c r="J78" s="27">
        <v>0.0</v>
      </c>
      <c r="K78" s="23">
        <f>IFERROR(J78/J148, "NA")</f>
        <v>0</v>
      </c>
      <c r="L78" s="27">
        <v>0.0</v>
      </c>
      <c r="M78" s="23">
        <f>IFERROR(L78/L148, "NA")</f>
        <v>0</v>
      </c>
      <c r="N78" s="27">
        <v>0.0</v>
      </c>
      <c r="O78" s="23">
        <f>IFERROR(N78/N148, "NA")</f>
        <v>0</v>
      </c>
      <c r="P78" s="27">
        <v>0.0</v>
      </c>
      <c r="Q78" s="23">
        <f>IFERROR(P78/P148, "NA")</f>
        <v>0</v>
      </c>
      <c r="R78" s="27">
        <v>0.0</v>
      </c>
      <c r="S78" s="23">
        <f>IFERROR(R78/R148, "NA")</f>
        <v>0</v>
      </c>
      <c r="T78" s="27">
        <v>0.0</v>
      </c>
      <c r="U78" s="23">
        <f>IFERROR(T78/T148, "NA")</f>
        <v>0</v>
      </c>
      <c r="V78" s="27">
        <v>0.0</v>
      </c>
      <c r="W78" s="23">
        <f>IFERROR(V78/V148, "NA")</f>
        <v>0</v>
      </c>
      <c r="X78" s="27">
        <v>0.0</v>
      </c>
      <c r="Y78" s="23">
        <f>IFERROR(X78/X148, "NA")</f>
        <v>0</v>
      </c>
      <c r="Z78" s="27">
        <v>0.0</v>
      </c>
      <c r="AA78" s="23">
        <f>IFERROR(Z78/Z148, "NA")</f>
        <v>0</v>
      </c>
      <c r="AB78" s="59">
        <f t="shared" si="37"/>
        <v>0</v>
      </c>
      <c r="AC78" s="23">
        <f>IFERROR(AB78/AB148, "NA")</f>
        <v>0</v>
      </c>
      <c r="AD78" s="61">
        <f t="shared" si="38"/>
        <v>0</v>
      </c>
      <c r="AE78" s="63">
        <f>IFERROR(AD78/AD148, "NA")</f>
        <v>0</v>
      </c>
      <c r="AF78" s="61" t="str">
        <f t="shared" si="39"/>
        <v>NA</v>
      </c>
      <c r="AG78" s="59">
        <f t="shared" si="40"/>
        <v>0</v>
      </c>
      <c r="AH78" s="23">
        <f>IFERROR(AG78/AG148, "NA")</f>
        <v>0</v>
      </c>
      <c r="AI78" s="61">
        <f t="shared" si="41"/>
        <v>0</v>
      </c>
      <c r="AJ78" s="63">
        <f>IFERROR(AI78/AI148, "NA")</f>
        <v>0</v>
      </c>
      <c r="AK78" s="61" t="str">
        <f t="shared" si="42"/>
        <v>NA</v>
      </c>
      <c r="AL78" s="63" t="str">
        <f>IFERROR(AK78/AK148, "NA")</f>
        <v>NA</v>
      </c>
    </row>
    <row r="79" ht="16.5" hidden="1" customHeight="1">
      <c r="A79" s="26" t="s">
        <v>187</v>
      </c>
      <c r="B79" s="27">
        <v>0.0</v>
      </c>
      <c r="C79" s="23">
        <f>IFERROR(B79/B148, "NA")</f>
        <v>0</v>
      </c>
      <c r="D79" s="27">
        <v>0.0</v>
      </c>
      <c r="E79" s="23">
        <f>IFERROR(D79/D148, "NA")</f>
        <v>0</v>
      </c>
      <c r="F79" s="27">
        <v>0.0</v>
      </c>
      <c r="G79" s="23">
        <f>IFERROR(F79/F148, "NA")</f>
        <v>0</v>
      </c>
      <c r="H79" s="27">
        <v>0.0</v>
      </c>
      <c r="I79" s="23">
        <f>IFERROR(H79/H148, "NA")</f>
        <v>0</v>
      </c>
      <c r="J79" s="27">
        <v>0.0</v>
      </c>
      <c r="K79" s="23">
        <f>IFERROR(J79/J148, "NA")</f>
        <v>0</v>
      </c>
      <c r="L79" s="27">
        <v>0.0</v>
      </c>
      <c r="M79" s="23">
        <f>IFERROR(L79/L148, "NA")</f>
        <v>0</v>
      </c>
      <c r="N79" s="27">
        <v>0.0</v>
      </c>
      <c r="O79" s="23">
        <f>IFERROR(N79/N148, "NA")</f>
        <v>0</v>
      </c>
      <c r="P79" s="27">
        <v>0.0</v>
      </c>
      <c r="Q79" s="23">
        <f>IFERROR(P79/P148, "NA")</f>
        <v>0</v>
      </c>
      <c r="R79" s="27">
        <v>0.0</v>
      </c>
      <c r="S79" s="23">
        <f>IFERROR(R79/R148, "NA")</f>
        <v>0</v>
      </c>
      <c r="T79" s="27">
        <v>0.0</v>
      </c>
      <c r="U79" s="23">
        <f>IFERROR(T79/T148, "NA")</f>
        <v>0</v>
      </c>
      <c r="V79" s="27">
        <v>0.0</v>
      </c>
      <c r="W79" s="23">
        <f>IFERROR(V79/V148, "NA")</f>
        <v>0</v>
      </c>
      <c r="X79" s="27">
        <v>0.0</v>
      </c>
      <c r="Y79" s="23">
        <f>IFERROR(X79/X148, "NA")</f>
        <v>0</v>
      </c>
      <c r="Z79" s="27">
        <v>0.0</v>
      </c>
      <c r="AA79" s="23">
        <f>IFERROR(Z79/Z148, "NA")</f>
        <v>0</v>
      </c>
      <c r="AB79" s="59">
        <f t="shared" si="37"/>
        <v>0</v>
      </c>
      <c r="AC79" s="23">
        <f>IFERROR(AB79/AB148, "NA")</f>
        <v>0</v>
      </c>
      <c r="AD79" s="61">
        <f t="shared" si="38"/>
        <v>0</v>
      </c>
      <c r="AE79" s="63">
        <f>IFERROR(AD79/AD148, "NA")</f>
        <v>0</v>
      </c>
      <c r="AF79" s="61" t="str">
        <f t="shared" si="39"/>
        <v>NA</v>
      </c>
      <c r="AG79" s="59">
        <f t="shared" si="40"/>
        <v>0</v>
      </c>
      <c r="AH79" s="23">
        <f>IFERROR(AG79/AG148, "NA")</f>
        <v>0</v>
      </c>
      <c r="AI79" s="61">
        <f t="shared" si="41"/>
        <v>0</v>
      </c>
      <c r="AJ79" s="63">
        <f>IFERROR(AI79/AI148, "NA")</f>
        <v>0</v>
      </c>
      <c r="AK79" s="61" t="str">
        <f t="shared" si="42"/>
        <v>NA</v>
      </c>
      <c r="AL79" s="63" t="str">
        <f>IFERROR(AK79/AK148, "NA")</f>
        <v>NA</v>
      </c>
    </row>
    <row r="80" ht="16.5" hidden="1" customHeight="1">
      <c r="A80" s="26" t="s">
        <v>188</v>
      </c>
      <c r="B80" s="27">
        <v>0.0</v>
      </c>
      <c r="C80" s="23">
        <f>IFERROR(B80/B148, "NA")</f>
        <v>0</v>
      </c>
      <c r="D80" s="27">
        <v>0.0</v>
      </c>
      <c r="E80" s="23">
        <f>IFERROR(D80/D148, "NA")</f>
        <v>0</v>
      </c>
      <c r="F80" s="27">
        <v>0.0</v>
      </c>
      <c r="G80" s="23">
        <f>IFERROR(F80/F148, "NA")</f>
        <v>0</v>
      </c>
      <c r="H80" s="27">
        <v>0.0</v>
      </c>
      <c r="I80" s="23">
        <f>IFERROR(H80/H148, "NA")</f>
        <v>0</v>
      </c>
      <c r="J80" s="27">
        <v>0.0</v>
      </c>
      <c r="K80" s="23">
        <f>IFERROR(J80/J148, "NA")</f>
        <v>0</v>
      </c>
      <c r="L80" s="27">
        <v>0.0</v>
      </c>
      <c r="M80" s="23">
        <f>IFERROR(L80/L148, "NA")</f>
        <v>0</v>
      </c>
      <c r="N80" s="27">
        <v>0.0</v>
      </c>
      <c r="O80" s="23">
        <f>IFERROR(N80/N148, "NA")</f>
        <v>0</v>
      </c>
      <c r="P80" s="27">
        <v>0.0</v>
      </c>
      <c r="Q80" s="23">
        <f>IFERROR(P80/P148, "NA")</f>
        <v>0</v>
      </c>
      <c r="R80" s="27">
        <v>0.0</v>
      </c>
      <c r="S80" s="23">
        <f>IFERROR(R80/R148, "NA")</f>
        <v>0</v>
      </c>
      <c r="T80" s="27">
        <v>0.0</v>
      </c>
      <c r="U80" s="23">
        <f>IFERROR(T80/T148, "NA")</f>
        <v>0</v>
      </c>
      <c r="V80" s="27">
        <v>0.0</v>
      </c>
      <c r="W80" s="23">
        <f>IFERROR(V80/V148, "NA")</f>
        <v>0</v>
      </c>
      <c r="X80" s="27">
        <v>0.0</v>
      </c>
      <c r="Y80" s="23">
        <f>IFERROR(X80/X148, "NA")</f>
        <v>0</v>
      </c>
      <c r="Z80" s="27">
        <v>0.0</v>
      </c>
      <c r="AA80" s="23">
        <f>IFERROR(Z80/Z148, "NA")</f>
        <v>0</v>
      </c>
      <c r="AB80" s="59">
        <f t="shared" si="37"/>
        <v>0</v>
      </c>
      <c r="AC80" s="23">
        <f>IFERROR(AB80/AB148, "NA")</f>
        <v>0</v>
      </c>
      <c r="AD80" s="61">
        <f t="shared" si="38"/>
        <v>0</v>
      </c>
      <c r="AE80" s="63">
        <f>IFERROR(AD80/AD148, "NA")</f>
        <v>0</v>
      </c>
      <c r="AF80" s="61" t="str">
        <f t="shared" si="39"/>
        <v>NA</v>
      </c>
      <c r="AG80" s="59">
        <f t="shared" si="40"/>
        <v>0</v>
      </c>
      <c r="AH80" s="23">
        <f>IFERROR(AG80/AG148, "NA")</f>
        <v>0</v>
      </c>
      <c r="AI80" s="61">
        <f t="shared" si="41"/>
        <v>0</v>
      </c>
      <c r="AJ80" s="63">
        <f>IFERROR(AI80/AI148, "NA")</f>
        <v>0</v>
      </c>
      <c r="AK80" s="61" t="str">
        <f t="shared" si="42"/>
        <v>NA</v>
      </c>
      <c r="AL80" s="63" t="str">
        <f>IFERROR(AK80/AK148, "NA")</f>
        <v>NA</v>
      </c>
    </row>
    <row r="81" ht="16.5" customHeight="1">
      <c r="A81" s="66" t="s">
        <v>189</v>
      </c>
      <c r="B81" s="67">
        <f>IFERROR(B74+B75+B76+B77+B78+B79+B80, "NA")</f>
        <v>677.23</v>
      </c>
      <c r="C81" s="69">
        <f>IFERROR(B81/B148, "NA")</f>
        <v>0.02326932605</v>
      </c>
      <c r="D81" s="67">
        <f>IFERROR(D74+D75+D76+D77+D78+D79+D80, "NA")</f>
        <v>626.61</v>
      </c>
      <c r="E81" s="69">
        <f>IFERROR(D81/D148, "NA")</f>
        <v>0.01953601306</v>
      </c>
      <c r="F81" s="67">
        <f>IFERROR(F74+F75+F76+F77+F78+F79+F80, "NA")</f>
        <v>621.45</v>
      </c>
      <c r="G81" s="69">
        <f>IFERROR(F81/F148, "NA")</f>
        <v>0.02361090954</v>
      </c>
      <c r="H81" s="67">
        <f>IFERROR(H74+H75+H76+H77+H78+H79+H80, "NA")</f>
        <v>646.95</v>
      </c>
      <c r="I81" s="69">
        <f>IFERROR(H81/H148, "NA")</f>
        <v>0.02613903486</v>
      </c>
      <c r="J81" s="67">
        <f>IFERROR(J74+J75+J76+J77+J78+J79+J80, "NA")</f>
        <v>641.68</v>
      </c>
      <c r="K81" s="69">
        <f>IFERROR(J81/J148, "NA")</f>
        <v>0.02423929237</v>
      </c>
      <c r="L81" s="67">
        <f>IFERROR(L74+L75+L76+L77+L78+L79+L80, "NA")</f>
        <v>609.27</v>
      </c>
      <c r="M81" s="69">
        <f>IFERROR(L81/L148, "NA")</f>
        <v>0.024491563</v>
      </c>
      <c r="N81" s="67">
        <f>IFERROR(N74+N75+N76+N77+N78+N79+N80, "NA")</f>
        <v>629.49</v>
      </c>
      <c r="O81" s="69">
        <f>IFERROR(N81/N148, "NA")</f>
        <v>0.02060784787</v>
      </c>
      <c r="P81" s="67">
        <f>IFERROR(P74+P75+P76+P77+P78+P79+P80, "NA")</f>
        <v>647.77</v>
      </c>
      <c r="Q81" s="69">
        <f>IFERROR(P81/P148, "NA")</f>
        <v>0.01914846572</v>
      </c>
      <c r="R81" s="67">
        <f>IFERROR(R74+R75+R76+R77+R78+R79+R80, "NA")</f>
        <v>548.44</v>
      </c>
      <c r="S81" s="69">
        <f>IFERROR(R81/R148, "NA")</f>
        <v>0.02203617221</v>
      </c>
      <c r="T81" s="67">
        <f>IFERROR(T74+T75+T76+T77+T78+T79+T80, "NA")</f>
        <v>753.72</v>
      </c>
      <c r="U81" s="69">
        <f>IFERROR(T81/T148, "NA")</f>
        <v>0.02382214367</v>
      </c>
      <c r="V81" s="67">
        <f>IFERROR(V74+V75+V76+V77+V78+V79+V80, "NA")</f>
        <v>764.64</v>
      </c>
      <c r="W81" s="69">
        <f>IFERROR(V81/V148, "NA")</f>
        <v>0.02541962967</v>
      </c>
      <c r="X81" s="67">
        <f>IFERROR(X74+X75+X76+X77+X78+X79+X80, "NA")</f>
        <v>621.16</v>
      </c>
      <c r="Y81" s="69">
        <f>IFERROR(X81/X148, "NA")</f>
        <v>0.02495213718</v>
      </c>
      <c r="Z81" s="67">
        <f>IFERROR(Z74+Z75+Z76+Z77+Z78+Z79+Z80, "NA")</f>
        <v>2687.96</v>
      </c>
      <c r="AA81" s="69">
        <f>IFERROR(Z81/Z148, "NA")</f>
        <v>0.02410674785</v>
      </c>
      <c r="AB81" s="67">
        <f t="shared" si="37"/>
        <v>671.99</v>
      </c>
      <c r="AC81" s="69">
        <f>IFERROR(AB81/AB148, "NA")</f>
        <v>0.02410674785</v>
      </c>
      <c r="AD81" s="70">
        <f t="shared" si="38"/>
        <v>-50.83</v>
      </c>
      <c r="AE81" s="71">
        <f>IFERROR(AD81/AD148, "NA")</f>
        <v>0.01704825111</v>
      </c>
      <c r="AF81" s="70">
        <f t="shared" si="39"/>
        <v>-0.07564100656</v>
      </c>
      <c r="AG81" s="67">
        <f t="shared" si="40"/>
        <v>652.02125</v>
      </c>
      <c r="AH81" s="69">
        <f>IFERROR(AG81/AG148, "NA")</f>
        <v>0.02295578792</v>
      </c>
      <c r="AI81" s="70">
        <f t="shared" si="41"/>
        <v>-30.86125</v>
      </c>
      <c r="AJ81" s="71">
        <f>IFERROR(AI81/AI148, "NA")</f>
        <v>0.008794160925</v>
      </c>
      <c r="AK81" s="70">
        <f t="shared" si="42"/>
        <v>-0.04733166289</v>
      </c>
      <c r="AL81" s="71">
        <f>IFERROR(AK81/AK148, "NA")</f>
        <v>0.3830912255</v>
      </c>
    </row>
    <row r="82" ht="16.5" customHeight="1">
      <c r="A82" s="26" t="s">
        <v>190</v>
      </c>
      <c r="B82" s="27">
        <v>0.0</v>
      </c>
      <c r="C82" s="23">
        <f>IFERROR(B82/B148, "NA")</f>
        <v>0</v>
      </c>
      <c r="D82" s="27">
        <v>0.0</v>
      </c>
      <c r="E82" s="23">
        <f>IFERROR(D82/D148, "NA")</f>
        <v>0</v>
      </c>
      <c r="F82" s="27">
        <v>0.0</v>
      </c>
      <c r="G82" s="23">
        <f>IFERROR(F82/F148, "NA")</f>
        <v>0</v>
      </c>
      <c r="H82" s="27">
        <v>313.76</v>
      </c>
      <c r="I82" s="23">
        <f>IFERROR(H82/H148, "NA")</f>
        <v>0.01267699757</v>
      </c>
      <c r="J82" s="27">
        <v>0.0</v>
      </c>
      <c r="K82" s="23">
        <f>IFERROR(J82/J148, "NA")</f>
        <v>0</v>
      </c>
      <c r="L82" s="27">
        <v>0.0</v>
      </c>
      <c r="M82" s="23">
        <f>IFERROR(L82/L148, "NA")</f>
        <v>0</v>
      </c>
      <c r="N82" s="27">
        <v>0.0</v>
      </c>
      <c r="O82" s="23">
        <f>IFERROR(N82/N148, "NA")</f>
        <v>0</v>
      </c>
      <c r="P82" s="27">
        <v>0.0</v>
      </c>
      <c r="Q82" s="23">
        <f>IFERROR(P82/P148, "NA")</f>
        <v>0</v>
      </c>
      <c r="R82" s="27">
        <v>288.32</v>
      </c>
      <c r="S82" s="23">
        <f>IFERROR(R82/R148, "NA")</f>
        <v>0.01158462032</v>
      </c>
      <c r="T82" s="27">
        <v>0.0</v>
      </c>
      <c r="U82" s="23">
        <f>IFERROR(T82/T148, "NA")</f>
        <v>0</v>
      </c>
      <c r="V82" s="27">
        <v>0.0</v>
      </c>
      <c r="W82" s="23">
        <f>IFERROR(V82/V148, "NA")</f>
        <v>0</v>
      </c>
      <c r="X82" s="27">
        <v>0.0</v>
      </c>
      <c r="Y82" s="23">
        <f>IFERROR(X82/X148, "NA")</f>
        <v>0</v>
      </c>
      <c r="Z82" s="27">
        <v>288.32</v>
      </c>
      <c r="AA82" s="23">
        <f>IFERROR(Z82/Z148, "NA")</f>
        <v>0.00258577417</v>
      </c>
      <c r="AB82" s="59">
        <f t="shared" si="37"/>
        <v>72.08</v>
      </c>
      <c r="AC82" s="23">
        <f>IFERROR(AB82/AB148, "NA")</f>
        <v>0.00258577417</v>
      </c>
      <c r="AD82" s="61">
        <f t="shared" si="38"/>
        <v>-72.08</v>
      </c>
      <c r="AE82" s="63">
        <f>IFERROR(AD82/AD148, "NA")</f>
        <v>0.02417544639</v>
      </c>
      <c r="AF82" s="61">
        <f t="shared" si="39"/>
        <v>-1</v>
      </c>
      <c r="AG82" s="59">
        <f t="shared" si="40"/>
        <v>36.04</v>
      </c>
      <c r="AH82" s="23">
        <f>IFERROR(AG82/AG148, "NA")</f>
        <v>0.001268864468</v>
      </c>
      <c r="AI82" s="61">
        <f t="shared" si="41"/>
        <v>-36.04</v>
      </c>
      <c r="AJ82" s="63">
        <f>IFERROR(AI82/AI148, "NA")</f>
        <v>0.01026988731</v>
      </c>
      <c r="AK82" s="61">
        <f t="shared" si="42"/>
        <v>-1</v>
      </c>
      <c r="AL82" s="63">
        <f>IFERROR(AK82/AK148, "NA")</f>
        <v>8.093762233</v>
      </c>
    </row>
    <row r="83" ht="16.5" hidden="1" customHeight="1">
      <c r="A83" s="26" t="s">
        <v>191</v>
      </c>
      <c r="B83" s="27">
        <v>0.0</v>
      </c>
      <c r="C83" s="23">
        <f>IFERROR(B83/B148, "NA")</f>
        <v>0</v>
      </c>
      <c r="D83" s="27">
        <v>0.0</v>
      </c>
      <c r="E83" s="23">
        <f>IFERROR(D83/D148, "NA")</f>
        <v>0</v>
      </c>
      <c r="F83" s="27">
        <v>0.0</v>
      </c>
      <c r="G83" s="23">
        <f>IFERROR(F83/F148, "NA")</f>
        <v>0</v>
      </c>
      <c r="H83" s="27">
        <v>0.0</v>
      </c>
      <c r="I83" s="23">
        <f>IFERROR(H83/H148, "NA")</f>
        <v>0</v>
      </c>
      <c r="J83" s="27">
        <v>0.0</v>
      </c>
      <c r="K83" s="23">
        <f>IFERROR(J83/J148, "NA")</f>
        <v>0</v>
      </c>
      <c r="L83" s="27">
        <v>0.0</v>
      </c>
      <c r="M83" s="23">
        <f>IFERROR(L83/L148, "NA")</f>
        <v>0</v>
      </c>
      <c r="N83" s="27">
        <v>0.0</v>
      </c>
      <c r="O83" s="23">
        <f>IFERROR(N83/N148, "NA")</f>
        <v>0</v>
      </c>
      <c r="P83" s="27">
        <v>0.0</v>
      </c>
      <c r="Q83" s="23">
        <f>IFERROR(P83/P148, "NA")</f>
        <v>0</v>
      </c>
      <c r="R83" s="27">
        <v>0.0</v>
      </c>
      <c r="S83" s="23">
        <f>IFERROR(R83/R148, "NA")</f>
        <v>0</v>
      </c>
      <c r="T83" s="27">
        <v>0.0</v>
      </c>
      <c r="U83" s="23">
        <f>IFERROR(T83/T148, "NA")</f>
        <v>0</v>
      </c>
      <c r="V83" s="27">
        <v>0.0</v>
      </c>
      <c r="W83" s="23">
        <f>IFERROR(V83/V148, "NA")</f>
        <v>0</v>
      </c>
      <c r="X83" s="27">
        <v>0.0</v>
      </c>
      <c r="Y83" s="23">
        <f>IFERROR(X83/X148, "NA")</f>
        <v>0</v>
      </c>
      <c r="Z83" s="27">
        <v>0.0</v>
      </c>
      <c r="AA83" s="23">
        <f>IFERROR(Z83/Z148, "NA")</f>
        <v>0</v>
      </c>
      <c r="AB83" s="59">
        <f t="shared" si="37"/>
        <v>0</v>
      </c>
      <c r="AC83" s="23">
        <f>IFERROR(AB83/AB148, "NA")</f>
        <v>0</v>
      </c>
      <c r="AD83" s="61">
        <f t="shared" si="38"/>
        <v>0</v>
      </c>
      <c r="AE83" s="63">
        <f>IFERROR(AD83/AD148, "NA")</f>
        <v>0</v>
      </c>
      <c r="AF83" s="61" t="str">
        <f t="shared" si="39"/>
        <v>NA</v>
      </c>
      <c r="AG83" s="59">
        <f t="shared" si="40"/>
        <v>0</v>
      </c>
      <c r="AH83" s="23">
        <f>IFERROR(AG83/AG148, "NA")</f>
        <v>0</v>
      </c>
      <c r="AI83" s="61">
        <f t="shared" si="41"/>
        <v>0</v>
      </c>
      <c r="AJ83" s="63">
        <f>IFERROR(AI83/AI148, "NA")</f>
        <v>0</v>
      </c>
      <c r="AK83" s="61" t="str">
        <f t="shared" si="42"/>
        <v>NA</v>
      </c>
      <c r="AL83" s="63" t="str">
        <f>IFERROR(AK83/AK148, "NA")</f>
        <v>NA</v>
      </c>
    </row>
    <row r="84" ht="16.5" customHeight="1">
      <c r="A84" s="66" t="s">
        <v>53</v>
      </c>
      <c r="B84" s="67">
        <f>IFERROR(B63+B65+B66+B67+B68+B69+B71+B72+B74+B75+B76+B77+B78+B79+B80+B82+B83, "NA")</f>
        <v>8171.69</v>
      </c>
      <c r="C84" s="69">
        <f>IFERROR(B84/B148, "NA")</f>
        <v>0.2807756877</v>
      </c>
      <c r="D84" s="67">
        <f>IFERROR(D63+D65+D66+D67+D68+D69+D71+D72+D74+D75+D76+D77+D78+D79+D80+D82+D83, "NA")</f>
        <v>7453.94</v>
      </c>
      <c r="E84" s="69">
        <f>IFERROR(D84/D148, "NA")</f>
        <v>0.2323937844</v>
      </c>
      <c r="F84" s="67">
        <f>IFERROR(F63+F65+F66+F67+F68+F69+F71+F72+F74+F75+F76+F77+F78+F79+F80+F82+F83, "NA")</f>
        <v>6627.8</v>
      </c>
      <c r="G84" s="69">
        <f>IFERROR(F84/F148, "NA")</f>
        <v>0.2518117085</v>
      </c>
      <c r="H84" s="67">
        <f>IFERROR(H63+H65+H66+H67+H68+H69+H71+H72+H74+H75+H76+H77+H78+H79+H80+H82+H83, "NA")</f>
        <v>8192.42</v>
      </c>
      <c r="I84" s="69">
        <f>IFERROR(H84/H148, "NA")</f>
        <v>0.3310023216</v>
      </c>
      <c r="J84" s="67">
        <f>IFERROR(J63+J65+J66+J67+J68+J69+J71+J72+J74+J75+J76+J77+J78+J79+J80+J82+J83, "NA")</f>
        <v>7858.31</v>
      </c>
      <c r="K84" s="69">
        <f>IFERROR(J84/J148, "NA")</f>
        <v>0.2968455829</v>
      </c>
      <c r="L84" s="67">
        <f>IFERROR(L63+L65+L66+L67+L68+L69+L71+L72+L74+L75+L76+L77+L78+L79+L80+L82+L83, "NA")</f>
        <v>7415.77</v>
      </c>
      <c r="M84" s="69">
        <f>IFERROR(L84/L148, "NA")</f>
        <v>0.2981006748</v>
      </c>
      <c r="N84" s="67">
        <f>IFERROR(N63+N65+N66+N67+N68+N69+N71+N72+N74+N75+N76+N77+N78+N79+N80+N82+N83, "NA")</f>
        <v>7852.08</v>
      </c>
      <c r="O84" s="69">
        <f>IFERROR(N84/N148, "NA")</f>
        <v>0.2570564585</v>
      </c>
      <c r="P84" s="67">
        <f>IFERROR(P63+P65+P66+P67+P68+P69+P71+P72+P74+P75+P76+P77+P78+P79+P80+P82+P83, "NA")</f>
        <v>8635.34</v>
      </c>
      <c r="Q84" s="69">
        <f>IFERROR(P84/P148, "NA")</f>
        <v>0.2552657763</v>
      </c>
      <c r="R84" s="67">
        <f>IFERROR(R63+R65+R66+R67+R68+R69+R71+R72+R74+R75+R76+R77+R78+R79+R80+R82+R83, "NA")</f>
        <v>7008.24</v>
      </c>
      <c r="S84" s="69">
        <f>IFERROR(R84/R148, "NA")</f>
        <v>0.2815892048</v>
      </c>
      <c r="T84" s="67">
        <f>IFERROR(T63+T65+T66+T67+T68+T69+T71+T72+T74+T75+T76+T77+T78+T79+T80+T82+T83, "NA")</f>
        <v>9526.8</v>
      </c>
      <c r="U84" s="69">
        <f>IFERROR(T84/T148, "NA")</f>
        <v>0.3011049174</v>
      </c>
      <c r="V84" s="67">
        <f>IFERROR(V63+V65+V66+V67+V68+V69+V71+V72+V74+V75+V76+V77+V78+V79+V80+V82+V83, "NA")</f>
        <v>9601.5</v>
      </c>
      <c r="W84" s="69">
        <f>IFERROR(V84/V148, "NA")</f>
        <v>0.3191914813</v>
      </c>
      <c r="X84" s="67">
        <f>IFERROR(X63+X65+X66+X67+X68+X69+X71+X72+X74+X75+X76+X77+X78+X79+X80+X82+X83, "NA")</f>
        <v>6746.17</v>
      </c>
      <c r="Y84" s="69">
        <f>IFERROR(X84/X148, "NA")</f>
        <v>0.2709951691</v>
      </c>
      <c r="Z84" s="67">
        <f>IFERROR(Z63+Z65+Z66+Z67+Z68+Z69+Z71+Z72+Z74+Z75+Z76+Z77+Z78+Z79+Z80+Z82+Z83, "NA")</f>
        <v>32882.71</v>
      </c>
      <c r="AA84" s="69">
        <f>IFERROR(Z84/Z148, "NA")</f>
        <v>0.294905876</v>
      </c>
      <c r="AB84" s="67">
        <f t="shared" si="37"/>
        <v>8220.6775</v>
      </c>
      <c r="AC84" s="69">
        <f>IFERROR(AB84/AB148, "NA")</f>
        <v>0.294905876</v>
      </c>
      <c r="AD84" s="70">
        <f t="shared" si="38"/>
        <v>-1474.5075</v>
      </c>
      <c r="AE84" s="71">
        <f>IFERROR(AD84/AD148, "NA")</f>
        <v>0.4945460186</v>
      </c>
      <c r="AF84" s="70">
        <f t="shared" si="39"/>
        <v>-0.179365691</v>
      </c>
      <c r="AG84" s="67">
        <f t="shared" si="40"/>
        <v>8080.52625</v>
      </c>
      <c r="AH84" s="69">
        <f>IFERROR(AG84/AG148, "NA")</f>
        <v>0.2844920267</v>
      </c>
      <c r="AI84" s="70">
        <f t="shared" si="41"/>
        <v>-1334.35625</v>
      </c>
      <c r="AJ84" s="71">
        <f>IFERROR(AI84/AI148, "NA")</f>
        <v>0.3802355249</v>
      </c>
      <c r="AK84" s="70">
        <f t="shared" si="42"/>
        <v>-0.1651323452</v>
      </c>
      <c r="AL84" s="71">
        <f>IFERROR(AK84/AK148, "NA")</f>
        <v>1.336541939</v>
      </c>
    </row>
    <row r="85" ht="16.5" customHeight="1">
      <c r="A85" s="66" t="s">
        <v>53</v>
      </c>
      <c r="B85" s="115">
        <f>IFERROR(B63+B65+B66+B67+B68+B69+B71+B72+B74+B75+B76+B77+B78+B79+B80+B82+B83, "NA")</f>
        <v>8171.69</v>
      </c>
      <c r="C85" s="96">
        <f>IFERROR(B85/B148, "NA")</f>
        <v>0.2807756877</v>
      </c>
      <c r="D85" s="115">
        <f>IFERROR(D63+D65+D66+D67+D68+D69+D71+D72+D74+D75+D76+D77+D78+D79+D80+D82+D83, "NA")</f>
        <v>7453.94</v>
      </c>
      <c r="E85" s="96">
        <f>IFERROR(D85/D148, "NA")</f>
        <v>0.2323937844</v>
      </c>
      <c r="F85" s="115">
        <f>IFERROR(F63+F65+F66+F67+F68+F69+F71+F72+F74+F75+F76+F77+F78+F79+F80+F82+F83, "NA")</f>
        <v>6627.8</v>
      </c>
      <c r="G85" s="96">
        <f>IFERROR(F85/F148, "NA")</f>
        <v>0.2518117085</v>
      </c>
      <c r="H85" s="115">
        <f>IFERROR(H63+H65+H66+H67+H68+H69+H71+H72+H74+H75+H76+H77+H78+H79+H80+H82+H83, "NA")</f>
        <v>8192.42</v>
      </c>
      <c r="I85" s="96">
        <f>IFERROR(H85/H148, "NA")</f>
        <v>0.3310023216</v>
      </c>
      <c r="J85" s="115">
        <f>IFERROR(J63+J65+J66+J67+J68+J69+J71+J72+J74+J75+J76+J77+J78+J79+J80+J82+J83, "NA")</f>
        <v>7858.31</v>
      </c>
      <c r="K85" s="96">
        <f>IFERROR(J85/J148, "NA")</f>
        <v>0.2968455829</v>
      </c>
      <c r="L85" s="115">
        <f>IFERROR(L63+L65+L66+L67+L68+L69+L71+L72+L74+L75+L76+L77+L78+L79+L80+L82+L83, "NA")</f>
        <v>7415.77</v>
      </c>
      <c r="M85" s="96">
        <f>IFERROR(L85/L148, "NA")</f>
        <v>0.2981006748</v>
      </c>
      <c r="N85" s="115">
        <f>IFERROR(N63+N65+N66+N67+N68+N69+N71+N72+N74+N75+N76+N77+N78+N79+N80+N82+N83, "NA")</f>
        <v>7852.08</v>
      </c>
      <c r="O85" s="96">
        <f>IFERROR(N85/N148, "NA")</f>
        <v>0.2570564585</v>
      </c>
      <c r="P85" s="115">
        <f>IFERROR(P63+P65+P66+P67+P68+P69+P71+P72+P74+P75+P76+P77+P78+P79+P80+P82+P83, "NA")</f>
        <v>8635.34</v>
      </c>
      <c r="Q85" s="96">
        <f>IFERROR(P85/P148, "NA")</f>
        <v>0.2552657763</v>
      </c>
      <c r="R85" s="115">
        <f>IFERROR(R63+R65+R66+R67+R68+R69+R71+R72+R74+R75+R76+R77+R78+R79+R80+R82+R83, "NA")</f>
        <v>7008.24</v>
      </c>
      <c r="S85" s="96">
        <f>IFERROR(R85/R148, "NA")</f>
        <v>0.2815892048</v>
      </c>
      <c r="T85" s="115">
        <f>IFERROR(T63+T65+T66+T67+T68+T69+T71+T72+T74+T75+T76+T77+T78+T79+T80+T82+T83, "NA")</f>
        <v>9526.8</v>
      </c>
      <c r="U85" s="96">
        <f>IFERROR(T85/T148, "NA")</f>
        <v>0.3011049174</v>
      </c>
      <c r="V85" s="115">
        <f>IFERROR(V63+V65+V66+V67+V68+V69+V71+V72+V74+V75+V76+V77+V78+V79+V80+V82+V83, "NA")</f>
        <v>9601.5</v>
      </c>
      <c r="W85" s="96">
        <f>IFERROR(V85/V148, "NA")</f>
        <v>0.3191914813</v>
      </c>
      <c r="X85" s="115">
        <f>IFERROR(X63+X65+X66+X67+X68+X69+X71+X72+X74+X75+X76+X77+X78+X79+X80+X82+X83, "NA")</f>
        <v>6746.17</v>
      </c>
      <c r="Y85" s="96">
        <f>IFERROR(X85/X148, "NA")</f>
        <v>0.2709951691</v>
      </c>
      <c r="Z85" s="115">
        <f>IFERROR(Z63+Z65+Z66+Z67+Z68+Z69+Z71+Z72+Z74+Z75+Z76+Z77+Z78+Z79+Z80+Z82+Z83, "NA")</f>
        <v>32882.71</v>
      </c>
      <c r="AA85" s="96">
        <f>IFERROR(Z85/Z148, "NA")</f>
        <v>0.294905876</v>
      </c>
      <c r="AB85" s="115">
        <f t="shared" si="37"/>
        <v>8220.6775</v>
      </c>
      <c r="AC85" s="96">
        <f>IFERROR(AB85/AB148, "NA")</f>
        <v>0.294905876</v>
      </c>
      <c r="AD85" s="116">
        <f t="shared" si="38"/>
        <v>-1474.5075</v>
      </c>
      <c r="AE85" s="117">
        <f>IFERROR(AD85/AD148, "NA")</f>
        <v>0.4945460186</v>
      </c>
      <c r="AF85" s="116">
        <f t="shared" si="39"/>
        <v>-0.179365691</v>
      </c>
      <c r="AG85" s="115">
        <f t="shared" si="40"/>
        <v>8080.52625</v>
      </c>
      <c r="AH85" s="96">
        <f>IFERROR(AG85/AG148, "NA")</f>
        <v>0.2844920267</v>
      </c>
      <c r="AI85" s="116">
        <f t="shared" si="41"/>
        <v>-1334.35625</v>
      </c>
      <c r="AJ85" s="117">
        <f>IFERROR(AI85/AI148, "NA")</f>
        <v>0.3802355249</v>
      </c>
      <c r="AK85" s="116">
        <f t="shared" si="42"/>
        <v>-0.1651323452</v>
      </c>
      <c r="AL85" s="117">
        <f>IFERROR(AK85/AK148, "NA")</f>
        <v>1.336541939</v>
      </c>
    </row>
    <row r="86" ht="3.75" customHeight="1">
      <c r="A86" s="120" t="s">
        <v>6</v>
      </c>
      <c r="B86" s="121"/>
      <c r="C86" s="76"/>
      <c r="D86" s="121"/>
      <c r="E86" s="76"/>
      <c r="F86" s="121"/>
      <c r="G86" s="76"/>
      <c r="H86" s="121"/>
      <c r="I86" s="76"/>
      <c r="J86" s="121"/>
      <c r="K86" s="76"/>
      <c r="L86" s="121"/>
      <c r="M86" s="76"/>
      <c r="N86" s="121"/>
      <c r="O86" s="76"/>
      <c r="P86" s="121"/>
      <c r="Q86" s="76"/>
      <c r="R86" s="121"/>
      <c r="S86" s="76"/>
      <c r="T86" s="121"/>
      <c r="U86" s="76"/>
      <c r="V86" s="121"/>
      <c r="W86" s="76"/>
      <c r="X86" s="121"/>
      <c r="Y86" s="76"/>
      <c r="Z86" s="121"/>
      <c r="AA86" s="76"/>
      <c r="AB86" s="121"/>
      <c r="AC86" s="76"/>
      <c r="AD86" s="122"/>
      <c r="AE86" s="78"/>
      <c r="AF86" s="122"/>
      <c r="AG86" s="121"/>
      <c r="AH86" s="76"/>
      <c r="AI86" s="122"/>
      <c r="AJ86" s="78"/>
      <c r="AK86" s="122"/>
      <c r="AL86" s="78"/>
    </row>
    <row r="87" ht="16.5" customHeight="1">
      <c r="A87" s="118" t="s">
        <v>54</v>
      </c>
      <c r="B87" s="119">
        <f>IFERROR(B59-B85, "NA")</f>
        <v>13070.17</v>
      </c>
      <c r="C87" s="107">
        <f>IFERROR(B87/B148, "NA")</f>
        <v>0.4490853141</v>
      </c>
      <c r="D87" s="119">
        <f>IFERROR(D59-D85, "NA")</f>
        <v>15573.41</v>
      </c>
      <c r="E87" s="107">
        <f>IFERROR(D87/D148, "NA")</f>
        <v>0.4855370026</v>
      </c>
      <c r="F87" s="119">
        <f>IFERROR(F59-F85, "NA")</f>
        <v>12000.5</v>
      </c>
      <c r="G87" s="107">
        <f>IFERROR(F87/F148, "NA")</f>
        <v>0.4559380801</v>
      </c>
      <c r="H87" s="119">
        <f>IFERROR(H59-H85, "NA")</f>
        <v>9461.18</v>
      </c>
      <c r="I87" s="107">
        <f>IFERROR(H87/H148, "NA")</f>
        <v>0.3822646477</v>
      </c>
      <c r="J87" s="119">
        <f>IFERROR(J59-J85, "NA")</f>
        <v>11040.06</v>
      </c>
      <c r="K87" s="107">
        <f>IFERROR(J87/J148, "NA")</f>
        <v>0.4170353481</v>
      </c>
      <c r="L87" s="119">
        <f>IFERROR(L59-L85, "NA")</f>
        <v>10396.95</v>
      </c>
      <c r="M87" s="107">
        <f>IFERROR(L87/L148, "NA")</f>
        <v>0.4179387725</v>
      </c>
      <c r="N87" s="119">
        <f>IFERROR(N59-N85, "NA")</f>
        <v>14148.84</v>
      </c>
      <c r="O87" s="107">
        <f>IFERROR(N87/N148, "NA")</f>
        <v>0.4631958287</v>
      </c>
      <c r="P87" s="119">
        <f>IFERROR(P59-P85, "NA")</f>
        <v>16384.84</v>
      </c>
      <c r="Q87" s="107">
        <f>IFERROR(P87/P148, "NA")</f>
        <v>0.4843455964</v>
      </c>
      <c r="R87" s="119">
        <f>IFERROR(R59-R85, "NA")</f>
        <v>10407.22</v>
      </c>
      <c r="S87" s="107">
        <f>IFERROR(R87/R148, "NA")</f>
        <v>0.4181593102</v>
      </c>
      <c r="T87" s="119">
        <f>IFERROR(T59-T85, "NA")</f>
        <v>13017.11</v>
      </c>
      <c r="U87" s="107">
        <f>IFERROR(T87/T148, "NA")</f>
        <v>0.4114199764</v>
      </c>
      <c r="V87" s="119">
        <f>IFERROR(V59-V85, "NA")</f>
        <v>13394.14</v>
      </c>
      <c r="W87" s="107">
        <f>IFERROR(V87/V148, "NA")</f>
        <v>0.4452736955</v>
      </c>
      <c r="X87" s="119">
        <f>IFERROR(X59-X85, "NA")</f>
        <v>11900.98</v>
      </c>
      <c r="Y87" s="107">
        <f>IFERROR(X87/X148, "NA")</f>
        <v>0.4780650484</v>
      </c>
      <c r="Z87" s="119">
        <f>IFERROR(Z59-Z85, "NA")</f>
        <v>48719.45</v>
      </c>
      <c r="AA87" s="107">
        <f>IFERROR(Z87/Z148, "NA")</f>
        <v>0.4369363742</v>
      </c>
      <c r="AB87" s="119">
        <f>IFERROR((R87+T87+V87+X87)/4, "NA")</f>
        <v>12179.8625</v>
      </c>
      <c r="AC87" s="107">
        <f>IFERROR(AB87/AB148, "NA")</f>
        <v>0.4369363742</v>
      </c>
      <c r="AD87" s="70">
        <f>IFERROR(X87-AB87, "NA")</f>
        <v>-278.8825</v>
      </c>
      <c r="AE87" s="71">
        <f>IFERROR(AD87/AD148, "NA")</f>
        <v>0.09353647237</v>
      </c>
      <c r="AF87" s="70">
        <f>IFERROR((X87-AB87)/AB87, "NA")</f>
        <v>-0.02289701546</v>
      </c>
      <c r="AG87" s="119">
        <f>IFERROR((J87+L87+N87+P87+R87+T87+V87+X87)/8, "NA")</f>
        <v>12586.2675</v>
      </c>
      <c r="AH87" s="107">
        <f>IFERROR(AG87/AG148, "NA")</f>
        <v>0.4431261824</v>
      </c>
      <c r="AI87" s="70">
        <f>IFERROR(X87-AG87, "NA")</f>
        <v>-685.2875</v>
      </c>
      <c r="AJ87" s="71">
        <f>IFERROR(AI87/AI148, "NA")</f>
        <v>0.1952781742</v>
      </c>
      <c r="AK87" s="70">
        <f>IFERROR((X87-AG87)/AG87, "NA")</f>
        <v>-0.05444723783</v>
      </c>
      <c r="AL87" s="71">
        <f>IFERROR(AK87/AK148, "NA")</f>
        <v>0.4406829973</v>
      </c>
    </row>
    <row r="88" ht="3.75" customHeight="1">
      <c r="A88" s="120" t="s">
        <v>6</v>
      </c>
      <c r="B88" s="121"/>
      <c r="C88" s="76"/>
      <c r="D88" s="121"/>
      <c r="E88" s="76"/>
      <c r="F88" s="121"/>
      <c r="G88" s="76"/>
      <c r="H88" s="121"/>
      <c r="I88" s="76"/>
      <c r="J88" s="121"/>
      <c r="K88" s="76"/>
      <c r="L88" s="121"/>
      <c r="M88" s="76"/>
      <c r="N88" s="121"/>
      <c r="O88" s="76"/>
      <c r="P88" s="121"/>
      <c r="Q88" s="76"/>
      <c r="R88" s="121"/>
      <c r="S88" s="76"/>
      <c r="T88" s="121"/>
      <c r="U88" s="76"/>
      <c r="V88" s="121"/>
      <c r="W88" s="76"/>
      <c r="X88" s="121"/>
      <c r="Y88" s="76"/>
      <c r="Z88" s="121"/>
      <c r="AA88" s="76"/>
      <c r="AB88" s="121"/>
      <c r="AC88" s="76"/>
      <c r="AD88" s="122"/>
      <c r="AE88" s="78"/>
      <c r="AF88" s="122"/>
      <c r="AG88" s="121"/>
      <c r="AH88" s="76"/>
      <c r="AI88" s="122"/>
      <c r="AJ88" s="78"/>
      <c r="AK88" s="122"/>
      <c r="AL88" s="78"/>
    </row>
    <row r="89" ht="16.5" hidden="1" customHeight="1">
      <c r="A89" s="17" t="s">
        <v>193</v>
      </c>
      <c r="B89" s="19"/>
      <c r="C89" s="13"/>
      <c r="D89" s="19"/>
      <c r="E89" s="13"/>
      <c r="F89" s="19"/>
      <c r="G89" s="13"/>
      <c r="H89" s="19"/>
      <c r="I89" s="13"/>
      <c r="J89" s="19"/>
      <c r="K89" s="13"/>
      <c r="L89" s="19"/>
      <c r="M89" s="13"/>
      <c r="N89" s="19"/>
      <c r="O89" s="13"/>
      <c r="P89" s="19"/>
      <c r="Q89" s="13"/>
      <c r="R89" s="19"/>
      <c r="S89" s="13"/>
      <c r="T89" s="19"/>
      <c r="U89" s="13"/>
      <c r="V89" s="19"/>
      <c r="W89" s="13"/>
      <c r="X89" s="19"/>
      <c r="Y89" s="13"/>
      <c r="Z89" s="19"/>
      <c r="AA89" s="13"/>
      <c r="AB89" s="19"/>
      <c r="AC89" s="13"/>
      <c r="AD89" s="24"/>
      <c r="AE89" s="25"/>
      <c r="AF89" s="24"/>
      <c r="AG89" s="19"/>
      <c r="AH89" s="13"/>
      <c r="AI89" s="24"/>
      <c r="AJ89" s="25"/>
      <c r="AK89" s="24"/>
      <c r="AL89" s="25"/>
    </row>
    <row r="90" ht="16.5" hidden="1" customHeight="1">
      <c r="A90" s="26" t="s">
        <v>194</v>
      </c>
      <c r="B90" s="27">
        <v>431.68000000000006</v>
      </c>
      <c r="C90" s="23">
        <f>IFERROR(B90/B148, "NA")</f>
        <v>0.01483233565</v>
      </c>
      <c r="D90" s="27">
        <v>535.1600000000001</v>
      </c>
      <c r="E90" s="23">
        <f>IFERROR(D90/D148, "NA")</f>
        <v>0.01668484823</v>
      </c>
      <c r="F90" s="27">
        <v>731.6700000000001</v>
      </c>
      <c r="G90" s="23">
        <f>IFERROR(F90/F148, "NA")</f>
        <v>0.02779852632</v>
      </c>
      <c r="H90" s="27">
        <v>436.97999999999996</v>
      </c>
      <c r="I90" s="23">
        <f>IFERROR(H90/H148, "NA")</f>
        <v>0.01765551504</v>
      </c>
      <c r="J90" s="27">
        <v>85.36</v>
      </c>
      <c r="K90" s="23">
        <f>IFERROR(J90/J148, "NA")</f>
        <v>0.003224451435</v>
      </c>
      <c r="L90" s="27">
        <v>415.53999999999996</v>
      </c>
      <c r="M90" s="23">
        <f>IFERROR(L90/L148, "NA")</f>
        <v>0.01670396391</v>
      </c>
      <c r="N90" s="27">
        <v>659.28</v>
      </c>
      <c r="O90" s="23">
        <f>IFERROR(N90/N148, "NA")</f>
        <v>0.02158309416</v>
      </c>
      <c r="P90" s="27">
        <v>579.5199999999999</v>
      </c>
      <c r="Q90" s="23">
        <f>IFERROR(P90/P148, "NA")</f>
        <v>0.0171309552</v>
      </c>
      <c r="R90" s="27">
        <v>686.5200000000001</v>
      </c>
      <c r="S90" s="23">
        <f>IFERROR(R90/R148, "NA")</f>
        <v>0.0275841896</v>
      </c>
      <c r="T90" s="27">
        <v>495.75</v>
      </c>
      <c r="U90" s="23">
        <f>IFERROR(T90/T148, "NA")</f>
        <v>0.01566872011</v>
      </c>
      <c r="V90" s="27">
        <v>388.83</v>
      </c>
      <c r="W90" s="23">
        <f>IFERROR(V90/V148, "NA")</f>
        <v>0.01292623274</v>
      </c>
      <c r="X90" s="27">
        <v>686.89</v>
      </c>
      <c r="Y90" s="23">
        <f>IFERROR(X90/X148, "NA")</f>
        <v>0.02759252609</v>
      </c>
      <c r="Z90" s="27">
        <v>2257.9900000000002</v>
      </c>
      <c r="AA90" s="23">
        <f>IFERROR(Z90/Z148, "NA")</f>
        <v>0.02025059732</v>
      </c>
      <c r="AB90" s="59">
        <f t="shared" ref="AB90:AB99" si="43">IFERROR((R90+T90+V90+X90)/4, "NA")</f>
        <v>564.4975</v>
      </c>
      <c r="AC90" s="23">
        <f>IFERROR(AB90/AB148, "NA")</f>
        <v>0.02025059732</v>
      </c>
      <c r="AD90" s="61">
        <f t="shared" ref="AD90:AD99" si="44">IFERROR(X90-AB90, "NA")</f>
        <v>122.3925</v>
      </c>
      <c r="AE90" s="63">
        <f>IFERROR(AD90/AD148, "NA")</f>
        <v>-0.04105012934</v>
      </c>
      <c r="AF90" s="61">
        <f t="shared" ref="AF90:AF99" si="45">IFERROR((X90-AB90)/AB90, "NA")</f>
        <v>0.2168167264</v>
      </c>
      <c r="AG90" s="59">
        <f t="shared" ref="AG90:AG99" si="46">IFERROR((J90+L90+N90+P90+R90+T90+V90+X90)/8, "NA")</f>
        <v>499.71125</v>
      </c>
      <c r="AH90" s="23">
        <f>IFERROR(AG90/AG148, "NA")</f>
        <v>0.01759339205</v>
      </c>
      <c r="AI90" s="61">
        <f t="shared" ref="AI90:AI99" si="47">IFERROR(X90-AG90, "NA")</f>
        <v>187.17875</v>
      </c>
      <c r="AJ90" s="63">
        <f>IFERROR(AI90/AI148, "NA")</f>
        <v>-0.05333808738</v>
      </c>
      <c r="AK90" s="61">
        <f t="shared" ref="AK90:AK99" si="48">IFERROR((X90-AG90)/AG90, "NA")</f>
        <v>0.3745738164</v>
      </c>
      <c r="AL90" s="63">
        <f>IFERROR(AK90/AK148, "NA")</f>
        <v>-3.031711409</v>
      </c>
    </row>
    <row r="91" ht="16.5" hidden="1" customHeight="1">
      <c r="A91" s="26" t="s">
        <v>195</v>
      </c>
      <c r="B91" s="27">
        <v>642.8299999999999</v>
      </c>
      <c r="C91" s="23">
        <f>IFERROR(B91/B148, "NA")</f>
        <v>0.02208735712</v>
      </c>
      <c r="D91" s="27">
        <v>588.23</v>
      </c>
      <c r="E91" s="23">
        <f>IFERROR(D91/D148, "NA")</f>
        <v>0.01833942798</v>
      </c>
      <c r="F91" s="27">
        <v>700.94</v>
      </c>
      <c r="G91" s="23">
        <f>IFERROR(F91/F148, "NA")</f>
        <v>0.02663099353</v>
      </c>
      <c r="H91" s="27">
        <v>357.08</v>
      </c>
      <c r="I91" s="23">
        <f>IFERROR(H91/H148, "NA")</f>
        <v>0.01442727655</v>
      </c>
      <c r="J91" s="27">
        <v>234.64</v>
      </c>
      <c r="K91" s="23">
        <f>IFERROR(J91/J148, "NA")</f>
        <v>0.008863463973</v>
      </c>
      <c r="L91" s="27">
        <v>224.47</v>
      </c>
      <c r="M91" s="23">
        <f>IFERROR(L91/L148, "NA")</f>
        <v>0.009023292048</v>
      </c>
      <c r="N91" s="27">
        <v>1465.79</v>
      </c>
      <c r="O91" s="23">
        <f>IFERROR(N91/N148, "NA")</f>
        <v>0.0479861115</v>
      </c>
      <c r="P91" s="27">
        <v>2319.98</v>
      </c>
      <c r="Q91" s="23">
        <f>IFERROR(P91/P148, "NA")</f>
        <v>0.06857998594</v>
      </c>
      <c r="R91" s="27">
        <v>1871.9</v>
      </c>
      <c r="S91" s="23">
        <f>IFERROR(R91/R148, "NA")</f>
        <v>0.07521244029</v>
      </c>
      <c r="T91" s="27">
        <v>2080.5099999999998</v>
      </c>
      <c r="U91" s="23">
        <f>IFERROR(T91/T148, "NA")</f>
        <v>0.06575679049</v>
      </c>
      <c r="V91" s="27">
        <v>2348.48</v>
      </c>
      <c r="W91" s="23">
        <f>IFERROR(V91/V148, "NA")</f>
        <v>0.07807267719</v>
      </c>
      <c r="X91" s="27">
        <v>470.75</v>
      </c>
      <c r="Y91" s="23">
        <f>IFERROR(X91/X148, "NA")</f>
        <v>0.01891013358</v>
      </c>
      <c r="Z91" s="27">
        <v>6771.639999999999</v>
      </c>
      <c r="AA91" s="23">
        <f>IFERROR(Z91/Z148, "NA")</f>
        <v>0.06073089554</v>
      </c>
      <c r="AB91" s="59">
        <f t="shared" si="43"/>
        <v>1692.91</v>
      </c>
      <c r="AC91" s="23">
        <f>IFERROR(AB91/AB148, "NA")</f>
        <v>0.06073089554</v>
      </c>
      <c r="AD91" s="61">
        <f t="shared" si="44"/>
        <v>-1222.16</v>
      </c>
      <c r="AE91" s="63">
        <f>IFERROR(AD91/AD148, "NA")</f>
        <v>0.4099093169</v>
      </c>
      <c r="AF91" s="61">
        <f t="shared" si="45"/>
        <v>-0.7219285136</v>
      </c>
      <c r="AG91" s="59">
        <f t="shared" si="46"/>
        <v>1377.065</v>
      </c>
      <c r="AH91" s="23">
        <f>IFERROR(AG91/AG148, "NA")</f>
        <v>0.04848248747</v>
      </c>
      <c r="AI91" s="61">
        <f t="shared" si="47"/>
        <v>-906.315</v>
      </c>
      <c r="AJ91" s="63">
        <f>IFERROR(AI91/AI148, "NA")</f>
        <v>0.2582617347</v>
      </c>
      <c r="AK91" s="61">
        <f t="shared" si="48"/>
        <v>-0.6581497605</v>
      </c>
      <c r="AL91" s="63">
        <f>IFERROR(AK91/AK148, "NA")</f>
        <v>5.326907676</v>
      </c>
    </row>
    <row r="92" ht="16.5" hidden="1" customHeight="1">
      <c r="A92" s="26" t="s">
        <v>196</v>
      </c>
      <c r="B92" s="27">
        <v>186.49</v>
      </c>
      <c r="C92" s="23">
        <f>IFERROR(B92/B148, "NA")</f>
        <v>0.006407714684</v>
      </c>
      <c r="D92" s="27">
        <v>385.47999999999996</v>
      </c>
      <c r="E92" s="23">
        <f>IFERROR(D92/D148, "NA")</f>
        <v>0.01201822875</v>
      </c>
      <c r="F92" s="27">
        <v>338.45000000000005</v>
      </c>
      <c r="G92" s="23">
        <f>IFERROR(F92/F148, "NA")</f>
        <v>0.01285881782</v>
      </c>
      <c r="H92" s="27">
        <v>195.26000000000002</v>
      </c>
      <c r="I92" s="23">
        <f>IFERROR(H92/H148, "NA")</f>
        <v>0.007889184553</v>
      </c>
      <c r="J92" s="27">
        <v>161.82</v>
      </c>
      <c r="K92" s="23">
        <f>IFERROR(J92/J148, "NA")</f>
        <v>0.006112707723</v>
      </c>
      <c r="L92" s="27">
        <v>103.74</v>
      </c>
      <c r="M92" s="23">
        <f>IFERROR(L92/L148, "NA")</f>
        <v>0.004170162236</v>
      </c>
      <c r="N92" s="27">
        <v>471.99</v>
      </c>
      <c r="O92" s="23">
        <f>IFERROR(N92/N148, "NA")</f>
        <v>0.01545171189</v>
      </c>
      <c r="P92" s="27">
        <v>346.53</v>
      </c>
      <c r="Q92" s="23">
        <f>IFERROR(P92/P148, "NA")</f>
        <v>0.0102436325</v>
      </c>
      <c r="R92" s="27">
        <v>223.78</v>
      </c>
      <c r="S92" s="23">
        <f>IFERROR(R92/R148, "NA")</f>
        <v>0.008991420422</v>
      </c>
      <c r="T92" s="27">
        <v>408.2</v>
      </c>
      <c r="U92" s="23">
        <f>IFERROR(T92/T148, "NA")</f>
        <v>0.01290160676</v>
      </c>
      <c r="V92" s="27">
        <v>332.44</v>
      </c>
      <c r="W92" s="23">
        <f>IFERROR(V92/V148, "NA")</f>
        <v>0.01105160819</v>
      </c>
      <c r="X92" s="27">
        <v>0.0</v>
      </c>
      <c r="Y92" s="23">
        <f>IFERROR(X92/X148, "NA")</f>
        <v>0</v>
      </c>
      <c r="Z92" s="27">
        <v>964.42</v>
      </c>
      <c r="AA92" s="23">
        <f>IFERROR(Z92/Z148, "NA")</f>
        <v>0.008649321328</v>
      </c>
      <c r="AB92" s="59">
        <f t="shared" si="43"/>
        <v>241.105</v>
      </c>
      <c r="AC92" s="23">
        <f>IFERROR(AB92/AB148, "NA")</f>
        <v>0.008649321328</v>
      </c>
      <c r="AD92" s="61">
        <f t="shared" si="44"/>
        <v>-241.105</v>
      </c>
      <c r="AE92" s="63">
        <f>IFERROR(AD92/AD148, "NA")</f>
        <v>0.08086599615</v>
      </c>
      <c r="AF92" s="61">
        <f t="shared" si="45"/>
        <v>-1</v>
      </c>
      <c r="AG92" s="59">
        <f t="shared" si="46"/>
        <v>256.0625</v>
      </c>
      <c r="AH92" s="23">
        <f>IFERROR(AG92/AG148, "NA")</f>
        <v>0.009015222193</v>
      </c>
      <c r="AI92" s="61">
        <f t="shared" si="47"/>
        <v>-256.0625</v>
      </c>
      <c r="AJ92" s="63">
        <f>IFERROR(AI92/AI148, "NA")</f>
        <v>0.07296706491</v>
      </c>
      <c r="AK92" s="61">
        <f t="shared" si="48"/>
        <v>-1</v>
      </c>
      <c r="AL92" s="63">
        <f>IFERROR(AK92/AK148, "NA")</f>
        <v>8.093762233</v>
      </c>
    </row>
    <row r="93" ht="16.5" hidden="1" customHeight="1">
      <c r="A93" s="26" t="s">
        <v>197</v>
      </c>
      <c r="B93" s="27">
        <v>2121.53</v>
      </c>
      <c r="C93" s="23">
        <f>IFERROR(B93/B148, "NA")</f>
        <v>0.07289484119</v>
      </c>
      <c r="D93" s="27">
        <v>2613.8300000000004</v>
      </c>
      <c r="E93" s="23">
        <f>IFERROR(D93/D148, "NA")</f>
        <v>0.08149218338</v>
      </c>
      <c r="F93" s="27">
        <v>1936.12</v>
      </c>
      <c r="G93" s="23">
        <f>IFERROR(F93/F148, "NA")</f>
        <v>0.07355950466</v>
      </c>
      <c r="H93" s="27">
        <v>1667.3</v>
      </c>
      <c r="I93" s="23">
        <f>IFERROR(H93/H148, "NA")</f>
        <v>0.06736473115</v>
      </c>
      <c r="J93" s="27">
        <v>2111.3</v>
      </c>
      <c r="K93" s="23">
        <f>IFERROR(J93/J148, "NA")</f>
        <v>0.07975379938</v>
      </c>
      <c r="L93" s="27">
        <v>1796.1100000000001</v>
      </c>
      <c r="M93" s="23">
        <f>IFERROR(L93/L148, "NA")</f>
        <v>0.07220040576</v>
      </c>
      <c r="N93" s="27">
        <v>2600.67</v>
      </c>
      <c r="O93" s="23">
        <f>IFERROR(N93/N148, "NA")</f>
        <v>0.08513909945</v>
      </c>
      <c r="P93" s="27">
        <v>3687.86</v>
      </c>
      <c r="Q93" s="23">
        <f>IFERROR(P93/P148, "NA")</f>
        <v>0.1090153307</v>
      </c>
      <c r="R93" s="27">
        <v>2023.51</v>
      </c>
      <c r="S93" s="23">
        <f>IFERROR(R93/R148, "NA")</f>
        <v>0.08130408945</v>
      </c>
      <c r="T93" s="27">
        <v>2336.8</v>
      </c>
      <c r="U93" s="23">
        <f>IFERROR(T93/T148, "NA")</f>
        <v>0.07385711581</v>
      </c>
      <c r="V93" s="27">
        <v>2663.27</v>
      </c>
      <c r="W93" s="23">
        <f>IFERROR(V93/V148, "NA")</f>
        <v>0.08853753022</v>
      </c>
      <c r="X93" s="27">
        <v>1436.8500000000001</v>
      </c>
      <c r="Y93" s="23">
        <f>IFERROR(X93/X148, "NA")</f>
        <v>0.05771858829</v>
      </c>
      <c r="Z93" s="27">
        <v>8460.43</v>
      </c>
      <c r="AA93" s="23">
        <f>IFERROR(Z93/Z148, "NA")</f>
        <v>0.07587666955</v>
      </c>
      <c r="AB93" s="59">
        <f t="shared" si="43"/>
        <v>2115.1075</v>
      </c>
      <c r="AC93" s="23">
        <f>IFERROR(AB93/AB148, "NA")</f>
        <v>0.07587666955</v>
      </c>
      <c r="AD93" s="61">
        <f t="shared" si="44"/>
        <v>-678.2575</v>
      </c>
      <c r="AE93" s="63">
        <f>IFERROR(AD93/AD148, "NA")</f>
        <v>0.227485819</v>
      </c>
      <c r="AF93" s="61">
        <f t="shared" si="45"/>
        <v>-0.3206728263</v>
      </c>
      <c r="AG93" s="59">
        <f t="shared" si="46"/>
        <v>2332.04625</v>
      </c>
      <c r="AH93" s="23">
        <f>IFERROR(AG93/AG148, "NA")</f>
        <v>0.08210462331</v>
      </c>
      <c r="AI93" s="61">
        <f t="shared" si="47"/>
        <v>-895.19625</v>
      </c>
      <c r="AJ93" s="63">
        <f>IFERROR(AI93/AI148, "NA")</f>
        <v>0.2550933576</v>
      </c>
      <c r="AK93" s="61">
        <f t="shared" si="48"/>
        <v>-0.3838672796</v>
      </c>
      <c r="AL93" s="63">
        <f>IFERROR(AK93/AK148, "NA")</f>
        <v>3.106930491</v>
      </c>
    </row>
    <row r="94" ht="16.5" hidden="1" customHeight="1">
      <c r="A94" s="26" t="s">
        <v>198</v>
      </c>
      <c r="B94" s="27">
        <v>833.84</v>
      </c>
      <c r="C94" s="23">
        <f>IFERROR(B94/B148, "NA")</f>
        <v>0.02865037703</v>
      </c>
      <c r="D94" s="27">
        <v>794.83</v>
      </c>
      <c r="E94" s="23">
        <f>IFERROR(D94/D148, "NA")</f>
        <v>0.02478065984</v>
      </c>
      <c r="F94" s="27">
        <v>707.74</v>
      </c>
      <c r="G94" s="23">
        <f>IFERROR(F94/F148, "NA")</f>
        <v>0.02688934768</v>
      </c>
      <c r="H94" s="27">
        <v>552.92</v>
      </c>
      <c r="I94" s="23">
        <f>IFERROR(H94/H148, "NA")</f>
        <v>0.02233989513</v>
      </c>
      <c r="J94" s="27">
        <v>663.9</v>
      </c>
      <c r="K94" s="23">
        <f>IFERROR(J94/J148, "NA")</f>
        <v>0.025078647</v>
      </c>
      <c r="L94" s="27">
        <v>559.14</v>
      </c>
      <c r="M94" s="23">
        <f>IFERROR(L94/L148, "NA")</f>
        <v>0.02247642677</v>
      </c>
      <c r="N94" s="27">
        <v>831.99</v>
      </c>
      <c r="O94" s="23">
        <f>IFERROR(N94/N148, "NA")</f>
        <v>0.02723716556</v>
      </c>
      <c r="P94" s="27">
        <v>824.22</v>
      </c>
      <c r="Q94" s="23">
        <f>IFERROR(P94/P148, "NA")</f>
        <v>0.02436443246</v>
      </c>
      <c r="R94" s="27">
        <v>668.43</v>
      </c>
      <c r="S94" s="23">
        <f>IFERROR(R94/R148, "NA")</f>
        <v>0.02685733825</v>
      </c>
      <c r="T94" s="27">
        <v>938.05</v>
      </c>
      <c r="U94" s="23">
        <f>IFERROR(T94/T148, "NA")</f>
        <v>0.02964809461</v>
      </c>
      <c r="V94" s="27">
        <v>748.84</v>
      </c>
      <c r="W94" s="23">
        <f>IFERROR(V94/V148, "NA")</f>
        <v>0.02489437576</v>
      </c>
      <c r="X94" s="27">
        <v>591.95</v>
      </c>
      <c r="Y94" s="23">
        <f>IFERROR(X94/X148, "NA")</f>
        <v>0.02377876489</v>
      </c>
      <c r="Z94" s="27">
        <v>2947.27</v>
      </c>
      <c r="AA94" s="23">
        <f>IFERROR(Z94/Z148, "NA")</f>
        <v>0.02643234822</v>
      </c>
      <c r="AB94" s="59">
        <f t="shared" si="43"/>
        <v>736.8175</v>
      </c>
      <c r="AC94" s="23">
        <f>IFERROR(AB94/AB148, "NA")</f>
        <v>0.02643234822</v>
      </c>
      <c r="AD94" s="61">
        <f t="shared" si="44"/>
        <v>-144.8675</v>
      </c>
      <c r="AE94" s="63">
        <f>IFERROR(AD94/AD148, "NA")</f>
        <v>0.04858818646</v>
      </c>
      <c r="AF94" s="61">
        <f t="shared" si="45"/>
        <v>-0.1966124583</v>
      </c>
      <c r="AG94" s="59">
        <f t="shared" si="46"/>
        <v>728.315</v>
      </c>
      <c r="AH94" s="23">
        <f>IFERROR(AG94/AG148, "NA")</f>
        <v>0.02564187084</v>
      </c>
      <c r="AI94" s="61">
        <f t="shared" si="47"/>
        <v>-136.365</v>
      </c>
      <c r="AJ94" s="63">
        <f>IFERROR(AI94/AI148, "NA")</f>
        <v>0.03885830142</v>
      </c>
      <c r="AK94" s="61">
        <f t="shared" si="48"/>
        <v>-0.1872335459</v>
      </c>
      <c r="AL94" s="63">
        <f>IFERROR(AK94/AK148, "NA")</f>
        <v>1.515423803</v>
      </c>
    </row>
    <row r="95" ht="16.5" hidden="1" customHeight="1">
      <c r="A95" s="26" t="s">
        <v>199</v>
      </c>
      <c r="B95" s="27">
        <v>0.0</v>
      </c>
      <c r="C95" s="23">
        <f>IFERROR(B95/B148, "NA")</f>
        <v>0</v>
      </c>
      <c r="D95" s="27">
        <v>0.0</v>
      </c>
      <c r="E95" s="23">
        <f>IFERROR(D95/D148, "NA")</f>
        <v>0</v>
      </c>
      <c r="F95" s="27">
        <v>1301.1999999999998</v>
      </c>
      <c r="G95" s="23">
        <f>IFERROR(F95/F148, "NA")</f>
        <v>0.04943682595</v>
      </c>
      <c r="H95" s="27">
        <v>0.0</v>
      </c>
      <c r="I95" s="23">
        <f>IFERROR(H95/H148, "NA")</f>
        <v>0</v>
      </c>
      <c r="J95" s="27">
        <v>0.0</v>
      </c>
      <c r="K95" s="23">
        <f>IFERROR(J95/J148, "NA")</f>
        <v>0</v>
      </c>
      <c r="L95" s="27">
        <v>0.0</v>
      </c>
      <c r="M95" s="23">
        <f>IFERROR(L95/L148, "NA")</f>
        <v>0</v>
      </c>
      <c r="N95" s="27">
        <v>0.0</v>
      </c>
      <c r="O95" s="23">
        <f>IFERROR(N95/N148, "NA")</f>
        <v>0</v>
      </c>
      <c r="P95" s="27">
        <v>-236.67999999999998</v>
      </c>
      <c r="Q95" s="23">
        <f>IFERROR(P95/P148, "NA")</f>
        <v>-0.006996401293</v>
      </c>
      <c r="R95" s="27">
        <v>0.0</v>
      </c>
      <c r="S95" s="23">
        <f>IFERROR(R95/R148, "NA")</f>
        <v>0</v>
      </c>
      <c r="T95" s="27">
        <v>0.0</v>
      </c>
      <c r="U95" s="23">
        <f>IFERROR(T95/T148, "NA")</f>
        <v>0</v>
      </c>
      <c r="V95" s="27">
        <v>0.0</v>
      </c>
      <c r="W95" s="23">
        <f>IFERROR(V95/V148, "NA")</f>
        <v>0</v>
      </c>
      <c r="X95" s="27">
        <v>-1202.54</v>
      </c>
      <c r="Y95" s="23">
        <f>IFERROR(X95/X148, "NA")</f>
        <v>-0.04830630279</v>
      </c>
      <c r="Z95" s="27">
        <v>-1202.54</v>
      </c>
      <c r="AA95" s="23">
        <f>IFERROR(Z95/Z148, "NA")</f>
        <v>-0.01078488093</v>
      </c>
      <c r="AB95" s="59">
        <f t="shared" si="43"/>
        <v>-300.635</v>
      </c>
      <c r="AC95" s="23">
        <f>IFERROR(AB95/AB148, "NA")</f>
        <v>-0.01078488093</v>
      </c>
      <c r="AD95" s="61">
        <f t="shared" si="44"/>
        <v>-901.905</v>
      </c>
      <c r="AE95" s="63">
        <f>IFERROR(AD95/AD148, "NA")</f>
        <v>0.3024966146</v>
      </c>
      <c r="AF95" s="61">
        <f t="shared" si="45"/>
        <v>3</v>
      </c>
      <c r="AG95" s="59">
        <f t="shared" si="46"/>
        <v>-179.9025</v>
      </c>
      <c r="AH95" s="23">
        <f>IFERROR(AG95/AG148, "NA")</f>
        <v>-0.006333848223</v>
      </c>
      <c r="AI95" s="61">
        <f t="shared" si="47"/>
        <v>-1022.6375</v>
      </c>
      <c r="AJ95" s="63">
        <f>IFERROR(AI95/AI148, "NA")</f>
        <v>0.2914087648</v>
      </c>
      <c r="AK95" s="61">
        <f t="shared" si="48"/>
        <v>5.684398494</v>
      </c>
      <c r="AL95" s="63">
        <f>IFERROR(AK95/AK148, "NA")</f>
        <v>-46.00816985</v>
      </c>
    </row>
    <row r="96" ht="16.5" hidden="1" customHeight="1">
      <c r="A96" s="26" t="s">
        <v>200</v>
      </c>
      <c r="B96" s="27">
        <v>0.0</v>
      </c>
      <c r="C96" s="23">
        <f>IFERROR(B96/B148, "NA")</f>
        <v>0</v>
      </c>
      <c r="D96" s="27">
        <v>0.0</v>
      </c>
      <c r="E96" s="23">
        <f>IFERROR(D96/D148, "NA")</f>
        <v>0</v>
      </c>
      <c r="F96" s="27">
        <v>0.0</v>
      </c>
      <c r="G96" s="23">
        <f>IFERROR(F96/F148, "NA")</f>
        <v>0</v>
      </c>
      <c r="H96" s="27">
        <v>0.0</v>
      </c>
      <c r="I96" s="23">
        <f>IFERROR(H96/H148, "NA")</f>
        <v>0</v>
      </c>
      <c r="J96" s="27">
        <v>0.0</v>
      </c>
      <c r="K96" s="23">
        <f>IFERROR(J96/J148, "NA")</f>
        <v>0</v>
      </c>
      <c r="L96" s="27">
        <v>0.0</v>
      </c>
      <c r="M96" s="23">
        <f>IFERROR(L96/L148, "NA")</f>
        <v>0</v>
      </c>
      <c r="N96" s="27">
        <v>0.0</v>
      </c>
      <c r="O96" s="23">
        <f>IFERROR(N96/N148, "NA")</f>
        <v>0</v>
      </c>
      <c r="P96" s="27">
        <v>0.0</v>
      </c>
      <c r="Q96" s="23">
        <f>IFERROR(P96/P148, "NA")</f>
        <v>0</v>
      </c>
      <c r="R96" s="27">
        <v>0.0</v>
      </c>
      <c r="S96" s="23">
        <f>IFERROR(R96/R148, "NA")</f>
        <v>0</v>
      </c>
      <c r="T96" s="27">
        <v>0.0</v>
      </c>
      <c r="U96" s="23">
        <f>IFERROR(T96/T148, "NA")</f>
        <v>0</v>
      </c>
      <c r="V96" s="27">
        <v>0.0</v>
      </c>
      <c r="W96" s="23">
        <f>IFERROR(V96/V148, "NA")</f>
        <v>0</v>
      </c>
      <c r="X96" s="27">
        <v>0.0</v>
      </c>
      <c r="Y96" s="23">
        <f>IFERROR(X96/X148, "NA")</f>
        <v>0</v>
      </c>
      <c r="Z96" s="27">
        <v>0.0</v>
      </c>
      <c r="AA96" s="23">
        <f>IFERROR(Z96/Z148, "NA")</f>
        <v>0</v>
      </c>
      <c r="AB96" s="59">
        <f t="shared" si="43"/>
        <v>0</v>
      </c>
      <c r="AC96" s="23">
        <f>IFERROR(AB96/AB148, "NA")</f>
        <v>0</v>
      </c>
      <c r="AD96" s="61">
        <f t="shared" si="44"/>
        <v>0</v>
      </c>
      <c r="AE96" s="63">
        <f>IFERROR(AD96/AD148, "NA")</f>
        <v>0</v>
      </c>
      <c r="AF96" s="61" t="str">
        <f t="shared" si="45"/>
        <v>NA</v>
      </c>
      <c r="AG96" s="59">
        <f t="shared" si="46"/>
        <v>0</v>
      </c>
      <c r="AH96" s="23">
        <f>IFERROR(AG96/AG148, "NA")</f>
        <v>0</v>
      </c>
      <c r="AI96" s="61">
        <f t="shared" si="47"/>
        <v>0</v>
      </c>
      <c r="AJ96" s="63">
        <f>IFERROR(AI96/AI148, "NA")</f>
        <v>0</v>
      </c>
      <c r="AK96" s="61" t="str">
        <f t="shared" si="48"/>
        <v>NA</v>
      </c>
      <c r="AL96" s="63" t="str">
        <f>IFERROR(AK96/AK148, "NA")</f>
        <v>NA</v>
      </c>
    </row>
    <row r="97" ht="16.5" hidden="1" customHeight="1">
      <c r="A97" s="26" t="s">
        <v>201</v>
      </c>
      <c r="B97" s="27">
        <v>0.0</v>
      </c>
      <c r="C97" s="23">
        <f>IFERROR(B97/B148, "NA")</f>
        <v>0</v>
      </c>
      <c r="D97" s="27">
        <v>252.3</v>
      </c>
      <c r="E97" s="23">
        <f>IFERROR(D97/D148, "NA")</f>
        <v>0.007866034848</v>
      </c>
      <c r="F97" s="27">
        <v>158.34</v>
      </c>
      <c r="G97" s="23">
        <f>IFERROR(F97/F148, "NA")</f>
        <v>0.006015852307</v>
      </c>
      <c r="H97" s="27">
        <v>941.06</v>
      </c>
      <c r="I97" s="23">
        <f>IFERROR(H97/H148, "NA")</f>
        <v>0.03802210394</v>
      </c>
      <c r="J97" s="27">
        <v>0.0</v>
      </c>
      <c r="K97" s="23">
        <f>IFERROR(J97/J148, "NA")</f>
        <v>0</v>
      </c>
      <c r="L97" s="27">
        <v>252.3</v>
      </c>
      <c r="M97" s="23">
        <f>IFERROR(L97/L148, "NA")</f>
        <v>0.01014200821</v>
      </c>
      <c r="N97" s="27">
        <v>0.0</v>
      </c>
      <c r="O97" s="23">
        <f>IFERROR(N97/N148, "NA")</f>
        <v>0</v>
      </c>
      <c r="P97" s="27">
        <v>746.86</v>
      </c>
      <c r="Q97" s="23">
        <f>IFERROR(P97/P148, "NA")</f>
        <v>0.02207762494</v>
      </c>
      <c r="R97" s="27">
        <v>0.0</v>
      </c>
      <c r="S97" s="23">
        <f>IFERROR(R97/R148, "NA")</f>
        <v>0</v>
      </c>
      <c r="T97" s="27">
        <v>14.58</v>
      </c>
      <c r="U97" s="23">
        <f>IFERROR(T97/T148, "NA")</f>
        <v>0.0004608168215</v>
      </c>
      <c r="V97" s="27">
        <v>250.05</v>
      </c>
      <c r="W97" s="23">
        <f>IFERROR(V97/V148, "NA")</f>
        <v>0.008312641765</v>
      </c>
      <c r="X97" s="27">
        <v>0.0</v>
      </c>
      <c r="Y97" s="23">
        <f>IFERROR(X97/X148, "NA")</f>
        <v>0</v>
      </c>
      <c r="Z97" s="27">
        <v>264.63</v>
      </c>
      <c r="AA97" s="23">
        <f>IFERROR(Z97/Z148, "NA")</f>
        <v>0.002373312357</v>
      </c>
      <c r="AB97" s="59">
        <f t="shared" si="43"/>
        <v>66.1575</v>
      </c>
      <c r="AC97" s="23">
        <f>IFERROR(AB97/AB148, "NA")</f>
        <v>0.002373312357</v>
      </c>
      <c r="AD97" s="61">
        <f t="shared" si="44"/>
        <v>-66.1575</v>
      </c>
      <c r="AE97" s="63">
        <f>IFERROR(AD97/AD148, "NA")</f>
        <v>0.02218905514</v>
      </c>
      <c r="AF97" s="61">
        <f t="shared" si="45"/>
        <v>-1</v>
      </c>
      <c r="AG97" s="59">
        <f t="shared" si="46"/>
        <v>157.97375</v>
      </c>
      <c r="AH97" s="23">
        <f>IFERROR(AG97/AG148, "NA")</f>
        <v>0.005561800173</v>
      </c>
      <c r="AI97" s="61">
        <f t="shared" si="47"/>
        <v>-157.97375</v>
      </c>
      <c r="AJ97" s="63">
        <f>IFERROR(AI97/AI148, "NA")</f>
        <v>0.04501588819</v>
      </c>
      <c r="AK97" s="61">
        <f t="shared" si="48"/>
        <v>-1</v>
      </c>
      <c r="AL97" s="63">
        <f>IFERROR(AK97/AK148, "NA")</f>
        <v>8.093762233</v>
      </c>
    </row>
    <row r="98" ht="16.5" hidden="1" customHeight="1">
      <c r="A98" s="26" t="s">
        <v>202</v>
      </c>
      <c r="B98" s="27">
        <v>737.0699999999999</v>
      </c>
      <c r="C98" s="23">
        <f>IFERROR(B98/B148, "NA")</f>
        <v>0.02532540223</v>
      </c>
      <c r="D98" s="27">
        <v>2492.1</v>
      </c>
      <c r="E98" s="23">
        <f>IFERROR(D98/D148, "NA")</f>
        <v>0.07769696966</v>
      </c>
      <c r="F98" s="27">
        <v>1378.36</v>
      </c>
      <c r="G98" s="23">
        <f>IFERROR(F98/F148, "NA")</f>
        <v>0.05236838566</v>
      </c>
      <c r="H98" s="27">
        <v>460.08000000000004</v>
      </c>
      <c r="I98" s="23">
        <f>IFERROR(H98/H148, "NA")</f>
        <v>0.01858883555</v>
      </c>
      <c r="J98" s="27">
        <v>770.79</v>
      </c>
      <c r="K98" s="23">
        <f>IFERROR(J98/J148, "NA")</f>
        <v>0.02911638849</v>
      </c>
      <c r="L98" s="27">
        <v>577.8399999999999</v>
      </c>
      <c r="M98" s="23">
        <f>IFERROR(L98/L148, "NA")</f>
        <v>0.02322813328</v>
      </c>
      <c r="N98" s="27">
        <v>2689.6899999999996</v>
      </c>
      <c r="O98" s="23">
        <f>IFERROR(N98/N148, "NA")</f>
        <v>0.08805338025</v>
      </c>
      <c r="P98" s="27">
        <v>1166.8</v>
      </c>
      <c r="Q98" s="23">
        <f>IFERROR(P98/P148, "NA")</f>
        <v>0.03449130061</v>
      </c>
      <c r="R98" s="27">
        <v>520.75</v>
      </c>
      <c r="S98" s="23">
        <f>IFERROR(R98/R148, "NA")</f>
        <v>0.02092359543</v>
      </c>
      <c r="T98" s="27">
        <v>27.419999999999987</v>
      </c>
      <c r="U98" s="23">
        <f>IFERROR(T98/T148, "NA")</f>
        <v>0.0008666390429</v>
      </c>
      <c r="V98" s="27">
        <v>2700.2499999999995</v>
      </c>
      <c r="W98" s="23">
        <f>IFERROR(V98/V148, "NA")</f>
        <v>0.08976689032</v>
      </c>
      <c r="X98" s="27">
        <v>194.74</v>
      </c>
      <c r="Y98" s="23">
        <f>IFERROR(X98/X148, "NA")</f>
        <v>0.007822749684</v>
      </c>
      <c r="Z98" s="27">
        <v>3443.16</v>
      </c>
      <c r="AA98" s="23">
        <f>IFERROR(Z98/Z148, "NA")</f>
        <v>0.03087969684</v>
      </c>
      <c r="AB98" s="59">
        <f t="shared" si="43"/>
        <v>860.79</v>
      </c>
      <c r="AC98" s="23">
        <f>IFERROR(AB98/AB148, "NA")</f>
        <v>0.03087969684</v>
      </c>
      <c r="AD98" s="61">
        <f t="shared" si="44"/>
        <v>-666.05</v>
      </c>
      <c r="AE98" s="63">
        <f>IFERROR(AD98/AD148, "NA")</f>
        <v>0.2233914549</v>
      </c>
      <c r="AF98" s="61">
        <f t="shared" si="45"/>
        <v>-0.7737659592</v>
      </c>
      <c r="AG98" s="59">
        <f t="shared" si="46"/>
        <v>1081.035</v>
      </c>
      <c r="AH98" s="23">
        <f>IFERROR(AG98/AG148, "NA")</f>
        <v>0.03806012486</v>
      </c>
      <c r="AI98" s="61">
        <f t="shared" si="47"/>
        <v>-886.295</v>
      </c>
      <c r="AJ98" s="63">
        <f>IFERROR(AI98/AI148, "NA")</f>
        <v>0.252556875</v>
      </c>
      <c r="AK98" s="61">
        <f t="shared" si="48"/>
        <v>-0.8198578214</v>
      </c>
      <c r="AL98" s="63">
        <f>IFERROR(AK98/AK148, "NA")</f>
        <v>6.635734272</v>
      </c>
    </row>
    <row r="99" ht="16.5" hidden="1" customHeight="1">
      <c r="A99" s="66" t="s">
        <v>203</v>
      </c>
      <c r="B99" s="67">
        <f>IFERROR(B90+B91+B92+B93+B94+B95+B96+B97+B98, "NA")</f>
        <v>4953.44</v>
      </c>
      <c r="C99" s="69">
        <f>IFERROR(B99/B148, "NA")</f>
        <v>0.1701980279</v>
      </c>
      <c r="D99" s="67">
        <f>IFERROR(D90+D91+D92+D93+D94+D95+D96+D97+D98, "NA")</f>
        <v>7661.93</v>
      </c>
      <c r="E99" s="69">
        <f>IFERROR(D99/D148, "NA")</f>
        <v>0.2388783527</v>
      </c>
      <c r="F99" s="67">
        <f>IFERROR(F90+F91+F92+F93+F94+F95+F96+F97+F98, "NA")</f>
        <v>7252.82</v>
      </c>
      <c r="G99" s="69">
        <f>IFERROR(F99/F148, "NA")</f>
        <v>0.2755582539</v>
      </c>
      <c r="H99" s="67">
        <f>IFERROR(H90+H91+H92+H93+H94+H95+H96+H97+H98, "NA")</f>
        <v>4610.68</v>
      </c>
      <c r="I99" s="69">
        <f>IFERROR(H99/H148, "NA")</f>
        <v>0.1862875419</v>
      </c>
      <c r="J99" s="67">
        <f>IFERROR(J90+J91+J92+J93+J94+J95+J96+J97+J98, "NA")</f>
        <v>4027.81</v>
      </c>
      <c r="K99" s="69">
        <f>IFERROR(J99/J148, "NA")</f>
        <v>0.152149458</v>
      </c>
      <c r="L99" s="67">
        <f>IFERROR(L90+L91+L92+L93+L94+L95+L96+L97+L98, "NA")</f>
        <v>3929.14</v>
      </c>
      <c r="M99" s="69">
        <f>IFERROR(L99/L148, "NA")</f>
        <v>0.1579443922</v>
      </c>
      <c r="N99" s="67">
        <f>IFERROR(N90+N91+N92+N93+N94+N95+N96+N97+N98, "NA")</f>
        <v>8719.41</v>
      </c>
      <c r="O99" s="69">
        <f>IFERROR(N99/N148, "NA")</f>
        <v>0.2854505628</v>
      </c>
      <c r="P99" s="67">
        <f>IFERROR(P90+P91+P92+P93+P94+P95+P96+P97+P98, "NA")</f>
        <v>9435.09</v>
      </c>
      <c r="Q99" s="69">
        <f>IFERROR(P99/P148, "NA")</f>
        <v>0.2789068611</v>
      </c>
      <c r="R99" s="67">
        <f>IFERROR(R90+R91+R92+R93+R94+R95+R96+R97+R98, "NA")</f>
        <v>5994.89</v>
      </c>
      <c r="S99" s="69">
        <f>IFERROR(R99/R148, "NA")</f>
        <v>0.2408730734</v>
      </c>
      <c r="T99" s="67">
        <f>IFERROR(T90+T91+T92+T93+T94+T95+T96+T97+T98, "NA")</f>
        <v>6301.31</v>
      </c>
      <c r="U99" s="69">
        <f>IFERROR(T99/T148, "NA")</f>
        <v>0.1991597836</v>
      </c>
      <c r="V99" s="67">
        <f>IFERROR(V90+V91+V92+V93+V94+V95+V96+V97+V98, "NA")</f>
        <v>9432.16</v>
      </c>
      <c r="W99" s="69">
        <f>IFERROR(V99/V148, "NA")</f>
        <v>0.3135619562</v>
      </c>
      <c r="X99" s="67">
        <f>IFERROR(X90+X91+X92+X93+X94+X95+X96+X97+X98, "NA")</f>
        <v>2178.64</v>
      </c>
      <c r="Y99" s="69">
        <f>IFERROR(X99/X148, "NA")</f>
        <v>0.08751645975</v>
      </c>
      <c r="Z99" s="67">
        <f>IFERROR(Z90+Z91+Z92+Z93+Z94+Z95+Z96+Z97+Z98, "NA")</f>
        <v>23907</v>
      </c>
      <c r="AA99" s="69">
        <f>IFERROR(Z99/Z148, "NA")</f>
        <v>0.2144079602</v>
      </c>
      <c r="AB99" s="67">
        <f t="shared" si="43"/>
        <v>5976.75</v>
      </c>
      <c r="AC99" s="69">
        <f>IFERROR(AB99/AB148, "NA")</f>
        <v>0.2144079602</v>
      </c>
      <c r="AD99" s="70">
        <f t="shared" si="44"/>
        <v>-3798.11</v>
      </c>
      <c r="AE99" s="71">
        <f>IFERROR(AD99/AD148, "NA")</f>
        <v>1.273876314</v>
      </c>
      <c r="AF99" s="70">
        <f t="shared" si="45"/>
        <v>-0.6354808215</v>
      </c>
      <c r="AG99" s="67">
        <f t="shared" si="46"/>
        <v>6252.30625</v>
      </c>
      <c r="AH99" s="69">
        <f>IFERROR(AG99/AG148, "NA")</f>
        <v>0.2201256727</v>
      </c>
      <c r="AI99" s="70">
        <f t="shared" si="47"/>
        <v>-4073.66625</v>
      </c>
      <c r="AJ99" s="71">
        <f>IFERROR(AI99/AI148, "NA")</f>
        <v>1.160823899</v>
      </c>
      <c r="AK99" s="70">
        <f t="shared" si="48"/>
        <v>-0.6515461795</v>
      </c>
      <c r="AL99" s="71">
        <f>IFERROR(AK99/AK148, "NA")</f>
        <v>5.27345986</v>
      </c>
    </row>
    <row r="100" ht="16.5" hidden="1" customHeight="1">
      <c r="A100" s="120" t="s">
        <v>6</v>
      </c>
      <c r="B100" s="121"/>
      <c r="C100" s="76"/>
      <c r="D100" s="121"/>
      <c r="E100" s="76"/>
      <c r="F100" s="121"/>
      <c r="G100" s="76"/>
      <c r="H100" s="121"/>
      <c r="I100" s="76"/>
      <c r="J100" s="121"/>
      <c r="K100" s="76"/>
      <c r="L100" s="121"/>
      <c r="M100" s="76"/>
      <c r="N100" s="121"/>
      <c r="O100" s="76"/>
      <c r="P100" s="121"/>
      <c r="Q100" s="76"/>
      <c r="R100" s="121"/>
      <c r="S100" s="76"/>
      <c r="T100" s="121"/>
      <c r="U100" s="76"/>
      <c r="V100" s="121"/>
      <c r="W100" s="76"/>
      <c r="X100" s="121"/>
      <c r="Y100" s="76"/>
      <c r="Z100" s="121"/>
      <c r="AA100" s="76"/>
      <c r="AB100" s="121"/>
      <c r="AC100" s="76"/>
      <c r="AD100" s="122"/>
      <c r="AE100" s="78"/>
      <c r="AF100" s="122"/>
      <c r="AG100" s="121"/>
      <c r="AH100" s="76"/>
      <c r="AI100" s="122"/>
      <c r="AJ100" s="78"/>
      <c r="AK100" s="122"/>
      <c r="AL100" s="78"/>
    </row>
    <row r="101" ht="16.5" hidden="1" customHeight="1">
      <c r="A101" s="118" t="s">
        <v>204</v>
      </c>
      <c r="B101" s="119">
        <f>IFERROR(B87-B99, "NA")</f>
        <v>8116.73</v>
      </c>
      <c r="C101" s="107">
        <f>IFERROR(B101/B148, "NA")</f>
        <v>0.2788872862</v>
      </c>
      <c r="D101" s="119">
        <f>IFERROR(D87-D99, "NA")</f>
        <v>7911.48</v>
      </c>
      <c r="E101" s="107">
        <f>IFERROR(D101/D148, "NA")</f>
        <v>0.2466586499</v>
      </c>
      <c r="F101" s="119">
        <f>IFERROR(F87-F99, "NA")</f>
        <v>4747.68</v>
      </c>
      <c r="G101" s="107">
        <f>IFERROR(F101/F148, "NA")</f>
        <v>0.1803798262</v>
      </c>
      <c r="H101" s="119">
        <f>IFERROR(H87-H99, "NA")</f>
        <v>4850.5</v>
      </c>
      <c r="I101" s="107">
        <f>IFERROR(H101/H148, "NA")</f>
        <v>0.1959771058</v>
      </c>
      <c r="J101" s="119">
        <f>IFERROR(J87-J99, "NA")</f>
        <v>7012.25</v>
      </c>
      <c r="K101" s="107">
        <f>IFERROR(J101/J148, "NA")</f>
        <v>0.2648858901</v>
      </c>
      <c r="L101" s="119">
        <f>IFERROR(L87-L99, "NA")</f>
        <v>6467.81</v>
      </c>
      <c r="M101" s="107">
        <f>IFERROR(L101/L148, "NA")</f>
        <v>0.2599943803</v>
      </c>
      <c r="N101" s="119">
        <f>IFERROR(N87-N99, "NA")</f>
        <v>5429.43</v>
      </c>
      <c r="O101" s="107">
        <f>IFERROR(N101/N148, "NA")</f>
        <v>0.1777452659</v>
      </c>
      <c r="P101" s="119">
        <f>IFERROR(P87-P99, "NA")</f>
        <v>6949.75</v>
      </c>
      <c r="Q101" s="107">
        <f>IFERROR(P101/P148, "NA")</f>
        <v>0.2054387354</v>
      </c>
      <c r="R101" s="119">
        <f>IFERROR(R87-R99, "NA")</f>
        <v>4412.33</v>
      </c>
      <c r="S101" s="107">
        <f>IFERROR(R101/R148, "NA")</f>
        <v>0.1772862368</v>
      </c>
      <c r="T101" s="119">
        <f>IFERROR(T87-T99, "NA")</f>
        <v>6715.8</v>
      </c>
      <c r="U101" s="107">
        <f>IFERROR(T101/T148, "NA")</f>
        <v>0.2122601927</v>
      </c>
      <c r="V101" s="119">
        <f>IFERROR(V87-V99, "NA")</f>
        <v>3961.98</v>
      </c>
      <c r="W101" s="107">
        <f>IFERROR(V101/V148, "NA")</f>
        <v>0.1317117393</v>
      </c>
      <c r="X101" s="119">
        <f>IFERROR(X87-X99, "NA")</f>
        <v>9722.34</v>
      </c>
      <c r="Y101" s="107">
        <f>IFERROR(X101/X148, "NA")</f>
        <v>0.3905485887</v>
      </c>
      <c r="Z101" s="119">
        <f>IFERROR(Z87-Z99, "NA")</f>
        <v>24812.45</v>
      </c>
      <c r="AA101" s="107">
        <f>IFERROR(Z101/Z148, "NA")</f>
        <v>0.222528414</v>
      </c>
      <c r="AB101" s="119">
        <f>IFERROR((R101+T101+V101+X101)/4, "NA")</f>
        <v>6203.1125</v>
      </c>
      <c r="AC101" s="107">
        <f>IFERROR(AB101/AB148, "NA")</f>
        <v>0.222528414</v>
      </c>
      <c r="AD101" s="70">
        <f>IFERROR(X101-AB101, "NA")</f>
        <v>3519.2275</v>
      </c>
      <c r="AE101" s="71">
        <f>IFERROR(AD101/AD148, "NA")</f>
        <v>-1.180339841</v>
      </c>
      <c r="AF101" s="70">
        <f>IFERROR((X101-AB101)/AB101, "NA")</f>
        <v>0.5673325286</v>
      </c>
      <c r="AG101" s="119">
        <f>IFERROR((J101+L101+N101+P101+R101+T101+V101+X101)/8, "NA")</f>
        <v>6333.96125</v>
      </c>
      <c r="AH101" s="107">
        <f>IFERROR(AG101/AG148, "NA")</f>
        <v>0.2230005098</v>
      </c>
      <c r="AI101" s="70">
        <f>IFERROR(X101-AG101, "NA")</f>
        <v>3388.37875</v>
      </c>
      <c r="AJ101" s="71">
        <f>IFERROR(AI101/AI148, "NA")</f>
        <v>-0.9655457249</v>
      </c>
      <c r="AK101" s="70">
        <f>IFERROR((X101-AG101)/AG101, "NA")</f>
        <v>0.5349541332</v>
      </c>
      <c r="AL101" s="71">
        <f>IFERROR(AK101/AK148, "NA")</f>
        <v>-4.329791559</v>
      </c>
    </row>
    <row r="102" ht="3.75" hidden="1" customHeight="1">
      <c r="A102" s="120" t="s">
        <v>6</v>
      </c>
      <c r="B102" s="121"/>
      <c r="C102" s="76"/>
      <c r="D102" s="121"/>
      <c r="E102" s="76"/>
      <c r="F102" s="121"/>
      <c r="G102" s="76"/>
      <c r="H102" s="121"/>
      <c r="I102" s="76"/>
      <c r="J102" s="121"/>
      <c r="K102" s="76"/>
      <c r="L102" s="121"/>
      <c r="M102" s="76"/>
      <c r="N102" s="121"/>
      <c r="O102" s="76"/>
      <c r="P102" s="121"/>
      <c r="Q102" s="76"/>
      <c r="R102" s="121"/>
      <c r="S102" s="76"/>
      <c r="T102" s="121"/>
      <c r="U102" s="76"/>
      <c r="V102" s="121"/>
      <c r="W102" s="76"/>
      <c r="X102" s="121"/>
      <c r="Y102" s="76"/>
      <c r="Z102" s="121"/>
      <c r="AA102" s="76"/>
      <c r="AB102" s="121"/>
      <c r="AC102" s="76"/>
      <c r="AD102" s="122"/>
      <c r="AE102" s="78"/>
      <c r="AF102" s="122"/>
      <c r="AG102" s="121"/>
      <c r="AH102" s="76"/>
      <c r="AI102" s="122"/>
      <c r="AJ102" s="78"/>
      <c r="AK102" s="122"/>
      <c r="AL102" s="78"/>
    </row>
    <row r="103" ht="16.5" hidden="1" customHeight="1">
      <c r="A103" s="17" t="s">
        <v>205</v>
      </c>
      <c r="B103" s="19"/>
      <c r="C103" s="13"/>
      <c r="D103" s="19"/>
      <c r="E103" s="13"/>
      <c r="F103" s="19"/>
      <c r="G103" s="13"/>
      <c r="H103" s="19"/>
      <c r="I103" s="13"/>
      <c r="J103" s="19"/>
      <c r="K103" s="13"/>
      <c r="L103" s="19"/>
      <c r="M103" s="13"/>
      <c r="N103" s="19"/>
      <c r="O103" s="13"/>
      <c r="P103" s="19"/>
      <c r="Q103" s="13"/>
      <c r="R103" s="19"/>
      <c r="S103" s="13"/>
      <c r="T103" s="19"/>
      <c r="U103" s="13"/>
      <c r="V103" s="19"/>
      <c r="W103" s="13"/>
      <c r="X103" s="19"/>
      <c r="Y103" s="13"/>
      <c r="Z103" s="19"/>
      <c r="AA103" s="13"/>
      <c r="AB103" s="19"/>
      <c r="AC103" s="13"/>
      <c r="AD103" s="24"/>
      <c r="AE103" s="25"/>
      <c r="AF103" s="24"/>
      <c r="AG103" s="19"/>
      <c r="AH103" s="13"/>
      <c r="AI103" s="24"/>
      <c r="AJ103" s="25"/>
      <c r="AK103" s="24"/>
      <c r="AL103" s="25"/>
    </row>
    <row r="104" ht="16.5" hidden="1" customHeight="1">
      <c r="A104" s="123" t="s">
        <v>206</v>
      </c>
      <c r="B104" s="124">
        <v>0.0</v>
      </c>
      <c r="C104" s="107">
        <f>IFERROR(B104/B148, "NA")</f>
        <v>0</v>
      </c>
      <c r="D104" s="124">
        <v>3936.15</v>
      </c>
      <c r="E104" s="107">
        <f>IFERROR(D104/D148, "NA")</f>
        <v>0.1227185615</v>
      </c>
      <c r="F104" s="124">
        <v>20797.72</v>
      </c>
      <c r="G104" s="107">
        <f>IFERROR(F104/F148, "NA")</f>
        <v>0.7901731201</v>
      </c>
      <c r="H104" s="124">
        <v>-892.62</v>
      </c>
      <c r="I104" s="107">
        <f>IFERROR(H104/H148, "NA")</f>
        <v>-0.03606495911</v>
      </c>
      <c r="J104" s="124">
        <v>0.0</v>
      </c>
      <c r="K104" s="107">
        <f>IFERROR(J104/J148, "NA")</f>
        <v>0</v>
      </c>
      <c r="L104" s="124">
        <v>0.0</v>
      </c>
      <c r="M104" s="107">
        <f>IFERROR(L104/L148, "NA")</f>
        <v>0</v>
      </c>
      <c r="N104" s="124">
        <v>3960.19</v>
      </c>
      <c r="O104" s="107">
        <f>IFERROR(N104/N148, "NA")</f>
        <v>0.1296462105</v>
      </c>
      <c r="P104" s="124">
        <v>25431.37</v>
      </c>
      <c r="Q104" s="107">
        <f>IFERROR(P104/P148, "NA")</f>
        <v>0.7517663933</v>
      </c>
      <c r="R104" s="124">
        <v>1584.69</v>
      </c>
      <c r="S104" s="107">
        <f>IFERROR(R104/R148, "NA")</f>
        <v>0.06367241947</v>
      </c>
      <c r="T104" s="124">
        <v>0.0</v>
      </c>
      <c r="U104" s="107">
        <f>IFERROR(T104/T148, "NA")</f>
        <v>0</v>
      </c>
      <c r="V104" s="124">
        <v>1517.78</v>
      </c>
      <c r="W104" s="107">
        <f>IFERROR(V104/V148, "NA")</f>
        <v>0.05045695428</v>
      </c>
      <c r="X104" s="124">
        <v>0.0</v>
      </c>
      <c r="Y104" s="107">
        <f>IFERROR(X104/X148, "NA")</f>
        <v>0</v>
      </c>
      <c r="Z104" s="124">
        <v>3102.4700000000003</v>
      </c>
      <c r="AA104" s="107">
        <f>IFERROR(Z104/Z148, "NA")</f>
        <v>0.02782424664</v>
      </c>
      <c r="AB104" s="119">
        <f t="shared" ref="AB104:AB105" si="49">IFERROR((R104+T104+V104+X104)/4, "NA")</f>
        <v>775.6175</v>
      </c>
      <c r="AC104" s="107">
        <f>IFERROR(AB104/AB148, "NA")</f>
        <v>0.02782424664</v>
      </c>
      <c r="AD104" s="70">
        <f t="shared" ref="AD104:AD105" si="50">IFERROR(X104-AB104, "NA")</f>
        <v>-775.6175</v>
      </c>
      <c r="AE104" s="71">
        <f>IFERROR(AD104/AD148, "NA")</f>
        <v>0.2601401123</v>
      </c>
      <c r="AF104" s="70">
        <f t="shared" ref="AF104:AF105" si="51">IFERROR((X104-AB104)/AB104, "NA")</f>
        <v>-1</v>
      </c>
      <c r="AG104" s="119">
        <f t="shared" ref="AG104:AG105" si="52">IFERROR((J104+L104+N104+P104+R104+T104+V104+X104)/8, "NA")</f>
        <v>4061.75375</v>
      </c>
      <c r="AH104" s="107">
        <f>IFERROR(AG104/AG148, "NA")</f>
        <v>0.1430026363</v>
      </c>
      <c r="AI104" s="70">
        <f t="shared" ref="AI104:AI105" si="53">IFERROR(X104-AG104, "NA")</f>
        <v>-4061.75375</v>
      </c>
      <c r="AJ104" s="71">
        <f>IFERROR(AI104/AI148, "NA")</f>
        <v>1.157429337</v>
      </c>
      <c r="AK104" s="70">
        <f t="shared" ref="AK104:AK105" si="54">IFERROR((X104-AG104)/AG104, "NA")</f>
        <v>-1</v>
      </c>
      <c r="AL104" s="71">
        <f>IFERROR(AK104/AK148, "NA")</f>
        <v>8.093762233</v>
      </c>
    </row>
    <row r="105" ht="16.5" hidden="1" customHeight="1">
      <c r="A105" s="66" t="s">
        <v>207</v>
      </c>
      <c r="B105" s="67">
        <f>IFERROR(B104, "NA")</f>
        <v>0</v>
      </c>
      <c r="C105" s="69">
        <f>IFERROR(B105/B148, "NA")</f>
        <v>0</v>
      </c>
      <c r="D105" s="67">
        <f>IFERROR(D104, "NA")</f>
        <v>3936.15</v>
      </c>
      <c r="E105" s="69">
        <f>IFERROR(D105/D148, "NA")</f>
        <v>0.1227185615</v>
      </c>
      <c r="F105" s="67">
        <f>IFERROR(F104, "NA")</f>
        <v>20797.72</v>
      </c>
      <c r="G105" s="69">
        <f>IFERROR(F105/F148, "NA")</f>
        <v>0.7901731201</v>
      </c>
      <c r="H105" s="67">
        <f>IFERROR(H104, "NA")</f>
        <v>-892.62</v>
      </c>
      <c r="I105" s="69">
        <f>IFERROR(H105/H148, "NA")</f>
        <v>-0.03606495911</v>
      </c>
      <c r="J105" s="67">
        <f>IFERROR(J104, "NA")</f>
        <v>0</v>
      </c>
      <c r="K105" s="69">
        <f>IFERROR(J105/J148, "NA")</f>
        <v>0</v>
      </c>
      <c r="L105" s="67">
        <f>IFERROR(L104, "NA")</f>
        <v>0</v>
      </c>
      <c r="M105" s="69">
        <f>IFERROR(L105/L148, "NA")</f>
        <v>0</v>
      </c>
      <c r="N105" s="67">
        <f>IFERROR(N104, "NA")</f>
        <v>3960.19</v>
      </c>
      <c r="O105" s="69">
        <f>IFERROR(N105/N148, "NA")</f>
        <v>0.1296462105</v>
      </c>
      <c r="P105" s="67">
        <f>IFERROR(P104, "NA")</f>
        <v>25431.37</v>
      </c>
      <c r="Q105" s="69">
        <f>IFERROR(P105/P148, "NA")</f>
        <v>0.7517663933</v>
      </c>
      <c r="R105" s="67">
        <f>IFERROR(R104, "NA")</f>
        <v>1584.69</v>
      </c>
      <c r="S105" s="69">
        <f>IFERROR(R105/R148, "NA")</f>
        <v>0.06367241947</v>
      </c>
      <c r="T105" s="67">
        <f>IFERROR(T104, "NA")</f>
        <v>0</v>
      </c>
      <c r="U105" s="69">
        <f>IFERROR(T105/T148, "NA")</f>
        <v>0</v>
      </c>
      <c r="V105" s="67">
        <f>IFERROR(V104, "NA")</f>
        <v>1517.78</v>
      </c>
      <c r="W105" s="69">
        <f>IFERROR(V105/V148, "NA")</f>
        <v>0.05045695428</v>
      </c>
      <c r="X105" s="67">
        <f>IFERROR(X104, "NA")</f>
        <v>0</v>
      </c>
      <c r="Y105" s="69">
        <f>IFERROR(X105/X148, "NA")</f>
        <v>0</v>
      </c>
      <c r="Z105" s="67">
        <f>IFERROR(Z104, "NA")</f>
        <v>3102.47</v>
      </c>
      <c r="AA105" s="69">
        <f>IFERROR(Z105/Z148, "NA")</f>
        <v>0.02782424664</v>
      </c>
      <c r="AB105" s="67">
        <f t="shared" si="49"/>
        <v>775.6175</v>
      </c>
      <c r="AC105" s="69">
        <f>IFERROR(AB105/AB148, "NA")</f>
        <v>0.02782424664</v>
      </c>
      <c r="AD105" s="70">
        <f t="shared" si="50"/>
        <v>-775.6175</v>
      </c>
      <c r="AE105" s="71">
        <f>IFERROR(AD105/AD148, "NA")</f>
        <v>0.2601401123</v>
      </c>
      <c r="AF105" s="70">
        <f t="shared" si="51"/>
        <v>-1</v>
      </c>
      <c r="AG105" s="67">
        <f t="shared" si="52"/>
        <v>4061.75375</v>
      </c>
      <c r="AH105" s="69">
        <f>IFERROR(AG105/AG148, "NA")</f>
        <v>0.1430026363</v>
      </c>
      <c r="AI105" s="70">
        <f t="shared" si="53"/>
        <v>-4061.75375</v>
      </c>
      <c r="AJ105" s="71">
        <f>IFERROR(AI105/AI148, "NA")</f>
        <v>1.157429337</v>
      </c>
      <c r="AK105" s="70">
        <f t="shared" si="54"/>
        <v>-1</v>
      </c>
      <c r="AL105" s="71">
        <f>IFERROR(AK105/AK148, "NA")</f>
        <v>8.093762233</v>
      </c>
    </row>
    <row r="106" ht="16.5" hidden="1" customHeight="1">
      <c r="A106" s="120" t="s">
        <v>6</v>
      </c>
      <c r="B106" s="121"/>
      <c r="C106" s="76"/>
      <c r="D106" s="121"/>
      <c r="E106" s="76"/>
      <c r="F106" s="121"/>
      <c r="G106" s="76"/>
      <c r="H106" s="121"/>
      <c r="I106" s="76"/>
      <c r="J106" s="121"/>
      <c r="K106" s="76"/>
      <c r="L106" s="121"/>
      <c r="M106" s="76"/>
      <c r="N106" s="121"/>
      <c r="O106" s="76"/>
      <c r="P106" s="121"/>
      <c r="Q106" s="76"/>
      <c r="R106" s="121"/>
      <c r="S106" s="76"/>
      <c r="T106" s="121"/>
      <c r="U106" s="76"/>
      <c r="V106" s="121"/>
      <c r="W106" s="76"/>
      <c r="X106" s="121"/>
      <c r="Y106" s="76"/>
      <c r="Z106" s="121"/>
      <c r="AA106" s="76"/>
      <c r="AB106" s="121"/>
      <c r="AC106" s="76"/>
      <c r="AD106" s="122"/>
      <c r="AE106" s="78"/>
      <c r="AF106" s="122"/>
      <c r="AG106" s="121"/>
      <c r="AH106" s="76"/>
      <c r="AI106" s="122"/>
      <c r="AJ106" s="78"/>
      <c r="AK106" s="122"/>
      <c r="AL106" s="78"/>
    </row>
    <row r="107" ht="16.5" hidden="1" customHeight="1">
      <c r="A107" s="118" t="s">
        <v>208</v>
      </c>
      <c r="B107" s="119">
        <f>IFERROR(B87-B99-B105, "NA")</f>
        <v>8116.73</v>
      </c>
      <c r="C107" s="107">
        <f>IFERROR(B107/B148, "NA")</f>
        <v>0.2788872862</v>
      </c>
      <c r="D107" s="119">
        <f>IFERROR(D87-D99-D105, "NA")</f>
        <v>3975.33</v>
      </c>
      <c r="E107" s="107">
        <f>IFERROR(D107/D148, "NA")</f>
        <v>0.1239400884</v>
      </c>
      <c r="F107" s="119">
        <f>IFERROR(F87-F99-F105, "NA")</f>
        <v>-16050.04</v>
      </c>
      <c r="G107" s="107">
        <f>IFERROR(F107/F148, "NA")</f>
        <v>-0.6097932939</v>
      </c>
      <c r="H107" s="119">
        <f>IFERROR(H87-H99-H105, "NA")</f>
        <v>5743.12</v>
      </c>
      <c r="I107" s="107">
        <f>IFERROR(H107/H148, "NA")</f>
        <v>0.2320420649</v>
      </c>
      <c r="J107" s="119">
        <f>IFERROR(J87-J99-J105, "NA")</f>
        <v>7012.25</v>
      </c>
      <c r="K107" s="107">
        <f>IFERROR(J107/J148, "NA")</f>
        <v>0.2648858901</v>
      </c>
      <c r="L107" s="119">
        <f>IFERROR(L87-L99-L105, "NA")</f>
        <v>6467.81</v>
      </c>
      <c r="M107" s="107">
        <f>IFERROR(L107/L148, "NA")</f>
        <v>0.2599943803</v>
      </c>
      <c r="N107" s="119">
        <f>IFERROR(N87-N99-N105, "NA")</f>
        <v>1469.24</v>
      </c>
      <c r="O107" s="107">
        <f>IFERROR(N107/N148, "NA")</f>
        <v>0.04809905543</v>
      </c>
      <c r="P107" s="119">
        <f>IFERROR(P87-P99-P105, "NA")</f>
        <v>-18481.62</v>
      </c>
      <c r="Q107" s="107">
        <f>IFERROR(P107/P148, "NA")</f>
        <v>-0.5463276579</v>
      </c>
      <c r="R107" s="119">
        <f>IFERROR(R87-R99-R105, "NA")</f>
        <v>2827.64</v>
      </c>
      <c r="S107" s="107">
        <f>IFERROR(R107/R148, "NA")</f>
        <v>0.1136138173</v>
      </c>
      <c r="T107" s="119">
        <f>IFERROR(T87-T99-T105, "NA")</f>
        <v>6715.8</v>
      </c>
      <c r="U107" s="107">
        <f>IFERROR(T107/T148, "NA")</f>
        <v>0.2122601927</v>
      </c>
      <c r="V107" s="119">
        <f>IFERROR(V87-V99-V105, "NA")</f>
        <v>2444.2</v>
      </c>
      <c r="W107" s="107">
        <f>IFERROR(V107/V148, "NA")</f>
        <v>0.08125478505</v>
      </c>
      <c r="X107" s="119">
        <f>IFERROR(X87-X99-X105, "NA")</f>
        <v>9722.34</v>
      </c>
      <c r="Y107" s="107">
        <f>IFERROR(X107/X148, "NA")</f>
        <v>0.3905485887</v>
      </c>
      <c r="Z107" s="119">
        <f>IFERROR(Z87-Z99-Z105, "NA")</f>
        <v>21709.98</v>
      </c>
      <c r="AA107" s="107">
        <f>IFERROR(Z107/Z148, "NA")</f>
        <v>0.1947041673</v>
      </c>
      <c r="AB107" s="119">
        <f>IFERROR((R107+T107+V107+X107)/4, "NA")</f>
        <v>5427.495</v>
      </c>
      <c r="AC107" s="107">
        <f>IFERROR(AB107/AB148, "NA")</f>
        <v>0.1947041673</v>
      </c>
      <c r="AD107" s="70">
        <f>IFERROR(X107-AB107, "NA")</f>
        <v>4294.845</v>
      </c>
      <c r="AE107" s="71">
        <f>IFERROR(AD107/AD148, "NA")</f>
        <v>-1.440479954</v>
      </c>
      <c r="AF107" s="70">
        <f>IFERROR((X107-AB107)/AB107, "NA")</f>
        <v>0.7913125668</v>
      </c>
      <c r="AG107" s="119">
        <f>IFERROR((J107+L107+N107+P107+R107+T107+V107+X107)/8, "NA")</f>
        <v>2272.2075</v>
      </c>
      <c r="AH107" s="107">
        <f>IFERROR(AG107/AG148, "NA")</f>
        <v>0.07999787349</v>
      </c>
      <c r="AI107" s="70">
        <f>IFERROR(X107-AG107, "NA")</f>
        <v>7450.1325</v>
      </c>
      <c r="AJ107" s="71">
        <f>IFERROR(AI107/AI148, "NA")</f>
        <v>-2.122975062</v>
      </c>
      <c r="AK107" s="70">
        <f>IFERROR((X107-AG107)/AG107, "NA")</f>
        <v>3.278808163</v>
      </c>
      <c r="AL107" s="71">
        <f>IFERROR(AK107/AK148, "NA")</f>
        <v>-26.53789368</v>
      </c>
    </row>
    <row r="108" ht="3.75" hidden="1" customHeight="1">
      <c r="A108" s="120" t="s">
        <v>6</v>
      </c>
      <c r="B108" s="121"/>
      <c r="C108" s="76"/>
      <c r="D108" s="121"/>
      <c r="E108" s="76"/>
      <c r="F108" s="121"/>
      <c r="G108" s="76"/>
      <c r="H108" s="121"/>
      <c r="I108" s="76"/>
      <c r="J108" s="121"/>
      <c r="K108" s="76"/>
      <c r="L108" s="121"/>
      <c r="M108" s="76"/>
      <c r="N108" s="121"/>
      <c r="O108" s="76"/>
      <c r="P108" s="121"/>
      <c r="Q108" s="76"/>
      <c r="R108" s="121"/>
      <c r="S108" s="76"/>
      <c r="T108" s="121"/>
      <c r="U108" s="76"/>
      <c r="V108" s="121"/>
      <c r="W108" s="76"/>
      <c r="X108" s="121"/>
      <c r="Y108" s="76"/>
      <c r="Z108" s="121"/>
      <c r="AA108" s="76"/>
      <c r="AB108" s="121"/>
      <c r="AC108" s="76"/>
      <c r="AD108" s="122"/>
      <c r="AE108" s="78"/>
      <c r="AF108" s="122"/>
      <c r="AG108" s="121"/>
      <c r="AH108" s="76"/>
      <c r="AI108" s="122"/>
      <c r="AJ108" s="78"/>
      <c r="AK108" s="122"/>
      <c r="AL108" s="78"/>
    </row>
    <row r="109" ht="16.5" hidden="1" customHeight="1">
      <c r="A109" s="17" t="s">
        <v>209</v>
      </c>
      <c r="B109" s="19"/>
      <c r="C109" s="13"/>
      <c r="D109" s="19"/>
      <c r="E109" s="13"/>
      <c r="F109" s="19"/>
      <c r="G109" s="13"/>
      <c r="H109" s="19"/>
      <c r="I109" s="13"/>
      <c r="J109" s="19"/>
      <c r="K109" s="13"/>
      <c r="L109" s="19"/>
      <c r="M109" s="13"/>
      <c r="N109" s="19"/>
      <c r="O109" s="13"/>
      <c r="P109" s="19"/>
      <c r="Q109" s="13"/>
      <c r="R109" s="19"/>
      <c r="S109" s="13"/>
      <c r="T109" s="19"/>
      <c r="U109" s="13"/>
      <c r="V109" s="19"/>
      <c r="W109" s="13"/>
      <c r="X109" s="19"/>
      <c r="Y109" s="13"/>
      <c r="Z109" s="19"/>
      <c r="AA109" s="13"/>
      <c r="AB109" s="19"/>
      <c r="AC109" s="13"/>
      <c r="AD109" s="24"/>
      <c r="AE109" s="25"/>
      <c r="AF109" s="24"/>
      <c r="AG109" s="19"/>
      <c r="AH109" s="13"/>
      <c r="AI109" s="24"/>
      <c r="AJ109" s="25"/>
      <c r="AK109" s="24"/>
      <c r="AL109" s="25"/>
    </row>
    <row r="110" ht="16.5" hidden="1" customHeight="1">
      <c r="A110" s="26" t="s">
        <v>210</v>
      </c>
      <c r="B110" s="27">
        <v>0.0</v>
      </c>
      <c r="C110" s="23">
        <f>IFERROR(B110/B148, "NA")</f>
        <v>0</v>
      </c>
      <c r="D110" s="27">
        <v>0.0</v>
      </c>
      <c r="E110" s="23">
        <f>IFERROR(D110/D148, "NA")</f>
        <v>0</v>
      </c>
      <c r="F110" s="27">
        <v>0.0</v>
      </c>
      <c r="G110" s="23">
        <f>IFERROR(F110/F148, "NA")</f>
        <v>0</v>
      </c>
      <c r="H110" s="27">
        <v>0.0</v>
      </c>
      <c r="I110" s="23">
        <f>IFERROR(H110/H148, "NA")</f>
        <v>0</v>
      </c>
      <c r="J110" s="27">
        <v>0.0</v>
      </c>
      <c r="K110" s="23">
        <f>IFERROR(J110/J148, "NA")</f>
        <v>0</v>
      </c>
      <c r="L110" s="27">
        <v>0.0</v>
      </c>
      <c r="M110" s="23">
        <f>IFERROR(L110/L148, "NA")</f>
        <v>0</v>
      </c>
      <c r="N110" s="27">
        <v>0.0</v>
      </c>
      <c r="O110" s="23">
        <f>IFERROR(N110/N148, "NA")</f>
        <v>0</v>
      </c>
      <c r="P110" s="27">
        <v>0.0</v>
      </c>
      <c r="Q110" s="23">
        <f>IFERROR(P110/P148, "NA")</f>
        <v>0</v>
      </c>
      <c r="R110" s="27">
        <v>0.0</v>
      </c>
      <c r="S110" s="23">
        <f>IFERROR(R110/R148, "NA")</f>
        <v>0</v>
      </c>
      <c r="T110" s="27">
        <v>0.0</v>
      </c>
      <c r="U110" s="23">
        <f>IFERROR(T110/T148, "NA")</f>
        <v>0</v>
      </c>
      <c r="V110" s="27">
        <v>0.0</v>
      </c>
      <c r="W110" s="23">
        <f>IFERROR(V110/V148, "NA")</f>
        <v>0</v>
      </c>
      <c r="X110" s="27">
        <v>0.0</v>
      </c>
      <c r="Y110" s="23">
        <f>IFERROR(X110/X148, "NA")</f>
        <v>0</v>
      </c>
      <c r="Z110" s="27">
        <v>0.0</v>
      </c>
      <c r="AA110" s="23">
        <f>IFERROR(Z110/Z148, "NA")</f>
        <v>0</v>
      </c>
      <c r="AB110" s="59">
        <f t="shared" ref="AB110:AB135" si="55">IFERROR((R110+T110+V110+X110)/4, "NA")</f>
        <v>0</v>
      </c>
      <c r="AC110" s="23">
        <f>IFERROR(AB110/AB148, "NA")</f>
        <v>0</v>
      </c>
      <c r="AD110" s="61">
        <f t="shared" ref="AD110:AD135" si="56">IFERROR(X110-AB110, "NA")</f>
        <v>0</v>
      </c>
      <c r="AE110" s="63">
        <f>IFERROR(AD110/AD148, "NA")</f>
        <v>0</v>
      </c>
      <c r="AF110" s="61" t="str">
        <f t="shared" ref="AF110:AF135" si="57">IFERROR((X110-AB110)/AB110, "NA")</f>
        <v>NA</v>
      </c>
      <c r="AG110" s="59">
        <f t="shared" ref="AG110:AG135" si="58">IFERROR((J110+L110+N110+P110+R110+T110+V110+X110)/8, "NA")</f>
        <v>0</v>
      </c>
      <c r="AH110" s="23">
        <f>IFERROR(AG110/AG148, "NA")</f>
        <v>0</v>
      </c>
      <c r="AI110" s="61">
        <f t="shared" ref="AI110:AI135" si="59">IFERROR(X110-AG110, "NA")</f>
        <v>0</v>
      </c>
      <c r="AJ110" s="63">
        <f>IFERROR(AI110/AI148, "NA")</f>
        <v>0</v>
      </c>
      <c r="AK110" s="61" t="str">
        <f t="shared" ref="AK110:AK135" si="60">IFERROR((X110-AG110)/AG110, "NA")</f>
        <v>NA</v>
      </c>
      <c r="AL110" s="63" t="str">
        <f>IFERROR(AK110/AK148, "NA")</f>
        <v>NA</v>
      </c>
    </row>
    <row r="111" ht="16.5" hidden="1" customHeight="1">
      <c r="A111" s="26" t="s">
        <v>211</v>
      </c>
      <c r="B111" s="27">
        <v>0.0</v>
      </c>
      <c r="C111" s="23">
        <f>IFERROR(B111/B148, "NA")</f>
        <v>0</v>
      </c>
      <c r="D111" s="27">
        <v>0.0</v>
      </c>
      <c r="E111" s="23">
        <f>IFERROR(D111/D148, "NA")</f>
        <v>0</v>
      </c>
      <c r="F111" s="27">
        <v>0.0</v>
      </c>
      <c r="G111" s="23">
        <f>IFERROR(F111/F148, "NA")</f>
        <v>0</v>
      </c>
      <c r="H111" s="27">
        <v>0.0</v>
      </c>
      <c r="I111" s="23">
        <f>IFERROR(H111/H148, "NA")</f>
        <v>0</v>
      </c>
      <c r="J111" s="27">
        <v>0.0</v>
      </c>
      <c r="K111" s="23">
        <f>IFERROR(J111/J148, "NA")</f>
        <v>0</v>
      </c>
      <c r="L111" s="27">
        <v>0.0</v>
      </c>
      <c r="M111" s="23">
        <f>IFERROR(L111/L148, "NA")</f>
        <v>0</v>
      </c>
      <c r="N111" s="27">
        <v>0.0</v>
      </c>
      <c r="O111" s="23">
        <f>IFERROR(N111/N148, "NA")</f>
        <v>0</v>
      </c>
      <c r="P111" s="27">
        <v>0.0</v>
      </c>
      <c r="Q111" s="23">
        <f>IFERROR(P111/P148, "NA")</f>
        <v>0</v>
      </c>
      <c r="R111" s="27">
        <v>0.0</v>
      </c>
      <c r="S111" s="23">
        <f>IFERROR(R111/R148, "NA")</f>
        <v>0</v>
      </c>
      <c r="T111" s="27">
        <v>0.0</v>
      </c>
      <c r="U111" s="23">
        <f>IFERROR(T111/T148, "NA")</f>
        <v>0</v>
      </c>
      <c r="V111" s="27">
        <v>0.0</v>
      </c>
      <c r="W111" s="23">
        <f>IFERROR(V111/V148, "NA")</f>
        <v>0</v>
      </c>
      <c r="X111" s="27">
        <v>0.0</v>
      </c>
      <c r="Y111" s="23">
        <f>IFERROR(X111/X148, "NA")</f>
        <v>0</v>
      </c>
      <c r="Z111" s="27">
        <v>0.0</v>
      </c>
      <c r="AA111" s="23">
        <f>IFERROR(Z111/Z148, "NA")</f>
        <v>0</v>
      </c>
      <c r="AB111" s="59">
        <f t="shared" si="55"/>
        <v>0</v>
      </c>
      <c r="AC111" s="23">
        <f>IFERROR(AB111/AB148, "NA")</f>
        <v>0</v>
      </c>
      <c r="AD111" s="61">
        <f t="shared" si="56"/>
        <v>0</v>
      </c>
      <c r="AE111" s="63">
        <f>IFERROR(AD111/AD148, "NA")</f>
        <v>0</v>
      </c>
      <c r="AF111" s="61" t="str">
        <f t="shared" si="57"/>
        <v>NA</v>
      </c>
      <c r="AG111" s="59">
        <f t="shared" si="58"/>
        <v>0</v>
      </c>
      <c r="AH111" s="23">
        <f>IFERROR(AG111/AG148, "NA")</f>
        <v>0</v>
      </c>
      <c r="AI111" s="61">
        <f t="shared" si="59"/>
        <v>0</v>
      </c>
      <c r="AJ111" s="63">
        <f>IFERROR(AI111/AI148, "NA")</f>
        <v>0</v>
      </c>
      <c r="AK111" s="61" t="str">
        <f t="shared" si="60"/>
        <v>NA</v>
      </c>
      <c r="AL111" s="63" t="str">
        <f>IFERROR(AK111/AK148, "NA")</f>
        <v>NA</v>
      </c>
    </row>
    <row r="112" ht="16.5" hidden="1" customHeight="1">
      <c r="A112" s="26" t="s">
        <v>212</v>
      </c>
      <c r="B112" s="27">
        <v>0.0</v>
      </c>
      <c r="C112" s="23">
        <f>IFERROR(B112/B148, "NA")</f>
        <v>0</v>
      </c>
      <c r="D112" s="27">
        <v>0.0</v>
      </c>
      <c r="E112" s="23">
        <f>IFERROR(D112/D148, "NA")</f>
        <v>0</v>
      </c>
      <c r="F112" s="27">
        <v>0.0</v>
      </c>
      <c r="G112" s="23">
        <f>IFERROR(F112/F148, "NA")</f>
        <v>0</v>
      </c>
      <c r="H112" s="27">
        <v>0.0</v>
      </c>
      <c r="I112" s="23">
        <f>IFERROR(H112/H148, "NA")</f>
        <v>0</v>
      </c>
      <c r="J112" s="27">
        <v>0.0</v>
      </c>
      <c r="K112" s="23">
        <f>IFERROR(J112/J148, "NA")</f>
        <v>0</v>
      </c>
      <c r="L112" s="27">
        <v>0.0</v>
      </c>
      <c r="M112" s="23">
        <f>IFERROR(L112/L148, "NA")</f>
        <v>0</v>
      </c>
      <c r="N112" s="27">
        <v>0.0</v>
      </c>
      <c r="O112" s="23">
        <f>IFERROR(N112/N148, "NA")</f>
        <v>0</v>
      </c>
      <c r="P112" s="27">
        <v>0.0</v>
      </c>
      <c r="Q112" s="23">
        <f>IFERROR(P112/P148, "NA")</f>
        <v>0</v>
      </c>
      <c r="R112" s="27">
        <v>0.0</v>
      </c>
      <c r="S112" s="23">
        <f>IFERROR(R112/R148, "NA")</f>
        <v>0</v>
      </c>
      <c r="T112" s="27">
        <v>0.0</v>
      </c>
      <c r="U112" s="23">
        <f>IFERROR(T112/T148, "NA")</f>
        <v>0</v>
      </c>
      <c r="V112" s="27">
        <v>0.0</v>
      </c>
      <c r="W112" s="23">
        <f>IFERROR(V112/V148, "NA")</f>
        <v>0</v>
      </c>
      <c r="X112" s="27">
        <v>0.0</v>
      </c>
      <c r="Y112" s="23">
        <f>IFERROR(X112/X148, "NA")</f>
        <v>0</v>
      </c>
      <c r="Z112" s="27">
        <v>0.0</v>
      </c>
      <c r="AA112" s="23">
        <f>IFERROR(Z112/Z148, "NA")</f>
        <v>0</v>
      </c>
      <c r="AB112" s="59">
        <f t="shared" si="55"/>
        <v>0</v>
      </c>
      <c r="AC112" s="23">
        <f>IFERROR(AB112/AB148, "NA")</f>
        <v>0</v>
      </c>
      <c r="AD112" s="61">
        <f t="shared" si="56"/>
        <v>0</v>
      </c>
      <c r="AE112" s="63">
        <f>IFERROR(AD112/AD148, "NA")</f>
        <v>0</v>
      </c>
      <c r="AF112" s="61" t="str">
        <f t="shared" si="57"/>
        <v>NA</v>
      </c>
      <c r="AG112" s="59">
        <f t="shared" si="58"/>
        <v>0</v>
      </c>
      <c r="AH112" s="23">
        <f>IFERROR(AG112/AG148, "NA")</f>
        <v>0</v>
      </c>
      <c r="AI112" s="61">
        <f t="shared" si="59"/>
        <v>0</v>
      </c>
      <c r="AJ112" s="63">
        <f>IFERROR(AI112/AI148, "NA")</f>
        <v>0</v>
      </c>
      <c r="AK112" s="61" t="str">
        <f t="shared" si="60"/>
        <v>NA</v>
      </c>
      <c r="AL112" s="63" t="str">
        <f>IFERROR(AK112/AK148, "NA")</f>
        <v>NA</v>
      </c>
    </row>
    <row r="113" ht="16.5" hidden="1" customHeight="1">
      <c r="A113" s="26" t="s">
        <v>213</v>
      </c>
      <c r="B113" s="27">
        <v>0.0</v>
      </c>
      <c r="C113" s="23">
        <f>IFERROR(B113/B148, "NA")</f>
        <v>0</v>
      </c>
      <c r="D113" s="27">
        <v>0.0</v>
      </c>
      <c r="E113" s="23">
        <f>IFERROR(D113/D148, "NA")</f>
        <v>0</v>
      </c>
      <c r="F113" s="27">
        <v>0.0</v>
      </c>
      <c r="G113" s="23">
        <f>IFERROR(F113/F148, "NA")</f>
        <v>0</v>
      </c>
      <c r="H113" s="27">
        <v>0.0</v>
      </c>
      <c r="I113" s="23">
        <f>IFERROR(H113/H148, "NA")</f>
        <v>0</v>
      </c>
      <c r="J113" s="27">
        <v>0.0</v>
      </c>
      <c r="K113" s="23">
        <f>IFERROR(J113/J148, "NA")</f>
        <v>0</v>
      </c>
      <c r="L113" s="27">
        <v>0.0</v>
      </c>
      <c r="M113" s="23">
        <f>IFERROR(L113/L148, "NA")</f>
        <v>0</v>
      </c>
      <c r="N113" s="27">
        <v>0.0</v>
      </c>
      <c r="O113" s="23">
        <f>IFERROR(N113/N148, "NA")</f>
        <v>0</v>
      </c>
      <c r="P113" s="27">
        <v>0.0</v>
      </c>
      <c r="Q113" s="23">
        <f>IFERROR(P113/P148, "NA")</f>
        <v>0</v>
      </c>
      <c r="R113" s="27">
        <v>0.0</v>
      </c>
      <c r="S113" s="23">
        <f>IFERROR(R113/R148, "NA")</f>
        <v>0</v>
      </c>
      <c r="T113" s="27">
        <v>0.0</v>
      </c>
      <c r="U113" s="23">
        <f>IFERROR(T113/T148, "NA")</f>
        <v>0</v>
      </c>
      <c r="V113" s="27">
        <v>0.0</v>
      </c>
      <c r="W113" s="23">
        <f>IFERROR(V113/V148, "NA")</f>
        <v>0</v>
      </c>
      <c r="X113" s="27">
        <v>0.0</v>
      </c>
      <c r="Y113" s="23">
        <f>IFERROR(X113/X148, "NA")</f>
        <v>0</v>
      </c>
      <c r="Z113" s="27">
        <v>0.0</v>
      </c>
      <c r="AA113" s="23">
        <f>IFERROR(Z113/Z148, "NA")</f>
        <v>0</v>
      </c>
      <c r="AB113" s="59">
        <f t="shared" si="55"/>
        <v>0</v>
      </c>
      <c r="AC113" s="23">
        <f>IFERROR(AB113/AB148, "NA")</f>
        <v>0</v>
      </c>
      <c r="AD113" s="61">
        <f t="shared" si="56"/>
        <v>0</v>
      </c>
      <c r="AE113" s="63">
        <f>IFERROR(AD113/AD148, "NA")</f>
        <v>0</v>
      </c>
      <c r="AF113" s="61" t="str">
        <f t="shared" si="57"/>
        <v>NA</v>
      </c>
      <c r="AG113" s="59">
        <f t="shared" si="58"/>
        <v>0</v>
      </c>
      <c r="AH113" s="23">
        <f>IFERROR(AG113/AG148, "NA")</f>
        <v>0</v>
      </c>
      <c r="AI113" s="61">
        <f t="shared" si="59"/>
        <v>0</v>
      </c>
      <c r="AJ113" s="63">
        <f>IFERROR(AI113/AI148, "NA")</f>
        <v>0</v>
      </c>
      <c r="AK113" s="61" t="str">
        <f t="shared" si="60"/>
        <v>NA</v>
      </c>
      <c r="AL113" s="63" t="str">
        <f>IFERROR(AK113/AK148, "NA")</f>
        <v>NA</v>
      </c>
    </row>
    <row r="114" ht="16.5" hidden="1" customHeight="1">
      <c r="A114" s="26" t="s">
        <v>214</v>
      </c>
      <c r="B114" s="27">
        <v>0.0</v>
      </c>
      <c r="C114" s="23">
        <f>IFERROR(B114/B148, "NA")</f>
        <v>0</v>
      </c>
      <c r="D114" s="27">
        <v>0.0</v>
      </c>
      <c r="E114" s="23">
        <f>IFERROR(D114/D148, "NA")</f>
        <v>0</v>
      </c>
      <c r="F114" s="27">
        <v>0.0</v>
      </c>
      <c r="G114" s="23">
        <f>IFERROR(F114/F148, "NA")</f>
        <v>0</v>
      </c>
      <c r="H114" s="27">
        <v>0.0</v>
      </c>
      <c r="I114" s="23">
        <f>IFERROR(H114/H148, "NA")</f>
        <v>0</v>
      </c>
      <c r="J114" s="27">
        <v>0.0</v>
      </c>
      <c r="K114" s="23">
        <f>IFERROR(J114/J148, "NA")</f>
        <v>0</v>
      </c>
      <c r="L114" s="27">
        <v>0.0</v>
      </c>
      <c r="M114" s="23">
        <f>IFERROR(L114/L148, "NA")</f>
        <v>0</v>
      </c>
      <c r="N114" s="27">
        <v>0.0</v>
      </c>
      <c r="O114" s="23">
        <f>IFERROR(N114/N148, "NA")</f>
        <v>0</v>
      </c>
      <c r="P114" s="27">
        <v>0.0</v>
      </c>
      <c r="Q114" s="23">
        <f>IFERROR(P114/P148, "NA")</f>
        <v>0</v>
      </c>
      <c r="R114" s="27">
        <v>0.0</v>
      </c>
      <c r="S114" s="23">
        <f>IFERROR(R114/R148, "NA")</f>
        <v>0</v>
      </c>
      <c r="T114" s="27">
        <v>0.0</v>
      </c>
      <c r="U114" s="23">
        <f>IFERROR(T114/T148, "NA")</f>
        <v>0</v>
      </c>
      <c r="V114" s="27">
        <v>0.0</v>
      </c>
      <c r="W114" s="23">
        <f>IFERROR(V114/V148, "NA")</f>
        <v>0</v>
      </c>
      <c r="X114" s="27">
        <v>0.0</v>
      </c>
      <c r="Y114" s="23">
        <f>IFERROR(X114/X148, "NA")</f>
        <v>0</v>
      </c>
      <c r="Z114" s="27">
        <v>0.0</v>
      </c>
      <c r="AA114" s="23">
        <f>IFERROR(Z114/Z148, "NA")</f>
        <v>0</v>
      </c>
      <c r="AB114" s="59">
        <f t="shared" si="55"/>
        <v>0</v>
      </c>
      <c r="AC114" s="23">
        <f>IFERROR(AB114/AB148, "NA")</f>
        <v>0</v>
      </c>
      <c r="AD114" s="61">
        <f t="shared" si="56"/>
        <v>0</v>
      </c>
      <c r="AE114" s="63">
        <f>IFERROR(AD114/AD148, "NA")</f>
        <v>0</v>
      </c>
      <c r="AF114" s="61" t="str">
        <f t="shared" si="57"/>
        <v>NA</v>
      </c>
      <c r="AG114" s="59">
        <f t="shared" si="58"/>
        <v>0</v>
      </c>
      <c r="AH114" s="23">
        <f>IFERROR(AG114/AG148, "NA")</f>
        <v>0</v>
      </c>
      <c r="AI114" s="61">
        <f t="shared" si="59"/>
        <v>0</v>
      </c>
      <c r="AJ114" s="63">
        <f>IFERROR(AI114/AI148, "NA")</f>
        <v>0</v>
      </c>
      <c r="AK114" s="61" t="str">
        <f t="shared" si="60"/>
        <v>NA</v>
      </c>
      <c r="AL114" s="63" t="str">
        <f>IFERROR(AK114/AK148, "NA")</f>
        <v>NA</v>
      </c>
    </row>
    <row r="115" ht="16.5" hidden="1" customHeight="1">
      <c r="A115" s="26" t="s">
        <v>215</v>
      </c>
      <c r="B115" s="27">
        <v>0.0</v>
      </c>
      <c r="C115" s="23">
        <f>IFERROR(B115/B148, "NA")</f>
        <v>0</v>
      </c>
      <c r="D115" s="27">
        <v>0.0</v>
      </c>
      <c r="E115" s="23">
        <f>IFERROR(D115/D148, "NA")</f>
        <v>0</v>
      </c>
      <c r="F115" s="27">
        <v>0.0</v>
      </c>
      <c r="G115" s="23">
        <f>IFERROR(F115/F148, "NA")</f>
        <v>0</v>
      </c>
      <c r="H115" s="27">
        <v>0.0</v>
      </c>
      <c r="I115" s="23">
        <f>IFERROR(H115/H148, "NA")</f>
        <v>0</v>
      </c>
      <c r="J115" s="27">
        <v>0.0</v>
      </c>
      <c r="K115" s="23">
        <f>IFERROR(J115/J148, "NA")</f>
        <v>0</v>
      </c>
      <c r="L115" s="27">
        <v>0.0</v>
      </c>
      <c r="M115" s="23">
        <f>IFERROR(L115/L148, "NA")</f>
        <v>0</v>
      </c>
      <c r="N115" s="27">
        <v>0.0</v>
      </c>
      <c r="O115" s="23">
        <f>IFERROR(N115/N148, "NA")</f>
        <v>0</v>
      </c>
      <c r="P115" s="27">
        <v>0.0</v>
      </c>
      <c r="Q115" s="23">
        <f>IFERROR(P115/P148, "NA")</f>
        <v>0</v>
      </c>
      <c r="R115" s="27">
        <v>0.0</v>
      </c>
      <c r="S115" s="23">
        <f>IFERROR(R115/R148, "NA")</f>
        <v>0</v>
      </c>
      <c r="T115" s="27">
        <v>0.0</v>
      </c>
      <c r="U115" s="23">
        <f>IFERROR(T115/T148, "NA")</f>
        <v>0</v>
      </c>
      <c r="V115" s="27">
        <v>0.0</v>
      </c>
      <c r="W115" s="23">
        <f>IFERROR(V115/V148, "NA")</f>
        <v>0</v>
      </c>
      <c r="X115" s="27">
        <v>0.0</v>
      </c>
      <c r="Y115" s="23">
        <f>IFERROR(X115/X148, "NA")</f>
        <v>0</v>
      </c>
      <c r="Z115" s="27">
        <v>0.0</v>
      </c>
      <c r="AA115" s="23">
        <f>IFERROR(Z115/Z148, "NA")</f>
        <v>0</v>
      </c>
      <c r="AB115" s="59">
        <f t="shared" si="55"/>
        <v>0</v>
      </c>
      <c r="AC115" s="23">
        <f>IFERROR(AB115/AB148, "NA")</f>
        <v>0</v>
      </c>
      <c r="AD115" s="61">
        <f t="shared" si="56"/>
        <v>0</v>
      </c>
      <c r="AE115" s="63">
        <f>IFERROR(AD115/AD148, "NA")</f>
        <v>0</v>
      </c>
      <c r="AF115" s="61" t="str">
        <f t="shared" si="57"/>
        <v>NA</v>
      </c>
      <c r="AG115" s="59">
        <f t="shared" si="58"/>
        <v>0</v>
      </c>
      <c r="AH115" s="23">
        <f>IFERROR(AG115/AG148, "NA")</f>
        <v>0</v>
      </c>
      <c r="AI115" s="61">
        <f t="shared" si="59"/>
        <v>0</v>
      </c>
      <c r="AJ115" s="63">
        <f>IFERROR(AI115/AI148, "NA")</f>
        <v>0</v>
      </c>
      <c r="AK115" s="61" t="str">
        <f t="shared" si="60"/>
        <v>NA</v>
      </c>
      <c r="AL115" s="63" t="str">
        <f>IFERROR(AK115/AK148, "NA")</f>
        <v>NA</v>
      </c>
    </row>
    <row r="116" ht="16.5" hidden="1" customHeight="1">
      <c r="A116" s="26" t="s">
        <v>216</v>
      </c>
      <c r="B116" s="27">
        <v>0.0</v>
      </c>
      <c r="C116" s="23">
        <f>IFERROR(B116/B148, "NA")</f>
        <v>0</v>
      </c>
      <c r="D116" s="27">
        <v>0.0</v>
      </c>
      <c r="E116" s="23">
        <f>IFERROR(D116/D148, "NA")</f>
        <v>0</v>
      </c>
      <c r="F116" s="27">
        <v>0.0</v>
      </c>
      <c r="G116" s="23">
        <f>IFERROR(F116/F148, "NA")</f>
        <v>0</v>
      </c>
      <c r="H116" s="27">
        <v>0.0</v>
      </c>
      <c r="I116" s="23">
        <f>IFERROR(H116/H148, "NA")</f>
        <v>0</v>
      </c>
      <c r="J116" s="27">
        <v>0.0</v>
      </c>
      <c r="K116" s="23">
        <f>IFERROR(J116/J148, "NA")</f>
        <v>0</v>
      </c>
      <c r="L116" s="27">
        <v>0.0</v>
      </c>
      <c r="M116" s="23">
        <f>IFERROR(L116/L148, "NA")</f>
        <v>0</v>
      </c>
      <c r="N116" s="27">
        <v>0.0</v>
      </c>
      <c r="O116" s="23">
        <f>IFERROR(N116/N148, "NA")</f>
        <v>0</v>
      </c>
      <c r="P116" s="27">
        <v>0.0</v>
      </c>
      <c r="Q116" s="23">
        <f>IFERROR(P116/P148, "NA")</f>
        <v>0</v>
      </c>
      <c r="R116" s="27">
        <v>0.0</v>
      </c>
      <c r="S116" s="23">
        <f>IFERROR(R116/R148, "NA")</f>
        <v>0</v>
      </c>
      <c r="T116" s="27">
        <v>0.0</v>
      </c>
      <c r="U116" s="23">
        <f>IFERROR(T116/T148, "NA")</f>
        <v>0</v>
      </c>
      <c r="V116" s="27">
        <v>0.0</v>
      </c>
      <c r="W116" s="23">
        <f>IFERROR(V116/V148, "NA")</f>
        <v>0</v>
      </c>
      <c r="X116" s="27">
        <v>0.0</v>
      </c>
      <c r="Y116" s="23">
        <f>IFERROR(X116/X148, "NA")</f>
        <v>0</v>
      </c>
      <c r="Z116" s="27">
        <v>0.0</v>
      </c>
      <c r="AA116" s="23">
        <f>IFERROR(Z116/Z148, "NA")</f>
        <v>0</v>
      </c>
      <c r="AB116" s="59">
        <f t="shared" si="55"/>
        <v>0</v>
      </c>
      <c r="AC116" s="23">
        <f>IFERROR(AB116/AB148, "NA")</f>
        <v>0</v>
      </c>
      <c r="AD116" s="61">
        <f t="shared" si="56"/>
        <v>0</v>
      </c>
      <c r="AE116" s="63">
        <f>IFERROR(AD116/AD148, "NA")</f>
        <v>0</v>
      </c>
      <c r="AF116" s="61" t="str">
        <f t="shared" si="57"/>
        <v>NA</v>
      </c>
      <c r="AG116" s="59">
        <f t="shared" si="58"/>
        <v>0</v>
      </c>
      <c r="AH116" s="23">
        <f>IFERROR(AG116/AG148, "NA")</f>
        <v>0</v>
      </c>
      <c r="AI116" s="61">
        <f t="shared" si="59"/>
        <v>0</v>
      </c>
      <c r="AJ116" s="63">
        <f>IFERROR(AI116/AI148, "NA")</f>
        <v>0</v>
      </c>
      <c r="AK116" s="61" t="str">
        <f t="shared" si="60"/>
        <v>NA</v>
      </c>
      <c r="AL116" s="63" t="str">
        <f>IFERROR(AK116/AK148, "NA")</f>
        <v>NA</v>
      </c>
    </row>
    <row r="117" ht="16.5" hidden="1" customHeight="1">
      <c r="A117" s="26" t="s">
        <v>217</v>
      </c>
      <c r="B117" s="27">
        <v>0.0</v>
      </c>
      <c r="C117" s="23">
        <f>IFERROR(B117/B148, "NA")</f>
        <v>0</v>
      </c>
      <c r="D117" s="27">
        <v>0.0</v>
      </c>
      <c r="E117" s="23">
        <f>IFERROR(D117/D148, "NA")</f>
        <v>0</v>
      </c>
      <c r="F117" s="27">
        <v>0.0</v>
      </c>
      <c r="G117" s="23">
        <f>IFERROR(F117/F148, "NA")</f>
        <v>0</v>
      </c>
      <c r="H117" s="27">
        <v>0.0</v>
      </c>
      <c r="I117" s="23">
        <f>IFERROR(H117/H148, "NA")</f>
        <v>0</v>
      </c>
      <c r="J117" s="27">
        <v>0.0</v>
      </c>
      <c r="K117" s="23">
        <f>IFERROR(J117/J148, "NA")</f>
        <v>0</v>
      </c>
      <c r="L117" s="27">
        <v>0.0</v>
      </c>
      <c r="M117" s="23">
        <f>IFERROR(L117/L148, "NA")</f>
        <v>0</v>
      </c>
      <c r="N117" s="27">
        <v>0.0</v>
      </c>
      <c r="O117" s="23">
        <f>IFERROR(N117/N148, "NA")</f>
        <v>0</v>
      </c>
      <c r="P117" s="27">
        <v>0.0</v>
      </c>
      <c r="Q117" s="23">
        <f>IFERROR(P117/P148, "NA")</f>
        <v>0</v>
      </c>
      <c r="R117" s="27">
        <v>0.0</v>
      </c>
      <c r="S117" s="23">
        <f>IFERROR(R117/R148, "NA")</f>
        <v>0</v>
      </c>
      <c r="T117" s="27">
        <v>0.0</v>
      </c>
      <c r="U117" s="23">
        <f>IFERROR(T117/T148, "NA")</f>
        <v>0</v>
      </c>
      <c r="V117" s="27">
        <v>0.0</v>
      </c>
      <c r="W117" s="23">
        <f>IFERROR(V117/V148, "NA")</f>
        <v>0</v>
      </c>
      <c r="X117" s="27">
        <v>0.0</v>
      </c>
      <c r="Y117" s="23">
        <f>IFERROR(X117/X148, "NA")</f>
        <v>0</v>
      </c>
      <c r="Z117" s="27">
        <v>0.0</v>
      </c>
      <c r="AA117" s="23">
        <f>IFERROR(Z117/Z148, "NA")</f>
        <v>0</v>
      </c>
      <c r="AB117" s="59">
        <f t="shared" si="55"/>
        <v>0</v>
      </c>
      <c r="AC117" s="23">
        <f>IFERROR(AB117/AB148, "NA")</f>
        <v>0</v>
      </c>
      <c r="AD117" s="61">
        <f t="shared" si="56"/>
        <v>0</v>
      </c>
      <c r="AE117" s="63">
        <f>IFERROR(AD117/AD148, "NA")</f>
        <v>0</v>
      </c>
      <c r="AF117" s="61" t="str">
        <f t="shared" si="57"/>
        <v>NA</v>
      </c>
      <c r="AG117" s="59">
        <f t="shared" si="58"/>
        <v>0</v>
      </c>
      <c r="AH117" s="23">
        <f>IFERROR(AG117/AG148, "NA")</f>
        <v>0</v>
      </c>
      <c r="AI117" s="61">
        <f t="shared" si="59"/>
        <v>0</v>
      </c>
      <c r="AJ117" s="63">
        <f>IFERROR(AI117/AI148, "NA")</f>
        <v>0</v>
      </c>
      <c r="AK117" s="61" t="str">
        <f t="shared" si="60"/>
        <v>NA</v>
      </c>
      <c r="AL117" s="63" t="str">
        <f>IFERROR(AK117/AK148, "NA")</f>
        <v>NA</v>
      </c>
    </row>
    <row r="118" ht="16.5" hidden="1" customHeight="1">
      <c r="A118" s="26" t="s">
        <v>218</v>
      </c>
      <c r="B118" s="27">
        <v>0.0</v>
      </c>
      <c r="C118" s="23">
        <f>IFERROR(B118/B148, "NA")</f>
        <v>0</v>
      </c>
      <c r="D118" s="27">
        <v>0.0</v>
      </c>
      <c r="E118" s="23">
        <f>IFERROR(D118/D148, "NA")</f>
        <v>0</v>
      </c>
      <c r="F118" s="27">
        <v>0.0</v>
      </c>
      <c r="G118" s="23">
        <f>IFERROR(F118/F148, "NA")</f>
        <v>0</v>
      </c>
      <c r="H118" s="27">
        <v>0.0</v>
      </c>
      <c r="I118" s="23">
        <f>IFERROR(H118/H148, "NA")</f>
        <v>0</v>
      </c>
      <c r="J118" s="27">
        <v>0.0</v>
      </c>
      <c r="K118" s="23">
        <f>IFERROR(J118/J148, "NA")</f>
        <v>0</v>
      </c>
      <c r="L118" s="27">
        <v>0.0</v>
      </c>
      <c r="M118" s="23">
        <f>IFERROR(L118/L148, "NA")</f>
        <v>0</v>
      </c>
      <c r="N118" s="27">
        <v>0.0</v>
      </c>
      <c r="O118" s="23">
        <f>IFERROR(N118/N148, "NA")</f>
        <v>0</v>
      </c>
      <c r="P118" s="27">
        <v>0.0</v>
      </c>
      <c r="Q118" s="23">
        <f>IFERROR(P118/P148, "NA")</f>
        <v>0</v>
      </c>
      <c r="R118" s="27">
        <v>0.0</v>
      </c>
      <c r="S118" s="23">
        <f>IFERROR(R118/R148, "NA")</f>
        <v>0</v>
      </c>
      <c r="T118" s="27">
        <v>0.0</v>
      </c>
      <c r="U118" s="23">
        <f>IFERROR(T118/T148, "NA")</f>
        <v>0</v>
      </c>
      <c r="V118" s="27">
        <v>0.0</v>
      </c>
      <c r="W118" s="23">
        <f>IFERROR(V118/V148, "NA")</f>
        <v>0</v>
      </c>
      <c r="X118" s="27">
        <v>0.0</v>
      </c>
      <c r="Y118" s="23">
        <f>IFERROR(X118/X148, "NA")</f>
        <v>0</v>
      </c>
      <c r="Z118" s="27">
        <v>0.0</v>
      </c>
      <c r="AA118" s="23">
        <f>IFERROR(Z118/Z148, "NA")</f>
        <v>0</v>
      </c>
      <c r="AB118" s="59">
        <f t="shared" si="55"/>
        <v>0</v>
      </c>
      <c r="AC118" s="23">
        <f>IFERROR(AB118/AB148, "NA")</f>
        <v>0</v>
      </c>
      <c r="AD118" s="61">
        <f t="shared" si="56"/>
        <v>0</v>
      </c>
      <c r="AE118" s="63">
        <f>IFERROR(AD118/AD148, "NA")</f>
        <v>0</v>
      </c>
      <c r="AF118" s="61" t="str">
        <f t="shared" si="57"/>
        <v>NA</v>
      </c>
      <c r="AG118" s="59">
        <f t="shared" si="58"/>
        <v>0</v>
      </c>
      <c r="AH118" s="23">
        <f>IFERROR(AG118/AG148, "NA")</f>
        <v>0</v>
      </c>
      <c r="AI118" s="61">
        <f t="shared" si="59"/>
        <v>0</v>
      </c>
      <c r="AJ118" s="63">
        <f>IFERROR(AI118/AI148, "NA")</f>
        <v>0</v>
      </c>
      <c r="AK118" s="61" t="str">
        <f t="shared" si="60"/>
        <v>NA</v>
      </c>
      <c r="AL118" s="63" t="str">
        <f>IFERROR(AK118/AK148, "NA")</f>
        <v>NA</v>
      </c>
    </row>
    <row r="119" ht="16.5" hidden="1" customHeight="1">
      <c r="A119" s="26" t="s">
        <v>219</v>
      </c>
      <c r="B119" s="27">
        <v>0.0</v>
      </c>
      <c r="C119" s="23">
        <f>IFERROR(B119/B148, "NA")</f>
        <v>0</v>
      </c>
      <c r="D119" s="27">
        <v>0.0</v>
      </c>
      <c r="E119" s="23">
        <f>IFERROR(D119/D148, "NA")</f>
        <v>0</v>
      </c>
      <c r="F119" s="27">
        <v>0.0</v>
      </c>
      <c r="G119" s="23">
        <f>IFERROR(F119/F148, "NA")</f>
        <v>0</v>
      </c>
      <c r="H119" s="27">
        <v>0.0</v>
      </c>
      <c r="I119" s="23">
        <f>IFERROR(H119/H148, "NA")</f>
        <v>0</v>
      </c>
      <c r="J119" s="27">
        <v>0.0</v>
      </c>
      <c r="K119" s="23">
        <f>IFERROR(J119/J148, "NA")</f>
        <v>0</v>
      </c>
      <c r="L119" s="27">
        <v>0.0</v>
      </c>
      <c r="M119" s="23">
        <f>IFERROR(L119/L148, "NA")</f>
        <v>0</v>
      </c>
      <c r="N119" s="27">
        <v>0.0</v>
      </c>
      <c r="O119" s="23">
        <f>IFERROR(N119/N148, "NA")</f>
        <v>0</v>
      </c>
      <c r="P119" s="27">
        <v>0.0</v>
      </c>
      <c r="Q119" s="23">
        <f>IFERROR(P119/P148, "NA")</f>
        <v>0</v>
      </c>
      <c r="R119" s="27">
        <v>0.0</v>
      </c>
      <c r="S119" s="23">
        <f>IFERROR(R119/R148, "NA")</f>
        <v>0</v>
      </c>
      <c r="T119" s="27">
        <v>0.0</v>
      </c>
      <c r="U119" s="23">
        <f>IFERROR(T119/T148, "NA")</f>
        <v>0</v>
      </c>
      <c r="V119" s="27">
        <v>0.0</v>
      </c>
      <c r="W119" s="23">
        <f>IFERROR(V119/V148, "NA")</f>
        <v>0</v>
      </c>
      <c r="X119" s="27">
        <v>0.0</v>
      </c>
      <c r="Y119" s="23">
        <f>IFERROR(X119/X148, "NA")</f>
        <v>0</v>
      </c>
      <c r="Z119" s="27">
        <v>0.0</v>
      </c>
      <c r="AA119" s="23">
        <f>IFERROR(Z119/Z148, "NA")</f>
        <v>0</v>
      </c>
      <c r="AB119" s="59">
        <f t="shared" si="55"/>
        <v>0</v>
      </c>
      <c r="AC119" s="23">
        <f>IFERROR(AB119/AB148, "NA")</f>
        <v>0</v>
      </c>
      <c r="AD119" s="61">
        <f t="shared" si="56"/>
        <v>0</v>
      </c>
      <c r="AE119" s="63">
        <f>IFERROR(AD119/AD148, "NA")</f>
        <v>0</v>
      </c>
      <c r="AF119" s="61" t="str">
        <f t="shared" si="57"/>
        <v>NA</v>
      </c>
      <c r="AG119" s="59">
        <f t="shared" si="58"/>
        <v>0</v>
      </c>
      <c r="AH119" s="23">
        <f>IFERROR(AG119/AG148, "NA")</f>
        <v>0</v>
      </c>
      <c r="AI119" s="61">
        <f t="shared" si="59"/>
        <v>0</v>
      </c>
      <c r="AJ119" s="63">
        <f>IFERROR(AI119/AI148, "NA")</f>
        <v>0</v>
      </c>
      <c r="AK119" s="61" t="str">
        <f t="shared" si="60"/>
        <v>NA</v>
      </c>
      <c r="AL119" s="63" t="str">
        <f>IFERROR(AK119/AK148, "NA")</f>
        <v>NA</v>
      </c>
    </row>
    <row r="120" ht="16.5" hidden="1" customHeight="1">
      <c r="A120" s="26" t="s">
        <v>220</v>
      </c>
      <c r="B120" s="27">
        <v>0.0</v>
      </c>
      <c r="C120" s="23">
        <f>IFERROR(B120/B148, "NA")</f>
        <v>0</v>
      </c>
      <c r="D120" s="27">
        <v>0.0</v>
      </c>
      <c r="E120" s="23">
        <f>IFERROR(D120/D148, "NA")</f>
        <v>0</v>
      </c>
      <c r="F120" s="27">
        <v>0.0</v>
      </c>
      <c r="G120" s="23">
        <f>IFERROR(F120/F148, "NA")</f>
        <v>0</v>
      </c>
      <c r="H120" s="27">
        <v>0.0</v>
      </c>
      <c r="I120" s="23">
        <f>IFERROR(H120/H148, "NA")</f>
        <v>0</v>
      </c>
      <c r="J120" s="27">
        <v>0.0</v>
      </c>
      <c r="K120" s="23">
        <f>IFERROR(J120/J148, "NA")</f>
        <v>0</v>
      </c>
      <c r="L120" s="27">
        <v>0.0</v>
      </c>
      <c r="M120" s="23">
        <f>IFERROR(L120/L148, "NA")</f>
        <v>0</v>
      </c>
      <c r="N120" s="27">
        <v>0.0</v>
      </c>
      <c r="O120" s="23">
        <f>IFERROR(N120/N148, "NA")</f>
        <v>0</v>
      </c>
      <c r="P120" s="27">
        <v>0.0</v>
      </c>
      <c r="Q120" s="23">
        <f>IFERROR(P120/P148, "NA")</f>
        <v>0</v>
      </c>
      <c r="R120" s="27">
        <v>0.0</v>
      </c>
      <c r="S120" s="23">
        <f>IFERROR(R120/R148, "NA")</f>
        <v>0</v>
      </c>
      <c r="T120" s="27">
        <v>0.0</v>
      </c>
      <c r="U120" s="23">
        <f>IFERROR(T120/T148, "NA")</f>
        <v>0</v>
      </c>
      <c r="V120" s="27">
        <v>0.0</v>
      </c>
      <c r="W120" s="23">
        <f>IFERROR(V120/V148, "NA")</f>
        <v>0</v>
      </c>
      <c r="X120" s="27">
        <v>0.0</v>
      </c>
      <c r="Y120" s="23">
        <f>IFERROR(X120/X148, "NA")</f>
        <v>0</v>
      </c>
      <c r="Z120" s="27">
        <v>0.0</v>
      </c>
      <c r="AA120" s="23">
        <f>IFERROR(Z120/Z148, "NA")</f>
        <v>0</v>
      </c>
      <c r="AB120" s="59">
        <f t="shared" si="55"/>
        <v>0</v>
      </c>
      <c r="AC120" s="23">
        <f>IFERROR(AB120/AB148, "NA")</f>
        <v>0</v>
      </c>
      <c r="AD120" s="61">
        <f t="shared" si="56"/>
        <v>0</v>
      </c>
      <c r="AE120" s="63">
        <f>IFERROR(AD120/AD148, "NA")</f>
        <v>0</v>
      </c>
      <c r="AF120" s="61" t="str">
        <f t="shared" si="57"/>
        <v>NA</v>
      </c>
      <c r="AG120" s="59">
        <f t="shared" si="58"/>
        <v>0</v>
      </c>
      <c r="AH120" s="23">
        <f>IFERROR(AG120/AG148, "NA")</f>
        <v>0</v>
      </c>
      <c r="AI120" s="61">
        <f t="shared" si="59"/>
        <v>0</v>
      </c>
      <c r="AJ120" s="63">
        <f>IFERROR(AI120/AI148, "NA")</f>
        <v>0</v>
      </c>
      <c r="AK120" s="61" t="str">
        <f t="shared" si="60"/>
        <v>NA</v>
      </c>
      <c r="AL120" s="63" t="str">
        <f>IFERROR(AK120/AK148, "NA")</f>
        <v>NA</v>
      </c>
    </row>
    <row r="121" ht="16.5" hidden="1" customHeight="1">
      <c r="A121" s="26" t="s">
        <v>221</v>
      </c>
      <c r="B121" s="27">
        <v>0.0</v>
      </c>
      <c r="C121" s="23">
        <f>IFERROR(B121/B148, "NA")</f>
        <v>0</v>
      </c>
      <c r="D121" s="27">
        <v>0.0</v>
      </c>
      <c r="E121" s="23">
        <f>IFERROR(D121/D148, "NA")</f>
        <v>0</v>
      </c>
      <c r="F121" s="27">
        <v>0.0</v>
      </c>
      <c r="G121" s="23">
        <f>IFERROR(F121/F148, "NA")</f>
        <v>0</v>
      </c>
      <c r="H121" s="27">
        <v>0.0</v>
      </c>
      <c r="I121" s="23">
        <f>IFERROR(H121/H148, "NA")</f>
        <v>0</v>
      </c>
      <c r="J121" s="27">
        <v>0.0</v>
      </c>
      <c r="K121" s="23">
        <f>IFERROR(J121/J148, "NA")</f>
        <v>0</v>
      </c>
      <c r="L121" s="27">
        <v>0.0</v>
      </c>
      <c r="M121" s="23">
        <f>IFERROR(L121/L148, "NA")</f>
        <v>0</v>
      </c>
      <c r="N121" s="27">
        <v>0.0</v>
      </c>
      <c r="O121" s="23">
        <f>IFERROR(N121/N148, "NA")</f>
        <v>0</v>
      </c>
      <c r="P121" s="27">
        <v>0.0</v>
      </c>
      <c r="Q121" s="23">
        <f>IFERROR(P121/P148, "NA")</f>
        <v>0</v>
      </c>
      <c r="R121" s="27">
        <v>0.0</v>
      </c>
      <c r="S121" s="23">
        <f>IFERROR(R121/R148, "NA")</f>
        <v>0</v>
      </c>
      <c r="T121" s="27">
        <v>0.0</v>
      </c>
      <c r="U121" s="23">
        <f>IFERROR(T121/T148, "NA")</f>
        <v>0</v>
      </c>
      <c r="V121" s="27">
        <v>0.0</v>
      </c>
      <c r="W121" s="23">
        <f>IFERROR(V121/V148, "NA")</f>
        <v>0</v>
      </c>
      <c r="X121" s="27">
        <v>0.0</v>
      </c>
      <c r="Y121" s="23">
        <f>IFERROR(X121/X148, "NA")</f>
        <v>0</v>
      </c>
      <c r="Z121" s="27">
        <v>0.0</v>
      </c>
      <c r="AA121" s="23">
        <f>IFERROR(Z121/Z148, "NA")</f>
        <v>0</v>
      </c>
      <c r="AB121" s="59">
        <f t="shared" si="55"/>
        <v>0</v>
      </c>
      <c r="AC121" s="23">
        <f>IFERROR(AB121/AB148, "NA")</f>
        <v>0</v>
      </c>
      <c r="AD121" s="61">
        <f t="shared" si="56"/>
        <v>0</v>
      </c>
      <c r="AE121" s="63">
        <f>IFERROR(AD121/AD148, "NA")</f>
        <v>0</v>
      </c>
      <c r="AF121" s="61" t="str">
        <f t="shared" si="57"/>
        <v>NA</v>
      </c>
      <c r="AG121" s="59">
        <f t="shared" si="58"/>
        <v>0</v>
      </c>
      <c r="AH121" s="23">
        <f>IFERROR(AG121/AG148, "NA")</f>
        <v>0</v>
      </c>
      <c r="AI121" s="61">
        <f t="shared" si="59"/>
        <v>0</v>
      </c>
      <c r="AJ121" s="63">
        <f>IFERROR(AI121/AI148, "NA")</f>
        <v>0</v>
      </c>
      <c r="AK121" s="61" t="str">
        <f t="shared" si="60"/>
        <v>NA</v>
      </c>
      <c r="AL121" s="63" t="str">
        <f>IFERROR(AK121/AK148, "NA")</f>
        <v>NA</v>
      </c>
    </row>
    <row r="122" ht="16.5" hidden="1" customHeight="1">
      <c r="A122" s="26" t="s">
        <v>222</v>
      </c>
      <c r="B122" s="27">
        <v>0.0</v>
      </c>
      <c r="C122" s="23">
        <f>IFERROR(B122/B148, "NA")</f>
        <v>0</v>
      </c>
      <c r="D122" s="27">
        <v>0.0</v>
      </c>
      <c r="E122" s="23">
        <f>IFERROR(D122/D148, "NA")</f>
        <v>0</v>
      </c>
      <c r="F122" s="27">
        <v>0.0</v>
      </c>
      <c r="G122" s="23">
        <f>IFERROR(F122/F148, "NA")</f>
        <v>0</v>
      </c>
      <c r="H122" s="27">
        <v>0.0</v>
      </c>
      <c r="I122" s="23">
        <f>IFERROR(H122/H148, "NA")</f>
        <v>0</v>
      </c>
      <c r="J122" s="27">
        <v>0.0</v>
      </c>
      <c r="K122" s="23">
        <f>IFERROR(J122/J148, "NA")</f>
        <v>0</v>
      </c>
      <c r="L122" s="27">
        <v>0.0</v>
      </c>
      <c r="M122" s="23">
        <f>IFERROR(L122/L148, "NA")</f>
        <v>0</v>
      </c>
      <c r="N122" s="27">
        <v>0.0</v>
      </c>
      <c r="O122" s="23">
        <f>IFERROR(N122/N148, "NA")</f>
        <v>0</v>
      </c>
      <c r="P122" s="27">
        <v>0.0</v>
      </c>
      <c r="Q122" s="23">
        <f>IFERROR(P122/P148, "NA")</f>
        <v>0</v>
      </c>
      <c r="R122" s="27">
        <v>0.0</v>
      </c>
      <c r="S122" s="23">
        <f>IFERROR(R122/R148, "NA")</f>
        <v>0</v>
      </c>
      <c r="T122" s="27">
        <v>0.0</v>
      </c>
      <c r="U122" s="23">
        <f>IFERROR(T122/T148, "NA")</f>
        <v>0</v>
      </c>
      <c r="V122" s="27">
        <v>0.0</v>
      </c>
      <c r="W122" s="23">
        <f>IFERROR(V122/V148, "NA")</f>
        <v>0</v>
      </c>
      <c r="X122" s="27">
        <v>0.0</v>
      </c>
      <c r="Y122" s="23">
        <f>IFERROR(X122/X148, "NA")</f>
        <v>0</v>
      </c>
      <c r="Z122" s="27">
        <v>0.0</v>
      </c>
      <c r="AA122" s="23">
        <f>IFERROR(Z122/Z148, "NA")</f>
        <v>0</v>
      </c>
      <c r="AB122" s="59">
        <f t="shared" si="55"/>
        <v>0</v>
      </c>
      <c r="AC122" s="23">
        <f>IFERROR(AB122/AB148, "NA")</f>
        <v>0</v>
      </c>
      <c r="AD122" s="61">
        <f t="shared" si="56"/>
        <v>0</v>
      </c>
      <c r="AE122" s="63">
        <f>IFERROR(AD122/AD148, "NA")</f>
        <v>0</v>
      </c>
      <c r="AF122" s="61" t="str">
        <f t="shared" si="57"/>
        <v>NA</v>
      </c>
      <c r="AG122" s="59">
        <f t="shared" si="58"/>
        <v>0</v>
      </c>
      <c r="AH122" s="23">
        <f>IFERROR(AG122/AG148, "NA")</f>
        <v>0</v>
      </c>
      <c r="AI122" s="61">
        <f t="shared" si="59"/>
        <v>0</v>
      </c>
      <c r="AJ122" s="63">
        <f>IFERROR(AI122/AI148, "NA")</f>
        <v>0</v>
      </c>
      <c r="AK122" s="61" t="str">
        <f t="shared" si="60"/>
        <v>NA</v>
      </c>
      <c r="AL122" s="63" t="str">
        <f>IFERROR(AK122/AK148, "NA")</f>
        <v>NA</v>
      </c>
    </row>
    <row r="123" ht="16.5" hidden="1" customHeight="1">
      <c r="A123" s="26" t="s">
        <v>223</v>
      </c>
      <c r="B123" s="27">
        <v>0.0</v>
      </c>
      <c r="C123" s="23">
        <f>IFERROR(B123/B148, "NA")</f>
        <v>0</v>
      </c>
      <c r="D123" s="27">
        <v>0.0</v>
      </c>
      <c r="E123" s="23">
        <f>IFERROR(D123/D148, "NA")</f>
        <v>0</v>
      </c>
      <c r="F123" s="27">
        <v>0.0</v>
      </c>
      <c r="G123" s="23">
        <f>IFERROR(F123/F148, "NA")</f>
        <v>0</v>
      </c>
      <c r="H123" s="27">
        <v>0.0</v>
      </c>
      <c r="I123" s="23">
        <f>IFERROR(H123/H148, "NA")</f>
        <v>0</v>
      </c>
      <c r="J123" s="27">
        <v>0.0</v>
      </c>
      <c r="K123" s="23">
        <f>IFERROR(J123/J148, "NA")</f>
        <v>0</v>
      </c>
      <c r="L123" s="27">
        <v>0.0</v>
      </c>
      <c r="M123" s="23">
        <f>IFERROR(L123/L148, "NA")</f>
        <v>0</v>
      </c>
      <c r="N123" s="27">
        <v>0.0</v>
      </c>
      <c r="O123" s="23">
        <f>IFERROR(N123/N148, "NA")</f>
        <v>0</v>
      </c>
      <c r="P123" s="27">
        <v>0.0</v>
      </c>
      <c r="Q123" s="23">
        <f>IFERROR(P123/P148, "NA")</f>
        <v>0</v>
      </c>
      <c r="R123" s="27">
        <v>0.0</v>
      </c>
      <c r="S123" s="23">
        <f>IFERROR(R123/R148, "NA")</f>
        <v>0</v>
      </c>
      <c r="T123" s="27">
        <v>0.0</v>
      </c>
      <c r="U123" s="23">
        <f>IFERROR(T123/T148, "NA")</f>
        <v>0</v>
      </c>
      <c r="V123" s="27">
        <v>0.0</v>
      </c>
      <c r="W123" s="23">
        <f>IFERROR(V123/V148, "NA")</f>
        <v>0</v>
      </c>
      <c r="X123" s="27">
        <v>0.0</v>
      </c>
      <c r="Y123" s="23">
        <f>IFERROR(X123/X148, "NA")</f>
        <v>0</v>
      </c>
      <c r="Z123" s="27">
        <v>0.0</v>
      </c>
      <c r="AA123" s="23">
        <f>IFERROR(Z123/Z148, "NA")</f>
        <v>0</v>
      </c>
      <c r="AB123" s="59">
        <f t="shared" si="55"/>
        <v>0</v>
      </c>
      <c r="AC123" s="23">
        <f>IFERROR(AB123/AB148, "NA")</f>
        <v>0</v>
      </c>
      <c r="AD123" s="61">
        <f t="shared" si="56"/>
        <v>0</v>
      </c>
      <c r="AE123" s="63">
        <f>IFERROR(AD123/AD148, "NA")</f>
        <v>0</v>
      </c>
      <c r="AF123" s="61" t="str">
        <f t="shared" si="57"/>
        <v>NA</v>
      </c>
      <c r="AG123" s="59">
        <f t="shared" si="58"/>
        <v>0</v>
      </c>
      <c r="AH123" s="23">
        <f>IFERROR(AG123/AG148, "NA")</f>
        <v>0</v>
      </c>
      <c r="AI123" s="61">
        <f t="shared" si="59"/>
        <v>0</v>
      </c>
      <c r="AJ123" s="63">
        <f>IFERROR(AI123/AI148, "NA")</f>
        <v>0</v>
      </c>
      <c r="AK123" s="61" t="str">
        <f t="shared" si="60"/>
        <v>NA</v>
      </c>
      <c r="AL123" s="63" t="str">
        <f>IFERROR(AK123/AK148, "NA")</f>
        <v>NA</v>
      </c>
    </row>
    <row r="124" ht="16.5" hidden="1" customHeight="1">
      <c r="A124" s="26" t="s">
        <v>224</v>
      </c>
      <c r="B124" s="27">
        <v>0.0</v>
      </c>
      <c r="C124" s="23">
        <f>IFERROR(B124/B148, "NA")</f>
        <v>0</v>
      </c>
      <c r="D124" s="27">
        <v>0.0</v>
      </c>
      <c r="E124" s="23">
        <f>IFERROR(D124/D148, "NA")</f>
        <v>0</v>
      </c>
      <c r="F124" s="27">
        <v>0.0</v>
      </c>
      <c r="G124" s="23">
        <f>IFERROR(F124/F148, "NA")</f>
        <v>0</v>
      </c>
      <c r="H124" s="27">
        <v>0.0</v>
      </c>
      <c r="I124" s="23">
        <f>IFERROR(H124/H148, "NA")</f>
        <v>0</v>
      </c>
      <c r="J124" s="27">
        <v>0.0</v>
      </c>
      <c r="K124" s="23">
        <f>IFERROR(J124/J148, "NA")</f>
        <v>0</v>
      </c>
      <c r="L124" s="27">
        <v>0.0</v>
      </c>
      <c r="M124" s="23">
        <f>IFERROR(L124/L148, "NA")</f>
        <v>0</v>
      </c>
      <c r="N124" s="27">
        <v>0.0</v>
      </c>
      <c r="O124" s="23">
        <f>IFERROR(N124/N148, "NA")</f>
        <v>0</v>
      </c>
      <c r="P124" s="27">
        <v>0.0</v>
      </c>
      <c r="Q124" s="23">
        <f>IFERROR(P124/P148, "NA")</f>
        <v>0</v>
      </c>
      <c r="R124" s="27">
        <v>0.0</v>
      </c>
      <c r="S124" s="23">
        <f>IFERROR(R124/R148, "NA")</f>
        <v>0</v>
      </c>
      <c r="T124" s="27">
        <v>0.0</v>
      </c>
      <c r="U124" s="23">
        <f>IFERROR(T124/T148, "NA")</f>
        <v>0</v>
      </c>
      <c r="V124" s="27">
        <v>0.0</v>
      </c>
      <c r="W124" s="23">
        <f>IFERROR(V124/V148, "NA")</f>
        <v>0</v>
      </c>
      <c r="X124" s="27">
        <v>0.0</v>
      </c>
      <c r="Y124" s="23">
        <f>IFERROR(X124/X148, "NA")</f>
        <v>0</v>
      </c>
      <c r="Z124" s="27">
        <v>0.0</v>
      </c>
      <c r="AA124" s="23">
        <f>IFERROR(Z124/Z148, "NA")</f>
        <v>0</v>
      </c>
      <c r="AB124" s="59">
        <f t="shared" si="55"/>
        <v>0</v>
      </c>
      <c r="AC124" s="23">
        <f>IFERROR(AB124/AB148, "NA")</f>
        <v>0</v>
      </c>
      <c r="AD124" s="61">
        <f t="shared" si="56"/>
        <v>0</v>
      </c>
      <c r="AE124" s="63">
        <f>IFERROR(AD124/AD148, "NA")</f>
        <v>0</v>
      </c>
      <c r="AF124" s="61" t="str">
        <f t="shared" si="57"/>
        <v>NA</v>
      </c>
      <c r="AG124" s="59">
        <f t="shared" si="58"/>
        <v>0</v>
      </c>
      <c r="AH124" s="23">
        <f>IFERROR(AG124/AG148, "NA")</f>
        <v>0</v>
      </c>
      <c r="AI124" s="61">
        <f t="shared" si="59"/>
        <v>0</v>
      </c>
      <c r="AJ124" s="63">
        <f>IFERROR(AI124/AI148, "NA")</f>
        <v>0</v>
      </c>
      <c r="AK124" s="61" t="str">
        <f t="shared" si="60"/>
        <v>NA</v>
      </c>
      <c r="AL124" s="63" t="str">
        <f>IFERROR(AK124/AK148, "NA")</f>
        <v>NA</v>
      </c>
    </row>
    <row r="125" ht="16.5" hidden="1" customHeight="1">
      <c r="A125" s="26" t="s">
        <v>225</v>
      </c>
      <c r="B125" s="27">
        <v>0.0</v>
      </c>
      <c r="C125" s="23">
        <f>IFERROR(B125/B148, "NA")</f>
        <v>0</v>
      </c>
      <c r="D125" s="27">
        <v>0.0</v>
      </c>
      <c r="E125" s="23">
        <f>IFERROR(D125/D148, "NA")</f>
        <v>0</v>
      </c>
      <c r="F125" s="27">
        <v>0.0</v>
      </c>
      <c r="G125" s="23">
        <f>IFERROR(F125/F148, "NA")</f>
        <v>0</v>
      </c>
      <c r="H125" s="27">
        <v>0.0</v>
      </c>
      <c r="I125" s="23">
        <f>IFERROR(H125/H148, "NA")</f>
        <v>0</v>
      </c>
      <c r="J125" s="27">
        <v>0.0</v>
      </c>
      <c r="K125" s="23">
        <f>IFERROR(J125/J148, "NA")</f>
        <v>0</v>
      </c>
      <c r="L125" s="27">
        <v>0.0</v>
      </c>
      <c r="M125" s="23">
        <f>IFERROR(L125/L148, "NA")</f>
        <v>0</v>
      </c>
      <c r="N125" s="27">
        <v>0.0</v>
      </c>
      <c r="O125" s="23">
        <f>IFERROR(N125/N148, "NA")</f>
        <v>0</v>
      </c>
      <c r="P125" s="27">
        <v>0.0</v>
      </c>
      <c r="Q125" s="23">
        <f>IFERROR(P125/P148, "NA")</f>
        <v>0</v>
      </c>
      <c r="R125" s="27">
        <v>0.0</v>
      </c>
      <c r="S125" s="23">
        <f>IFERROR(R125/R148, "NA")</f>
        <v>0</v>
      </c>
      <c r="T125" s="27">
        <v>0.0</v>
      </c>
      <c r="U125" s="23">
        <f>IFERROR(T125/T148, "NA")</f>
        <v>0</v>
      </c>
      <c r="V125" s="27">
        <v>0.0</v>
      </c>
      <c r="W125" s="23">
        <f>IFERROR(V125/V148, "NA")</f>
        <v>0</v>
      </c>
      <c r="X125" s="27">
        <v>0.0</v>
      </c>
      <c r="Y125" s="23">
        <f>IFERROR(X125/X148, "NA")</f>
        <v>0</v>
      </c>
      <c r="Z125" s="27">
        <v>0.0</v>
      </c>
      <c r="AA125" s="23">
        <f>IFERROR(Z125/Z148, "NA")</f>
        <v>0</v>
      </c>
      <c r="AB125" s="59">
        <f t="shared" si="55"/>
        <v>0</v>
      </c>
      <c r="AC125" s="23">
        <f>IFERROR(AB125/AB148, "NA")</f>
        <v>0</v>
      </c>
      <c r="AD125" s="61">
        <f t="shared" si="56"/>
        <v>0</v>
      </c>
      <c r="AE125" s="63">
        <f>IFERROR(AD125/AD148, "NA")</f>
        <v>0</v>
      </c>
      <c r="AF125" s="61" t="str">
        <f t="shared" si="57"/>
        <v>NA</v>
      </c>
      <c r="AG125" s="59">
        <f t="shared" si="58"/>
        <v>0</v>
      </c>
      <c r="AH125" s="23">
        <f>IFERROR(AG125/AG148, "NA")</f>
        <v>0</v>
      </c>
      <c r="AI125" s="61">
        <f t="shared" si="59"/>
        <v>0</v>
      </c>
      <c r="AJ125" s="63">
        <f>IFERROR(AI125/AI148, "NA")</f>
        <v>0</v>
      </c>
      <c r="AK125" s="61" t="str">
        <f t="shared" si="60"/>
        <v>NA</v>
      </c>
      <c r="AL125" s="63" t="str">
        <f>IFERROR(AK125/AK148, "NA")</f>
        <v>NA</v>
      </c>
    </row>
    <row r="126" ht="16.5" hidden="1" customHeight="1">
      <c r="A126" s="26" t="s">
        <v>226</v>
      </c>
      <c r="B126" s="27">
        <v>0.0</v>
      </c>
      <c r="C126" s="23">
        <f>IFERROR(B126/B148, "NA")</f>
        <v>0</v>
      </c>
      <c r="D126" s="27">
        <v>0.0</v>
      </c>
      <c r="E126" s="23">
        <f>IFERROR(D126/D148, "NA")</f>
        <v>0</v>
      </c>
      <c r="F126" s="27">
        <v>0.0</v>
      </c>
      <c r="G126" s="23">
        <f>IFERROR(F126/F148, "NA")</f>
        <v>0</v>
      </c>
      <c r="H126" s="27">
        <v>0.0</v>
      </c>
      <c r="I126" s="23">
        <f>IFERROR(H126/H148, "NA")</f>
        <v>0</v>
      </c>
      <c r="J126" s="27">
        <v>0.0</v>
      </c>
      <c r="K126" s="23">
        <f>IFERROR(J126/J148, "NA")</f>
        <v>0</v>
      </c>
      <c r="L126" s="27">
        <v>0.0</v>
      </c>
      <c r="M126" s="23">
        <f>IFERROR(L126/L148, "NA")</f>
        <v>0</v>
      </c>
      <c r="N126" s="27">
        <v>0.0</v>
      </c>
      <c r="O126" s="23">
        <f>IFERROR(N126/N148, "NA")</f>
        <v>0</v>
      </c>
      <c r="P126" s="27">
        <v>0.0</v>
      </c>
      <c r="Q126" s="23">
        <f>IFERROR(P126/P148, "NA")</f>
        <v>0</v>
      </c>
      <c r="R126" s="27">
        <v>0.0</v>
      </c>
      <c r="S126" s="23">
        <f>IFERROR(R126/R148, "NA")</f>
        <v>0</v>
      </c>
      <c r="T126" s="27">
        <v>0.0</v>
      </c>
      <c r="U126" s="23">
        <f>IFERROR(T126/T148, "NA")</f>
        <v>0</v>
      </c>
      <c r="V126" s="27">
        <v>0.0</v>
      </c>
      <c r="W126" s="23">
        <f>IFERROR(V126/V148, "NA")</f>
        <v>0</v>
      </c>
      <c r="X126" s="27">
        <v>0.0</v>
      </c>
      <c r="Y126" s="23">
        <f>IFERROR(X126/X148, "NA")</f>
        <v>0</v>
      </c>
      <c r="Z126" s="27">
        <v>0.0</v>
      </c>
      <c r="AA126" s="23">
        <f>IFERROR(Z126/Z148, "NA")</f>
        <v>0</v>
      </c>
      <c r="AB126" s="59">
        <f t="shared" si="55"/>
        <v>0</v>
      </c>
      <c r="AC126" s="23">
        <f>IFERROR(AB126/AB148, "NA")</f>
        <v>0</v>
      </c>
      <c r="AD126" s="61">
        <f t="shared" si="56"/>
        <v>0</v>
      </c>
      <c r="AE126" s="63">
        <f>IFERROR(AD126/AD148, "NA")</f>
        <v>0</v>
      </c>
      <c r="AF126" s="61" t="str">
        <f t="shared" si="57"/>
        <v>NA</v>
      </c>
      <c r="AG126" s="59">
        <f t="shared" si="58"/>
        <v>0</v>
      </c>
      <c r="AH126" s="23">
        <f>IFERROR(AG126/AG148, "NA")</f>
        <v>0</v>
      </c>
      <c r="AI126" s="61">
        <f t="shared" si="59"/>
        <v>0</v>
      </c>
      <c r="AJ126" s="63">
        <f>IFERROR(AI126/AI148, "NA")</f>
        <v>0</v>
      </c>
      <c r="AK126" s="61" t="str">
        <f t="shared" si="60"/>
        <v>NA</v>
      </c>
      <c r="AL126" s="63" t="str">
        <f>IFERROR(AK126/AK148, "NA")</f>
        <v>NA</v>
      </c>
    </row>
    <row r="127" ht="16.5" hidden="1" customHeight="1">
      <c r="A127" s="26" t="s">
        <v>227</v>
      </c>
      <c r="B127" s="27">
        <v>0.0</v>
      </c>
      <c r="C127" s="23">
        <f>IFERROR(B127/B148, "NA")</f>
        <v>0</v>
      </c>
      <c r="D127" s="27">
        <v>0.0</v>
      </c>
      <c r="E127" s="23">
        <f>IFERROR(D127/D148, "NA")</f>
        <v>0</v>
      </c>
      <c r="F127" s="27">
        <v>0.0</v>
      </c>
      <c r="G127" s="23">
        <f>IFERROR(F127/F148, "NA")</f>
        <v>0</v>
      </c>
      <c r="H127" s="27">
        <v>0.0</v>
      </c>
      <c r="I127" s="23">
        <f>IFERROR(H127/H148, "NA")</f>
        <v>0</v>
      </c>
      <c r="J127" s="27">
        <v>0.0</v>
      </c>
      <c r="K127" s="23">
        <f>IFERROR(J127/J148, "NA")</f>
        <v>0</v>
      </c>
      <c r="L127" s="27">
        <v>0.0</v>
      </c>
      <c r="M127" s="23">
        <f>IFERROR(L127/L148, "NA")</f>
        <v>0</v>
      </c>
      <c r="N127" s="27">
        <v>0.0</v>
      </c>
      <c r="O127" s="23">
        <f>IFERROR(N127/N148, "NA")</f>
        <v>0</v>
      </c>
      <c r="P127" s="27">
        <v>0.0</v>
      </c>
      <c r="Q127" s="23">
        <f>IFERROR(P127/P148, "NA")</f>
        <v>0</v>
      </c>
      <c r="R127" s="27">
        <v>0.0</v>
      </c>
      <c r="S127" s="23">
        <f>IFERROR(R127/R148, "NA")</f>
        <v>0</v>
      </c>
      <c r="T127" s="27">
        <v>0.0</v>
      </c>
      <c r="U127" s="23">
        <f>IFERROR(T127/T148, "NA")</f>
        <v>0</v>
      </c>
      <c r="V127" s="27">
        <v>0.0</v>
      </c>
      <c r="W127" s="23">
        <f>IFERROR(V127/V148, "NA")</f>
        <v>0</v>
      </c>
      <c r="X127" s="27">
        <v>0.0</v>
      </c>
      <c r="Y127" s="23">
        <f>IFERROR(X127/X148, "NA")</f>
        <v>0</v>
      </c>
      <c r="Z127" s="27">
        <v>0.0</v>
      </c>
      <c r="AA127" s="23">
        <f>IFERROR(Z127/Z148, "NA")</f>
        <v>0</v>
      </c>
      <c r="AB127" s="59">
        <f t="shared" si="55"/>
        <v>0</v>
      </c>
      <c r="AC127" s="23">
        <f>IFERROR(AB127/AB148, "NA")</f>
        <v>0</v>
      </c>
      <c r="AD127" s="61">
        <f t="shared" si="56"/>
        <v>0</v>
      </c>
      <c r="AE127" s="63">
        <f>IFERROR(AD127/AD148, "NA")</f>
        <v>0</v>
      </c>
      <c r="AF127" s="61" t="str">
        <f t="shared" si="57"/>
        <v>NA</v>
      </c>
      <c r="AG127" s="59">
        <f t="shared" si="58"/>
        <v>0</v>
      </c>
      <c r="AH127" s="23">
        <f>IFERROR(AG127/AG148, "NA")</f>
        <v>0</v>
      </c>
      <c r="AI127" s="61">
        <f t="shared" si="59"/>
        <v>0</v>
      </c>
      <c r="AJ127" s="63">
        <f>IFERROR(AI127/AI148, "NA")</f>
        <v>0</v>
      </c>
      <c r="AK127" s="61" t="str">
        <f t="shared" si="60"/>
        <v>NA</v>
      </c>
      <c r="AL127" s="63" t="str">
        <f>IFERROR(AK127/AK148, "NA")</f>
        <v>NA</v>
      </c>
    </row>
    <row r="128" ht="16.5" hidden="1" customHeight="1">
      <c r="A128" s="26" t="s">
        <v>228</v>
      </c>
      <c r="B128" s="27">
        <v>410.96000000000004</v>
      </c>
      <c r="C128" s="23">
        <f>IFERROR(B128/B148, "NA")</f>
        <v>0.01412040553</v>
      </c>
      <c r="D128" s="27">
        <v>451.09000000000003</v>
      </c>
      <c r="E128" s="23">
        <f>IFERROR(D128/D148, "NA")</f>
        <v>0.01406377194</v>
      </c>
      <c r="F128" s="27">
        <v>-1155.34</v>
      </c>
      <c r="G128" s="23">
        <f>IFERROR(F128/F148, "NA")</f>
        <v>-0.04389512949</v>
      </c>
      <c r="H128" s="27">
        <v>402.05</v>
      </c>
      <c r="I128" s="23">
        <f>IFERROR(H128/H148, "NA")</f>
        <v>0.01624422129</v>
      </c>
      <c r="J128" s="27">
        <v>316.96</v>
      </c>
      <c r="K128" s="23">
        <f>IFERROR(J128/J148, "NA")</f>
        <v>0.01197308021</v>
      </c>
      <c r="L128" s="27">
        <v>327.92</v>
      </c>
      <c r="M128" s="23">
        <f>IFERROR(L128/L148, "NA")</f>
        <v>0.0131817968</v>
      </c>
      <c r="N128" s="27">
        <v>337.45</v>
      </c>
      <c r="O128" s="23">
        <f>IFERROR(N128/N148, "NA")</f>
        <v>0.01104722595</v>
      </c>
      <c r="P128" s="27">
        <v>-1384.3799999999999</v>
      </c>
      <c r="Q128" s="23">
        <f>IFERROR(P128/P148, "NA")</f>
        <v>-0.04092309457</v>
      </c>
      <c r="R128" s="27">
        <v>268.79</v>
      </c>
      <c r="S128" s="23">
        <f>IFERROR(R128/R148, "NA")</f>
        <v>0.01079991016</v>
      </c>
      <c r="T128" s="27">
        <v>287.24</v>
      </c>
      <c r="U128" s="23">
        <f>IFERROR(T128/T148, "NA")</f>
        <v>0.009078533869</v>
      </c>
      <c r="V128" s="27">
        <v>303.3</v>
      </c>
      <c r="W128" s="23">
        <f>IFERROR(V128/V148, "NA")</f>
        <v>0.01008288041</v>
      </c>
      <c r="X128" s="27">
        <v>238.25</v>
      </c>
      <c r="Y128" s="23">
        <f>IFERROR(X128/X148, "NA")</f>
        <v>0.009570556189</v>
      </c>
      <c r="Z128" s="27">
        <v>1097.5800000000002</v>
      </c>
      <c r="AA128" s="23">
        <f>IFERROR(Z128/Z148, "NA")</f>
        <v>0.00984355582</v>
      </c>
      <c r="AB128" s="59">
        <f t="shared" si="55"/>
        <v>274.395</v>
      </c>
      <c r="AC128" s="23">
        <f>IFERROR(AB128/AB148, "NA")</f>
        <v>0.00984355582</v>
      </c>
      <c r="AD128" s="61">
        <f t="shared" si="56"/>
        <v>-36.145</v>
      </c>
      <c r="AE128" s="63">
        <f>IFERROR(AD128/AD148, "NA")</f>
        <v>0.01212293993</v>
      </c>
      <c r="AF128" s="61">
        <f t="shared" si="57"/>
        <v>-0.1317261612</v>
      </c>
      <c r="AG128" s="59">
        <f t="shared" si="58"/>
        <v>86.94125</v>
      </c>
      <c r="AH128" s="23">
        <f>IFERROR(AG128/AG148, "NA")</f>
        <v>0.003060950692</v>
      </c>
      <c r="AI128" s="61">
        <f t="shared" si="59"/>
        <v>151.30875</v>
      </c>
      <c r="AJ128" s="63">
        <f>IFERROR(AI128/AI148, "NA")</f>
        <v>-0.04311664294</v>
      </c>
      <c r="AK128" s="61">
        <f t="shared" si="60"/>
        <v>1.740356275</v>
      </c>
      <c r="AL128" s="63">
        <f>IFERROR(AK128/AK148, "NA")</f>
        <v>-14.08602989</v>
      </c>
    </row>
    <row r="129" ht="16.5" hidden="1" customHeight="1">
      <c r="A129" s="26" t="s">
        <v>229</v>
      </c>
      <c r="B129" s="27">
        <v>0.0</v>
      </c>
      <c r="C129" s="23">
        <f>IFERROR(B129/B148, "NA")</f>
        <v>0</v>
      </c>
      <c r="D129" s="27">
        <v>0.0</v>
      </c>
      <c r="E129" s="23">
        <f>IFERROR(D129/D148, "NA")</f>
        <v>0</v>
      </c>
      <c r="F129" s="27">
        <v>0.0</v>
      </c>
      <c r="G129" s="23">
        <f>IFERROR(F129/F148, "NA")</f>
        <v>0</v>
      </c>
      <c r="H129" s="27">
        <v>0.0</v>
      </c>
      <c r="I129" s="23">
        <f>IFERROR(H129/H148, "NA")</f>
        <v>0</v>
      </c>
      <c r="J129" s="27">
        <v>0.0</v>
      </c>
      <c r="K129" s="23">
        <f>IFERROR(J129/J148, "NA")</f>
        <v>0</v>
      </c>
      <c r="L129" s="27">
        <v>0.0</v>
      </c>
      <c r="M129" s="23">
        <f>IFERROR(L129/L148, "NA")</f>
        <v>0</v>
      </c>
      <c r="N129" s="27">
        <v>0.0</v>
      </c>
      <c r="O129" s="23">
        <f>IFERROR(N129/N148, "NA")</f>
        <v>0</v>
      </c>
      <c r="P129" s="27">
        <v>0.0</v>
      </c>
      <c r="Q129" s="23">
        <f>IFERROR(P129/P148, "NA")</f>
        <v>0</v>
      </c>
      <c r="R129" s="27">
        <v>0.0</v>
      </c>
      <c r="S129" s="23">
        <f>IFERROR(R129/R148, "NA")</f>
        <v>0</v>
      </c>
      <c r="T129" s="27">
        <v>0.0</v>
      </c>
      <c r="U129" s="23">
        <f>IFERROR(T129/T148, "NA")</f>
        <v>0</v>
      </c>
      <c r="V129" s="27">
        <v>0.0</v>
      </c>
      <c r="W129" s="23">
        <f>IFERROR(V129/V148, "NA")</f>
        <v>0</v>
      </c>
      <c r="X129" s="27">
        <v>0.0</v>
      </c>
      <c r="Y129" s="23">
        <f>IFERROR(X129/X148, "NA")</f>
        <v>0</v>
      </c>
      <c r="Z129" s="27">
        <v>0.0</v>
      </c>
      <c r="AA129" s="23">
        <f>IFERROR(Z129/Z148, "NA")</f>
        <v>0</v>
      </c>
      <c r="AB129" s="59">
        <f t="shared" si="55"/>
        <v>0</v>
      </c>
      <c r="AC129" s="23">
        <f>IFERROR(AB129/AB148, "NA")</f>
        <v>0</v>
      </c>
      <c r="AD129" s="61">
        <f t="shared" si="56"/>
        <v>0</v>
      </c>
      <c r="AE129" s="63">
        <f>IFERROR(AD129/AD148, "NA")</f>
        <v>0</v>
      </c>
      <c r="AF129" s="61" t="str">
        <f t="shared" si="57"/>
        <v>NA</v>
      </c>
      <c r="AG129" s="59">
        <f t="shared" si="58"/>
        <v>0</v>
      </c>
      <c r="AH129" s="23">
        <f>IFERROR(AG129/AG148, "NA")</f>
        <v>0</v>
      </c>
      <c r="AI129" s="61">
        <f t="shared" si="59"/>
        <v>0</v>
      </c>
      <c r="AJ129" s="63">
        <f>IFERROR(AI129/AI148, "NA")</f>
        <v>0</v>
      </c>
      <c r="AK129" s="61" t="str">
        <f t="shared" si="60"/>
        <v>NA</v>
      </c>
      <c r="AL129" s="63" t="str">
        <f>IFERROR(AK129/AK148, "NA")</f>
        <v>NA</v>
      </c>
    </row>
    <row r="130" ht="16.5" hidden="1" customHeight="1">
      <c r="A130" s="26" t="s">
        <v>230</v>
      </c>
      <c r="B130" s="27">
        <v>0.0</v>
      </c>
      <c r="C130" s="23">
        <f>IFERROR(B130/B148, "NA")</f>
        <v>0</v>
      </c>
      <c r="D130" s="27">
        <v>0.0</v>
      </c>
      <c r="E130" s="23">
        <f>IFERROR(D130/D148, "NA")</f>
        <v>0</v>
      </c>
      <c r="F130" s="27">
        <v>0.0</v>
      </c>
      <c r="G130" s="23">
        <f>IFERROR(F130/F148, "NA")</f>
        <v>0</v>
      </c>
      <c r="H130" s="27">
        <v>0.0</v>
      </c>
      <c r="I130" s="23">
        <f>IFERROR(H130/H148, "NA")</f>
        <v>0</v>
      </c>
      <c r="J130" s="27">
        <v>0.0</v>
      </c>
      <c r="K130" s="23">
        <f>IFERROR(J130/J148, "NA")</f>
        <v>0</v>
      </c>
      <c r="L130" s="27">
        <v>0.0</v>
      </c>
      <c r="M130" s="23">
        <f>IFERROR(L130/L148, "NA")</f>
        <v>0</v>
      </c>
      <c r="N130" s="27">
        <v>0.0</v>
      </c>
      <c r="O130" s="23">
        <f>IFERROR(N130/N148, "NA")</f>
        <v>0</v>
      </c>
      <c r="P130" s="27">
        <v>0.0</v>
      </c>
      <c r="Q130" s="23">
        <f>IFERROR(P130/P148, "NA")</f>
        <v>0</v>
      </c>
      <c r="R130" s="27">
        <v>0.0</v>
      </c>
      <c r="S130" s="23">
        <f>IFERROR(R130/R148, "NA")</f>
        <v>0</v>
      </c>
      <c r="T130" s="27">
        <v>0.0</v>
      </c>
      <c r="U130" s="23">
        <f>IFERROR(T130/T148, "NA")</f>
        <v>0</v>
      </c>
      <c r="V130" s="27">
        <v>0.0</v>
      </c>
      <c r="W130" s="23">
        <f>IFERROR(V130/V148, "NA")</f>
        <v>0</v>
      </c>
      <c r="X130" s="27">
        <v>0.0</v>
      </c>
      <c r="Y130" s="23">
        <f>IFERROR(X130/X148, "NA")</f>
        <v>0</v>
      </c>
      <c r="Z130" s="27">
        <v>0.0</v>
      </c>
      <c r="AA130" s="23">
        <f>IFERROR(Z130/Z148, "NA")</f>
        <v>0</v>
      </c>
      <c r="AB130" s="59">
        <f t="shared" si="55"/>
        <v>0</v>
      </c>
      <c r="AC130" s="23">
        <f>IFERROR(AB130/AB148, "NA")</f>
        <v>0</v>
      </c>
      <c r="AD130" s="61">
        <f t="shared" si="56"/>
        <v>0</v>
      </c>
      <c r="AE130" s="63">
        <f>IFERROR(AD130/AD148, "NA")</f>
        <v>0</v>
      </c>
      <c r="AF130" s="61" t="str">
        <f t="shared" si="57"/>
        <v>NA</v>
      </c>
      <c r="AG130" s="59">
        <f t="shared" si="58"/>
        <v>0</v>
      </c>
      <c r="AH130" s="23">
        <f>IFERROR(AG130/AG148, "NA")</f>
        <v>0</v>
      </c>
      <c r="AI130" s="61">
        <f t="shared" si="59"/>
        <v>0</v>
      </c>
      <c r="AJ130" s="63">
        <f>IFERROR(AI130/AI148, "NA")</f>
        <v>0</v>
      </c>
      <c r="AK130" s="61" t="str">
        <f t="shared" si="60"/>
        <v>NA</v>
      </c>
      <c r="AL130" s="63" t="str">
        <f>IFERROR(AK130/AK148, "NA")</f>
        <v>NA</v>
      </c>
    </row>
    <row r="131" ht="16.5" hidden="1" customHeight="1">
      <c r="A131" s="26" t="s">
        <v>231</v>
      </c>
      <c r="B131" s="27">
        <v>0.0</v>
      </c>
      <c r="C131" s="23">
        <f>IFERROR(B131/B148, "NA")</f>
        <v>0</v>
      </c>
      <c r="D131" s="27">
        <v>0.0</v>
      </c>
      <c r="E131" s="23">
        <f>IFERROR(D131/D148, "NA")</f>
        <v>0</v>
      </c>
      <c r="F131" s="27">
        <v>0.0</v>
      </c>
      <c r="G131" s="23">
        <f>IFERROR(F131/F148, "NA")</f>
        <v>0</v>
      </c>
      <c r="H131" s="27">
        <v>0.0</v>
      </c>
      <c r="I131" s="23">
        <f>IFERROR(H131/H148, "NA")</f>
        <v>0</v>
      </c>
      <c r="J131" s="27">
        <v>0.0</v>
      </c>
      <c r="K131" s="23">
        <f>IFERROR(J131/J148, "NA")</f>
        <v>0</v>
      </c>
      <c r="L131" s="27">
        <v>0.0</v>
      </c>
      <c r="M131" s="23">
        <f>IFERROR(L131/L148, "NA")</f>
        <v>0</v>
      </c>
      <c r="N131" s="27">
        <v>0.0</v>
      </c>
      <c r="O131" s="23">
        <f>IFERROR(N131/N148, "NA")</f>
        <v>0</v>
      </c>
      <c r="P131" s="27">
        <v>0.0</v>
      </c>
      <c r="Q131" s="23">
        <f>IFERROR(P131/P148, "NA")</f>
        <v>0</v>
      </c>
      <c r="R131" s="27">
        <v>0.0</v>
      </c>
      <c r="S131" s="23">
        <f>IFERROR(R131/R148, "NA")</f>
        <v>0</v>
      </c>
      <c r="T131" s="27">
        <v>0.0</v>
      </c>
      <c r="U131" s="23">
        <f>IFERROR(T131/T148, "NA")</f>
        <v>0</v>
      </c>
      <c r="V131" s="27">
        <v>0.0</v>
      </c>
      <c r="W131" s="23">
        <f>IFERROR(V131/V148, "NA")</f>
        <v>0</v>
      </c>
      <c r="X131" s="27">
        <v>0.0</v>
      </c>
      <c r="Y131" s="23">
        <f>IFERROR(X131/X148, "NA")</f>
        <v>0</v>
      </c>
      <c r="Z131" s="27">
        <v>0.0</v>
      </c>
      <c r="AA131" s="23">
        <f>IFERROR(Z131/Z148, "NA")</f>
        <v>0</v>
      </c>
      <c r="AB131" s="59">
        <f t="shared" si="55"/>
        <v>0</v>
      </c>
      <c r="AC131" s="23">
        <f>IFERROR(AB131/AB148, "NA")</f>
        <v>0</v>
      </c>
      <c r="AD131" s="61">
        <f t="shared" si="56"/>
        <v>0</v>
      </c>
      <c r="AE131" s="63">
        <f>IFERROR(AD131/AD148, "NA")</f>
        <v>0</v>
      </c>
      <c r="AF131" s="61" t="str">
        <f t="shared" si="57"/>
        <v>NA</v>
      </c>
      <c r="AG131" s="59">
        <f t="shared" si="58"/>
        <v>0</v>
      </c>
      <c r="AH131" s="23">
        <f>IFERROR(AG131/AG148, "NA")</f>
        <v>0</v>
      </c>
      <c r="AI131" s="61">
        <f t="shared" si="59"/>
        <v>0</v>
      </c>
      <c r="AJ131" s="63">
        <f>IFERROR(AI131/AI148, "NA")</f>
        <v>0</v>
      </c>
      <c r="AK131" s="61" t="str">
        <f t="shared" si="60"/>
        <v>NA</v>
      </c>
      <c r="AL131" s="63" t="str">
        <f>IFERROR(AK131/AK148, "NA")</f>
        <v>NA</v>
      </c>
    </row>
    <row r="132" ht="16.5" hidden="1" customHeight="1">
      <c r="A132" s="26" t="s">
        <v>232</v>
      </c>
      <c r="B132" s="27">
        <v>0.0</v>
      </c>
      <c r="C132" s="23">
        <f>IFERROR(B132/B148, "NA")</f>
        <v>0</v>
      </c>
      <c r="D132" s="27">
        <v>0.0</v>
      </c>
      <c r="E132" s="23">
        <f>IFERROR(D132/D148, "NA")</f>
        <v>0</v>
      </c>
      <c r="F132" s="27">
        <v>0.0</v>
      </c>
      <c r="G132" s="23">
        <f>IFERROR(F132/F148, "NA")</f>
        <v>0</v>
      </c>
      <c r="H132" s="27">
        <v>0.0</v>
      </c>
      <c r="I132" s="23">
        <f>IFERROR(H132/H148, "NA")</f>
        <v>0</v>
      </c>
      <c r="J132" s="27">
        <v>0.0</v>
      </c>
      <c r="K132" s="23">
        <f>IFERROR(J132/J148, "NA")</f>
        <v>0</v>
      </c>
      <c r="L132" s="27">
        <v>0.0</v>
      </c>
      <c r="M132" s="23">
        <f>IFERROR(L132/L148, "NA")</f>
        <v>0</v>
      </c>
      <c r="N132" s="27">
        <v>0.0</v>
      </c>
      <c r="O132" s="23">
        <f>IFERROR(N132/N148, "NA")</f>
        <v>0</v>
      </c>
      <c r="P132" s="27">
        <v>0.0</v>
      </c>
      <c r="Q132" s="23">
        <f>IFERROR(P132/P148, "NA")</f>
        <v>0</v>
      </c>
      <c r="R132" s="27">
        <v>0.0</v>
      </c>
      <c r="S132" s="23">
        <f>IFERROR(R132/R148, "NA")</f>
        <v>0</v>
      </c>
      <c r="T132" s="27">
        <v>0.0</v>
      </c>
      <c r="U132" s="23">
        <f>IFERROR(T132/T148, "NA")</f>
        <v>0</v>
      </c>
      <c r="V132" s="27">
        <v>0.0</v>
      </c>
      <c r="W132" s="23">
        <f>IFERROR(V132/V148, "NA")</f>
        <v>0</v>
      </c>
      <c r="X132" s="27">
        <v>0.0</v>
      </c>
      <c r="Y132" s="23">
        <f>IFERROR(X132/X148, "NA")</f>
        <v>0</v>
      </c>
      <c r="Z132" s="27">
        <v>0.0</v>
      </c>
      <c r="AA132" s="23">
        <f>IFERROR(Z132/Z148, "NA")</f>
        <v>0</v>
      </c>
      <c r="AB132" s="59">
        <f t="shared" si="55"/>
        <v>0</v>
      </c>
      <c r="AC132" s="23">
        <f>IFERROR(AB132/AB148, "NA")</f>
        <v>0</v>
      </c>
      <c r="AD132" s="61">
        <f t="shared" si="56"/>
        <v>0</v>
      </c>
      <c r="AE132" s="63">
        <f>IFERROR(AD132/AD148, "NA")</f>
        <v>0</v>
      </c>
      <c r="AF132" s="61" t="str">
        <f t="shared" si="57"/>
        <v>NA</v>
      </c>
      <c r="AG132" s="59">
        <f t="shared" si="58"/>
        <v>0</v>
      </c>
      <c r="AH132" s="23">
        <f>IFERROR(AG132/AG148, "NA")</f>
        <v>0</v>
      </c>
      <c r="AI132" s="61">
        <f t="shared" si="59"/>
        <v>0</v>
      </c>
      <c r="AJ132" s="63">
        <f>IFERROR(AI132/AI148, "NA")</f>
        <v>0</v>
      </c>
      <c r="AK132" s="61" t="str">
        <f t="shared" si="60"/>
        <v>NA</v>
      </c>
      <c r="AL132" s="63" t="str">
        <f>IFERROR(AK132/AK148, "NA")</f>
        <v>NA</v>
      </c>
    </row>
    <row r="133" ht="16.5" hidden="1" customHeight="1">
      <c r="A133" s="26" t="s">
        <v>233</v>
      </c>
      <c r="B133" s="27">
        <v>0.0</v>
      </c>
      <c r="C133" s="23">
        <f>IFERROR(B133/B148, "NA")</f>
        <v>0</v>
      </c>
      <c r="D133" s="27">
        <v>0.0</v>
      </c>
      <c r="E133" s="23">
        <f>IFERROR(D133/D148, "NA")</f>
        <v>0</v>
      </c>
      <c r="F133" s="27">
        <v>0.0</v>
      </c>
      <c r="G133" s="23">
        <f>IFERROR(F133/F148, "NA")</f>
        <v>0</v>
      </c>
      <c r="H133" s="27">
        <v>0.0</v>
      </c>
      <c r="I133" s="23">
        <f>IFERROR(H133/H148, "NA")</f>
        <v>0</v>
      </c>
      <c r="J133" s="27">
        <v>0.0</v>
      </c>
      <c r="K133" s="23">
        <f>IFERROR(J133/J148, "NA")</f>
        <v>0</v>
      </c>
      <c r="L133" s="27">
        <v>0.0</v>
      </c>
      <c r="M133" s="23">
        <f>IFERROR(L133/L148, "NA")</f>
        <v>0</v>
      </c>
      <c r="N133" s="27">
        <v>0.0</v>
      </c>
      <c r="O133" s="23">
        <f>IFERROR(N133/N148, "NA")</f>
        <v>0</v>
      </c>
      <c r="P133" s="27">
        <v>0.0</v>
      </c>
      <c r="Q133" s="23">
        <f>IFERROR(P133/P148, "NA")</f>
        <v>0</v>
      </c>
      <c r="R133" s="27">
        <v>0.0</v>
      </c>
      <c r="S133" s="23">
        <f>IFERROR(R133/R148, "NA")</f>
        <v>0</v>
      </c>
      <c r="T133" s="27">
        <v>0.0</v>
      </c>
      <c r="U133" s="23">
        <f>IFERROR(T133/T148, "NA")</f>
        <v>0</v>
      </c>
      <c r="V133" s="27">
        <v>0.0</v>
      </c>
      <c r="W133" s="23">
        <f>IFERROR(V133/V148, "NA")</f>
        <v>0</v>
      </c>
      <c r="X133" s="27">
        <v>0.0</v>
      </c>
      <c r="Y133" s="23">
        <f>IFERROR(X133/X148, "NA")</f>
        <v>0</v>
      </c>
      <c r="Z133" s="27">
        <v>0.0</v>
      </c>
      <c r="AA133" s="23">
        <f>IFERROR(Z133/Z148, "NA")</f>
        <v>0</v>
      </c>
      <c r="AB133" s="59">
        <f t="shared" si="55"/>
        <v>0</v>
      </c>
      <c r="AC133" s="23">
        <f>IFERROR(AB133/AB148, "NA")</f>
        <v>0</v>
      </c>
      <c r="AD133" s="61">
        <f t="shared" si="56"/>
        <v>0</v>
      </c>
      <c r="AE133" s="63">
        <f>IFERROR(AD133/AD148, "NA")</f>
        <v>0</v>
      </c>
      <c r="AF133" s="61" t="str">
        <f t="shared" si="57"/>
        <v>NA</v>
      </c>
      <c r="AG133" s="59">
        <f t="shared" si="58"/>
        <v>0</v>
      </c>
      <c r="AH133" s="23">
        <f>IFERROR(AG133/AG148, "NA")</f>
        <v>0</v>
      </c>
      <c r="AI133" s="61">
        <f t="shared" si="59"/>
        <v>0</v>
      </c>
      <c r="AJ133" s="63">
        <f>IFERROR(AI133/AI148, "NA")</f>
        <v>0</v>
      </c>
      <c r="AK133" s="61" t="str">
        <f t="shared" si="60"/>
        <v>NA</v>
      </c>
      <c r="AL133" s="63" t="str">
        <f>IFERROR(AK133/AK148, "NA")</f>
        <v>NA</v>
      </c>
    </row>
    <row r="134" ht="16.5" hidden="1" customHeight="1">
      <c r="A134" s="26" t="s">
        <v>234</v>
      </c>
      <c r="B134" s="27">
        <v>0.0</v>
      </c>
      <c r="C134" s="23">
        <f>IFERROR(B134/B148, "NA")</f>
        <v>0</v>
      </c>
      <c r="D134" s="27">
        <v>0.0</v>
      </c>
      <c r="E134" s="23">
        <f>IFERROR(D134/D148, "NA")</f>
        <v>0</v>
      </c>
      <c r="F134" s="27">
        <v>0.0</v>
      </c>
      <c r="G134" s="23">
        <f>IFERROR(F134/F148, "NA")</f>
        <v>0</v>
      </c>
      <c r="H134" s="27">
        <v>0.0</v>
      </c>
      <c r="I134" s="23">
        <f>IFERROR(H134/H148, "NA")</f>
        <v>0</v>
      </c>
      <c r="J134" s="27">
        <v>0.0</v>
      </c>
      <c r="K134" s="23">
        <f>IFERROR(J134/J148, "NA")</f>
        <v>0</v>
      </c>
      <c r="L134" s="27">
        <v>0.0</v>
      </c>
      <c r="M134" s="23">
        <f>IFERROR(L134/L148, "NA")</f>
        <v>0</v>
      </c>
      <c r="N134" s="27">
        <v>0.0</v>
      </c>
      <c r="O134" s="23">
        <f>IFERROR(N134/N148, "NA")</f>
        <v>0</v>
      </c>
      <c r="P134" s="27">
        <v>0.0</v>
      </c>
      <c r="Q134" s="23">
        <f>IFERROR(P134/P148, "NA")</f>
        <v>0</v>
      </c>
      <c r="R134" s="27">
        <v>0.0</v>
      </c>
      <c r="S134" s="23">
        <f>IFERROR(R134/R148, "NA")</f>
        <v>0</v>
      </c>
      <c r="T134" s="27">
        <v>0.0</v>
      </c>
      <c r="U134" s="23">
        <f>IFERROR(T134/T148, "NA")</f>
        <v>0</v>
      </c>
      <c r="V134" s="27">
        <v>0.0</v>
      </c>
      <c r="W134" s="23">
        <f>IFERROR(V134/V148, "NA")</f>
        <v>0</v>
      </c>
      <c r="X134" s="27">
        <v>0.0</v>
      </c>
      <c r="Y134" s="23">
        <f>IFERROR(X134/X148, "NA")</f>
        <v>0</v>
      </c>
      <c r="Z134" s="27">
        <v>0.0</v>
      </c>
      <c r="AA134" s="23">
        <f>IFERROR(Z134/Z148, "NA")</f>
        <v>0</v>
      </c>
      <c r="AB134" s="59">
        <f t="shared" si="55"/>
        <v>0</v>
      </c>
      <c r="AC134" s="23">
        <f>IFERROR(AB134/AB148, "NA")</f>
        <v>0</v>
      </c>
      <c r="AD134" s="61">
        <f t="shared" si="56"/>
        <v>0</v>
      </c>
      <c r="AE134" s="63">
        <f>IFERROR(AD134/AD148, "NA")</f>
        <v>0</v>
      </c>
      <c r="AF134" s="61" t="str">
        <f t="shared" si="57"/>
        <v>NA</v>
      </c>
      <c r="AG134" s="59">
        <f t="shared" si="58"/>
        <v>0</v>
      </c>
      <c r="AH134" s="23">
        <f>IFERROR(AG134/AG148, "NA")</f>
        <v>0</v>
      </c>
      <c r="AI134" s="61">
        <f t="shared" si="59"/>
        <v>0</v>
      </c>
      <c r="AJ134" s="63">
        <f>IFERROR(AI134/AI148, "NA")</f>
        <v>0</v>
      </c>
      <c r="AK134" s="61" t="str">
        <f t="shared" si="60"/>
        <v>NA</v>
      </c>
      <c r="AL134" s="63" t="str">
        <f>IFERROR(AK134/AK148, "NA")</f>
        <v>NA</v>
      </c>
    </row>
    <row r="135" ht="16.5" hidden="1" customHeight="1">
      <c r="A135" s="66" t="s">
        <v>235</v>
      </c>
      <c r="B135" s="67">
        <f>IFERROR(B110+B111+B112+B113+B114+B115+B116+B117+B118+B119+B120+B121+B122+B123+B124+B125+B126+B127+B128+B129+B130+B131+B132+B133+B134, "NA")</f>
        <v>410.96</v>
      </c>
      <c r="C135" s="69">
        <f>IFERROR(B135/B148, "NA")</f>
        <v>0.01412040553</v>
      </c>
      <c r="D135" s="67">
        <f>IFERROR(D110+D111+D112+D113+D114+D115+D116+D117+D118+D119+D120+D121+D122+D123+D124+D125+D126+D127+D128+D129+D130+D131+D132+D133+D134, "NA")</f>
        <v>451.09</v>
      </c>
      <c r="E135" s="69">
        <f>IFERROR(D135/D148, "NA")</f>
        <v>0.01406377194</v>
      </c>
      <c r="F135" s="67">
        <f>IFERROR(F110+F111+F112+F113+F114+F115+F116+F117+F118+F119+F120+F121+F122+F123+F124+F125+F126+F127+F128+F129+F130+F131+F132+F133+F134, "NA")</f>
        <v>-1155.34</v>
      </c>
      <c r="G135" s="69">
        <f>IFERROR(F135/F148, "NA")</f>
        <v>-0.04389512949</v>
      </c>
      <c r="H135" s="67">
        <f>IFERROR(H110+H111+H112+H113+H114+H115+H116+H117+H118+H119+H120+H121+H122+H123+H124+H125+H126+H127+H128+H129+H130+H131+H132+H133+H134, "NA")</f>
        <v>402.05</v>
      </c>
      <c r="I135" s="69">
        <f>IFERROR(H135/H148, "NA")</f>
        <v>0.01624422129</v>
      </c>
      <c r="J135" s="67">
        <f>IFERROR(J110+J111+J112+J113+J114+J115+J116+J117+J118+J119+J120+J121+J122+J123+J124+J125+J126+J127+J128+J129+J130+J131+J132+J133+J134, "NA")</f>
        <v>316.96</v>
      </c>
      <c r="K135" s="69">
        <f>IFERROR(J135/J148, "NA")</f>
        <v>0.01197308021</v>
      </c>
      <c r="L135" s="67">
        <f>IFERROR(L110+L111+L112+L113+L114+L115+L116+L117+L118+L119+L120+L121+L122+L123+L124+L125+L126+L127+L128+L129+L130+L131+L132+L133+L134, "NA")</f>
        <v>327.92</v>
      </c>
      <c r="M135" s="69">
        <f>IFERROR(L135/L148, "NA")</f>
        <v>0.0131817968</v>
      </c>
      <c r="N135" s="67">
        <f>IFERROR(N110+N111+N112+N113+N114+N115+N116+N117+N118+N119+N120+N121+N122+N123+N124+N125+N126+N127+N128+N129+N130+N131+N132+N133+N134, "NA")</f>
        <v>337.45</v>
      </c>
      <c r="O135" s="69">
        <f>IFERROR(N135/N148, "NA")</f>
        <v>0.01104722595</v>
      </c>
      <c r="P135" s="67">
        <f>IFERROR(P110+P111+P112+P113+P114+P115+P116+P117+P118+P119+P120+P121+P122+P123+P124+P125+P126+P127+P128+P129+P130+P131+P132+P133+P134, "NA")</f>
        <v>-1384.38</v>
      </c>
      <c r="Q135" s="69">
        <f>IFERROR(P135/P148, "NA")</f>
        <v>-0.04092309457</v>
      </c>
      <c r="R135" s="67">
        <f>IFERROR(R110+R111+R112+R113+R114+R115+R116+R117+R118+R119+R120+R121+R122+R123+R124+R125+R126+R127+R128+R129+R130+R131+R132+R133+R134, "NA")</f>
        <v>268.79</v>
      </c>
      <c r="S135" s="69">
        <f>IFERROR(R135/R148, "NA")</f>
        <v>0.01079991016</v>
      </c>
      <c r="T135" s="67">
        <f>IFERROR(T110+T111+T112+T113+T114+T115+T116+T117+T118+T119+T120+T121+T122+T123+T124+T125+T126+T127+T128+T129+T130+T131+T132+T133+T134, "NA")</f>
        <v>287.24</v>
      </c>
      <c r="U135" s="69">
        <f>IFERROR(T135/T148, "NA")</f>
        <v>0.009078533869</v>
      </c>
      <c r="V135" s="67">
        <f>IFERROR(V110+V111+V112+V113+V114+V115+V116+V117+V118+V119+V120+V121+V122+V123+V124+V125+V126+V127+V128+V129+V130+V131+V132+V133+V134, "NA")</f>
        <v>303.3</v>
      </c>
      <c r="W135" s="69">
        <f>IFERROR(V135/V148, "NA")</f>
        <v>0.01008288041</v>
      </c>
      <c r="X135" s="67">
        <f>IFERROR(X110+X111+X112+X113+X114+X115+X116+X117+X118+X119+X120+X121+X122+X123+X124+X125+X126+X127+X128+X129+X130+X131+X132+X133+X134, "NA")</f>
        <v>238.25</v>
      </c>
      <c r="Y135" s="69">
        <f>IFERROR(X135/X148, "NA")</f>
        <v>0.009570556189</v>
      </c>
      <c r="Z135" s="67">
        <f>IFERROR(Z110+Z111+Z112+Z113+Z114+Z115+Z116+Z117+Z118+Z119+Z120+Z121+Z122+Z123+Z124+Z125+Z126+Z127+Z128+Z129+Z130+Z131+Z132+Z133+Z134, "NA")</f>
        <v>1097.58</v>
      </c>
      <c r="AA135" s="69">
        <f>IFERROR(Z135/Z148, "NA")</f>
        <v>0.00984355582</v>
      </c>
      <c r="AB135" s="67">
        <f t="shared" si="55"/>
        <v>274.395</v>
      </c>
      <c r="AC135" s="69">
        <f>IFERROR(AB135/AB148, "NA")</f>
        <v>0.00984355582</v>
      </c>
      <c r="AD135" s="70">
        <f t="shared" si="56"/>
        <v>-36.145</v>
      </c>
      <c r="AE135" s="71">
        <f>IFERROR(AD135/AD148, "NA")</f>
        <v>0.01212293993</v>
      </c>
      <c r="AF135" s="70">
        <f t="shared" si="57"/>
        <v>-0.1317261612</v>
      </c>
      <c r="AG135" s="67">
        <f t="shared" si="58"/>
        <v>86.94125</v>
      </c>
      <c r="AH135" s="69">
        <f>IFERROR(AG135/AG148, "NA")</f>
        <v>0.003060950692</v>
      </c>
      <c r="AI135" s="70">
        <f t="shared" si="59"/>
        <v>151.30875</v>
      </c>
      <c r="AJ135" s="71">
        <f>IFERROR(AI135/AI148, "NA")</f>
        <v>-0.04311664294</v>
      </c>
      <c r="AK135" s="70">
        <f t="shared" si="60"/>
        <v>1.740356275</v>
      </c>
      <c r="AL135" s="71">
        <f>IFERROR(AK135/AK148, "NA")</f>
        <v>-14.08602989</v>
      </c>
    </row>
    <row r="136" ht="16.5" hidden="1" customHeight="1">
      <c r="A136" s="120" t="s">
        <v>6</v>
      </c>
      <c r="B136" s="121"/>
      <c r="C136" s="76"/>
      <c r="D136" s="121"/>
      <c r="E136" s="76"/>
      <c r="F136" s="121"/>
      <c r="G136" s="76"/>
      <c r="H136" s="121"/>
      <c r="I136" s="76"/>
      <c r="J136" s="121"/>
      <c r="K136" s="76"/>
      <c r="L136" s="121"/>
      <c r="M136" s="76"/>
      <c r="N136" s="121"/>
      <c r="O136" s="76"/>
      <c r="P136" s="121"/>
      <c r="Q136" s="76"/>
      <c r="R136" s="121"/>
      <c r="S136" s="76"/>
      <c r="T136" s="121"/>
      <c r="U136" s="76"/>
      <c r="V136" s="121"/>
      <c r="W136" s="76"/>
      <c r="X136" s="121"/>
      <c r="Y136" s="76"/>
      <c r="Z136" s="121"/>
      <c r="AA136" s="76"/>
      <c r="AB136" s="121"/>
      <c r="AC136" s="76"/>
      <c r="AD136" s="122"/>
      <c r="AE136" s="78"/>
      <c r="AF136" s="122"/>
      <c r="AG136" s="121"/>
      <c r="AH136" s="76"/>
      <c r="AI136" s="122"/>
      <c r="AJ136" s="78"/>
      <c r="AK136" s="122"/>
      <c r="AL136" s="78"/>
    </row>
    <row r="137" ht="16.5" hidden="1" customHeight="1">
      <c r="A137" s="118" t="s">
        <v>236</v>
      </c>
      <c r="B137" s="119">
        <f>IFERROR(B107-B135, "NA")</f>
        <v>7705.77</v>
      </c>
      <c r="C137" s="107">
        <f>IFERROR(B137/B148, "NA")</f>
        <v>0.2647668807</v>
      </c>
      <c r="D137" s="119">
        <f>IFERROR(D107-D135, "NA")</f>
        <v>3524.24</v>
      </c>
      <c r="E137" s="107">
        <f>IFERROR(D137/D148, "NA")</f>
        <v>0.1098763165</v>
      </c>
      <c r="F137" s="119">
        <f>IFERROR(F107-F135, "NA")</f>
        <v>-14894.7</v>
      </c>
      <c r="G137" s="107">
        <f>IFERROR(F137/F148, "NA")</f>
        <v>-0.5658981644</v>
      </c>
      <c r="H137" s="119">
        <f>IFERROR(H107-H135, "NA")</f>
        <v>5341.07</v>
      </c>
      <c r="I137" s="107">
        <f>IFERROR(H137/H148, "NA")</f>
        <v>0.2157978436</v>
      </c>
      <c r="J137" s="119">
        <f>IFERROR(J107-J135, "NA")</f>
        <v>6695.29</v>
      </c>
      <c r="K137" s="107">
        <f>IFERROR(J137/J148, "NA")</f>
        <v>0.2529128099</v>
      </c>
      <c r="L137" s="119">
        <f>IFERROR(L107-L135, "NA")</f>
        <v>6139.89</v>
      </c>
      <c r="M137" s="107">
        <f>IFERROR(L137/L148, "NA")</f>
        <v>0.2468125835</v>
      </c>
      <c r="N137" s="119">
        <f>IFERROR(N107-N135, "NA")</f>
        <v>1131.79</v>
      </c>
      <c r="O137" s="107">
        <f>IFERROR(N137/N148, "NA")</f>
        <v>0.03705182948</v>
      </c>
      <c r="P137" s="119">
        <f>IFERROR(P107-P135, "NA")</f>
        <v>-17097.24</v>
      </c>
      <c r="Q137" s="107">
        <f>IFERROR(P137/P148, "NA")</f>
        <v>-0.5054045633</v>
      </c>
      <c r="R137" s="119">
        <f>IFERROR(R107-R135, "NA")</f>
        <v>2558.85</v>
      </c>
      <c r="S137" s="107">
        <f>IFERROR(R137/R148, "NA")</f>
        <v>0.1028139072</v>
      </c>
      <c r="T137" s="119">
        <f>IFERROR(T107-T135, "NA")</f>
        <v>6428.56</v>
      </c>
      <c r="U137" s="107">
        <f>IFERROR(T137/T148, "NA")</f>
        <v>0.2031816589</v>
      </c>
      <c r="V137" s="119">
        <f>IFERROR(V107-V135, "NA")</f>
        <v>2140.9</v>
      </c>
      <c r="W137" s="107">
        <f>IFERROR(V137/V148, "NA")</f>
        <v>0.07117190463</v>
      </c>
      <c r="X137" s="119">
        <f>IFERROR(X107-X135, "NA")</f>
        <v>9484.09</v>
      </c>
      <c r="Y137" s="107">
        <f>IFERROR(X137/X148, "NA")</f>
        <v>0.3809780325</v>
      </c>
      <c r="Z137" s="119">
        <f>IFERROR(Z107-Z135, "NA")</f>
        <v>20612.4</v>
      </c>
      <c r="AA137" s="107">
        <f>IFERROR(Z137/Z148, "NA")</f>
        <v>0.1848606115</v>
      </c>
      <c r="AB137" s="119">
        <f>IFERROR((R137+T137+V137+X137)/4, "NA")</f>
        <v>5153.1</v>
      </c>
      <c r="AC137" s="107">
        <f>IFERROR(AB137/AB148, "NA")</f>
        <v>0.1848606115</v>
      </c>
      <c r="AD137" s="70">
        <f>IFERROR(X137-AB137, "NA")</f>
        <v>4330.99</v>
      </c>
      <c r="AE137" s="71">
        <f>IFERROR(AD137/AD148, "NA")</f>
        <v>-1.452602894</v>
      </c>
      <c r="AF137" s="70">
        <f>IFERROR((X137-AB137)/AB137, "NA")</f>
        <v>0.8404630223</v>
      </c>
      <c r="AG137" s="119">
        <f>IFERROR((J137+L137+N137+P137+R137+T137+V137+X137)/8, "NA")</f>
        <v>2185.26625</v>
      </c>
      <c r="AH137" s="107">
        <f>IFERROR(AG137/AG148, "NA")</f>
        <v>0.0769369228</v>
      </c>
      <c r="AI137" s="70">
        <f>IFERROR(X137-AG137, "NA")</f>
        <v>7298.82375</v>
      </c>
      <c r="AJ137" s="71">
        <f>IFERROR(AI137/AI148, "NA")</f>
        <v>-2.079858419</v>
      </c>
      <c r="AK137" s="70">
        <f>IFERROR((X137-AG137)/AG137, "NA")</f>
        <v>3.340015776</v>
      </c>
      <c r="AL137" s="71">
        <f>IFERROR(AK137/AK148, "NA")</f>
        <v>-27.03329355</v>
      </c>
    </row>
    <row r="138" ht="3.75" hidden="1" customHeight="1">
      <c r="A138" s="120" t="s">
        <v>6</v>
      </c>
      <c r="B138" s="121"/>
      <c r="C138" s="76"/>
      <c r="D138" s="121"/>
      <c r="E138" s="76"/>
      <c r="F138" s="121"/>
      <c r="G138" s="76"/>
      <c r="H138" s="121"/>
      <c r="I138" s="76"/>
      <c r="J138" s="121"/>
      <c r="K138" s="76"/>
      <c r="L138" s="121"/>
      <c r="M138" s="76"/>
      <c r="N138" s="121"/>
      <c r="O138" s="76"/>
      <c r="P138" s="121"/>
      <c r="Q138" s="76"/>
      <c r="R138" s="121"/>
      <c r="S138" s="76"/>
      <c r="T138" s="121"/>
      <c r="U138" s="76"/>
      <c r="V138" s="121"/>
      <c r="W138" s="76"/>
      <c r="X138" s="121"/>
      <c r="Y138" s="76"/>
      <c r="Z138" s="121"/>
      <c r="AA138" s="76"/>
      <c r="AB138" s="121"/>
      <c r="AC138" s="76"/>
      <c r="AD138" s="122"/>
      <c r="AE138" s="78"/>
      <c r="AF138" s="122"/>
      <c r="AG138" s="121"/>
      <c r="AH138" s="76"/>
      <c r="AI138" s="122"/>
      <c r="AJ138" s="78"/>
      <c r="AK138" s="122"/>
      <c r="AL138" s="78"/>
    </row>
    <row r="139" ht="16.5" hidden="1" customHeight="1">
      <c r="A139" s="17" t="s">
        <v>237</v>
      </c>
      <c r="B139" s="19"/>
      <c r="C139" s="13"/>
      <c r="D139" s="19"/>
      <c r="E139" s="13"/>
      <c r="F139" s="19"/>
      <c r="G139" s="13"/>
      <c r="H139" s="19"/>
      <c r="I139" s="13"/>
      <c r="J139" s="19"/>
      <c r="K139" s="13"/>
      <c r="L139" s="19"/>
      <c r="M139" s="13"/>
      <c r="N139" s="19"/>
      <c r="O139" s="13"/>
      <c r="P139" s="19"/>
      <c r="Q139" s="13"/>
      <c r="R139" s="19"/>
      <c r="S139" s="13"/>
      <c r="T139" s="19"/>
      <c r="U139" s="13"/>
      <c r="V139" s="19"/>
      <c r="W139" s="13"/>
      <c r="X139" s="19"/>
      <c r="Y139" s="13"/>
      <c r="Z139" s="19"/>
      <c r="AA139" s="13"/>
      <c r="AB139" s="19"/>
      <c r="AC139" s="13"/>
      <c r="AD139" s="24"/>
      <c r="AE139" s="25"/>
      <c r="AF139" s="24"/>
      <c r="AG139" s="19"/>
      <c r="AH139" s="13"/>
      <c r="AI139" s="24"/>
      <c r="AJ139" s="25"/>
      <c r="AK139" s="24"/>
      <c r="AL139" s="25"/>
    </row>
    <row r="140" ht="16.5" hidden="1" customHeight="1">
      <c r="A140" s="26" t="s">
        <v>238</v>
      </c>
      <c r="B140" s="27">
        <v>0.0</v>
      </c>
      <c r="C140" s="23">
        <f>IFERROR(B140/B148, "NA")</f>
        <v>0</v>
      </c>
      <c r="D140" s="27">
        <v>0.0</v>
      </c>
      <c r="E140" s="23">
        <f>IFERROR(D140/D148, "NA")</f>
        <v>0</v>
      </c>
      <c r="F140" s="27">
        <v>10579.2</v>
      </c>
      <c r="G140" s="23">
        <f>IFERROR(F140/F148, "NA")</f>
        <v>0.401938264</v>
      </c>
      <c r="H140" s="27">
        <v>0.0</v>
      </c>
      <c r="I140" s="23">
        <f>IFERROR(H140/H148, "NA")</f>
        <v>0</v>
      </c>
      <c r="J140" s="27">
        <v>0.0</v>
      </c>
      <c r="K140" s="23">
        <f>IFERROR(J140/J148, "NA")</f>
        <v>0</v>
      </c>
      <c r="L140" s="27">
        <v>0.0</v>
      </c>
      <c r="M140" s="23">
        <f>IFERROR(L140/L148, "NA")</f>
        <v>0</v>
      </c>
      <c r="N140" s="27">
        <v>-93.00999999999999</v>
      </c>
      <c r="O140" s="23">
        <f>IFERROR(N140/N148, "NA")</f>
        <v>-0.003044902906</v>
      </c>
      <c r="P140" s="27">
        <v>11213.88</v>
      </c>
      <c r="Q140" s="23">
        <f>IFERROR(P140/P148, "NA")</f>
        <v>0.3314889494</v>
      </c>
      <c r="R140" s="27">
        <v>0.0</v>
      </c>
      <c r="S140" s="23">
        <f>IFERROR(R140/R148, "NA")</f>
        <v>0</v>
      </c>
      <c r="T140" s="27">
        <v>0.0</v>
      </c>
      <c r="U140" s="23">
        <f>IFERROR(T140/T148, "NA")</f>
        <v>0</v>
      </c>
      <c r="V140" s="27">
        <v>0.0</v>
      </c>
      <c r="W140" s="23">
        <f>IFERROR(V140/V148, "NA")</f>
        <v>0</v>
      </c>
      <c r="X140" s="27">
        <v>-67.54</v>
      </c>
      <c r="Y140" s="23">
        <f>IFERROR(X140/X148, "NA")</f>
        <v>-0.00271309702</v>
      </c>
      <c r="Z140" s="27">
        <v>-67.54</v>
      </c>
      <c r="AA140" s="23">
        <f>IFERROR(Z140/Z148, "NA")</f>
        <v>-0.0006057269266</v>
      </c>
      <c r="AB140" s="59">
        <f t="shared" ref="AB140:AB141" si="61">IFERROR((R140+T140+V140+X140)/4, "NA")</f>
        <v>-16.885</v>
      </c>
      <c r="AC140" s="23">
        <f>IFERROR(AB140/AB148, "NA")</f>
        <v>-0.0006057269266</v>
      </c>
      <c r="AD140" s="61">
        <f t="shared" ref="AD140:AD141" si="62">IFERROR(X140-AB140, "NA")</f>
        <v>-50.655</v>
      </c>
      <c r="AE140" s="63">
        <f>IFERROR(AD140/AD148, "NA")</f>
        <v>0.01698955656</v>
      </c>
      <c r="AF140" s="61">
        <f t="shared" ref="AF140:AF141" si="63">IFERROR((X140-AB140)/AB140, "NA")</f>
        <v>3</v>
      </c>
      <c r="AG140" s="59">
        <f t="shared" ref="AG140:AG141" si="64">IFERROR((J140+L140+N140+P140+R140+T140+V140+X140)/8, "NA")</f>
        <v>1381.66625</v>
      </c>
      <c r="AH140" s="23">
        <f>IFERROR(AG140/AG148, "NA")</f>
        <v>0.04864448422</v>
      </c>
      <c r="AI140" s="61">
        <f t="shared" ref="AI140:AI141" si="65">IFERROR(X140-AG140, "NA")</f>
        <v>-1449.20625</v>
      </c>
      <c r="AJ140" s="63">
        <f>IFERROR(AI140/AI148, "NA")</f>
        <v>0.4129629544</v>
      </c>
      <c r="AK140" s="61">
        <f t="shared" ref="AK140:AK141" si="66">IFERROR((X140-AG140)/AG140, "NA")</f>
        <v>-1.048883006</v>
      </c>
      <c r="AL140" s="63">
        <f>IFERROR(AK140/AK148, "NA")</f>
        <v>8.489409663</v>
      </c>
    </row>
    <row r="141" ht="16.5" hidden="1" customHeight="1">
      <c r="A141" s="66" t="s">
        <v>239</v>
      </c>
      <c r="B141" s="67">
        <f>IFERROR(B140, "NA")</f>
        <v>0</v>
      </c>
      <c r="C141" s="69">
        <f>IFERROR(B141/B148, "NA")</f>
        <v>0</v>
      </c>
      <c r="D141" s="67">
        <f>IFERROR(D140, "NA")</f>
        <v>0</v>
      </c>
      <c r="E141" s="69">
        <f>IFERROR(D141/D148, "NA")</f>
        <v>0</v>
      </c>
      <c r="F141" s="67">
        <f>IFERROR(F140, "NA")</f>
        <v>10579.2</v>
      </c>
      <c r="G141" s="69">
        <f>IFERROR(F141/F148, "NA")</f>
        <v>0.401938264</v>
      </c>
      <c r="H141" s="67">
        <f>IFERROR(H140, "NA")</f>
        <v>0</v>
      </c>
      <c r="I141" s="69">
        <f>IFERROR(H141/H148, "NA")</f>
        <v>0</v>
      </c>
      <c r="J141" s="67">
        <f>IFERROR(J140, "NA")</f>
        <v>0</v>
      </c>
      <c r="K141" s="69">
        <f>IFERROR(J141/J148, "NA")</f>
        <v>0</v>
      </c>
      <c r="L141" s="67">
        <f>IFERROR(L140, "NA")</f>
        <v>0</v>
      </c>
      <c r="M141" s="69">
        <f>IFERROR(L141/L148, "NA")</f>
        <v>0</v>
      </c>
      <c r="N141" s="67">
        <f>IFERROR(N140, "NA")</f>
        <v>-93.01</v>
      </c>
      <c r="O141" s="69">
        <f>IFERROR(N141/N148, "NA")</f>
        <v>-0.003044902906</v>
      </c>
      <c r="P141" s="67">
        <f>IFERROR(P140, "NA")</f>
        <v>11213.88</v>
      </c>
      <c r="Q141" s="69">
        <f>IFERROR(P141/P148, "NA")</f>
        <v>0.3314889494</v>
      </c>
      <c r="R141" s="67">
        <f>IFERROR(R140, "NA")</f>
        <v>0</v>
      </c>
      <c r="S141" s="69">
        <f>IFERROR(R141/R148, "NA")</f>
        <v>0</v>
      </c>
      <c r="T141" s="67">
        <f>IFERROR(T140, "NA")</f>
        <v>0</v>
      </c>
      <c r="U141" s="69">
        <f>IFERROR(T141/T148, "NA")</f>
        <v>0</v>
      </c>
      <c r="V141" s="67">
        <f>IFERROR(V140, "NA")</f>
        <v>0</v>
      </c>
      <c r="W141" s="69">
        <f>IFERROR(V141/V148, "NA")</f>
        <v>0</v>
      </c>
      <c r="X141" s="67">
        <f>IFERROR(X140, "NA")</f>
        <v>-67.54</v>
      </c>
      <c r="Y141" s="69">
        <f>IFERROR(X141/X148, "NA")</f>
        <v>-0.00271309702</v>
      </c>
      <c r="Z141" s="67">
        <f>IFERROR(Z140, "NA")</f>
        <v>-67.54</v>
      </c>
      <c r="AA141" s="69">
        <f>IFERROR(Z141/Z148, "NA")</f>
        <v>-0.0006057269266</v>
      </c>
      <c r="AB141" s="67">
        <f t="shared" si="61"/>
        <v>-16.885</v>
      </c>
      <c r="AC141" s="69">
        <f>IFERROR(AB141/AB148, "NA")</f>
        <v>-0.0006057269266</v>
      </c>
      <c r="AD141" s="70">
        <f t="shared" si="62"/>
        <v>-50.655</v>
      </c>
      <c r="AE141" s="71">
        <f>IFERROR(AD141/AD148, "NA")</f>
        <v>0.01698955656</v>
      </c>
      <c r="AF141" s="70">
        <f t="shared" si="63"/>
        <v>3</v>
      </c>
      <c r="AG141" s="67">
        <f t="shared" si="64"/>
        <v>1381.66625</v>
      </c>
      <c r="AH141" s="69">
        <f>IFERROR(AG141/AG148, "NA")</f>
        <v>0.04864448422</v>
      </c>
      <c r="AI141" s="70">
        <f t="shared" si="65"/>
        <v>-1449.20625</v>
      </c>
      <c r="AJ141" s="71">
        <f>IFERROR(AI141/AI148, "NA")</f>
        <v>0.4129629544</v>
      </c>
      <c r="AK141" s="70">
        <f t="shared" si="66"/>
        <v>-1.048883006</v>
      </c>
      <c r="AL141" s="71">
        <f>IFERROR(AK141/AK148, "NA")</f>
        <v>8.489409663</v>
      </c>
    </row>
    <row r="142" ht="3.75" hidden="1" customHeight="1">
      <c r="A142" s="120" t="s">
        <v>6</v>
      </c>
      <c r="B142" s="121"/>
      <c r="C142" s="76"/>
      <c r="D142" s="121"/>
      <c r="E142" s="76"/>
      <c r="F142" s="121"/>
      <c r="G142" s="76"/>
      <c r="H142" s="121"/>
      <c r="I142" s="76"/>
      <c r="J142" s="121"/>
      <c r="K142" s="76"/>
      <c r="L142" s="121"/>
      <c r="M142" s="76"/>
      <c r="N142" s="121"/>
      <c r="O142" s="76"/>
      <c r="P142" s="121"/>
      <c r="Q142" s="76"/>
      <c r="R142" s="121"/>
      <c r="S142" s="76"/>
      <c r="T142" s="121"/>
      <c r="U142" s="76"/>
      <c r="V142" s="121"/>
      <c r="W142" s="76"/>
      <c r="X142" s="121"/>
      <c r="Y142" s="76"/>
      <c r="Z142" s="121"/>
      <c r="AA142" s="76"/>
      <c r="AB142" s="121"/>
      <c r="AC142" s="76"/>
      <c r="AD142" s="122"/>
      <c r="AE142" s="78"/>
      <c r="AF142" s="122"/>
      <c r="AG142" s="121"/>
      <c r="AH142" s="76"/>
      <c r="AI142" s="122"/>
      <c r="AJ142" s="78"/>
      <c r="AK142" s="122"/>
      <c r="AL142" s="78"/>
    </row>
    <row r="143" ht="16.5" hidden="1" customHeight="1">
      <c r="A143" s="17" t="s">
        <v>240</v>
      </c>
      <c r="B143" s="19"/>
      <c r="C143" s="13"/>
      <c r="D143" s="19"/>
      <c r="E143" s="13"/>
      <c r="F143" s="19"/>
      <c r="G143" s="13"/>
      <c r="H143" s="19"/>
      <c r="I143" s="13"/>
      <c r="J143" s="19"/>
      <c r="K143" s="13"/>
      <c r="L143" s="19"/>
      <c r="M143" s="13"/>
      <c r="N143" s="19"/>
      <c r="O143" s="13"/>
      <c r="P143" s="19"/>
      <c r="Q143" s="13"/>
      <c r="R143" s="19"/>
      <c r="S143" s="13"/>
      <c r="T143" s="19"/>
      <c r="U143" s="13"/>
      <c r="V143" s="19"/>
      <c r="W143" s="13"/>
      <c r="X143" s="19"/>
      <c r="Y143" s="13"/>
      <c r="Z143" s="19"/>
      <c r="AA143" s="13"/>
      <c r="AB143" s="19"/>
      <c r="AC143" s="13"/>
      <c r="AD143" s="24"/>
      <c r="AE143" s="25"/>
      <c r="AF143" s="24"/>
      <c r="AG143" s="19"/>
      <c r="AH143" s="13"/>
      <c r="AI143" s="24"/>
      <c r="AJ143" s="25"/>
      <c r="AK143" s="24"/>
      <c r="AL143" s="25"/>
    </row>
    <row r="144" ht="16.5" hidden="1" customHeight="1">
      <c r="A144" s="26" t="s">
        <v>241</v>
      </c>
      <c r="B144" s="27">
        <v>0.0</v>
      </c>
      <c r="C144" s="23">
        <f>IFERROR(B144/B148, "NA")</f>
        <v>0</v>
      </c>
      <c r="D144" s="27">
        <v>0.0</v>
      </c>
      <c r="E144" s="23">
        <f>IFERROR(D144/D148, "NA")</f>
        <v>0</v>
      </c>
      <c r="F144" s="27">
        <v>0.0</v>
      </c>
      <c r="G144" s="23">
        <f>IFERROR(F144/F148, "NA")</f>
        <v>0</v>
      </c>
      <c r="H144" s="27">
        <v>0.0</v>
      </c>
      <c r="I144" s="23">
        <f>IFERROR(H144/H148, "NA")</f>
        <v>0</v>
      </c>
      <c r="J144" s="27">
        <v>0.0</v>
      </c>
      <c r="K144" s="23">
        <f>IFERROR(J144/J148, "NA")</f>
        <v>0</v>
      </c>
      <c r="L144" s="27">
        <v>0.0</v>
      </c>
      <c r="M144" s="23">
        <f>IFERROR(L144/L148, "NA")</f>
        <v>0</v>
      </c>
      <c r="N144" s="27">
        <v>0.0</v>
      </c>
      <c r="O144" s="23">
        <f>IFERROR(N144/N148, "NA")</f>
        <v>0</v>
      </c>
      <c r="P144" s="27">
        <v>0.0</v>
      </c>
      <c r="Q144" s="23">
        <f>IFERROR(P144/P148, "NA")</f>
        <v>0</v>
      </c>
      <c r="R144" s="27">
        <v>0.0</v>
      </c>
      <c r="S144" s="23">
        <f>IFERROR(R144/R148, "NA")</f>
        <v>0</v>
      </c>
      <c r="T144" s="27">
        <v>0.0</v>
      </c>
      <c r="U144" s="23">
        <f>IFERROR(T144/T148, "NA")</f>
        <v>0</v>
      </c>
      <c r="V144" s="27">
        <v>0.0</v>
      </c>
      <c r="W144" s="23">
        <f>IFERROR(V144/V148, "NA")</f>
        <v>0</v>
      </c>
      <c r="X144" s="27">
        <v>0.0</v>
      </c>
      <c r="Y144" s="23">
        <f>IFERROR(X144/X148, "NA")</f>
        <v>0</v>
      </c>
      <c r="Z144" s="27">
        <v>0.0</v>
      </c>
      <c r="AA144" s="23">
        <f>IFERROR(Z144/Z148, "NA")</f>
        <v>0</v>
      </c>
      <c r="AB144" s="59">
        <f t="shared" ref="AB144:AB145" si="67">IFERROR((R144+T144+V144+X144)/4, "NA")</f>
        <v>0</v>
      </c>
      <c r="AC144" s="23">
        <f>IFERROR(AB144/AB148, "NA")</f>
        <v>0</v>
      </c>
      <c r="AD144" s="61">
        <f t="shared" ref="AD144:AD145" si="68">IFERROR(X144-AB144, "NA")</f>
        <v>0</v>
      </c>
      <c r="AE144" s="63">
        <f>IFERROR(AD144/AD148, "NA")</f>
        <v>0</v>
      </c>
      <c r="AF144" s="61" t="str">
        <f t="shared" ref="AF144:AF145" si="69">IFERROR((X144-AB144)/AB144, "NA")</f>
        <v>NA</v>
      </c>
      <c r="AG144" s="59">
        <f t="shared" ref="AG144:AG145" si="70">IFERROR((J144+L144+N144+P144+R144+T144+V144+X144)/8, "NA")</f>
        <v>0</v>
      </c>
      <c r="AH144" s="23">
        <f>IFERROR(AG144/AG148, "NA")</f>
        <v>0</v>
      </c>
      <c r="AI144" s="61">
        <f t="shared" ref="AI144:AI145" si="71">IFERROR(X144-AG144, "NA")</f>
        <v>0</v>
      </c>
      <c r="AJ144" s="63">
        <f>IFERROR(AI144/AI148, "NA")</f>
        <v>0</v>
      </c>
      <c r="AK144" s="61" t="str">
        <f t="shared" ref="AK144:AK145" si="72">IFERROR((X144-AG144)/AG144, "NA")</f>
        <v>NA</v>
      </c>
      <c r="AL144" s="63" t="str">
        <f>IFERROR(AK144/AK148, "NA")</f>
        <v>NA</v>
      </c>
    </row>
    <row r="145" ht="16.5" hidden="1" customHeight="1">
      <c r="A145" s="66" t="s">
        <v>242</v>
      </c>
      <c r="B145" s="67">
        <f>IFERROR(B144, "NA")</f>
        <v>0</v>
      </c>
      <c r="C145" s="69">
        <f>IFERROR(B145/B148, "NA")</f>
        <v>0</v>
      </c>
      <c r="D145" s="67">
        <f>IFERROR(D144, "NA")</f>
        <v>0</v>
      </c>
      <c r="E145" s="69">
        <f>IFERROR(D145/D148, "NA")</f>
        <v>0</v>
      </c>
      <c r="F145" s="67">
        <f>IFERROR(F144, "NA")</f>
        <v>0</v>
      </c>
      <c r="G145" s="69">
        <f>IFERROR(F145/F148, "NA")</f>
        <v>0</v>
      </c>
      <c r="H145" s="67">
        <f>IFERROR(H144, "NA")</f>
        <v>0</v>
      </c>
      <c r="I145" s="69">
        <f>IFERROR(H145/H148, "NA")</f>
        <v>0</v>
      </c>
      <c r="J145" s="67">
        <f>IFERROR(J144, "NA")</f>
        <v>0</v>
      </c>
      <c r="K145" s="69">
        <f>IFERROR(J145/J148, "NA")</f>
        <v>0</v>
      </c>
      <c r="L145" s="67">
        <f>IFERROR(L144, "NA")</f>
        <v>0</v>
      </c>
      <c r="M145" s="69">
        <f>IFERROR(L145/L148, "NA")</f>
        <v>0</v>
      </c>
      <c r="N145" s="67">
        <f>IFERROR(N144, "NA")</f>
        <v>0</v>
      </c>
      <c r="O145" s="69">
        <f>IFERROR(N145/N148, "NA")</f>
        <v>0</v>
      </c>
      <c r="P145" s="67">
        <f>IFERROR(P144, "NA")</f>
        <v>0</v>
      </c>
      <c r="Q145" s="69">
        <f>IFERROR(P145/P148, "NA")</f>
        <v>0</v>
      </c>
      <c r="R145" s="67">
        <f>IFERROR(R144, "NA")</f>
        <v>0</v>
      </c>
      <c r="S145" s="69">
        <f>IFERROR(R145/R148, "NA")</f>
        <v>0</v>
      </c>
      <c r="T145" s="67">
        <f>IFERROR(T144, "NA")</f>
        <v>0</v>
      </c>
      <c r="U145" s="69">
        <f>IFERROR(T145/T148, "NA")</f>
        <v>0</v>
      </c>
      <c r="V145" s="67">
        <f>IFERROR(V144, "NA")</f>
        <v>0</v>
      </c>
      <c r="W145" s="69">
        <f>IFERROR(V145/V148, "NA")</f>
        <v>0</v>
      </c>
      <c r="X145" s="67">
        <f>IFERROR(X144, "NA")</f>
        <v>0</v>
      </c>
      <c r="Y145" s="69">
        <f>IFERROR(X145/X148, "NA")</f>
        <v>0</v>
      </c>
      <c r="Z145" s="67">
        <f>IFERROR(Z144, "NA")</f>
        <v>0</v>
      </c>
      <c r="AA145" s="69">
        <f>IFERROR(Z145/Z148, "NA")</f>
        <v>0</v>
      </c>
      <c r="AB145" s="67">
        <f t="shared" si="67"/>
        <v>0</v>
      </c>
      <c r="AC145" s="69">
        <f>IFERROR(AB145/AB148, "NA")</f>
        <v>0</v>
      </c>
      <c r="AD145" s="70">
        <f t="shared" si="68"/>
        <v>0</v>
      </c>
      <c r="AE145" s="71">
        <f>IFERROR(AD145/AD148, "NA")</f>
        <v>0</v>
      </c>
      <c r="AF145" s="70" t="str">
        <f t="shared" si="69"/>
        <v>NA</v>
      </c>
      <c r="AG145" s="67">
        <f t="shared" si="70"/>
        <v>0</v>
      </c>
      <c r="AH145" s="69">
        <f>IFERROR(AG145/AG148, "NA")</f>
        <v>0</v>
      </c>
      <c r="AI145" s="70">
        <f t="shared" si="71"/>
        <v>0</v>
      </c>
      <c r="AJ145" s="71">
        <f>IFERROR(AI145/AI148, "NA")</f>
        <v>0</v>
      </c>
      <c r="AK145" s="70" t="str">
        <f t="shared" si="72"/>
        <v>NA</v>
      </c>
      <c r="AL145" s="71" t="str">
        <f>IFERROR(AK145/AK148, "NA")</f>
        <v>NA</v>
      </c>
    </row>
    <row r="146" ht="3.75" hidden="1" customHeight="1">
      <c r="A146" s="120" t="s">
        <v>6</v>
      </c>
      <c r="B146" s="121"/>
      <c r="C146" s="76"/>
      <c r="D146" s="121"/>
      <c r="E146" s="76"/>
      <c r="F146" s="121"/>
      <c r="G146" s="76"/>
      <c r="H146" s="121"/>
      <c r="I146" s="76"/>
      <c r="J146" s="121"/>
      <c r="K146" s="76"/>
      <c r="L146" s="121"/>
      <c r="M146" s="76"/>
      <c r="N146" s="121"/>
      <c r="O146" s="76"/>
      <c r="P146" s="121"/>
      <c r="Q146" s="76"/>
      <c r="R146" s="121"/>
      <c r="S146" s="76"/>
      <c r="T146" s="121"/>
      <c r="U146" s="76"/>
      <c r="V146" s="121"/>
      <c r="W146" s="76"/>
      <c r="X146" s="121"/>
      <c r="Y146" s="76"/>
      <c r="Z146" s="121"/>
      <c r="AA146" s="76"/>
      <c r="AB146" s="121"/>
      <c r="AC146" s="76"/>
      <c r="AD146" s="122"/>
      <c r="AE146" s="78"/>
      <c r="AF146" s="122"/>
      <c r="AG146" s="121"/>
      <c r="AH146" s="76"/>
      <c r="AI146" s="122"/>
      <c r="AJ146" s="78"/>
      <c r="AK146" s="122"/>
      <c r="AL146" s="78"/>
    </row>
    <row r="147" ht="16.5" hidden="1" customHeight="1">
      <c r="A147" s="118" t="s">
        <v>243</v>
      </c>
      <c r="B147" s="119">
        <f>IFERROR(B137-B141-B145, "NA")</f>
        <v>7705.77</v>
      </c>
      <c r="C147" s="107">
        <f>IFERROR(B147/B148, "NA")</f>
        <v>0.2647668807</v>
      </c>
      <c r="D147" s="119">
        <f>IFERROR(D137-D141-D145, "NA")</f>
        <v>3524.24</v>
      </c>
      <c r="E147" s="107">
        <f>IFERROR(D147/D148, "NA")</f>
        <v>0.1098763165</v>
      </c>
      <c r="F147" s="119">
        <f>IFERROR(F137-F141-F145, "NA")</f>
        <v>-25473.9</v>
      </c>
      <c r="G147" s="107">
        <f>IFERROR(F147/F148, "NA")</f>
        <v>-0.9678364284</v>
      </c>
      <c r="H147" s="119">
        <f>IFERROR(H137-H141-H145, "NA")</f>
        <v>5341.07</v>
      </c>
      <c r="I147" s="107">
        <f>IFERROR(H147/H148, "NA")</f>
        <v>0.2157978436</v>
      </c>
      <c r="J147" s="119">
        <f>IFERROR(J137-J141-J145, "NA")</f>
        <v>6695.29</v>
      </c>
      <c r="K147" s="107">
        <f>IFERROR(J147/J148, "NA")</f>
        <v>0.2529128099</v>
      </c>
      <c r="L147" s="119">
        <f>IFERROR(L137-L141-L145, "NA")</f>
        <v>6139.89</v>
      </c>
      <c r="M147" s="107">
        <f>IFERROR(L147/L148, "NA")</f>
        <v>0.2468125835</v>
      </c>
      <c r="N147" s="119">
        <f>IFERROR(N137-N141-N145, "NA")</f>
        <v>1224.8</v>
      </c>
      <c r="O147" s="107">
        <f>IFERROR(N147/N148, "NA")</f>
        <v>0.04009673238</v>
      </c>
      <c r="P147" s="119">
        <f>IFERROR(P137-P141-P145, "NA")</f>
        <v>-28311.12</v>
      </c>
      <c r="Q147" s="107">
        <f>IFERROR(P147/P148, "NA")</f>
        <v>-0.8368935127</v>
      </c>
      <c r="R147" s="119">
        <f>IFERROR(R137-R141-R145, "NA")</f>
        <v>2558.85</v>
      </c>
      <c r="S147" s="107">
        <f>IFERROR(R147/R148, "NA")</f>
        <v>0.1028139072</v>
      </c>
      <c r="T147" s="119">
        <f>IFERROR(T137-T141-T145, "NA")</f>
        <v>6428.56</v>
      </c>
      <c r="U147" s="107">
        <f>IFERROR(T147/T148, "NA")</f>
        <v>0.2031816589</v>
      </c>
      <c r="V147" s="119">
        <f>IFERROR(V137-V141-V145, "NA")</f>
        <v>2140.9</v>
      </c>
      <c r="W147" s="107">
        <f>IFERROR(V147/V148, "NA")</f>
        <v>0.07117190463</v>
      </c>
      <c r="X147" s="119">
        <f>IFERROR(X137-X141-X145, "NA")</f>
        <v>9551.63</v>
      </c>
      <c r="Y147" s="107">
        <f>IFERROR(X147/X148, "NA")</f>
        <v>0.3836911295</v>
      </c>
      <c r="Z147" s="119">
        <f>IFERROR(Z137-Z141-Z145, "NA")</f>
        <v>20679.94</v>
      </c>
      <c r="AA147" s="107">
        <f>IFERROR(Z147/Z148, "NA")</f>
        <v>0.1854663384</v>
      </c>
      <c r="AB147" s="119">
        <f t="shared" ref="AB147:AB148" si="73">IFERROR((R147+T147+V147+X147)/4, "NA")</f>
        <v>5169.985</v>
      </c>
      <c r="AC147" s="107">
        <f>IFERROR(AB147/AB148, "NA")</f>
        <v>0.1854663384</v>
      </c>
      <c r="AD147" s="70">
        <f t="shared" ref="AD147:AD148" si="74">IFERROR(X147-AB147, "NA")</f>
        <v>4381.645</v>
      </c>
      <c r="AE147" s="71">
        <f>IFERROR(AD147/AD148, "NA")</f>
        <v>-1.46959245</v>
      </c>
      <c r="AF147" s="70">
        <f t="shared" ref="AF147:AF148" si="75">IFERROR((X147-AB147)/AB147, "NA")</f>
        <v>0.8475159986</v>
      </c>
      <c r="AG147" s="119">
        <f t="shared" ref="AG147:AG148" si="76">IFERROR((J147+L147+N147+P147+R147+T147+V147+X147)/8, "NA")</f>
        <v>803.6</v>
      </c>
      <c r="AH147" s="107">
        <f>IFERROR(AG147/AG148, "NA")</f>
        <v>0.02829243858</v>
      </c>
      <c r="AI147" s="70">
        <f t="shared" ref="AI147:AI148" si="77">IFERROR(X147-AG147, "NA")</f>
        <v>8748.03</v>
      </c>
      <c r="AJ147" s="71">
        <f>IFERROR(AI147/AI148, "NA")</f>
        <v>-2.492821373</v>
      </c>
      <c r="AK147" s="70">
        <f t="shared" ref="AK147:AK148" si="78">IFERROR((X147-AG147)/AG147, "NA")</f>
        <v>10.88605027</v>
      </c>
      <c r="AL147" s="71">
        <f>IFERROR(AK147/AK148, "NA")</f>
        <v>-88.10910257</v>
      </c>
    </row>
    <row r="148" ht="14.25" hidden="1" customHeight="1">
      <c r="A148" s="26" t="s">
        <v>51</v>
      </c>
      <c r="B148" s="27">
        <v>29103.98</v>
      </c>
      <c r="C148" s="125"/>
      <c r="D148" s="27">
        <v>32074.61</v>
      </c>
      <c r="E148" s="125"/>
      <c r="F148" s="27">
        <v>26320.46</v>
      </c>
      <c r="G148" s="125"/>
      <c r="H148" s="27">
        <v>24750.34</v>
      </c>
      <c r="I148" s="125"/>
      <c r="J148" s="27">
        <v>26472.72</v>
      </c>
      <c r="K148" s="125"/>
      <c r="L148" s="27">
        <v>24876.73</v>
      </c>
      <c r="M148" s="125"/>
      <c r="N148" s="27">
        <v>30546.13</v>
      </c>
      <c r="O148" s="125"/>
      <c r="P148" s="27">
        <v>33828.82</v>
      </c>
      <c r="Q148" s="125"/>
      <c r="R148" s="27">
        <v>24888.17</v>
      </c>
      <c r="S148" s="125"/>
      <c r="T148" s="27">
        <v>31639.47</v>
      </c>
      <c r="U148" s="125"/>
      <c r="V148" s="27">
        <v>30080.69</v>
      </c>
      <c r="W148" s="125"/>
      <c r="X148" s="27">
        <v>24894.06</v>
      </c>
      <c r="Y148" s="125"/>
      <c r="Z148" s="27">
        <v>111502.39</v>
      </c>
      <c r="AA148" s="125"/>
      <c r="AB148" s="59">
        <f t="shared" si="73"/>
        <v>27875.5975</v>
      </c>
      <c r="AC148" s="125"/>
      <c r="AD148" s="61">
        <f t="shared" si="74"/>
        <v>-2981.5375</v>
      </c>
      <c r="AE148" s="126"/>
      <c r="AF148" s="61">
        <f t="shared" si="75"/>
        <v>-0.1069586939</v>
      </c>
      <c r="AG148" s="59">
        <f t="shared" si="76"/>
        <v>28403.34875</v>
      </c>
      <c r="AH148" s="125"/>
      <c r="AI148" s="61">
        <f t="shared" si="77"/>
        <v>-3509.28875</v>
      </c>
      <c r="AJ148" s="126"/>
      <c r="AK148" s="61">
        <f t="shared" si="78"/>
        <v>-0.1235519368</v>
      </c>
      <c r="AL148" s="126"/>
    </row>
    <row r="149" ht="14.25" customHeight="1"/>
    <row r="150" ht="14.25" customHeight="1"/>
    <row r="151" ht="14.25" customHeight="1">
      <c r="A151" s="127" t="s">
        <v>244</v>
      </c>
    </row>
    <row r="152" ht="14.25" customHeight="1">
      <c r="A152" s="127" t="s">
        <v>245</v>
      </c>
    </row>
    <row r="153" ht="14.25" customHeight="1">
      <c r="A153" s="127" t="s">
        <v>246</v>
      </c>
    </row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1"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G5:AH5"/>
    <mergeCell ref="AI5:AJ5"/>
    <mergeCell ref="AK5:AL5"/>
    <mergeCell ref="A1:AL1"/>
    <mergeCell ref="A2:AL2"/>
    <mergeCell ref="A3:AL3"/>
    <mergeCell ref="B5:C5"/>
    <mergeCell ref="D5:E5"/>
    <mergeCell ref="F5:G5"/>
    <mergeCell ref="H5:I5"/>
  </mergeCells>
  <printOptions/>
  <pageMargins bottom="0.75" footer="0.0" header="0.0" left="0.7" right="0.7" top="0.75"/>
  <pageSetup orientation="landscape"/>
  <drawing r:id="rId1"/>
</worksheet>
</file>